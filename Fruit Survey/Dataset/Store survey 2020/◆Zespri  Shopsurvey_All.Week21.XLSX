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192.168.11.200\000_全国共有\2-Zespri\品質調査\2020品質調査\21週\"/>
    </mc:Choice>
  </mc:AlternateContent>
  <xr:revisionPtr revIDLastSave="0" documentId="13_ncr:1_{11977A33-CA85-4948-8828-C24F243A911A}" xr6:coauthVersionLast="45" xr6:coauthVersionMax="45" xr10:uidLastSave="{00000000-0000-0000-0000-000000000000}"/>
  <bookViews>
    <workbookView xWindow="-120" yWindow="-120" windowWidth="29040" windowHeight="15840" activeTab="7" xr2:uid="{00000000-000D-0000-FFFF-FFFF00000000}"/>
  </bookViews>
  <sheets>
    <sheet name="sapporo" sheetId="9" r:id="rId1"/>
    <sheet name="miyagi" sheetId="16" r:id="rId2"/>
    <sheet name="nagoya" sheetId="10" r:id="rId3"/>
    <sheet name="osaka" sheetId="11" r:id="rId4"/>
    <sheet name="hiroshima" sheetId="12" r:id="rId5"/>
    <sheet name="fukuoka" sheetId="13" r:id="rId6"/>
    <sheet name="tokyo-west(ota)" sheetId="14" r:id="rId7"/>
    <sheet name="tokyo-east(konishi)" sheetId="15" r:id="rId8"/>
  </sheets>
  <definedNames>
    <definedName name="_xlnm._FilterDatabase" localSheetId="5" hidden="1">fukuoka!$A$1:$BA$152</definedName>
    <definedName name="_xlnm._FilterDatabase" localSheetId="4" hidden="1">hiroshima!$A$1:$BA$154</definedName>
    <definedName name="_xlnm._FilterDatabase" localSheetId="1" hidden="1">miyagi!$A$1:$BA$154</definedName>
    <definedName name="_xlnm._FilterDatabase" localSheetId="2" hidden="1">nagoya!$A$1:$BA$130</definedName>
    <definedName name="_xlnm._FilterDatabase" localSheetId="3" hidden="1">osaka!$A$1:$BA$171</definedName>
    <definedName name="_xlnm._FilterDatabase" localSheetId="0" hidden="1">sapporo!$A$1:$BA$145</definedName>
    <definedName name="_xlnm._FilterDatabase" localSheetId="7" hidden="1">'tokyo-east(konishi)'!$A$1:$BA$151</definedName>
    <definedName name="_xlnm._FilterDatabase" localSheetId="6" hidden="1">'tokyo-west(ota)'!$A$1:$BA$130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3">#REF!</definedName>
    <definedName name="hiroshima" localSheetId="7">#REF!</definedName>
    <definedName name="hiroshima" localSheetId="6">#REF!</definedName>
    <definedName name="hiroshima">#REF!</definedName>
    <definedName name="kk" localSheetId="1">#REF!</definedName>
    <definedName name="kk" localSheetId="2">#REF!</definedName>
    <definedName name="kk" localSheetId="3">#REF!</definedName>
    <definedName name="kk" localSheetId="7">#REF!</definedName>
    <definedName name="kk" localSheetId="6">#REF!</definedName>
    <definedName name="kk">#REF!</definedName>
    <definedName name="ｌｌｌｌｌ" localSheetId="3">#REF!</definedName>
    <definedName name="ｌｌｌｌｌ" localSheetId="7">#REF!</definedName>
    <definedName name="ｌｌｌｌｌ" localSheetId="6">#REF!</definedName>
    <definedName name="ｌｌｌｌｌ">#REF!</definedName>
    <definedName name="miyagi" localSheetId="3">#REF!</definedName>
    <definedName name="miyagi" localSheetId="7">#REF!</definedName>
    <definedName name="miyagi" localSheetId="6">#REF!</definedName>
    <definedName name="miyagi">#REF!</definedName>
    <definedName name="miyagi2" localSheetId="3">#REF!</definedName>
    <definedName name="miyagi2" localSheetId="7">#REF!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3">#REF!</definedName>
    <definedName name="yaginuma" localSheetId="7">#REF!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54" i="16" l="1"/>
  <c r="V154" i="16" s="1"/>
  <c r="Q154" i="16"/>
  <c r="T153" i="16"/>
  <c r="V153" i="16" s="1"/>
  <c r="Q153" i="16"/>
  <c r="T152" i="16"/>
  <c r="V152" i="16" s="1"/>
  <c r="Q152" i="16"/>
  <c r="T151" i="16"/>
  <c r="V151" i="16" s="1"/>
  <c r="Q151" i="16"/>
  <c r="T150" i="16"/>
  <c r="V150" i="16" s="1"/>
  <c r="Q150" i="16"/>
  <c r="T149" i="16"/>
  <c r="V149" i="16" s="1"/>
  <c r="Q149" i="16"/>
  <c r="T148" i="16"/>
  <c r="V148" i="16" s="1"/>
  <c r="Q148" i="16"/>
  <c r="T147" i="16"/>
  <c r="V147" i="16" s="1"/>
  <c r="Q147" i="16"/>
  <c r="T146" i="16"/>
  <c r="V146" i="16" s="1"/>
  <c r="Q146" i="16"/>
  <c r="T145" i="16"/>
  <c r="V145" i="16" s="1"/>
  <c r="Q145" i="16"/>
  <c r="T144" i="16"/>
  <c r="V144" i="16" s="1"/>
  <c r="Q144" i="16"/>
  <c r="T143" i="16"/>
  <c r="V143" i="16" s="1"/>
  <c r="Q143" i="16"/>
  <c r="T142" i="16"/>
  <c r="V142" i="16" s="1"/>
  <c r="Q142" i="16"/>
  <c r="T141" i="16"/>
  <c r="V141" i="16" s="1"/>
  <c r="Q141" i="16"/>
  <c r="T140" i="16"/>
  <c r="V140" i="16" s="1"/>
  <c r="Q140" i="16"/>
  <c r="T139" i="16"/>
  <c r="V139" i="16" s="1"/>
  <c r="Q139" i="16"/>
  <c r="T138" i="16"/>
  <c r="V138" i="16" s="1"/>
  <c r="Q138" i="16"/>
  <c r="T137" i="16"/>
  <c r="V137" i="16" s="1"/>
  <c r="Q137" i="16"/>
  <c r="T136" i="16"/>
  <c r="V136" i="16" s="1"/>
  <c r="Q136" i="16"/>
  <c r="T135" i="16"/>
  <c r="V135" i="16" s="1"/>
  <c r="Q135" i="16"/>
  <c r="T134" i="16"/>
  <c r="V134" i="16" s="1"/>
  <c r="Q134" i="16"/>
  <c r="T133" i="16"/>
  <c r="V133" i="16" s="1"/>
  <c r="Q133" i="16"/>
  <c r="T132" i="16"/>
  <c r="V132" i="16" s="1"/>
  <c r="Q132" i="16"/>
  <c r="T131" i="16"/>
  <c r="V131" i="16" s="1"/>
  <c r="Q131" i="16"/>
  <c r="T130" i="16"/>
  <c r="V130" i="16" s="1"/>
  <c r="Q130" i="16"/>
  <c r="T129" i="16"/>
  <c r="V129" i="16" s="1"/>
  <c r="Q129" i="16"/>
  <c r="T128" i="16"/>
  <c r="V128" i="16" s="1"/>
  <c r="Q128" i="16"/>
  <c r="T127" i="16"/>
  <c r="V127" i="16" s="1"/>
  <c r="Q127" i="16"/>
  <c r="T126" i="16"/>
  <c r="V126" i="16" s="1"/>
  <c r="Q126" i="16"/>
  <c r="T125" i="16"/>
  <c r="V125" i="16" s="1"/>
  <c r="Q125" i="16"/>
  <c r="T124" i="16"/>
  <c r="V124" i="16" s="1"/>
  <c r="Q124" i="16"/>
  <c r="T123" i="16"/>
  <c r="V123" i="16" s="1"/>
  <c r="Q123" i="16"/>
  <c r="T122" i="16"/>
  <c r="V122" i="16" s="1"/>
  <c r="Q122" i="16"/>
  <c r="T121" i="16"/>
  <c r="V121" i="16" s="1"/>
  <c r="Q121" i="16"/>
  <c r="T120" i="16"/>
  <c r="V120" i="16" s="1"/>
  <c r="Q120" i="16"/>
  <c r="T119" i="16"/>
  <c r="V119" i="16" s="1"/>
  <c r="Q119" i="16"/>
  <c r="T118" i="16"/>
  <c r="V118" i="16" s="1"/>
  <c r="Q118" i="16"/>
  <c r="T117" i="16"/>
  <c r="V117" i="16" s="1"/>
  <c r="Q117" i="16"/>
  <c r="T116" i="16"/>
  <c r="V116" i="16" s="1"/>
  <c r="Q116" i="16"/>
  <c r="T115" i="16"/>
  <c r="V115" i="16" s="1"/>
  <c r="Q115" i="16"/>
  <c r="T114" i="16"/>
  <c r="V114" i="16" s="1"/>
  <c r="Q114" i="16"/>
  <c r="T113" i="16"/>
  <c r="V113" i="16" s="1"/>
  <c r="Q113" i="16"/>
  <c r="T112" i="16"/>
  <c r="V112" i="16" s="1"/>
  <c r="Q112" i="16"/>
  <c r="T111" i="16"/>
  <c r="V111" i="16" s="1"/>
  <c r="Q111" i="16"/>
  <c r="T110" i="16"/>
  <c r="V110" i="16" s="1"/>
  <c r="Q110" i="16"/>
  <c r="T109" i="16"/>
  <c r="V109" i="16" s="1"/>
  <c r="Q109" i="16"/>
  <c r="T108" i="16"/>
  <c r="V108" i="16" s="1"/>
  <c r="Q108" i="16"/>
  <c r="T107" i="16"/>
  <c r="V107" i="16" s="1"/>
  <c r="Q107" i="16"/>
  <c r="T106" i="16"/>
  <c r="V106" i="16" s="1"/>
  <c r="Q106" i="16"/>
  <c r="T105" i="16"/>
  <c r="V105" i="16" s="1"/>
  <c r="Q105" i="16"/>
  <c r="T104" i="16"/>
  <c r="V104" i="16" s="1"/>
  <c r="Q104" i="16"/>
  <c r="T103" i="16"/>
  <c r="V103" i="16" s="1"/>
  <c r="Q103" i="16"/>
  <c r="T102" i="16"/>
  <c r="V102" i="16" s="1"/>
  <c r="Q102" i="16"/>
  <c r="T101" i="16"/>
  <c r="V101" i="16" s="1"/>
  <c r="Q101" i="16"/>
  <c r="T100" i="16"/>
  <c r="V100" i="16" s="1"/>
  <c r="Q100" i="16"/>
  <c r="T99" i="16"/>
  <c r="V99" i="16" s="1"/>
  <c r="Q99" i="16"/>
  <c r="T98" i="16"/>
  <c r="V98" i="16" s="1"/>
  <c r="Q98" i="16"/>
  <c r="T97" i="16"/>
  <c r="V97" i="16" s="1"/>
  <c r="Q97" i="16"/>
  <c r="T96" i="16"/>
  <c r="V96" i="16" s="1"/>
  <c r="Q96" i="16"/>
  <c r="T95" i="16"/>
  <c r="V95" i="16" s="1"/>
  <c r="Q95" i="16"/>
  <c r="T94" i="16"/>
  <c r="V94" i="16" s="1"/>
  <c r="Q94" i="16"/>
  <c r="T93" i="16"/>
  <c r="V93" i="16" s="1"/>
  <c r="Q93" i="16"/>
  <c r="T92" i="16"/>
  <c r="V92" i="16" s="1"/>
  <c r="Q92" i="16"/>
  <c r="T91" i="16"/>
  <c r="V91" i="16" s="1"/>
  <c r="Q91" i="16"/>
  <c r="T90" i="16"/>
  <c r="V90" i="16" s="1"/>
  <c r="Q90" i="16"/>
  <c r="T89" i="16"/>
  <c r="V89" i="16" s="1"/>
  <c r="Q89" i="16"/>
  <c r="T88" i="16"/>
  <c r="V88" i="16" s="1"/>
  <c r="Q88" i="16"/>
  <c r="T87" i="16"/>
  <c r="V87" i="16" s="1"/>
  <c r="Q87" i="16"/>
  <c r="T86" i="16"/>
  <c r="V86" i="16" s="1"/>
  <c r="Q86" i="16"/>
  <c r="T85" i="16"/>
  <c r="V85" i="16" s="1"/>
  <c r="Q85" i="16"/>
  <c r="T84" i="16"/>
  <c r="V84" i="16" s="1"/>
  <c r="Q84" i="16"/>
  <c r="T83" i="16"/>
  <c r="V83" i="16" s="1"/>
  <c r="Q83" i="16"/>
  <c r="T82" i="16"/>
  <c r="V82" i="16" s="1"/>
  <c r="Q82" i="16"/>
  <c r="T81" i="16"/>
  <c r="V81" i="16" s="1"/>
  <c r="Q81" i="16"/>
  <c r="T80" i="16"/>
  <c r="V80" i="16" s="1"/>
  <c r="Q80" i="16"/>
  <c r="T79" i="16"/>
  <c r="V79" i="16" s="1"/>
  <c r="Q79" i="16"/>
  <c r="T78" i="16"/>
  <c r="V78" i="16" s="1"/>
  <c r="Q78" i="16"/>
  <c r="T77" i="16"/>
  <c r="V77" i="16" s="1"/>
  <c r="Q77" i="16"/>
  <c r="T76" i="16"/>
  <c r="V76" i="16" s="1"/>
  <c r="Q76" i="16"/>
  <c r="T75" i="16"/>
  <c r="V75" i="16" s="1"/>
  <c r="Q75" i="16"/>
  <c r="T74" i="16"/>
  <c r="V74" i="16" s="1"/>
  <c r="Q74" i="16"/>
  <c r="T73" i="16"/>
  <c r="V73" i="16" s="1"/>
  <c r="Q73" i="16"/>
  <c r="T72" i="16"/>
  <c r="V72" i="16" s="1"/>
  <c r="Q72" i="16"/>
  <c r="T71" i="16"/>
  <c r="V71" i="16" s="1"/>
  <c r="Q71" i="16"/>
  <c r="T70" i="16"/>
  <c r="V70" i="16" s="1"/>
  <c r="Q70" i="16"/>
  <c r="T69" i="16"/>
  <c r="V69" i="16" s="1"/>
  <c r="Q69" i="16"/>
  <c r="T68" i="16"/>
  <c r="V68" i="16" s="1"/>
  <c r="Q68" i="16"/>
  <c r="T67" i="16"/>
  <c r="V67" i="16" s="1"/>
  <c r="Q67" i="16"/>
  <c r="T66" i="16"/>
  <c r="V66" i="16" s="1"/>
  <c r="Q66" i="16"/>
  <c r="T65" i="16"/>
  <c r="V65" i="16" s="1"/>
  <c r="Q65" i="16"/>
  <c r="T64" i="16"/>
  <c r="V64" i="16" s="1"/>
  <c r="Q64" i="16"/>
  <c r="T63" i="16"/>
  <c r="V63" i="16" s="1"/>
  <c r="Q63" i="16"/>
  <c r="T62" i="16"/>
  <c r="V62" i="16" s="1"/>
  <c r="Q62" i="16"/>
  <c r="T61" i="16"/>
  <c r="V61" i="16" s="1"/>
  <c r="Q61" i="16"/>
  <c r="T60" i="16"/>
  <c r="V60" i="16" s="1"/>
  <c r="Q60" i="16"/>
  <c r="T59" i="16"/>
  <c r="V59" i="16" s="1"/>
  <c r="Q59" i="16"/>
  <c r="T58" i="16"/>
  <c r="V58" i="16" s="1"/>
  <c r="Q58" i="16"/>
  <c r="T57" i="16"/>
  <c r="V57" i="16" s="1"/>
  <c r="Q57" i="16"/>
  <c r="T56" i="16"/>
  <c r="V56" i="16" s="1"/>
  <c r="Q56" i="16"/>
  <c r="T55" i="16"/>
  <c r="V55" i="16" s="1"/>
  <c r="Q55" i="16"/>
  <c r="T54" i="16"/>
  <c r="V54" i="16" s="1"/>
  <c r="Q54" i="16"/>
  <c r="T53" i="16"/>
  <c r="V53" i="16" s="1"/>
  <c r="Q53" i="16"/>
  <c r="T52" i="16"/>
  <c r="V52" i="16" s="1"/>
  <c r="Q52" i="16"/>
  <c r="T51" i="16"/>
  <c r="V51" i="16" s="1"/>
  <c r="Q51" i="16"/>
  <c r="T50" i="16"/>
  <c r="V50" i="16" s="1"/>
  <c r="Q50" i="16"/>
  <c r="T49" i="16"/>
  <c r="V49" i="16" s="1"/>
  <c r="Q49" i="16"/>
  <c r="T48" i="16"/>
  <c r="V48" i="16" s="1"/>
  <c r="Q48" i="16"/>
  <c r="T47" i="16"/>
  <c r="V47" i="16" s="1"/>
  <c r="Q47" i="16"/>
  <c r="T46" i="16"/>
  <c r="V46" i="16" s="1"/>
  <c r="Q46" i="16"/>
  <c r="T45" i="16"/>
  <c r="V45" i="16" s="1"/>
  <c r="Q45" i="16"/>
  <c r="T44" i="16"/>
  <c r="V44" i="16" s="1"/>
  <c r="Q44" i="16"/>
  <c r="T43" i="16"/>
  <c r="V43" i="16" s="1"/>
  <c r="Q43" i="16"/>
  <c r="T42" i="16"/>
  <c r="V42" i="16" s="1"/>
  <c r="Q42" i="16"/>
  <c r="T41" i="16"/>
  <c r="V41" i="16" s="1"/>
  <c r="Q41" i="16"/>
  <c r="T40" i="16"/>
  <c r="V40" i="16" s="1"/>
  <c r="Q40" i="16"/>
  <c r="T39" i="16"/>
  <c r="V39" i="16" s="1"/>
  <c r="Q39" i="16"/>
  <c r="T38" i="16"/>
  <c r="V38" i="16" s="1"/>
  <c r="Q38" i="16"/>
  <c r="T37" i="16"/>
  <c r="V37" i="16" s="1"/>
  <c r="Q37" i="16"/>
  <c r="T36" i="16"/>
  <c r="V36" i="16" s="1"/>
  <c r="Q36" i="16"/>
  <c r="T35" i="16"/>
  <c r="V35" i="16" s="1"/>
  <c r="Q35" i="16"/>
  <c r="T34" i="16"/>
  <c r="V34" i="16" s="1"/>
  <c r="Q34" i="16"/>
  <c r="T33" i="16"/>
  <c r="V33" i="16" s="1"/>
  <c r="Q33" i="16"/>
  <c r="T32" i="16"/>
  <c r="V32" i="16" s="1"/>
  <c r="Q32" i="16"/>
  <c r="T31" i="16"/>
  <c r="V31" i="16" s="1"/>
  <c r="Q31" i="16"/>
  <c r="T30" i="16"/>
  <c r="V30" i="16" s="1"/>
  <c r="Q30" i="16"/>
  <c r="T29" i="16"/>
  <c r="V29" i="16" s="1"/>
  <c r="Q29" i="16"/>
  <c r="T28" i="16"/>
  <c r="V28" i="16" s="1"/>
  <c r="Q28" i="16"/>
  <c r="T27" i="16"/>
  <c r="V27" i="16" s="1"/>
  <c r="Q27" i="16"/>
  <c r="T26" i="16"/>
  <c r="V26" i="16" s="1"/>
  <c r="Q26" i="16"/>
  <c r="T25" i="16"/>
  <c r="V25" i="16" s="1"/>
  <c r="Q25" i="16"/>
  <c r="T24" i="16"/>
  <c r="V24" i="16" s="1"/>
  <c r="Q24" i="16"/>
  <c r="T23" i="16"/>
  <c r="V23" i="16" s="1"/>
  <c r="Q23" i="16"/>
  <c r="T22" i="16"/>
  <c r="V22" i="16" s="1"/>
  <c r="Q22" i="16"/>
  <c r="T21" i="16"/>
  <c r="V21" i="16" s="1"/>
  <c r="Q21" i="16"/>
  <c r="T20" i="16"/>
  <c r="V20" i="16" s="1"/>
  <c r="Q20" i="16"/>
  <c r="T19" i="16"/>
  <c r="V19" i="16" s="1"/>
  <c r="Q19" i="16"/>
  <c r="T18" i="16"/>
  <c r="V18" i="16" s="1"/>
  <c r="Q18" i="16"/>
  <c r="T17" i="16"/>
  <c r="V17" i="16" s="1"/>
  <c r="Q17" i="16"/>
  <c r="T16" i="16"/>
  <c r="V16" i="16" s="1"/>
  <c r="Q16" i="16"/>
  <c r="T15" i="16"/>
  <c r="V15" i="16" s="1"/>
  <c r="Q15" i="16"/>
  <c r="T14" i="16"/>
  <c r="V14" i="16" s="1"/>
  <c r="Q14" i="16"/>
  <c r="T13" i="16"/>
  <c r="V13" i="16" s="1"/>
  <c r="Q13" i="16"/>
  <c r="T12" i="16"/>
  <c r="V12" i="16" s="1"/>
  <c r="Q12" i="16"/>
  <c r="T11" i="16"/>
  <c r="V11" i="16" s="1"/>
  <c r="Q11" i="16"/>
  <c r="T10" i="16"/>
  <c r="V10" i="16" s="1"/>
  <c r="Q10" i="16"/>
  <c r="T9" i="16"/>
  <c r="V9" i="16" s="1"/>
  <c r="Q9" i="16"/>
  <c r="T8" i="16"/>
  <c r="V8" i="16" s="1"/>
  <c r="Q8" i="16"/>
  <c r="T7" i="16"/>
  <c r="V7" i="16" s="1"/>
  <c r="Q7" i="16"/>
  <c r="T6" i="16"/>
  <c r="V6" i="16" s="1"/>
  <c r="Q6" i="16"/>
  <c r="T5" i="16"/>
  <c r="V5" i="16" s="1"/>
  <c r="Q5" i="16"/>
  <c r="T4" i="16"/>
  <c r="V4" i="16" s="1"/>
  <c r="Q4" i="16"/>
  <c r="T3" i="16"/>
  <c r="V3" i="16" s="1"/>
  <c r="Q3" i="16"/>
  <c r="T2" i="16"/>
  <c r="V2" i="16" s="1"/>
  <c r="Q2" i="16"/>
  <c r="T151" i="15" l="1"/>
  <c r="V151" i="15" s="1"/>
  <c r="Q151" i="15"/>
  <c r="T150" i="15"/>
  <c r="V150" i="15" s="1"/>
  <c r="Q150" i="15"/>
  <c r="T149" i="15"/>
  <c r="V149" i="15" s="1"/>
  <c r="Q149" i="15"/>
  <c r="T148" i="15"/>
  <c r="V148" i="15" s="1"/>
  <c r="Q148" i="15"/>
  <c r="T147" i="15"/>
  <c r="V147" i="15" s="1"/>
  <c r="Q147" i="15"/>
  <c r="T146" i="15"/>
  <c r="V146" i="15" s="1"/>
  <c r="Q146" i="15"/>
  <c r="T145" i="15"/>
  <c r="V145" i="15" s="1"/>
  <c r="Q145" i="15"/>
  <c r="T144" i="15"/>
  <c r="V144" i="15" s="1"/>
  <c r="Q144" i="15"/>
  <c r="T143" i="15"/>
  <c r="V143" i="15" s="1"/>
  <c r="Q143" i="15"/>
  <c r="T142" i="15"/>
  <c r="V142" i="15" s="1"/>
  <c r="Q142" i="15"/>
  <c r="T141" i="15"/>
  <c r="V141" i="15" s="1"/>
  <c r="Q141" i="15"/>
  <c r="T140" i="15"/>
  <c r="V140" i="15" s="1"/>
  <c r="Q140" i="15"/>
  <c r="T139" i="15"/>
  <c r="V139" i="15" s="1"/>
  <c r="Q139" i="15"/>
  <c r="T138" i="15"/>
  <c r="V138" i="15" s="1"/>
  <c r="Q138" i="15"/>
  <c r="T137" i="15"/>
  <c r="V137" i="15" s="1"/>
  <c r="Q137" i="15"/>
  <c r="T136" i="15"/>
  <c r="V136" i="15" s="1"/>
  <c r="Q136" i="15"/>
  <c r="T135" i="15"/>
  <c r="V135" i="15" s="1"/>
  <c r="Q135" i="15"/>
  <c r="T134" i="15"/>
  <c r="V134" i="15" s="1"/>
  <c r="Q134" i="15"/>
  <c r="T133" i="15"/>
  <c r="V133" i="15" s="1"/>
  <c r="Q133" i="15"/>
  <c r="T132" i="15"/>
  <c r="V132" i="15" s="1"/>
  <c r="Q132" i="15"/>
  <c r="T131" i="15"/>
  <c r="V131" i="15" s="1"/>
  <c r="Q131" i="15"/>
  <c r="T130" i="15"/>
  <c r="V130" i="15" s="1"/>
  <c r="Q130" i="15"/>
  <c r="T129" i="15"/>
  <c r="V129" i="15" s="1"/>
  <c r="Q129" i="15"/>
  <c r="T128" i="15"/>
  <c r="V128" i="15" s="1"/>
  <c r="Q128" i="15"/>
  <c r="T127" i="15"/>
  <c r="V127" i="15" s="1"/>
  <c r="Q127" i="15"/>
  <c r="T126" i="15"/>
  <c r="V126" i="15" s="1"/>
  <c r="Q126" i="15"/>
  <c r="T125" i="15"/>
  <c r="V125" i="15" s="1"/>
  <c r="Q125" i="15"/>
  <c r="T124" i="15"/>
  <c r="V124" i="15" s="1"/>
  <c r="Q124" i="15"/>
  <c r="T123" i="15"/>
  <c r="V123" i="15" s="1"/>
  <c r="Q123" i="15"/>
  <c r="T122" i="15"/>
  <c r="V122" i="15" s="1"/>
  <c r="Q122" i="15"/>
  <c r="T121" i="15"/>
  <c r="V121" i="15" s="1"/>
  <c r="Q121" i="15"/>
  <c r="T120" i="15"/>
  <c r="V120" i="15" s="1"/>
  <c r="Q120" i="15"/>
  <c r="T119" i="15"/>
  <c r="V119" i="15" s="1"/>
  <c r="Q119" i="15"/>
  <c r="T118" i="15"/>
  <c r="V118" i="15" s="1"/>
  <c r="Q118" i="15"/>
  <c r="T117" i="15"/>
  <c r="V117" i="15" s="1"/>
  <c r="Q117" i="15"/>
  <c r="T116" i="15"/>
  <c r="V116" i="15" s="1"/>
  <c r="Q116" i="15"/>
  <c r="T115" i="15"/>
  <c r="V115" i="15" s="1"/>
  <c r="Q115" i="15"/>
  <c r="T114" i="15"/>
  <c r="V114" i="15" s="1"/>
  <c r="Q114" i="15"/>
  <c r="T113" i="15"/>
  <c r="V113" i="15" s="1"/>
  <c r="Q113" i="15"/>
  <c r="T112" i="15"/>
  <c r="V112" i="15" s="1"/>
  <c r="Q112" i="15"/>
  <c r="T111" i="15"/>
  <c r="V111" i="15" s="1"/>
  <c r="Q111" i="15"/>
  <c r="T110" i="15"/>
  <c r="V110" i="15" s="1"/>
  <c r="Q110" i="15"/>
  <c r="T109" i="15"/>
  <c r="V109" i="15" s="1"/>
  <c r="Q109" i="15"/>
  <c r="T108" i="15"/>
  <c r="V108" i="15" s="1"/>
  <c r="Q108" i="15"/>
  <c r="T107" i="15"/>
  <c r="V107" i="15" s="1"/>
  <c r="Q107" i="15"/>
  <c r="T106" i="15"/>
  <c r="V106" i="15" s="1"/>
  <c r="Q106" i="15"/>
  <c r="T105" i="15"/>
  <c r="V105" i="15" s="1"/>
  <c r="Q105" i="15"/>
  <c r="T104" i="15"/>
  <c r="V104" i="15" s="1"/>
  <c r="Q104" i="15"/>
  <c r="T103" i="15"/>
  <c r="V103" i="15" s="1"/>
  <c r="Q103" i="15"/>
  <c r="T102" i="15"/>
  <c r="V102" i="15" s="1"/>
  <c r="Q102" i="15"/>
  <c r="T101" i="15"/>
  <c r="V101" i="15" s="1"/>
  <c r="Q101" i="15"/>
  <c r="T100" i="15"/>
  <c r="V100" i="15" s="1"/>
  <c r="Q100" i="15"/>
  <c r="T99" i="15"/>
  <c r="V99" i="15" s="1"/>
  <c r="Q99" i="15"/>
  <c r="T98" i="15"/>
  <c r="V98" i="15" s="1"/>
  <c r="Q98" i="15"/>
  <c r="T97" i="15"/>
  <c r="V97" i="15" s="1"/>
  <c r="Q97" i="15"/>
  <c r="T96" i="15"/>
  <c r="V96" i="15" s="1"/>
  <c r="Q96" i="15"/>
  <c r="T95" i="15"/>
  <c r="V95" i="15" s="1"/>
  <c r="Q95" i="15"/>
  <c r="T94" i="15"/>
  <c r="V94" i="15" s="1"/>
  <c r="Q94" i="15"/>
  <c r="T93" i="15"/>
  <c r="V93" i="15" s="1"/>
  <c r="Q93" i="15"/>
  <c r="T92" i="15"/>
  <c r="V92" i="15" s="1"/>
  <c r="Q92" i="15"/>
  <c r="T91" i="15"/>
  <c r="V91" i="15" s="1"/>
  <c r="Q91" i="15"/>
  <c r="T90" i="15"/>
  <c r="V90" i="15" s="1"/>
  <c r="Q90" i="15"/>
  <c r="T89" i="15"/>
  <c r="V89" i="15" s="1"/>
  <c r="Q89" i="15"/>
  <c r="T88" i="15"/>
  <c r="V88" i="15" s="1"/>
  <c r="Q88" i="15"/>
  <c r="T87" i="15"/>
  <c r="V87" i="15" s="1"/>
  <c r="Q87" i="15"/>
  <c r="T86" i="15"/>
  <c r="V86" i="15" s="1"/>
  <c r="Q86" i="15"/>
  <c r="T85" i="15"/>
  <c r="V85" i="15" s="1"/>
  <c r="Q85" i="15"/>
  <c r="T84" i="15"/>
  <c r="V84" i="15" s="1"/>
  <c r="Q84" i="15"/>
  <c r="T83" i="15"/>
  <c r="V83" i="15" s="1"/>
  <c r="Q83" i="15"/>
  <c r="T82" i="15"/>
  <c r="V82" i="15" s="1"/>
  <c r="Q82" i="15"/>
  <c r="T81" i="15"/>
  <c r="V81" i="15" s="1"/>
  <c r="Q81" i="15"/>
  <c r="T80" i="15"/>
  <c r="V80" i="15" s="1"/>
  <c r="Q80" i="15"/>
  <c r="T79" i="15"/>
  <c r="V79" i="15" s="1"/>
  <c r="Q79" i="15"/>
  <c r="T78" i="15"/>
  <c r="V78" i="15" s="1"/>
  <c r="Q78" i="15"/>
  <c r="T77" i="15"/>
  <c r="V77" i="15" s="1"/>
  <c r="Q77" i="15"/>
  <c r="T76" i="15"/>
  <c r="V76" i="15" s="1"/>
  <c r="Q76" i="15"/>
  <c r="T75" i="15"/>
  <c r="V75" i="15" s="1"/>
  <c r="Q75" i="15"/>
  <c r="T74" i="15"/>
  <c r="V74" i="15" s="1"/>
  <c r="Q74" i="15"/>
  <c r="T73" i="15"/>
  <c r="V73" i="15" s="1"/>
  <c r="Q73" i="15"/>
  <c r="T72" i="15"/>
  <c r="V72" i="15" s="1"/>
  <c r="Q72" i="15"/>
  <c r="T71" i="15"/>
  <c r="V71" i="15" s="1"/>
  <c r="Q71" i="15"/>
  <c r="T70" i="15"/>
  <c r="V70" i="15" s="1"/>
  <c r="Q70" i="15"/>
  <c r="T69" i="15"/>
  <c r="V69" i="15" s="1"/>
  <c r="Q69" i="15"/>
  <c r="T68" i="15"/>
  <c r="V68" i="15" s="1"/>
  <c r="Q68" i="15"/>
  <c r="T67" i="15"/>
  <c r="V67" i="15" s="1"/>
  <c r="Q67" i="15"/>
  <c r="T66" i="15"/>
  <c r="V66" i="15" s="1"/>
  <c r="Q66" i="15"/>
  <c r="T65" i="15"/>
  <c r="V65" i="15" s="1"/>
  <c r="Q65" i="15"/>
  <c r="T64" i="15"/>
  <c r="V64" i="15" s="1"/>
  <c r="Q64" i="15"/>
  <c r="T63" i="15"/>
  <c r="V63" i="15" s="1"/>
  <c r="Q63" i="15"/>
  <c r="T62" i="15"/>
  <c r="V62" i="15" s="1"/>
  <c r="Q62" i="15"/>
  <c r="T61" i="15"/>
  <c r="V61" i="15" s="1"/>
  <c r="Q61" i="15"/>
  <c r="T60" i="15"/>
  <c r="V60" i="15" s="1"/>
  <c r="Q60" i="15"/>
  <c r="T59" i="15"/>
  <c r="V59" i="15" s="1"/>
  <c r="Q59" i="15"/>
  <c r="T58" i="15"/>
  <c r="V58" i="15" s="1"/>
  <c r="Q58" i="15"/>
  <c r="T57" i="15"/>
  <c r="V57" i="15" s="1"/>
  <c r="Q57" i="15"/>
  <c r="T56" i="15"/>
  <c r="V56" i="15" s="1"/>
  <c r="Q56" i="15"/>
  <c r="T55" i="15"/>
  <c r="V55" i="15" s="1"/>
  <c r="Q55" i="15"/>
  <c r="T54" i="15"/>
  <c r="V54" i="15" s="1"/>
  <c r="Q54" i="15"/>
  <c r="T53" i="15"/>
  <c r="V53" i="15" s="1"/>
  <c r="Q53" i="15"/>
  <c r="T52" i="15"/>
  <c r="V52" i="15" s="1"/>
  <c r="Q52" i="15"/>
  <c r="T51" i="15"/>
  <c r="V51" i="15" s="1"/>
  <c r="Q51" i="15"/>
  <c r="T50" i="15"/>
  <c r="V50" i="15" s="1"/>
  <c r="Q50" i="15"/>
  <c r="T49" i="15"/>
  <c r="V49" i="15" s="1"/>
  <c r="Q49" i="15"/>
  <c r="T48" i="15"/>
  <c r="V48" i="15" s="1"/>
  <c r="Q48" i="15"/>
  <c r="T47" i="15"/>
  <c r="V47" i="15" s="1"/>
  <c r="Q47" i="15"/>
  <c r="T46" i="15"/>
  <c r="V46" i="15" s="1"/>
  <c r="Q46" i="15"/>
  <c r="T45" i="15"/>
  <c r="V45" i="15" s="1"/>
  <c r="Q45" i="15"/>
  <c r="T44" i="15"/>
  <c r="V44" i="15" s="1"/>
  <c r="Q44" i="15"/>
  <c r="T43" i="15"/>
  <c r="V43" i="15" s="1"/>
  <c r="Q43" i="15"/>
  <c r="T42" i="15"/>
  <c r="V42" i="15" s="1"/>
  <c r="Q42" i="15"/>
  <c r="T41" i="15"/>
  <c r="V41" i="15" s="1"/>
  <c r="Q41" i="15"/>
  <c r="T40" i="15"/>
  <c r="V40" i="15" s="1"/>
  <c r="Q40" i="15"/>
  <c r="T39" i="15"/>
  <c r="V39" i="15" s="1"/>
  <c r="Q39" i="15"/>
  <c r="T38" i="15"/>
  <c r="V38" i="15" s="1"/>
  <c r="Q38" i="15"/>
  <c r="T37" i="15"/>
  <c r="V37" i="15" s="1"/>
  <c r="Q37" i="15"/>
  <c r="T36" i="15"/>
  <c r="V36" i="15" s="1"/>
  <c r="Q36" i="15"/>
  <c r="T35" i="15"/>
  <c r="V35" i="15" s="1"/>
  <c r="Q35" i="15"/>
  <c r="T34" i="15"/>
  <c r="V34" i="15" s="1"/>
  <c r="Q34" i="15"/>
  <c r="T33" i="15"/>
  <c r="V33" i="15" s="1"/>
  <c r="Q33" i="15"/>
  <c r="T32" i="15"/>
  <c r="V32" i="15" s="1"/>
  <c r="Q32" i="15"/>
  <c r="T31" i="15"/>
  <c r="V31" i="15" s="1"/>
  <c r="T30" i="15"/>
  <c r="V30" i="15" s="1"/>
  <c r="Q30" i="15"/>
  <c r="T29" i="15"/>
  <c r="V29" i="15" s="1"/>
  <c r="Q29" i="15"/>
  <c r="T28" i="15"/>
  <c r="V28" i="15" s="1"/>
  <c r="Q28" i="15"/>
  <c r="T27" i="15"/>
  <c r="V27" i="15" s="1"/>
  <c r="Q27" i="15"/>
  <c r="T26" i="15"/>
  <c r="V26" i="15" s="1"/>
  <c r="Q26" i="15"/>
  <c r="T25" i="15"/>
  <c r="V25" i="15" s="1"/>
  <c r="Q25" i="15"/>
  <c r="T24" i="15"/>
  <c r="V24" i="15" s="1"/>
  <c r="Q24" i="15"/>
  <c r="T23" i="15"/>
  <c r="V23" i="15" s="1"/>
  <c r="Q23" i="15"/>
  <c r="T22" i="15"/>
  <c r="V22" i="15" s="1"/>
  <c r="Q22" i="15"/>
  <c r="T21" i="15"/>
  <c r="V21" i="15" s="1"/>
  <c r="Q21" i="15"/>
  <c r="T20" i="15"/>
  <c r="V20" i="15" s="1"/>
  <c r="Q20" i="15"/>
  <c r="T19" i="15"/>
  <c r="V19" i="15" s="1"/>
  <c r="Q19" i="15"/>
  <c r="T18" i="15"/>
  <c r="V18" i="15" s="1"/>
  <c r="Q18" i="15"/>
  <c r="T17" i="15"/>
  <c r="V17" i="15" s="1"/>
  <c r="Q17" i="15"/>
  <c r="T16" i="15"/>
  <c r="V16" i="15" s="1"/>
  <c r="Q16" i="15"/>
  <c r="T15" i="15"/>
  <c r="V15" i="15" s="1"/>
  <c r="Q15" i="15"/>
  <c r="T14" i="15"/>
  <c r="V14" i="15" s="1"/>
  <c r="Q14" i="15"/>
  <c r="T13" i="15"/>
  <c r="V13" i="15" s="1"/>
  <c r="Q13" i="15"/>
  <c r="T12" i="15"/>
  <c r="V12" i="15" s="1"/>
  <c r="Q12" i="15"/>
  <c r="T11" i="15"/>
  <c r="V11" i="15" s="1"/>
  <c r="Q11" i="15"/>
  <c r="T10" i="15"/>
  <c r="V10" i="15" s="1"/>
  <c r="Q10" i="15"/>
  <c r="T9" i="15"/>
  <c r="V9" i="15" s="1"/>
  <c r="Q9" i="15"/>
  <c r="T8" i="15"/>
  <c r="V8" i="15" s="1"/>
  <c r="Q8" i="15"/>
  <c r="T7" i="15"/>
  <c r="V7" i="15" s="1"/>
  <c r="Q7" i="15"/>
  <c r="T6" i="15"/>
  <c r="V6" i="15" s="1"/>
  <c r="Q6" i="15"/>
  <c r="T5" i="15"/>
  <c r="V5" i="15" s="1"/>
  <c r="Q5" i="15"/>
  <c r="T4" i="15"/>
  <c r="V4" i="15" s="1"/>
  <c r="Q4" i="15"/>
  <c r="T3" i="15"/>
  <c r="V3" i="15" s="1"/>
  <c r="Q3" i="15"/>
  <c r="T2" i="15"/>
  <c r="V2" i="15" s="1"/>
  <c r="Q2" i="15"/>
  <c r="T130" i="14" l="1"/>
  <c r="V130" i="14" s="1"/>
  <c r="Q130" i="14"/>
  <c r="T129" i="14"/>
  <c r="V129" i="14" s="1"/>
  <c r="Q129" i="14"/>
  <c r="T128" i="14"/>
  <c r="V128" i="14" s="1"/>
  <c r="Q128" i="14"/>
  <c r="T127" i="14"/>
  <c r="V127" i="14" s="1"/>
  <c r="Q127" i="14"/>
  <c r="T126" i="14"/>
  <c r="V126" i="14" s="1"/>
  <c r="Q126" i="14"/>
  <c r="T125" i="14"/>
  <c r="V125" i="14" s="1"/>
  <c r="Q125" i="14"/>
  <c r="T124" i="14"/>
  <c r="V124" i="14" s="1"/>
  <c r="Q124" i="14"/>
  <c r="T123" i="14"/>
  <c r="V123" i="14" s="1"/>
  <c r="Q123" i="14"/>
  <c r="T122" i="14"/>
  <c r="V122" i="14" s="1"/>
  <c r="Q122" i="14"/>
  <c r="T121" i="14"/>
  <c r="V121" i="14" s="1"/>
  <c r="Q121" i="14"/>
  <c r="T120" i="14"/>
  <c r="V120" i="14" s="1"/>
  <c r="Q120" i="14"/>
  <c r="T119" i="14"/>
  <c r="V119" i="14" s="1"/>
  <c r="Q119" i="14"/>
  <c r="T118" i="14"/>
  <c r="V118" i="14" s="1"/>
  <c r="Q118" i="14"/>
  <c r="T117" i="14"/>
  <c r="V117" i="14" s="1"/>
  <c r="Q117" i="14"/>
  <c r="T116" i="14"/>
  <c r="V116" i="14" s="1"/>
  <c r="Q116" i="14"/>
  <c r="T115" i="14"/>
  <c r="V115" i="14" s="1"/>
  <c r="Q115" i="14"/>
  <c r="T114" i="14"/>
  <c r="V114" i="14" s="1"/>
  <c r="Q114" i="14"/>
  <c r="T113" i="14"/>
  <c r="V113" i="14" s="1"/>
  <c r="Q113" i="14"/>
  <c r="T112" i="14"/>
  <c r="V112" i="14" s="1"/>
  <c r="Q112" i="14"/>
  <c r="T111" i="14"/>
  <c r="V111" i="14" s="1"/>
  <c r="Q111" i="14"/>
  <c r="T110" i="14"/>
  <c r="V110" i="14" s="1"/>
  <c r="Q110" i="14"/>
  <c r="T109" i="14"/>
  <c r="V109" i="14" s="1"/>
  <c r="Q109" i="14"/>
  <c r="T108" i="14"/>
  <c r="V108" i="14" s="1"/>
  <c r="Q108" i="14"/>
  <c r="T107" i="14"/>
  <c r="V107" i="14" s="1"/>
  <c r="Q107" i="14"/>
  <c r="T106" i="14"/>
  <c r="V106" i="14" s="1"/>
  <c r="Q106" i="14"/>
  <c r="T105" i="14"/>
  <c r="V105" i="14" s="1"/>
  <c r="Q105" i="14"/>
  <c r="T104" i="14"/>
  <c r="V104" i="14" s="1"/>
  <c r="Q104" i="14"/>
  <c r="T103" i="14"/>
  <c r="V103" i="14" s="1"/>
  <c r="Q103" i="14"/>
  <c r="T102" i="14"/>
  <c r="V102" i="14" s="1"/>
  <c r="Q102" i="14"/>
  <c r="T101" i="14"/>
  <c r="V101" i="14" s="1"/>
  <c r="Q101" i="14"/>
  <c r="T100" i="14"/>
  <c r="V100" i="14" s="1"/>
  <c r="Q100" i="14"/>
  <c r="T99" i="14"/>
  <c r="V99" i="14" s="1"/>
  <c r="Q99" i="14"/>
  <c r="T98" i="14"/>
  <c r="V98" i="14" s="1"/>
  <c r="Q98" i="14"/>
  <c r="T97" i="14"/>
  <c r="V97" i="14" s="1"/>
  <c r="Q97" i="14"/>
  <c r="T96" i="14"/>
  <c r="V96" i="14" s="1"/>
  <c r="Q96" i="14"/>
  <c r="T95" i="14"/>
  <c r="V95" i="14" s="1"/>
  <c r="Q95" i="14"/>
  <c r="T94" i="14"/>
  <c r="V94" i="14" s="1"/>
  <c r="Q94" i="14"/>
  <c r="T93" i="14"/>
  <c r="V93" i="14" s="1"/>
  <c r="Q93" i="14"/>
  <c r="T92" i="14"/>
  <c r="V92" i="14" s="1"/>
  <c r="Q92" i="14"/>
  <c r="T91" i="14"/>
  <c r="V91" i="14" s="1"/>
  <c r="Q91" i="14"/>
  <c r="T90" i="14"/>
  <c r="V90" i="14" s="1"/>
  <c r="Q90" i="14"/>
  <c r="T89" i="14"/>
  <c r="V89" i="14" s="1"/>
  <c r="Q89" i="14"/>
  <c r="T88" i="14"/>
  <c r="V88" i="14" s="1"/>
  <c r="Q88" i="14"/>
  <c r="T87" i="14"/>
  <c r="V87" i="14" s="1"/>
  <c r="Q87" i="14"/>
  <c r="T86" i="14"/>
  <c r="V86" i="14" s="1"/>
  <c r="Q86" i="14"/>
  <c r="T85" i="14"/>
  <c r="V85" i="14" s="1"/>
  <c r="Q85" i="14"/>
  <c r="T84" i="14"/>
  <c r="V84" i="14" s="1"/>
  <c r="Q84" i="14"/>
  <c r="T83" i="14"/>
  <c r="V83" i="14" s="1"/>
  <c r="Q83" i="14"/>
  <c r="T82" i="14"/>
  <c r="V82" i="14" s="1"/>
  <c r="Q82" i="14"/>
  <c r="T81" i="14"/>
  <c r="V81" i="14" s="1"/>
  <c r="Q81" i="14"/>
  <c r="T80" i="14"/>
  <c r="V80" i="14" s="1"/>
  <c r="Q80" i="14"/>
  <c r="T79" i="14"/>
  <c r="V79" i="14" s="1"/>
  <c r="Q79" i="14"/>
  <c r="T78" i="14"/>
  <c r="V78" i="14" s="1"/>
  <c r="Q78" i="14"/>
  <c r="T77" i="14"/>
  <c r="V77" i="14" s="1"/>
  <c r="Q77" i="14"/>
  <c r="T76" i="14"/>
  <c r="V76" i="14" s="1"/>
  <c r="Q76" i="14"/>
  <c r="T75" i="14"/>
  <c r="V75" i="14" s="1"/>
  <c r="Q75" i="14"/>
  <c r="T74" i="14"/>
  <c r="V74" i="14" s="1"/>
  <c r="Q74" i="14"/>
  <c r="T73" i="14"/>
  <c r="V73" i="14" s="1"/>
  <c r="Q73" i="14"/>
  <c r="T72" i="14"/>
  <c r="V72" i="14" s="1"/>
  <c r="Q72" i="14"/>
  <c r="T71" i="14"/>
  <c r="V71" i="14" s="1"/>
  <c r="Q71" i="14"/>
  <c r="T70" i="14"/>
  <c r="V70" i="14" s="1"/>
  <c r="Q70" i="14"/>
  <c r="T69" i="14"/>
  <c r="V69" i="14" s="1"/>
  <c r="Q69" i="14"/>
  <c r="T68" i="14"/>
  <c r="V68" i="14" s="1"/>
  <c r="Q68" i="14"/>
  <c r="T67" i="14"/>
  <c r="V67" i="14" s="1"/>
  <c r="Q67" i="14"/>
  <c r="T66" i="14"/>
  <c r="V66" i="14" s="1"/>
  <c r="Q66" i="14"/>
  <c r="T65" i="14"/>
  <c r="V65" i="14" s="1"/>
  <c r="Q65" i="14"/>
  <c r="T64" i="14"/>
  <c r="V64" i="14" s="1"/>
  <c r="Q64" i="14"/>
  <c r="T63" i="14"/>
  <c r="V63" i="14" s="1"/>
  <c r="Q63" i="14"/>
  <c r="T62" i="14"/>
  <c r="V62" i="14" s="1"/>
  <c r="Q62" i="14"/>
  <c r="T61" i="14"/>
  <c r="V61" i="14" s="1"/>
  <c r="Q61" i="14"/>
  <c r="T60" i="14"/>
  <c r="V60" i="14" s="1"/>
  <c r="Q60" i="14"/>
  <c r="T59" i="14"/>
  <c r="V59" i="14" s="1"/>
  <c r="Q59" i="14"/>
  <c r="T58" i="14"/>
  <c r="V58" i="14" s="1"/>
  <c r="Q58" i="14"/>
  <c r="T57" i="14"/>
  <c r="V57" i="14" s="1"/>
  <c r="Q57" i="14"/>
  <c r="T56" i="14"/>
  <c r="V56" i="14" s="1"/>
  <c r="Q56" i="14"/>
  <c r="T55" i="14"/>
  <c r="V55" i="14" s="1"/>
  <c r="Q55" i="14"/>
  <c r="T54" i="14"/>
  <c r="V54" i="14" s="1"/>
  <c r="Q54" i="14"/>
  <c r="T53" i="14"/>
  <c r="V53" i="14" s="1"/>
  <c r="Q53" i="14"/>
  <c r="T52" i="14"/>
  <c r="V52" i="14" s="1"/>
  <c r="Q52" i="14"/>
  <c r="T51" i="14"/>
  <c r="V51" i="14" s="1"/>
  <c r="Q51" i="14"/>
  <c r="T50" i="14"/>
  <c r="V50" i="14" s="1"/>
  <c r="Q50" i="14"/>
  <c r="T49" i="14"/>
  <c r="V49" i="14" s="1"/>
  <c r="Q49" i="14"/>
  <c r="T48" i="14"/>
  <c r="V48" i="14" s="1"/>
  <c r="Q48" i="14"/>
  <c r="T47" i="14"/>
  <c r="V47" i="14" s="1"/>
  <c r="Q47" i="14"/>
  <c r="T46" i="14"/>
  <c r="V46" i="14" s="1"/>
  <c r="Q46" i="14"/>
  <c r="T45" i="14"/>
  <c r="V45" i="14" s="1"/>
  <c r="Q45" i="14"/>
  <c r="T44" i="14"/>
  <c r="V44" i="14" s="1"/>
  <c r="Q44" i="14"/>
  <c r="T43" i="14"/>
  <c r="V43" i="14" s="1"/>
  <c r="Q43" i="14"/>
  <c r="T42" i="14"/>
  <c r="V42" i="14" s="1"/>
  <c r="Q42" i="14"/>
  <c r="T41" i="14"/>
  <c r="V41" i="14" s="1"/>
  <c r="Q41" i="14"/>
  <c r="T40" i="14"/>
  <c r="V40" i="14" s="1"/>
  <c r="Q40" i="14"/>
  <c r="T39" i="14"/>
  <c r="V39" i="14" s="1"/>
  <c r="Q39" i="14"/>
  <c r="T38" i="14"/>
  <c r="V38" i="14" s="1"/>
  <c r="Q38" i="14"/>
  <c r="T37" i="14"/>
  <c r="V37" i="14" s="1"/>
  <c r="Q37" i="14"/>
  <c r="T36" i="14"/>
  <c r="V36" i="14" s="1"/>
  <c r="Q36" i="14"/>
  <c r="T35" i="14"/>
  <c r="V35" i="14" s="1"/>
  <c r="Q35" i="14"/>
  <c r="T34" i="14"/>
  <c r="V34" i="14" s="1"/>
  <c r="Q34" i="14"/>
  <c r="T33" i="14"/>
  <c r="V33" i="14" s="1"/>
  <c r="Q33" i="14"/>
  <c r="T32" i="14"/>
  <c r="V32" i="14" s="1"/>
  <c r="Q32" i="14"/>
  <c r="T31" i="14"/>
  <c r="V31" i="14" s="1"/>
  <c r="Q31" i="14"/>
  <c r="T30" i="14"/>
  <c r="V30" i="14" s="1"/>
  <c r="Q30" i="14"/>
  <c r="T29" i="14"/>
  <c r="V29" i="14" s="1"/>
  <c r="Q29" i="14"/>
  <c r="T28" i="14"/>
  <c r="V28" i="14" s="1"/>
  <c r="Q28" i="14"/>
  <c r="T27" i="14"/>
  <c r="V27" i="14" s="1"/>
  <c r="Q27" i="14"/>
  <c r="T26" i="14"/>
  <c r="V26" i="14" s="1"/>
  <c r="Q26" i="14"/>
  <c r="T25" i="14"/>
  <c r="V25" i="14" s="1"/>
  <c r="Q25" i="14"/>
  <c r="T24" i="14"/>
  <c r="V24" i="14" s="1"/>
  <c r="Q24" i="14"/>
  <c r="T23" i="14"/>
  <c r="V23" i="14" s="1"/>
  <c r="Q23" i="14"/>
  <c r="T22" i="14"/>
  <c r="V22" i="14" s="1"/>
  <c r="Q22" i="14"/>
  <c r="T21" i="14"/>
  <c r="V21" i="14" s="1"/>
  <c r="Q21" i="14"/>
  <c r="T20" i="14"/>
  <c r="V20" i="14" s="1"/>
  <c r="Q20" i="14"/>
  <c r="T19" i="14"/>
  <c r="V19" i="14" s="1"/>
  <c r="Q19" i="14"/>
  <c r="T18" i="14"/>
  <c r="V18" i="14" s="1"/>
  <c r="Q18" i="14"/>
  <c r="T17" i="14"/>
  <c r="V17" i="14" s="1"/>
  <c r="Q17" i="14"/>
  <c r="T16" i="14"/>
  <c r="V16" i="14" s="1"/>
  <c r="Q16" i="14"/>
  <c r="T15" i="14"/>
  <c r="V15" i="14" s="1"/>
  <c r="Q15" i="14"/>
  <c r="T14" i="14"/>
  <c r="V14" i="14" s="1"/>
  <c r="Q14" i="14"/>
  <c r="T13" i="14"/>
  <c r="V13" i="14" s="1"/>
  <c r="Q13" i="14"/>
  <c r="T12" i="14"/>
  <c r="V12" i="14" s="1"/>
  <c r="Q12" i="14"/>
  <c r="T11" i="14"/>
  <c r="V11" i="14" s="1"/>
  <c r="Q11" i="14"/>
  <c r="T10" i="14"/>
  <c r="V10" i="14" s="1"/>
  <c r="Q10" i="14"/>
  <c r="T9" i="14"/>
  <c r="V9" i="14" s="1"/>
  <c r="Q9" i="14"/>
  <c r="T8" i="14"/>
  <c r="V8" i="14" s="1"/>
  <c r="Q8" i="14"/>
  <c r="T7" i="14"/>
  <c r="V7" i="14" s="1"/>
  <c r="Q7" i="14"/>
  <c r="T6" i="14"/>
  <c r="V6" i="14" s="1"/>
  <c r="Q6" i="14"/>
  <c r="T5" i="14"/>
  <c r="V5" i="14" s="1"/>
  <c r="Q5" i="14"/>
  <c r="T4" i="14"/>
  <c r="V4" i="14" s="1"/>
  <c r="Q4" i="14"/>
  <c r="T3" i="14"/>
  <c r="V3" i="14" s="1"/>
  <c r="Q3" i="14"/>
  <c r="T2" i="14"/>
  <c r="V2" i="14" s="1"/>
  <c r="Q2" i="14"/>
  <c r="V152" i="13" l="1"/>
  <c r="T152" i="13"/>
  <c r="Q152" i="13"/>
  <c r="V151" i="13"/>
  <c r="T151" i="13"/>
  <c r="Q151" i="13"/>
  <c r="V150" i="13"/>
  <c r="T150" i="13"/>
  <c r="Q150" i="13"/>
  <c r="V149" i="13"/>
  <c r="T149" i="13"/>
  <c r="Q149" i="13"/>
  <c r="V148" i="13"/>
  <c r="T148" i="13"/>
  <c r="Q148" i="13"/>
  <c r="V147" i="13"/>
  <c r="T147" i="13"/>
  <c r="Q147" i="13"/>
  <c r="V146" i="13"/>
  <c r="T146" i="13"/>
  <c r="Q146" i="13"/>
  <c r="V145" i="13"/>
  <c r="T145" i="13"/>
  <c r="Q145" i="13"/>
  <c r="V144" i="13"/>
  <c r="T144" i="13"/>
  <c r="Q144" i="13"/>
  <c r="V143" i="13"/>
  <c r="T143" i="13"/>
  <c r="Q143" i="13"/>
  <c r="V142" i="13"/>
  <c r="T142" i="13"/>
  <c r="Q142" i="13"/>
  <c r="V141" i="13"/>
  <c r="T141" i="13"/>
  <c r="Q141" i="13"/>
  <c r="V140" i="13"/>
  <c r="T140" i="13"/>
  <c r="Q140" i="13"/>
  <c r="V139" i="13"/>
  <c r="T139" i="13"/>
  <c r="Q139" i="13"/>
  <c r="V138" i="13"/>
  <c r="T138" i="13"/>
  <c r="Q138" i="13"/>
  <c r="V137" i="13"/>
  <c r="T137" i="13"/>
  <c r="Q137" i="13"/>
  <c r="V136" i="13"/>
  <c r="T136" i="13"/>
  <c r="Q136" i="13"/>
  <c r="V135" i="13"/>
  <c r="T135" i="13"/>
  <c r="Q135" i="13"/>
  <c r="V134" i="13"/>
  <c r="T134" i="13"/>
  <c r="Q134" i="13"/>
  <c r="V133" i="13"/>
  <c r="T133" i="13"/>
  <c r="Q133" i="13"/>
  <c r="V132" i="13"/>
  <c r="T132" i="13"/>
  <c r="Q132" i="13"/>
  <c r="V131" i="13"/>
  <c r="T131" i="13"/>
  <c r="Q131" i="13"/>
  <c r="V130" i="13"/>
  <c r="T130" i="13"/>
  <c r="Q130" i="13"/>
  <c r="V129" i="13"/>
  <c r="T129" i="13"/>
  <c r="Q129" i="13"/>
  <c r="V128" i="13"/>
  <c r="T128" i="13"/>
  <c r="Q128" i="13"/>
  <c r="V127" i="13"/>
  <c r="T127" i="13"/>
  <c r="Q127" i="13"/>
  <c r="V126" i="13"/>
  <c r="T126" i="13"/>
  <c r="Q126" i="13"/>
  <c r="V125" i="13"/>
  <c r="T125" i="13"/>
  <c r="Q125" i="13"/>
  <c r="V124" i="13"/>
  <c r="T124" i="13"/>
  <c r="Q124" i="13"/>
  <c r="V123" i="13"/>
  <c r="T123" i="13"/>
  <c r="Q123" i="13"/>
  <c r="V122" i="13"/>
  <c r="T122" i="13"/>
  <c r="Q122" i="13"/>
  <c r="V121" i="13"/>
  <c r="T121" i="13"/>
  <c r="Q121" i="13"/>
  <c r="V120" i="13"/>
  <c r="T120" i="13"/>
  <c r="Q120" i="13"/>
  <c r="V119" i="13"/>
  <c r="T119" i="13"/>
  <c r="Q119" i="13"/>
  <c r="V115" i="13"/>
  <c r="T115" i="13"/>
  <c r="Q115" i="13"/>
  <c r="V114" i="13"/>
  <c r="T114" i="13"/>
  <c r="Q114" i="13"/>
  <c r="V113" i="13"/>
  <c r="T113" i="13"/>
  <c r="Q113" i="13"/>
  <c r="V112" i="13"/>
  <c r="T112" i="13"/>
  <c r="Q112" i="13"/>
  <c r="V111" i="13"/>
  <c r="T111" i="13"/>
  <c r="Q111" i="13"/>
  <c r="V110" i="13"/>
  <c r="T110" i="13"/>
  <c r="Q110" i="13"/>
  <c r="V109" i="13"/>
  <c r="T109" i="13"/>
  <c r="Q109" i="13"/>
  <c r="V108" i="13"/>
  <c r="T108" i="13"/>
  <c r="Q108" i="13"/>
  <c r="V107" i="13"/>
  <c r="T107" i="13"/>
  <c r="Q107" i="13"/>
  <c r="V106" i="13"/>
  <c r="T106" i="13"/>
  <c r="Q106" i="13"/>
  <c r="V105" i="13"/>
  <c r="T105" i="13"/>
  <c r="Q105" i="13"/>
  <c r="V104" i="13"/>
  <c r="T104" i="13"/>
  <c r="Q104" i="13"/>
  <c r="V103" i="13"/>
  <c r="T103" i="13"/>
  <c r="Q103" i="13"/>
  <c r="V102" i="13"/>
  <c r="T102" i="13"/>
  <c r="Q102" i="13"/>
  <c r="V101" i="13"/>
  <c r="T101" i="13"/>
  <c r="Q101" i="13"/>
  <c r="V100" i="13"/>
  <c r="T100" i="13"/>
  <c r="Q100" i="13"/>
  <c r="V99" i="13"/>
  <c r="T99" i="13"/>
  <c r="Q99" i="13"/>
  <c r="V98" i="13"/>
  <c r="T98" i="13"/>
  <c r="Q98" i="13"/>
  <c r="V97" i="13"/>
  <c r="T97" i="13"/>
  <c r="Q97" i="13"/>
  <c r="V96" i="13"/>
  <c r="T96" i="13"/>
  <c r="Q96" i="13"/>
  <c r="V95" i="13"/>
  <c r="T95" i="13"/>
  <c r="Q95" i="13"/>
  <c r="V94" i="13"/>
  <c r="T94" i="13"/>
  <c r="Q94" i="13"/>
  <c r="V93" i="13"/>
  <c r="T93" i="13"/>
  <c r="Q93" i="13"/>
  <c r="V92" i="13"/>
  <c r="T92" i="13"/>
  <c r="Q92" i="13"/>
  <c r="V91" i="13"/>
  <c r="T91" i="13"/>
  <c r="Q91" i="13"/>
  <c r="V90" i="13"/>
  <c r="T90" i="13"/>
  <c r="Q90" i="13"/>
  <c r="V89" i="13"/>
  <c r="T89" i="13"/>
  <c r="Q89" i="13"/>
  <c r="V88" i="13"/>
  <c r="T88" i="13"/>
  <c r="Q88" i="13"/>
  <c r="V87" i="13"/>
  <c r="T87" i="13"/>
  <c r="Q87" i="13"/>
  <c r="V86" i="13"/>
  <c r="T86" i="13"/>
  <c r="Q86" i="13"/>
  <c r="V85" i="13"/>
  <c r="T85" i="13"/>
  <c r="Q85" i="13"/>
  <c r="V84" i="13"/>
  <c r="T84" i="13"/>
  <c r="Q84" i="13"/>
  <c r="V83" i="13"/>
  <c r="T83" i="13"/>
  <c r="Q83" i="13"/>
  <c r="V82" i="13"/>
  <c r="T82" i="13"/>
  <c r="Q82" i="13"/>
  <c r="V81" i="13"/>
  <c r="T81" i="13"/>
  <c r="Q81" i="13"/>
  <c r="V80" i="13"/>
  <c r="T80" i="13"/>
  <c r="Q80" i="13"/>
  <c r="V79" i="13"/>
  <c r="T79" i="13"/>
  <c r="Q79" i="13"/>
  <c r="V78" i="13"/>
  <c r="T78" i="13"/>
  <c r="Q78" i="13"/>
  <c r="V77" i="13"/>
  <c r="T77" i="13"/>
  <c r="Q77" i="13"/>
  <c r="V76" i="13"/>
  <c r="T76" i="13"/>
  <c r="Q76" i="13"/>
  <c r="V75" i="13"/>
  <c r="T75" i="13"/>
  <c r="Q75" i="13"/>
  <c r="V74" i="13"/>
  <c r="T74" i="13"/>
  <c r="Q74" i="13"/>
  <c r="V73" i="13"/>
  <c r="T73" i="13"/>
  <c r="Q73" i="13"/>
  <c r="V72" i="13"/>
  <c r="T72" i="13"/>
  <c r="Q72" i="13"/>
  <c r="V71" i="13"/>
  <c r="T71" i="13"/>
  <c r="Q71" i="13"/>
  <c r="V70" i="13"/>
  <c r="T70" i="13"/>
  <c r="Q70" i="13"/>
  <c r="V69" i="13"/>
  <c r="T69" i="13"/>
  <c r="Q69" i="13"/>
  <c r="V68" i="13"/>
  <c r="T68" i="13"/>
  <c r="Q68" i="13"/>
  <c r="V67" i="13"/>
  <c r="T67" i="13"/>
  <c r="Q67" i="13"/>
  <c r="V66" i="13"/>
  <c r="T66" i="13"/>
  <c r="Q66" i="13"/>
  <c r="V65" i="13"/>
  <c r="T65" i="13"/>
  <c r="Q65" i="13"/>
  <c r="V64" i="13"/>
  <c r="T64" i="13"/>
  <c r="Q64" i="13"/>
  <c r="V63" i="13"/>
  <c r="T63" i="13"/>
  <c r="Q63" i="13"/>
  <c r="V62" i="13"/>
  <c r="T62" i="13"/>
  <c r="Q62" i="13"/>
  <c r="V61" i="13"/>
  <c r="T61" i="13"/>
  <c r="Q61" i="13"/>
  <c r="V60" i="13"/>
  <c r="T60" i="13"/>
  <c r="Q60" i="13"/>
  <c r="V59" i="13"/>
  <c r="T59" i="13"/>
  <c r="Q59" i="13"/>
  <c r="V58" i="13"/>
  <c r="T58" i="13"/>
  <c r="Q58" i="13"/>
  <c r="V57" i="13"/>
  <c r="T57" i="13"/>
  <c r="Q57" i="13"/>
  <c r="V56" i="13"/>
  <c r="T56" i="13"/>
  <c r="Q56" i="13"/>
  <c r="V55" i="13"/>
  <c r="T55" i="13"/>
  <c r="Q55" i="13"/>
  <c r="V54" i="13"/>
  <c r="T54" i="13"/>
  <c r="Q54" i="13"/>
  <c r="V53" i="13"/>
  <c r="T53" i="13"/>
  <c r="Q53" i="13"/>
  <c r="V52" i="13"/>
  <c r="T52" i="13"/>
  <c r="Q52" i="13"/>
  <c r="V51" i="13"/>
  <c r="T51" i="13"/>
  <c r="Q51" i="13"/>
  <c r="V50" i="13"/>
  <c r="T50" i="13"/>
  <c r="Q50" i="13"/>
  <c r="V49" i="13"/>
  <c r="T49" i="13"/>
  <c r="Q49" i="13"/>
  <c r="V48" i="13"/>
  <c r="T48" i="13"/>
  <c r="Q48" i="13"/>
  <c r="V47" i="13"/>
  <c r="T47" i="13"/>
  <c r="Q47" i="13"/>
  <c r="V46" i="13"/>
  <c r="T46" i="13"/>
  <c r="Q46" i="13"/>
  <c r="V45" i="13"/>
  <c r="T45" i="13"/>
  <c r="Q45" i="13"/>
  <c r="V44" i="13"/>
  <c r="T44" i="13"/>
  <c r="Q44" i="13"/>
  <c r="V43" i="13"/>
  <c r="T43" i="13"/>
  <c r="Q43" i="13"/>
  <c r="V42" i="13"/>
  <c r="T42" i="13"/>
  <c r="Q42" i="13"/>
  <c r="V41" i="13"/>
  <c r="T41" i="13"/>
  <c r="Q41" i="13"/>
  <c r="V40" i="13"/>
  <c r="T40" i="13"/>
  <c r="Q40" i="13"/>
  <c r="V39" i="13"/>
  <c r="T39" i="13"/>
  <c r="Q39" i="13"/>
  <c r="V38" i="13"/>
  <c r="T38" i="13"/>
  <c r="Q38" i="13"/>
  <c r="V37" i="13"/>
  <c r="T37" i="13"/>
  <c r="Q37" i="13"/>
  <c r="V36" i="13"/>
  <c r="T36" i="13"/>
  <c r="Q36" i="13"/>
  <c r="V35" i="13"/>
  <c r="T35" i="13"/>
  <c r="Q35" i="13"/>
  <c r="V34" i="13"/>
  <c r="T34" i="13"/>
  <c r="Q34" i="13"/>
  <c r="V33" i="13"/>
  <c r="T33" i="13"/>
  <c r="Q33" i="13"/>
  <c r="V32" i="13"/>
  <c r="T32" i="13"/>
  <c r="Q32" i="13"/>
  <c r="V31" i="13"/>
  <c r="T31" i="13"/>
  <c r="Q31" i="13"/>
  <c r="V30" i="13"/>
  <c r="T30" i="13"/>
  <c r="Q30" i="13"/>
  <c r="V29" i="13"/>
  <c r="T29" i="13"/>
  <c r="Q29" i="13"/>
  <c r="V28" i="13"/>
  <c r="T28" i="13"/>
  <c r="Q28" i="13"/>
  <c r="V27" i="13"/>
  <c r="T27" i="13"/>
  <c r="Q27" i="13"/>
  <c r="V26" i="13"/>
  <c r="T26" i="13"/>
  <c r="Q26" i="13"/>
  <c r="V25" i="13"/>
  <c r="T25" i="13"/>
  <c r="Q25" i="13"/>
  <c r="V24" i="13"/>
  <c r="T24" i="13"/>
  <c r="Q24" i="13"/>
  <c r="V23" i="13"/>
  <c r="T23" i="13"/>
  <c r="Q23" i="13"/>
  <c r="V22" i="13"/>
  <c r="T22" i="13"/>
  <c r="Q22" i="13"/>
  <c r="V21" i="13"/>
  <c r="T21" i="13"/>
  <c r="Q21" i="13"/>
  <c r="V20" i="13"/>
  <c r="T20" i="13"/>
  <c r="Q20" i="13"/>
  <c r="V19" i="13"/>
  <c r="T19" i="13"/>
  <c r="Q19" i="13"/>
  <c r="V18" i="13"/>
  <c r="T18" i="13"/>
  <c r="Q18" i="13"/>
  <c r="V17" i="13"/>
  <c r="T17" i="13"/>
  <c r="Q17" i="13"/>
  <c r="V16" i="13"/>
  <c r="T16" i="13"/>
  <c r="Q16" i="13"/>
  <c r="V15" i="13"/>
  <c r="T15" i="13"/>
  <c r="Q15" i="13"/>
  <c r="V14" i="13"/>
  <c r="T14" i="13"/>
  <c r="Q14" i="13"/>
  <c r="V13" i="13"/>
  <c r="T13" i="13"/>
  <c r="Q13" i="13"/>
  <c r="V12" i="13"/>
  <c r="T12" i="13"/>
  <c r="Q12" i="13"/>
  <c r="V11" i="13"/>
  <c r="T11" i="13"/>
  <c r="Q11" i="13"/>
  <c r="V10" i="13"/>
  <c r="T10" i="13"/>
  <c r="Q10" i="13"/>
  <c r="V9" i="13"/>
  <c r="T9" i="13"/>
  <c r="Q9" i="13"/>
  <c r="V8" i="13"/>
  <c r="T8" i="13"/>
  <c r="Q8" i="13"/>
  <c r="V7" i="13"/>
  <c r="T7" i="13"/>
  <c r="Q7" i="13"/>
  <c r="V6" i="13"/>
  <c r="T6" i="13"/>
  <c r="Q6" i="13"/>
  <c r="V5" i="13"/>
  <c r="T5" i="13"/>
  <c r="Q5" i="13"/>
  <c r="V4" i="13"/>
  <c r="T4" i="13"/>
  <c r="Q4" i="13"/>
  <c r="V3" i="13"/>
  <c r="T3" i="13"/>
  <c r="Q3" i="13"/>
  <c r="V2" i="13"/>
  <c r="T2" i="13"/>
  <c r="Q2" i="13"/>
  <c r="T154" i="12" l="1"/>
  <c r="V154" i="12" s="1"/>
  <c r="Q154" i="12"/>
  <c r="T153" i="12"/>
  <c r="V153" i="12" s="1"/>
  <c r="Q153" i="12"/>
  <c r="T152" i="12"/>
  <c r="V152" i="12" s="1"/>
  <c r="Q152" i="12"/>
  <c r="T151" i="12"/>
  <c r="V151" i="12" s="1"/>
  <c r="Q151" i="12"/>
  <c r="T150" i="12"/>
  <c r="V150" i="12" s="1"/>
  <c r="Q150" i="12"/>
  <c r="T149" i="12"/>
  <c r="V149" i="12" s="1"/>
  <c r="Q149" i="12"/>
  <c r="T148" i="12"/>
  <c r="V148" i="12" s="1"/>
  <c r="Q148" i="12"/>
  <c r="T147" i="12"/>
  <c r="V147" i="12" s="1"/>
  <c r="Q147" i="12"/>
  <c r="T146" i="12"/>
  <c r="V146" i="12" s="1"/>
  <c r="Q146" i="12"/>
  <c r="T145" i="12"/>
  <c r="V145" i="12" s="1"/>
  <c r="Q145" i="12"/>
  <c r="T144" i="12"/>
  <c r="V144" i="12" s="1"/>
  <c r="Q144" i="12"/>
  <c r="T143" i="12"/>
  <c r="V143" i="12" s="1"/>
  <c r="Q143" i="12"/>
  <c r="T142" i="12"/>
  <c r="V142" i="12" s="1"/>
  <c r="Q142" i="12"/>
  <c r="T141" i="12"/>
  <c r="V141" i="12" s="1"/>
  <c r="Q141" i="12"/>
  <c r="T140" i="12"/>
  <c r="V140" i="12" s="1"/>
  <c r="Q140" i="12"/>
  <c r="T139" i="12"/>
  <c r="V139" i="12" s="1"/>
  <c r="Q139" i="12"/>
  <c r="T138" i="12"/>
  <c r="V138" i="12" s="1"/>
  <c r="Q138" i="12"/>
  <c r="T137" i="12"/>
  <c r="V137" i="12" s="1"/>
  <c r="Q137" i="12"/>
  <c r="T136" i="12"/>
  <c r="V136" i="12" s="1"/>
  <c r="Q136" i="12"/>
  <c r="T135" i="12"/>
  <c r="V135" i="12" s="1"/>
  <c r="Q135" i="12"/>
  <c r="T134" i="12"/>
  <c r="V134" i="12" s="1"/>
  <c r="Q134" i="12"/>
  <c r="T133" i="12"/>
  <c r="V133" i="12" s="1"/>
  <c r="Q133" i="12"/>
  <c r="T132" i="12"/>
  <c r="V132" i="12" s="1"/>
  <c r="Q132" i="12"/>
  <c r="T131" i="12"/>
  <c r="V131" i="12" s="1"/>
  <c r="Q131" i="12"/>
  <c r="T130" i="12"/>
  <c r="V130" i="12" s="1"/>
  <c r="Q130" i="12"/>
  <c r="T129" i="12"/>
  <c r="V129" i="12" s="1"/>
  <c r="Q129" i="12"/>
  <c r="T128" i="12"/>
  <c r="V128" i="12" s="1"/>
  <c r="Q128" i="12"/>
  <c r="T127" i="12"/>
  <c r="V127" i="12" s="1"/>
  <c r="Q127" i="12"/>
  <c r="T126" i="12"/>
  <c r="V126" i="12" s="1"/>
  <c r="Q126" i="12"/>
  <c r="T125" i="12"/>
  <c r="V125" i="12" s="1"/>
  <c r="Q125" i="12"/>
  <c r="T124" i="12"/>
  <c r="V124" i="12" s="1"/>
  <c r="Q124" i="12"/>
  <c r="T123" i="12"/>
  <c r="V123" i="12" s="1"/>
  <c r="Q123" i="12"/>
  <c r="T122" i="12"/>
  <c r="V122" i="12" s="1"/>
  <c r="Q122" i="12"/>
  <c r="T121" i="12"/>
  <c r="V121" i="12" s="1"/>
  <c r="Q121" i="12"/>
  <c r="T120" i="12"/>
  <c r="V120" i="12" s="1"/>
  <c r="Q120" i="12"/>
  <c r="T119" i="12"/>
  <c r="V119" i="12" s="1"/>
  <c r="Q119" i="12"/>
  <c r="T118" i="12"/>
  <c r="V118" i="12" s="1"/>
  <c r="Q118" i="12"/>
  <c r="T117" i="12"/>
  <c r="V117" i="12" s="1"/>
  <c r="Q117" i="12"/>
  <c r="T116" i="12"/>
  <c r="V116" i="12" s="1"/>
  <c r="Q116" i="12"/>
  <c r="T115" i="12"/>
  <c r="V115" i="12" s="1"/>
  <c r="Q115" i="12"/>
  <c r="T114" i="12"/>
  <c r="V114" i="12" s="1"/>
  <c r="Q114" i="12"/>
  <c r="T113" i="12"/>
  <c r="V113" i="12" s="1"/>
  <c r="Q113" i="12"/>
  <c r="T112" i="12"/>
  <c r="V112" i="12" s="1"/>
  <c r="Q112" i="12"/>
  <c r="T111" i="12"/>
  <c r="V111" i="12" s="1"/>
  <c r="Q111" i="12"/>
  <c r="T110" i="12"/>
  <c r="V110" i="12" s="1"/>
  <c r="Q110" i="12"/>
  <c r="T109" i="12"/>
  <c r="V109" i="12" s="1"/>
  <c r="Q109" i="12"/>
  <c r="T108" i="12"/>
  <c r="V108" i="12" s="1"/>
  <c r="Q108" i="12"/>
  <c r="T107" i="12"/>
  <c r="V107" i="12" s="1"/>
  <c r="Q107" i="12"/>
  <c r="T106" i="12"/>
  <c r="V106" i="12" s="1"/>
  <c r="Q106" i="12"/>
  <c r="T105" i="12"/>
  <c r="V105" i="12" s="1"/>
  <c r="Q105" i="12"/>
  <c r="T104" i="12"/>
  <c r="V104" i="12" s="1"/>
  <c r="Q104" i="12"/>
  <c r="T103" i="12"/>
  <c r="V103" i="12" s="1"/>
  <c r="Q103" i="12"/>
  <c r="T102" i="12"/>
  <c r="V102" i="12" s="1"/>
  <c r="Q102" i="12"/>
  <c r="T101" i="12"/>
  <c r="V101" i="12" s="1"/>
  <c r="Q101" i="12"/>
  <c r="T100" i="12"/>
  <c r="V100" i="12" s="1"/>
  <c r="Q100" i="12"/>
  <c r="T99" i="12"/>
  <c r="V99" i="12" s="1"/>
  <c r="Q99" i="12"/>
  <c r="T98" i="12"/>
  <c r="V98" i="12" s="1"/>
  <c r="Q98" i="12"/>
  <c r="T97" i="12"/>
  <c r="V97" i="12" s="1"/>
  <c r="Q97" i="12"/>
  <c r="T96" i="12"/>
  <c r="V96" i="12" s="1"/>
  <c r="Q96" i="12"/>
  <c r="T95" i="12"/>
  <c r="V95" i="12" s="1"/>
  <c r="Q95" i="12"/>
  <c r="T94" i="12"/>
  <c r="V94" i="12" s="1"/>
  <c r="Q94" i="12"/>
  <c r="T93" i="12"/>
  <c r="V93" i="12" s="1"/>
  <c r="Q93" i="12"/>
  <c r="T92" i="12"/>
  <c r="V92" i="12" s="1"/>
  <c r="Q92" i="12"/>
  <c r="T91" i="12"/>
  <c r="V91" i="12" s="1"/>
  <c r="Q91" i="12"/>
  <c r="T90" i="12"/>
  <c r="V90" i="12" s="1"/>
  <c r="Q90" i="12"/>
  <c r="T89" i="12"/>
  <c r="V89" i="12" s="1"/>
  <c r="Q89" i="12"/>
  <c r="T88" i="12"/>
  <c r="V88" i="12" s="1"/>
  <c r="Q88" i="12"/>
  <c r="T87" i="12"/>
  <c r="V87" i="12" s="1"/>
  <c r="Q87" i="12"/>
  <c r="T86" i="12"/>
  <c r="V86" i="12" s="1"/>
  <c r="Q86" i="12"/>
  <c r="T85" i="12"/>
  <c r="V85" i="12" s="1"/>
  <c r="Q85" i="12"/>
  <c r="T84" i="12"/>
  <c r="V84" i="12" s="1"/>
  <c r="Q84" i="12"/>
  <c r="T83" i="12"/>
  <c r="V83" i="12" s="1"/>
  <c r="Q83" i="12"/>
  <c r="T82" i="12"/>
  <c r="V82" i="12" s="1"/>
  <c r="Q82" i="12"/>
  <c r="T81" i="12"/>
  <c r="V81" i="12" s="1"/>
  <c r="Q81" i="12"/>
  <c r="T80" i="12"/>
  <c r="V80" i="12" s="1"/>
  <c r="Q80" i="12"/>
  <c r="T79" i="12"/>
  <c r="V79" i="12" s="1"/>
  <c r="Q79" i="12"/>
  <c r="T78" i="12"/>
  <c r="V78" i="12" s="1"/>
  <c r="Q78" i="12"/>
  <c r="T77" i="12"/>
  <c r="V77" i="12" s="1"/>
  <c r="Q77" i="12"/>
  <c r="T76" i="12"/>
  <c r="V76" i="12" s="1"/>
  <c r="Q76" i="12"/>
  <c r="T75" i="12"/>
  <c r="V75" i="12" s="1"/>
  <c r="Q75" i="12"/>
  <c r="T74" i="12"/>
  <c r="V74" i="12" s="1"/>
  <c r="Q74" i="12"/>
  <c r="T73" i="12"/>
  <c r="V73" i="12" s="1"/>
  <c r="Q73" i="12"/>
  <c r="T72" i="12"/>
  <c r="V72" i="12" s="1"/>
  <c r="Q72" i="12"/>
  <c r="T71" i="12"/>
  <c r="V71" i="12" s="1"/>
  <c r="Q71" i="12"/>
  <c r="T70" i="12"/>
  <c r="V70" i="12" s="1"/>
  <c r="Q70" i="12"/>
  <c r="T69" i="12"/>
  <c r="V69" i="12" s="1"/>
  <c r="Q69" i="12"/>
  <c r="T68" i="12"/>
  <c r="V68" i="12" s="1"/>
  <c r="Q68" i="12"/>
  <c r="T67" i="12"/>
  <c r="V67" i="12" s="1"/>
  <c r="Q67" i="12"/>
  <c r="T66" i="12"/>
  <c r="V66" i="12" s="1"/>
  <c r="Q66" i="12"/>
  <c r="T65" i="12"/>
  <c r="V65" i="12" s="1"/>
  <c r="Q65" i="12"/>
  <c r="T64" i="12"/>
  <c r="V64" i="12" s="1"/>
  <c r="Q64" i="12"/>
  <c r="T63" i="12"/>
  <c r="V63" i="12" s="1"/>
  <c r="Q63" i="12"/>
  <c r="T62" i="12"/>
  <c r="V62" i="12" s="1"/>
  <c r="Q62" i="12"/>
  <c r="T61" i="12"/>
  <c r="V61" i="12" s="1"/>
  <c r="Q61" i="12"/>
  <c r="T60" i="12"/>
  <c r="V60" i="12" s="1"/>
  <c r="Q60" i="12"/>
  <c r="T59" i="12"/>
  <c r="V59" i="12" s="1"/>
  <c r="Q59" i="12"/>
  <c r="T58" i="12"/>
  <c r="V58" i="12" s="1"/>
  <c r="Q58" i="12"/>
  <c r="T57" i="12"/>
  <c r="V57" i="12" s="1"/>
  <c r="Q57" i="12"/>
  <c r="T56" i="12"/>
  <c r="V56" i="12" s="1"/>
  <c r="Q56" i="12"/>
  <c r="T55" i="12"/>
  <c r="V55" i="12" s="1"/>
  <c r="Q55" i="12"/>
  <c r="T54" i="12"/>
  <c r="V54" i="12" s="1"/>
  <c r="Q54" i="12"/>
  <c r="T53" i="12"/>
  <c r="V53" i="12" s="1"/>
  <c r="Q53" i="12"/>
  <c r="T52" i="12"/>
  <c r="V52" i="12" s="1"/>
  <c r="Q52" i="12"/>
  <c r="T51" i="12"/>
  <c r="V51" i="12" s="1"/>
  <c r="Q51" i="12"/>
  <c r="T50" i="12"/>
  <c r="V50" i="12" s="1"/>
  <c r="Q50" i="12"/>
  <c r="T49" i="12"/>
  <c r="V49" i="12" s="1"/>
  <c r="Q49" i="12"/>
  <c r="T48" i="12"/>
  <c r="V48" i="12" s="1"/>
  <c r="Q48" i="12"/>
  <c r="T47" i="12"/>
  <c r="V47" i="12" s="1"/>
  <c r="Q47" i="12"/>
  <c r="T46" i="12"/>
  <c r="V46" i="12" s="1"/>
  <c r="Q46" i="12"/>
  <c r="T45" i="12"/>
  <c r="V45" i="12" s="1"/>
  <c r="Q45" i="12"/>
  <c r="T44" i="12"/>
  <c r="V44" i="12" s="1"/>
  <c r="Q44" i="12"/>
  <c r="T43" i="12"/>
  <c r="V43" i="12" s="1"/>
  <c r="Q43" i="12"/>
  <c r="T42" i="12"/>
  <c r="V42" i="12" s="1"/>
  <c r="Q42" i="12"/>
  <c r="T41" i="12"/>
  <c r="V41" i="12" s="1"/>
  <c r="Q41" i="12"/>
  <c r="T40" i="12"/>
  <c r="V40" i="12" s="1"/>
  <c r="Q40" i="12"/>
  <c r="T39" i="12"/>
  <c r="V39" i="12" s="1"/>
  <c r="Q39" i="12"/>
  <c r="T38" i="12"/>
  <c r="V38" i="12" s="1"/>
  <c r="Q38" i="12"/>
  <c r="T37" i="12"/>
  <c r="V37" i="12" s="1"/>
  <c r="Q37" i="12"/>
  <c r="T36" i="12"/>
  <c r="V36" i="12" s="1"/>
  <c r="Q36" i="12"/>
  <c r="T35" i="12"/>
  <c r="V35" i="12" s="1"/>
  <c r="Q35" i="12"/>
  <c r="T34" i="12"/>
  <c r="V34" i="12" s="1"/>
  <c r="Q34" i="12"/>
  <c r="T33" i="12"/>
  <c r="V33" i="12" s="1"/>
  <c r="Q33" i="12"/>
  <c r="T32" i="12"/>
  <c r="V32" i="12" s="1"/>
  <c r="Q32" i="12"/>
  <c r="T31" i="12"/>
  <c r="V31" i="12" s="1"/>
  <c r="Q31" i="12"/>
  <c r="T30" i="12"/>
  <c r="V30" i="12" s="1"/>
  <c r="Q30" i="12"/>
  <c r="T29" i="12"/>
  <c r="V29" i="12" s="1"/>
  <c r="Q29" i="12"/>
  <c r="T28" i="12"/>
  <c r="V28" i="12" s="1"/>
  <c r="Q28" i="12"/>
  <c r="T27" i="12"/>
  <c r="V27" i="12" s="1"/>
  <c r="Q27" i="12"/>
  <c r="T26" i="12"/>
  <c r="V26" i="12" s="1"/>
  <c r="Q26" i="12"/>
  <c r="T25" i="12"/>
  <c r="V25" i="12" s="1"/>
  <c r="Q25" i="12"/>
  <c r="T24" i="12"/>
  <c r="V24" i="12" s="1"/>
  <c r="Q24" i="12"/>
  <c r="T23" i="12"/>
  <c r="V23" i="12" s="1"/>
  <c r="Q23" i="12"/>
  <c r="T22" i="12"/>
  <c r="V22" i="12" s="1"/>
  <c r="Q22" i="12"/>
  <c r="T21" i="12"/>
  <c r="V21" i="12" s="1"/>
  <c r="Q21" i="12"/>
  <c r="T20" i="12"/>
  <c r="V20" i="12" s="1"/>
  <c r="Q20" i="12"/>
  <c r="T19" i="12"/>
  <c r="V19" i="12" s="1"/>
  <c r="Q19" i="12"/>
  <c r="T18" i="12"/>
  <c r="V18" i="12" s="1"/>
  <c r="Q18" i="12"/>
  <c r="T17" i="12"/>
  <c r="V17" i="12" s="1"/>
  <c r="Q17" i="12"/>
  <c r="T16" i="12"/>
  <c r="V16" i="12" s="1"/>
  <c r="Q16" i="12"/>
  <c r="T15" i="12"/>
  <c r="V15" i="12" s="1"/>
  <c r="Q15" i="12"/>
  <c r="T14" i="12"/>
  <c r="V14" i="12" s="1"/>
  <c r="Q14" i="12"/>
  <c r="T13" i="12"/>
  <c r="V13" i="12" s="1"/>
  <c r="Q13" i="12"/>
  <c r="T12" i="12"/>
  <c r="V12" i="12" s="1"/>
  <c r="Q12" i="12"/>
  <c r="T11" i="12"/>
  <c r="V11" i="12" s="1"/>
  <c r="Q11" i="12"/>
  <c r="T10" i="12"/>
  <c r="V10" i="12" s="1"/>
  <c r="Q10" i="12"/>
  <c r="T9" i="12"/>
  <c r="V9" i="12" s="1"/>
  <c r="Q9" i="12"/>
  <c r="T8" i="12"/>
  <c r="V8" i="12" s="1"/>
  <c r="Q8" i="12"/>
  <c r="T7" i="12"/>
  <c r="V7" i="12" s="1"/>
  <c r="Q7" i="12"/>
  <c r="T6" i="12"/>
  <c r="V6" i="12" s="1"/>
  <c r="Q6" i="12"/>
  <c r="T5" i="12"/>
  <c r="V5" i="12" s="1"/>
  <c r="Q5" i="12"/>
  <c r="T4" i="12"/>
  <c r="V4" i="12" s="1"/>
  <c r="Q4" i="12"/>
  <c r="T3" i="12"/>
  <c r="V3" i="12" s="1"/>
  <c r="Q3" i="12"/>
  <c r="T2" i="12"/>
  <c r="V2" i="12" s="1"/>
  <c r="Q2" i="12"/>
  <c r="T170" i="11" l="1"/>
  <c r="T169" i="11"/>
  <c r="Q169" i="11"/>
  <c r="T168" i="11"/>
  <c r="Q168" i="11"/>
  <c r="T167" i="11"/>
  <c r="Q167" i="11"/>
  <c r="T166" i="11"/>
  <c r="V166" i="11" s="1"/>
  <c r="Q166" i="11"/>
  <c r="T165" i="11"/>
  <c r="V165" i="11" s="1"/>
  <c r="Q165" i="11"/>
  <c r="T164" i="11"/>
  <c r="V164" i="11" s="1"/>
  <c r="Q164" i="11"/>
  <c r="T163" i="11"/>
  <c r="V163" i="11" s="1"/>
  <c r="Q163" i="11"/>
  <c r="T162" i="11"/>
  <c r="V162" i="11" s="1"/>
  <c r="Q162" i="11"/>
  <c r="T161" i="11"/>
  <c r="V161" i="11" s="1"/>
  <c r="Q161" i="11"/>
  <c r="T160" i="11"/>
  <c r="V160" i="11" s="1"/>
  <c r="Q160" i="11"/>
  <c r="T159" i="11"/>
  <c r="V159" i="11" s="1"/>
  <c r="Q159" i="11"/>
  <c r="T158" i="11"/>
  <c r="V158" i="11" s="1"/>
  <c r="Q158" i="11"/>
  <c r="T157" i="11"/>
  <c r="V157" i="11" s="1"/>
  <c r="Q157" i="11"/>
  <c r="T156" i="11"/>
  <c r="V156" i="11" s="1"/>
  <c r="Q156" i="11"/>
  <c r="T155" i="11"/>
  <c r="V155" i="11" s="1"/>
  <c r="Q155" i="11"/>
  <c r="T154" i="11"/>
  <c r="V154" i="11" s="1"/>
  <c r="Q154" i="11"/>
  <c r="T153" i="11"/>
  <c r="V153" i="11" s="1"/>
  <c r="Q153" i="11"/>
  <c r="T152" i="11"/>
  <c r="V152" i="11" s="1"/>
  <c r="Q152" i="11"/>
  <c r="T151" i="11"/>
  <c r="V151" i="11" s="1"/>
  <c r="Q151" i="11"/>
  <c r="T150" i="11"/>
  <c r="V150" i="11" s="1"/>
  <c r="Q150" i="11"/>
  <c r="T149" i="11"/>
  <c r="V149" i="11" s="1"/>
  <c r="Q149" i="11"/>
  <c r="T148" i="11"/>
  <c r="V148" i="11" s="1"/>
  <c r="Q148" i="11"/>
  <c r="T147" i="11"/>
  <c r="V147" i="11" s="1"/>
  <c r="Q147" i="11"/>
  <c r="T146" i="11"/>
  <c r="V146" i="11" s="1"/>
  <c r="Q146" i="11"/>
  <c r="T145" i="11"/>
  <c r="V145" i="11" s="1"/>
  <c r="Q145" i="11"/>
  <c r="T144" i="11"/>
  <c r="V144" i="11" s="1"/>
  <c r="Q144" i="11"/>
  <c r="T143" i="11"/>
  <c r="V143" i="11" s="1"/>
  <c r="Q143" i="11"/>
  <c r="T142" i="11"/>
  <c r="V142" i="11" s="1"/>
  <c r="Q142" i="11"/>
  <c r="T141" i="11"/>
  <c r="V141" i="11" s="1"/>
  <c r="Q141" i="11"/>
  <c r="T140" i="11"/>
  <c r="V140" i="11" s="1"/>
  <c r="Q140" i="11"/>
  <c r="T139" i="11"/>
  <c r="V139" i="11" s="1"/>
  <c r="Q139" i="11"/>
  <c r="T138" i="11"/>
  <c r="V138" i="11" s="1"/>
  <c r="Q138" i="11"/>
  <c r="T137" i="11"/>
  <c r="V137" i="11" s="1"/>
  <c r="Q137" i="11"/>
  <c r="T136" i="11"/>
  <c r="V136" i="11" s="1"/>
  <c r="Q136" i="11"/>
  <c r="T135" i="11"/>
  <c r="V135" i="11" s="1"/>
  <c r="Q135" i="11"/>
  <c r="T134" i="11"/>
  <c r="V134" i="11" s="1"/>
  <c r="Q134" i="11"/>
  <c r="T133" i="11"/>
  <c r="V133" i="11" s="1"/>
  <c r="Q133" i="11"/>
  <c r="T132" i="11"/>
  <c r="V132" i="11" s="1"/>
  <c r="Q132" i="11"/>
  <c r="T131" i="11"/>
  <c r="V131" i="11" s="1"/>
  <c r="Q131" i="11"/>
  <c r="T130" i="11"/>
  <c r="V130" i="11" s="1"/>
  <c r="Q130" i="11"/>
  <c r="T129" i="11"/>
  <c r="V129" i="11" s="1"/>
  <c r="Q129" i="11"/>
  <c r="T128" i="11"/>
  <c r="V128" i="11" s="1"/>
  <c r="Q128" i="11"/>
  <c r="T127" i="11"/>
  <c r="V127" i="11" s="1"/>
  <c r="Q127" i="11"/>
  <c r="T126" i="11"/>
  <c r="V126" i="11" s="1"/>
  <c r="Q126" i="11"/>
  <c r="T125" i="11"/>
  <c r="V125" i="11" s="1"/>
  <c r="Q125" i="11"/>
  <c r="T124" i="11"/>
  <c r="V124" i="11" s="1"/>
  <c r="Q124" i="11"/>
  <c r="T123" i="11"/>
  <c r="V123" i="11" s="1"/>
  <c r="Q123" i="11"/>
  <c r="T122" i="11"/>
  <c r="V122" i="11" s="1"/>
  <c r="Q122" i="11"/>
  <c r="T121" i="11"/>
  <c r="V121" i="11" s="1"/>
  <c r="Q121" i="11"/>
  <c r="T120" i="11"/>
  <c r="V120" i="11" s="1"/>
  <c r="Q120" i="11"/>
  <c r="T119" i="11"/>
  <c r="V119" i="11" s="1"/>
  <c r="Q119" i="11"/>
  <c r="T118" i="11"/>
  <c r="V118" i="11" s="1"/>
  <c r="Q118" i="11"/>
  <c r="T117" i="11"/>
  <c r="V117" i="11" s="1"/>
  <c r="Q117" i="11"/>
  <c r="T116" i="11"/>
  <c r="V116" i="11" s="1"/>
  <c r="Q116" i="11"/>
  <c r="T115" i="11"/>
  <c r="V115" i="11" s="1"/>
  <c r="Q115" i="11"/>
  <c r="T114" i="11"/>
  <c r="V114" i="11" s="1"/>
  <c r="Q114" i="11"/>
  <c r="T113" i="11"/>
  <c r="V113" i="11" s="1"/>
  <c r="Q113" i="11"/>
  <c r="T112" i="11"/>
  <c r="V112" i="11" s="1"/>
  <c r="Q112" i="11"/>
  <c r="T111" i="11"/>
  <c r="V111" i="11" s="1"/>
  <c r="Q111" i="11"/>
  <c r="T110" i="11"/>
  <c r="V110" i="11" s="1"/>
  <c r="Q110" i="11"/>
  <c r="T109" i="11"/>
  <c r="V109" i="11" s="1"/>
  <c r="Q109" i="11"/>
  <c r="T108" i="11"/>
  <c r="V108" i="11" s="1"/>
  <c r="Q108" i="11"/>
  <c r="T107" i="11"/>
  <c r="V107" i="11" s="1"/>
  <c r="Q107" i="11"/>
  <c r="T106" i="11"/>
  <c r="V106" i="11" s="1"/>
  <c r="Q106" i="11"/>
  <c r="T105" i="11"/>
  <c r="V105" i="11" s="1"/>
  <c r="Q105" i="11"/>
  <c r="T104" i="11"/>
  <c r="V104" i="11" s="1"/>
  <c r="Q104" i="11"/>
  <c r="T103" i="11"/>
  <c r="V103" i="11" s="1"/>
  <c r="Q103" i="11"/>
  <c r="T102" i="11"/>
  <c r="V102" i="11" s="1"/>
  <c r="Q102" i="11"/>
  <c r="T101" i="11"/>
  <c r="V101" i="11" s="1"/>
  <c r="Q101" i="11"/>
  <c r="T100" i="11"/>
  <c r="V100" i="11" s="1"/>
  <c r="Q100" i="11"/>
  <c r="T99" i="11"/>
  <c r="V99" i="11" s="1"/>
  <c r="Q99" i="11"/>
  <c r="T98" i="11"/>
  <c r="V98" i="11" s="1"/>
  <c r="Q98" i="11"/>
  <c r="T97" i="11"/>
  <c r="V97" i="11" s="1"/>
  <c r="Q97" i="11"/>
  <c r="T96" i="11"/>
  <c r="V96" i="11" s="1"/>
  <c r="Q96" i="11"/>
  <c r="T95" i="11"/>
  <c r="V95" i="11" s="1"/>
  <c r="Q95" i="11"/>
  <c r="T94" i="11"/>
  <c r="V94" i="11" s="1"/>
  <c r="Q94" i="11"/>
  <c r="T93" i="11"/>
  <c r="V93" i="11" s="1"/>
  <c r="Q93" i="11"/>
  <c r="T92" i="11"/>
  <c r="V92" i="11" s="1"/>
  <c r="Q92" i="11"/>
  <c r="T91" i="11"/>
  <c r="V91" i="11" s="1"/>
  <c r="Q91" i="11"/>
  <c r="T90" i="11"/>
  <c r="V90" i="11" s="1"/>
  <c r="Q90" i="11"/>
  <c r="T89" i="11"/>
  <c r="V89" i="11" s="1"/>
  <c r="Q89" i="11"/>
  <c r="T88" i="11"/>
  <c r="V88" i="11" s="1"/>
  <c r="Q88" i="11"/>
  <c r="T87" i="11"/>
  <c r="V87" i="11" s="1"/>
  <c r="Q87" i="11"/>
  <c r="T86" i="11"/>
  <c r="V86" i="11" s="1"/>
  <c r="Q86" i="11"/>
  <c r="T85" i="11"/>
  <c r="V85" i="11" s="1"/>
  <c r="Q85" i="11"/>
  <c r="T84" i="11"/>
  <c r="V84" i="11" s="1"/>
  <c r="Q84" i="11"/>
  <c r="T83" i="11"/>
  <c r="V83" i="11" s="1"/>
  <c r="Q83" i="11"/>
  <c r="T82" i="11"/>
  <c r="V82" i="11" s="1"/>
  <c r="Q82" i="11"/>
  <c r="T81" i="11"/>
  <c r="V81" i="11" s="1"/>
  <c r="Q81" i="11"/>
  <c r="T80" i="11"/>
  <c r="V80" i="11" s="1"/>
  <c r="Q80" i="11"/>
  <c r="T79" i="11"/>
  <c r="V79" i="11" s="1"/>
  <c r="Q79" i="11"/>
  <c r="T78" i="11"/>
  <c r="V78" i="11" s="1"/>
  <c r="Q78" i="11"/>
  <c r="T77" i="11"/>
  <c r="V77" i="11" s="1"/>
  <c r="Q77" i="11"/>
  <c r="T76" i="11"/>
  <c r="V76" i="11" s="1"/>
  <c r="Q76" i="11"/>
  <c r="T75" i="11"/>
  <c r="V75" i="11" s="1"/>
  <c r="Q75" i="11"/>
  <c r="T74" i="11"/>
  <c r="V74" i="11" s="1"/>
  <c r="Q74" i="11"/>
  <c r="T73" i="11"/>
  <c r="V73" i="11" s="1"/>
  <c r="Q73" i="11"/>
  <c r="T72" i="11"/>
  <c r="V72" i="11" s="1"/>
  <c r="Q72" i="11"/>
  <c r="T71" i="11"/>
  <c r="V71" i="11" s="1"/>
  <c r="Q71" i="11"/>
  <c r="T70" i="11"/>
  <c r="V70" i="11" s="1"/>
  <c r="Q70" i="11"/>
  <c r="T69" i="11"/>
  <c r="V69" i="11" s="1"/>
  <c r="Q69" i="11"/>
  <c r="T68" i="11"/>
  <c r="V68" i="11" s="1"/>
  <c r="Q68" i="11"/>
  <c r="T67" i="11"/>
  <c r="V67" i="11" s="1"/>
  <c r="Q67" i="11"/>
  <c r="T66" i="11"/>
  <c r="V66" i="11" s="1"/>
  <c r="Q66" i="11"/>
  <c r="T65" i="11"/>
  <c r="V65" i="11" s="1"/>
  <c r="Q65" i="11"/>
  <c r="T64" i="11"/>
  <c r="V64" i="11" s="1"/>
  <c r="Q64" i="11"/>
  <c r="T63" i="11"/>
  <c r="V63" i="11" s="1"/>
  <c r="Q63" i="11"/>
  <c r="T62" i="11"/>
  <c r="V62" i="11" s="1"/>
  <c r="Q62" i="11"/>
  <c r="T61" i="11"/>
  <c r="V61" i="11" s="1"/>
  <c r="Q61" i="11"/>
  <c r="T60" i="11"/>
  <c r="V60" i="11" s="1"/>
  <c r="Q60" i="11"/>
  <c r="T59" i="11"/>
  <c r="V59" i="11" s="1"/>
  <c r="Q59" i="11"/>
  <c r="T58" i="11"/>
  <c r="V58" i="11" s="1"/>
  <c r="Q58" i="11"/>
  <c r="T57" i="11"/>
  <c r="V57" i="11" s="1"/>
  <c r="Q57" i="11"/>
  <c r="T56" i="11"/>
  <c r="V56" i="11" s="1"/>
  <c r="Q56" i="11"/>
  <c r="T55" i="11"/>
  <c r="V55" i="11" s="1"/>
  <c r="Q55" i="11"/>
  <c r="T54" i="11"/>
  <c r="V54" i="11" s="1"/>
  <c r="Q54" i="11"/>
  <c r="T53" i="11"/>
  <c r="V53" i="11" s="1"/>
  <c r="Q53" i="11"/>
  <c r="T52" i="11"/>
  <c r="V52" i="11" s="1"/>
  <c r="Q52" i="11"/>
  <c r="T51" i="11"/>
  <c r="V51" i="11" s="1"/>
  <c r="Q51" i="11"/>
  <c r="T50" i="11"/>
  <c r="V50" i="11" s="1"/>
  <c r="Q50" i="11"/>
  <c r="T49" i="11"/>
  <c r="V49" i="11" s="1"/>
  <c r="Q49" i="11"/>
  <c r="T48" i="11"/>
  <c r="V48" i="11" s="1"/>
  <c r="Q48" i="11"/>
  <c r="T47" i="11"/>
  <c r="V47" i="11" s="1"/>
  <c r="Q47" i="11"/>
  <c r="T46" i="11"/>
  <c r="V46" i="11" s="1"/>
  <c r="Q46" i="11"/>
  <c r="T45" i="11"/>
  <c r="V45" i="11" s="1"/>
  <c r="Q45" i="11"/>
  <c r="T44" i="11"/>
  <c r="V44" i="11" s="1"/>
  <c r="Q44" i="11"/>
  <c r="T43" i="11"/>
  <c r="V43" i="11" s="1"/>
  <c r="Q43" i="11"/>
  <c r="T42" i="11"/>
  <c r="V42" i="11" s="1"/>
  <c r="Q42" i="11"/>
  <c r="T41" i="11"/>
  <c r="V41" i="11" s="1"/>
  <c r="Q41" i="11"/>
  <c r="T40" i="11"/>
  <c r="V40" i="11" s="1"/>
  <c r="Q40" i="11"/>
  <c r="T39" i="11"/>
  <c r="V39" i="11" s="1"/>
  <c r="Q39" i="11"/>
  <c r="T38" i="11"/>
  <c r="V38" i="11" s="1"/>
  <c r="Q38" i="11"/>
  <c r="T37" i="11"/>
  <c r="V37" i="11" s="1"/>
  <c r="Q37" i="11"/>
  <c r="T36" i="11"/>
  <c r="V36" i="11" s="1"/>
  <c r="Q36" i="11"/>
  <c r="T35" i="11"/>
  <c r="V35" i="11" s="1"/>
  <c r="Q35" i="11"/>
  <c r="T34" i="11"/>
  <c r="V34" i="11" s="1"/>
  <c r="Q34" i="11"/>
  <c r="T33" i="11"/>
  <c r="V33" i="11" s="1"/>
  <c r="Q33" i="11"/>
  <c r="T32" i="11"/>
  <c r="V32" i="11" s="1"/>
  <c r="Q32" i="11"/>
  <c r="T31" i="11"/>
  <c r="V31" i="11" s="1"/>
  <c r="Q31" i="11"/>
  <c r="T30" i="11"/>
  <c r="V30" i="11" s="1"/>
  <c r="Q30" i="11"/>
  <c r="T29" i="11"/>
  <c r="V29" i="11" s="1"/>
  <c r="Q29" i="11"/>
  <c r="T28" i="11"/>
  <c r="V28" i="11" s="1"/>
  <c r="Q28" i="11"/>
  <c r="T27" i="11"/>
  <c r="V27" i="11" s="1"/>
  <c r="Q27" i="11"/>
  <c r="T26" i="11"/>
  <c r="V26" i="11" s="1"/>
  <c r="Q26" i="11"/>
  <c r="T25" i="11"/>
  <c r="V25" i="11" s="1"/>
  <c r="Q25" i="11"/>
  <c r="T24" i="11"/>
  <c r="V24" i="11" s="1"/>
  <c r="Q24" i="11"/>
  <c r="T23" i="11"/>
  <c r="V23" i="11" s="1"/>
  <c r="Q23" i="11"/>
  <c r="T22" i="11"/>
  <c r="V22" i="11" s="1"/>
  <c r="Q22" i="11"/>
  <c r="T21" i="11"/>
  <c r="V21" i="11" s="1"/>
  <c r="Q21" i="11"/>
  <c r="T20" i="11"/>
  <c r="V20" i="11" s="1"/>
  <c r="Q20" i="11"/>
  <c r="T19" i="11"/>
  <c r="V19" i="11" s="1"/>
  <c r="Q19" i="11"/>
  <c r="T18" i="11"/>
  <c r="V18" i="11" s="1"/>
  <c r="Q18" i="11"/>
  <c r="T17" i="11"/>
  <c r="V17" i="11" s="1"/>
  <c r="Q17" i="11"/>
  <c r="T16" i="11"/>
  <c r="V16" i="11" s="1"/>
  <c r="Q16" i="11"/>
  <c r="T15" i="11"/>
  <c r="V15" i="11" s="1"/>
  <c r="Q15" i="11"/>
  <c r="T14" i="11"/>
  <c r="V14" i="11" s="1"/>
  <c r="Q14" i="11"/>
  <c r="T13" i="11"/>
  <c r="V13" i="11" s="1"/>
  <c r="Q13" i="11"/>
  <c r="T12" i="11"/>
  <c r="V12" i="11" s="1"/>
  <c r="Q12" i="11"/>
  <c r="T11" i="11"/>
  <c r="V11" i="11" s="1"/>
  <c r="Q11" i="11"/>
  <c r="T10" i="11"/>
  <c r="V10" i="11" s="1"/>
  <c r="Q10" i="11"/>
  <c r="T9" i="11"/>
  <c r="V9" i="11" s="1"/>
  <c r="Q9" i="11"/>
  <c r="T8" i="11"/>
  <c r="V8" i="11" s="1"/>
  <c r="Q8" i="11"/>
  <c r="T7" i="11"/>
  <c r="V7" i="11" s="1"/>
  <c r="Q7" i="11"/>
  <c r="T6" i="11"/>
  <c r="V6" i="11" s="1"/>
  <c r="Q6" i="11"/>
  <c r="T5" i="11"/>
  <c r="V5" i="11" s="1"/>
  <c r="Q5" i="11"/>
  <c r="T4" i="11"/>
  <c r="V4" i="11" s="1"/>
  <c r="Q4" i="11"/>
  <c r="T3" i="11"/>
  <c r="V3" i="11" s="1"/>
  <c r="Q3" i="11"/>
  <c r="T2" i="11"/>
  <c r="V2" i="11" s="1"/>
  <c r="Q2" i="11"/>
  <c r="T130" i="10" l="1"/>
  <c r="V130" i="10" s="1"/>
  <c r="Q130" i="10"/>
  <c r="T129" i="10"/>
  <c r="V129" i="10" s="1"/>
  <c r="Q129" i="10"/>
  <c r="T128" i="10"/>
  <c r="V128" i="10" s="1"/>
  <c r="Q128" i="10"/>
  <c r="T127" i="10"/>
  <c r="V127" i="10" s="1"/>
  <c r="Q127" i="10"/>
  <c r="T126" i="10"/>
  <c r="V126" i="10" s="1"/>
  <c r="Q126" i="10"/>
  <c r="T125" i="10"/>
  <c r="V125" i="10" s="1"/>
  <c r="Q125" i="10"/>
  <c r="T124" i="10"/>
  <c r="V124" i="10" s="1"/>
  <c r="Q124" i="10"/>
  <c r="T123" i="10"/>
  <c r="V123" i="10" s="1"/>
  <c r="Q123" i="10"/>
  <c r="T122" i="10"/>
  <c r="V122" i="10" s="1"/>
  <c r="Q122" i="10"/>
  <c r="T121" i="10"/>
  <c r="V121" i="10" s="1"/>
  <c r="Q121" i="10"/>
  <c r="T120" i="10"/>
  <c r="V120" i="10" s="1"/>
  <c r="Q120" i="10"/>
  <c r="T119" i="10"/>
  <c r="V119" i="10" s="1"/>
  <c r="Q119" i="10"/>
  <c r="T118" i="10"/>
  <c r="V118" i="10" s="1"/>
  <c r="Q118" i="10"/>
  <c r="T117" i="10"/>
  <c r="V117" i="10" s="1"/>
  <c r="Q117" i="10"/>
  <c r="T116" i="10"/>
  <c r="V116" i="10" s="1"/>
  <c r="Q116" i="10"/>
  <c r="T115" i="10"/>
  <c r="V115" i="10" s="1"/>
  <c r="Q115" i="10"/>
  <c r="T114" i="10"/>
  <c r="V114" i="10" s="1"/>
  <c r="Q114" i="10"/>
  <c r="T113" i="10"/>
  <c r="V113" i="10" s="1"/>
  <c r="Q113" i="10"/>
  <c r="T112" i="10"/>
  <c r="V112" i="10" s="1"/>
  <c r="Q112" i="10"/>
  <c r="T111" i="10"/>
  <c r="V111" i="10" s="1"/>
  <c r="Q111" i="10"/>
  <c r="T110" i="10"/>
  <c r="V110" i="10" s="1"/>
  <c r="Q110" i="10"/>
  <c r="T109" i="10"/>
  <c r="V109" i="10" s="1"/>
  <c r="Q109" i="10"/>
  <c r="T108" i="10"/>
  <c r="V108" i="10" s="1"/>
  <c r="Q108" i="10"/>
  <c r="T107" i="10"/>
  <c r="V107" i="10" s="1"/>
  <c r="Q107" i="10"/>
  <c r="T106" i="10"/>
  <c r="V106" i="10" s="1"/>
  <c r="Q106" i="10"/>
  <c r="T105" i="10"/>
  <c r="V105" i="10" s="1"/>
  <c r="Q105" i="10"/>
  <c r="T104" i="10"/>
  <c r="V104" i="10" s="1"/>
  <c r="Q104" i="10"/>
  <c r="T103" i="10"/>
  <c r="V103" i="10" s="1"/>
  <c r="Q103" i="10"/>
  <c r="T102" i="10"/>
  <c r="V102" i="10" s="1"/>
  <c r="Q102" i="10"/>
  <c r="T101" i="10"/>
  <c r="V101" i="10" s="1"/>
  <c r="Q101" i="10"/>
  <c r="T100" i="10"/>
  <c r="V100" i="10" s="1"/>
  <c r="Q100" i="10"/>
  <c r="T99" i="10"/>
  <c r="V99" i="10" s="1"/>
  <c r="Q99" i="10"/>
  <c r="T98" i="10"/>
  <c r="V98" i="10" s="1"/>
  <c r="Q98" i="10"/>
  <c r="T97" i="10"/>
  <c r="V97" i="10" s="1"/>
  <c r="Q97" i="10"/>
  <c r="T96" i="10"/>
  <c r="V96" i="10" s="1"/>
  <c r="Q96" i="10"/>
  <c r="T95" i="10"/>
  <c r="V95" i="10" s="1"/>
  <c r="Q95" i="10"/>
  <c r="T94" i="10"/>
  <c r="V94" i="10" s="1"/>
  <c r="Q94" i="10"/>
  <c r="T93" i="10"/>
  <c r="V93" i="10" s="1"/>
  <c r="Q93" i="10"/>
  <c r="T92" i="10"/>
  <c r="V92" i="10" s="1"/>
  <c r="Q92" i="10"/>
  <c r="T91" i="10"/>
  <c r="V91" i="10" s="1"/>
  <c r="Q91" i="10"/>
  <c r="T90" i="10"/>
  <c r="V90" i="10" s="1"/>
  <c r="Q90" i="10"/>
  <c r="T89" i="10"/>
  <c r="V89" i="10" s="1"/>
  <c r="Q89" i="10"/>
  <c r="T88" i="10"/>
  <c r="V88" i="10" s="1"/>
  <c r="Q88" i="10"/>
  <c r="T87" i="10"/>
  <c r="V87" i="10" s="1"/>
  <c r="Q87" i="10"/>
  <c r="T86" i="10"/>
  <c r="V86" i="10" s="1"/>
  <c r="Q86" i="10"/>
  <c r="T85" i="10"/>
  <c r="V85" i="10" s="1"/>
  <c r="Q85" i="10"/>
  <c r="T84" i="10"/>
  <c r="V84" i="10" s="1"/>
  <c r="Q84" i="10"/>
  <c r="T83" i="10"/>
  <c r="V83" i="10" s="1"/>
  <c r="Q83" i="10"/>
  <c r="T82" i="10"/>
  <c r="V82" i="10" s="1"/>
  <c r="Q82" i="10"/>
  <c r="T81" i="10"/>
  <c r="V81" i="10" s="1"/>
  <c r="Q81" i="10"/>
  <c r="T80" i="10"/>
  <c r="V80" i="10" s="1"/>
  <c r="Q80" i="10"/>
  <c r="T79" i="10"/>
  <c r="V79" i="10" s="1"/>
  <c r="Q79" i="10"/>
  <c r="T78" i="10"/>
  <c r="V78" i="10" s="1"/>
  <c r="Q78" i="10"/>
  <c r="T77" i="10"/>
  <c r="V77" i="10" s="1"/>
  <c r="Q77" i="10"/>
  <c r="T76" i="10"/>
  <c r="V76" i="10" s="1"/>
  <c r="Q76" i="10"/>
  <c r="T75" i="10"/>
  <c r="V75" i="10" s="1"/>
  <c r="Q75" i="10"/>
  <c r="T74" i="10"/>
  <c r="V74" i="10" s="1"/>
  <c r="Q74" i="10"/>
  <c r="T73" i="10"/>
  <c r="V73" i="10" s="1"/>
  <c r="Q73" i="10"/>
  <c r="T72" i="10"/>
  <c r="V72" i="10" s="1"/>
  <c r="Q72" i="10"/>
  <c r="T71" i="10"/>
  <c r="V71" i="10" s="1"/>
  <c r="Q71" i="10"/>
  <c r="T70" i="10"/>
  <c r="V70" i="10" s="1"/>
  <c r="Q70" i="10"/>
  <c r="T69" i="10"/>
  <c r="V69" i="10" s="1"/>
  <c r="Q69" i="10"/>
  <c r="T68" i="10"/>
  <c r="V68" i="10" s="1"/>
  <c r="Q68" i="10"/>
  <c r="T67" i="10"/>
  <c r="V67" i="10" s="1"/>
  <c r="Q67" i="10"/>
  <c r="T66" i="10"/>
  <c r="V66" i="10" s="1"/>
  <c r="Q66" i="10"/>
  <c r="T65" i="10"/>
  <c r="V65" i="10" s="1"/>
  <c r="Q65" i="10"/>
  <c r="T64" i="10"/>
  <c r="V64" i="10" s="1"/>
  <c r="Q64" i="10"/>
  <c r="T63" i="10"/>
  <c r="V63" i="10" s="1"/>
  <c r="Q63" i="10"/>
  <c r="T62" i="10"/>
  <c r="V62" i="10" s="1"/>
  <c r="Q62" i="10"/>
  <c r="T61" i="10"/>
  <c r="V61" i="10" s="1"/>
  <c r="Q61" i="10"/>
  <c r="T60" i="10"/>
  <c r="V60" i="10" s="1"/>
  <c r="Q60" i="10"/>
  <c r="T59" i="10"/>
  <c r="V59" i="10" s="1"/>
  <c r="Q59" i="10"/>
  <c r="T58" i="10"/>
  <c r="V58" i="10" s="1"/>
  <c r="Q58" i="10"/>
  <c r="T57" i="10"/>
  <c r="V57" i="10" s="1"/>
  <c r="Q57" i="10"/>
  <c r="T56" i="10"/>
  <c r="V56" i="10" s="1"/>
  <c r="Q56" i="10"/>
  <c r="T55" i="10"/>
  <c r="V55" i="10" s="1"/>
  <c r="Q55" i="10"/>
  <c r="T54" i="10"/>
  <c r="V54" i="10" s="1"/>
  <c r="Q54" i="10"/>
  <c r="T53" i="10"/>
  <c r="V53" i="10" s="1"/>
  <c r="Q53" i="10"/>
  <c r="T52" i="10"/>
  <c r="V52" i="10" s="1"/>
  <c r="Q52" i="10"/>
  <c r="T51" i="10"/>
  <c r="V51" i="10" s="1"/>
  <c r="Q51" i="10"/>
  <c r="T50" i="10"/>
  <c r="V50" i="10" s="1"/>
  <c r="Q50" i="10"/>
  <c r="T49" i="10"/>
  <c r="V49" i="10" s="1"/>
  <c r="Q49" i="10"/>
  <c r="T48" i="10"/>
  <c r="V48" i="10" s="1"/>
  <c r="Q48" i="10"/>
  <c r="T47" i="10"/>
  <c r="V47" i="10" s="1"/>
  <c r="Q47" i="10"/>
  <c r="T46" i="10"/>
  <c r="V46" i="10" s="1"/>
  <c r="Q46" i="10"/>
  <c r="T45" i="10"/>
  <c r="V45" i="10" s="1"/>
  <c r="Q45" i="10"/>
  <c r="T44" i="10"/>
  <c r="V44" i="10" s="1"/>
  <c r="Q44" i="10"/>
  <c r="T43" i="10"/>
  <c r="V43" i="10" s="1"/>
  <c r="Q43" i="10"/>
  <c r="T42" i="10"/>
  <c r="V42" i="10" s="1"/>
  <c r="Q42" i="10"/>
  <c r="T41" i="10"/>
  <c r="V41" i="10" s="1"/>
  <c r="Q41" i="10"/>
  <c r="T40" i="10"/>
  <c r="V40" i="10" s="1"/>
  <c r="Q40" i="10"/>
  <c r="T39" i="10"/>
  <c r="V39" i="10" s="1"/>
  <c r="Q39" i="10"/>
  <c r="T38" i="10"/>
  <c r="V38" i="10" s="1"/>
  <c r="Q38" i="10"/>
  <c r="T37" i="10"/>
  <c r="V37" i="10" s="1"/>
  <c r="Q37" i="10"/>
  <c r="T36" i="10"/>
  <c r="V36" i="10" s="1"/>
  <c r="Q36" i="10"/>
  <c r="T35" i="10"/>
  <c r="V35" i="10" s="1"/>
  <c r="Q35" i="10"/>
  <c r="T34" i="10"/>
  <c r="V34" i="10" s="1"/>
  <c r="Q34" i="10"/>
  <c r="T33" i="10"/>
  <c r="V33" i="10" s="1"/>
  <c r="Q33" i="10"/>
  <c r="T32" i="10"/>
  <c r="V32" i="10" s="1"/>
  <c r="Q32" i="10"/>
  <c r="T31" i="10"/>
  <c r="V31" i="10" s="1"/>
  <c r="Q31" i="10"/>
  <c r="T30" i="10"/>
  <c r="V30" i="10" s="1"/>
  <c r="Q30" i="10"/>
  <c r="T29" i="10"/>
  <c r="V29" i="10" s="1"/>
  <c r="Q29" i="10"/>
  <c r="T28" i="10"/>
  <c r="V28" i="10" s="1"/>
  <c r="Q28" i="10"/>
  <c r="T27" i="10"/>
  <c r="V27" i="10" s="1"/>
  <c r="Q27" i="10"/>
  <c r="T26" i="10"/>
  <c r="V26" i="10" s="1"/>
  <c r="Q26" i="10"/>
  <c r="T25" i="10"/>
  <c r="V25" i="10" s="1"/>
  <c r="Q25" i="10"/>
  <c r="T24" i="10"/>
  <c r="V24" i="10" s="1"/>
  <c r="Q24" i="10"/>
  <c r="T23" i="10"/>
  <c r="V23" i="10" s="1"/>
  <c r="Q23" i="10"/>
  <c r="T22" i="10"/>
  <c r="V22" i="10" s="1"/>
  <c r="Q22" i="10"/>
  <c r="T21" i="10"/>
  <c r="V21" i="10" s="1"/>
  <c r="Q21" i="10"/>
  <c r="T20" i="10"/>
  <c r="V20" i="10" s="1"/>
  <c r="Q20" i="10"/>
  <c r="T19" i="10"/>
  <c r="V19" i="10" s="1"/>
  <c r="Q19" i="10"/>
  <c r="T18" i="10"/>
  <c r="V18" i="10" s="1"/>
  <c r="Q18" i="10"/>
  <c r="T17" i="10"/>
  <c r="V17" i="10" s="1"/>
  <c r="Q17" i="10"/>
  <c r="T16" i="10"/>
  <c r="V16" i="10" s="1"/>
  <c r="Q16" i="10"/>
  <c r="T15" i="10"/>
  <c r="V15" i="10" s="1"/>
  <c r="Q15" i="10"/>
  <c r="T14" i="10"/>
  <c r="V14" i="10" s="1"/>
  <c r="Q14" i="10"/>
  <c r="T13" i="10"/>
  <c r="V13" i="10" s="1"/>
  <c r="Q13" i="10"/>
  <c r="T12" i="10"/>
  <c r="V12" i="10" s="1"/>
  <c r="Q12" i="10"/>
  <c r="T11" i="10"/>
  <c r="V11" i="10" s="1"/>
  <c r="Q11" i="10"/>
  <c r="T10" i="10"/>
  <c r="V10" i="10" s="1"/>
  <c r="Q10" i="10"/>
  <c r="T9" i="10"/>
  <c r="V9" i="10" s="1"/>
  <c r="Q9" i="10"/>
  <c r="T8" i="10"/>
  <c r="V8" i="10" s="1"/>
  <c r="Q8" i="10"/>
  <c r="T7" i="10"/>
  <c r="V7" i="10" s="1"/>
  <c r="Q7" i="10"/>
  <c r="T6" i="10"/>
  <c r="V6" i="10" s="1"/>
  <c r="Q6" i="10"/>
  <c r="T5" i="10"/>
  <c r="V5" i="10" s="1"/>
  <c r="Q5" i="10"/>
  <c r="T4" i="10"/>
  <c r="V4" i="10" s="1"/>
  <c r="Q4" i="10"/>
  <c r="T3" i="10"/>
  <c r="V3" i="10" s="1"/>
  <c r="Q3" i="10"/>
  <c r="T2" i="10"/>
  <c r="V2" i="10" s="1"/>
  <c r="Q2" i="10"/>
  <c r="T145" i="9" l="1"/>
  <c r="V145" i="9" s="1"/>
  <c r="Q145" i="9"/>
  <c r="T144" i="9"/>
  <c r="V144" i="9" s="1"/>
  <c r="Q144" i="9"/>
  <c r="T143" i="9"/>
  <c r="V143" i="9" s="1"/>
  <c r="Q143" i="9"/>
  <c r="T142" i="9"/>
  <c r="V142" i="9" s="1"/>
  <c r="Q142" i="9"/>
  <c r="T141" i="9"/>
  <c r="V141" i="9" s="1"/>
  <c r="Q141" i="9"/>
  <c r="T140" i="9"/>
  <c r="V140" i="9" s="1"/>
  <c r="Q140" i="9"/>
  <c r="T139" i="9"/>
  <c r="V139" i="9" s="1"/>
  <c r="Q139" i="9"/>
  <c r="T138" i="9"/>
  <c r="V138" i="9" s="1"/>
  <c r="Q138" i="9"/>
  <c r="T137" i="9"/>
  <c r="V137" i="9" s="1"/>
  <c r="Q137" i="9"/>
  <c r="T136" i="9"/>
  <c r="V136" i="9" s="1"/>
  <c r="Q136" i="9"/>
  <c r="T135" i="9"/>
  <c r="V135" i="9" s="1"/>
  <c r="Q135" i="9"/>
  <c r="T134" i="9"/>
  <c r="V134" i="9" s="1"/>
  <c r="Q134" i="9"/>
  <c r="T133" i="9"/>
  <c r="V133" i="9" s="1"/>
  <c r="Q133" i="9"/>
  <c r="T132" i="9"/>
  <c r="V132" i="9" s="1"/>
  <c r="Q132" i="9"/>
  <c r="T131" i="9"/>
  <c r="V131" i="9" s="1"/>
  <c r="Q131" i="9"/>
  <c r="T130" i="9"/>
  <c r="V130" i="9" s="1"/>
  <c r="Q130" i="9"/>
  <c r="T129" i="9"/>
  <c r="V129" i="9" s="1"/>
  <c r="Q129" i="9"/>
  <c r="T128" i="9"/>
  <c r="V128" i="9" s="1"/>
  <c r="Q128" i="9"/>
  <c r="T127" i="9"/>
  <c r="V127" i="9" s="1"/>
  <c r="Q127" i="9"/>
  <c r="T126" i="9"/>
  <c r="V126" i="9" s="1"/>
  <c r="Q126" i="9"/>
  <c r="T125" i="9"/>
  <c r="V125" i="9" s="1"/>
  <c r="Q125" i="9"/>
  <c r="T124" i="9"/>
  <c r="V124" i="9" s="1"/>
  <c r="Q124" i="9"/>
  <c r="T123" i="9"/>
  <c r="V123" i="9" s="1"/>
  <c r="Q123" i="9"/>
  <c r="T122" i="9"/>
  <c r="V122" i="9" s="1"/>
  <c r="Q122" i="9"/>
  <c r="T121" i="9"/>
  <c r="V121" i="9" s="1"/>
  <c r="Q121" i="9"/>
  <c r="T120" i="9"/>
  <c r="V120" i="9" s="1"/>
  <c r="Q120" i="9"/>
  <c r="T119" i="9"/>
  <c r="V119" i="9" s="1"/>
  <c r="Q119" i="9"/>
  <c r="T118" i="9"/>
  <c r="V118" i="9" s="1"/>
  <c r="Q118" i="9"/>
  <c r="T117" i="9"/>
  <c r="V117" i="9" s="1"/>
  <c r="Q117" i="9"/>
  <c r="T116" i="9"/>
  <c r="V116" i="9" s="1"/>
  <c r="Q116" i="9"/>
  <c r="T115" i="9"/>
  <c r="V115" i="9" s="1"/>
  <c r="Q115" i="9"/>
  <c r="T114" i="9"/>
  <c r="V114" i="9" s="1"/>
  <c r="Q114" i="9"/>
  <c r="T113" i="9"/>
  <c r="V113" i="9" s="1"/>
  <c r="Q113" i="9"/>
  <c r="T112" i="9"/>
  <c r="V112" i="9" s="1"/>
  <c r="Q112" i="9"/>
  <c r="T111" i="9"/>
  <c r="V111" i="9" s="1"/>
  <c r="Q111" i="9"/>
  <c r="T110" i="9"/>
  <c r="V110" i="9" s="1"/>
  <c r="Q110" i="9"/>
  <c r="T109" i="9"/>
  <c r="V109" i="9" s="1"/>
  <c r="Q109" i="9"/>
  <c r="T108" i="9"/>
  <c r="V108" i="9" s="1"/>
  <c r="Q108" i="9"/>
  <c r="T107" i="9"/>
  <c r="V107" i="9" s="1"/>
  <c r="Q107" i="9"/>
  <c r="T106" i="9"/>
  <c r="V106" i="9" s="1"/>
  <c r="Q106" i="9"/>
  <c r="T105" i="9"/>
  <c r="V105" i="9" s="1"/>
  <c r="Q105" i="9"/>
  <c r="T104" i="9"/>
  <c r="V104" i="9" s="1"/>
  <c r="Q104" i="9"/>
  <c r="T103" i="9"/>
  <c r="V103" i="9" s="1"/>
  <c r="Q103" i="9"/>
  <c r="T102" i="9"/>
  <c r="V102" i="9" s="1"/>
  <c r="Q102" i="9"/>
  <c r="T101" i="9"/>
  <c r="V101" i="9" s="1"/>
  <c r="Q101" i="9"/>
  <c r="T100" i="9"/>
  <c r="V100" i="9" s="1"/>
  <c r="Q100" i="9"/>
  <c r="T99" i="9"/>
  <c r="V99" i="9" s="1"/>
  <c r="Q99" i="9"/>
  <c r="T98" i="9"/>
  <c r="V98" i="9" s="1"/>
  <c r="Q98" i="9"/>
  <c r="T97" i="9"/>
  <c r="V97" i="9" s="1"/>
  <c r="Q97" i="9"/>
  <c r="T96" i="9"/>
  <c r="V96" i="9" s="1"/>
  <c r="Q96" i="9"/>
  <c r="T95" i="9"/>
  <c r="V95" i="9" s="1"/>
  <c r="Q95" i="9"/>
  <c r="T94" i="9"/>
  <c r="V94" i="9" s="1"/>
  <c r="Q94" i="9"/>
  <c r="T93" i="9"/>
  <c r="V93" i="9" s="1"/>
  <c r="Q93" i="9"/>
  <c r="T92" i="9"/>
  <c r="V92" i="9" s="1"/>
  <c r="Q92" i="9"/>
  <c r="T91" i="9"/>
  <c r="V91" i="9" s="1"/>
  <c r="Q91" i="9"/>
  <c r="T90" i="9"/>
  <c r="V90" i="9" s="1"/>
  <c r="Q90" i="9"/>
  <c r="T89" i="9"/>
  <c r="V89" i="9" s="1"/>
  <c r="Q89" i="9"/>
  <c r="T88" i="9"/>
  <c r="V88" i="9" s="1"/>
  <c r="Q88" i="9"/>
  <c r="T87" i="9"/>
  <c r="V87" i="9" s="1"/>
  <c r="Q87" i="9"/>
  <c r="T86" i="9"/>
  <c r="V86" i="9" s="1"/>
  <c r="Q86" i="9"/>
  <c r="T85" i="9"/>
  <c r="V85" i="9" s="1"/>
  <c r="Q85" i="9"/>
  <c r="T84" i="9"/>
  <c r="V84" i="9" s="1"/>
  <c r="Q84" i="9"/>
  <c r="T83" i="9"/>
  <c r="V83" i="9" s="1"/>
  <c r="Q83" i="9"/>
  <c r="T82" i="9"/>
  <c r="V82" i="9" s="1"/>
  <c r="Q82" i="9"/>
  <c r="T81" i="9"/>
  <c r="V81" i="9" s="1"/>
  <c r="Q81" i="9"/>
  <c r="T80" i="9"/>
  <c r="V80" i="9" s="1"/>
  <c r="Q80" i="9"/>
  <c r="T79" i="9"/>
  <c r="V79" i="9" s="1"/>
  <c r="Q79" i="9"/>
  <c r="T78" i="9"/>
  <c r="V78" i="9" s="1"/>
  <c r="Q78" i="9"/>
  <c r="T77" i="9"/>
  <c r="V77" i="9" s="1"/>
  <c r="Q77" i="9"/>
  <c r="T76" i="9"/>
  <c r="V76" i="9" s="1"/>
  <c r="Q76" i="9"/>
  <c r="T75" i="9"/>
  <c r="V75" i="9" s="1"/>
  <c r="Q75" i="9"/>
  <c r="T74" i="9"/>
  <c r="V74" i="9" s="1"/>
  <c r="Q74" i="9"/>
  <c r="T73" i="9"/>
  <c r="V73" i="9" s="1"/>
  <c r="Q73" i="9"/>
  <c r="T72" i="9"/>
  <c r="V72" i="9" s="1"/>
  <c r="Q72" i="9"/>
  <c r="T71" i="9"/>
  <c r="V71" i="9" s="1"/>
  <c r="Q71" i="9"/>
  <c r="T70" i="9"/>
  <c r="V70" i="9" s="1"/>
  <c r="Q70" i="9"/>
  <c r="T69" i="9"/>
  <c r="V69" i="9" s="1"/>
  <c r="Q69" i="9"/>
  <c r="T68" i="9"/>
  <c r="V68" i="9" s="1"/>
  <c r="Q68" i="9"/>
  <c r="T67" i="9"/>
  <c r="V67" i="9" s="1"/>
  <c r="Q67" i="9"/>
  <c r="T66" i="9"/>
  <c r="V66" i="9" s="1"/>
  <c r="Q66" i="9"/>
  <c r="T65" i="9"/>
  <c r="V65" i="9" s="1"/>
  <c r="Q65" i="9"/>
  <c r="T64" i="9"/>
  <c r="V64" i="9" s="1"/>
  <c r="Q64" i="9"/>
  <c r="T63" i="9"/>
  <c r="V63" i="9" s="1"/>
  <c r="Q63" i="9"/>
  <c r="T62" i="9"/>
  <c r="V62" i="9" s="1"/>
  <c r="Q62" i="9"/>
  <c r="T61" i="9"/>
  <c r="V61" i="9" s="1"/>
  <c r="Q61" i="9"/>
  <c r="T60" i="9"/>
  <c r="V60" i="9" s="1"/>
  <c r="Q60" i="9"/>
  <c r="T59" i="9"/>
  <c r="V59" i="9" s="1"/>
  <c r="Q59" i="9"/>
  <c r="T58" i="9"/>
  <c r="V58" i="9" s="1"/>
  <c r="Q58" i="9"/>
  <c r="T57" i="9"/>
  <c r="V57" i="9" s="1"/>
  <c r="Q57" i="9"/>
  <c r="T56" i="9"/>
  <c r="V56" i="9" s="1"/>
  <c r="Q56" i="9"/>
  <c r="T55" i="9"/>
  <c r="V55" i="9" s="1"/>
  <c r="Q55" i="9"/>
  <c r="T54" i="9"/>
  <c r="V54" i="9" s="1"/>
  <c r="Q54" i="9"/>
  <c r="T53" i="9"/>
  <c r="V53" i="9" s="1"/>
  <c r="Q53" i="9"/>
  <c r="T52" i="9"/>
  <c r="V52" i="9" s="1"/>
  <c r="Q52" i="9"/>
  <c r="T51" i="9"/>
  <c r="V51" i="9" s="1"/>
  <c r="Q51" i="9"/>
  <c r="T50" i="9"/>
  <c r="V50" i="9" s="1"/>
  <c r="Q50" i="9"/>
  <c r="T49" i="9"/>
  <c r="V49" i="9" s="1"/>
  <c r="Q49" i="9"/>
  <c r="T48" i="9"/>
  <c r="V48" i="9" s="1"/>
  <c r="Q48" i="9"/>
  <c r="T47" i="9"/>
  <c r="V47" i="9" s="1"/>
  <c r="Q47" i="9"/>
  <c r="T46" i="9"/>
  <c r="V46" i="9" s="1"/>
  <c r="Q46" i="9"/>
  <c r="T45" i="9"/>
  <c r="V45" i="9" s="1"/>
  <c r="Q45" i="9"/>
  <c r="T44" i="9"/>
  <c r="V44" i="9" s="1"/>
  <c r="Q44" i="9"/>
  <c r="T43" i="9"/>
  <c r="V43" i="9" s="1"/>
  <c r="Q43" i="9"/>
  <c r="T42" i="9"/>
  <c r="V42" i="9" s="1"/>
  <c r="Q42" i="9"/>
  <c r="T41" i="9"/>
  <c r="V41" i="9" s="1"/>
  <c r="Q41" i="9"/>
  <c r="T40" i="9"/>
  <c r="V40" i="9" s="1"/>
  <c r="Q40" i="9"/>
  <c r="T39" i="9"/>
  <c r="V39" i="9" s="1"/>
  <c r="Q39" i="9"/>
  <c r="T38" i="9"/>
  <c r="V38" i="9" s="1"/>
  <c r="Q38" i="9"/>
  <c r="T37" i="9"/>
  <c r="V37" i="9" s="1"/>
  <c r="Q37" i="9"/>
  <c r="T36" i="9"/>
  <c r="V36" i="9" s="1"/>
  <c r="Q36" i="9"/>
  <c r="T35" i="9"/>
  <c r="V35" i="9" s="1"/>
  <c r="Q35" i="9"/>
  <c r="T34" i="9"/>
  <c r="V34" i="9" s="1"/>
  <c r="Q34" i="9"/>
  <c r="T33" i="9"/>
  <c r="V33" i="9" s="1"/>
  <c r="Q33" i="9"/>
  <c r="T32" i="9"/>
  <c r="V32" i="9" s="1"/>
  <c r="Q32" i="9"/>
  <c r="T31" i="9"/>
  <c r="V31" i="9" s="1"/>
  <c r="Q31" i="9"/>
  <c r="T30" i="9"/>
  <c r="V30" i="9" s="1"/>
  <c r="Q30" i="9"/>
  <c r="T29" i="9"/>
  <c r="V29" i="9" s="1"/>
  <c r="Q29" i="9"/>
  <c r="T28" i="9"/>
  <c r="V28" i="9" s="1"/>
  <c r="Q28" i="9"/>
  <c r="T27" i="9"/>
  <c r="V27" i="9" s="1"/>
  <c r="Q27" i="9"/>
  <c r="T26" i="9"/>
  <c r="V26" i="9" s="1"/>
  <c r="Q26" i="9"/>
  <c r="T25" i="9"/>
  <c r="V25" i="9" s="1"/>
  <c r="Q25" i="9"/>
  <c r="T24" i="9"/>
  <c r="V24" i="9" s="1"/>
  <c r="Q24" i="9"/>
  <c r="T23" i="9"/>
  <c r="V23" i="9" s="1"/>
  <c r="Q23" i="9"/>
  <c r="T22" i="9"/>
  <c r="V22" i="9" s="1"/>
  <c r="Q22" i="9"/>
  <c r="T21" i="9"/>
  <c r="V21" i="9" s="1"/>
  <c r="Q21" i="9"/>
  <c r="T20" i="9"/>
  <c r="V20" i="9" s="1"/>
  <c r="Q20" i="9"/>
  <c r="T19" i="9"/>
  <c r="V19" i="9" s="1"/>
  <c r="Q19" i="9"/>
  <c r="T18" i="9"/>
  <c r="V18" i="9" s="1"/>
  <c r="Q18" i="9"/>
  <c r="T17" i="9"/>
  <c r="V17" i="9" s="1"/>
  <c r="Q17" i="9"/>
  <c r="T16" i="9"/>
  <c r="V16" i="9" s="1"/>
  <c r="Q16" i="9"/>
  <c r="T15" i="9"/>
  <c r="V15" i="9" s="1"/>
  <c r="Q15" i="9"/>
  <c r="T14" i="9"/>
  <c r="V14" i="9" s="1"/>
  <c r="Q14" i="9"/>
  <c r="T13" i="9"/>
  <c r="V13" i="9" s="1"/>
  <c r="Q13" i="9"/>
  <c r="T12" i="9"/>
  <c r="V12" i="9" s="1"/>
  <c r="Q12" i="9"/>
  <c r="T11" i="9"/>
  <c r="V11" i="9" s="1"/>
  <c r="Q11" i="9"/>
  <c r="T10" i="9"/>
  <c r="V10" i="9" s="1"/>
  <c r="Q10" i="9"/>
  <c r="T9" i="9"/>
  <c r="V9" i="9" s="1"/>
  <c r="Q9" i="9"/>
  <c r="T8" i="9"/>
  <c r="V8" i="9" s="1"/>
  <c r="Q8" i="9"/>
  <c r="T7" i="9"/>
  <c r="V7" i="9" s="1"/>
  <c r="Q7" i="9"/>
  <c r="T6" i="9"/>
  <c r="V6" i="9" s="1"/>
  <c r="Q6" i="9"/>
  <c r="T5" i="9"/>
  <c r="V5" i="9" s="1"/>
  <c r="Q5" i="9"/>
  <c r="T4" i="9"/>
  <c r="V4" i="9" s="1"/>
  <c r="Q4" i="9"/>
  <c r="T3" i="9"/>
  <c r="V3" i="9" s="1"/>
  <c r="Q3" i="9"/>
  <c r="T2" i="9"/>
  <c r="V2" i="9" s="1"/>
  <c r="Q2" i="9"/>
</calcChain>
</file>

<file path=xl/sharedStrings.xml><?xml version="1.0" encoding="utf-8"?>
<sst xmlns="http://schemas.openxmlformats.org/spreadsheetml/2006/main" count="18143" uniqueCount="417">
  <si>
    <t>県名</t>
  </si>
  <si>
    <t>国名</t>
  </si>
  <si>
    <t>シーズン</t>
  </si>
  <si>
    <t>日付</t>
  </si>
  <si>
    <t>チェーン名</t>
  </si>
  <si>
    <t>店舗名</t>
  </si>
  <si>
    <t>店の種類</t>
  </si>
  <si>
    <t>品種</t>
  </si>
  <si>
    <t>栽培方法</t>
  </si>
  <si>
    <t>ブランド名</t>
  </si>
  <si>
    <t>原産地</t>
  </si>
  <si>
    <t>検体
番号</t>
  </si>
  <si>
    <t>生産者
コード</t>
  </si>
  <si>
    <t>販売
ユニット
個数</t>
  </si>
  <si>
    <t>硬度
１</t>
  </si>
  <si>
    <t>硬度
２</t>
  </si>
  <si>
    <t>硬度
平均値</t>
  </si>
  <si>
    <t>糖度</t>
  </si>
  <si>
    <t>Weight</t>
  </si>
  <si>
    <t>サイズ</t>
  </si>
  <si>
    <t>U/P JPY</t>
  </si>
  <si>
    <t>トレイ換算の値段</t>
  </si>
  <si>
    <t>キウイ
の
売場面積
（トレイ数）</t>
  </si>
  <si>
    <t>棚のタイプ</t>
  </si>
  <si>
    <t>１番人気
果実</t>
  </si>
  <si>
    <t>２番人気
果実</t>
  </si>
  <si>
    <t>３番人気
果実</t>
  </si>
  <si>
    <t>Currency</t>
  </si>
  <si>
    <t>プランド名</t>
  </si>
  <si>
    <t>陳列棚
保冷状態</t>
  </si>
  <si>
    <t>人気果実</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</si>
  <si>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</si>
  <si>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</si>
  <si>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</si>
  <si>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</si>
  <si>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北海道</t>
  </si>
  <si>
    <t>コープさっぽろ</t>
  </si>
  <si>
    <t>食べ頃店</t>
  </si>
  <si>
    <t>その他グリーン</t>
  </si>
  <si>
    <t>一般栽培</t>
  </si>
  <si>
    <t>Zespri</t>
  </si>
  <si>
    <t>ﾆｭｰｼﾞｰﾗﾝﾄﾞ</t>
  </si>
  <si>
    <t>保冷あり</t>
  </si>
  <si>
    <t>いちご</t>
  </si>
  <si>
    <t>宮城</t>
  </si>
  <si>
    <t>イトーヨーカドー</t>
  </si>
  <si>
    <t>普通店</t>
  </si>
  <si>
    <t>その他ゴールド</t>
  </si>
  <si>
    <t>有機栽培</t>
  </si>
  <si>
    <t>Chiquita</t>
  </si>
  <si>
    <t>チリ</t>
  </si>
  <si>
    <t>保冷なし</t>
  </si>
  <si>
    <t>オレンジ</t>
  </si>
  <si>
    <t>東京</t>
  </si>
  <si>
    <t>マックスバリュ</t>
  </si>
  <si>
    <t>ロードショー</t>
  </si>
  <si>
    <t>その他レッド</t>
  </si>
  <si>
    <t>減農薬栽培</t>
  </si>
  <si>
    <t>D'lish</t>
  </si>
  <si>
    <t>中国</t>
  </si>
  <si>
    <t>柿</t>
  </si>
  <si>
    <t>大阪</t>
  </si>
  <si>
    <t>ビッグハウス</t>
  </si>
  <si>
    <t>HW</t>
  </si>
  <si>
    <t>CK</t>
  </si>
  <si>
    <t>Del Monte</t>
  </si>
  <si>
    <t>愛媛</t>
  </si>
  <si>
    <t>キウイフルーツ</t>
  </si>
  <si>
    <t>名古屋</t>
  </si>
  <si>
    <t>ラッキー</t>
  </si>
  <si>
    <t>GK</t>
  </si>
  <si>
    <t>OB</t>
  </si>
  <si>
    <t>JA愛媛</t>
  </si>
  <si>
    <t>福岡</t>
  </si>
  <si>
    <t>グレープフルーツ</t>
  </si>
  <si>
    <t>広島</t>
  </si>
  <si>
    <t>ホクレンショップ</t>
  </si>
  <si>
    <t>HE</t>
  </si>
  <si>
    <t>JA福岡</t>
  </si>
  <si>
    <t>長野</t>
  </si>
  <si>
    <t>さくらんぼ</t>
  </si>
  <si>
    <t>西友</t>
  </si>
  <si>
    <t>GA</t>
  </si>
  <si>
    <t>JA長野</t>
  </si>
  <si>
    <t>静岡</t>
  </si>
  <si>
    <t>スイカ</t>
  </si>
  <si>
    <t>岩手</t>
  </si>
  <si>
    <t>イオン</t>
  </si>
  <si>
    <t>RD</t>
  </si>
  <si>
    <t>JA静岡</t>
  </si>
  <si>
    <t>長崎</t>
  </si>
  <si>
    <t>梨</t>
  </si>
  <si>
    <t>福島</t>
  </si>
  <si>
    <t>ダイイチ</t>
  </si>
  <si>
    <t>JA長崎</t>
  </si>
  <si>
    <t>和歌山</t>
  </si>
  <si>
    <t>パイナップル</t>
  </si>
  <si>
    <t>神奈川</t>
  </si>
  <si>
    <t>ラルズマート</t>
  </si>
  <si>
    <t>JA和歌山</t>
  </si>
  <si>
    <t>佐賀</t>
  </si>
  <si>
    <t>バナナ</t>
  </si>
  <si>
    <t>埼玉</t>
  </si>
  <si>
    <t>JA佐賀</t>
  </si>
  <si>
    <t>群馬</t>
  </si>
  <si>
    <t>パパイヤ</t>
  </si>
  <si>
    <t>千葉</t>
  </si>
  <si>
    <t>JA群馬</t>
  </si>
  <si>
    <t>びわ</t>
  </si>
  <si>
    <t>石川</t>
  </si>
  <si>
    <t>JA福島</t>
  </si>
  <si>
    <t>熊本</t>
  </si>
  <si>
    <t>ブドウ</t>
  </si>
  <si>
    <t>岐阜</t>
  </si>
  <si>
    <t>JA熊本</t>
  </si>
  <si>
    <t>その他</t>
  </si>
  <si>
    <t>マンゴー</t>
  </si>
  <si>
    <t>兵庫</t>
  </si>
  <si>
    <t>アメリカ</t>
  </si>
  <si>
    <t>みかん</t>
  </si>
  <si>
    <t>京都</t>
  </si>
  <si>
    <t>ＪＡ大分</t>
  </si>
  <si>
    <t>メロン</t>
  </si>
  <si>
    <t>ＪＡ山梨</t>
  </si>
  <si>
    <t>大分</t>
  </si>
  <si>
    <t>桃</t>
  </si>
  <si>
    <t>ＪＡ香川</t>
  </si>
  <si>
    <t>山梨</t>
  </si>
  <si>
    <t>りんご</t>
  </si>
  <si>
    <t>ＪＡ徳島</t>
  </si>
  <si>
    <t>香川</t>
  </si>
  <si>
    <t>いちじく</t>
  </si>
  <si>
    <t>ＪＡ広島</t>
  </si>
  <si>
    <t>ラフランス</t>
  </si>
  <si>
    <t>ＪＡ山形</t>
  </si>
  <si>
    <t>徳島</t>
  </si>
  <si>
    <t>キラキラ</t>
  </si>
  <si>
    <t>グリーンアイ</t>
  </si>
  <si>
    <t>山形</t>
  </si>
  <si>
    <t>ＪＡ大阪</t>
  </si>
  <si>
    <t>ＪＡ神奈川</t>
  </si>
  <si>
    <t>宮崎</t>
  </si>
  <si>
    <t>ＪＡ石川</t>
  </si>
  <si>
    <t>JP</t>
  </si>
  <si>
    <t>利府店</t>
  </si>
  <si>
    <t>JPY</t>
  </si>
  <si>
    <t>みやぎ生協</t>
  </si>
  <si>
    <t>杉の入店</t>
  </si>
  <si>
    <t>ウジエ</t>
  </si>
  <si>
    <t>塩釜店</t>
  </si>
  <si>
    <t>ザ・ビッグ</t>
  </si>
  <si>
    <t>ヤマザワ</t>
  </si>
  <si>
    <t>多賀城店</t>
  </si>
  <si>
    <t>ヨークベニマル</t>
  </si>
  <si>
    <t>塩釜北浜店</t>
  </si>
  <si>
    <t>塩釜中の島店</t>
  </si>
  <si>
    <t>高砂駅前店</t>
  </si>
  <si>
    <t>フェルナ</t>
  </si>
  <si>
    <t>段の上店</t>
  </si>
  <si>
    <t>アオキスーパー</t>
  </si>
  <si>
    <t>日進店</t>
  </si>
  <si>
    <t>ピアゴ</t>
  </si>
  <si>
    <t>長久手南店</t>
  </si>
  <si>
    <t>カネスエ</t>
  </si>
  <si>
    <t>長久手店</t>
  </si>
  <si>
    <t>アピタ</t>
  </si>
  <si>
    <t>藤が丘店</t>
  </si>
  <si>
    <t>カネトク</t>
  </si>
  <si>
    <t>旬楽膳</t>
  </si>
  <si>
    <t>上野芝店</t>
  </si>
  <si>
    <t>デイリーカナート</t>
  </si>
  <si>
    <t>向ヶ丘店</t>
  </si>
  <si>
    <t>松源</t>
  </si>
  <si>
    <t>北条店</t>
  </si>
  <si>
    <t>ライフ</t>
  </si>
  <si>
    <t>石津店</t>
  </si>
  <si>
    <t>キンショー</t>
  </si>
  <si>
    <t>東湊店</t>
  </si>
  <si>
    <t>万代</t>
  </si>
  <si>
    <t>イズミヤ</t>
  </si>
  <si>
    <t>泉北店</t>
  </si>
  <si>
    <t>ダイエーグルメシティ</t>
  </si>
  <si>
    <t>深井店</t>
  </si>
  <si>
    <t>コノミヤ</t>
  </si>
  <si>
    <t>津久野店</t>
  </si>
  <si>
    <t>エブリィ</t>
  </si>
  <si>
    <t>山陽マルナカ</t>
  </si>
  <si>
    <t>フジグラン</t>
  </si>
  <si>
    <t>アルク</t>
  </si>
  <si>
    <t>イズミ</t>
  </si>
  <si>
    <t>フレスタ</t>
  </si>
  <si>
    <t>ユアーズ</t>
  </si>
  <si>
    <t>スパーク</t>
  </si>
  <si>
    <t>サニー</t>
  </si>
  <si>
    <t>マルショク</t>
  </si>
  <si>
    <t>マミーズ</t>
  </si>
  <si>
    <t>レッドキャベツ</t>
  </si>
  <si>
    <t>マルキョウ</t>
  </si>
  <si>
    <t>ダイキョーバリュー</t>
  </si>
  <si>
    <t>ボンラパス</t>
  </si>
  <si>
    <t>ニューヨークストア</t>
  </si>
  <si>
    <t>栃木</t>
  </si>
  <si>
    <t>サミット</t>
  </si>
  <si>
    <t>マルエツ</t>
  </si>
  <si>
    <t>松江店</t>
  </si>
  <si>
    <t>マックスバリュエクスプレス</t>
  </si>
  <si>
    <t>ヤマイチ</t>
  </si>
  <si>
    <t>コモディイイダ</t>
  </si>
  <si>
    <t>いなげや</t>
  </si>
  <si>
    <t>東武ストア</t>
  </si>
  <si>
    <t>新小岩店</t>
  </si>
  <si>
    <t>サミットストア</t>
  </si>
  <si>
    <t>ビッグ・エー</t>
  </si>
  <si>
    <t>Green
Other
最低重量</t>
  </si>
  <si>
    <t>Gold
最低重量</t>
  </si>
  <si>
    <t>MIKO</t>
  </si>
  <si>
    <t>MIKO</t>
    <phoneticPr fontId="13"/>
  </si>
  <si>
    <t>国名</t>
    <rPh sb="0" eb="1">
      <t>クニ</t>
    </rPh>
    <rPh sb="1" eb="2">
      <t>メイ</t>
    </rPh>
    <phoneticPr fontId="14"/>
  </si>
  <si>
    <t>シーズン</t>
    <phoneticPr fontId="14"/>
  </si>
  <si>
    <t>検体
番号</t>
    <phoneticPr fontId="14"/>
  </si>
  <si>
    <t>生産者
コード</t>
    <rPh sb="0" eb="3">
      <t>セイサンシャ</t>
    </rPh>
    <phoneticPr fontId="14"/>
  </si>
  <si>
    <t>硬度
１</t>
    <phoneticPr fontId="14"/>
  </si>
  <si>
    <t>硬度
２</t>
    <phoneticPr fontId="14"/>
  </si>
  <si>
    <t>硬度
平均値</t>
    <rPh sb="0" eb="2">
      <t>コウド</t>
    </rPh>
    <rPh sb="3" eb="6">
      <t>ヘイキンチ</t>
    </rPh>
    <phoneticPr fontId="14"/>
  </si>
  <si>
    <t>糖度</t>
    <phoneticPr fontId="14"/>
  </si>
  <si>
    <t>Weight</t>
    <phoneticPr fontId="14"/>
  </si>
  <si>
    <t>キウイ
の
売場面積
（トレイ数）</t>
    <rPh sb="6" eb="8">
      <t>ウリバ</t>
    </rPh>
    <rPh sb="8" eb="10">
      <t>メンセキ</t>
    </rPh>
    <rPh sb="15" eb="16">
      <t>スウ</t>
    </rPh>
    <phoneticPr fontId="14"/>
  </si>
  <si>
    <t>Currency</t>
    <phoneticPr fontId="14"/>
  </si>
  <si>
    <t>品種</t>
    <phoneticPr fontId="15"/>
  </si>
  <si>
    <t>陳列棚
保冷状態</t>
    <rPh sb="0" eb="3">
      <t>チンレツダナ</t>
    </rPh>
    <rPh sb="4" eb="6">
      <t>ホレイ</t>
    </rPh>
    <rPh sb="6" eb="8">
      <t>ジョウタイ</t>
    </rPh>
    <phoneticPr fontId="14"/>
  </si>
  <si>
    <r>
      <t xml:space="preserve">Green
Other
</t>
    </r>
    <r>
      <rPr>
        <b/>
        <sz val="8"/>
        <rFont val="ＭＳ Ｐゴシック"/>
        <family val="3"/>
        <charset val="128"/>
      </rPr>
      <t>最低重量</t>
    </r>
    <phoneticPr fontId="14"/>
  </si>
  <si>
    <t>Green
Other
SIZE</t>
    <phoneticPr fontId="14"/>
  </si>
  <si>
    <r>
      <t xml:space="preserve">Gold
</t>
    </r>
    <r>
      <rPr>
        <b/>
        <sz val="8"/>
        <rFont val="ＭＳ Ｐゴシック"/>
        <family val="3"/>
        <charset val="128"/>
      </rPr>
      <t>最低重量</t>
    </r>
    <phoneticPr fontId="14"/>
  </si>
  <si>
    <t>Gold
SIZE</t>
    <phoneticPr fontId="14"/>
  </si>
  <si>
    <t>18.05.2020</t>
    <phoneticPr fontId="15"/>
  </si>
  <si>
    <t>西友</t>
    <rPh sb="0" eb="2">
      <t>セイユウ</t>
    </rPh>
    <phoneticPr fontId="15"/>
  </si>
  <si>
    <t>宮の沢店</t>
    <rPh sb="0" eb="1">
      <t>ミヤ</t>
    </rPh>
    <rPh sb="2" eb="3">
      <t>サワ</t>
    </rPh>
    <rPh sb="3" eb="4">
      <t>テン</t>
    </rPh>
    <phoneticPr fontId="15"/>
  </si>
  <si>
    <t>西宮の沢店</t>
    <rPh sb="0" eb="2">
      <t>ニシミヤ</t>
    </rPh>
    <rPh sb="3" eb="4">
      <t>サワ</t>
    </rPh>
    <rPh sb="4" eb="5">
      <t>テン</t>
    </rPh>
    <phoneticPr fontId="15"/>
  </si>
  <si>
    <t>その他グリーン</t>
    <rPh sb="2" eb="3">
      <t>タ</t>
    </rPh>
    <phoneticPr fontId="14"/>
  </si>
  <si>
    <t>ﾆｭｰｼﾞｰﾗﾝﾄﾞ</t>
    <phoneticPr fontId="14"/>
  </si>
  <si>
    <t>琴似店</t>
    <rPh sb="0" eb="2">
      <t>コトニ</t>
    </rPh>
    <rPh sb="2" eb="3">
      <t>テン</t>
    </rPh>
    <phoneticPr fontId="15"/>
  </si>
  <si>
    <t>その他ゴールド</t>
    <rPh sb="2" eb="3">
      <t>タ</t>
    </rPh>
    <phoneticPr fontId="14"/>
  </si>
  <si>
    <t>マックスバリュ</t>
    <phoneticPr fontId="15"/>
  </si>
  <si>
    <t>新発寒店</t>
    <rPh sb="0" eb="1">
      <t>シン</t>
    </rPh>
    <rPh sb="1" eb="3">
      <t>ハッサム</t>
    </rPh>
    <rPh sb="3" eb="4">
      <t>テン</t>
    </rPh>
    <phoneticPr fontId="15"/>
  </si>
  <si>
    <t>その他レッド</t>
    <rPh sb="2" eb="3">
      <t>タ</t>
    </rPh>
    <phoneticPr fontId="15"/>
  </si>
  <si>
    <t>減農薬栽培</t>
    <rPh sb="0" eb="3">
      <t>ゲンノウヤク</t>
    </rPh>
    <rPh sb="3" eb="5">
      <t>サイバイ</t>
    </rPh>
    <phoneticPr fontId="14"/>
  </si>
  <si>
    <t>D'lish</t>
    <phoneticPr fontId="14"/>
  </si>
  <si>
    <t>中国</t>
    <phoneticPr fontId="14"/>
  </si>
  <si>
    <t>ウエスト店</t>
    <rPh sb="4" eb="5">
      <t>テン</t>
    </rPh>
    <phoneticPr fontId="15"/>
  </si>
  <si>
    <t>HW</t>
    <phoneticPr fontId="14"/>
  </si>
  <si>
    <t>CK</t>
    <phoneticPr fontId="14"/>
  </si>
  <si>
    <t>Del Monte</t>
    <phoneticPr fontId="15"/>
  </si>
  <si>
    <t>発寒店</t>
    <rPh sb="0" eb="2">
      <t>ハッサム</t>
    </rPh>
    <rPh sb="2" eb="3">
      <t>テン</t>
    </rPh>
    <phoneticPr fontId="15"/>
  </si>
  <si>
    <t>GK</t>
    <phoneticPr fontId="14"/>
  </si>
  <si>
    <t>OB</t>
    <phoneticPr fontId="14"/>
  </si>
  <si>
    <t>Foodfarm新発寒店</t>
    <rPh sb="8" eb="9">
      <t>シン</t>
    </rPh>
    <rPh sb="9" eb="11">
      <t>ハッサム</t>
    </rPh>
    <rPh sb="11" eb="12">
      <t>テン</t>
    </rPh>
    <phoneticPr fontId="15"/>
  </si>
  <si>
    <t>HE</t>
    <phoneticPr fontId="14"/>
  </si>
  <si>
    <t>長野</t>
    <rPh sb="0" eb="2">
      <t>ナガノ</t>
    </rPh>
    <phoneticPr fontId="14"/>
  </si>
  <si>
    <t>GA</t>
    <phoneticPr fontId="14"/>
  </si>
  <si>
    <t>岩手</t>
    <rPh sb="0" eb="2">
      <t>イワテ</t>
    </rPh>
    <phoneticPr fontId="14"/>
  </si>
  <si>
    <t>札幌発寒店</t>
    <rPh sb="2" eb="4">
      <t>ハッサム</t>
    </rPh>
    <rPh sb="4" eb="5">
      <t>テン</t>
    </rPh>
    <phoneticPr fontId="15"/>
  </si>
  <si>
    <t>RD</t>
    <phoneticPr fontId="15"/>
  </si>
  <si>
    <t>長崎</t>
    <rPh sb="0" eb="2">
      <t>ナガサキ</t>
    </rPh>
    <phoneticPr fontId="14"/>
  </si>
  <si>
    <t>福島</t>
    <rPh sb="0" eb="2">
      <t>フクシマ</t>
    </rPh>
    <phoneticPr fontId="14"/>
  </si>
  <si>
    <t>ダイイチ</t>
    <phoneticPr fontId="15"/>
  </si>
  <si>
    <t>発寒中央駅前店</t>
    <rPh sb="0" eb="2">
      <t>ハッサム</t>
    </rPh>
    <rPh sb="2" eb="4">
      <t>チュウオウ</t>
    </rPh>
    <rPh sb="4" eb="5">
      <t>エキ</t>
    </rPh>
    <rPh sb="5" eb="6">
      <t>マエ</t>
    </rPh>
    <rPh sb="6" eb="7">
      <t>テン</t>
    </rPh>
    <phoneticPr fontId="15"/>
  </si>
  <si>
    <t>和歌山</t>
    <rPh sb="0" eb="3">
      <t>ワカヤマ</t>
    </rPh>
    <phoneticPr fontId="14"/>
  </si>
  <si>
    <t>神奈川</t>
    <rPh sb="0" eb="3">
      <t>カナガワ</t>
    </rPh>
    <phoneticPr fontId="14"/>
  </si>
  <si>
    <t>佐賀</t>
    <rPh sb="0" eb="2">
      <t>サガ</t>
    </rPh>
    <phoneticPr fontId="14"/>
  </si>
  <si>
    <t>埼玉</t>
    <rPh sb="0" eb="2">
      <t>サイタマ</t>
    </rPh>
    <phoneticPr fontId="14"/>
  </si>
  <si>
    <t>群馬</t>
    <rPh sb="0" eb="2">
      <t>グンマ</t>
    </rPh>
    <phoneticPr fontId="14"/>
  </si>
  <si>
    <t>千葉</t>
    <rPh sb="0" eb="2">
      <t>チバ</t>
    </rPh>
    <phoneticPr fontId="14"/>
  </si>
  <si>
    <t>石川</t>
    <rPh sb="0" eb="2">
      <t>イシカワ</t>
    </rPh>
    <phoneticPr fontId="14"/>
  </si>
  <si>
    <t>熊本</t>
    <rPh sb="0" eb="2">
      <t>クマモト</t>
    </rPh>
    <phoneticPr fontId="14"/>
  </si>
  <si>
    <t>岐阜</t>
    <rPh sb="0" eb="2">
      <t>ギフ</t>
    </rPh>
    <phoneticPr fontId="14"/>
  </si>
  <si>
    <t>その他</t>
    <rPh sb="2" eb="3">
      <t>タ</t>
    </rPh>
    <phoneticPr fontId="14"/>
  </si>
  <si>
    <t>兵庫</t>
    <rPh sb="0" eb="2">
      <t>ヒョウゴ</t>
    </rPh>
    <phoneticPr fontId="14"/>
  </si>
  <si>
    <t>京都</t>
    <rPh sb="0" eb="2">
      <t>キョウト</t>
    </rPh>
    <phoneticPr fontId="14"/>
  </si>
  <si>
    <t>ＪＡ大分</t>
    <rPh sb="2" eb="4">
      <t>オオイタ</t>
    </rPh>
    <phoneticPr fontId="14"/>
  </si>
  <si>
    <t>ＪＡ山梨</t>
    <rPh sb="2" eb="4">
      <t>ヤマナシ</t>
    </rPh>
    <phoneticPr fontId="14"/>
  </si>
  <si>
    <t>ＪＡ香川</t>
    <rPh sb="2" eb="4">
      <t>カガワ</t>
    </rPh>
    <phoneticPr fontId="14"/>
  </si>
  <si>
    <t>山梨</t>
    <rPh sb="0" eb="2">
      <t>ヤマナシ</t>
    </rPh>
    <phoneticPr fontId="14"/>
  </si>
  <si>
    <t>ＪＡ徳島</t>
    <rPh sb="2" eb="4">
      <t>トクシマ</t>
    </rPh>
    <phoneticPr fontId="14"/>
  </si>
  <si>
    <t>いちじく</t>
    <phoneticPr fontId="14"/>
  </si>
  <si>
    <t>ＪＡ広島</t>
    <rPh sb="2" eb="4">
      <t>ヒロシマ</t>
    </rPh>
    <phoneticPr fontId="14"/>
  </si>
  <si>
    <t>ラフランス</t>
    <phoneticPr fontId="15"/>
  </si>
  <si>
    <t>ＪＡ山形</t>
    <rPh sb="2" eb="4">
      <t>ヤマガタ</t>
    </rPh>
    <phoneticPr fontId="14"/>
  </si>
  <si>
    <t>キラキラ</t>
    <phoneticPr fontId="14"/>
  </si>
  <si>
    <t>グリーンアイ</t>
    <phoneticPr fontId="14"/>
  </si>
  <si>
    <t>ＪＡ大阪</t>
    <rPh sb="2" eb="4">
      <t>オオサカ</t>
    </rPh>
    <phoneticPr fontId="14"/>
  </si>
  <si>
    <t>大阪</t>
    <rPh sb="0" eb="2">
      <t>オオサカ</t>
    </rPh>
    <phoneticPr fontId="14"/>
  </si>
  <si>
    <t>ＪＡ神奈川</t>
    <rPh sb="2" eb="5">
      <t>カナガワ</t>
    </rPh>
    <phoneticPr fontId="14"/>
  </si>
  <si>
    <t>宮崎</t>
    <rPh sb="0" eb="2">
      <t>ミヤザキ</t>
    </rPh>
    <phoneticPr fontId="15"/>
  </si>
  <si>
    <t>ＪＡ石川</t>
    <rPh sb="2" eb="4">
      <t>イシカワ</t>
    </rPh>
    <phoneticPr fontId="14"/>
  </si>
  <si>
    <t>栃木</t>
    <rPh sb="0" eb="2">
      <t>トチギ</t>
    </rPh>
    <phoneticPr fontId="15"/>
  </si>
  <si>
    <t>ＪＡ栃木</t>
    <rPh sb="2" eb="4">
      <t>トチギ</t>
    </rPh>
    <phoneticPr fontId="14"/>
  </si>
  <si>
    <t>愛知</t>
    <phoneticPr fontId="15"/>
  </si>
  <si>
    <t>ＪＡ愛知</t>
    <rPh sb="2" eb="4">
      <t>アイチ</t>
    </rPh>
    <phoneticPr fontId="14"/>
  </si>
  <si>
    <t>21.05.2020</t>
    <phoneticPr fontId="13"/>
  </si>
  <si>
    <t>ＪＡ栃木</t>
  </si>
  <si>
    <t>愛知</t>
  </si>
  <si>
    <t>ＪＡ愛知</t>
  </si>
  <si>
    <t>県名</t>
    <phoneticPr fontId="15"/>
  </si>
  <si>
    <t>チェーン名</t>
    <phoneticPr fontId="15"/>
  </si>
  <si>
    <t>販売
ユニット
個数</t>
    <phoneticPr fontId="14"/>
  </si>
  <si>
    <t>U/P JPY</t>
    <phoneticPr fontId="14"/>
  </si>
  <si>
    <t>JP</t>
    <phoneticPr fontId="14"/>
  </si>
  <si>
    <t>19.05.2020</t>
    <phoneticPr fontId="14"/>
  </si>
  <si>
    <t>楠木</t>
    <rPh sb="0" eb="1">
      <t>クスノキ</t>
    </rPh>
    <rPh sb="1" eb="2">
      <t>キ</t>
    </rPh>
    <phoneticPr fontId="15"/>
  </si>
  <si>
    <t>JPY</t>
    <phoneticPr fontId="14"/>
  </si>
  <si>
    <t>エブリィ</t>
    <phoneticPr fontId="15"/>
  </si>
  <si>
    <t>山陽マルナカ</t>
    <phoneticPr fontId="15"/>
  </si>
  <si>
    <t>白島店</t>
    <rPh sb="0" eb="1">
      <t>シロ</t>
    </rPh>
    <rPh sb="1" eb="2">
      <t>シマ</t>
    </rPh>
    <rPh sb="2" eb="3">
      <t>テン</t>
    </rPh>
    <phoneticPr fontId="15"/>
  </si>
  <si>
    <t>福屋</t>
    <rPh sb="0" eb="2">
      <t>フクヤ</t>
    </rPh>
    <phoneticPr fontId="15"/>
  </si>
  <si>
    <t>食品館ＦＲＥＤ店</t>
    <rPh sb="0" eb="2">
      <t>ショクヒン</t>
    </rPh>
    <rPh sb="2" eb="3">
      <t>カン</t>
    </rPh>
    <rPh sb="7" eb="8">
      <t>テン</t>
    </rPh>
    <phoneticPr fontId="15"/>
  </si>
  <si>
    <t>フジグラン</t>
    <phoneticPr fontId="15"/>
  </si>
  <si>
    <t>広島店</t>
    <rPh sb="0" eb="2">
      <t>ヒロシマ</t>
    </rPh>
    <rPh sb="2" eb="3">
      <t>テン</t>
    </rPh>
    <phoneticPr fontId="15"/>
  </si>
  <si>
    <t>東千田店</t>
    <rPh sb="3" eb="4">
      <t>テン</t>
    </rPh>
    <phoneticPr fontId="15"/>
  </si>
  <si>
    <t>イズミ</t>
    <phoneticPr fontId="15"/>
  </si>
  <si>
    <t>ゆめタウン広島店</t>
    <rPh sb="5" eb="7">
      <t>ヒロシマ</t>
    </rPh>
    <rPh sb="7" eb="8">
      <t>テン</t>
    </rPh>
    <phoneticPr fontId="15"/>
  </si>
  <si>
    <t>フレスタ</t>
    <phoneticPr fontId="15"/>
  </si>
  <si>
    <t>上天満店</t>
    <rPh sb="0" eb="1">
      <t>ウエ</t>
    </rPh>
    <rPh sb="1" eb="3">
      <t>テンマン</t>
    </rPh>
    <rPh sb="3" eb="4">
      <t>テン</t>
    </rPh>
    <phoneticPr fontId="15"/>
  </si>
  <si>
    <t>ユアーズ</t>
    <phoneticPr fontId="15"/>
  </si>
  <si>
    <t>十日市店</t>
    <rPh sb="3" eb="4">
      <t>テン</t>
    </rPh>
    <phoneticPr fontId="15"/>
  </si>
  <si>
    <t>スパーク</t>
    <phoneticPr fontId="15"/>
  </si>
  <si>
    <t>バナナ</t>
    <phoneticPr fontId="14"/>
  </si>
  <si>
    <t>パパイヤ</t>
    <phoneticPr fontId="14"/>
  </si>
  <si>
    <t>びわ</t>
    <phoneticPr fontId="14"/>
  </si>
  <si>
    <t>メロン</t>
    <phoneticPr fontId="14"/>
  </si>
  <si>
    <t>桃</t>
    <phoneticPr fontId="14"/>
  </si>
  <si>
    <t>ブドウ</t>
    <phoneticPr fontId="14"/>
  </si>
  <si>
    <t>ラフランス</t>
    <phoneticPr fontId="14"/>
  </si>
  <si>
    <t>りんご</t>
    <phoneticPr fontId="14"/>
  </si>
  <si>
    <t>みかん</t>
    <phoneticPr fontId="14"/>
  </si>
  <si>
    <t>マンゴー</t>
    <phoneticPr fontId="15"/>
  </si>
  <si>
    <t>山口</t>
    <rPh sb="0" eb="2">
      <t>ヤマグチ</t>
    </rPh>
    <phoneticPr fontId="14"/>
  </si>
  <si>
    <t>JP</t>
    <phoneticPr fontId="15"/>
  </si>
  <si>
    <t>20.05.2020</t>
    <phoneticPr fontId="15"/>
  </si>
  <si>
    <t>野間大池</t>
    <rPh sb="0" eb="2">
      <t>ノマ</t>
    </rPh>
    <rPh sb="2" eb="4">
      <t>オオイケ</t>
    </rPh>
    <phoneticPr fontId="15"/>
  </si>
  <si>
    <t>甘夏</t>
    <rPh sb="0" eb="2">
      <t>アマナツ</t>
    </rPh>
    <phoneticPr fontId="15"/>
  </si>
  <si>
    <t>JPY</t>
    <phoneticPr fontId="15"/>
  </si>
  <si>
    <t>野間</t>
    <rPh sb="0" eb="2">
      <t>ノマ</t>
    </rPh>
    <phoneticPr fontId="15"/>
  </si>
  <si>
    <t>一般栽培</t>
    <phoneticPr fontId="14"/>
  </si>
  <si>
    <t>バナナ</t>
    <phoneticPr fontId="15"/>
  </si>
  <si>
    <t>美野島</t>
    <rPh sb="0" eb="1">
      <t>ミ</t>
    </rPh>
    <rPh sb="1" eb="2">
      <t>ノ</t>
    </rPh>
    <rPh sb="2" eb="3">
      <t>シマ</t>
    </rPh>
    <phoneticPr fontId="15"/>
  </si>
  <si>
    <t>福岡</t>
    <rPh sb="0" eb="2">
      <t>フクオカ</t>
    </rPh>
    <phoneticPr fontId="14"/>
  </si>
  <si>
    <t>りんご</t>
    <phoneticPr fontId="15"/>
  </si>
  <si>
    <t>西鉄ストア</t>
    <rPh sb="0" eb="2">
      <t>ニシテツ</t>
    </rPh>
    <phoneticPr fontId="15"/>
  </si>
  <si>
    <t>高宮</t>
    <rPh sb="0" eb="2">
      <t>タカミヤ</t>
    </rPh>
    <phoneticPr fontId="15"/>
  </si>
  <si>
    <t>Del Monte</t>
    <phoneticPr fontId="14"/>
  </si>
  <si>
    <t>いちご</t>
    <phoneticPr fontId="15"/>
  </si>
  <si>
    <t>博多駅南</t>
    <rPh sb="0" eb="3">
      <t>ハカタエキ</t>
    </rPh>
    <rPh sb="3" eb="4">
      <t>ミナミ</t>
    </rPh>
    <phoneticPr fontId="15"/>
  </si>
  <si>
    <t>佐賀</t>
    <rPh sb="0" eb="2">
      <t>サガ</t>
    </rPh>
    <phoneticPr fontId="15"/>
  </si>
  <si>
    <t>清水</t>
    <rPh sb="0" eb="2">
      <t>シミズ</t>
    </rPh>
    <phoneticPr fontId="15"/>
  </si>
  <si>
    <t>韓国</t>
    <rPh sb="0" eb="2">
      <t>カンコク</t>
    </rPh>
    <phoneticPr fontId="14"/>
  </si>
  <si>
    <t>大橋</t>
    <rPh sb="0" eb="2">
      <t>オオハシ</t>
    </rPh>
    <phoneticPr fontId="15"/>
  </si>
  <si>
    <t>JA伊万里</t>
    <rPh sb="2" eb="5">
      <t>イマリ</t>
    </rPh>
    <phoneticPr fontId="15"/>
  </si>
  <si>
    <t>住吉</t>
    <rPh sb="0" eb="2">
      <t>スミヨシ</t>
    </rPh>
    <phoneticPr fontId="15"/>
  </si>
  <si>
    <t>JA全農ふくれん</t>
    <rPh sb="2" eb="4">
      <t>ゼンノウ</t>
    </rPh>
    <phoneticPr fontId="15"/>
  </si>
  <si>
    <t>栃木</t>
    <rPh sb="0" eb="2">
      <t>トチギ</t>
    </rPh>
    <phoneticPr fontId="14"/>
  </si>
  <si>
    <t>オレンジ</t>
    <phoneticPr fontId="15"/>
  </si>
  <si>
    <t>山神農園</t>
    <rPh sb="0" eb="4">
      <t>ヤマガミノウエン</t>
    </rPh>
    <phoneticPr fontId="15"/>
  </si>
  <si>
    <t>喜芳園</t>
    <rPh sb="0" eb="1">
      <t>ヨロコ</t>
    </rPh>
    <rPh sb="1" eb="2">
      <t>ヨシモト</t>
    </rPh>
    <rPh sb="2" eb="3">
      <t>¥</t>
    </rPh>
    <phoneticPr fontId="15"/>
  </si>
  <si>
    <t>ＪＡみなみ筑後</t>
    <rPh sb="5" eb="7">
      <t>チクゴ</t>
    </rPh>
    <phoneticPr fontId="14"/>
  </si>
  <si>
    <t>柿</t>
    <rPh sb="0" eb="1">
      <t>カキ</t>
    </rPh>
    <phoneticPr fontId="15"/>
  </si>
  <si>
    <t>日本生態農業協会</t>
    <rPh sb="0" eb="2">
      <t>ニホンセイタイ</t>
    </rPh>
    <rPh sb="2" eb="4">
      <t>セイタイ</t>
    </rPh>
    <rPh sb="4" eb="6">
      <t>ノウギョウ</t>
    </rPh>
    <rPh sb="6" eb="8">
      <t>キョウカイ</t>
    </rPh>
    <phoneticPr fontId="14"/>
  </si>
  <si>
    <t>ＪＡ八女</t>
    <rPh sb="2" eb="4">
      <t>ヤメ</t>
    </rPh>
    <phoneticPr fontId="14"/>
  </si>
  <si>
    <t>プラム</t>
    <phoneticPr fontId="15"/>
  </si>
  <si>
    <t>ぽんかん</t>
    <phoneticPr fontId="15"/>
  </si>
  <si>
    <t>アメリカンチェリー</t>
    <phoneticPr fontId="15"/>
  </si>
  <si>
    <t>山口</t>
    <rPh sb="0" eb="2">
      <t>ヤマグチ</t>
    </rPh>
    <phoneticPr fontId="15"/>
  </si>
  <si>
    <t>21.05.2020</t>
    <phoneticPr fontId="15"/>
  </si>
  <si>
    <t>大森町</t>
    <rPh sb="0" eb="2">
      <t>オオモリ</t>
    </rPh>
    <rPh sb="2" eb="3">
      <t>マチ</t>
    </rPh>
    <phoneticPr fontId="13"/>
  </si>
  <si>
    <t>マルエツ</t>
    <phoneticPr fontId="13"/>
  </si>
  <si>
    <t>サミット</t>
    <phoneticPr fontId="13"/>
  </si>
  <si>
    <t>大森西</t>
    <rPh sb="0" eb="3">
      <t>オオモリニシ</t>
    </rPh>
    <phoneticPr fontId="13"/>
  </si>
  <si>
    <t>ライフ</t>
    <phoneticPr fontId="13"/>
  </si>
  <si>
    <t>マチノマ大森</t>
    <rPh sb="4" eb="6">
      <t>オオモリ</t>
    </rPh>
    <phoneticPr fontId="13"/>
  </si>
  <si>
    <t>東武ストア</t>
    <rPh sb="0" eb="2">
      <t>トウブ</t>
    </rPh>
    <phoneticPr fontId="13"/>
  </si>
  <si>
    <t>大森</t>
    <rPh sb="0" eb="2">
      <t>オオモリ</t>
    </rPh>
    <phoneticPr fontId="13"/>
  </si>
  <si>
    <t>オオゼキ</t>
    <phoneticPr fontId="13"/>
  </si>
  <si>
    <t>大森北</t>
    <rPh sb="0" eb="3">
      <t>オオモリキタ</t>
    </rPh>
    <phoneticPr fontId="13"/>
  </si>
  <si>
    <t>ＩＹ</t>
    <phoneticPr fontId="13"/>
  </si>
  <si>
    <t>西友</t>
    <rPh sb="0" eb="2">
      <t>セイユウ</t>
    </rPh>
    <phoneticPr fontId="13"/>
  </si>
  <si>
    <t>東急ストア</t>
    <rPh sb="0" eb="2">
      <t>トウキュウ</t>
    </rPh>
    <phoneticPr fontId="13"/>
  </si>
  <si>
    <t>成城石井</t>
    <rPh sb="0" eb="4">
      <t>セイジョウイシイ</t>
    </rPh>
    <phoneticPr fontId="13"/>
  </si>
  <si>
    <t>アトレ大森</t>
    <rPh sb="3" eb="5">
      <t>オオモリ</t>
    </rPh>
    <phoneticPr fontId="13"/>
  </si>
  <si>
    <t>大森駅前</t>
    <rPh sb="0" eb="2">
      <t>オオモリ</t>
    </rPh>
    <rPh sb="2" eb="3">
      <t>エキ</t>
    </rPh>
    <rPh sb="3" eb="4">
      <t>マエ</t>
    </rPh>
    <phoneticPr fontId="13"/>
  </si>
  <si>
    <t>オオゼキ</t>
  </si>
  <si>
    <t>ＩＹ</t>
  </si>
  <si>
    <t>CK</t>
    <phoneticPr fontId="15"/>
  </si>
  <si>
    <t>２番人気
果実</t>
    <phoneticPr fontId="15"/>
  </si>
  <si>
    <t>江戸川本一色店</t>
    <rPh sb="0" eb="3">
      <t>エドガワ</t>
    </rPh>
    <rPh sb="3" eb="6">
      <t>ホンイッシキ</t>
    </rPh>
    <rPh sb="6" eb="7">
      <t>テン</t>
    </rPh>
    <phoneticPr fontId="15"/>
  </si>
  <si>
    <t>ビッグ・エー</t>
    <phoneticPr fontId="15"/>
  </si>
  <si>
    <t>東武ストア</t>
    <phoneticPr fontId="15"/>
  </si>
  <si>
    <t>新小岩店</t>
    <phoneticPr fontId="15"/>
  </si>
  <si>
    <t>ライフ</t>
    <phoneticPr fontId="15"/>
  </si>
  <si>
    <t>本一色店</t>
    <rPh sb="0" eb="3">
      <t>ホンイッシキ</t>
    </rPh>
    <phoneticPr fontId="15"/>
  </si>
  <si>
    <t>ヤマイチ</t>
    <phoneticPr fontId="15"/>
  </si>
  <si>
    <t>中央店</t>
    <rPh sb="0" eb="2">
      <t>チュウオウ</t>
    </rPh>
    <rPh sb="2" eb="3">
      <t>テン</t>
    </rPh>
    <phoneticPr fontId="15"/>
  </si>
  <si>
    <t>サミットストア</t>
    <phoneticPr fontId="15"/>
  </si>
  <si>
    <t>江戸川区役所前店</t>
    <rPh sb="0" eb="3">
      <t>エドガワ</t>
    </rPh>
    <rPh sb="3" eb="6">
      <t>クヤクショ</t>
    </rPh>
    <rPh sb="6" eb="7">
      <t>マエ</t>
    </rPh>
    <rPh sb="7" eb="8">
      <t>テン</t>
    </rPh>
    <phoneticPr fontId="15"/>
  </si>
  <si>
    <t>江戸川中央店</t>
    <rPh sb="0" eb="3">
      <t>エドガワ</t>
    </rPh>
    <rPh sb="3" eb="5">
      <t>チュウオウ</t>
    </rPh>
    <rPh sb="5" eb="6">
      <t>テン</t>
    </rPh>
    <phoneticPr fontId="15"/>
  </si>
  <si>
    <t>マックスバリュエクスプレス</t>
    <phoneticPr fontId="15"/>
  </si>
  <si>
    <t>松島店</t>
    <rPh sb="0" eb="1">
      <t>マツ</t>
    </rPh>
    <rPh sb="1" eb="2">
      <t>シマ</t>
    </rPh>
    <rPh sb="2" eb="3">
      <t>テン</t>
    </rPh>
    <phoneticPr fontId="15"/>
  </si>
  <si>
    <t>マルエツ</t>
    <phoneticPr fontId="15"/>
  </si>
  <si>
    <t>松江店</t>
    <phoneticPr fontId="15"/>
  </si>
  <si>
    <t>コモディイイダ</t>
    <phoneticPr fontId="15"/>
  </si>
  <si>
    <t>西瑞江店</t>
    <rPh sb="0" eb="3">
      <t>ニシミズエ</t>
    </rPh>
    <rPh sb="3" eb="4">
      <t>テン</t>
    </rPh>
    <phoneticPr fontId="15"/>
  </si>
  <si>
    <t>いなげや</t>
    <phoneticPr fontId="15"/>
  </si>
  <si>
    <t>江戸川春江店</t>
    <rPh sb="0" eb="3">
      <t>エドガワ</t>
    </rPh>
    <rPh sb="3" eb="5">
      <t>ハルエ</t>
    </rPh>
    <rPh sb="5" eb="6">
      <t>テン</t>
    </rPh>
    <phoneticPr fontId="15"/>
  </si>
  <si>
    <t>19.05.2020</t>
    <phoneticPr fontId="13"/>
  </si>
  <si>
    <t>ﾆｭｰｼﾞｰﾗﾝﾄﾞ</t>
    <phoneticPr fontId="13"/>
  </si>
  <si>
    <t>津久野店</t>
    <phoneticPr fontId="13"/>
  </si>
  <si>
    <t>22.05.2020</t>
    <phoneticPr fontId="13"/>
  </si>
  <si>
    <t>Zespri</t>
    <phoneticPr fontId="13"/>
  </si>
  <si>
    <t>ﾆｭｰｼﾞｰﾗﾝﾄﾞ</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</si>
</sst>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17" x14ac:knownFonts="1">
    <font>
      <sz val="11"/>
      <color theme="1"/>
      <name val="ＭＳ Ｐゴシック"/>
      <charset val="128"/>
      <scheme val="minor"/>
    </font>
    <font>
      <sz val="11"/>
      <color theme="1"/>
      <name val="ＭＳ Ｐゴシック"/>
      <family val="2"/>
      <charset val="128"/>
      <scheme val="minor"/>
    </font>
    <font>
      <sz val="11"/>
      <name val="ＭＳ Ｐゴシック"/>
      <family val="3"/>
      <charset val="128"/>
    </font>
    <font>
      <sz val="9"/>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sz val="10"/>
      <name val="ＭＳ Ｐゴシック"/>
      <family val="3"/>
      <charset val="128"/>
    </font>
    <font>
      <b/>
      <sz val="8"/>
      <name val="Arial"/>
      <family val="2"/>
    </font>
    <font>
      <sz val="11"/>
      <color indexed="8"/>
      <name val="ＭＳ Ｐゴシック"/>
      <family val="3"/>
      <charset val="128"/>
    </font>
    <font>
      <sz val="1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3"/>
      <charset val="128"/>
    </font>
    <font>
      <sz val="6"/>
      <name val="ＭＳ Ｐゴシック"/>
      <family val="2"/>
      <charset val="128"/>
      <scheme val="minor"/>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indexed="40"/>
        <bgColor indexed="64"/>
      </patternFill>
    </fill>
  </fills>
  <borders count="39">
    <border>
      <left/>
      <right/>
      <top/>
      <bottom/>
      <diagonal/>
    </border>
    <border>
      <left style="thin">
        <color auto="1"/>
      </left>
      <right style="hair">
        <color auto="1"/>
      </right>
      <top style="thin">
        <color auto="1"/>
      </top>
      <bottom style="thin">
        <color auto="1"/>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diagonal/>
    </border>
    <border>
      <left/>
      <right/>
      <top style="thin">
        <color theme="0" tint="-0.14993743705557422"/>
      </top>
      <bottom style="thin">
        <color theme="0" tint="-0.14993743705557422"/>
      </bottom>
      <diagonal/>
    </border>
    <border>
      <left style="thin">
        <color auto="1"/>
      </left>
      <right/>
      <top/>
      <bottom/>
      <diagonal/>
    </border>
    <border>
      <left style="hair">
        <color auto="1"/>
      </left>
      <right style="thin">
        <color auto="1"/>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s>
  <cellStyleXfs count="7">
    <xf numFmtId="0" fontId="0" fillId="0" borderId="0">
      <alignment vertical="center"/>
    </xf>
    <xf numFmtId="0" fontId="12" fillId="0" borderId="0">
      <alignment vertical="center"/>
    </xf>
    <xf numFmtId="0" fontId="10" fillId="0" borderId="0">
      <alignment vertical="center"/>
    </xf>
    <xf numFmtId="0" fontId="2" fillId="0" borderId="0"/>
    <xf numFmtId="0" fontId="2" fillId="0" borderId="0">
      <alignment vertical="center"/>
    </xf>
    <xf numFmtId="0" fontId="12" fillId="0" borderId="0">
      <alignment vertical="center"/>
    </xf>
    <xf numFmtId="0" fontId="1" fillId="0" borderId="0">
      <alignment vertical="center"/>
    </xf>
  </cellStyleXfs>
  <cellXfs count="145">
    <xf numFmtId="0" fontId="0" fillId="0" borderId="0" xfId="0">
      <alignment vertical="center"/>
    </xf>
    <xf numFmtId="0" fontId="2" fillId="0" borderId="0" xfId="3"/>
    <xf numFmtId="0" fontId="2" fillId="2" borderId="0" xfId="3" applyFill="1"/>
    <xf numFmtId="49" fontId="3" fillId="3" borderId="1" xfId="3" applyNumberFormat="1" applyFont="1" applyFill="1" applyBorder="1" applyAlignment="1">
      <alignment horizontal="center" vertical="center" wrapText="1"/>
    </xf>
    <xf numFmtId="49" fontId="3" fillId="3" borderId="3" xfId="3" applyNumberFormat="1" applyFont="1" applyFill="1" applyBorder="1" applyAlignment="1">
      <alignment horizontal="center" vertical="center" wrapText="1"/>
    </xf>
    <xf numFmtId="49" fontId="3" fillId="2" borderId="3" xfId="3" applyNumberFormat="1" applyFont="1" applyFill="1" applyBorder="1" applyAlignment="1">
      <alignment horizontal="center" vertical="center" wrapText="1"/>
    </xf>
    <xf numFmtId="49" fontId="5" fillId="2" borderId="3" xfId="3" applyNumberFormat="1" applyFont="1" applyFill="1" applyBorder="1" applyAlignment="1">
      <alignment horizontal="center" vertical="center" wrapText="1"/>
    </xf>
    <xf numFmtId="176" fontId="2" fillId="2" borderId="0" xfId="3" applyNumberFormat="1" applyFill="1"/>
    <xf numFmtId="49" fontId="3" fillId="3" borderId="4" xfId="3" applyNumberFormat="1" applyFont="1" applyFill="1" applyBorder="1" applyAlignment="1">
      <alignment horizontal="center" vertical="center" wrapText="1"/>
    </xf>
    <xf numFmtId="0" fontId="8" fillId="0" borderId="8" xfId="3" applyFont="1" applyBorder="1"/>
    <xf numFmtId="0" fontId="8" fillId="0" borderId="9" xfId="3" applyFont="1" applyBorder="1"/>
    <xf numFmtId="0" fontId="7" fillId="0" borderId="6" xfId="3" applyFont="1" applyBorder="1" applyAlignment="1">
      <alignment horizontal="center" vertical="center"/>
    </xf>
    <xf numFmtId="0" fontId="2" fillId="0" borderId="8" xfId="3" applyBorder="1"/>
    <xf numFmtId="0" fontId="2" fillId="0" borderId="9" xfId="3" applyBorder="1"/>
    <xf numFmtId="0" fontId="2" fillId="0" borderId="12" xfId="3" applyBorder="1"/>
    <xf numFmtId="0" fontId="0" fillId="0" borderId="8" xfId="3" applyFont="1" applyBorder="1"/>
    <xf numFmtId="0" fontId="0" fillId="0" borderId="0" xfId="3" applyFont="1"/>
    <xf numFmtId="0" fontId="12" fillId="0" borderId="0" xfId="1">
      <alignment vertical="center"/>
    </xf>
    <xf numFmtId="0" fontId="7" fillId="0" borderId="6" xfId="3" applyFont="1" applyBorder="1" applyAlignment="1">
      <alignment horizontal="center" vertical="center" wrapText="1"/>
    </xf>
    <xf numFmtId="0" fontId="2" fillId="0" borderId="11" xfId="3" applyBorder="1"/>
    <xf numFmtId="0" fontId="9" fillId="0" borderId="1" xfId="3" applyFont="1" applyBorder="1" applyAlignment="1">
      <alignment horizontal="center" vertic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2" fillId="0" borderId="17" xfId="3" applyBorder="1" applyAlignment="1">
      <alignment wrapText="1"/>
    </xf>
    <xf numFmtId="0" fontId="2" fillId="0" borderId="18" xfId="3" applyBorder="1" applyAlignment="1">
      <alignment wrapText="1"/>
    </xf>
    <xf numFmtId="0" fontId="2" fillId="0" borderId="19" xfId="3" applyBorder="1" applyAlignment="1">
      <alignment wrapText="1"/>
    </xf>
    <xf numFmtId="0" fontId="2" fillId="0" borderId="20" xfId="3" applyBorder="1" applyAlignment="1">
      <alignment wrapText="1"/>
    </xf>
    <xf numFmtId="0" fontId="2" fillId="0" borderId="21" xfId="3" applyBorder="1" applyAlignment="1">
      <alignment wrapText="1"/>
    </xf>
    <xf numFmtId="0" fontId="2" fillId="0" borderId="22" xfId="3" applyBorder="1" applyAlignment="1">
      <alignment wrapText="1"/>
    </xf>
    <xf numFmtId="0" fontId="2" fillId="4" borderId="0" xfId="3" applyFill="1"/>
    <xf numFmtId="0" fontId="2" fillId="5" borderId="23" xfId="3" applyFill="1" applyBorder="1"/>
    <xf numFmtId="0" fontId="2" fillId="0" borderId="24" xfId="3" applyBorder="1"/>
    <xf numFmtId="49" fontId="7" fillId="4" borderId="6" xfId="3" applyNumberFormat="1" applyFont="1" applyFill="1" applyBorder="1" applyAlignment="1">
      <alignment horizontal="center" vertical="center" wrapText="1"/>
    </xf>
    <xf numFmtId="0" fontId="7" fillId="4" borderId="6" xfId="3" applyFont="1" applyFill="1" applyBorder="1" applyAlignment="1">
      <alignment horizontal="center" vertical="center"/>
    </xf>
    <xf numFmtId="0" fontId="2" fillId="4" borderId="11" xfId="3" applyFill="1" applyBorder="1"/>
    <xf numFmtId="0" fontId="2" fillId="4" borderId="8" xfId="3" applyFill="1" applyBorder="1"/>
    <xf numFmtId="0" fontId="2" fillId="4" borderId="9" xfId="3" applyFill="1" applyBorder="1"/>
    <xf numFmtId="0" fontId="2" fillId="4" borderId="12" xfId="3" applyFill="1" applyBorder="1"/>
    <xf numFmtId="14" fontId="10" fillId="0" borderId="0" xfId="3" applyNumberFormat="1" applyFont="1" applyAlignment="1">
      <alignment horizontal="center"/>
    </xf>
    <xf numFmtId="0" fontId="10" fillId="0" borderId="0" xfId="3" applyFont="1"/>
    <xf numFmtId="0" fontId="2" fillId="0" borderId="14" xfId="3" applyBorder="1" applyAlignment="1">
      <alignment wrapText="1"/>
    </xf>
    <xf numFmtId="0" fontId="2" fillId="0" borderId="15" xfId="3" applyBorder="1" applyAlignment="1">
      <alignment wrapText="1"/>
    </xf>
    <xf numFmtId="0" fontId="2" fillId="0" borderId="16" xfId="3" applyBorder="1" applyAlignment="1">
      <alignment wrapText="1"/>
    </xf>
    <xf numFmtId="0" fontId="2" fillId="0" borderId="13" xfId="3" applyBorder="1"/>
    <xf numFmtId="0" fontId="0" fillId="0" borderId="9" xfId="3" applyFont="1" applyBorder="1"/>
    <xf numFmtId="0" fontId="0" fillId="0" borderId="12" xfId="3" applyFont="1" applyBorder="1"/>
    <xf numFmtId="0" fontId="2" fillId="4" borderId="14" xfId="3" applyFill="1" applyBorder="1" applyAlignment="1">
      <alignment wrapText="1"/>
    </xf>
    <xf numFmtId="0" fontId="2" fillId="4" borderId="15" xfId="3" applyFill="1" applyBorder="1" applyAlignment="1">
      <alignment wrapText="1"/>
    </xf>
    <xf numFmtId="0" fontId="2" fillId="4" borderId="16" xfId="3" applyFill="1" applyBorder="1" applyAlignment="1">
      <alignment wrapText="1"/>
    </xf>
    <xf numFmtId="0" fontId="2" fillId="0" borderId="0" xfId="4" applyAlignment="1"/>
    <xf numFmtId="0" fontId="2" fillId="2" borderId="0" xfId="4" applyFill="1" applyAlignment="1"/>
    <xf numFmtId="49" fontId="3" fillId="6" borderId="1" xfId="4" applyNumberFormat="1" applyFont="1" applyFill="1" applyBorder="1" applyAlignment="1">
      <alignment horizontal="center" vertical="center" wrapText="1"/>
    </xf>
    <xf numFmtId="49" fontId="3" fillId="6" borderId="3" xfId="4" applyNumberFormat="1" applyFont="1" applyFill="1" applyBorder="1" applyAlignment="1">
      <alignment horizontal="center" vertical="center" wrapText="1"/>
    </xf>
    <xf numFmtId="49" fontId="3" fillId="2" borderId="3" xfId="4" applyNumberFormat="1" applyFont="1" applyFill="1" applyBorder="1" applyAlignment="1">
      <alignment horizontal="center" vertical="center" wrapText="1"/>
    </xf>
    <xf numFmtId="49" fontId="5" fillId="2" borderId="3" xfId="4" applyNumberFormat="1" applyFont="1" applyFill="1" applyBorder="1" applyAlignment="1">
      <alignment horizontal="center" vertical="center" wrapText="1"/>
    </xf>
    <xf numFmtId="49" fontId="3" fillId="6" borderId="4" xfId="4" applyNumberFormat="1" applyFont="1" applyFill="1" applyBorder="1" applyAlignment="1">
      <alignment horizontal="center" vertical="center" wrapText="1"/>
    </xf>
    <xf numFmtId="0" fontId="8" fillId="0" borderId="8" xfId="4" applyFont="1" applyBorder="1" applyAlignment="1"/>
    <xf numFmtId="0" fontId="8" fillId="0" borderId="9" xfId="4" applyFont="1" applyBorder="1" applyAlignment="1"/>
    <xf numFmtId="0" fontId="7" fillId="0" borderId="6" xfId="4" applyFont="1" applyBorder="1" applyAlignment="1">
      <alignment horizontal="center" vertical="center"/>
    </xf>
    <xf numFmtId="0" fontId="7" fillId="0" borderId="6" xfId="4" applyFont="1" applyBorder="1" applyAlignment="1">
      <alignment horizontal="center" vertical="center" wrapText="1"/>
    </xf>
    <xf numFmtId="0" fontId="9" fillId="0" borderId="1" xfId="4" applyFont="1" applyBorder="1" applyAlignment="1">
      <alignment horizontal="center" vertical="center" wrapText="1"/>
    </xf>
    <xf numFmtId="0" fontId="9" fillId="0" borderId="3" xfId="4" applyFont="1" applyBorder="1" applyAlignment="1">
      <alignment horizontal="center" vertical="center" wrapText="1"/>
    </xf>
    <xf numFmtId="0" fontId="9" fillId="0" borderId="4" xfId="4" applyFont="1" applyBorder="1" applyAlignment="1">
      <alignment horizontal="center" vertical="center" wrapText="1"/>
    </xf>
    <xf numFmtId="49" fontId="3" fillId="6" borderId="1" xfId="3" applyNumberFormat="1" applyFont="1" applyFill="1" applyBorder="1" applyAlignment="1">
      <alignment horizontal="center" vertical="center" wrapText="1"/>
    </xf>
    <xf numFmtId="49" fontId="3" fillId="6" borderId="3" xfId="3" applyNumberFormat="1" applyFont="1" applyFill="1" applyBorder="1" applyAlignment="1">
      <alignment horizontal="center" vertical="center" wrapText="1"/>
    </xf>
    <xf numFmtId="49" fontId="3" fillId="6" borderId="4" xfId="3" applyNumberFormat="1" applyFont="1" applyFill="1" applyBorder="1" applyAlignment="1">
      <alignment horizontal="center" vertical="center" wrapText="1"/>
    </xf>
    <xf numFmtId="0" fontId="2" fillId="2" borderId="0" xfId="3" applyFill="1" applyAlignment="1">
      <alignment horizontal="right"/>
    </xf>
    <xf numFmtId="177" fontId="2" fillId="5" borderId="0" xfId="3" applyNumberFormat="1" applyFill="1" applyAlignment="1">
      <alignment horizontal="right"/>
    </xf>
    <xf numFmtId="0" fontId="2" fillId="5" borderId="0" xfId="3" applyFill="1"/>
    <xf numFmtId="177" fontId="2" fillId="2" borderId="0" xfId="3" applyNumberFormat="1" applyFill="1" applyAlignment="1">
      <alignment horizontal="right"/>
    </xf>
    <xf numFmtId="49" fontId="3" fillId="0" borderId="2" xfId="3" applyNumberFormat="1" applyFont="1" applyBorder="1" applyAlignment="1">
      <alignment horizontal="center" vertical="center" wrapText="1"/>
    </xf>
    <xf numFmtId="49" fontId="3" fillId="0" borderId="3" xfId="3" applyNumberFormat="1" applyFont="1" applyBorder="1" applyAlignment="1">
      <alignment horizontal="center" vertical="center" wrapText="1"/>
    </xf>
    <xf numFmtId="49" fontId="4" fillId="0" borderId="3" xfId="3" applyNumberFormat="1" applyFont="1" applyBorder="1" applyAlignment="1">
      <alignment horizontal="center" vertical="center" wrapText="1"/>
    </xf>
    <xf numFmtId="49" fontId="6" fillId="0" borderId="5" xfId="3" applyNumberFormat="1" applyFont="1" applyBorder="1" applyAlignment="1">
      <alignment horizontal="center" vertical="center" wrapText="1"/>
    </xf>
    <xf numFmtId="49" fontId="7" fillId="0" borderId="6" xfId="3" applyNumberFormat="1" applyFont="1" applyBorder="1" applyAlignment="1">
      <alignment horizontal="center" vertical="center" wrapText="1"/>
    </xf>
    <xf numFmtId="49" fontId="6" fillId="0" borderId="0" xfId="3" applyNumberFormat="1" applyFont="1" applyAlignment="1">
      <alignment horizontal="center" vertical="center" wrapText="1"/>
    </xf>
    <xf numFmtId="56" fontId="2" fillId="0" borderId="0" xfId="3" applyNumberFormat="1"/>
    <xf numFmtId="0" fontId="8" fillId="0" borderId="7" xfId="3" applyFont="1" applyBorder="1"/>
    <xf numFmtId="0" fontId="1" fillId="0" borderId="8" xfId="6" applyBorder="1" applyAlignment="1">
      <alignment horizontal="center"/>
    </xf>
    <xf numFmtId="0" fontId="2" fillId="0" borderId="7" xfId="3" applyBorder="1"/>
    <xf numFmtId="14" fontId="10" fillId="0" borderId="0" xfId="3" applyNumberFormat="1" applyFont="1"/>
    <xf numFmtId="0" fontId="2" fillId="0" borderId="8" xfId="3" applyBorder="1" applyAlignment="1">
      <alignment shrinkToFit="1"/>
    </xf>
    <xf numFmtId="49" fontId="3" fillId="0" borderId="2" xfId="4" applyNumberFormat="1" applyFont="1" applyBorder="1" applyAlignment="1">
      <alignment horizontal="center" vertical="center" wrapText="1"/>
    </xf>
    <xf numFmtId="49" fontId="3" fillId="0" borderId="3" xfId="4" applyNumberFormat="1" applyFont="1" applyBorder="1" applyAlignment="1">
      <alignment horizontal="center" vertical="center" wrapText="1"/>
    </xf>
    <xf numFmtId="49" fontId="4" fillId="0" borderId="3" xfId="4" applyNumberFormat="1" applyFont="1" applyBorder="1" applyAlignment="1">
      <alignment horizontal="center" vertical="center" wrapText="1"/>
    </xf>
    <xf numFmtId="49" fontId="6" fillId="0" borderId="5" xfId="4" applyNumberFormat="1" applyFont="1" applyBorder="1" applyAlignment="1">
      <alignment horizontal="center" vertical="center" wrapText="1"/>
    </xf>
    <xf numFmtId="49" fontId="7" fillId="0" borderId="6" xfId="4" applyNumberFormat="1" applyFont="1" applyBorder="1" applyAlignment="1">
      <alignment horizontal="center" vertical="center" wrapText="1"/>
    </xf>
    <xf numFmtId="49" fontId="6" fillId="0" borderId="0" xfId="4" applyNumberFormat="1" applyFont="1" applyAlignment="1">
      <alignment horizontal="center" vertical="center" wrapText="1"/>
    </xf>
    <xf numFmtId="14" fontId="2" fillId="0" borderId="0" xfId="4" applyNumberFormat="1" applyAlignment="1"/>
    <xf numFmtId="177" fontId="2" fillId="2" borderId="0" xfId="4" applyNumberFormat="1" applyFill="1" applyAlignment="1"/>
    <xf numFmtId="178" fontId="2" fillId="2" borderId="0" xfId="4" applyNumberFormat="1" applyFill="1" applyAlignment="1"/>
    <xf numFmtId="0" fontId="8" fillId="0" borderId="7" xfId="4" applyFont="1" applyBorder="1" applyAlignment="1"/>
    <xf numFmtId="0" fontId="2" fillId="0" borderId="11" xfId="4" applyBorder="1" applyAlignment="1"/>
    <xf numFmtId="0" fontId="2" fillId="0" borderId="7" xfId="4" applyBorder="1" applyAlignment="1"/>
    <xf numFmtId="0" fontId="2" fillId="0" borderId="14" xfId="4" applyBorder="1" applyAlignment="1">
      <alignment wrapText="1"/>
    </xf>
    <xf numFmtId="0" fontId="2" fillId="0" borderId="15" xfId="4" applyBorder="1" applyAlignment="1">
      <alignment wrapText="1"/>
    </xf>
    <xf numFmtId="0" fontId="2" fillId="0" borderId="16" xfId="4" applyBorder="1" applyAlignment="1">
      <alignment wrapText="1"/>
    </xf>
    <xf numFmtId="0" fontId="2" fillId="0" borderId="8" xfId="4" applyBorder="1" applyAlignment="1"/>
    <xf numFmtId="0" fontId="2" fillId="0" borderId="17" xfId="4" applyBorder="1" applyAlignment="1">
      <alignment wrapText="1"/>
    </xf>
    <xf numFmtId="0" fontId="2" fillId="0" borderId="18" xfId="4" applyBorder="1" applyAlignment="1">
      <alignment wrapText="1"/>
    </xf>
    <xf numFmtId="0" fontId="2" fillId="0" borderId="19" xfId="4" applyBorder="1" applyAlignment="1">
      <alignment wrapText="1"/>
    </xf>
    <xf numFmtId="0" fontId="2" fillId="0" borderId="9" xfId="4" applyBorder="1" applyAlignment="1"/>
    <xf numFmtId="0" fontId="2" fillId="0" borderId="12" xfId="4" applyBorder="1" applyAlignment="1"/>
    <xf numFmtId="0" fontId="2" fillId="0" borderId="13" xfId="4" applyBorder="1" applyAlignment="1"/>
    <xf numFmtId="0" fontId="2" fillId="0" borderId="20" xfId="4" applyBorder="1" applyAlignment="1">
      <alignment wrapText="1"/>
    </xf>
    <xf numFmtId="0" fontId="2" fillId="0" borderId="21" xfId="4" applyBorder="1" applyAlignment="1">
      <alignment wrapText="1"/>
    </xf>
    <xf numFmtId="0" fontId="2" fillId="0" borderId="22" xfId="4" applyBorder="1" applyAlignment="1">
      <alignment wrapText="1"/>
    </xf>
    <xf numFmtId="1" fontId="2" fillId="2" borderId="0" xfId="3" applyNumberFormat="1" applyFill="1"/>
    <xf numFmtId="0" fontId="2" fillId="0" borderId="0" xfId="3" applyAlignment="1">
      <alignment horizontal="center"/>
    </xf>
    <xf numFmtId="0" fontId="16" fillId="0" borderId="1" xfId="6" applyFont="1" applyBorder="1">
      <alignment vertical="center"/>
    </xf>
    <xf numFmtId="0" fontId="11" fillId="0" borderId="4" xfId="6" applyFont="1" applyBorder="1">
      <alignment vertical="center"/>
    </xf>
    <xf numFmtId="0" fontId="11" fillId="0" borderId="1" xfId="6" applyFont="1" applyBorder="1">
      <alignment vertical="center"/>
    </xf>
    <xf numFmtId="0" fontId="11" fillId="0" borderId="6" xfId="6" applyFont="1" applyBorder="1">
      <alignment vertical="center"/>
    </xf>
    <xf numFmtId="49" fontId="6" fillId="4" borderId="0" xfId="3" applyNumberFormat="1" applyFont="1" applyFill="1" applyAlignment="1">
      <alignment horizontal="center" vertical="center" wrapText="1"/>
    </xf>
    <xf numFmtId="0" fontId="2" fillId="4" borderId="27" xfId="3" applyFill="1" applyBorder="1"/>
    <xf numFmtId="176" fontId="2" fillId="5" borderId="28" xfId="3" applyNumberFormat="1" applyFill="1" applyBorder="1"/>
    <xf numFmtId="0" fontId="2" fillId="4" borderId="29" xfId="3" applyFill="1" applyBorder="1"/>
    <xf numFmtId="0" fontId="2" fillId="4" borderId="28" xfId="3" applyFill="1" applyBorder="1"/>
    <xf numFmtId="0" fontId="2" fillId="4" borderId="30" xfId="3" applyFill="1" applyBorder="1"/>
    <xf numFmtId="0" fontId="2" fillId="4" borderId="31" xfId="3" applyFill="1" applyBorder="1"/>
    <xf numFmtId="0" fontId="1" fillId="0" borderId="10" xfId="6" applyBorder="1" applyAlignment="1"/>
    <xf numFmtId="176" fontId="2" fillId="5" borderId="32" xfId="3" applyNumberFormat="1" applyFill="1" applyBorder="1"/>
    <xf numFmtId="0" fontId="2" fillId="0" borderId="33" xfId="3" applyBorder="1"/>
    <xf numFmtId="0" fontId="1" fillId="0" borderId="8" xfId="6" applyBorder="1" applyAlignment="1"/>
    <xf numFmtId="0" fontId="2" fillId="0" borderId="34" xfId="3" applyBorder="1"/>
    <xf numFmtId="0" fontId="2" fillId="0" borderId="35" xfId="3" applyBorder="1"/>
    <xf numFmtId="0" fontId="2" fillId="4" borderId="36" xfId="3" applyFill="1" applyBorder="1"/>
    <xf numFmtId="0" fontId="2" fillId="0" borderId="36" xfId="3" applyBorder="1"/>
    <xf numFmtId="0" fontId="2" fillId="4" borderId="37" xfId="3" applyFill="1" applyBorder="1"/>
    <xf numFmtId="0" fontId="2" fillId="4" borderId="38" xfId="3" applyFill="1" applyBorder="1"/>
    <xf numFmtId="14" fontId="0" fillId="4" borderId="37" xfId="3" applyNumberFormat="1" applyFont="1" applyFill="1" applyBorder="1"/>
    <xf numFmtId="49" fontId="7" fillId="0" borderId="10" xfId="3" applyNumberFormat="1" applyFont="1" applyBorder="1" applyAlignment="1">
      <alignment horizontal="center" vertical="center" wrapText="1"/>
    </xf>
    <xf numFmtId="49" fontId="2" fillId="0" borderId="0" xfId="3" applyNumberFormat="1" applyAlignment="1">
      <alignment horizontal="right"/>
    </xf>
    <xf numFmtId="0" fontId="2" fillId="0" borderId="7" xfId="3" applyBorder="1" applyProtection="1">
      <protection locked="0"/>
    </xf>
    <xf numFmtId="0" fontId="2" fillId="0" borderId="11" xfId="3" applyBorder="1" applyProtection="1">
      <protection locked="0"/>
    </xf>
    <xf numFmtId="49" fontId="3" fillId="5" borderId="3" xfId="3" applyNumberFormat="1" applyFont="1" applyFill="1" applyBorder="1" applyAlignment="1">
      <alignment horizontal="center" vertical="center" wrapText="1"/>
    </xf>
    <xf numFmtId="0" fontId="3" fillId="5" borderId="3" xfId="3" applyFont="1" applyFill="1" applyBorder="1" applyAlignment="1">
      <alignment horizontal="center" vertical="center" wrapText="1"/>
    </xf>
    <xf numFmtId="49" fontId="7" fillId="0" borderId="0" xfId="3" applyNumberFormat="1" applyFont="1" applyAlignment="1">
      <alignment horizontal="center" vertical="center" wrapText="1"/>
    </xf>
    <xf numFmtId="0" fontId="7" fillId="0" borderId="1" xfId="3" applyFont="1" applyBorder="1" applyAlignment="1">
      <alignment horizontal="center" vertical="center" wrapText="1"/>
    </xf>
    <xf numFmtId="0" fontId="7" fillId="0" borderId="3" xfId="3" applyFont="1" applyBorder="1" applyAlignment="1">
      <alignment horizontal="center" vertical="center" wrapText="1"/>
    </xf>
    <xf numFmtId="0" fontId="7" fillId="0" borderId="4" xfId="3" applyFont="1" applyBorder="1" applyAlignment="1">
      <alignment horizontal="center" vertical="center" wrapText="1"/>
    </xf>
    <xf numFmtId="0" fontId="8" fillId="0" borderId="25" xfId="5" applyFont="1" applyBorder="1" applyAlignment="1">
      <alignment horizontal="center" vertical="center"/>
    </xf>
    <xf numFmtId="0" fontId="8" fillId="0" borderId="26" xfId="5" applyFont="1" applyBorder="1" applyAlignment="1">
      <alignment horizontal="center" vertical="center"/>
    </xf>
    <xf numFmtId="0" fontId="8" fillId="0" borderId="8" xfId="5" applyFont="1" applyBorder="1" applyAlignment="1">
      <alignment horizontal="center" vertical="center"/>
    </xf>
    <xf numFmtId="0" fontId="2" fillId="0" borderId="0" xfId="5" applyFont="1">
      <alignment vertical="center"/>
    </xf>
  </cellXfs>
  <cellStyles count="7">
    <cellStyle name="標準" xfId="0" builtinId="0"/>
    <cellStyle name="標準 2" xfId="3" xr:uid="{00000000-0005-0000-0000-000033000000}"/>
    <cellStyle name="標準 2 2" xfId="4" xr:uid="{00000000-0005-0000-0000-000034000000}"/>
    <cellStyle name="標準 3" xfId="5" xr:uid="{00000000-0005-0000-0000-000035000000}"/>
    <cellStyle name="標準 3 2" xfId="1" xr:uid="{00000000-0005-0000-0000-00000A000000}"/>
    <cellStyle name="標準 4" xfId="2" xr:uid="{00000000-0005-0000-0000-00000E000000}"/>
    <cellStyle name="標準 5" xfId="6" xr:uid="{8E7E533D-B69A-484C-932A-860838741433}"/>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99098-1068-4BE7-B36E-9902E86415DD}">
  <dimension ref="A1:BA145"/>
  <sheetViews>
    <sheetView zoomScale="85" zoomScaleNormal="85" workbookViewId="0">
      <pane ySplit="1" topLeftCell="A2" activePane="bottomLeft" state="frozen"/>
      <selection pane="bottomLeft" activeCell="A2" sqref="A2"/>
    </sheetView>
  </sheetViews>
  <sheetFormatPr defaultRowHeight="13.5" x14ac:dyDescent="0.15"/>
  <cols>
    <col min="1" max="3" width="9" style="1"/>
    <col min="4" max="4" width="10.5" style="1" bestFit="1" customWidth="1"/>
    <col min="5" max="5" width="10.875" style="1" bestFit="1" customWidth="1"/>
    <col min="6" max="13" width="9" style="1"/>
    <col min="14" max="14" width="9.5" style="1" bestFit="1" customWidth="1"/>
    <col min="15" max="16" width="9" style="1"/>
    <col min="17" max="17" width="9" style="66"/>
    <col min="18" max="18" width="9" style="1"/>
    <col min="19" max="19" width="12.75" style="1" bestFit="1" customWidth="1"/>
    <col min="20" max="20" width="9" style="2"/>
    <col min="21" max="21" width="9.5" style="1" bestFit="1" customWidth="1"/>
    <col min="22" max="22" width="9" style="2"/>
    <col min="23" max="32" width="9" style="1"/>
    <col min="33" max="33" width="13.875" style="1" bestFit="1" customWidth="1"/>
    <col min="34" max="259" width="9" style="1"/>
    <col min="260" max="260" width="10.5" style="1" bestFit="1" customWidth="1"/>
    <col min="261" max="261" width="10.875" style="1" bestFit="1" customWidth="1"/>
    <col min="262" max="276" width="9" style="1"/>
    <col min="277" max="277" width="9.5" style="1" bestFit="1" customWidth="1"/>
    <col min="278" max="288" width="9" style="1"/>
    <col min="289" max="289" width="12.375" style="1" bestFit="1" customWidth="1"/>
    <col min="290" max="515" width="9" style="1"/>
    <col min="516" max="516" width="10.5" style="1" bestFit="1" customWidth="1"/>
    <col min="517" max="517" width="10.875" style="1" bestFit="1" customWidth="1"/>
    <col min="518" max="532" width="9" style="1"/>
    <col min="533" max="533" width="9.5" style="1" bestFit="1" customWidth="1"/>
    <col min="534" max="544" width="9" style="1"/>
    <col min="545" max="545" width="12.375" style="1" bestFit="1" customWidth="1"/>
    <col min="546" max="771" width="9" style="1"/>
    <col min="772" max="772" width="10.5" style="1" bestFit="1" customWidth="1"/>
    <col min="773" max="773" width="10.875" style="1" bestFit="1" customWidth="1"/>
    <col min="774" max="788" width="9" style="1"/>
    <col min="789" max="789" width="9.5" style="1" bestFit="1" customWidth="1"/>
    <col min="790" max="800" width="9" style="1"/>
    <col min="801" max="801" width="12.375" style="1" bestFit="1" customWidth="1"/>
    <col min="802" max="1027" width="9" style="1"/>
    <col min="1028" max="1028" width="10.5" style="1" bestFit="1" customWidth="1"/>
    <col min="1029" max="1029" width="10.875" style="1" bestFit="1" customWidth="1"/>
    <col min="1030" max="1044" width="9" style="1"/>
    <col min="1045" max="1045" width="9.5" style="1" bestFit="1" customWidth="1"/>
    <col min="1046" max="1056" width="9" style="1"/>
    <col min="1057" max="1057" width="12.375" style="1" bestFit="1" customWidth="1"/>
    <col min="1058" max="1283" width="9" style="1"/>
    <col min="1284" max="1284" width="10.5" style="1" bestFit="1" customWidth="1"/>
    <col min="1285" max="1285" width="10.875" style="1" bestFit="1" customWidth="1"/>
    <col min="1286" max="1300" width="9" style="1"/>
    <col min="1301" max="1301" width="9.5" style="1" bestFit="1" customWidth="1"/>
    <col min="1302" max="1312" width="9" style="1"/>
    <col min="1313" max="1313" width="12.375" style="1" bestFit="1" customWidth="1"/>
    <col min="1314" max="1539" width="9" style="1"/>
    <col min="1540" max="1540" width="10.5" style="1" bestFit="1" customWidth="1"/>
    <col min="1541" max="1541" width="10.875" style="1" bestFit="1" customWidth="1"/>
    <col min="1542" max="1556" width="9" style="1"/>
    <col min="1557" max="1557" width="9.5" style="1" bestFit="1" customWidth="1"/>
    <col min="1558" max="1568" width="9" style="1"/>
    <col min="1569" max="1569" width="12.375" style="1" bestFit="1" customWidth="1"/>
    <col min="1570" max="1795" width="9" style="1"/>
    <col min="1796" max="1796" width="10.5" style="1" bestFit="1" customWidth="1"/>
    <col min="1797" max="1797" width="10.875" style="1" bestFit="1" customWidth="1"/>
    <col min="1798" max="1812" width="9" style="1"/>
    <col min="1813" max="1813" width="9.5" style="1" bestFit="1" customWidth="1"/>
    <col min="1814" max="1824" width="9" style="1"/>
    <col min="1825" max="1825" width="12.375" style="1" bestFit="1" customWidth="1"/>
    <col min="1826" max="2051" width="9" style="1"/>
    <col min="2052" max="2052" width="10.5" style="1" bestFit="1" customWidth="1"/>
    <col min="2053" max="2053" width="10.875" style="1" bestFit="1" customWidth="1"/>
    <col min="2054" max="2068" width="9" style="1"/>
    <col min="2069" max="2069" width="9.5" style="1" bestFit="1" customWidth="1"/>
    <col min="2070" max="2080" width="9" style="1"/>
    <col min="2081" max="2081" width="12.375" style="1" bestFit="1" customWidth="1"/>
    <col min="2082" max="2307" width="9" style="1"/>
    <col min="2308" max="2308" width="10.5" style="1" bestFit="1" customWidth="1"/>
    <col min="2309" max="2309" width="10.875" style="1" bestFit="1" customWidth="1"/>
    <col min="2310" max="2324" width="9" style="1"/>
    <col min="2325" max="2325" width="9.5" style="1" bestFit="1" customWidth="1"/>
    <col min="2326" max="2336" width="9" style="1"/>
    <col min="2337" max="2337" width="12.375" style="1" bestFit="1" customWidth="1"/>
    <col min="2338" max="2563" width="9" style="1"/>
    <col min="2564" max="2564" width="10.5" style="1" bestFit="1" customWidth="1"/>
    <col min="2565" max="2565" width="10.875" style="1" bestFit="1" customWidth="1"/>
    <col min="2566" max="2580" width="9" style="1"/>
    <col min="2581" max="2581" width="9.5" style="1" bestFit="1" customWidth="1"/>
    <col min="2582" max="2592" width="9" style="1"/>
    <col min="2593" max="2593" width="12.375" style="1" bestFit="1" customWidth="1"/>
    <col min="2594" max="2819" width="9" style="1"/>
    <col min="2820" max="2820" width="10.5" style="1" bestFit="1" customWidth="1"/>
    <col min="2821" max="2821" width="10.875" style="1" bestFit="1" customWidth="1"/>
    <col min="2822" max="2836" width="9" style="1"/>
    <col min="2837" max="2837" width="9.5" style="1" bestFit="1" customWidth="1"/>
    <col min="2838" max="2848" width="9" style="1"/>
    <col min="2849" max="2849" width="12.375" style="1" bestFit="1" customWidth="1"/>
    <col min="2850" max="3075" width="9" style="1"/>
    <col min="3076" max="3076" width="10.5" style="1" bestFit="1" customWidth="1"/>
    <col min="3077" max="3077" width="10.875" style="1" bestFit="1" customWidth="1"/>
    <col min="3078" max="3092" width="9" style="1"/>
    <col min="3093" max="3093" width="9.5" style="1" bestFit="1" customWidth="1"/>
    <col min="3094" max="3104" width="9" style="1"/>
    <col min="3105" max="3105" width="12.375" style="1" bestFit="1" customWidth="1"/>
    <col min="3106" max="3331" width="9" style="1"/>
    <col min="3332" max="3332" width="10.5" style="1" bestFit="1" customWidth="1"/>
    <col min="3333" max="3333" width="10.875" style="1" bestFit="1" customWidth="1"/>
    <col min="3334" max="3348" width="9" style="1"/>
    <col min="3349" max="3349" width="9.5" style="1" bestFit="1" customWidth="1"/>
    <col min="3350" max="3360" width="9" style="1"/>
    <col min="3361" max="3361" width="12.375" style="1" bestFit="1" customWidth="1"/>
    <col min="3362" max="3587" width="9" style="1"/>
    <col min="3588" max="3588" width="10.5" style="1" bestFit="1" customWidth="1"/>
    <col min="3589" max="3589" width="10.875" style="1" bestFit="1" customWidth="1"/>
    <col min="3590" max="3604" width="9" style="1"/>
    <col min="3605" max="3605" width="9.5" style="1" bestFit="1" customWidth="1"/>
    <col min="3606" max="3616" width="9" style="1"/>
    <col min="3617" max="3617" width="12.375" style="1" bestFit="1" customWidth="1"/>
    <col min="3618" max="3843" width="9" style="1"/>
    <col min="3844" max="3844" width="10.5" style="1" bestFit="1" customWidth="1"/>
    <col min="3845" max="3845" width="10.875" style="1" bestFit="1" customWidth="1"/>
    <col min="3846" max="3860" width="9" style="1"/>
    <col min="3861" max="3861" width="9.5" style="1" bestFit="1" customWidth="1"/>
    <col min="3862" max="3872" width="9" style="1"/>
    <col min="3873" max="3873" width="12.375" style="1" bestFit="1" customWidth="1"/>
    <col min="3874" max="4099" width="9" style="1"/>
    <col min="4100" max="4100" width="10.5" style="1" bestFit="1" customWidth="1"/>
    <col min="4101" max="4101" width="10.875" style="1" bestFit="1" customWidth="1"/>
    <col min="4102" max="4116" width="9" style="1"/>
    <col min="4117" max="4117" width="9.5" style="1" bestFit="1" customWidth="1"/>
    <col min="4118" max="4128" width="9" style="1"/>
    <col min="4129" max="4129" width="12.375" style="1" bestFit="1" customWidth="1"/>
    <col min="4130" max="4355" width="9" style="1"/>
    <col min="4356" max="4356" width="10.5" style="1" bestFit="1" customWidth="1"/>
    <col min="4357" max="4357" width="10.875" style="1" bestFit="1" customWidth="1"/>
    <col min="4358" max="4372" width="9" style="1"/>
    <col min="4373" max="4373" width="9.5" style="1" bestFit="1" customWidth="1"/>
    <col min="4374" max="4384" width="9" style="1"/>
    <col min="4385" max="4385" width="12.375" style="1" bestFit="1" customWidth="1"/>
    <col min="4386" max="4611" width="9" style="1"/>
    <col min="4612" max="4612" width="10.5" style="1" bestFit="1" customWidth="1"/>
    <col min="4613" max="4613" width="10.875" style="1" bestFit="1" customWidth="1"/>
    <col min="4614" max="4628" width="9" style="1"/>
    <col min="4629" max="4629" width="9.5" style="1" bestFit="1" customWidth="1"/>
    <col min="4630" max="4640" width="9" style="1"/>
    <col min="4641" max="4641" width="12.375" style="1" bestFit="1" customWidth="1"/>
    <col min="4642" max="4867" width="9" style="1"/>
    <col min="4868" max="4868" width="10.5" style="1" bestFit="1" customWidth="1"/>
    <col min="4869" max="4869" width="10.875" style="1" bestFit="1" customWidth="1"/>
    <col min="4870" max="4884" width="9" style="1"/>
    <col min="4885" max="4885" width="9.5" style="1" bestFit="1" customWidth="1"/>
    <col min="4886" max="4896" width="9" style="1"/>
    <col min="4897" max="4897" width="12.375" style="1" bestFit="1" customWidth="1"/>
    <col min="4898" max="5123" width="9" style="1"/>
    <col min="5124" max="5124" width="10.5" style="1" bestFit="1" customWidth="1"/>
    <col min="5125" max="5125" width="10.875" style="1" bestFit="1" customWidth="1"/>
    <col min="5126" max="5140" width="9" style="1"/>
    <col min="5141" max="5141" width="9.5" style="1" bestFit="1" customWidth="1"/>
    <col min="5142" max="5152" width="9" style="1"/>
    <col min="5153" max="5153" width="12.375" style="1" bestFit="1" customWidth="1"/>
    <col min="5154" max="5379" width="9" style="1"/>
    <col min="5380" max="5380" width="10.5" style="1" bestFit="1" customWidth="1"/>
    <col min="5381" max="5381" width="10.875" style="1" bestFit="1" customWidth="1"/>
    <col min="5382" max="5396" width="9" style="1"/>
    <col min="5397" max="5397" width="9.5" style="1" bestFit="1" customWidth="1"/>
    <col min="5398" max="5408" width="9" style="1"/>
    <col min="5409" max="5409" width="12.375" style="1" bestFit="1" customWidth="1"/>
    <col min="5410" max="5635" width="9" style="1"/>
    <col min="5636" max="5636" width="10.5" style="1" bestFit="1" customWidth="1"/>
    <col min="5637" max="5637" width="10.875" style="1" bestFit="1" customWidth="1"/>
    <col min="5638" max="5652" width="9" style="1"/>
    <col min="5653" max="5653" width="9.5" style="1" bestFit="1" customWidth="1"/>
    <col min="5654" max="5664" width="9" style="1"/>
    <col min="5665" max="5665" width="12.375" style="1" bestFit="1" customWidth="1"/>
    <col min="5666" max="5891" width="9" style="1"/>
    <col min="5892" max="5892" width="10.5" style="1" bestFit="1" customWidth="1"/>
    <col min="5893" max="5893" width="10.875" style="1" bestFit="1" customWidth="1"/>
    <col min="5894" max="5908" width="9" style="1"/>
    <col min="5909" max="5909" width="9.5" style="1" bestFit="1" customWidth="1"/>
    <col min="5910" max="5920" width="9" style="1"/>
    <col min="5921" max="5921" width="12.375" style="1" bestFit="1" customWidth="1"/>
    <col min="5922" max="6147" width="9" style="1"/>
    <col min="6148" max="6148" width="10.5" style="1" bestFit="1" customWidth="1"/>
    <col min="6149" max="6149" width="10.875" style="1" bestFit="1" customWidth="1"/>
    <col min="6150" max="6164" width="9" style="1"/>
    <col min="6165" max="6165" width="9.5" style="1" bestFit="1" customWidth="1"/>
    <col min="6166" max="6176" width="9" style="1"/>
    <col min="6177" max="6177" width="12.375" style="1" bestFit="1" customWidth="1"/>
    <col min="6178" max="6403" width="9" style="1"/>
    <col min="6404" max="6404" width="10.5" style="1" bestFit="1" customWidth="1"/>
    <col min="6405" max="6405" width="10.875" style="1" bestFit="1" customWidth="1"/>
    <col min="6406" max="6420" width="9" style="1"/>
    <col min="6421" max="6421" width="9.5" style="1" bestFit="1" customWidth="1"/>
    <col min="6422" max="6432" width="9" style="1"/>
    <col min="6433" max="6433" width="12.375" style="1" bestFit="1" customWidth="1"/>
    <col min="6434" max="6659" width="9" style="1"/>
    <col min="6660" max="6660" width="10.5" style="1" bestFit="1" customWidth="1"/>
    <col min="6661" max="6661" width="10.875" style="1" bestFit="1" customWidth="1"/>
    <col min="6662" max="6676" width="9" style="1"/>
    <col min="6677" max="6677" width="9.5" style="1" bestFit="1" customWidth="1"/>
    <col min="6678" max="6688" width="9" style="1"/>
    <col min="6689" max="6689" width="12.375" style="1" bestFit="1" customWidth="1"/>
    <col min="6690" max="6915" width="9" style="1"/>
    <col min="6916" max="6916" width="10.5" style="1" bestFit="1" customWidth="1"/>
    <col min="6917" max="6917" width="10.875" style="1" bestFit="1" customWidth="1"/>
    <col min="6918" max="6932" width="9" style="1"/>
    <col min="6933" max="6933" width="9.5" style="1" bestFit="1" customWidth="1"/>
    <col min="6934" max="6944" width="9" style="1"/>
    <col min="6945" max="6945" width="12.375" style="1" bestFit="1" customWidth="1"/>
    <col min="6946" max="7171" width="9" style="1"/>
    <col min="7172" max="7172" width="10.5" style="1" bestFit="1" customWidth="1"/>
    <col min="7173" max="7173" width="10.875" style="1" bestFit="1" customWidth="1"/>
    <col min="7174" max="7188" width="9" style="1"/>
    <col min="7189" max="7189" width="9.5" style="1" bestFit="1" customWidth="1"/>
    <col min="7190" max="7200" width="9" style="1"/>
    <col min="7201" max="7201" width="12.375" style="1" bestFit="1" customWidth="1"/>
    <col min="7202" max="7427" width="9" style="1"/>
    <col min="7428" max="7428" width="10.5" style="1" bestFit="1" customWidth="1"/>
    <col min="7429" max="7429" width="10.875" style="1" bestFit="1" customWidth="1"/>
    <col min="7430" max="7444" width="9" style="1"/>
    <col min="7445" max="7445" width="9.5" style="1" bestFit="1" customWidth="1"/>
    <col min="7446" max="7456" width="9" style="1"/>
    <col min="7457" max="7457" width="12.375" style="1" bestFit="1" customWidth="1"/>
    <col min="7458" max="7683" width="9" style="1"/>
    <col min="7684" max="7684" width="10.5" style="1" bestFit="1" customWidth="1"/>
    <col min="7685" max="7685" width="10.875" style="1" bestFit="1" customWidth="1"/>
    <col min="7686" max="7700" width="9" style="1"/>
    <col min="7701" max="7701" width="9.5" style="1" bestFit="1" customWidth="1"/>
    <col min="7702" max="7712" width="9" style="1"/>
    <col min="7713" max="7713" width="12.375" style="1" bestFit="1" customWidth="1"/>
    <col min="7714" max="7939" width="9" style="1"/>
    <col min="7940" max="7940" width="10.5" style="1" bestFit="1" customWidth="1"/>
    <col min="7941" max="7941" width="10.875" style="1" bestFit="1" customWidth="1"/>
    <col min="7942" max="7956" width="9" style="1"/>
    <col min="7957" max="7957" width="9.5" style="1" bestFit="1" customWidth="1"/>
    <col min="7958" max="7968" width="9" style="1"/>
    <col min="7969" max="7969" width="12.375" style="1" bestFit="1" customWidth="1"/>
    <col min="7970" max="8195" width="9" style="1"/>
    <col min="8196" max="8196" width="10.5" style="1" bestFit="1" customWidth="1"/>
    <col min="8197" max="8197" width="10.875" style="1" bestFit="1" customWidth="1"/>
    <col min="8198" max="8212" width="9" style="1"/>
    <col min="8213" max="8213" width="9.5" style="1" bestFit="1" customWidth="1"/>
    <col min="8214" max="8224" width="9" style="1"/>
    <col min="8225" max="8225" width="12.375" style="1" bestFit="1" customWidth="1"/>
    <col min="8226" max="8451" width="9" style="1"/>
    <col min="8452" max="8452" width="10.5" style="1" bestFit="1" customWidth="1"/>
    <col min="8453" max="8453" width="10.875" style="1" bestFit="1" customWidth="1"/>
    <col min="8454" max="8468" width="9" style="1"/>
    <col min="8469" max="8469" width="9.5" style="1" bestFit="1" customWidth="1"/>
    <col min="8470" max="8480" width="9" style="1"/>
    <col min="8481" max="8481" width="12.375" style="1" bestFit="1" customWidth="1"/>
    <col min="8482" max="8707" width="9" style="1"/>
    <col min="8708" max="8708" width="10.5" style="1" bestFit="1" customWidth="1"/>
    <col min="8709" max="8709" width="10.875" style="1" bestFit="1" customWidth="1"/>
    <col min="8710" max="8724" width="9" style="1"/>
    <col min="8725" max="8725" width="9.5" style="1" bestFit="1" customWidth="1"/>
    <col min="8726" max="8736" width="9" style="1"/>
    <col min="8737" max="8737" width="12.375" style="1" bestFit="1" customWidth="1"/>
    <col min="8738" max="8963" width="9" style="1"/>
    <col min="8964" max="8964" width="10.5" style="1" bestFit="1" customWidth="1"/>
    <col min="8965" max="8965" width="10.875" style="1" bestFit="1" customWidth="1"/>
    <col min="8966" max="8980" width="9" style="1"/>
    <col min="8981" max="8981" width="9.5" style="1" bestFit="1" customWidth="1"/>
    <col min="8982" max="8992" width="9" style="1"/>
    <col min="8993" max="8993" width="12.375" style="1" bestFit="1" customWidth="1"/>
    <col min="8994" max="9219" width="9" style="1"/>
    <col min="9220" max="9220" width="10.5" style="1" bestFit="1" customWidth="1"/>
    <col min="9221" max="9221" width="10.875" style="1" bestFit="1" customWidth="1"/>
    <col min="9222" max="9236" width="9" style="1"/>
    <col min="9237" max="9237" width="9.5" style="1" bestFit="1" customWidth="1"/>
    <col min="9238" max="9248" width="9" style="1"/>
    <col min="9249" max="9249" width="12.375" style="1" bestFit="1" customWidth="1"/>
    <col min="9250" max="9475" width="9" style="1"/>
    <col min="9476" max="9476" width="10.5" style="1" bestFit="1" customWidth="1"/>
    <col min="9477" max="9477" width="10.875" style="1" bestFit="1" customWidth="1"/>
    <col min="9478" max="9492" width="9" style="1"/>
    <col min="9493" max="9493" width="9.5" style="1" bestFit="1" customWidth="1"/>
    <col min="9494" max="9504" width="9" style="1"/>
    <col min="9505" max="9505" width="12.375" style="1" bestFit="1" customWidth="1"/>
    <col min="9506" max="9731" width="9" style="1"/>
    <col min="9732" max="9732" width="10.5" style="1" bestFit="1" customWidth="1"/>
    <col min="9733" max="9733" width="10.875" style="1" bestFit="1" customWidth="1"/>
    <col min="9734" max="9748" width="9" style="1"/>
    <col min="9749" max="9749" width="9.5" style="1" bestFit="1" customWidth="1"/>
    <col min="9750" max="9760" width="9" style="1"/>
    <col min="9761" max="9761" width="12.375" style="1" bestFit="1" customWidth="1"/>
    <col min="9762" max="9987" width="9" style="1"/>
    <col min="9988" max="9988" width="10.5" style="1" bestFit="1" customWidth="1"/>
    <col min="9989" max="9989" width="10.875" style="1" bestFit="1" customWidth="1"/>
    <col min="9990" max="10004" width="9" style="1"/>
    <col min="10005" max="10005" width="9.5" style="1" bestFit="1" customWidth="1"/>
    <col min="10006" max="10016" width="9" style="1"/>
    <col min="10017" max="10017" width="12.375" style="1" bestFit="1" customWidth="1"/>
    <col min="10018" max="10243" width="9" style="1"/>
    <col min="10244" max="10244" width="10.5" style="1" bestFit="1" customWidth="1"/>
    <col min="10245" max="10245" width="10.875" style="1" bestFit="1" customWidth="1"/>
    <col min="10246" max="10260" width="9" style="1"/>
    <col min="10261" max="10261" width="9.5" style="1" bestFit="1" customWidth="1"/>
    <col min="10262" max="10272" width="9" style="1"/>
    <col min="10273" max="10273" width="12.375" style="1" bestFit="1" customWidth="1"/>
    <col min="10274" max="10499" width="9" style="1"/>
    <col min="10500" max="10500" width="10.5" style="1" bestFit="1" customWidth="1"/>
    <col min="10501" max="10501" width="10.875" style="1" bestFit="1" customWidth="1"/>
    <col min="10502" max="10516" width="9" style="1"/>
    <col min="10517" max="10517" width="9.5" style="1" bestFit="1" customWidth="1"/>
    <col min="10518" max="10528" width="9" style="1"/>
    <col min="10529" max="10529" width="12.375" style="1" bestFit="1" customWidth="1"/>
    <col min="10530" max="10755" width="9" style="1"/>
    <col min="10756" max="10756" width="10.5" style="1" bestFit="1" customWidth="1"/>
    <col min="10757" max="10757" width="10.875" style="1" bestFit="1" customWidth="1"/>
    <col min="10758" max="10772" width="9" style="1"/>
    <col min="10773" max="10773" width="9.5" style="1" bestFit="1" customWidth="1"/>
    <col min="10774" max="10784" width="9" style="1"/>
    <col min="10785" max="10785" width="12.375" style="1" bestFit="1" customWidth="1"/>
    <col min="10786" max="11011" width="9" style="1"/>
    <col min="11012" max="11012" width="10.5" style="1" bestFit="1" customWidth="1"/>
    <col min="11013" max="11013" width="10.875" style="1" bestFit="1" customWidth="1"/>
    <col min="11014" max="11028" width="9" style="1"/>
    <col min="11029" max="11029" width="9.5" style="1" bestFit="1" customWidth="1"/>
    <col min="11030" max="11040" width="9" style="1"/>
    <col min="11041" max="11041" width="12.375" style="1" bestFit="1" customWidth="1"/>
    <col min="11042" max="11267" width="9" style="1"/>
    <col min="11268" max="11268" width="10.5" style="1" bestFit="1" customWidth="1"/>
    <col min="11269" max="11269" width="10.875" style="1" bestFit="1" customWidth="1"/>
    <col min="11270" max="11284" width="9" style="1"/>
    <col min="11285" max="11285" width="9.5" style="1" bestFit="1" customWidth="1"/>
    <col min="11286" max="11296" width="9" style="1"/>
    <col min="11297" max="11297" width="12.375" style="1" bestFit="1" customWidth="1"/>
    <col min="11298" max="11523" width="9" style="1"/>
    <col min="11524" max="11524" width="10.5" style="1" bestFit="1" customWidth="1"/>
    <col min="11525" max="11525" width="10.875" style="1" bestFit="1" customWidth="1"/>
    <col min="11526" max="11540" width="9" style="1"/>
    <col min="11541" max="11541" width="9.5" style="1" bestFit="1" customWidth="1"/>
    <col min="11542" max="11552" width="9" style="1"/>
    <col min="11553" max="11553" width="12.375" style="1" bestFit="1" customWidth="1"/>
    <col min="11554" max="11779" width="9" style="1"/>
    <col min="11780" max="11780" width="10.5" style="1" bestFit="1" customWidth="1"/>
    <col min="11781" max="11781" width="10.875" style="1" bestFit="1" customWidth="1"/>
    <col min="11782" max="11796" width="9" style="1"/>
    <col min="11797" max="11797" width="9.5" style="1" bestFit="1" customWidth="1"/>
    <col min="11798" max="11808" width="9" style="1"/>
    <col min="11809" max="11809" width="12.375" style="1" bestFit="1" customWidth="1"/>
    <col min="11810" max="12035" width="9" style="1"/>
    <col min="12036" max="12036" width="10.5" style="1" bestFit="1" customWidth="1"/>
    <col min="12037" max="12037" width="10.875" style="1" bestFit="1" customWidth="1"/>
    <col min="12038" max="12052" width="9" style="1"/>
    <col min="12053" max="12053" width="9.5" style="1" bestFit="1" customWidth="1"/>
    <col min="12054" max="12064" width="9" style="1"/>
    <col min="12065" max="12065" width="12.375" style="1" bestFit="1" customWidth="1"/>
    <col min="12066" max="12291" width="9" style="1"/>
    <col min="12292" max="12292" width="10.5" style="1" bestFit="1" customWidth="1"/>
    <col min="12293" max="12293" width="10.875" style="1" bestFit="1" customWidth="1"/>
    <col min="12294" max="12308" width="9" style="1"/>
    <col min="12309" max="12309" width="9.5" style="1" bestFit="1" customWidth="1"/>
    <col min="12310" max="12320" width="9" style="1"/>
    <col min="12321" max="12321" width="12.375" style="1" bestFit="1" customWidth="1"/>
    <col min="12322" max="12547" width="9" style="1"/>
    <col min="12548" max="12548" width="10.5" style="1" bestFit="1" customWidth="1"/>
    <col min="12549" max="12549" width="10.875" style="1" bestFit="1" customWidth="1"/>
    <col min="12550" max="12564" width="9" style="1"/>
    <col min="12565" max="12565" width="9.5" style="1" bestFit="1" customWidth="1"/>
    <col min="12566" max="12576" width="9" style="1"/>
    <col min="12577" max="12577" width="12.375" style="1" bestFit="1" customWidth="1"/>
    <col min="12578" max="12803" width="9" style="1"/>
    <col min="12804" max="12804" width="10.5" style="1" bestFit="1" customWidth="1"/>
    <col min="12805" max="12805" width="10.875" style="1" bestFit="1" customWidth="1"/>
    <col min="12806" max="12820" width="9" style="1"/>
    <col min="12821" max="12821" width="9.5" style="1" bestFit="1" customWidth="1"/>
    <col min="12822" max="12832" width="9" style="1"/>
    <col min="12833" max="12833" width="12.375" style="1" bestFit="1" customWidth="1"/>
    <col min="12834" max="13059" width="9" style="1"/>
    <col min="13060" max="13060" width="10.5" style="1" bestFit="1" customWidth="1"/>
    <col min="13061" max="13061" width="10.875" style="1" bestFit="1" customWidth="1"/>
    <col min="13062" max="13076" width="9" style="1"/>
    <col min="13077" max="13077" width="9.5" style="1" bestFit="1" customWidth="1"/>
    <col min="13078" max="13088" width="9" style="1"/>
    <col min="13089" max="13089" width="12.375" style="1" bestFit="1" customWidth="1"/>
    <col min="13090" max="13315" width="9" style="1"/>
    <col min="13316" max="13316" width="10.5" style="1" bestFit="1" customWidth="1"/>
    <col min="13317" max="13317" width="10.875" style="1" bestFit="1" customWidth="1"/>
    <col min="13318" max="13332" width="9" style="1"/>
    <col min="13333" max="13333" width="9.5" style="1" bestFit="1" customWidth="1"/>
    <col min="13334" max="13344" width="9" style="1"/>
    <col min="13345" max="13345" width="12.375" style="1" bestFit="1" customWidth="1"/>
    <col min="13346" max="13571" width="9" style="1"/>
    <col min="13572" max="13572" width="10.5" style="1" bestFit="1" customWidth="1"/>
    <col min="13573" max="13573" width="10.875" style="1" bestFit="1" customWidth="1"/>
    <col min="13574" max="13588" width="9" style="1"/>
    <col min="13589" max="13589" width="9.5" style="1" bestFit="1" customWidth="1"/>
    <col min="13590" max="13600" width="9" style="1"/>
    <col min="13601" max="13601" width="12.375" style="1" bestFit="1" customWidth="1"/>
    <col min="13602" max="13827" width="9" style="1"/>
    <col min="13828" max="13828" width="10.5" style="1" bestFit="1" customWidth="1"/>
    <col min="13829" max="13829" width="10.875" style="1" bestFit="1" customWidth="1"/>
    <col min="13830" max="13844" width="9" style="1"/>
    <col min="13845" max="13845" width="9.5" style="1" bestFit="1" customWidth="1"/>
    <col min="13846" max="13856" width="9" style="1"/>
    <col min="13857" max="13857" width="12.375" style="1" bestFit="1" customWidth="1"/>
    <col min="13858" max="14083" width="9" style="1"/>
    <col min="14084" max="14084" width="10.5" style="1" bestFit="1" customWidth="1"/>
    <col min="14085" max="14085" width="10.875" style="1" bestFit="1" customWidth="1"/>
    <col min="14086" max="14100" width="9" style="1"/>
    <col min="14101" max="14101" width="9.5" style="1" bestFit="1" customWidth="1"/>
    <col min="14102" max="14112" width="9" style="1"/>
    <col min="14113" max="14113" width="12.375" style="1" bestFit="1" customWidth="1"/>
    <col min="14114" max="14339" width="9" style="1"/>
    <col min="14340" max="14340" width="10.5" style="1" bestFit="1" customWidth="1"/>
    <col min="14341" max="14341" width="10.875" style="1" bestFit="1" customWidth="1"/>
    <col min="14342" max="14356" width="9" style="1"/>
    <col min="14357" max="14357" width="9.5" style="1" bestFit="1" customWidth="1"/>
    <col min="14358" max="14368" width="9" style="1"/>
    <col min="14369" max="14369" width="12.375" style="1" bestFit="1" customWidth="1"/>
    <col min="14370" max="14595" width="9" style="1"/>
    <col min="14596" max="14596" width="10.5" style="1" bestFit="1" customWidth="1"/>
    <col min="14597" max="14597" width="10.875" style="1" bestFit="1" customWidth="1"/>
    <col min="14598" max="14612" width="9" style="1"/>
    <col min="14613" max="14613" width="9.5" style="1" bestFit="1" customWidth="1"/>
    <col min="14614" max="14624" width="9" style="1"/>
    <col min="14625" max="14625" width="12.375" style="1" bestFit="1" customWidth="1"/>
    <col min="14626" max="14851" width="9" style="1"/>
    <col min="14852" max="14852" width="10.5" style="1" bestFit="1" customWidth="1"/>
    <col min="14853" max="14853" width="10.875" style="1" bestFit="1" customWidth="1"/>
    <col min="14854" max="14868" width="9" style="1"/>
    <col min="14869" max="14869" width="9.5" style="1" bestFit="1" customWidth="1"/>
    <col min="14870" max="14880" width="9" style="1"/>
    <col min="14881" max="14881" width="12.375" style="1" bestFit="1" customWidth="1"/>
    <col min="14882" max="15107" width="9" style="1"/>
    <col min="15108" max="15108" width="10.5" style="1" bestFit="1" customWidth="1"/>
    <col min="15109" max="15109" width="10.875" style="1" bestFit="1" customWidth="1"/>
    <col min="15110" max="15124" width="9" style="1"/>
    <col min="15125" max="15125" width="9.5" style="1" bestFit="1" customWidth="1"/>
    <col min="15126" max="15136" width="9" style="1"/>
    <col min="15137" max="15137" width="12.375" style="1" bestFit="1" customWidth="1"/>
    <col min="15138" max="15363" width="9" style="1"/>
    <col min="15364" max="15364" width="10.5" style="1" bestFit="1" customWidth="1"/>
    <col min="15365" max="15365" width="10.875" style="1" bestFit="1" customWidth="1"/>
    <col min="15366" max="15380" width="9" style="1"/>
    <col min="15381" max="15381" width="9.5" style="1" bestFit="1" customWidth="1"/>
    <col min="15382" max="15392" width="9" style="1"/>
    <col min="15393" max="15393" width="12.375" style="1" bestFit="1" customWidth="1"/>
    <col min="15394" max="15619" width="9" style="1"/>
    <col min="15620" max="15620" width="10.5" style="1" bestFit="1" customWidth="1"/>
    <col min="15621" max="15621" width="10.875" style="1" bestFit="1" customWidth="1"/>
    <col min="15622" max="15636" width="9" style="1"/>
    <col min="15637" max="15637" width="9.5" style="1" bestFit="1" customWidth="1"/>
    <col min="15638" max="15648" width="9" style="1"/>
    <col min="15649" max="15649" width="12.375" style="1" bestFit="1" customWidth="1"/>
    <col min="15650" max="15875" width="9" style="1"/>
    <col min="15876" max="15876" width="10.5" style="1" bestFit="1" customWidth="1"/>
    <col min="15877" max="15877" width="10.875" style="1" bestFit="1" customWidth="1"/>
    <col min="15878" max="15892" width="9" style="1"/>
    <col min="15893" max="15893" width="9.5" style="1" bestFit="1" customWidth="1"/>
    <col min="15894" max="15904" width="9" style="1"/>
    <col min="15905" max="15905" width="12.375" style="1" bestFit="1" customWidth="1"/>
    <col min="15906" max="16131" width="9" style="1"/>
    <col min="16132" max="16132" width="10.5" style="1" bestFit="1" customWidth="1"/>
    <col min="16133" max="16133" width="10.875" style="1" bestFit="1" customWidth="1"/>
    <col min="16134" max="16148" width="9" style="1"/>
    <col min="16149" max="16149" width="9.5" style="1" bestFit="1" customWidth="1"/>
    <col min="16150" max="16160" width="9" style="1"/>
    <col min="16161" max="16161" width="12.375" style="1" bestFit="1" customWidth="1"/>
    <col min="16162" max="16384" width="9" style="1"/>
  </cols>
  <sheetData>
    <row r="1" spans="1:53" ht="45" x14ac:dyDescent="0.15">
      <c r="A1" s="3" t="s">
        <v>0</v>
      </c>
      <c r="B1" s="70" t="s">
        <v>217</v>
      </c>
      <c r="C1" s="70" t="s">
        <v>218</v>
      </c>
      <c r="D1" s="71" t="s">
        <v>3</v>
      </c>
      <c r="E1" s="4" t="s">
        <v>4</v>
      </c>
      <c r="F1" s="4" t="s">
        <v>5</v>
      </c>
      <c r="G1" s="4" t="s">
        <v>6</v>
      </c>
      <c r="H1" s="4" t="s">
        <v>7</v>
      </c>
      <c r="I1" s="4" t="s">
        <v>8</v>
      </c>
      <c r="J1" s="4" t="s">
        <v>9</v>
      </c>
      <c r="K1" s="4" t="s">
        <v>10</v>
      </c>
      <c r="L1" s="71" t="s">
        <v>219</v>
      </c>
      <c r="M1" s="71" t="s">
        <v>220</v>
      </c>
      <c r="N1" s="71" t="s">
        <v>13</v>
      </c>
      <c r="O1" s="71" t="s">
        <v>221</v>
      </c>
      <c r="P1" s="71" t="s">
        <v>222</v>
      </c>
      <c r="Q1" s="5" t="s">
        <v>223</v>
      </c>
      <c r="R1" s="71" t="s">
        <v>224</v>
      </c>
      <c r="S1" s="71" t="s">
        <v>225</v>
      </c>
      <c r="T1" s="5" t="s">
        <v>19</v>
      </c>
      <c r="U1" s="72" t="s">
        <v>20</v>
      </c>
      <c r="V1" s="6" t="s">
        <v>21</v>
      </c>
      <c r="W1" s="71" t="s">
        <v>226</v>
      </c>
      <c r="X1" s="4" t="s">
        <v>23</v>
      </c>
      <c r="Y1" s="4" t="s">
        <v>24</v>
      </c>
      <c r="Z1" s="4" t="s">
        <v>25</v>
      </c>
      <c r="AA1" s="8" t="s">
        <v>26</v>
      </c>
      <c r="AB1" s="73" t="s">
        <v>227</v>
      </c>
      <c r="AE1" s="74" t="s">
        <v>0</v>
      </c>
      <c r="AF1" s="75"/>
      <c r="AG1" s="74" t="s">
        <v>4</v>
      </c>
      <c r="AH1" s="74" t="s">
        <v>5</v>
      </c>
      <c r="AI1" s="75"/>
      <c r="AJ1" s="74" t="s">
        <v>6</v>
      </c>
      <c r="AK1" s="75"/>
      <c r="AL1" s="11" t="s">
        <v>228</v>
      </c>
      <c r="AM1" s="75"/>
      <c r="AN1" s="11" t="s">
        <v>8</v>
      </c>
      <c r="AO1" s="75"/>
      <c r="AP1" s="11" t="s">
        <v>28</v>
      </c>
      <c r="AQ1" s="75"/>
      <c r="AR1" s="11" t="s">
        <v>10</v>
      </c>
      <c r="AS1" s="75"/>
      <c r="AT1" s="18" t="s">
        <v>229</v>
      </c>
      <c r="AU1" s="75"/>
      <c r="AV1" s="11" t="s">
        <v>30</v>
      </c>
      <c r="AX1" s="20" t="s">
        <v>230</v>
      </c>
      <c r="AY1" s="21" t="s">
        <v>231</v>
      </c>
      <c r="AZ1" s="21" t="s">
        <v>232</v>
      </c>
      <c r="BA1" s="22" t="s">
        <v>233</v>
      </c>
    </row>
    <row r="2" spans="1:53" x14ac:dyDescent="0.15">
      <c r="A2" s="1" t="s">
        <v>35</v>
      </c>
      <c r="B2" s="1" t="s">
        <v>143</v>
      </c>
      <c r="C2" s="1">
        <v>2020</v>
      </c>
      <c r="D2" s="76" t="s">
        <v>234</v>
      </c>
      <c r="E2" s="1" t="s">
        <v>235</v>
      </c>
      <c r="F2" s="1" t="s">
        <v>236</v>
      </c>
      <c r="G2" s="1" t="s">
        <v>37</v>
      </c>
      <c r="H2" s="1" t="s">
        <v>63</v>
      </c>
      <c r="I2" s="1" t="s">
        <v>64</v>
      </c>
      <c r="J2" s="1" t="s">
        <v>40</v>
      </c>
      <c r="K2" s="1" t="s">
        <v>41</v>
      </c>
      <c r="L2" s="1">
        <v>1</v>
      </c>
      <c r="N2" s="16">
        <v>1</v>
      </c>
      <c r="O2" s="1">
        <v>0.5</v>
      </c>
      <c r="P2" s="1">
        <v>0.5</v>
      </c>
      <c r="Q2" s="67">
        <f t="shared" ref="Q2:Q65" si="0">IF(OR(O2="",P2=""),"",AVERAGE(O2,P2))</f>
        <v>0.5</v>
      </c>
      <c r="R2" s="1">
        <v>13.2</v>
      </c>
      <c r="S2" s="1">
        <v>115</v>
      </c>
      <c r="T2" s="68">
        <f t="shared" ref="T2:T59" si="1">IF(H2="","",IF(OR(H2="GREEN",H2="GK"),IF(S2&gt;=$AX$2,VLOOKUP(S2,$AX$2:$AY$12,2,1),""),IF(S2&gt;=$AZ$2,VLOOKUP(S2,$AZ$2:$BA$12,2,1),"")))</f>
        <v>30</v>
      </c>
      <c r="U2" s="1">
        <v>127</v>
      </c>
      <c r="V2" s="68">
        <f t="shared" ref="V2:V65" si="2">IF(OR(N2="",U2="",T2=""),"",U2/N2*T2)</f>
        <v>3810</v>
      </c>
      <c r="W2" s="1">
        <v>3</v>
      </c>
      <c r="X2" s="1" t="s">
        <v>51</v>
      </c>
      <c r="Y2" s="1" t="s">
        <v>67</v>
      </c>
      <c r="Z2" s="1" t="s">
        <v>52</v>
      </c>
      <c r="AA2" s="1" t="s">
        <v>101</v>
      </c>
      <c r="AB2" s="16" t="s">
        <v>145</v>
      </c>
      <c r="AE2" s="77" t="s">
        <v>35</v>
      </c>
      <c r="AG2" s="78" t="s">
        <v>36</v>
      </c>
      <c r="AH2" s="78" t="s">
        <v>237</v>
      </c>
      <c r="AJ2" s="19" t="s">
        <v>37</v>
      </c>
      <c r="AL2" s="79" t="s">
        <v>238</v>
      </c>
      <c r="AN2" s="19" t="s">
        <v>39</v>
      </c>
      <c r="AP2" s="19" t="s">
        <v>40</v>
      </c>
      <c r="AR2" s="19" t="s">
        <v>239</v>
      </c>
      <c r="AT2" s="19" t="s">
        <v>42</v>
      </c>
      <c r="AV2" s="19" t="s">
        <v>43</v>
      </c>
      <c r="AX2" s="40">
        <v>1</v>
      </c>
      <c r="AY2" s="41">
        <v>50</v>
      </c>
      <c r="AZ2" s="41">
        <v>1</v>
      </c>
      <c r="BA2" s="42">
        <v>50</v>
      </c>
    </row>
    <row r="3" spans="1:53" x14ac:dyDescent="0.15">
      <c r="A3" s="1" t="s">
        <v>35</v>
      </c>
      <c r="B3" s="1" t="s">
        <v>143</v>
      </c>
      <c r="C3" s="1">
        <v>2020</v>
      </c>
      <c r="D3" s="76" t="s">
        <v>234</v>
      </c>
      <c r="E3" s="1" t="s">
        <v>235</v>
      </c>
      <c r="F3" s="1" t="s">
        <v>236</v>
      </c>
      <c r="G3" s="1" t="s">
        <v>37</v>
      </c>
      <c r="H3" s="1" t="s">
        <v>63</v>
      </c>
      <c r="I3" s="1" t="s">
        <v>64</v>
      </c>
      <c r="J3" s="1" t="s">
        <v>40</v>
      </c>
      <c r="K3" s="1" t="s">
        <v>41</v>
      </c>
      <c r="L3" s="1">
        <v>2</v>
      </c>
      <c r="N3" s="1">
        <v>1</v>
      </c>
      <c r="O3" s="16">
        <v>0.5</v>
      </c>
      <c r="P3" s="1">
        <v>0.5</v>
      </c>
      <c r="Q3" s="69">
        <f t="shared" si="0"/>
        <v>0.5</v>
      </c>
      <c r="R3" s="1">
        <v>13.7</v>
      </c>
      <c r="S3" s="1">
        <v>119</v>
      </c>
      <c r="T3" s="2">
        <f t="shared" si="1"/>
        <v>30</v>
      </c>
      <c r="U3" s="1">
        <v>127</v>
      </c>
      <c r="V3" s="2">
        <f t="shared" si="2"/>
        <v>3810</v>
      </c>
      <c r="W3" s="1">
        <v>3</v>
      </c>
      <c r="X3" s="1" t="s">
        <v>51</v>
      </c>
      <c r="Y3" s="1" t="s">
        <v>67</v>
      </c>
      <c r="Z3" s="1" t="s">
        <v>52</v>
      </c>
      <c r="AA3" s="1" t="s">
        <v>101</v>
      </c>
      <c r="AB3" s="16" t="s">
        <v>145</v>
      </c>
      <c r="AE3" s="9" t="s">
        <v>44</v>
      </c>
      <c r="AG3" s="78" t="s">
        <v>45</v>
      </c>
      <c r="AH3" s="78" t="s">
        <v>240</v>
      </c>
      <c r="AJ3" s="12" t="s">
        <v>46</v>
      </c>
      <c r="AL3" s="12" t="s">
        <v>241</v>
      </c>
      <c r="AN3" s="12" t="s">
        <v>48</v>
      </c>
      <c r="AP3" s="12" t="s">
        <v>49</v>
      </c>
      <c r="AR3" s="12" t="s">
        <v>50</v>
      </c>
      <c r="AT3" s="12" t="s">
        <v>51</v>
      </c>
      <c r="AV3" s="12" t="s">
        <v>52</v>
      </c>
      <c r="AX3" s="23">
        <v>72</v>
      </c>
      <c r="AY3" s="24">
        <v>46</v>
      </c>
      <c r="AZ3" s="24">
        <v>71</v>
      </c>
      <c r="BA3" s="25">
        <v>42</v>
      </c>
    </row>
    <row r="4" spans="1:53" x14ac:dyDescent="0.15">
      <c r="A4" s="1" t="s">
        <v>35</v>
      </c>
      <c r="B4" s="1" t="s">
        <v>143</v>
      </c>
      <c r="C4" s="1">
        <v>2020</v>
      </c>
      <c r="D4" s="76" t="s">
        <v>234</v>
      </c>
      <c r="E4" s="1" t="s">
        <v>235</v>
      </c>
      <c r="F4" s="1" t="s">
        <v>236</v>
      </c>
      <c r="G4" s="1" t="s">
        <v>37</v>
      </c>
      <c r="H4" s="1" t="s">
        <v>63</v>
      </c>
      <c r="I4" s="1" t="s">
        <v>64</v>
      </c>
      <c r="J4" s="1" t="s">
        <v>40</v>
      </c>
      <c r="K4" s="1" t="s">
        <v>41</v>
      </c>
      <c r="L4" s="1">
        <v>3</v>
      </c>
      <c r="N4" s="1">
        <v>1</v>
      </c>
      <c r="O4" s="1">
        <v>0.5</v>
      </c>
      <c r="P4" s="1">
        <v>0.5</v>
      </c>
      <c r="Q4" s="69">
        <f t="shared" si="0"/>
        <v>0.5</v>
      </c>
      <c r="R4" s="1">
        <v>14.3</v>
      </c>
      <c r="S4" s="1">
        <v>113</v>
      </c>
      <c r="T4" s="2">
        <f t="shared" si="1"/>
        <v>30</v>
      </c>
      <c r="U4" s="1">
        <v>127</v>
      </c>
      <c r="V4" s="2">
        <f t="shared" si="2"/>
        <v>3810</v>
      </c>
      <c r="W4" s="1">
        <v>3</v>
      </c>
      <c r="X4" s="1" t="s">
        <v>51</v>
      </c>
      <c r="Y4" s="1" t="s">
        <v>67</v>
      </c>
      <c r="Z4" s="1" t="s">
        <v>52</v>
      </c>
      <c r="AA4" s="1" t="s">
        <v>101</v>
      </c>
      <c r="AB4" s="16" t="s">
        <v>145</v>
      </c>
      <c r="AE4" s="9" t="s">
        <v>53</v>
      </c>
      <c r="AG4" s="78" t="s">
        <v>242</v>
      </c>
      <c r="AH4" s="78" t="s">
        <v>243</v>
      </c>
      <c r="AJ4" s="13" t="s">
        <v>55</v>
      </c>
      <c r="AL4" s="12" t="s">
        <v>244</v>
      </c>
      <c r="AN4" s="14" t="s">
        <v>245</v>
      </c>
      <c r="AP4" s="12" t="s">
        <v>246</v>
      </c>
      <c r="AR4" s="12" t="s">
        <v>247</v>
      </c>
      <c r="AT4" s="14"/>
      <c r="AV4" s="12" t="s">
        <v>60</v>
      </c>
      <c r="AX4" s="23">
        <v>75</v>
      </c>
      <c r="AY4" s="24">
        <v>42</v>
      </c>
      <c r="AZ4" s="24">
        <v>76</v>
      </c>
      <c r="BA4" s="25">
        <v>39</v>
      </c>
    </row>
    <row r="5" spans="1:53" x14ac:dyDescent="0.15">
      <c r="A5" s="1" t="s">
        <v>35</v>
      </c>
      <c r="B5" s="1" t="s">
        <v>143</v>
      </c>
      <c r="C5" s="1">
        <v>2020</v>
      </c>
      <c r="D5" s="76" t="s">
        <v>234</v>
      </c>
      <c r="E5" s="1" t="s">
        <v>235</v>
      </c>
      <c r="F5" s="1" t="s">
        <v>236</v>
      </c>
      <c r="G5" s="1" t="s">
        <v>37</v>
      </c>
      <c r="H5" s="1" t="s">
        <v>63</v>
      </c>
      <c r="I5" s="1" t="s">
        <v>64</v>
      </c>
      <c r="J5" s="1" t="s">
        <v>40</v>
      </c>
      <c r="K5" s="1" t="s">
        <v>41</v>
      </c>
      <c r="L5" s="1">
        <v>1</v>
      </c>
      <c r="N5" s="1">
        <v>5</v>
      </c>
      <c r="O5" s="1">
        <v>1.25</v>
      </c>
      <c r="P5" s="1">
        <v>1.25</v>
      </c>
      <c r="Q5" s="69">
        <f t="shared" si="0"/>
        <v>1.25</v>
      </c>
      <c r="R5" s="1">
        <v>17.3</v>
      </c>
      <c r="S5" s="1">
        <v>78</v>
      </c>
      <c r="T5" s="2">
        <f t="shared" si="1"/>
        <v>39</v>
      </c>
      <c r="U5" s="1">
        <v>297</v>
      </c>
      <c r="V5" s="2">
        <f t="shared" si="2"/>
        <v>2316.6</v>
      </c>
      <c r="W5" s="1">
        <v>2</v>
      </c>
      <c r="X5" s="1" t="s">
        <v>51</v>
      </c>
      <c r="Y5" s="1" t="s">
        <v>67</v>
      </c>
      <c r="Z5" s="1" t="s">
        <v>52</v>
      </c>
      <c r="AA5" s="1" t="s">
        <v>101</v>
      </c>
      <c r="AB5" s="16" t="s">
        <v>145</v>
      </c>
      <c r="AE5" s="9" t="s">
        <v>61</v>
      </c>
      <c r="AG5" s="78" t="s">
        <v>62</v>
      </c>
      <c r="AH5" s="78" t="s">
        <v>248</v>
      </c>
      <c r="AJ5" s="14"/>
      <c r="AL5" s="12" t="s">
        <v>249</v>
      </c>
      <c r="AN5" s="43" t="s">
        <v>250</v>
      </c>
      <c r="AP5" s="12" t="s">
        <v>251</v>
      </c>
      <c r="AR5" s="12" t="s">
        <v>66</v>
      </c>
      <c r="AV5" s="12" t="s">
        <v>67</v>
      </c>
      <c r="AX5" s="23">
        <v>84</v>
      </c>
      <c r="AY5" s="24">
        <v>39</v>
      </c>
      <c r="AZ5" s="24">
        <v>84</v>
      </c>
      <c r="BA5" s="25">
        <v>36</v>
      </c>
    </row>
    <row r="6" spans="1:53" x14ac:dyDescent="0.15">
      <c r="A6" s="1" t="s">
        <v>35</v>
      </c>
      <c r="B6" s="1" t="s">
        <v>143</v>
      </c>
      <c r="C6" s="1">
        <v>2020</v>
      </c>
      <c r="D6" s="76" t="s">
        <v>234</v>
      </c>
      <c r="E6" s="1" t="s">
        <v>235</v>
      </c>
      <c r="F6" s="1" t="s">
        <v>236</v>
      </c>
      <c r="G6" s="1" t="s">
        <v>37</v>
      </c>
      <c r="H6" s="1" t="s">
        <v>63</v>
      </c>
      <c r="I6" s="1" t="s">
        <v>64</v>
      </c>
      <c r="J6" s="1" t="s">
        <v>40</v>
      </c>
      <c r="K6" s="1" t="s">
        <v>41</v>
      </c>
      <c r="L6" s="1">
        <v>2</v>
      </c>
      <c r="N6" s="1">
        <v>5</v>
      </c>
      <c r="O6" s="1">
        <v>0.8</v>
      </c>
      <c r="P6" s="1">
        <v>0.75</v>
      </c>
      <c r="Q6" s="69">
        <f t="shared" si="0"/>
        <v>0.77500000000000002</v>
      </c>
      <c r="R6" s="1">
        <v>16.899999999999999</v>
      </c>
      <c r="S6" s="1">
        <v>83</v>
      </c>
      <c r="T6" s="2">
        <f t="shared" si="1"/>
        <v>39</v>
      </c>
      <c r="U6" s="1">
        <v>297</v>
      </c>
      <c r="V6" s="2">
        <f t="shared" si="2"/>
        <v>2316.6</v>
      </c>
      <c r="W6" s="1">
        <v>2</v>
      </c>
      <c r="X6" s="1" t="s">
        <v>51</v>
      </c>
      <c r="Y6" s="1" t="s">
        <v>67</v>
      </c>
      <c r="Z6" s="1" t="s">
        <v>52</v>
      </c>
      <c r="AA6" s="1" t="s">
        <v>101</v>
      </c>
      <c r="AB6" s="16" t="s">
        <v>145</v>
      </c>
      <c r="AE6" s="9" t="s">
        <v>68</v>
      </c>
      <c r="AG6" s="78" t="s">
        <v>69</v>
      </c>
      <c r="AH6" s="78" t="s">
        <v>252</v>
      </c>
      <c r="AL6" s="12" t="s">
        <v>253</v>
      </c>
      <c r="AN6" s="43" t="s">
        <v>254</v>
      </c>
      <c r="AP6" s="12" t="s">
        <v>72</v>
      </c>
      <c r="AR6" s="12" t="s">
        <v>73</v>
      </c>
      <c r="AV6" s="12" t="s">
        <v>74</v>
      </c>
      <c r="AX6" s="23">
        <v>97</v>
      </c>
      <c r="AY6" s="24">
        <v>36</v>
      </c>
      <c r="AZ6" s="24">
        <v>99</v>
      </c>
      <c r="BA6" s="25">
        <v>33</v>
      </c>
    </row>
    <row r="7" spans="1:53" ht="12" customHeight="1" x14ac:dyDescent="0.15">
      <c r="A7" s="1" t="s">
        <v>35</v>
      </c>
      <c r="B7" s="1" t="s">
        <v>143</v>
      </c>
      <c r="C7" s="1">
        <v>2020</v>
      </c>
      <c r="D7" s="76" t="s">
        <v>234</v>
      </c>
      <c r="E7" s="1" t="s">
        <v>235</v>
      </c>
      <c r="F7" s="1" t="s">
        <v>236</v>
      </c>
      <c r="G7" s="1" t="s">
        <v>37</v>
      </c>
      <c r="H7" s="1" t="s">
        <v>63</v>
      </c>
      <c r="I7" s="1" t="s">
        <v>64</v>
      </c>
      <c r="J7" s="1" t="s">
        <v>40</v>
      </c>
      <c r="K7" s="1" t="s">
        <v>41</v>
      </c>
      <c r="L7" s="1">
        <v>3</v>
      </c>
      <c r="N7" s="1">
        <v>5</v>
      </c>
      <c r="O7" s="1">
        <v>0.9</v>
      </c>
      <c r="P7" s="1">
        <v>1.1000000000000001</v>
      </c>
      <c r="Q7" s="69">
        <f t="shared" si="0"/>
        <v>1</v>
      </c>
      <c r="R7" s="16">
        <v>11.7</v>
      </c>
      <c r="S7" s="1">
        <v>83</v>
      </c>
      <c r="T7" s="2">
        <f t="shared" si="1"/>
        <v>39</v>
      </c>
      <c r="U7" s="1">
        <v>297</v>
      </c>
      <c r="V7" s="2">
        <f t="shared" si="2"/>
        <v>2316.6</v>
      </c>
      <c r="W7" s="1">
        <v>2</v>
      </c>
      <c r="X7" s="1" t="s">
        <v>51</v>
      </c>
      <c r="Y7" s="1" t="s">
        <v>67</v>
      </c>
      <c r="Z7" s="1" t="s">
        <v>52</v>
      </c>
      <c r="AA7" s="1" t="s">
        <v>101</v>
      </c>
      <c r="AB7" s="16" t="s">
        <v>145</v>
      </c>
      <c r="AE7" s="9" t="s">
        <v>75</v>
      </c>
      <c r="AG7" s="78" t="s">
        <v>76</v>
      </c>
      <c r="AH7" s="78" t="s">
        <v>255</v>
      </c>
      <c r="AL7" s="15" t="s">
        <v>256</v>
      </c>
      <c r="AP7" s="12" t="s">
        <v>78</v>
      </c>
      <c r="AR7" s="12" t="s">
        <v>257</v>
      </c>
      <c r="AV7" s="12" t="s">
        <v>80</v>
      </c>
      <c r="AX7" s="23">
        <v>109</v>
      </c>
      <c r="AY7" s="24">
        <v>33</v>
      </c>
      <c r="AZ7" s="24">
        <v>113</v>
      </c>
      <c r="BA7" s="25">
        <v>30</v>
      </c>
    </row>
    <row r="8" spans="1:53" ht="12.75" customHeight="1" x14ac:dyDescent="0.15">
      <c r="A8" s="1" t="s">
        <v>35</v>
      </c>
      <c r="B8" s="1" t="s">
        <v>143</v>
      </c>
      <c r="C8" s="1">
        <v>2020</v>
      </c>
      <c r="D8" s="76" t="s">
        <v>234</v>
      </c>
      <c r="E8" s="1" t="s">
        <v>235</v>
      </c>
      <c r="F8" s="1" t="s">
        <v>236</v>
      </c>
      <c r="G8" s="1" t="s">
        <v>37</v>
      </c>
      <c r="H8" s="1" t="s">
        <v>82</v>
      </c>
      <c r="I8" s="1" t="s">
        <v>64</v>
      </c>
      <c r="J8" s="1" t="s">
        <v>40</v>
      </c>
      <c r="K8" s="1" t="s">
        <v>41</v>
      </c>
      <c r="L8" s="1">
        <v>1</v>
      </c>
      <c r="N8" s="1">
        <v>1</v>
      </c>
      <c r="O8" s="1">
        <v>0.5</v>
      </c>
      <c r="P8" s="1">
        <v>0.5</v>
      </c>
      <c r="Q8" s="69">
        <f t="shared" si="0"/>
        <v>0.5</v>
      </c>
      <c r="R8" s="16">
        <v>16.3</v>
      </c>
      <c r="S8" s="1">
        <v>136</v>
      </c>
      <c r="T8" s="2">
        <f t="shared" si="1"/>
        <v>25</v>
      </c>
      <c r="U8" s="1">
        <v>127</v>
      </c>
      <c r="V8" s="2">
        <f t="shared" si="2"/>
        <v>3175</v>
      </c>
      <c r="W8" s="1">
        <v>4</v>
      </c>
      <c r="X8" s="1" t="s">
        <v>51</v>
      </c>
      <c r="Y8" s="1" t="s">
        <v>67</v>
      </c>
      <c r="Z8" s="1" t="s">
        <v>52</v>
      </c>
      <c r="AA8" s="1" t="s">
        <v>101</v>
      </c>
      <c r="AB8" s="16" t="s">
        <v>145</v>
      </c>
      <c r="AE8" s="9" t="s">
        <v>73</v>
      </c>
      <c r="AG8" s="78" t="s">
        <v>235</v>
      </c>
      <c r="AH8" s="78" t="s">
        <v>236</v>
      </c>
      <c r="AL8" s="15" t="s">
        <v>258</v>
      </c>
      <c r="AP8" s="12" t="s">
        <v>83</v>
      </c>
      <c r="AR8" s="12" t="s">
        <v>84</v>
      </c>
      <c r="AV8" s="12" t="s">
        <v>85</v>
      </c>
      <c r="AX8" s="23">
        <v>119</v>
      </c>
      <c r="AY8" s="24">
        <v>30</v>
      </c>
      <c r="AZ8" s="24">
        <v>121</v>
      </c>
      <c r="BA8" s="25">
        <v>27</v>
      </c>
    </row>
    <row r="9" spans="1:53" x14ac:dyDescent="0.15">
      <c r="A9" s="1" t="s">
        <v>35</v>
      </c>
      <c r="B9" s="1" t="s">
        <v>143</v>
      </c>
      <c r="C9" s="1">
        <v>2020</v>
      </c>
      <c r="D9" s="76" t="s">
        <v>234</v>
      </c>
      <c r="E9" s="1" t="s">
        <v>235</v>
      </c>
      <c r="F9" s="1" t="s">
        <v>236</v>
      </c>
      <c r="G9" s="1" t="s">
        <v>37</v>
      </c>
      <c r="H9" s="1" t="s">
        <v>82</v>
      </c>
      <c r="I9" s="1" t="s">
        <v>64</v>
      </c>
      <c r="J9" s="1" t="s">
        <v>40</v>
      </c>
      <c r="K9" s="1" t="s">
        <v>41</v>
      </c>
      <c r="L9" s="1">
        <v>2</v>
      </c>
      <c r="N9" s="1">
        <v>1</v>
      </c>
      <c r="O9" s="1">
        <v>0.5</v>
      </c>
      <c r="P9" s="1">
        <v>0.5</v>
      </c>
      <c r="Q9" s="69">
        <f t="shared" si="0"/>
        <v>0.5</v>
      </c>
      <c r="R9" s="1">
        <v>12.6</v>
      </c>
      <c r="S9" s="1">
        <v>136</v>
      </c>
      <c r="T9" s="2">
        <f t="shared" si="1"/>
        <v>25</v>
      </c>
      <c r="U9" s="1">
        <v>127</v>
      </c>
      <c r="V9" s="2">
        <f t="shared" si="2"/>
        <v>3175</v>
      </c>
      <c r="W9" s="1">
        <v>4</v>
      </c>
      <c r="X9" s="1" t="s">
        <v>51</v>
      </c>
      <c r="Y9" s="1" t="s">
        <v>67</v>
      </c>
      <c r="Z9" s="1" t="s">
        <v>52</v>
      </c>
      <c r="AA9" s="1" t="s">
        <v>101</v>
      </c>
      <c r="AB9" s="16" t="s">
        <v>145</v>
      </c>
      <c r="AE9" s="9" t="s">
        <v>259</v>
      </c>
      <c r="AG9" s="78" t="s">
        <v>87</v>
      </c>
      <c r="AH9" s="78" t="s">
        <v>260</v>
      </c>
      <c r="AL9" s="12" t="s">
        <v>261</v>
      </c>
      <c r="AP9" s="12" t="s">
        <v>89</v>
      </c>
      <c r="AR9" s="12" t="s">
        <v>262</v>
      </c>
      <c r="AV9" s="12" t="s">
        <v>91</v>
      </c>
      <c r="AX9" s="23">
        <v>128</v>
      </c>
      <c r="AY9" s="24">
        <v>27</v>
      </c>
      <c r="AZ9" s="24">
        <v>129</v>
      </c>
      <c r="BA9" s="25">
        <v>25</v>
      </c>
    </row>
    <row r="10" spans="1:53" x14ac:dyDescent="0.15">
      <c r="A10" s="1" t="s">
        <v>35</v>
      </c>
      <c r="B10" s="1" t="s">
        <v>143</v>
      </c>
      <c r="C10" s="1">
        <v>2020</v>
      </c>
      <c r="D10" s="76" t="s">
        <v>234</v>
      </c>
      <c r="E10" s="1" t="s">
        <v>235</v>
      </c>
      <c r="F10" s="1" t="s">
        <v>236</v>
      </c>
      <c r="G10" s="1" t="s">
        <v>37</v>
      </c>
      <c r="H10" s="1" t="s">
        <v>82</v>
      </c>
      <c r="I10" s="1" t="s">
        <v>64</v>
      </c>
      <c r="J10" s="1" t="s">
        <v>40</v>
      </c>
      <c r="K10" s="1" t="s">
        <v>41</v>
      </c>
      <c r="L10" s="1">
        <v>3</v>
      </c>
      <c r="N10" s="1">
        <v>1</v>
      </c>
      <c r="O10" s="1">
        <v>0.5</v>
      </c>
      <c r="P10" s="1">
        <v>0.5</v>
      </c>
      <c r="Q10" s="69">
        <f t="shared" si="0"/>
        <v>0.5</v>
      </c>
      <c r="R10" s="1">
        <v>10.3</v>
      </c>
      <c r="S10" s="1">
        <v>138</v>
      </c>
      <c r="T10" s="2">
        <f t="shared" si="1"/>
        <v>22</v>
      </c>
      <c r="U10" s="1">
        <v>127</v>
      </c>
      <c r="V10" s="2">
        <f t="shared" si="2"/>
        <v>2794</v>
      </c>
      <c r="W10" s="1">
        <v>4</v>
      </c>
      <c r="X10" s="1" t="s">
        <v>51</v>
      </c>
      <c r="Y10" s="1" t="s">
        <v>67</v>
      </c>
      <c r="Z10" s="1" t="s">
        <v>52</v>
      </c>
      <c r="AA10" s="1" t="s">
        <v>101</v>
      </c>
      <c r="AB10" s="16" t="s">
        <v>145</v>
      </c>
      <c r="AE10" s="9" t="s">
        <v>263</v>
      </c>
      <c r="AG10" s="78" t="s">
        <v>264</v>
      </c>
      <c r="AH10" s="78" t="s">
        <v>265</v>
      </c>
      <c r="AP10" s="12" t="s">
        <v>94</v>
      </c>
      <c r="AR10" s="12" t="s">
        <v>266</v>
      </c>
      <c r="AV10" s="12" t="s">
        <v>96</v>
      </c>
      <c r="AX10" s="23">
        <v>138</v>
      </c>
      <c r="AY10" s="24">
        <v>25</v>
      </c>
      <c r="AZ10" s="24">
        <v>138</v>
      </c>
      <c r="BA10" s="25">
        <v>22</v>
      </c>
    </row>
    <row r="11" spans="1:53" x14ac:dyDescent="0.15">
      <c r="A11" s="1" t="s">
        <v>35</v>
      </c>
      <c r="B11" s="1" t="s">
        <v>143</v>
      </c>
      <c r="C11" s="1">
        <v>2020</v>
      </c>
      <c r="D11" s="76" t="s">
        <v>234</v>
      </c>
      <c r="E11" s="1" t="s">
        <v>235</v>
      </c>
      <c r="F11" s="1" t="s">
        <v>236</v>
      </c>
      <c r="G11" s="1" t="s">
        <v>37</v>
      </c>
      <c r="H11" s="1" t="s">
        <v>82</v>
      </c>
      <c r="I11" s="1" t="s">
        <v>64</v>
      </c>
      <c r="J11" s="1" t="s">
        <v>40</v>
      </c>
      <c r="K11" s="1" t="s">
        <v>41</v>
      </c>
      <c r="L11" s="1">
        <v>1</v>
      </c>
      <c r="N11" s="1">
        <v>4</v>
      </c>
      <c r="O11" s="1">
        <v>0.5</v>
      </c>
      <c r="P11" s="1">
        <v>0.5</v>
      </c>
      <c r="Q11" s="69">
        <f t="shared" si="0"/>
        <v>0.5</v>
      </c>
      <c r="R11" s="1">
        <v>11.8</v>
      </c>
      <c r="S11" s="1">
        <v>90</v>
      </c>
      <c r="T11" s="2">
        <f t="shared" si="1"/>
        <v>36</v>
      </c>
      <c r="U11" s="1">
        <v>397</v>
      </c>
      <c r="V11" s="2">
        <f t="shared" si="2"/>
        <v>3573</v>
      </c>
      <c r="W11" s="1">
        <v>2</v>
      </c>
      <c r="X11" s="1" t="s">
        <v>51</v>
      </c>
      <c r="Y11" s="1" t="s">
        <v>67</v>
      </c>
      <c r="Z11" s="1" t="s">
        <v>52</v>
      </c>
      <c r="AA11" s="1" t="s">
        <v>101</v>
      </c>
      <c r="AB11" s="16" t="s">
        <v>145</v>
      </c>
      <c r="AE11" s="9" t="s">
        <v>267</v>
      </c>
      <c r="AG11" s="78" t="s">
        <v>98</v>
      </c>
      <c r="AH11" s="78" t="s">
        <v>252</v>
      </c>
      <c r="AP11" s="12" t="s">
        <v>99</v>
      </c>
      <c r="AR11" s="12" t="s">
        <v>268</v>
      </c>
      <c r="AV11" s="12" t="s">
        <v>101</v>
      </c>
      <c r="AX11" s="23">
        <v>151</v>
      </c>
      <c r="AY11" s="24">
        <v>22</v>
      </c>
      <c r="AZ11" s="24">
        <v>152</v>
      </c>
      <c r="BA11" s="25">
        <v>18</v>
      </c>
    </row>
    <row r="12" spans="1:53" x14ac:dyDescent="0.15">
      <c r="A12" s="1" t="s">
        <v>35</v>
      </c>
      <c r="B12" s="1" t="s">
        <v>143</v>
      </c>
      <c r="C12" s="1">
        <v>2020</v>
      </c>
      <c r="D12" s="76" t="s">
        <v>234</v>
      </c>
      <c r="E12" s="1" t="s">
        <v>235</v>
      </c>
      <c r="F12" s="1" t="s">
        <v>236</v>
      </c>
      <c r="G12" s="1" t="s">
        <v>37</v>
      </c>
      <c r="H12" s="1" t="s">
        <v>82</v>
      </c>
      <c r="I12" s="1" t="s">
        <v>64</v>
      </c>
      <c r="J12" s="1" t="s">
        <v>40</v>
      </c>
      <c r="K12" s="1" t="s">
        <v>41</v>
      </c>
      <c r="L12" s="1">
        <v>2</v>
      </c>
      <c r="N12" s="1">
        <v>4</v>
      </c>
      <c r="O12" s="1">
        <v>0.5</v>
      </c>
      <c r="P12" s="1">
        <v>0.5</v>
      </c>
      <c r="Q12" s="69">
        <f t="shared" si="0"/>
        <v>0.5</v>
      </c>
      <c r="R12" s="16">
        <v>12.4</v>
      </c>
      <c r="S12" s="1">
        <v>82</v>
      </c>
      <c r="T12" s="2">
        <f t="shared" si="1"/>
        <v>39</v>
      </c>
      <c r="U12" s="1">
        <v>397</v>
      </c>
      <c r="V12" s="2">
        <f t="shared" si="2"/>
        <v>3870.75</v>
      </c>
      <c r="W12" s="1">
        <v>2</v>
      </c>
      <c r="X12" s="1" t="s">
        <v>51</v>
      </c>
      <c r="Y12" s="1" t="s">
        <v>67</v>
      </c>
      <c r="Z12" s="1" t="s">
        <v>52</v>
      </c>
      <c r="AA12" s="1" t="s">
        <v>101</v>
      </c>
      <c r="AB12" s="16" t="s">
        <v>145</v>
      </c>
      <c r="AE12" s="9" t="s">
        <v>269</v>
      </c>
      <c r="AG12" s="35"/>
      <c r="AH12" s="35"/>
      <c r="AP12" s="12" t="s">
        <v>103</v>
      </c>
      <c r="AR12" s="12" t="s">
        <v>270</v>
      </c>
      <c r="AV12" s="12" t="s">
        <v>105</v>
      </c>
      <c r="AX12" s="26">
        <v>180</v>
      </c>
      <c r="AY12" s="27">
        <v>18</v>
      </c>
      <c r="AZ12" s="27">
        <v>181</v>
      </c>
      <c r="BA12" s="28">
        <v>16</v>
      </c>
    </row>
    <row r="13" spans="1:53" x14ac:dyDescent="0.15">
      <c r="A13" s="1" t="s">
        <v>35</v>
      </c>
      <c r="B13" s="1" t="s">
        <v>143</v>
      </c>
      <c r="C13" s="1">
        <v>2020</v>
      </c>
      <c r="D13" s="76" t="s">
        <v>234</v>
      </c>
      <c r="E13" s="1" t="s">
        <v>235</v>
      </c>
      <c r="F13" s="1" t="s">
        <v>236</v>
      </c>
      <c r="G13" s="1" t="s">
        <v>37</v>
      </c>
      <c r="H13" s="1" t="s">
        <v>82</v>
      </c>
      <c r="I13" s="1" t="s">
        <v>64</v>
      </c>
      <c r="J13" s="1" t="s">
        <v>40</v>
      </c>
      <c r="K13" s="1" t="s">
        <v>41</v>
      </c>
      <c r="L13" s="1">
        <v>3</v>
      </c>
      <c r="N13" s="1">
        <v>4</v>
      </c>
      <c r="O13" s="1">
        <v>0.5</v>
      </c>
      <c r="P13" s="1">
        <v>0.5</v>
      </c>
      <c r="Q13" s="69">
        <f t="shared" si="0"/>
        <v>0.5</v>
      </c>
      <c r="R13" s="1">
        <v>11.6</v>
      </c>
      <c r="S13" s="1">
        <v>88</v>
      </c>
      <c r="T13" s="2">
        <f t="shared" si="1"/>
        <v>36</v>
      </c>
      <c r="U13" s="1">
        <v>397</v>
      </c>
      <c r="V13" s="2">
        <f t="shared" si="2"/>
        <v>3573</v>
      </c>
      <c r="W13" s="1">
        <v>2</v>
      </c>
      <c r="X13" s="1" t="s">
        <v>51</v>
      </c>
      <c r="Y13" s="1" t="s">
        <v>67</v>
      </c>
      <c r="Z13" s="1" t="s">
        <v>52</v>
      </c>
      <c r="AA13" s="1" t="s">
        <v>101</v>
      </c>
      <c r="AB13" s="16" t="s">
        <v>145</v>
      </c>
      <c r="AE13" s="9" t="s">
        <v>271</v>
      </c>
      <c r="AG13" s="12"/>
      <c r="AH13" s="12"/>
      <c r="AP13" s="12" t="s">
        <v>107</v>
      </c>
      <c r="AR13" s="12" t="s">
        <v>263</v>
      </c>
      <c r="AV13" s="12" t="s">
        <v>108</v>
      </c>
    </row>
    <row r="14" spans="1:53" x14ac:dyDescent="0.15">
      <c r="A14" s="1" t="s">
        <v>35</v>
      </c>
      <c r="B14" s="1" t="s">
        <v>143</v>
      </c>
      <c r="C14" s="1">
        <v>2020</v>
      </c>
      <c r="D14" s="76" t="s">
        <v>234</v>
      </c>
      <c r="E14" s="1" t="s">
        <v>62</v>
      </c>
      <c r="F14" s="1" t="s">
        <v>248</v>
      </c>
      <c r="G14" s="1" t="s">
        <v>37</v>
      </c>
      <c r="H14" s="1" t="s">
        <v>63</v>
      </c>
      <c r="I14" s="1" t="s">
        <v>64</v>
      </c>
      <c r="J14" s="1" t="s">
        <v>40</v>
      </c>
      <c r="K14" s="1" t="s">
        <v>41</v>
      </c>
      <c r="L14" s="1">
        <v>1</v>
      </c>
      <c r="N14" s="1">
        <v>1</v>
      </c>
      <c r="O14" s="1">
        <v>0.5</v>
      </c>
      <c r="P14" s="1">
        <v>0.5</v>
      </c>
      <c r="Q14" s="69">
        <f t="shared" si="0"/>
        <v>0.5</v>
      </c>
      <c r="R14" s="1">
        <v>10.7</v>
      </c>
      <c r="S14" s="1">
        <v>114</v>
      </c>
      <c r="T14" s="2">
        <f t="shared" si="1"/>
        <v>30</v>
      </c>
      <c r="U14" s="1">
        <v>98</v>
      </c>
      <c r="V14" s="2">
        <f t="shared" si="2"/>
        <v>2940</v>
      </c>
      <c r="W14" s="1">
        <v>3</v>
      </c>
      <c r="X14" s="1" t="s">
        <v>51</v>
      </c>
      <c r="Y14" s="1" t="s">
        <v>67</v>
      </c>
      <c r="Z14" s="1" t="s">
        <v>52</v>
      </c>
      <c r="AA14" s="1" t="s">
        <v>128</v>
      </c>
      <c r="AB14" s="16" t="s">
        <v>145</v>
      </c>
      <c r="AE14" s="9" t="s">
        <v>272</v>
      </c>
      <c r="AG14" s="12"/>
      <c r="AH14" s="12"/>
      <c r="AP14" s="12" t="s">
        <v>110</v>
      </c>
      <c r="AR14" s="12" t="s">
        <v>273</v>
      </c>
      <c r="AV14" s="12" t="s">
        <v>112</v>
      </c>
    </row>
    <row r="15" spans="1:53" x14ac:dyDescent="0.15">
      <c r="A15" s="1" t="s">
        <v>35</v>
      </c>
      <c r="B15" s="1" t="s">
        <v>143</v>
      </c>
      <c r="C15" s="1">
        <v>2020</v>
      </c>
      <c r="D15" s="76" t="s">
        <v>234</v>
      </c>
      <c r="E15" s="1" t="s">
        <v>62</v>
      </c>
      <c r="F15" s="1" t="s">
        <v>248</v>
      </c>
      <c r="G15" s="1" t="s">
        <v>37</v>
      </c>
      <c r="H15" s="1" t="s">
        <v>63</v>
      </c>
      <c r="I15" s="1" t="s">
        <v>64</v>
      </c>
      <c r="J15" s="1" t="s">
        <v>40</v>
      </c>
      <c r="K15" s="1" t="s">
        <v>41</v>
      </c>
      <c r="L15" s="1">
        <v>2</v>
      </c>
      <c r="N15" s="1">
        <v>1</v>
      </c>
      <c r="O15" s="1">
        <v>0.7</v>
      </c>
      <c r="P15" s="1">
        <v>0.7</v>
      </c>
      <c r="Q15" s="69">
        <f t="shared" si="0"/>
        <v>0.7</v>
      </c>
      <c r="R15" s="1">
        <v>15.9</v>
      </c>
      <c r="S15" s="1">
        <v>115</v>
      </c>
      <c r="T15" s="2">
        <f t="shared" si="1"/>
        <v>30</v>
      </c>
      <c r="U15" s="1">
        <v>98</v>
      </c>
      <c r="V15" s="2">
        <f t="shared" si="2"/>
        <v>2940</v>
      </c>
      <c r="W15" s="1">
        <v>3</v>
      </c>
      <c r="X15" s="1" t="s">
        <v>51</v>
      </c>
      <c r="Y15" s="1" t="s">
        <v>67</v>
      </c>
      <c r="Z15" s="1" t="s">
        <v>52</v>
      </c>
      <c r="AA15" s="1" t="s">
        <v>128</v>
      </c>
      <c r="AB15" s="16" t="s">
        <v>145</v>
      </c>
      <c r="AE15" s="9" t="s">
        <v>274</v>
      </c>
      <c r="AG15" s="12"/>
      <c r="AH15" s="12"/>
      <c r="AP15" s="12" t="s">
        <v>114</v>
      </c>
      <c r="AR15" s="12" t="s">
        <v>275</v>
      </c>
      <c r="AV15" s="12" t="s">
        <v>116</v>
      </c>
    </row>
    <row r="16" spans="1:53" x14ac:dyDescent="0.15">
      <c r="A16" s="1" t="s">
        <v>35</v>
      </c>
      <c r="B16" s="1" t="s">
        <v>143</v>
      </c>
      <c r="C16" s="1">
        <v>2020</v>
      </c>
      <c r="D16" s="76" t="s">
        <v>234</v>
      </c>
      <c r="E16" s="1" t="s">
        <v>62</v>
      </c>
      <c r="F16" s="1" t="s">
        <v>248</v>
      </c>
      <c r="G16" s="1" t="s">
        <v>37</v>
      </c>
      <c r="H16" s="1" t="s">
        <v>63</v>
      </c>
      <c r="I16" s="1" t="s">
        <v>64</v>
      </c>
      <c r="J16" s="1" t="s">
        <v>40</v>
      </c>
      <c r="K16" s="1" t="s">
        <v>41</v>
      </c>
      <c r="L16" s="1">
        <v>3</v>
      </c>
      <c r="N16" s="1">
        <v>1</v>
      </c>
      <c r="O16" s="1">
        <v>0.5</v>
      </c>
      <c r="P16" s="1">
        <v>0.55000000000000004</v>
      </c>
      <c r="Q16" s="69">
        <f t="shared" si="0"/>
        <v>0.52500000000000002</v>
      </c>
      <c r="R16" s="1">
        <v>10.8</v>
      </c>
      <c r="S16" s="1">
        <v>115</v>
      </c>
      <c r="T16" s="2">
        <f t="shared" si="1"/>
        <v>30</v>
      </c>
      <c r="U16" s="1">
        <v>98</v>
      </c>
      <c r="V16" s="2">
        <f t="shared" si="2"/>
        <v>2940</v>
      </c>
      <c r="W16" s="1">
        <v>3</v>
      </c>
      <c r="X16" s="1" t="s">
        <v>51</v>
      </c>
      <c r="Y16" s="1" t="s">
        <v>67</v>
      </c>
      <c r="Z16" s="1" t="s">
        <v>52</v>
      </c>
      <c r="AA16" s="1" t="s">
        <v>128</v>
      </c>
      <c r="AB16" s="16" t="s">
        <v>145</v>
      </c>
      <c r="AE16" s="9" t="s">
        <v>276</v>
      </c>
      <c r="AG16" s="14"/>
      <c r="AH16" s="14"/>
      <c r="AP16" s="12" t="s">
        <v>115</v>
      </c>
      <c r="AR16" s="12" t="s">
        <v>118</v>
      </c>
      <c r="AV16" s="12" t="s">
        <v>119</v>
      </c>
    </row>
    <row r="17" spans="1:48" x14ac:dyDescent="0.15">
      <c r="A17" s="1" t="s">
        <v>35</v>
      </c>
      <c r="B17" s="1" t="s">
        <v>143</v>
      </c>
      <c r="C17" s="1">
        <v>2020</v>
      </c>
      <c r="D17" s="76" t="s">
        <v>234</v>
      </c>
      <c r="E17" s="1" t="s">
        <v>62</v>
      </c>
      <c r="F17" s="1" t="s">
        <v>248</v>
      </c>
      <c r="G17" s="1" t="s">
        <v>37</v>
      </c>
      <c r="H17" s="1" t="s">
        <v>63</v>
      </c>
      <c r="I17" s="1" t="s">
        <v>64</v>
      </c>
      <c r="J17" s="1" t="s">
        <v>40</v>
      </c>
      <c r="K17" s="1" t="s">
        <v>41</v>
      </c>
      <c r="L17" s="1">
        <v>1</v>
      </c>
      <c r="N17" s="1">
        <v>5</v>
      </c>
      <c r="O17" s="1">
        <v>0.5</v>
      </c>
      <c r="P17" s="1">
        <v>0.5</v>
      </c>
      <c r="Q17" s="69">
        <f t="shared" si="0"/>
        <v>0.5</v>
      </c>
      <c r="R17" s="1">
        <v>11.1</v>
      </c>
      <c r="S17" s="1">
        <v>87</v>
      </c>
      <c r="T17" s="2">
        <f t="shared" si="1"/>
        <v>36</v>
      </c>
      <c r="U17" s="1">
        <v>395</v>
      </c>
      <c r="V17" s="2">
        <f t="shared" si="2"/>
        <v>2844</v>
      </c>
      <c r="W17" s="1">
        <v>3</v>
      </c>
      <c r="X17" s="1" t="s">
        <v>51</v>
      </c>
      <c r="Y17" s="1" t="s">
        <v>67</v>
      </c>
      <c r="Z17" s="1" t="s">
        <v>52</v>
      </c>
      <c r="AA17" s="1" t="s">
        <v>128</v>
      </c>
      <c r="AB17" s="16" t="s">
        <v>145</v>
      </c>
      <c r="AE17" s="9" t="s">
        <v>277</v>
      </c>
      <c r="AP17" s="13" t="s">
        <v>278</v>
      </c>
      <c r="AR17" s="12" t="s">
        <v>109</v>
      </c>
      <c r="AV17" s="12" t="s">
        <v>122</v>
      </c>
    </row>
    <row r="18" spans="1:48" x14ac:dyDescent="0.15">
      <c r="A18" s="1" t="s">
        <v>35</v>
      </c>
      <c r="B18" s="1" t="s">
        <v>143</v>
      </c>
      <c r="C18" s="1">
        <v>2020</v>
      </c>
      <c r="D18" s="76" t="s">
        <v>234</v>
      </c>
      <c r="E18" s="1" t="s">
        <v>62</v>
      </c>
      <c r="F18" s="1" t="s">
        <v>248</v>
      </c>
      <c r="G18" s="1" t="s">
        <v>37</v>
      </c>
      <c r="H18" s="1" t="s">
        <v>63</v>
      </c>
      <c r="I18" s="1" t="s">
        <v>64</v>
      </c>
      <c r="J18" s="1" t="s">
        <v>40</v>
      </c>
      <c r="K18" s="1" t="s">
        <v>41</v>
      </c>
      <c r="L18" s="1">
        <v>2</v>
      </c>
      <c r="N18" s="1">
        <v>5</v>
      </c>
      <c r="O18" s="1">
        <v>0.5</v>
      </c>
      <c r="P18" s="1">
        <v>0.5</v>
      </c>
      <c r="Q18" s="69">
        <f t="shared" si="0"/>
        <v>0.5</v>
      </c>
      <c r="R18" s="1">
        <v>9.6999999999999993</v>
      </c>
      <c r="S18" s="1">
        <v>94</v>
      </c>
      <c r="T18" s="2">
        <f t="shared" si="1"/>
        <v>36</v>
      </c>
      <c r="U18" s="1">
        <v>395</v>
      </c>
      <c r="V18" s="2">
        <f t="shared" si="2"/>
        <v>2844</v>
      </c>
      <c r="W18" s="1">
        <v>3</v>
      </c>
      <c r="X18" s="1" t="s">
        <v>51</v>
      </c>
      <c r="Y18" s="1" t="s">
        <v>67</v>
      </c>
      <c r="Z18" s="1" t="s">
        <v>52</v>
      </c>
      <c r="AA18" s="1" t="s">
        <v>128</v>
      </c>
      <c r="AB18" s="16" t="s">
        <v>145</v>
      </c>
      <c r="AE18" s="9" t="s">
        <v>268</v>
      </c>
      <c r="AP18" s="13" t="s">
        <v>279</v>
      </c>
      <c r="AR18" s="12" t="s">
        <v>124</v>
      </c>
      <c r="AV18" s="12" t="s">
        <v>125</v>
      </c>
    </row>
    <row r="19" spans="1:48" x14ac:dyDescent="0.15">
      <c r="A19" s="1" t="s">
        <v>35</v>
      </c>
      <c r="B19" s="1" t="s">
        <v>143</v>
      </c>
      <c r="C19" s="1">
        <v>2020</v>
      </c>
      <c r="D19" s="76" t="s">
        <v>234</v>
      </c>
      <c r="E19" s="1" t="s">
        <v>62</v>
      </c>
      <c r="F19" s="1" t="s">
        <v>248</v>
      </c>
      <c r="G19" s="1" t="s">
        <v>37</v>
      </c>
      <c r="H19" s="1" t="s">
        <v>63</v>
      </c>
      <c r="I19" s="1" t="s">
        <v>64</v>
      </c>
      <c r="J19" s="1" t="s">
        <v>40</v>
      </c>
      <c r="K19" s="1" t="s">
        <v>41</v>
      </c>
      <c r="L19" s="1">
        <v>3</v>
      </c>
      <c r="N19" s="1">
        <v>5</v>
      </c>
      <c r="O19" s="1">
        <v>0.5</v>
      </c>
      <c r="P19" s="1">
        <v>0.5</v>
      </c>
      <c r="Q19" s="69">
        <f t="shared" si="0"/>
        <v>0.5</v>
      </c>
      <c r="R19" s="1">
        <v>10.9</v>
      </c>
      <c r="S19" s="1">
        <v>92</v>
      </c>
      <c r="T19" s="2">
        <f t="shared" si="1"/>
        <v>36</v>
      </c>
      <c r="U19" s="1">
        <v>395</v>
      </c>
      <c r="V19" s="2">
        <f t="shared" si="2"/>
        <v>2844</v>
      </c>
      <c r="W19" s="1">
        <v>3</v>
      </c>
      <c r="X19" s="1" t="s">
        <v>51</v>
      </c>
      <c r="Y19" s="1" t="s">
        <v>67</v>
      </c>
      <c r="Z19" s="1" t="s">
        <v>52</v>
      </c>
      <c r="AA19" s="1" t="s">
        <v>128</v>
      </c>
      <c r="AB19" s="16" t="s">
        <v>145</v>
      </c>
      <c r="AE19" s="10" t="s">
        <v>262</v>
      </c>
      <c r="AP19" s="13" t="s">
        <v>280</v>
      </c>
      <c r="AR19" s="12" t="s">
        <v>281</v>
      </c>
      <c r="AV19" s="12" t="s">
        <v>128</v>
      </c>
    </row>
    <row r="20" spans="1:48" x14ac:dyDescent="0.15">
      <c r="A20" s="1" t="s">
        <v>35</v>
      </c>
      <c r="B20" s="1" t="s">
        <v>143</v>
      </c>
      <c r="C20" s="1">
        <v>2020</v>
      </c>
      <c r="D20" s="76" t="s">
        <v>234</v>
      </c>
      <c r="E20" s="1" t="s">
        <v>62</v>
      </c>
      <c r="F20" s="1" t="s">
        <v>248</v>
      </c>
      <c r="G20" s="1" t="s">
        <v>37</v>
      </c>
      <c r="H20" s="1" t="s">
        <v>82</v>
      </c>
      <c r="I20" s="1" t="s">
        <v>64</v>
      </c>
      <c r="J20" s="1" t="s">
        <v>40</v>
      </c>
      <c r="K20" s="1" t="s">
        <v>41</v>
      </c>
      <c r="L20" s="1">
        <v>1</v>
      </c>
      <c r="N20" s="1">
        <v>1</v>
      </c>
      <c r="O20" s="1">
        <v>0.5</v>
      </c>
      <c r="P20" s="16">
        <v>0.5</v>
      </c>
      <c r="Q20" s="69">
        <f t="shared" si="0"/>
        <v>0.5</v>
      </c>
      <c r="R20" s="1">
        <v>17.399999999999999</v>
      </c>
      <c r="S20" s="1">
        <v>123</v>
      </c>
      <c r="T20" s="2">
        <f t="shared" si="1"/>
        <v>27</v>
      </c>
      <c r="U20" s="1">
        <v>125</v>
      </c>
      <c r="V20" s="2">
        <f t="shared" si="2"/>
        <v>3375</v>
      </c>
      <c r="W20" s="1">
        <v>6</v>
      </c>
      <c r="X20" s="1" t="s">
        <v>51</v>
      </c>
      <c r="Y20" s="1" t="s">
        <v>67</v>
      </c>
      <c r="Z20" s="1" t="s">
        <v>52</v>
      </c>
      <c r="AA20" s="1" t="s">
        <v>128</v>
      </c>
      <c r="AB20" s="16" t="s">
        <v>145</v>
      </c>
      <c r="AE20" s="9"/>
      <c r="AP20" s="13" t="s">
        <v>282</v>
      </c>
      <c r="AR20" s="12" t="s">
        <v>130</v>
      </c>
      <c r="AV20" s="13" t="s">
        <v>283</v>
      </c>
    </row>
    <row r="21" spans="1:48" x14ac:dyDescent="0.15">
      <c r="A21" s="1" t="s">
        <v>35</v>
      </c>
      <c r="B21" s="1" t="s">
        <v>143</v>
      </c>
      <c r="C21" s="1">
        <v>2020</v>
      </c>
      <c r="D21" s="76" t="s">
        <v>234</v>
      </c>
      <c r="E21" s="1" t="s">
        <v>62</v>
      </c>
      <c r="F21" s="1" t="s">
        <v>248</v>
      </c>
      <c r="G21" s="1" t="s">
        <v>37</v>
      </c>
      <c r="H21" s="1" t="s">
        <v>82</v>
      </c>
      <c r="I21" s="1" t="s">
        <v>64</v>
      </c>
      <c r="J21" s="1" t="s">
        <v>40</v>
      </c>
      <c r="K21" s="1" t="s">
        <v>41</v>
      </c>
      <c r="L21" s="1">
        <v>2</v>
      </c>
      <c r="N21" s="1">
        <v>1</v>
      </c>
      <c r="O21" s="1">
        <v>0.7</v>
      </c>
      <c r="P21" s="1">
        <v>0.6</v>
      </c>
      <c r="Q21" s="69">
        <f t="shared" si="0"/>
        <v>0.64999999999999991</v>
      </c>
      <c r="R21" s="1">
        <v>17.600000000000001</v>
      </c>
      <c r="S21" s="1">
        <v>124</v>
      </c>
      <c r="T21" s="2">
        <f t="shared" si="1"/>
        <v>27</v>
      </c>
      <c r="U21" s="1">
        <v>125</v>
      </c>
      <c r="V21" s="2">
        <f t="shared" si="2"/>
        <v>3375</v>
      </c>
      <c r="W21" s="1">
        <v>6</v>
      </c>
      <c r="X21" s="1" t="s">
        <v>51</v>
      </c>
      <c r="Y21" s="1" t="s">
        <v>67</v>
      </c>
      <c r="Z21" s="1" t="s">
        <v>52</v>
      </c>
      <c r="AA21" s="1" t="s">
        <v>128</v>
      </c>
      <c r="AB21" s="16" t="s">
        <v>145</v>
      </c>
      <c r="AE21" s="9"/>
      <c r="AP21" s="13" t="s">
        <v>284</v>
      </c>
      <c r="AR21" s="12" t="s">
        <v>97</v>
      </c>
      <c r="AV21" s="13" t="s">
        <v>285</v>
      </c>
    </row>
    <row r="22" spans="1:48" x14ac:dyDescent="0.15">
      <c r="A22" s="1" t="s">
        <v>35</v>
      </c>
      <c r="B22" s="1" t="s">
        <v>143</v>
      </c>
      <c r="C22" s="1">
        <v>2020</v>
      </c>
      <c r="D22" s="76" t="s">
        <v>234</v>
      </c>
      <c r="E22" s="1" t="s">
        <v>62</v>
      </c>
      <c r="F22" s="1" t="s">
        <v>248</v>
      </c>
      <c r="G22" s="1" t="s">
        <v>37</v>
      </c>
      <c r="H22" s="1" t="s">
        <v>82</v>
      </c>
      <c r="I22" s="1" t="s">
        <v>64</v>
      </c>
      <c r="J22" s="1" t="s">
        <v>40</v>
      </c>
      <c r="K22" s="1" t="s">
        <v>41</v>
      </c>
      <c r="L22" s="1">
        <v>3</v>
      </c>
      <c r="N22" s="1">
        <v>1</v>
      </c>
      <c r="O22" s="16">
        <v>0.5</v>
      </c>
      <c r="P22" s="1">
        <v>0.5</v>
      </c>
      <c r="Q22" s="69">
        <f t="shared" si="0"/>
        <v>0.5</v>
      </c>
      <c r="R22" s="1">
        <v>17.5</v>
      </c>
      <c r="S22" s="1">
        <v>118</v>
      </c>
      <c r="T22" s="2">
        <f t="shared" si="1"/>
        <v>30</v>
      </c>
      <c r="U22" s="1">
        <v>125</v>
      </c>
      <c r="V22" s="2">
        <f t="shared" si="2"/>
        <v>3750</v>
      </c>
      <c r="W22" s="1">
        <v>6</v>
      </c>
      <c r="X22" s="1" t="s">
        <v>51</v>
      </c>
      <c r="Y22" s="1" t="s">
        <v>67</v>
      </c>
      <c r="Z22" s="1" t="s">
        <v>52</v>
      </c>
      <c r="AA22" s="1" t="s">
        <v>128</v>
      </c>
      <c r="AB22" s="16" t="s">
        <v>145</v>
      </c>
      <c r="AE22" s="10"/>
      <c r="AP22" s="13" t="s">
        <v>286</v>
      </c>
      <c r="AR22" s="12" t="s">
        <v>135</v>
      </c>
      <c r="AV22" s="13"/>
    </row>
    <row r="23" spans="1:48" x14ac:dyDescent="0.15">
      <c r="A23" s="1" t="s">
        <v>35</v>
      </c>
      <c r="B23" s="1" t="s">
        <v>143</v>
      </c>
      <c r="C23" s="1">
        <v>2020</v>
      </c>
      <c r="D23" s="76" t="s">
        <v>234</v>
      </c>
      <c r="E23" s="1" t="s">
        <v>62</v>
      </c>
      <c r="F23" s="1" t="s">
        <v>248</v>
      </c>
      <c r="G23" s="1" t="s">
        <v>37</v>
      </c>
      <c r="H23" s="1" t="s">
        <v>82</v>
      </c>
      <c r="I23" s="1" t="s">
        <v>64</v>
      </c>
      <c r="J23" s="1" t="s">
        <v>40</v>
      </c>
      <c r="K23" s="1" t="s">
        <v>41</v>
      </c>
      <c r="L23" s="1">
        <v>1</v>
      </c>
      <c r="N23" s="1">
        <v>6</v>
      </c>
      <c r="O23" s="16">
        <v>0.7</v>
      </c>
      <c r="P23" s="1">
        <v>0.7</v>
      </c>
      <c r="Q23" s="69">
        <f t="shared" si="0"/>
        <v>0.7</v>
      </c>
      <c r="R23" s="1">
        <v>17.3</v>
      </c>
      <c r="S23" s="1">
        <v>119</v>
      </c>
      <c r="T23" s="2">
        <f t="shared" si="1"/>
        <v>30</v>
      </c>
      <c r="U23" s="1">
        <v>695</v>
      </c>
      <c r="V23" s="2">
        <f t="shared" si="2"/>
        <v>3475</v>
      </c>
      <c r="W23" s="1">
        <v>2</v>
      </c>
      <c r="X23" s="1" t="s">
        <v>51</v>
      </c>
      <c r="Y23" s="1" t="s">
        <v>67</v>
      </c>
      <c r="Z23" s="1" t="s">
        <v>52</v>
      </c>
      <c r="AA23" s="1" t="s">
        <v>128</v>
      </c>
      <c r="AB23" s="16" t="s">
        <v>145</v>
      </c>
      <c r="AE23" s="9"/>
      <c r="AP23" s="13" t="s">
        <v>287</v>
      </c>
      <c r="AR23" s="12" t="s">
        <v>75</v>
      </c>
      <c r="AV23" s="13"/>
    </row>
    <row r="24" spans="1:48" x14ac:dyDescent="0.15">
      <c r="A24" s="1" t="s">
        <v>35</v>
      </c>
      <c r="B24" s="1" t="s">
        <v>143</v>
      </c>
      <c r="C24" s="1">
        <v>2020</v>
      </c>
      <c r="D24" s="76" t="s">
        <v>234</v>
      </c>
      <c r="E24" s="1" t="s">
        <v>62</v>
      </c>
      <c r="F24" s="1" t="s">
        <v>248</v>
      </c>
      <c r="G24" s="1" t="s">
        <v>37</v>
      </c>
      <c r="H24" s="1" t="s">
        <v>82</v>
      </c>
      <c r="I24" s="1" t="s">
        <v>64</v>
      </c>
      <c r="J24" s="1" t="s">
        <v>40</v>
      </c>
      <c r="K24" s="1" t="s">
        <v>41</v>
      </c>
      <c r="L24" s="1">
        <v>2</v>
      </c>
      <c r="N24" s="1">
        <v>6</v>
      </c>
      <c r="O24" s="1">
        <v>0.6</v>
      </c>
      <c r="P24" s="1">
        <v>0.7</v>
      </c>
      <c r="Q24" s="69">
        <f t="shared" si="0"/>
        <v>0.64999999999999991</v>
      </c>
      <c r="R24" s="1">
        <v>16.399999999999999</v>
      </c>
      <c r="S24" s="1">
        <v>128</v>
      </c>
      <c r="T24" s="2">
        <f t="shared" si="1"/>
        <v>27</v>
      </c>
      <c r="U24" s="1">
        <v>695</v>
      </c>
      <c r="V24" s="2">
        <f t="shared" si="2"/>
        <v>3127.5</v>
      </c>
      <c r="W24" s="1">
        <v>2</v>
      </c>
      <c r="X24" s="1" t="s">
        <v>51</v>
      </c>
      <c r="Y24" s="1" t="s">
        <v>67</v>
      </c>
      <c r="Z24" s="1" t="s">
        <v>52</v>
      </c>
      <c r="AA24" s="1" t="s">
        <v>128</v>
      </c>
      <c r="AB24" s="16" t="s">
        <v>145</v>
      </c>
      <c r="AE24" s="9"/>
      <c r="AP24" s="13" t="s">
        <v>288</v>
      </c>
      <c r="AR24" s="12" t="s">
        <v>138</v>
      </c>
      <c r="AV24" s="13"/>
    </row>
    <row r="25" spans="1:48" x14ac:dyDescent="0.15">
      <c r="A25" s="1" t="s">
        <v>35</v>
      </c>
      <c r="B25" s="1" t="s">
        <v>143</v>
      </c>
      <c r="C25" s="1">
        <v>2020</v>
      </c>
      <c r="D25" s="76" t="s">
        <v>234</v>
      </c>
      <c r="E25" s="1" t="s">
        <v>62</v>
      </c>
      <c r="F25" s="1" t="s">
        <v>248</v>
      </c>
      <c r="G25" s="1" t="s">
        <v>37</v>
      </c>
      <c r="H25" s="1" t="s">
        <v>82</v>
      </c>
      <c r="I25" s="1" t="s">
        <v>64</v>
      </c>
      <c r="J25" s="1" t="s">
        <v>40</v>
      </c>
      <c r="K25" s="1" t="s">
        <v>41</v>
      </c>
      <c r="L25" s="1">
        <v>3</v>
      </c>
      <c r="N25" s="1">
        <v>6</v>
      </c>
      <c r="O25" s="1">
        <v>0.6</v>
      </c>
      <c r="P25" s="1">
        <v>0.7</v>
      </c>
      <c r="Q25" s="69">
        <f t="shared" si="0"/>
        <v>0.64999999999999991</v>
      </c>
      <c r="R25" s="1">
        <v>14.5</v>
      </c>
      <c r="S25" s="1">
        <v>125</v>
      </c>
      <c r="T25" s="2">
        <f t="shared" si="1"/>
        <v>27</v>
      </c>
      <c r="U25" s="1">
        <v>695</v>
      </c>
      <c r="V25" s="2">
        <f t="shared" si="2"/>
        <v>3127.5</v>
      </c>
      <c r="W25" s="1">
        <v>2</v>
      </c>
      <c r="X25" s="1" t="s">
        <v>51</v>
      </c>
      <c r="Y25" s="1" t="s">
        <v>67</v>
      </c>
      <c r="Z25" s="1" t="s">
        <v>52</v>
      </c>
      <c r="AA25" s="1" t="s">
        <v>128</v>
      </c>
      <c r="AB25" s="16" t="s">
        <v>145</v>
      </c>
      <c r="AE25" s="10"/>
      <c r="AP25" s="13" t="s">
        <v>289</v>
      </c>
      <c r="AR25" s="13" t="s">
        <v>290</v>
      </c>
      <c r="AV25" s="13"/>
    </row>
    <row r="26" spans="1:48" x14ac:dyDescent="0.15">
      <c r="A26" s="1" t="s">
        <v>35</v>
      </c>
      <c r="B26" s="1" t="s">
        <v>143</v>
      </c>
      <c r="C26" s="1">
        <v>2020</v>
      </c>
      <c r="D26" s="76" t="s">
        <v>234</v>
      </c>
      <c r="E26" s="1" t="s">
        <v>62</v>
      </c>
      <c r="F26" s="1" t="s">
        <v>248</v>
      </c>
      <c r="G26" s="1" t="s">
        <v>37</v>
      </c>
      <c r="H26" s="1" t="s">
        <v>82</v>
      </c>
      <c r="I26" s="1" t="s">
        <v>71</v>
      </c>
      <c r="J26" s="1" t="s">
        <v>40</v>
      </c>
      <c r="K26" s="1" t="s">
        <v>41</v>
      </c>
      <c r="L26" s="1">
        <v>1</v>
      </c>
      <c r="N26" s="1">
        <v>4</v>
      </c>
      <c r="O26" s="1">
        <v>0.5</v>
      </c>
      <c r="P26" s="1">
        <v>0.5</v>
      </c>
      <c r="Q26" s="69">
        <f t="shared" si="0"/>
        <v>0.5</v>
      </c>
      <c r="R26" s="1">
        <v>12.3</v>
      </c>
      <c r="S26" s="1">
        <v>96</v>
      </c>
      <c r="T26" s="2">
        <f t="shared" si="1"/>
        <v>36</v>
      </c>
      <c r="U26" s="1">
        <v>580</v>
      </c>
      <c r="V26" s="2">
        <f t="shared" si="2"/>
        <v>5220</v>
      </c>
      <c r="W26" s="1">
        <v>2</v>
      </c>
      <c r="X26" s="1" t="s">
        <v>51</v>
      </c>
      <c r="Y26" s="1" t="s">
        <v>67</v>
      </c>
      <c r="Z26" s="1" t="s">
        <v>52</v>
      </c>
      <c r="AA26" s="1" t="s">
        <v>128</v>
      </c>
      <c r="AB26" s="16" t="s">
        <v>145</v>
      </c>
      <c r="AE26" s="10"/>
      <c r="AP26" s="13" t="s">
        <v>291</v>
      </c>
      <c r="AR26" s="12" t="s">
        <v>292</v>
      </c>
      <c r="AV26" s="14"/>
    </row>
    <row r="27" spans="1:48" x14ac:dyDescent="0.15">
      <c r="A27" s="1" t="s">
        <v>35</v>
      </c>
      <c r="B27" s="1" t="s">
        <v>143</v>
      </c>
      <c r="C27" s="1">
        <v>2020</v>
      </c>
      <c r="D27" s="76" t="s">
        <v>234</v>
      </c>
      <c r="E27" s="1" t="s">
        <v>62</v>
      </c>
      <c r="F27" s="1" t="s">
        <v>248</v>
      </c>
      <c r="G27" s="1" t="s">
        <v>37</v>
      </c>
      <c r="H27" s="1" t="s">
        <v>82</v>
      </c>
      <c r="I27" s="1" t="s">
        <v>71</v>
      </c>
      <c r="J27" s="1" t="s">
        <v>40</v>
      </c>
      <c r="K27" s="1" t="s">
        <v>41</v>
      </c>
      <c r="L27" s="1">
        <v>2</v>
      </c>
      <c r="N27" s="1">
        <v>4</v>
      </c>
      <c r="O27" s="1">
        <v>0.5</v>
      </c>
      <c r="P27" s="1">
        <v>0.6</v>
      </c>
      <c r="Q27" s="69">
        <f t="shared" si="0"/>
        <v>0.55000000000000004</v>
      </c>
      <c r="R27" s="1">
        <v>14</v>
      </c>
      <c r="S27" s="1">
        <v>101</v>
      </c>
      <c r="T27" s="2">
        <f t="shared" si="1"/>
        <v>33</v>
      </c>
      <c r="U27" s="1">
        <v>580</v>
      </c>
      <c r="V27" s="2">
        <f t="shared" si="2"/>
        <v>4785</v>
      </c>
      <c r="W27" s="1">
        <v>2</v>
      </c>
      <c r="X27" s="1" t="s">
        <v>51</v>
      </c>
      <c r="Y27" s="1" t="s">
        <v>67</v>
      </c>
      <c r="Z27" s="1" t="s">
        <v>52</v>
      </c>
      <c r="AA27" s="1" t="s">
        <v>128</v>
      </c>
      <c r="AB27" s="16" t="s">
        <v>145</v>
      </c>
      <c r="AE27" s="14"/>
      <c r="AP27" s="13" t="s">
        <v>293</v>
      </c>
      <c r="AR27" s="12" t="s">
        <v>294</v>
      </c>
    </row>
    <row r="28" spans="1:48" x14ac:dyDescent="0.15">
      <c r="A28" s="1" t="s">
        <v>35</v>
      </c>
      <c r="B28" s="1" t="s">
        <v>143</v>
      </c>
      <c r="C28" s="1">
        <v>2020</v>
      </c>
      <c r="D28" s="76" t="s">
        <v>234</v>
      </c>
      <c r="E28" s="1" t="s">
        <v>62</v>
      </c>
      <c r="F28" s="1" t="s">
        <v>248</v>
      </c>
      <c r="G28" s="1" t="s">
        <v>37</v>
      </c>
      <c r="H28" s="1" t="s">
        <v>82</v>
      </c>
      <c r="I28" s="1" t="s">
        <v>71</v>
      </c>
      <c r="J28" s="1" t="s">
        <v>40</v>
      </c>
      <c r="K28" s="1" t="s">
        <v>41</v>
      </c>
      <c r="L28" s="1">
        <v>3</v>
      </c>
      <c r="N28" s="1">
        <v>4</v>
      </c>
      <c r="O28" s="1">
        <v>0.5</v>
      </c>
      <c r="P28" s="1">
        <v>0.6</v>
      </c>
      <c r="Q28" s="69">
        <f t="shared" si="0"/>
        <v>0.55000000000000004</v>
      </c>
      <c r="R28" s="1">
        <v>17.899999999999999</v>
      </c>
      <c r="S28" s="1">
        <v>101</v>
      </c>
      <c r="T28" s="2">
        <f t="shared" si="1"/>
        <v>33</v>
      </c>
      <c r="U28" s="1">
        <v>580</v>
      </c>
      <c r="V28" s="2">
        <f t="shared" si="2"/>
        <v>4785</v>
      </c>
      <c r="W28" s="1">
        <v>2</v>
      </c>
      <c r="X28" s="1" t="s">
        <v>51</v>
      </c>
      <c r="Y28" s="1" t="s">
        <v>67</v>
      </c>
      <c r="Z28" s="1" t="s">
        <v>52</v>
      </c>
      <c r="AA28" s="1" t="s">
        <v>128</v>
      </c>
      <c r="AB28" s="16" t="s">
        <v>145</v>
      </c>
      <c r="AP28" s="13" t="s">
        <v>295</v>
      </c>
      <c r="AR28" s="12" t="s">
        <v>296</v>
      </c>
    </row>
    <row r="29" spans="1:48" x14ac:dyDescent="0.15">
      <c r="A29" s="1" t="s">
        <v>35</v>
      </c>
      <c r="B29" s="1" t="s">
        <v>143</v>
      </c>
      <c r="C29" s="1">
        <v>2020</v>
      </c>
      <c r="D29" s="76" t="s">
        <v>234</v>
      </c>
      <c r="E29" s="1" t="s">
        <v>36</v>
      </c>
      <c r="F29" s="1" t="s">
        <v>237</v>
      </c>
      <c r="G29" s="1" t="s">
        <v>37</v>
      </c>
      <c r="H29" s="1" t="s">
        <v>63</v>
      </c>
      <c r="I29" s="1" t="s">
        <v>64</v>
      </c>
      <c r="J29" s="1" t="s">
        <v>40</v>
      </c>
      <c r="K29" s="1" t="s">
        <v>41</v>
      </c>
      <c r="L29" s="1">
        <v>1</v>
      </c>
      <c r="N29" s="1">
        <v>1</v>
      </c>
      <c r="O29" s="1">
        <v>0.9</v>
      </c>
      <c r="P29" s="1">
        <v>1.2</v>
      </c>
      <c r="Q29" s="69">
        <f t="shared" si="0"/>
        <v>1.05</v>
      </c>
      <c r="R29" s="1">
        <v>10.9</v>
      </c>
      <c r="S29" s="1">
        <v>124</v>
      </c>
      <c r="T29" s="2">
        <f t="shared" si="1"/>
        <v>27</v>
      </c>
      <c r="U29" s="1">
        <v>128</v>
      </c>
      <c r="V29" s="2">
        <f t="shared" si="2"/>
        <v>3456</v>
      </c>
      <c r="W29" s="1">
        <v>3</v>
      </c>
      <c r="X29" s="1" t="s">
        <v>51</v>
      </c>
      <c r="Y29" s="1" t="s">
        <v>67</v>
      </c>
      <c r="Z29" s="1" t="s">
        <v>43</v>
      </c>
      <c r="AA29" s="1" t="s">
        <v>128</v>
      </c>
      <c r="AB29" s="16" t="s">
        <v>145</v>
      </c>
      <c r="AP29" s="13" t="s">
        <v>297</v>
      </c>
      <c r="AR29" s="14"/>
      <c r="AV29" s="14"/>
    </row>
    <row r="30" spans="1:48" x14ac:dyDescent="0.15">
      <c r="A30" s="1" t="s">
        <v>35</v>
      </c>
      <c r="B30" s="1" t="s">
        <v>143</v>
      </c>
      <c r="C30" s="1">
        <v>2020</v>
      </c>
      <c r="D30" s="76" t="s">
        <v>234</v>
      </c>
      <c r="E30" s="1" t="s">
        <v>36</v>
      </c>
      <c r="F30" s="1" t="s">
        <v>237</v>
      </c>
      <c r="G30" s="1" t="s">
        <v>37</v>
      </c>
      <c r="H30" s="1" t="s">
        <v>63</v>
      </c>
      <c r="I30" s="1" t="s">
        <v>64</v>
      </c>
      <c r="J30" s="1" t="s">
        <v>40</v>
      </c>
      <c r="K30" s="1" t="s">
        <v>41</v>
      </c>
      <c r="L30" s="1">
        <v>2</v>
      </c>
      <c r="N30" s="1">
        <v>1</v>
      </c>
      <c r="O30" s="1">
        <v>0.8</v>
      </c>
      <c r="P30" s="1">
        <v>0.9</v>
      </c>
      <c r="Q30" s="69">
        <f t="shared" si="0"/>
        <v>0.85000000000000009</v>
      </c>
      <c r="R30" s="1">
        <v>11.8</v>
      </c>
      <c r="S30" s="1">
        <v>136</v>
      </c>
      <c r="T30" s="2">
        <f t="shared" si="1"/>
        <v>25</v>
      </c>
      <c r="U30" s="1">
        <v>128</v>
      </c>
      <c r="V30" s="2">
        <f t="shared" si="2"/>
        <v>3200</v>
      </c>
      <c r="W30" s="1">
        <v>3</v>
      </c>
      <c r="X30" s="1" t="s">
        <v>51</v>
      </c>
      <c r="Y30" s="1" t="s">
        <v>67</v>
      </c>
      <c r="Z30" s="1" t="s">
        <v>43</v>
      </c>
      <c r="AA30" s="1" t="s">
        <v>128</v>
      </c>
      <c r="AB30" s="16" t="s">
        <v>145</v>
      </c>
      <c r="AP30" s="13"/>
      <c r="AR30" s="13"/>
    </row>
    <row r="31" spans="1:48" x14ac:dyDescent="0.15">
      <c r="A31" s="1" t="s">
        <v>35</v>
      </c>
      <c r="B31" s="1" t="s">
        <v>143</v>
      </c>
      <c r="C31" s="1">
        <v>2020</v>
      </c>
      <c r="D31" s="76" t="s">
        <v>234</v>
      </c>
      <c r="E31" s="1" t="s">
        <v>36</v>
      </c>
      <c r="F31" s="1" t="s">
        <v>237</v>
      </c>
      <c r="G31" s="1" t="s">
        <v>37</v>
      </c>
      <c r="H31" s="1" t="s">
        <v>63</v>
      </c>
      <c r="I31" s="1" t="s">
        <v>64</v>
      </c>
      <c r="J31" s="1" t="s">
        <v>40</v>
      </c>
      <c r="K31" s="1" t="s">
        <v>41</v>
      </c>
      <c r="L31" s="1">
        <v>3</v>
      </c>
      <c r="N31" s="1">
        <v>1</v>
      </c>
      <c r="O31" s="1">
        <v>0.75</v>
      </c>
      <c r="P31" s="1">
        <v>0.7</v>
      </c>
      <c r="Q31" s="69">
        <f t="shared" si="0"/>
        <v>0.72499999999999998</v>
      </c>
      <c r="R31" s="1">
        <v>10.7</v>
      </c>
      <c r="S31" s="1">
        <v>125</v>
      </c>
      <c r="T31" s="2">
        <f t="shared" si="1"/>
        <v>27</v>
      </c>
      <c r="U31" s="1">
        <v>128</v>
      </c>
      <c r="V31" s="2">
        <f t="shared" si="2"/>
        <v>3456</v>
      </c>
      <c r="W31" s="1">
        <v>3</v>
      </c>
      <c r="X31" s="1" t="s">
        <v>51</v>
      </c>
      <c r="Y31" s="1" t="s">
        <v>67</v>
      </c>
      <c r="Z31" s="1" t="s">
        <v>43</v>
      </c>
      <c r="AA31" s="1" t="s">
        <v>128</v>
      </c>
      <c r="AB31" s="16" t="s">
        <v>145</v>
      </c>
      <c r="AP31" s="13"/>
      <c r="AR31" s="13"/>
    </row>
    <row r="32" spans="1:48" x14ac:dyDescent="0.15">
      <c r="A32" s="1" t="s">
        <v>35</v>
      </c>
      <c r="B32" s="1" t="s">
        <v>143</v>
      </c>
      <c r="C32" s="1">
        <v>2020</v>
      </c>
      <c r="D32" s="76" t="s">
        <v>234</v>
      </c>
      <c r="E32" s="1" t="s">
        <v>36</v>
      </c>
      <c r="F32" s="1" t="s">
        <v>237</v>
      </c>
      <c r="G32" s="1" t="s">
        <v>37</v>
      </c>
      <c r="H32" s="1" t="s">
        <v>63</v>
      </c>
      <c r="I32" s="1" t="s">
        <v>64</v>
      </c>
      <c r="J32" s="1" t="s">
        <v>40</v>
      </c>
      <c r="K32" s="1" t="s">
        <v>41</v>
      </c>
      <c r="L32" s="1">
        <v>1</v>
      </c>
      <c r="N32" s="1">
        <v>5</v>
      </c>
      <c r="O32" s="1">
        <v>0.6</v>
      </c>
      <c r="P32" s="1">
        <v>0.7</v>
      </c>
      <c r="Q32" s="69">
        <f t="shared" si="0"/>
        <v>0.64999999999999991</v>
      </c>
      <c r="R32" s="1">
        <v>11</v>
      </c>
      <c r="S32" s="1">
        <v>101</v>
      </c>
      <c r="T32" s="2">
        <f t="shared" si="1"/>
        <v>33</v>
      </c>
      <c r="U32" s="1">
        <v>398</v>
      </c>
      <c r="V32" s="2">
        <f t="shared" si="2"/>
        <v>2626.7999999999997</v>
      </c>
      <c r="W32" s="1">
        <v>3</v>
      </c>
      <c r="X32" s="1" t="s">
        <v>51</v>
      </c>
      <c r="Y32" s="1" t="s">
        <v>67</v>
      </c>
      <c r="Z32" s="1" t="s">
        <v>43</v>
      </c>
      <c r="AA32" s="1" t="s">
        <v>128</v>
      </c>
      <c r="AB32" s="16" t="s">
        <v>145</v>
      </c>
      <c r="AP32" s="14"/>
      <c r="AR32" s="14"/>
    </row>
    <row r="33" spans="1:28" x14ac:dyDescent="0.15">
      <c r="A33" s="1" t="s">
        <v>35</v>
      </c>
      <c r="B33" s="1" t="s">
        <v>143</v>
      </c>
      <c r="C33" s="1">
        <v>2020</v>
      </c>
      <c r="D33" s="76" t="s">
        <v>234</v>
      </c>
      <c r="E33" s="1" t="s">
        <v>36</v>
      </c>
      <c r="F33" s="1" t="s">
        <v>237</v>
      </c>
      <c r="G33" s="1" t="s">
        <v>37</v>
      </c>
      <c r="H33" s="1" t="s">
        <v>63</v>
      </c>
      <c r="I33" s="1" t="s">
        <v>64</v>
      </c>
      <c r="J33" s="1" t="s">
        <v>40</v>
      </c>
      <c r="K33" s="1" t="s">
        <v>41</v>
      </c>
      <c r="L33" s="1">
        <v>2</v>
      </c>
      <c r="N33" s="1">
        <v>5</v>
      </c>
      <c r="O33" s="1">
        <v>0.8</v>
      </c>
      <c r="P33" s="1">
        <v>0.75</v>
      </c>
      <c r="Q33" s="69">
        <f t="shared" si="0"/>
        <v>0.77500000000000002</v>
      </c>
      <c r="R33" s="1">
        <v>11.1</v>
      </c>
      <c r="S33" s="1">
        <v>99</v>
      </c>
      <c r="T33" s="2">
        <f t="shared" si="1"/>
        <v>33</v>
      </c>
      <c r="U33" s="1">
        <v>398</v>
      </c>
      <c r="V33" s="2">
        <f t="shared" si="2"/>
        <v>2626.7999999999997</v>
      </c>
      <c r="W33" s="1">
        <v>3</v>
      </c>
      <c r="X33" s="1" t="s">
        <v>51</v>
      </c>
      <c r="Y33" s="1" t="s">
        <v>67</v>
      </c>
      <c r="Z33" s="1" t="s">
        <v>43</v>
      </c>
      <c r="AA33" s="1" t="s">
        <v>128</v>
      </c>
      <c r="AB33" s="16" t="s">
        <v>145</v>
      </c>
    </row>
    <row r="34" spans="1:28" x14ac:dyDescent="0.15">
      <c r="A34" s="1" t="s">
        <v>35</v>
      </c>
      <c r="B34" s="1" t="s">
        <v>143</v>
      </c>
      <c r="C34" s="1">
        <v>2020</v>
      </c>
      <c r="D34" s="76" t="s">
        <v>234</v>
      </c>
      <c r="E34" s="1" t="s">
        <v>36</v>
      </c>
      <c r="F34" s="1" t="s">
        <v>237</v>
      </c>
      <c r="G34" s="1" t="s">
        <v>37</v>
      </c>
      <c r="H34" s="1" t="s">
        <v>63</v>
      </c>
      <c r="I34" s="1" t="s">
        <v>64</v>
      </c>
      <c r="J34" s="1" t="s">
        <v>40</v>
      </c>
      <c r="K34" s="1" t="s">
        <v>41</v>
      </c>
      <c r="L34" s="1">
        <v>3</v>
      </c>
      <c r="N34" s="1">
        <v>5</v>
      </c>
      <c r="O34" s="1">
        <v>0.5</v>
      </c>
      <c r="P34" s="1">
        <v>0.5</v>
      </c>
      <c r="Q34" s="69">
        <f t="shared" si="0"/>
        <v>0.5</v>
      </c>
      <c r="R34" s="1">
        <v>11.8</v>
      </c>
      <c r="S34" s="1">
        <v>99</v>
      </c>
      <c r="T34" s="2">
        <f t="shared" si="1"/>
        <v>33</v>
      </c>
      <c r="U34" s="1">
        <v>398</v>
      </c>
      <c r="V34" s="2">
        <f t="shared" si="2"/>
        <v>2626.7999999999997</v>
      </c>
      <c r="W34" s="1">
        <v>3</v>
      </c>
      <c r="X34" s="1" t="s">
        <v>51</v>
      </c>
      <c r="Y34" s="1" t="s">
        <v>67</v>
      </c>
      <c r="Z34" s="1" t="s">
        <v>43</v>
      </c>
      <c r="AA34" s="1" t="s">
        <v>128</v>
      </c>
      <c r="AB34" s="16" t="s">
        <v>145</v>
      </c>
    </row>
    <row r="35" spans="1:28" x14ac:dyDescent="0.15">
      <c r="A35" s="1" t="s">
        <v>35</v>
      </c>
      <c r="B35" s="1" t="s">
        <v>143</v>
      </c>
      <c r="C35" s="1">
        <v>2020</v>
      </c>
      <c r="D35" s="76" t="s">
        <v>234</v>
      </c>
      <c r="E35" s="1" t="s">
        <v>36</v>
      </c>
      <c r="F35" s="1" t="s">
        <v>237</v>
      </c>
      <c r="G35" s="1" t="s">
        <v>37</v>
      </c>
      <c r="H35" s="1" t="s">
        <v>82</v>
      </c>
      <c r="I35" s="1" t="s">
        <v>64</v>
      </c>
      <c r="J35" s="1" t="s">
        <v>40</v>
      </c>
      <c r="K35" s="1" t="s">
        <v>41</v>
      </c>
      <c r="L35" s="1">
        <v>1</v>
      </c>
      <c r="N35" s="1">
        <v>1</v>
      </c>
      <c r="O35" s="1">
        <v>0.5</v>
      </c>
      <c r="P35" s="1">
        <v>0.5</v>
      </c>
      <c r="Q35" s="69">
        <f t="shared" si="0"/>
        <v>0.5</v>
      </c>
      <c r="R35" s="1">
        <v>16.8</v>
      </c>
      <c r="S35" s="1">
        <v>130</v>
      </c>
      <c r="T35" s="2">
        <f t="shared" si="1"/>
        <v>25</v>
      </c>
      <c r="U35" s="1">
        <v>128</v>
      </c>
      <c r="V35" s="2">
        <f t="shared" si="2"/>
        <v>3200</v>
      </c>
      <c r="W35" s="1">
        <v>9</v>
      </c>
      <c r="X35" s="1" t="s">
        <v>51</v>
      </c>
      <c r="Y35" s="1" t="s">
        <v>67</v>
      </c>
      <c r="Z35" s="1" t="s">
        <v>43</v>
      </c>
      <c r="AA35" s="1" t="s">
        <v>128</v>
      </c>
      <c r="AB35" s="16" t="s">
        <v>145</v>
      </c>
    </row>
    <row r="36" spans="1:28" x14ac:dyDescent="0.15">
      <c r="A36" s="1" t="s">
        <v>35</v>
      </c>
      <c r="B36" s="1" t="s">
        <v>143</v>
      </c>
      <c r="C36" s="1">
        <v>2020</v>
      </c>
      <c r="D36" s="76" t="s">
        <v>234</v>
      </c>
      <c r="E36" s="1" t="s">
        <v>36</v>
      </c>
      <c r="F36" s="1" t="s">
        <v>237</v>
      </c>
      <c r="G36" s="1" t="s">
        <v>37</v>
      </c>
      <c r="H36" s="1" t="s">
        <v>82</v>
      </c>
      <c r="I36" s="1" t="s">
        <v>64</v>
      </c>
      <c r="J36" s="1" t="s">
        <v>40</v>
      </c>
      <c r="K36" s="1" t="s">
        <v>41</v>
      </c>
      <c r="L36" s="1">
        <v>2</v>
      </c>
      <c r="N36" s="1">
        <v>1</v>
      </c>
      <c r="O36" s="1">
        <v>0.5</v>
      </c>
      <c r="P36" s="1">
        <v>0.5</v>
      </c>
      <c r="Q36" s="69">
        <f t="shared" si="0"/>
        <v>0.5</v>
      </c>
      <c r="R36" s="1">
        <v>17.899999999999999</v>
      </c>
      <c r="S36" s="1">
        <v>130</v>
      </c>
      <c r="T36" s="2">
        <f t="shared" si="1"/>
        <v>25</v>
      </c>
      <c r="U36" s="1">
        <v>128</v>
      </c>
      <c r="V36" s="2">
        <f t="shared" si="2"/>
        <v>3200</v>
      </c>
      <c r="W36" s="1">
        <v>9</v>
      </c>
      <c r="X36" s="1" t="s">
        <v>51</v>
      </c>
      <c r="Y36" s="1" t="s">
        <v>67</v>
      </c>
      <c r="Z36" s="1" t="s">
        <v>43</v>
      </c>
      <c r="AA36" s="1" t="s">
        <v>128</v>
      </c>
      <c r="AB36" s="16" t="s">
        <v>145</v>
      </c>
    </row>
    <row r="37" spans="1:28" x14ac:dyDescent="0.15">
      <c r="A37" s="1" t="s">
        <v>35</v>
      </c>
      <c r="B37" s="1" t="s">
        <v>143</v>
      </c>
      <c r="C37" s="1">
        <v>2020</v>
      </c>
      <c r="D37" s="76" t="s">
        <v>234</v>
      </c>
      <c r="E37" s="1" t="s">
        <v>36</v>
      </c>
      <c r="F37" s="1" t="s">
        <v>237</v>
      </c>
      <c r="G37" s="1" t="s">
        <v>37</v>
      </c>
      <c r="H37" s="1" t="s">
        <v>82</v>
      </c>
      <c r="I37" s="1" t="s">
        <v>64</v>
      </c>
      <c r="J37" s="1" t="s">
        <v>40</v>
      </c>
      <c r="K37" s="1" t="s">
        <v>41</v>
      </c>
      <c r="L37" s="1">
        <v>3</v>
      </c>
      <c r="N37" s="1">
        <v>1</v>
      </c>
      <c r="O37" s="16">
        <v>0.75</v>
      </c>
      <c r="P37" s="16">
        <v>0.6</v>
      </c>
      <c r="Q37" s="69">
        <f t="shared" si="0"/>
        <v>0.67500000000000004</v>
      </c>
      <c r="R37" s="1">
        <v>16.899999999999999</v>
      </c>
      <c r="S37" s="1">
        <v>130</v>
      </c>
      <c r="T37" s="2">
        <f t="shared" si="1"/>
        <v>25</v>
      </c>
      <c r="U37" s="1">
        <v>128</v>
      </c>
      <c r="V37" s="2">
        <f t="shared" si="2"/>
        <v>3200</v>
      </c>
      <c r="W37" s="1">
        <v>9</v>
      </c>
      <c r="X37" s="1" t="s">
        <v>51</v>
      </c>
      <c r="Y37" s="1" t="s">
        <v>67</v>
      </c>
      <c r="Z37" s="1" t="s">
        <v>43</v>
      </c>
      <c r="AA37" s="1" t="s">
        <v>128</v>
      </c>
      <c r="AB37" s="16" t="s">
        <v>145</v>
      </c>
    </row>
    <row r="38" spans="1:28" x14ac:dyDescent="0.15">
      <c r="A38" s="1" t="s">
        <v>35</v>
      </c>
      <c r="B38" s="1" t="s">
        <v>143</v>
      </c>
      <c r="C38" s="1">
        <v>2020</v>
      </c>
      <c r="D38" s="76" t="s">
        <v>234</v>
      </c>
      <c r="E38" s="1" t="s">
        <v>36</v>
      </c>
      <c r="F38" s="1" t="s">
        <v>237</v>
      </c>
      <c r="G38" s="1" t="s">
        <v>37</v>
      </c>
      <c r="H38" s="1" t="s">
        <v>82</v>
      </c>
      <c r="I38" s="1" t="s">
        <v>64</v>
      </c>
      <c r="J38" s="1" t="s">
        <v>40</v>
      </c>
      <c r="K38" s="1" t="s">
        <v>41</v>
      </c>
      <c r="L38" s="1">
        <v>1</v>
      </c>
      <c r="N38" s="1">
        <v>4</v>
      </c>
      <c r="O38" s="16">
        <v>0.6</v>
      </c>
      <c r="P38" s="16">
        <v>0.7</v>
      </c>
      <c r="Q38" s="69">
        <f t="shared" si="0"/>
        <v>0.64999999999999991</v>
      </c>
      <c r="R38" s="1">
        <v>11.9</v>
      </c>
      <c r="S38" s="1">
        <v>109</v>
      </c>
      <c r="T38" s="2">
        <f t="shared" si="1"/>
        <v>33</v>
      </c>
      <c r="U38" s="1">
        <v>498</v>
      </c>
      <c r="V38" s="2">
        <f t="shared" si="2"/>
        <v>4108.5</v>
      </c>
      <c r="W38" s="1">
        <v>4</v>
      </c>
      <c r="X38" s="1" t="s">
        <v>51</v>
      </c>
      <c r="Y38" s="1" t="s">
        <v>67</v>
      </c>
      <c r="Z38" s="1" t="s">
        <v>43</v>
      </c>
      <c r="AA38" s="1" t="s">
        <v>128</v>
      </c>
      <c r="AB38" s="16" t="s">
        <v>145</v>
      </c>
    </row>
    <row r="39" spans="1:28" x14ac:dyDescent="0.15">
      <c r="A39" s="1" t="s">
        <v>35</v>
      </c>
      <c r="B39" s="1" t="s">
        <v>143</v>
      </c>
      <c r="C39" s="1">
        <v>2020</v>
      </c>
      <c r="D39" s="76" t="s">
        <v>234</v>
      </c>
      <c r="E39" s="1" t="s">
        <v>36</v>
      </c>
      <c r="F39" s="1" t="s">
        <v>237</v>
      </c>
      <c r="G39" s="1" t="s">
        <v>37</v>
      </c>
      <c r="H39" s="1" t="s">
        <v>82</v>
      </c>
      <c r="I39" s="1" t="s">
        <v>64</v>
      </c>
      <c r="J39" s="1" t="s">
        <v>40</v>
      </c>
      <c r="K39" s="1" t="s">
        <v>41</v>
      </c>
      <c r="L39" s="1">
        <v>2</v>
      </c>
      <c r="N39" s="1">
        <v>4</v>
      </c>
      <c r="O39" s="1">
        <v>0.75</v>
      </c>
      <c r="P39" s="1">
        <v>0.65</v>
      </c>
      <c r="Q39" s="69">
        <f t="shared" si="0"/>
        <v>0.7</v>
      </c>
      <c r="R39" s="16">
        <v>12.3</v>
      </c>
      <c r="S39" s="1">
        <v>110</v>
      </c>
      <c r="T39" s="2">
        <f t="shared" si="1"/>
        <v>33</v>
      </c>
      <c r="U39" s="1">
        <v>498</v>
      </c>
      <c r="V39" s="2">
        <f t="shared" si="2"/>
        <v>4108.5</v>
      </c>
      <c r="W39" s="1">
        <v>4</v>
      </c>
      <c r="X39" s="1" t="s">
        <v>51</v>
      </c>
      <c r="Y39" s="1" t="s">
        <v>67</v>
      </c>
      <c r="Z39" s="1" t="s">
        <v>43</v>
      </c>
      <c r="AA39" s="1" t="s">
        <v>128</v>
      </c>
      <c r="AB39" s="16" t="s">
        <v>145</v>
      </c>
    </row>
    <row r="40" spans="1:28" x14ac:dyDescent="0.15">
      <c r="A40" s="1" t="s">
        <v>35</v>
      </c>
      <c r="B40" s="1" t="s">
        <v>143</v>
      </c>
      <c r="C40" s="1">
        <v>2020</v>
      </c>
      <c r="D40" s="76" t="s">
        <v>234</v>
      </c>
      <c r="E40" s="1" t="s">
        <v>36</v>
      </c>
      <c r="F40" s="1" t="s">
        <v>237</v>
      </c>
      <c r="G40" s="1" t="s">
        <v>37</v>
      </c>
      <c r="H40" s="1" t="s">
        <v>82</v>
      </c>
      <c r="I40" s="1" t="s">
        <v>64</v>
      </c>
      <c r="J40" s="1" t="s">
        <v>40</v>
      </c>
      <c r="K40" s="1" t="s">
        <v>41</v>
      </c>
      <c r="L40" s="1">
        <v>3</v>
      </c>
      <c r="N40" s="1">
        <v>4</v>
      </c>
      <c r="O40" s="1">
        <v>0.9</v>
      </c>
      <c r="P40" s="1">
        <v>1</v>
      </c>
      <c r="Q40" s="69">
        <f t="shared" si="0"/>
        <v>0.95</v>
      </c>
      <c r="R40" s="1">
        <v>16.399999999999999</v>
      </c>
      <c r="S40" s="1">
        <v>112</v>
      </c>
      <c r="T40" s="2">
        <f t="shared" si="1"/>
        <v>33</v>
      </c>
      <c r="U40" s="1">
        <v>498</v>
      </c>
      <c r="V40" s="2">
        <f t="shared" si="2"/>
        <v>4108.5</v>
      </c>
      <c r="W40" s="1">
        <v>4</v>
      </c>
      <c r="X40" s="1" t="s">
        <v>51</v>
      </c>
      <c r="Y40" s="1" t="s">
        <v>67</v>
      </c>
      <c r="Z40" s="1" t="s">
        <v>43</v>
      </c>
      <c r="AA40" s="1" t="s">
        <v>128</v>
      </c>
      <c r="AB40" s="16" t="s">
        <v>145</v>
      </c>
    </row>
    <row r="41" spans="1:28" ht="12.75" customHeight="1" x14ac:dyDescent="0.15">
      <c r="A41" s="1" t="s">
        <v>35</v>
      </c>
      <c r="B41" s="1" t="s">
        <v>143</v>
      </c>
      <c r="C41" s="1">
        <v>2020</v>
      </c>
      <c r="D41" s="76" t="s">
        <v>234</v>
      </c>
      <c r="E41" s="1" t="s">
        <v>36</v>
      </c>
      <c r="F41" s="1" t="s">
        <v>237</v>
      </c>
      <c r="G41" s="1" t="s">
        <v>37</v>
      </c>
      <c r="H41" s="1" t="s">
        <v>82</v>
      </c>
      <c r="I41" s="1" t="s">
        <v>71</v>
      </c>
      <c r="J41" s="1" t="s">
        <v>40</v>
      </c>
      <c r="K41" s="1" t="s">
        <v>41</v>
      </c>
      <c r="L41" s="1">
        <v>1</v>
      </c>
      <c r="N41" s="1">
        <v>4</v>
      </c>
      <c r="O41" s="1">
        <v>0.7</v>
      </c>
      <c r="P41" s="1">
        <v>0.65</v>
      </c>
      <c r="Q41" s="69">
        <f t="shared" si="0"/>
        <v>0.67500000000000004</v>
      </c>
      <c r="R41" s="1">
        <v>17.600000000000001</v>
      </c>
      <c r="S41" s="1">
        <v>100</v>
      </c>
      <c r="T41" s="2">
        <f t="shared" si="1"/>
        <v>33</v>
      </c>
      <c r="U41" s="1">
        <v>498</v>
      </c>
      <c r="V41" s="2">
        <f t="shared" si="2"/>
        <v>4108.5</v>
      </c>
      <c r="W41" s="1">
        <v>1</v>
      </c>
      <c r="X41" s="1" t="s">
        <v>51</v>
      </c>
      <c r="Y41" s="1" t="s">
        <v>67</v>
      </c>
      <c r="Z41" s="1" t="s">
        <v>43</v>
      </c>
      <c r="AA41" s="1" t="s">
        <v>128</v>
      </c>
      <c r="AB41" s="16" t="s">
        <v>145</v>
      </c>
    </row>
    <row r="42" spans="1:28" x14ac:dyDescent="0.15">
      <c r="A42" s="1" t="s">
        <v>35</v>
      </c>
      <c r="B42" s="1" t="s">
        <v>143</v>
      </c>
      <c r="C42" s="1">
        <v>2020</v>
      </c>
      <c r="D42" s="76" t="s">
        <v>234</v>
      </c>
      <c r="E42" s="1" t="s">
        <v>36</v>
      </c>
      <c r="F42" s="1" t="s">
        <v>237</v>
      </c>
      <c r="G42" s="1" t="s">
        <v>37</v>
      </c>
      <c r="H42" s="1" t="s">
        <v>82</v>
      </c>
      <c r="I42" s="1" t="s">
        <v>71</v>
      </c>
      <c r="J42" s="1" t="s">
        <v>40</v>
      </c>
      <c r="K42" s="1" t="s">
        <v>41</v>
      </c>
      <c r="L42" s="1">
        <v>2</v>
      </c>
      <c r="N42" s="1">
        <v>4</v>
      </c>
      <c r="O42" s="1">
        <v>0.8</v>
      </c>
      <c r="P42" s="1">
        <v>1</v>
      </c>
      <c r="Q42" s="69">
        <f t="shared" si="0"/>
        <v>0.9</v>
      </c>
      <c r="R42" s="1">
        <v>11.5</v>
      </c>
      <c r="S42" s="1">
        <v>100</v>
      </c>
      <c r="T42" s="2">
        <f t="shared" si="1"/>
        <v>33</v>
      </c>
      <c r="U42" s="1">
        <v>498</v>
      </c>
      <c r="V42" s="2">
        <f t="shared" si="2"/>
        <v>4108.5</v>
      </c>
      <c r="W42" s="1">
        <v>1</v>
      </c>
      <c r="X42" s="1" t="s">
        <v>51</v>
      </c>
      <c r="Y42" s="1" t="s">
        <v>67</v>
      </c>
      <c r="Z42" s="1" t="s">
        <v>43</v>
      </c>
      <c r="AA42" s="1" t="s">
        <v>128</v>
      </c>
      <c r="AB42" s="16" t="s">
        <v>145</v>
      </c>
    </row>
    <row r="43" spans="1:28" x14ac:dyDescent="0.15">
      <c r="A43" s="1" t="s">
        <v>35</v>
      </c>
      <c r="B43" s="1" t="s">
        <v>143</v>
      </c>
      <c r="C43" s="1">
        <v>2020</v>
      </c>
      <c r="D43" s="76" t="s">
        <v>234</v>
      </c>
      <c r="E43" s="1" t="s">
        <v>36</v>
      </c>
      <c r="F43" s="1" t="s">
        <v>237</v>
      </c>
      <c r="G43" s="1" t="s">
        <v>37</v>
      </c>
      <c r="H43" s="1" t="s">
        <v>82</v>
      </c>
      <c r="I43" s="1" t="s">
        <v>71</v>
      </c>
      <c r="J43" s="1" t="s">
        <v>40</v>
      </c>
      <c r="K43" s="1" t="s">
        <v>41</v>
      </c>
      <c r="L43" s="1">
        <v>3</v>
      </c>
      <c r="N43" s="1">
        <v>4</v>
      </c>
      <c r="O43" s="1">
        <v>1.1000000000000001</v>
      </c>
      <c r="P43" s="1">
        <v>1.2</v>
      </c>
      <c r="Q43" s="69">
        <f t="shared" si="0"/>
        <v>1.1499999999999999</v>
      </c>
      <c r="R43" s="1">
        <v>12.3</v>
      </c>
      <c r="S43" s="1">
        <v>98</v>
      </c>
      <c r="T43" s="2">
        <f t="shared" si="1"/>
        <v>36</v>
      </c>
      <c r="U43" s="1">
        <v>498</v>
      </c>
      <c r="V43" s="2">
        <f t="shared" si="2"/>
        <v>4482</v>
      </c>
      <c r="W43" s="1">
        <v>1</v>
      </c>
      <c r="X43" s="1" t="s">
        <v>51</v>
      </c>
      <c r="Y43" s="1" t="s">
        <v>67</v>
      </c>
      <c r="Z43" s="1" t="s">
        <v>43</v>
      </c>
      <c r="AA43" s="1" t="s">
        <v>128</v>
      </c>
      <c r="AB43" s="16" t="s">
        <v>145</v>
      </c>
    </row>
    <row r="44" spans="1:28" x14ac:dyDescent="0.15">
      <c r="A44" s="1" t="s">
        <v>35</v>
      </c>
      <c r="B44" s="1" t="s">
        <v>143</v>
      </c>
      <c r="C44" s="1">
        <v>2020</v>
      </c>
      <c r="D44" s="76" t="s">
        <v>234</v>
      </c>
      <c r="E44" s="1" t="s">
        <v>87</v>
      </c>
      <c r="F44" s="1" t="s">
        <v>260</v>
      </c>
      <c r="G44" s="1" t="s">
        <v>37</v>
      </c>
      <c r="H44" s="1" t="s">
        <v>63</v>
      </c>
      <c r="I44" s="1" t="s">
        <v>64</v>
      </c>
      <c r="J44" s="1" t="s">
        <v>40</v>
      </c>
      <c r="K44" s="1" t="s">
        <v>41</v>
      </c>
      <c r="L44" s="1">
        <v>1</v>
      </c>
      <c r="N44" s="1">
        <v>1</v>
      </c>
      <c r="O44" s="1">
        <v>1.5</v>
      </c>
      <c r="P44" s="1">
        <v>1.3</v>
      </c>
      <c r="Q44" s="69">
        <f t="shared" si="0"/>
        <v>1.4</v>
      </c>
      <c r="R44" s="1">
        <v>10.9</v>
      </c>
      <c r="S44" s="1">
        <v>107</v>
      </c>
      <c r="T44" s="2">
        <f t="shared" si="1"/>
        <v>33</v>
      </c>
      <c r="U44" s="1">
        <v>100</v>
      </c>
      <c r="V44" s="2">
        <f t="shared" si="2"/>
        <v>3300</v>
      </c>
      <c r="W44" s="1">
        <v>4</v>
      </c>
      <c r="X44" s="1" t="s">
        <v>51</v>
      </c>
      <c r="Y44" s="1" t="s">
        <v>67</v>
      </c>
      <c r="Z44" s="1" t="s">
        <v>43</v>
      </c>
      <c r="AA44" s="1" t="s">
        <v>52</v>
      </c>
      <c r="AB44" s="16" t="s">
        <v>145</v>
      </c>
    </row>
    <row r="45" spans="1:28" x14ac:dyDescent="0.15">
      <c r="A45" s="1" t="s">
        <v>35</v>
      </c>
      <c r="B45" s="1" t="s">
        <v>143</v>
      </c>
      <c r="C45" s="1">
        <v>2020</v>
      </c>
      <c r="D45" s="76" t="s">
        <v>234</v>
      </c>
      <c r="E45" s="1" t="s">
        <v>87</v>
      </c>
      <c r="F45" s="1" t="s">
        <v>260</v>
      </c>
      <c r="G45" s="1" t="s">
        <v>37</v>
      </c>
      <c r="H45" s="1" t="s">
        <v>63</v>
      </c>
      <c r="I45" s="1" t="s">
        <v>64</v>
      </c>
      <c r="J45" s="1" t="s">
        <v>40</v>
      </c>
      <c r="K45" s="1" t="s">
        <v>41</v>
      </c>
      <c r="L45" s="1">
        <v>2</v>
      </c>
      <c r="N45" s="1">
        <v>1</v>
      </c>
      <c r="O45" s="1">
        <v>0.9</v>
      </c>
      <c r="P45" s="1">
        <v>0.8</v>
      </c>
      <c r="Q45" s="69">
        <f t="shared" si="0"/>
        <v>0.85000000000000009</v>
      </c>
      <c r="R45" s="1">
        <v>11.1</v>
      </c>
      <c r="S45" s="1">
        <v>100</v>
      </c>
      <c r="T45" s="2">
        <f t="shared" si="1"/>
        <v>33</v>
      </c>
      <c r="U45" s="1">
        <v>100</v>
      </c>
      <c r="V45" s="2">
        <f t="shared" si="2"/>
        <v>3300</v>
      </c>
      <c r="W45" s="1">
        <v>4</v>
      </c>
      <c r="X45" s="1" t="s">
        <v>51</v>
      </c>
      <c r="Y45" s="1" t="s">
        <v>67</v>
      </c>
      <c r="Z45" s="1" t="s">
        <v>43</v>
      </c>
      <c r="AA45" s="1" t="s">
        <v>52</v>
      </c>
      <c r="AB45" s="16" t="s">
        <v>145</v>
      </c>
    </row>
    <row r="46" spans="1:28" x14ac:dyDescent="0.15">
      <c r="A46" s="1" t="s">
        <v>35</v>
      </c>
      <c r="B46" s="1" t="s">
        <v>143</v>
      </c>
      <c r="C46" s="1">
        <v>2020</v>
      </c>
      <c r="D46" s="76" t="s">
        <v>234</v>
      </c>
      <c r="E46" s="1" t="s">
        <v>87</v>
      </c>
      <c r="F46" s="1" t="s">
        <v>260</v>
      </c>
      <c r="G46" s="1" t="s">
        <v>37</v>
      </c>
      <c r="H46" s="1" t="s">
        <v>63</v>
      </c>
      <c r="I46" s="1" t="s">
        <v>64</v>
      </c>
      <c r="J46" s="1" t="s">
        <v>40</v>
      </c>
      <c r="K46" s="1" t="s">
        <v>41</v>
      </c>
      <c r="L46" s="1">
        <v>3</v>
      </c>
      <c r="N46" s="1">
        <v>1</v>
      </c>
      <c r="O46" s="1">
        <v>1.3</v>
      </c>
      <c r="P46" s="16">
        <v>1.25</v>
      </c>
      <c r="Q46" s="69">
        <f t="shared" si="0"/>
        <v>1.2749999999999999</v>
      </c>
      <c r="R46" s="1">
        <v>10.4</v>
      </c>
      <c r="S46" s="1">
        <v>106</v>
      </c>
      <c r="T46" s="2">
        <f t="shared" si="1"/>
        <v>33</v>
      </c>
      <c r="U46" s="1">
        <v>100</v>
      </c>
      <c r="V46" s="2">
        <f t="shared" si="2"/>
        <v>3300</v>
      </c>
      <c r="W46" s="1">
        <v>4</v>
      </c>
      <c r="X46" s="1" t="s">
        <v>51</v>
      </c>
      <c r="Y46" s="1" t="s">
        <v>67</v>
      </c>
      <c r="Z46" s="1" t="s">
        <v>43</v>
      </c>
      <c r="AA46" s="1" t="s">
        <v>52</v>
      </c>
      <c r="AB46" s="16" t="s">
        <v>145</v>
      </c>
    </row>
    <row r="47" spans="1:28" x14ac:dyDescent="0.15">
      <c r="A47" s="1" t="s">
        <v>35</v>
      </c>
      <c r="B47" s="1" t="s">
        <v>143</v>
      </c>
      <c r="C47" s="1">
        <v>2020</v>
      </c>
      <c r="D47" s="76" t="s">
        <v>234</v>
      </c>
      <c r="E47" s="1" t="s">
        <v>87</v>
      </c>
      <c r="F47" s="1" t="s">
        <v>260</v>
      </c>
      <c r="G47" s="1" t="s">
        <v>37</v>
      </c>
      <c r="H47" s="1" t="s">
        <v>63</v>
      </c>
      <c r="I47" s="1" t="s">
        <v>64</v>
      </c>
      <c r="J47" s="1" t="s">
        <v>40</v>
      </c>
      <c r="K47" s="1" t="s">
        <v>41</v>
      </c>
      <c r="L47" s="1">
        <v>1</v>
      </c>
      <c r="N47" s="1">
        <v>5</v>
      </c>
      <c r="O47" s="1">
        <v>0.5</v>
      </c>
      <c r="P47" s="1">
        <v>0.5</v>
      </c>
      <c r="Q47" s="69">
        <f t="shared" si="0"/>
        <v>0.5</v>
      </c>
      <c r="R47" s="1">
        <v>13.5</v>
      </c>
      <c r="S47" s="1">
        <v>89</v>
      </c>
      <c r="T47" s="2">
        <f t="shared" si="1"/>
        <v>36</v>
      </c>
      <c r="U47" s="1">
        <v>398</v>
      </c>
      <c r="V47" s="2">
        <f t="shared" si="2"/>
        <v>2865.6</v>
      </c>
      <c r="W47" s="1">
        <v>2</v>
      </c>
      <c r="X47" s="1" t="s">
        <v>51</v>
      </c>
      <c r="Y47" s="1" t="s">
        <v>67</v>
      </c>
      <c r="Z47" s="1" t="s">
        <v>43</v>
      </c>
      <c r="AA47" s="1" t="s">
        <v>52</v>
      </c>
      <c r="AB47" s="16" t="s">
        <v>145</v>
      </c>
    </row>
    <row r="48" spans="1:28" x14ac:dyDescent="0.15">
      <c r="A48" s="1" t="s">
        <v>35</v>
      </c>
      <c r="B48" s="1" t="s">
        <v>143</v>
      </c>
      <c r="C48" s="1">
        <v>2020</v>
      </c>
      <c r="D48" s="76" t="s">
        <v>234</v>
      </c>
      <c r="E48" s="1" t="s">
        <v>87</v>
      </c>
      <c r="F48" s="1" t="s">
        <v>260</v>
      </c>
      <c r="G48" s="1" t="s">
        <v>37</v>
      </c>
      <c r="H48" s="1" t="s">
        <v>63</v>
      </c>
      <c r="I48" s="1" t="s">
        <v>64</v>
      </c>
      <c r="J48" s="1" t="s">
        <v>40</v>
      </c>
      <c r="K48" s="1" t="s">
        <v>41</v>
      </c>
      <c r="L48" s="1">
        <v>2</v>
      </c>
      <c r="N48" s="1">
        <v>5</v>
      </c>
      <c r="O48" s="1">
        <v>0.5</v>
      </c>
      <c r="P48" s="1">
        <v>0.5</v>
      </c>
      <c r="Q48" s="69">
        <f t="shared" si="0"/>
        <v>0.5</v>
      </c>
      <c r="R48" s="1">
        <v>12.9</v>
      </c>
      <c r="S48" s="1">
        <v>84</v>
      </c>
      <c r="T48" s="2">
        <f t="shared" si="1"/>
        <v>36</v>
      </c>
      <c r="U48" s="1">
        <v>398</v>
      </c>
      <c r="V48" s="2">
        <f t="shared" si="2"/>
        <v>2865.6</v>
      </c>
      <c r="W48" s="1">
        <v>2</v>
      </c>
      <c r="X48" s="1" t="s">
        <v>51</v>
      </c>
      <c r="Y48" s="1" t="s">
        <v>67</v>
      </c>
      <c r="Z48" s="1" t="s">
        <v>43</v>
      </c>
      <c r="AA48" s="1" t="s">
        <v>52</v>
      </c>
      <c r="AB48" s="16" t="s">
        <v>145</v>
      </c>
    </row>
    <row r="49" spans="1:28" x14ac:dyDescent="0.15">
      <c r="A49" s="1" t="s">
        <v>35</v>
      </c>
      <c r="B49" s="1" t="s">
        <v>143</v>
      </c>
      <c r="C49" s="1">
        <v>2020</v>
      </c>
      <c r="D49" s="76" t="s">
        <v>234</v>
      </c>
      <c r="E49" s="1" t="s">
        <v>87</v>
      </c>
      <c r="F49" s="1" t="s">
        <v>260</v>
      </c>
      <c r="G49" s="1" t="s">
        <v>37</v>
      </c>
      <c r="H49" s="1" t="s">
        <v>63</v>
      </c>
      <c r="I49" s="1" t="s">
        <v>64</v>
      </c>
      <c r="J49" s="1" t="s">
        <v>40</v>
      </c>
      <c r="K49" s="1" t="s">
        <v>41</v>
      </c>
      <c r="L49" s="1">
        <v>3</v>
      </c>
      <c r="N49" s="1">
        <v>5</v>
      </c>
      <c r="O49" s="1">
        <v>0.5</v>
      </c>
      <c r="P49" s="16">
        <v>0.5</v>
      </c>
      <c r="Q49" s="69">
        <f t="shared" si="0"/>
        <v>0.5</v>
      </c>
      <c r="R49" s="1">
        <v>12</v>
      </c>
      <c r="S49" s="1">
        <v>90</v>
      </c>
      <c r="T49" s="2">
        <f t="shared" si="1"/>
        <v>36</v>
      </c>
      <c r="U49" s="1">
        <v>398</v>
      </c>
      <c r="V49" s="2">
        <f t="shared" si="2"/>
        <v>2865.6</v>
      </c>
      <c r="W49" s="1">
        <v>2</v>
      </c>
      <c r="X49" s="1" t="s">
        <v>51</v>
      </c>
      <c r="Y49" s="1" t="s">
        <v>67</v>
      </c>
      <c r="Z49" s="1" t="s">
        <v>43</v>
      </c>
      <c r="AA49" s="1" t="s">
        <v>52</v>
      </c>
      <c r="AB49" s="16" t="s">
        <v>145</v>
      </c>
    </row>
    <row r="50" spans="1:28" x14ac:dyDescent="0.15">
      <c r="A50" s="1" t="s">
        <v>35</v>
      </c>
      <c r="B50" s="1" t="s">
        <v>143</v>
      </c>
      <c r="C50" s="1">
        <v>2020</v>
      </c>
      <c r="D50" s="76" t="s">
        <v>234</v>
      </c>
      <c r="E50" s="1" t="s">
        <v>87</v>
      </c>
      <c r="F50" s="1" t="s">
        <v>260</v>
      </c>
      <c r="G50" s="1" t="s">
        <v>37</v>
      </c>
      <c r="H50" s="1" t="s">
        <v>63</v>
      </c>
      <c r="I50" s="1" t="s">
        <v>64</v>
      </c>
      <c r="J50" s="1" t="s">
        <v>40</v>
      </c>
      <c r="K50" s="1" t="s">
        <v>41</v>
      </c>
      <c r="L50" s="1">
        <v>1</v>
      </c>
      <c r="N50" s="1">
        <v>8</v>
      </c>
      <c r="O50" s="1">
        <v>0.5</v>
      </c>
      <c r="P50" s="1">
        <v>0.5</v>
      </c>
      <c r="Q50" s="69">
        <f t="shared" si="0"/>
        <v>0.5</v>
      </c>
      <c r="R50" s="1">
        <v>11.5</v>
      </c>
      <c r="S50" s="1">
        <v>108</v>
      </c>
      <c r="T50" s="2">
        <f t="shared" si="1"/>
        <v>33</v>
      </c>
      <c r="U50" s="1">
        <v>598</v>
      </c>
      <c r="V50" s="2">
        <f t="shared" si="2"/>
        <v>2466.75</v>
      </c>
      <c r="W50" s="1">
        <v>3</v>
      </c>
      <c r="X50" s="1" t="s">
        <v>51</v>
      </c>
      <c r="Y50" s="1" t="s">
        <v>67</v>
      </c>
      <c r="Z50" s="1" t="s">
        <v>43</v>
      </c>
      <c r="AA50" s="1" t="s">
        <v>52</v>
      </c>
      <c r="AB50" s="16" t="s">
        <v>145</v>
      </c>
    </row>
    <row r="51" spans="1:28" x14ac:dyDescent="0.15">
      <c r="A51" s="1" t="s">
        <v>35</v>
      </c>
      <c r="B51" s="1" t="s">
        <v>143</v>
      </c>
      <c r="C51" s="1">
        <v>2020</v>
      </c>
      <c r="D51" s="76" t="s">
        <v>234</v>
      </c>
      <c r="E51" s="1" t="s">
        <v>87</v>
      </c>
      <c r="F51" s="1" t="s">
        <v>260</v>
      </c>
      <c r="G51" s="1" t="s">
        <v>37</v>
      </c>
      <c r="H51" s="1" t="s">
        <v>63</v>
      </c>
      <c r="I51" s="1" t="s">
        <v>64</v>
      </c>
      <c r="J51" s="1" t="s">
        <v>40</v>
      </c>
      <c r="K51" s="1" t="s">
        <v>41</v>
      </c>
      <c r="L51" s="1">
        <v>2</v>
      </c>
      <c r="N51" s="1">
        <v>8</v>
      </c>
      <c r="O51" s="1">
        <v>0.5</v>
      </c>
      <c r="P51" s="1">
        <v>0.5</v>
      </c>
      <c r="Q51" s="69">
        <f t="shared" si="0"/>
        <v>0.5</v>
      </c>
      <c r="R51" s="1">
        <v>12.6</v>
      </c>
      <c r="S51" s="1">
        <v>116</v>
      </c>
      <c r="T51" s="2">
        <f t="shared" si="1"/>
        <v>30</v>
      </c>
      <c r="U51" s="1">
        <v>598</v>
      </c>
      <c r="V51" s="2">
        <f t="shared" si="2"/>
        <v>2242.5</v>
      </c>
      <c r="W51" s="1">
        <v>3</v>
      </c>
      <c r="X51" s="1" t="s">
        <v>51</v>
      </c>
      <c r="Y51" s="1" t="s">
        <v>67</v>
      </c>
      <c r="Z51" s="1" t="s">
        <v>43</v>
      </c>
      <c r="AA51" s="1" t="s">
        <v>52</v>
      </c>
      <c r="AB51" s="16" t="s">
        <v>145</v>
      </c>
    </row>
    <row r="52" spans="1:28" x14ac:dyDescent="0.15">
      <c r="A52" s="1" t="s">
        <v>35</v>
      </c>
      <c r="B52" s="1" t="s">
        <v>143</v>
      </c>
      <c r="C52" s="1">
        <v>2020</v>
      </c>
      <c r="D52" s="76" t="s">
        <v>234</v>
      </c>
      <c r="E52" s="1" t="s">
        <v>87</v>
      </c>
      <c r="F52" s="1" t="s">
        <v>260</v>
      </c>
      <c r="G52" s="1" t="s">
        <v>37</v>
      </c>
      <c r="H52" s="1" t="s">
        <v>63</v>
      </c>
      <c r="I52" s="1" t="s">
        <v>64</v>
      </c>
      <c r="J52" s="1" t="s">
        <v>40</v>
      </c>
      <c r="K52" s="1" t="s">
        <v>41</v>
      </c>
      <c r="L52" s="1">
        <v>3</v>
      </c>
      <c r="N52" s="1">
        <v>8</v>
      </c>
      <c r="O52" s="1">
        <v>0.5</v>
      </c>
      <c r="P52" s="1">
        <v>0.5</v>
      </c>
      <c r="Q52" s="69">
        <f t="shared" si="0"/>
        <v>0.5</v>
      </c>
      <c r="R52" s="1">
        <v>10.9</v>
      </c>
      <c r="S52" s="1">
        <v>84</v>
      </c>
      <c r="T52" s="2">
        <f t="shared" si="1"/>
        <v>36</v>
      </c>
      <c r="U52" s="1">
        <v>598</v>
      </c>
      <c r="V52" s="2">
        <f t="shared" si="2"/>
        <v>2691</v>
      </c>
      <c r="W52" s="1">
        <v>3</v>
      </c>
      <c r="X52" s="1" t="s">
        <v>51</v>
      </c>
      <c r="Y52" s="1" t="s">
        <v>67</v>
      </c>
      <c r="Z52" s="1" t="s">
        <v>43</v>
      </c>
      <c r="AA52" s="1" t="s">
        <v>52</v>
      </c>
      <c r="AB52" s="16" t="s">
        <v>145</v>
      </c>
    </row>
    <row r="53" spans="1:28" x14ac:dyDescent="0.15">
      <c r="A53" s="1" t="s">
        <v>35</v>
      </c>
      <c r="B53" s="1" t="s">
        <v>143</v>
      </c>
      <c r="C53" s="1">
        <v>2020</v>
      </c>
      <c r="D53" s="76" t="s">
        <v>234</v>
      </c>
      <c r="E53" s="1" t="s">
        <v>87</v>
      </c>
      <c r="F53" s="1" t="s">
        <v>260</v>
      </c>
      <c r="G53" s="1" t="s">
        <v>37</v>
      </c>
      <c r="H53" s="1" t="s">
        <v>82</v>
      </c>
      <c r="I53" s="1" t="s">
        <v>64</v>
      </c>
      <c r="J53" s="1" t="s">
        <v>40</v>
      </c>
      <c r="K53" s="1" t="s">
        <v>41</v>
      </c>
      <c r="L53" s="1">
        <v>1</v>
      </c>
      <c r="N53" s="1">
        <v>1</v>
      </c>
      <c r="O53" s="1">
        <v>1.25</v>
      </c>
      <c r="P53" s="1">
        <v>1.25</v>
      </c>
      <c r="Q53" s="69">
        <f t="shared" si="0"/>
        <v>1.25</v>
      </c>
      <c r="R53" s="1">
        <v>13.4</v>
      </c>
      <c r="S53" s="1">
        <v>116</v>
      </c>
      <c r="T53" s="2">
        <f t="shared" si="1"/>
        <v>30</v>
      </c>
      <c r="U53" s="1">
        <v>100</v>
      </c>
      <c r="V53" s="2">
        <f t="shared" si="2"/>
        <v>3000</v>
      </c>
      <c r="W53" s="1">
        <v>15</v>
      </c>
      <c r="X53" s="1" t="s">
        <v>51</v>
      </c>
      <c r="Y53" s="1" t="s">
        <v>67</v>
      </c>
      <c r="Z53" s="1" t="s">
        <v>43</v>
      </c>
      <c r="AA53" s="1" t="s">
        <v>52</v>
      </c>
      <c r="AB53" s="16" t="s">
        <v>145</v>
      </c>
    </row>
    <row r="54" spans="1:28" x14ac:dyDescent="0.15">
      <c r="A54" s="1" t="s">
        <v>35</v>
      </c>
      <c r="B54" s="1" t="s">
        <v>143</v>
      </c>
      <c r="C54" s="1">
        <v>2020</v>
      </c>
      <c r="D54" s="76" t="s">
        <v>234</v>
      </c>
      <c r="E54" s="1" t="s">
        <v>87</v>
      </c>
      <c r="F54" s="1" t="s">
        <v>260</v>
      </c>
      <c r="G54" s="1" t="s">
        <v>37</v>
      </c>
      <c r="H54" s="1" t="s">
        <v>82</v>
      </c>
      <c r="I54" s="1" t="s">
        <v>64</v>
      </c>
      <c r="J54" s="1" t="s">
        <v>40</v>
      </c>
      <c r="K54" s="1" t="s">
        <v>41</v>
      </c>
      <c r="L54" s="1">
        <v>2</v>
      </c>
      <c r="N54" s="1">
        <v>1</v>
      </c>
      <c r="O54" s="1">
        <v>0.8</v>
      </c>
      <c r="P54" s="1">
        <v>0.8</v>
      </c>
      <c r="Q54" s="69">
        <f t="shared" si="0"/>
        <v>0.8</v>
      </c>
      <c r="R54" s="1">
        <v>14.3</v>
      </c>
      <c r="S54" s="1">
        <v>124</v>
      </c>
      <c r="T54" s="2">
        <f t="shared" si="1"/>
        <v>27</v>
      </c>
      <c r="U54" s="1">
        <v>100</v>
      </c>
      <c r="V54" s="2">
        <f t="shared" si="2"/>
        <v>2700</v>
      </c>
      <c r="W54" s="1">
        <v>15</v>
      </c>
      <c r="X54" s="1" t="s">
        <v>51</v>
      </c>
      <c r="Y54" s="1" t="s">
        <v>67</v>
      </c>
      <c r="Z54" s="1" t="s">
        <v>43</v>
      </c>
      <c r="AA54" s="1" t="s">
        <v>52</v>
      </c>
      <c r="AB54" s="16" t="s">
        <v>145</v>
      </c>
    </row>
    <row r="55" spans="1:28" x14ac:dyDescent="0.15">
      <c r="A55" s="1" t="s">
        <v>35</v>
      </c>
      <c r="B55" s="1" t="s">
        <v>143</v>
      </c>
      <c r="C55" s="1">
        <v>2020</v>
      </c>
      <c r="D55" s="76" t="s">
        <v>234</v>
      </c>
      <c r="E55" s="1" t="s">
        <v>87</v>
      </c>
      <c r="F55" s="1" t="s">
        <v>260</v>
      </c>
      <c r="G55" s="1" t="s">
        <v>37</v>
      </c>
      <c r="H55" s="1" t="s">
        <v>82</v>
      </c>
      <c r="I55" s="1" t="s">
        <v>64</v>
      </c>
      <c r="J55" s="1" t="s">
        <v>40</v>
      </c>
      <c r="K55" s="1" t="s">
        <v>41</v>
      </c>
      <c r="L55" s="1">
        <v>3</v>
      </c>
      <c r="N55" s="1">
        <v>1</v>
      </c>
      <c r="O55" s="1">
        <v>1.2</v>
      </c>
      <c r="P55" s="1">
        <v>1.1000000000000001</v>
      </c>
      <c r="Q55" s="69">
        <f t="shared" si="0"/>
        <v>1.1499999999999999</v>
      </c>
      <c r="R55" s="1">
        <v>16.100000000000001</v>
      </c>
      <c r="S55" s="1">
        <v>123</v>
      </c>
      <c r="T55" s="2">
        <f t="shared" si="1"/>
        <v>27</v>
      </c>
      <c r="U55" s="1">
        <v>100</v>
      </c>
      <c r="V55" s="2">
        <f t="shared" si="2"/>
        <v>2700</v>
      </c>
      <c r="W55" s="1">
        <v>15</v>
      </c>
      <c r="X55" s="1" t="s">
        <v>51</v>
      </c>
      <c r="Y55" s="1" t="s">
        <v>67</v>
      </c>
      <c r="Z55" s="1" t="s">
        <v>43</v>
      </c>
      <c r="AA55" s="1" t="s">
        <v>52</v>
      </c>
      <c r="AB55" s="16" t="s">
        <v>145</v>
      </c>
    </row>
    <row r="56" spans="1:28" x14ac:dyDescent="0.15">
      <c r="A56" s="1" t="s">
        <v>35</v>
      </c>
      <c r="B56" s="1" t="s">
        <v>143</v>
      </c>
      <c r="C56" s="1">
        <v>2020</v>
      </c>
      <c r="D56" s="76" t="s">
        <v>234</v>
      </c>
      <c r="E56" s="1" t="s">
        <v>87</v>
      </c>
      <c r="F56" s="1" t="s">
        <v>260</v>
      </c>
      <c r="G56" s="1" t="s">
        <v>37</v>
      </c>
      <c r="H56" s="1" t="s">
        <v>82</v>
      </c>
      <c r="I56" s="1" t="s">
        <v>64</v>
      </c>
      <c r="J56" s="1" t="s">
        <v>40</v>
      </c>
      <c r="K56" s="1" t="s">
        <v>41</v>
      </c>
      <c r="L56" s="1">
        <v>1</v>
      </c>
      <c r="N56" s="1">
        <v>4</v>
      </c>
      <c r="O56" s="1">
        <v>0.8</v>
      </c>
      <c r="P56" s="1">
        <v>0.8</v>
      </c>
      <c r="Q56" s="69">
        <f t="shared" si="0"/>
        <v>0.8</v>
      </c>
      <c r="R56" s="1">
        <v>13.3</v>
      </c>
      <c r="S56" s="1">
        <v>103</v>
      </c>
      <c r="T56" s="2">
        <f t="shared" si="1"/>
        <v>33</v>
      </c>
      <c r="U56" s="1">
        <v>398</v>
      </c>
      <c r="V56" s="2">
        <f t="shared" si="2"/>
        <v>3283.5</v>
      </c>
      <c r="W56" s="1">
        <v>4</v>
      </c>
      <c r="X56" s="1" t="s">
        <v>51</v>
      </c>
      <c r="Y56" s="1" t="s">
        <v>67</v>
      </c>
      <c r="Z56" s="1" t="s">
        <v>43</v>
      </c>
      <c r="AA56" s="1" t="s">
        <v>52</v>
      </c>
      <c r="AB56" s="16" t="s">
        <v>145</v>
      </c>
    </row>
    <row r="57" spans="1:28" x14ac:dyDescent="0.15">
      <c r="A57" s="1" t="s">
        <v>35</v>
      </c>
      <c r="B57" s="1" t="s">
        <v>143</v>
      </c>
      <c r="C57" s="1">
        <v>2020</v>
      </c>
      <c r="D57" s="76" t="s">
        <v>234</v>
      </c>
      <c r="E57" s="1" t="s">
        <v>87</v>
      </c>
      <c r="F57" s="1" t="s">
        <v>260</v>
      </c>
      <c r="G57" s="1" t="s">
        <v>37</v>
      </c>
      <c r="H57" s="1" t="s">
        <v>82</v>
      </c>
      <c r="I57" s="1" t="s">
        <v>64</v>
      </c>
      <c r="J57" s="1" t="s">
        <v>40</v>
      </c>
      <c r="K57" s="1" t="s">
        <v>41</v>
      </c>
      <c r="L57" s="1">
        <v>2</v>
      </c>
      <c r="N57" s="1">
        <v>4</v>
      </c>
      <c r="O57" s="1">
        <v>0.75</v>
      </c>
      <c r="P57" s="1">
        <v>0.75</v>
      </c>
      <c r="Q57" s="69">
        <f t="shared" si="0"/>
        <v>0.75</v>
      </c>
      <c r="R57" s="1">
        <v>14.5</v>
      </c>
      <c r="S57" s="1">
        <v>103</v>
      </c>
      <c r="T57" s="2">
        <f t="shared" si="1"/>
        <v>33</v>
      </c>
      <c r="U57" s="1">
        <v>398</v>
      </c>
      <c r="V57" s="2">
        <f t="shared" si="2"/>
        <v>3283.5</v>
      </c>
      <c r="W57" s="1">
        <v>4</v>
      </c>
      <c r="X57" s="1" t="s">
        <v>51</v>
      </c>
      <c r="Y57" s="1" t="s">
        <v>67</v>
      </c>
      <c r="Z57" s="1" t="s">
        <v>43</v>
      </c>
      <c r="AA57" s="1" t="s">
        <v>52</v>
      </c>
      <c r="AB57" s="16" t="s">
        <v>145</v>
      </c>
    </row>
    <row r="58" spans="1:28" x14ac:dyDescent="0.15">
      <c r="A58" s="1" t="s">
        <v>35</v>
      </c>
      <c r="B58" s="1" t="s">
        <v>143</v>
      </c>
      <c r="C58" s="1">
        <v>2020</v>
      </c>
      <c r="D58" s="76" t="s">
        <v>234</v>
      </c>
      <c r="E58" s="1" t="s">
        <v>87</v>
      </c>
      <c r="F58" s="1" t="s">
        <v>260</v>
      </c>
      <c r="G58" s="1" t="s">
        <v>37</v>
      </c>
      <c r="H58" s="1" t="s">
        <v>82</v>
      </c>
      <c r="I58" s="1" t="s">
        <v>64</v>
      </c>
      <c r="J58" s="1" t="s">
        <v>40</v>
      </c>
      <c r="K58" s="1" t="s">
        <v>41</v>
      </c>
      <c r="L58" s="1">
        <v>3</v>
      </c>
      <c r="N58" s="1">
        <v>4</v>
      </c>
      <c r="O58" s="1">
        <v>0.75</v>
      </c>
      <c r="P58" s="1">
        <v>0.7</v>
      </c>
      <c r="Q58" s="69">
        <f t="shared" si="0"/>
        <v>0.72499999999999998</v>
      </c>
      <c r="R58" s="1">
        <v>11.8</v>
      </c>
      <c r="S58" s="1">
        <v>91</v>
      </c>
      <c r="T58" s="2">
        <f t="shared" si="1"/>
        <v>36</v>
      </c>
      <c r="U58" s="1">
        <v>398</v>
      </c>
      <c r="V58" s="2">
        <f t="shared" si="2"/>
        <v>3582</v>
      </c>
      <c r="W58" s="1">
        <v>4</v>
      </c>
      <c r="X58" s="1" t="s">
        <v>51</v>
      </c>
      <c r="Y58" s="1" t="s">
        <v>67</v>
      </c>
      <c r="Z58" s="1" t="s">
        <v>43</v>
      </c>
      <c r="AA58" s="1" t="s">
        <v>52</v>
      </c>
      <c r="AB58" s="16" t="s">
        <v>145</v>
      </c>
    </row>
    <row r="59" spans="1:28" x14ac:dyDescent="0.15">
      <c r="A59" s="1" t="s">
        <v>35</v>
      </c>
      <c r="B59" s="1" t="s">
        <v>143</v>
      </c>
      <c r="C59" s="1">
        <v>2020</v>
      </c>
      <c r="D59" s="76" t="s">
        <v>234</v>
      </c>
      <c r="E59" s="1" t="s">
        <v>87</v>
      </c>
      <c r="F59" s="1" t="s">
        <v>260</v>
      </c>
      <c r="G59" s="1" t="s">
        <v>37</v>
      </c>
      <c r="H59" s="1" t="s">
        <v>82</v>
      </c>
      <c r="I59" s="1" t="s">
        <v>64</v>
      </c>
      <c r="J59" s="1" t="s">
        <v>40</v>
      </c>
      <c r="K59" s="1" t="s">
        <v>41</v>
      </c>
      <c r="L59" s="1">
        <v>1</v>
      </c>
      <c r="N59" s="1">
        <v>8</v>
      </c>
      <c r="O59" s="1">
        <v>0.7</v>
      </c>
      <c r="P59" s="1">
        <v>0.7</v>
      </c>
      <c r="Q59" s="69">
        <f t="shared" si="0"/>
        <v>0.7</v>
      </c>
      <c r="R59" s="1">
        <v>17</v>
      </c>
      <c r="S59" s="1">
        <v>84</v>
      </c>
      <c r="T59" s="2">
        <f t="shared" si="1"/>
        <v>36</v>
      </c>
      <c r="U59" s="1">
        <v>680</v>
      </c>
      <c r="V59" s="2">
        <f t="shared" si="2"/>
        <v>3060</v>
      </c>
      <c r="W59" s="1">
        <v>8</v>
      </c>
      <c r="X59" s="1" t="s">
        <v>51</v>
      </c>
      <c r="Y59" s="1" t="s">
        <v>67</v>
      </c>
      <c r="Z59" s="1" t="s">
        <v>43</v>
      </c>
      <c r="AA59" s="1" t="s">
        <v>52</v>
      </c>
      <c r="AB59" s="16" t="s">
        <v>145</v>
      </c>
    </row>
    <row r="60" spans="1:28" x14ac:dyDescent="0.15">
      <c r="A60" s="1" t="s">
        <v>35</v>
      </c>
      <c r="B60" s="1" t="s">
        <v>143</v>
      </c>
      <c r="C60" s="1">
        <v>2020</v>
      </c>
      <c r="D60" s="76" t="s">
        <v>234</v>
      </c>
      <c r="E60" s="1" t="s">
        <v>87</v>
      </c>
      <c r="F60" s="1" t="s">
        <v>260</v>
      </c>
      <c r="G60" s="1" t="s">
        <v>37</v>
      </c>
      <c r="H60" s="1" t="s">
        <v>82</v>
      </c>
      <c r="I60" s="1" t="s">
        <v>64</v>
      </c>
      <c r="J60" s="1" t="s">
        <v>40</v>
      </c>
      <c r="K60" s="1" t="s">
        <v>41</v>
      </c>
      <c r="L60" s="1">
        <v>2</v>
      </c>
      <c r="N60" s="1">
        <v>8</v>
      </c>
      <c r="O60" s="1">
        <v>0.75</v>
      </c>
      <c r="P60" s="1">
        <v>0.65</v>
      </c>
      <c r="Q60" s="69">
        <f t="shared" si="0"/>
        <v>0.7</v>
      </c>
      <c r="R60" s="1">
        <v>13.1</v>
      </c>
      <c r="S60" s="1">
        <v>86</v>
      </c>
      <c r="T60" s="2">
        <f>IF(H60="","",IF(OR(H60="GREEN",H60="GK"),IF(S60&gt;=$AX$2,VLOOKUP(S60,$AX$2:$AY$12,2,1),""),IF(S60&gt;=$AZ$2,VLOOKUP(S60,$AZ$2:$BA$12,2,1),"")))</f>
        <v>36</v>
      </c>
      <c r="U60" s="1">
        <v>680</v>
      </c>
      <c r="V60" s="2">
        <f t="shared" si="2"/>
        <v>3060</v>
      </c>
      <c r="W60" s="1">
        <v>8</v>
      </c>
      <c r="X60" s="1" t="s">
        <v>51</v>
      </c>
      <c r="Y60" s="1" t="s">
        <v>67</v>
      </c>
      <c r="Z60" s="1" t="s">
        <v>43</v>
      </c>
      <c r="AA60" s="1" t="s">
        <v>52</v>
      </c>
      <c r="AB60" s="16" t="s">
        <v>145</v>
      </c>
    </row>
    <row r="61" spans="1:28" x14ac:dyDescent="0.15">
      <c r="A61" s="1" t="s">
        <v>35</v>
      </c>
      <c r="B61" s="1" t="s">
        <v>143</v>
      </c>
      <c r="C61" s="1">
        <v>2020</v>
      </c>
      <c r="D61" s="76" t="s">
        <v>234</v>
      </c>
      <c r="E61" s="1" t="s">
        <v>87</v>
      </c>
      <c r="F61" s="1" t="s">
        <v>260</v>
      </c>
      <c r="G61" s="1" t="s">
        <v>37</v>
      </c>
      <c r="H61" s="1" t="s">
        <v>82</v>
      </c>
      <c r="I61" s="1" t="s">
        <v>64</v>
      </c>
      <c r="J61" s="1" t="s">
        <v>40</v>
      </c>
      <c r="K61" s="1" t="s">
        <v>41</v>
      </c>
      <c r="L61" s="1">
        <v>3</v>
      </c>
      <c r="N61" s="1">
        <v>8</v>
      </c>
      <c r="O61" s="1">
        <v>0.75</v>
      </c>
      <c r="P61" s="1">
        <v>0.75</v>
      </c>
      <c r="Q61" s="69">
        <f t="shared" si="0"/>
        <v>0.75</v>
      </c>
      <c r="R61" s="1">
        <v>14.5</v>
      </c>
      <c r="S61" s="1">
        <v>83</v>
      </c>
      <c r="T61" s="2">
        <f>IF(H61="","",IF(OR(H61="GREEN",H61="GK"),IF(S61&gt;=$AX$2,VLOOKUP(S61,$AX$2:$AY$12,2,1),""),IF(S61&gt;=$AZ$2,VLOOKUP(S61,$AZ$2:$BA$12,2,1),"")))</f>
        <v>39</v>
      </c>
      <c r="U61" s="1">
        <v>680</v>
      </c>
      <c r="V61" s="2">
        <f t="shared" si="2"/>
        <v>3315</v>
      </c>
      <c r="W61" s="1">
        <v>8</v>
      </c>
      <c r="X61" s="1" t="s">
        <v>51</v>
      </c>
      <c r="Y61" s="1" t="s">
        <v>67</v>
      </c>
      <c r="Z61" s="1" t="s">
        <v>43</v>
      </c>
      <c r="AA61" s="1" t="s">
        <v>52</v>
      </c>
      <c r="AB61" s="16" t="s">
        <v>145</v>
      </c>
    </row>
    <row r="62" spans="1:28" x14ac:dyDescent="0.15">
      <c r="A62" s="1" t="s">
        <v>35</v>
      </c>
      <c r="B62" s="1" t="s">
        <v>143</v>
      </c>
      <c r="C62" s="1">
        <v>2020</v>
      </c>
      <c r="D62" s="76" t="s">
        <v>234</v>
      </c>
      <c r="E62" s="1" t="s">
        <v>87</v>
      </c>
      <c r="F62" s="1" t="s">
        <v>260</v>
      </c>
      <c r="G62" s="1" t="s">
        <v>37</v>
      </c>
      <c r="H62" s="1" t="s">
        <v>82</v>
      </c>
      <c r="I62" s="1" t="s">
        <v>71</v>
      </c>
      <c r="J62" s="1" t="s">
        <v>40</v>
      </c>
      <c r="K62" s="1" t="s">
        <v>41</v>
      </c>
      <c r="L62" s="1">
        <v>1</v>
      </c>
      <c r="N62" s="1">
        <v>4</v>
      </c>
      <c r="O62" s="1">
        <v>1</v>
      </c>
      <c r="P62" s="1">
        <v>1.2</v>
      </c>
      <c r="Q62" s="69">
        <f t="shared" si="0"/>
        <v>1.1000000000000001</v>
      </c>
      <c r="R62" s="1">
        <v>11.9</v>
      </c>
      <c r="S62" s="1">
        <v>103</v>
      </c>
      <c r="T62" s="2">
        <f t="shared" ref="T62:T145" si="3">IF(H62="","",IF(OR(H62="GREEN",H62="GK"),IF(S62&gt;=$AX$2,VLOOKUP(S62,$AX$2:$AY$12,2,1),""),IF(S62&gt;=$AZ$2,VLOOKUP(S62,$AZ$2:$BA$12,2,1),"")))</f>
        <v>33</v>
      </c>
      <c r="U62" s="1">
        <v>498</v>
      </c>
      <c r="V62" s="2">
        <f t="shared" si="2"/>
        <v>4108.5</v>
      </c>
      <c r="W62" s="1">
        <v>1</v>
      </c>
      <c r="X62" s="1" t="s">
        <v>51</v>
      </c>
      <c r="Y62" s="1" t="s">
        <v>67</v>
      </c>
      <c r="Z62" s="1" t="s">
        <v>43</v>
      </c>
      <c r="AA62" s="1" t="s">
        <v>52</v>
      </c>
      <c r="AB62" s="16" t="s">
        <v>145</v>
      </c>
    </row>
    <row r="63" spans="1:28" x14ac:dyDescent="0.15">
      <c r="A63" s="1" t="s">
        <v>35</v>
      </c>
      <c r="B63" s="1" t="s">
        <v>143</v>
      </c>
      <c r="C63" s="1">
        <v>2020</v>
      </c>
      <c r="D63" s="76" t="s">
        <v>234</v>
      </c>
      <c r="E63" s="1" t="s">
        <v>87</v>
      </c>
      <c r="F63" s="1" t="s">
        <v>260</v>
      </c>
      <c r="G63" s="1" t="s">
        <v>37</v>
      </c>
      <c r="H63" s="1" t="s">
        <v>82</v>
      </c>
      <c r="I63" s="1" t="s">
        <v>71</v>
      </c>
      <c r="J63" s="1" t="s">
        <v>40</v>
      </c>
      <c r="K63" s="1" t="s">
        <v>41</v>
      </c>
      <c r="L63" s="1">
        <v>2</v>
      </c>
      <c r="N63" s="1">
        <v>4</v>
      </c>
      <c r="O63" s="1">
        <v>1.25</v>
      </c>
      <c r="P63" s="1">
        <v>1.2</v>
      </c>
      <c r="Q63" s="69">
        <f t="shared" si="0"/>
        <v>1.2250000000000001</v>
      </c>
      <c r="R63" s="1">
        <v>12.4</v>
      </c>
      <c r="S63" s="1">
        <v>103</v>
      </c>
      <c r="T63" s="2">
        <f t="shared" si="3"/>
        <v>33</v>
      </c>
      <c r="U63" s="1">
        <v>498</v>
      </c>
      <c r="V63" s="2">
        <f t="shared" si="2"/>
        <v>4108.5</v>
      </c>
      <c r="W63" s="1">
        <v>1</v>
      </c>
      <c r="X63" s="1" t="s">
        <v>51</v>
      </c>
      <c r="Y63" s="1" t="s">
        <v>67</v>
      </c>
      <c r="Z63" s="1" t="s">
        <v>43</v>
      </c>
      <c r="AA63" s="1" t="s">
        <v>52</v>
      </c>
      <c r="AB63" s="16" t="s">
        <v>145</v>
      </c>
    </row>
    <row r="64" spans="1:28" x14ac:dyDescent="0.15">
      <c r="A64" s="1" t="s">
        <v>35</v>
      </c>
      <c r="B64" s="1" t="s">
        <v>143</v>
      </c>
      <c r="C64" s="1">
        <v>2020</v>
      </c>
      <c r="D64" s="76" t="s">
        <v>234</v>
      </c>
      <c r="E64" s="1" t="s">
        <v>87</v>
      </c>
      <c r="F64" s="1" t="s">
        <v>260</v>
      </c>
      <c r="G64" s="1" t="s">
        <v>37</v>
      </c>
      <c r="H64" s="1" t="s">
        <v>82</v>
      </c>
      <c r="I64" s="1" t="s">
        <v>71</v>
      </c>
      <c r="J64" s="1" t="s">
        <v>40</v>
      </c>
      <c r="K64" s="1" t="s">
        <v>41</v>
      </c>
      <c r="L64" s="1">
        <v>3</v>
      </c>
      <c r="N64" s="1">
        <v>4</v>
      </c>
      <c r="O64" s="1">
        <v>1</v>
      </c>
      <c r="P64" s="1">
        <v>1</v>
      </c>
      <c r="Q64" s="69">
        <f t="shared" si="0"/>
        <v>1</v>
      </c>
      <c r="R64" s="1">
        <v>11.9</v>
      </c>
      <c r="S64" s="1">
        <v>96</v>
      </c>
      <c r="T64" s="2">
        <f t="shared" si="3"/>
        <v>36</v>
      </c>
      <c r="U64" s="1">
        <v>498</v>
      </c>
      <c r="V64" s="2">
        <f t="shared" si="2"/>
        <v>4482</v>
      </c>
      <c r="W64" s="1">
        <v>1</v>
      </c>
      <c r="X64" s="1" t="s">
        <v>51</v>
      </c>
      <c r="Y64" s="1" t="s">
        <v>67</v>
      </c>
      <c r="Z64" s="1" t="s">
        <v>43</v>
      </c>
      <c r="AA64" s="1" t="s">
        <v>52</v>
      </c>
      <c r="AB64" s="16" t="s">
        <v>145</v>
      </c>
    </row>
    <row r="65" spans="1:28" x14ac:dyDescent="0.15">
      <c r="A65" s="1" t="s">
        <v>35</v>
      </c>
      <c r="B65" s="1" t="s">
        <v>143</v>
      </c>
      <c r="C65" s="1">
        <v>2020</v>
      </c>
      <c r="D65" s="76" t="s">
        <v>234</v>
      </c>
      <c r="E65" s="1" t="s">
        <v>69</v>
      </c>
      <c r="F65" s="1" t="s">
        <v>252</v>
      </c>
      <c r="G65" s="1" t="s">
        <v>37</v>
      </c>
      <c r="H65" s="1" t="s">
        <v>63</v>
      </c>
      <c r="I65" s="1" t="s">
        <v>64</v>
      </c>
      <c r="J65" s="1" t="s">
        <v>40</v>
      </c>
      <c r="K65" s="1" t="s">
        <v>41</v>
      </c>
      <c r="L65" s="1">
        <v>1</v>
      </c>
      <c r="N65" s="1">
        <v>1</v>
      </c>
      <c r="O65" s="1">
        <v>1.3</v>
      </c>
      <c r="P65" s="1">
        <v>1.25</v>
      </c>
      <c r="Q65" s="69">
        <f t="shared" si="0"/>
        <v>1.2749999999999999</v>
      </c>
      <c r="R65" s="1">
        <v>10.4</v>
      </c>
      <c r="S65" s="1">
        <v>117</v>
      </c>
      <c r="T65" s="2">
        <f t="shared" si="3"/>
        <v>30</v>
      </c>
      <c r="U65" s="1">
        <v>100</v>
      </c>
      <c r="V65" s="2">
        <f t="shared" si="2"/>
        <v>3000</v>
      </c>
      <c r="W65" s="1">
        <v>4</v>
      </c>
      <c r="X65" s="1" t="s">
        <v>51</v>
      </c>
      <c r="Y65" s="1" t="s">
        <v>67</v>
      </c>
      <c r="Z65" s="1" t="s">
        <v>52</v>
      </c>
      <c r="AA65" s="1" t="s">
        <v>128</v>
      </c>
      <c r="AB65" s="16" t="s">
        <v>145</v>
      </c>
    </row>
    <row r="66" spans="1:28" x14ac:dyDescent="0.15">
      <c r="A66" s="1" t="s">
        <v>35</v>
      </c>
      <c r="B66" s="1" t="s">
        <v>143</v>
      </c>
      <c r="C66" s="1">
        <v>2020</v>
      </c>
      <c r="D66" s="76" t="s">
        <v>234</v>
      </c>
      <c r="E66" s="1" t="s">
        <v>69</v>
      </c>
      <c r="F66" s="1" t="s">
        <v>252</v>
      </c>
      <c r="G66" s="1" t="s">
        <v>37</v>
      </c>
      <c r="H66" s="1" t="s">
        <v>63</v>
      </c>
      <c r="I66" s="1" t="s">
        <v>64</v>
      </c>
      <c r="J66" s="1" t="s">
        <v>40</v>
      </c>
      <c r="K66" s="1" t="s">
        <v>41</v>
      </c>
      <c r="L66" s="1">
        <v>2</v>
      </c>
      <c r="N66" s="1">
        <v>1</v>
      </c>
      <c r="O66" s="1">
        <v>1.25</v>
      </c>
      <c r="P66" s="1">
        <v>1.3</v>
      </c>
      <c r="Q66" s="69">
        <f t="shared" ref="Q66:Q77" si="4">IF(OR(O66="",P66=""),"",AVERAGE(O66,P66))</f>
        <v>1.2749999999999999</v>
      </c>
      <c r="R66" s="1">
        <v>11.6</v>
      </c>
      <c r="S66" s="1">
        <v>119</v>
      </c>
      <c r="T66" s="2">
        <f t="shared" si="3"/>
        <v>30</v>
      </c>
      <c r="U66" s="1">
        <v>100</v>
      </c>
      <c r="V66" s="2">
        <f t="shared" ref="V66:V70" si="5">IF(OR(N66="",U66="",T66=""),"",U66/N66*T66)</f>
        <v>3000</v>
      </c>
      <c r="W66" s="1">
        <v>4</v>
      </c>
      <c r="X66" s="1" t="s">
        <v>51</v>
      </c>
      <c r="Y66" s="1" t="s">
        <v>67</v>
      </c>
      <c r="Z66" s="1" t="s">
        <v>52</v>
      </c>
      <c r="AA66" s="1" t="s">
        <v>128</v>
      </c>
      <c r="AB66" s="16" t="s">
        <v>145</v>
      </c>
    </row>
    <row r="67" spans="1:28" x14ac:dyDescent="0.15">
      <c r="A67" s="1" t="s">
        <v>35</v>
      </c>
      <c r="B67" s="1" t="s">
        <v>143</v>
      </c>
      <c r="C67" s="1">
        <v>2020</v>
      </c>
      <c r="D67" s="76" t="s">
        <v>234</v>
      </c>
      <c r="E67" s="1" t="s">
        <v>69</v>
      </c>
      <c r="F67" s="1" t="s">
        <v>252</v>
      </c>
      <c r="G67" s="1" t="s">
        <v>37</v>
      </c>
      <c r="H67" s="1" t="s">
        <v>63</v>
      </c>
      <c r="I67" s="1" t="s">
        <v>64</v>
      </c>
      <c r="J67" s="1" t="s">
        <v>40</v>
      </c>
      <c r="K67" s="1" t="s">
        <v>41</v>
      </c>
      <c r="L67" s="1">
        <v>3</v>
      </c>
      <c r="N67" s="1">
        <v>1</v>
      </c>
      <c r="O67" s="1">
        <v>1.2</v>
      </c>
      <c r="P67" s="1">
        <v>1.2</v>
      </c>
      <c r="Q67" s="69">
        <f t="shared" si="4"/>
        <v>1.2</v>
      </c>
      <c r="R67" s="1">
        <v>11.7</v>
      </c>
      <c r="S67" s="1">
        <v>119</v>
      </c>
      <c r="T67" s="2">
        <f t="shared" si="3"/>
        <v>30</v>
      </c>
      <c r="U67" s="1">
        <v>100</v>
      </c>
      <c r="V67" s="2">
        <f t="shared" si="5"/>
        <v>3000</v>
      </c>
      <c r="W67" s="1">
        <v>4</v>
      </c>
      <c r="X67" s="1" t="s">
        <v>51</v>
      </c>
      <c r="Y67" s="1" t="s">
        <v>67</v>
      </c>
      <c r="Z67" s="1" t="s">
        <v>52</v>
      </c>
      <c r="AA67" s="1" t="s">
        <v>128</v>
      </c>
      <c r="AB67" s="16" t="s">
        <v>145</v>
      </c>
    </row>
    <row r="68" spans="1:28" x14ac:dyDescent="0.15">
      <c r="A68" s="1" t="s">
        <v>35</v>
      </c>
      <c r="B68" s="1" t="s">
        <v>143</v>
      </c>
      <c r="C68" s="1">
        <v>2020</v>
      </c>
      <c r="D68" s="76" t="s">
        <v>234</v>
      </c>
      <c r="E68" s="1" t="s">
        <v>69</v>
      </c>
      <c r="F68" s="1" t="s">
        <v>252</v>
      </c>
      <c r="G68" s="1" t="s">
        <v>37</v>
      </c>
      <c r="H68" s="1" t="s">
        <v>63</v>
      </c>
      <c r="I68" s="1" t="s">
        <v>64</v>
      </c>
      <c r="J68" s="1" t="s">
        <v>40</v>
      </c>
      <c r="K68" s="1" t="s">
        <v>41</v>
      </c>
      <c r="L68" s="1">
        <v>1</v>
      </c>
      <c r="N68" s="1">
        <v>4</v>
      </c>
      <c r="O68" s="1">
        <v>0.5</v>
      </c>
      <c r="P68" s="1">
        <v>0.5</v>
      </c>
      <c r="Q68" s="69">
        <f t="shared" si="4"/>
        <v>0.5</v>
      </c>
      <c r="R68" s="1">
        <v>11.4</v>
      </c>
      <c r="S68" s="1">
        <v>107</v>
      </c>
      <c r="T68" s="2">
        <f t="shared" si="3"/>
        <v>33</v>
      </c>
      <c r="U68" s="1">
        <v>333</v>
      </c>
      <c r="V68" s="2">
        <f t="shared" si="5"/>
        <v>2747.25</v>
      </c>
      <c r="W68" s="1">
        <v>2</v>
      </c>
      <c r="X68" s="1" t="s">
        <v>51</v>
      </c>
      <c r="Y68" s="1" t="s">
        <v>67</v>
      </c>
      <c r="Z68" s="1" t="s">
        <v>52</v>
      </c>
      <c r="AA68" s="1" t="s">
        <v>128</v>
      </c>
      <c r="AB68" s="16" t="s">
        <v>145</v>
      </c>
    </row>
    <row r="69" spans="1:28" x14ac:dyDescent="0.15">
      <c r="A69" s="1" t="s">
        <v>35</v>
      </c>
      <c r="B69" s="1" t="s">
        <v>143</v>
      </c>
      <c r="C69" s="1">
        <v>2020</v>
      </c>
      <c r="D69" s="76" t="s">
        <v>234</v>
      </c>
      <c r="E69" s="1" t="s">
        <v>69</v>
      </c>
      <c r="F69" s="1" t="s">
        <v>252</v>
      </c>
      <c r="G69" s="1" t="s">
        <v>37</v>
      </c>
      <c r="H69" s="1" t="s">
        <v>63</v>
      </c>
      <c r="I69" s="1" t="s">
        <v>64</v>
      </c>
      <c r="J69" s="1" t="s">
        <v>40</v>
      </c>
      <c r="K69" s="1" t="s">
        <v>41</v>
      </c>
      <c r="L69" s="1">
        <v>2</v>
      </c>
      <c r="N69" s="1">
        <v>4</v>
      </c>
      <c r="O69" s="1">
        <v>0.7</v>
      </c>
      <c r="P69" s="1">
        <v>0.6</v>
      </c>
      <c r="Q69" s="69">
        <f t="shared" si="4"/>
        <v>0.64999999999999991</v>
      </c>
      <c r="R69" s="1">
        <v>11</v>
      </c>
      <c r="S69" s="1">
        <v>109</v>
      </c>
      <c r="T69" s="2">
        <f t="shared" si="3"/>
        <v>33</v>
      </c>
      <c r="U69" s="1">
        <v>333</v>
      </c>
      <c r="V69" s="2">
        <f t="shared" si="5"/>
        <v>2747.25</v>
      </c>
      <c r="W69" s="1">
        <v>2</v>
      </c>
      <c r="X69" s="1" t="s">
        <v>51</v>
      </c>
      <c r="Y69" s="1" t="s">
        <v>67</v>
      </c>
      <c r="Z69" s="1" t="s">
        <v>52</v>
      </c>
      <c r="AA69" s="1" t="s">
        <v>128</v>
      </c>
      <c r="AB69" s="16" t="s">
        <v>145</v>
      </c>
    </row>
    <row r="70" spans="1:28" x14ac:dyDescent="0.15">
      <c r="A70" s="1" t="s">
        <v>35</v>
      </c>
      <c r="B70" s="1" t="s">
        <v>143</v>
      </c>
      <c r="C70" s="1">
        <v>2020</v>
      </c>
      <c r="D70" s="76" t="s">
        <v>234</v>
      </c>
      <c r="E70" s="1" t="s">
        <v>69</v>
      </c>
      <c r="F70" s="1" t="s">
        <v>252</v>
      </c>
      <c r="G70" s="1" t="s">
        <v>37</v>
      </c>
      <c r="H70" s="1" t="s">
        <v>63</v>
      </c>
      <c r="I70" s="1" t="s">
        <v>64</v>
      </c>
      <c r="J70" s="1" t="s">
        <v>40</v>
      </c>
      <c r="K70" s="1" t="s">
        <v>41</v>
      </c>
      <c r="L70" s="1">
        <v>3</v>
      </c>
      <c r="N70" s="1">
        <v>4</v>
      </c>
      <c r="O70" s="1">
        <v>0.9</v>
      </c>
      <c r="P70" s="1">
        <v>0.8</v>
      </c>
      <c r="Q70" s="69">
        <f t="shared" si="4"/>
        <v>0.85000000000000009</v>
      </c>
      <c r="R70" s="1">
        <v>13.5</v>
      </c>
      <c r="S70" s="1">
        <v>109</v>
      </c>
      <c r="T70" s="2">
        <f t="shared" si="3"/>
        <v>33</v>
      </c>
      <c r="U70" s="1">
        <v>333</v>
      </c>
      <c r="V70" s="2">
        <f t="shared" si="5"/>
        <v>2747.25</v>
      </c>
      <c r="W70" s="1">
        <v>2</v>
      </c>
      <c r="X70" s="1" t="s">
        <v>51</v>
      </c>
      <c r="Y70" s="1" t="s">
        <v>67</v>
      </c>
      <c r="Z70" s="1" t="s">
        <v>52</v>
      </c>
      <c r="AA70" s="1" t="s">
        <v>128</v>
      </c>
      <c r="AB70" s="16" t="s">
        <v>145</v>
      </c>
    </row>
    <row r="71" spans="1:28" x14ac:dyDescent="0.15">
      <c r="A71" s="1" t="s">
        <v>35</v>
      </c>
      <c r="B71" s="1" t="s">
        <v>143</v>
      </c>
      <c r="C71" s="1">
        <v>2020</v>
      </c>
      <c r="D71" s="76" t="s">
        <v>234</v>
      </c>
      <c r="E71" s="1" t="s">
        <v>69</v>
      </c>
      <c r="F71" s="1" t="s">
        <v>252</v>
      </c>
      <c r="G71" s="1" t="s">
        <v>37</v>
      </c>
      <c r="H71" s="1" t="s">
        <v>82</v>
      </c>
      <c r="I71" s="1" t="s">
        <v>64</v>
      </c>
      <c r="J71" s="1" t="s">
        <v>40</v>
      </c>
      <c r="K71" s="1" t="s">
        <v>41</v>
      </c>
      <c r="L71" s="1">
        <v>1</v>
      </c>
      <c r="N71" s="1">
        <v>1</v>
      </c>
      <c r="O71" s="1">
        <v>0.75</v>
      </c>
      <c r="P71" s="1">
        <v>0.75</v>
      </c>
      <c r="Q71" s="69">
        <f t="shared" si="4"/>
        <v>0.75</v>
      </c>
      <c r="R71" s="1">
        <v>16.2</v>
      </c>
      <c r="S71" s="1">
        <v>115</v>
      </c>
      <c r="T71" s="2">
        <f t="shared" si="3"/>
        <v>30</v>
      </c>
      <c r="U71" s="1">
        <v>100</v>
      </c>
      <c r="V71" s="2">
        <f>IF(OR(N71="",U71="",T71=""),"",U71/N71*T71)</f>
        <v>3000</v>
      </c>
      <c r="W71" s="1">
        <v>12</v>
      </c>
      <c r="X71" s="1" t="s">
        <v>51</v>
      </c>
      <c r="Y71" s="1" t="s">
        <v>67</v>
      </c>
      <c r="Z71" s="1" t="s">
        <v>52</v>
      </c>
      <c r="AA71" s="1" t="s">
        <v>128</v>
      </c>
      <c r="AB71" s="16" t="s">
        <v>145</v>
      </c>
    </row>
    <row r="72" spans="1:28" x14ac:dyDescent="0.15">
      <c r="A72" s="1" t="s">
        <v>35</v>
      </c>
      <c r="B72" s="1" t="s">
        <v>143</v>
      </c>
      <c r="C72" s="1">
        <v>2020</v>
      </c>
      <c r="D72" s="76" t="s">
        <v>234</v>
      </c>
      <c r="E72" s="1" t="s">
        <v>69</v>
      </c>
      <c r="F72" s="1" t="s">
        <v>252</v>
      </c>
      <c r="G72" s="1" t="s">
        <v>37</v>
      </c>
      <c r="H72" s="1" t="s">
        <v>82</v>
      </c>
      <c r="I72" s="1" t="s">
        <v>64</v>
      </c>
      <c r="J72" s="1" t="s">
        <v>40</v>
      </c>
      <c r="K72" s="1" t="s">
        <v>41</v>
      </c>
      <c r="L72" s="1">
        <v>2</v>
      </c>
      <c r="N72" s="1">
        <v>1</v>
      </c>
      <c r="O72" s="1">
        <v>0.9</v>
      </c>
      <c r="P72" s="1">
        <v>0.8</v>
      </c>
      <c r="Q72" s="69">
        <f t="shared" si="4"/>
        <v>0.85000000000000009</v>
      </c>
      <c r="R72" s="1">
        <v>12.5</v>
      </c>
      <c r="S72" s="1">
        <v>114</v>
      </c>
      <c r="T72" s="2">
        <f t="shared" si="3"/>
        <v>30</v>
      </c>
      <c r="U72" s="1">
        <v>100</v>
      </c>
      <c r="V72" s="2">
        <f t="shared" ref="V72:V74" si="6">IF(OR(N72="",U72="",T72=""),"",U72/N72*T72)</f>
        <v>3000</v>
      </c>
      <c r="W72" s="1">
        <v>12</v>
      </c>
      <c r="X72" s="1" t="s">
        <v>51</v>
      </c>
      <c r="Y72" s="1" t="s">
        <v>67</v>
      </c>
      <c r="Z72" s="1" t="s">
        <v>52</v>
      </c>
      <c r="AA72" s="1" t="s">
        <v>128</v>
      </c>
      <c r="AB72" s="16" t="s">
        <v>145</v>
      </c>
    </row>
    <row r="73" spans="1:28" x14ac:dyDescent="0.15">
      <c r="A73" s="1" t="s">
        <v>35</v>
      </c>
      <c r="B73" s="1" t="s">
        <v>143</v>
      </c>
      <c r="C73" s="1">
        <v>2020</v>
      </c>
      <c r="D73" s="76" t="s">
        <v>234</v>
      </c>
      <c r="E73" s="1" t="s">
        <v>69</v>
      </c>
      <c r="F73" s="1" t="s">
        <v>252</v>
      </c>
      <c r="G73" s="1" t="s">
        <v>37</v>
      </c>
      <c r="H73" s="1" t="s">
        <v>82</v>
      </c>
      <c r="I73" s="1" t="s">
        <v>64</v>
      </c>
      <c r="J73" s="1" t="s">
        <v>40</v>
      </c>
      <c r="K73" s="1" t="s">
        <v>41</v>
      </c>
      <c r="L73" s="1">
        <v>3</v>
      </c>
      <c r="N73" s="1">
        <v>1</v>
      </c>
      <c r="O73" s="1">
        <v>0.9</v>
      </c>
      <c r="P73" s="1">
        <v>0.95</v>
      </c>
      <c r="Q73" s="69">
        <f t="shared" si="4"/>
        <v>0.92500000000000004</v>
      </c>
      <c r="R73" s="1">
        <v>16</v>
      </c>
      <c r="S73" s="1">
        <v>112</v>
      </c>
      <c r="T73" s="2">
        <f t="shared" si="3"/>
        <v>33</v>
      </c>
      <c r="U73" s="1">
        <v>100</v>
      </c>
      <c r="V73" s="2">
        <f>IF(OR(N73="",U73="",T73=""),"",U73/N73*T73)</f>
        <v>3300</v>
      </c>
      <c r="W73" s="1">
        <v>12</v>
      </c>
      <c r="X73" s="1" t="s">
        <v>51</v>
      </c>
      <c r="Y73" s="1" t="s">
        <v>67</v>
      </c>
      <c r="Z73" s="1" t="s">
        <v>52</v>
      </c>
      <c r="AA73" s="1" t="s">
        <v>128</v>
      </c>
      <c r="AB73" s="16" t="s">
        <v>145</v>
      </c>
    </row>
    <row r="74" spans="1:28" x14ac:dyDescent="0.15">
      <c r="A74" s="1" t="s">
        <v>35</v>
      </c>
      <c r="B74" s="1" t="s">
        <v>143</v>
      </c>
      <c r="C74" s="1">
        <v>2020</v>
      </c>
      <c r="D74" s="76" t="s">
        <v>234</v>
      </c>
      <c r="E74" s="1" t="s">
        <v>69</v>
      </c>
      <c r="F74" s="1" t="s">
        <v>252</v>
      </c>
      <c r="G74" s="1" t="s">
        <v>37</v>
      </c>
      <c r="H74" s="1" t="s">
        <v>82</v>
      </c>
      <c r="I74" s="1" t="s">
        <v>64</v>
      </c>
      <c r="J74" s="1" t="s">
        <v>40</v>
      </c>
      <c r="K74" s="1" t="s">
        <v>41</v>
      </c>
      <c r="L74" s="1">
        <v>1</v>
      </c>
      <c r="N74" s="1">
        <v>4</v>
      </c>
      <c r="O74" s="1">
        <v>0.7</v>
      </c>
      <c r="P74" s="1">
        <v>0.5</v>
      </c>
      <c r="Q74" s="69">
        <f t="shared" si="4"/>
        <v>0.6</v>
      </c>
      <c r="R74" s="1">
        <v>16.399999999999999</v>
      </c>
      <c r="S74" s="1">
        <v>95</v>
      </c>
      <c r="T74" s="2">
        <f t="shared" si="3"/>
        <v>36</v>
      </c>
      <c r="U74" s="1">
        <v>333</v>
      </c>
      <c r="V74" s="2">
        <f t="shared" si="6"/>
        <v>2997</v>
      </c>
      <c r="W74" s="1">
        <v>4</v>
      </c>
      <c r="X74" s="1" t="s">
        <v>51</v>
      </c>
      <c r="Y74" s="1" t="s">
        <v>67</v>
      </c>
      <c r="Z74" s="1" t="s">
        <v>52</v>
      </c>
      <c r="AA74" s="1" t="s">
        <v>128</v>
      </c>
      <c r="AB74" s="16" t="s">
        <v>145</v>
      </c>
    </row>
    <row r="75" spans="1:28" x14ac:dyDescent="0.15">
      <c r="A75" s="1" t="s">
        <v>35</v>
      </c>
      <c r="B75" s="1" t="s">
        <v>143</v>
      </c>
      <c r="C75" s="1">
        <v>2020</v>
      </c>
      <c r="D75" s="76" t="s">
        <v>234</v>
      </c>
      <c r="E75" s="1" t="s">
        <v>69</v>
      </c>
      <c r="F75" s="1" t="s">
        <v>252</v>
      </c>
      <c r="G75" s="1" t="s">
        <v>37</v>
      </c>
      <c r="H75" s="1" t="s">
        <v>82</v>
      </c>
      <c r="I75" s="1" t="s">
        <v>64</v>
      </c>
      <c r="J75" s="1" t="s">
        <v>40</v>
      </c>
      <c r="K75" s="1" t="s">
        <v>41</v>
      </c>
      <c r="L75" s="1">
        <v>2</v>
      </c>
      <c r="N75" s="1">
        <v>4</v>
      </c>
      <c r="O75" s="1">
        <v>0.5</v>
      </c>
      <c r="P75" s="1">
        <v>0.5</v>
      </c>
      <c r="Q75" s="69">
        <f t="shared" si="4"/>
        <v>0.5</v>
      </c>
      <c r="R75" s="1">
        <v>18.5</v>
      </c>
      <c r="S75" s="1">
        <v>104</v>
      </c>
      <c r="T75" s="2">
        <f t="shared" si="3"/>
        <v>33</v>
      </c>
      <c r="U75" s="1">
        <v>333</v>
      </c>
      <c r="V75" s="2">
        <f>IF(OR(N75="",U75="",T75=""),"",U75/N75*T75)</f>
        <v>2747.25</v>
      </c>
      <c r="W75" s="1">
        <v>4</v>
      </c>
      <c r="X75" s="1" t="s">
        <v>51</v>
      </c>
      <c r="Y75" s="1" t="s">
        <v>67</v>
      </c>
      <c r="Z75" s="1" t="s">
        <v>52</v>
      </c>
      <c r="AA75" s="1" t="s">
        <v>128</v>
      </c>
      <c r="AB75" s="16" t="s">
        <v>145</v>
      </c>
    </row>
    <row r="76" spans="1:28" x14ac:dyDescent="0.15">
      <c r="A76" s="1" t="s">
        <v>35</v>
      </c>
      <c r="B76" s="1" t="s">
        <v>143</v>
      </c>
      <c r="C76" s="1">
        <v>2020</v>
      </c>
      <c r="D76" s="76" t="s">
        <v>234</v>
      </c>
      <c r="E76" s="1" t="s">
        <v>69</v>
      </c>
      <c r="F76" s="1" t="s">
        <v>252</v>
      </c>
      <c r="G76" s="1" t="s">
        <v>37</v>
      </c>
      <c r="H76" s="1" t="s">
        <v>82</v>
      </c>
      <c r="I76" s="1" t="s">
        <v>64</v>
      </c>
      <c r="J76" s="1" t="s">
        <v>40</v>
      </c>
      <c r="K76" s="1" t="s">
        <v>41</v>
      </c>
      <c r="L76" s="1">
        <v>3</v>
      </c>
      <c r="N76" s="1">
        <v>4</v>
      </c>
      <c r="O76" s="1">
        <v>0.6</v>
      </c>
      <c r="P76" s="1">
        <v>0.5</v>
      </c>
      <c r="Q76" s="69">
        <f t="shared" si="4"/>
        <v>0.55000000000000004</v>
      </c>
      <c r="R76" s="1">
        <v>17.2</v>
      </c>
      <c r="S76" s="1">
        <v>98</v>
      </c>
      <c r="T76" s="2">
        <f t="shared" si="3"/>
        <v>36</v>
      </c>
      <c r="U76" s="1">
        <v>333</v>
      </c>
      <c r="V76" s="2">
        <f>IF(OR(N76="",U76="",T76=""),"",U76/N76*T76)</f>
        <v>2997</v>
      </c>
      <c r="W76" s="1">
        <v>4</v>
      </c>
      <c r="X76" s="1" t="s">
        <v>51</v>
      </c>
      <c r="Y76" s="1" t="s">
        <v>67</v>
      </c>
      <c r="Z76" s="1" t="s">
        <v>52</v>
      </c>
      <c r="AA76" s="1" t="s">
        <v>128</v>
      </c>
      <c r="AB76" s="16" t="s">
        <v>145</v>
      </c>
    </row>
    <row r="77" spans="1:28" x14ac:dyDescent="0.15">
      <c r="A77" s="1" t="s">
        <v>35</v>
      </c>
      <c r="B77" s="1" t="s">
        <v>143</v>
      </c>
      <c r="C77" s="1">
        <v>2020</v>
      </c>
      <c r="D77" s="76" t="s">
        <v>234</v>
      </c>
      <c r="E77" s="1" t="s">
        <v>54</v>
      </c>
      <c r="F77" s="1" t="s">
        <v>243</v>
      </c>
      <c r="G77" s="1" t="s">
        <v>37</v>
      </c>
      <c r="H77" s="1" t="s">
        <v>63</v>
      </c>
      <c r="I77" s="1" t="s">
        <v>64</v>
      </c>
      <c r="J77" s="1" t="s">
        <v>40</v>
      </c>
      <c r="K77" s="1" t="s">
        <v>41</v>
      </c>
      <c r="L77" s="1">
        <v>1</v>
      </c>
      <c r="N77" s="1">
        <v>1</v>
      </c>
      <c r="O77" s="1">
        <v>1.25</v>
      </c>
      <c r="P77" s="1">
        <v>1.25</v>
      </c>
      <c r="Q77" s="69">
        <f t="shared" si="4"/>
        <v>1.25</v>
      </c>
      <c r="R77" s="1">
        <v>11.9</v>
      </c>
      <c r="S77" s="1">
        <v>129</v>
      </c>
      <c r="T77" s="2">
        <f t="shared" si="3"/>
        <v>25</v>
      </c>
      <c r="U77" s="1">
        <v>80</v>
      </c>
      <c r="V77" s="2">
        <f t="shared" ref="V77:V145" si="7">IF(OR(N77="",U77="",T77=""),"",U77/N77*T77)</f>
        <v>2000</v>
      </c>
      <c r="W77" s="1">
        <v>6</v>
      </c>
      <c r="X77" s="1" t="s">
        <v>51</v>
      </c>
      <c r="Y77" s="1" t="s">
        <v>52</v>
      </c>
      <c r="Z77" s="1" t="s">
        <v>67</v>
      </c>
      <c r="AA77" s="1" t="s">
        <v>101</v>
      </c>
      <c r="AB77" s="16" t="s">
        <v>145</v>
      </c>
    </row>
    <row r="78" spans="1:28" x14ac:dyDescent="0.15">
      <c r="A78" s="1" t="s">
        <v>35</v>
      </c>
      <c r="B78" s="1" t="s">
        <v>143</v>
      </c>
      <c r="C78" s="1">
        <v>2020</v>
      </c>
      <c r="D78" s="76" t="s">
        <v>234</v>
      </c>
      <c r="E78" s="1" t="s">
        <v>54</v>
      </c>
      <c r="F78" s="1" t="s">
        <v>243</v>
      </c>
      <c r="G78" s="1" t="s">
        <v>37</v>
      </c>
      <c r="H78" s="1" t="s">
        <v>63</v>
      </c>
      <c r="I78" s="1" t="s">
        <v>64</v>
      </c>
      <c r="J78" s="1" t="s">
        <v>40</v>
      </c>
      <c r="K78" s="1" t="s">
        <v>41</v>
      </c>
      <c r="L78" s="1">
        <v>2</v>
      </c>
      <c r="N78" s="1">
        <v>1</v>
      </c>
      <c r="O78" s="1">
        <v>1</v>
      </c>
      <c r="P78" s="16">
        <v>1</v>
      </c>
      <c r="Q78" s="69">
        <f>IF(OR(O78="",P78=""),"",AVERAGE(O78,P78))</f>
        <v>1</v>
      </c>
      <c r="R78" s="1">
        <v>11.8</v>
      </c>
      <c r="S78" s="1">
        <v>127</v>
      </c>
      <c r="T78" s="2">
        <f t="shared" si="3"/>
        <v>27</v>
      </c>
      <c r="U78" s="1">
        <v>80</v>
      </c>
      <c r="V78" s="2">
        <f t="shared" si="7"/>
        <v>2160</v>
      </c>
      <c r="W78" s="1">
        <v>6</v>
      </c>
      <c r="X78" s="1" t="s">
        <v>51</v>
      </c>
      <c r="Y78" s="1" t="s">
        <v>52</v>
      </c>
      <c r="Z78" s="1" t="s">
        <v>67</v>
      </c>
      <c r="AA78" s="1" t="s">
        <v>101</v>
      </c>
      <c r="AB78" s="16" t="s">
        <v>145</v>
      </c>
    </row>
    <row r="79" spans="1:28" x14ac:dyDescent="0.15">
      <c r="A79" s="1" t="s">
        <v>35</v>
      </c>
      <c r="B79" s="1" t="s">
        <v>143</v>
      </c>
      <c r="C79" s="1">
        <v>2020</v>
      </c>
      <c r="D79" s="76" t="s">
        <v>234</v>
      </c>
      <c r="E79" s="1" t="s">
        <v>54</v>
      </c>
      <c r="F79" s="1" t="s">
        <v>243</v>
      </c>
      <c r="G79" s="1" t="s">
        <v>37</v>
      </c>
      <c r="H79" s="1" t="s">
        <v>63</v>
      </c>
      <c r="I79" s="1" t="s">
        <v>64</v>
      </c>
      <c r="J79" s="1" t="s">
        <v>40</v>
      </c>
      <c r="K79" s="1" t="s">
        <v>41</v>
      </c>
      <c r="L79" s="1">
        <v>3</v>
      </c>
      <c r="N79" s="1">
        <v>1</v>
      </c>
      <c r="O79" s="1">
        <v>0.8</v>
      </c>
      <c r="P79" s="1">
        <v>0.75</v>
      </c>
      <c r="Q79" s="69">
        <f>IF(OR(O79="",P79=""),"",AVERAGE(O79,P79))</f>
        <v>0.77500000000000002</v>
      </c>
      <c r="R79" s="1">
        <v>11.7</v>
      </c>
      <c r="S79" s="1">
        <v>123</v>
      </c>
      <c r="T79" s="2">
        <f t="shared" si="3"/>
        <v>27</v>
      </c>
      <c r="U79" s="1">
        <v>80</v>
      </c>
      <c r="V79" s="2">
        <f t="shared" si="7"/>
        <v>2160</v>
      </c>
      <c r="W79" s="1">
        <v>6</v>
      </c>
      <c r="X79" s="1" t="s">
        <v>51</v>
      </c>
      <c r="Y79" s="1" t="s">
        <v>52</v>
      </c>
      <c r="Z79" s="1" t="s">
        <v>67</v>
      </c>
      <c r="AA79" s="1" t="s">
        <v>101</v>
      </c>
      <c r="AB79" s="16" t="s">
        <v>145</v>
      </c>
    </row>
    <row r="80" spans="1:28" x14ac:dyDescent="0.15">
      <c r="A80" s="1" t="s">
        <v>35</v>
      </c>
      <c r="B80" s="1" t="s">
        <v>143</v>
      </c>
      <c r="C80" s="1">
        <v>2020</v>
      </c>
      <c r="D80" s="76" t="s">
        <v>234</v>
      </c>
      <c r="E80" s="1" t="s">
        <v>54</v>
      </c>
      <c r="F80" s="1" t="s">
        <v>243</v>
      </c>
      <c r="G80" s="1" t="s">
        <v>37</v>
      </c>
      <c r="H80" s="1" t="s">
        <v>63</v>
      </c>
      <c r="I80" s="1" t="s">
        <v>64</v>
      </c>
      <c r="J80" s="1" t="s">
        <v>40</v>
      </c>
      <c r="K80" s="1" t="s">
        <v>41</v>
      </c>
      <c r="L80" s="1">
        <v>1</v>
      </c>
      <c r="N80" s="1">
        <v>5</v>
      </c>
      <c r="O80" s="1">
        <v>0.6</v>
      </c>
      <c r="P80" s="1">
        <v>0.5</v>
      </c>
      <c r="Q80" s="69">
        <f t="shared" ref="Q80:Q145" si="8">IF(OR(O80="",P80=""),"",AVERAGE(O80,P80))</f>
        <v>0.55000000000000004</v>
      </c>
      <c r="R80" s="1">
        <v>13</v>
      </c>
      <c r="S80" s="1">
        <v>83</v>
      </c>
      <c r="T80" s="2">
        <f t="shared" si="3"/>
        <v>39</v>
      </c>
      <c r="U80" s="1">
        <v>398</v>
      </c>
      <c r="V80" s="2">
        <f t="shared" si="7"/>
        <v>3104.3999999999996</v>
      </c>
      <c r="W80" s="1">
        <v>2</v>
      </c>
      <c r="X80" s="1" t="s">
        <v>51</v>
      </c>
      <c r="Y80" s="1" t="s">
        <v>52</v>
      </c>
      <c r="Z80" s="1" t="s">
        <v>67</v>
      </c>
      <c r="AA80" s="1" t="s">
        <v>101</v>
      </c>
      <c r="AB80" s="16" t="s">
        <v>145</v>
      </c>
    </row>
    <row r="81" spans="1:28" x14ac:dyDescent="0.15">
      <c r="A81" s="1" t="s">
        <v>35</v>
      </c>
      <c r="B81" s="1" t="s">
        <v>143</v>
      </c>
      <c r="C81" s="1">
        <v>2020</v>
      </c>
      <c r="D81" s="76" t="s">
        <v>234</v>
      </c>
      <c r="E81" s="1" t="s">
        <v>54</v>
      </c>
      <c r="F81" s="1" t="s">
        <v>243</v>
      </c>
      <c r="G81" s="1" t="s">
        <v>37</v>
      </c>
      <c r="H81" s="1" t="s">
        <v>63</v>
      </c>
      <c r="I81" s="1" t="s">
        <v>64</v>
      </c>
      <c r="J81" s="1" t="s">
        <v>40</v>
      </c>
      <c r="K81" s="1" t="s">
        <v>41</v>
      </c>
      <c r="L81" s="1">
        <v>2</v>
      </c>
      <c r="N81" s="1">
        <v>5</v>
      </c>
      <c r="O81" s="1">
        <v>0.8</v>
      </c>
      <c r="P81" s="1">
        <v>0.9</v>
      </c>
      <c r="Q81" s="69">
        <f t="shared" si="8"/>
        <v>0.85000000000000009</v>
      </c>
      <c r="R81" s="1">
        <v>14.3</v>
      </c>
      <c r="S81" s="1">
        <v>83</v>
      </c>
      <c r="T81" s="2">
        <f t="shared" si="3"/>
        <v>39</v>
      </c>
      <c r="U81" s="1">
        <v>398</v>
      </c>
      <c r="V81" s="2">
        <f t="shared" si="7"/>
        <v>3104.3999999999996</v>
      </c>
      <c r="W81" s="1">
        <v>2</v>
      </c>
      <c r="X81" s="1" t="s">
        <v>51</v>
      </c>
      <c r="Y81" s="1" t="s">
        <v>52</v>
      </c>
      <c r="Z81" s="1" t="s">
        <v>67</v>
      </c>
      <c r="AA81" s="1" t="s">
        <v>101</v>
      </c>
      <c r="AB81" s="16" t="s">
        <v>145</v>
      </c>
    </row>
    <row r="82" spans="1:28" x14ac:dyDescent="0.15">
      <c r="A82" s="1" t="s">
        <v>35</v>
      </c>
      <c r="B82" s="1" t="s">
        <v>143</v>
      </c>
      <c r="C82" s="1">
        <v>2020</v>
      </c>
      <c r="D82" s="76" t="s">
        <v>234</v>
      </c>
      <c r="E82" s="1" t="s">
        <v>54</v>
      </c>
      <c r="F82" s="1" t="s">
        <v>243</v>
      </c>
      <c r="G82" s="1" t="s">
        <v>37</v>
      </c>
      <c r="H82" s="1" t="s">
        <v>63</v>
      </c>
      <c r="I82" s="1" t="s">
        <v>64</v>
      </c>
      <c r="J82" s="1" t="s">
        <v>40</v>
      </c>
      <c r="K82" s="1" t="s">
        <v>41</v>
      </c>
      <c r="L82" s="1">
        <v>3</v>
      </c>
      <c r="N82" s="1">
        <v>5</v>
      </c>
      <c r="O82" s="1">
        <v>1.1000000000000001</v>
      </c>
      <c r="P82" s="1">
        <v>1.2</v>
      </c>
      <c r="Q82" s="69">
        <f t="shared" si="8"/>
        <v>1.1499999999999999</v>
      </c>
      <c r="R82" s="1">
        <v>16.3</v>
      </c>
      <c r="S82" s="1">
        <v>78</v>
      </c>
      <c r="T82" s="2">
        <f t="shared" si="3"/>
        <v>39</v>
      </c>
      <c r="U82" s="1">
        <v>398</v>
      </c>
      <c r="V82" s="2">
        <f t="shared" si="7"/>
        <v>3104.3999999999996</v>
      </c>
      <c r="W82" s="1">
        <v>2</v>
      </c>
      <c r="X82" s="1" t="s">
        <v>51</v>
      </c>
      <c r="Y82" s="1" t="s">
        <v>52</v>
      </c>
      <c r="Z82" s="1" t="s">
        <v>67</v>
      </c>
      <c r="AA82" s="1" t="s">
        <v>101</v>
      </c>
      <c r="AB82" s="16" t="s">
        <v>145</v>
      </c>
    </row>
    <row r="83" spans="1:28" x14ac:dyDescent="0.15">
      <c r="A83" s="1" t="s">
        <v>35</v>
      </c>
      <c r="B83" s="1" t="s">
        <v>143</v>
      </c>
      <c r="C83" s="1">
        <v>2020</v>
      </c>
      <c r="D83" s="76" t="s">
        <v>234</v>
      </c>
      <c r="E83" s="1" t="s">
        <v>54</v>
      </c>
      <c r="F83" s="1" t="s">
        <v>243</v>
      </c>
      <c r="G83" s="1" t="s">
        <v>37</v>
      </c>
      <c r="H83" s="1" t="s">
        <v>82</v>
      </c>
      <c r="I83" s="1" t="s">
        <v>64</v>
      </c>
      <c r="J83" s="1" t="s">
        <v>40</v>
      </c>
      <c r="K83" s="1" t="s">
        <v>41</v>
      </c>
      <c r="L83" s="1">
        <v>1</v>
      </c>
      <c r="N83" s="1">
        <v>1</v>
      </c>
      <c r="O83" s="1">
        <v>1.25</v>
      </c>
      <c r="P83" s="1">
        <v>1.2</v>
      </c>
      <c r="Q83" s="69">
        <f t="shared" si="8"/>
        <v>1.2250000000000001</v>
      </c>
      <c r="R83" s="1">
        <v>17.5</v>
      </c>
      <c r="S83" s="1">
        <v>120</v>
      </c>
      <c r="T83" s="2">
        <f t="shared" si="3"/>
        <v>30</v>
      </c>
      <c r="U83" s="1">
        <v>128</v>
      </c>
      <c r="V83" s="2">
        <f t="shared" si="7"/>
        <v>3840</v>
      </c>
      <c r="W83" s="1">
        <v>10</v>
      </c>
      <c r="X83" s="1" t="s">
        <v>51</v>
      </c>
      <c r="Y83" s="1" t="s">
        <v>52</v>
      </c>
      <c r="Z83" s="1" t="s">
        <v>67</v>
      </c>
      <c r="AA83" s="1" t="s">
        <v>101</v>
      </c>
      <c r="AB83" s="16" t="s">
        <v>145</v>
      </c>
    </row>
    <row r="84" spans="1:28" x14ac:dyDescent="0.15">
      <c r="A84" s="1" t="s">
        <v>35</v>
      </c>
      <c r="B84" s="1" t="s">
        <v>143</v>
      </c>
      <c r="C84" s="1">
        <v>2020</v>
      </c>
      <c r="D84" s="76" t="s">
        <v>234</v>
      </c>
      <c r="E84" s="1" t="s">
        <v>54</v>
      </c>
      <c r="F84" s="1" t="s">
        <v>243</v>
      </c>
      <c r="G84" s="1" t="s">
        <v>37</v>
      </c>
      <c r="H84" s="1" t="s">
        <v>82</v>
      </c>
      <c r="I84" s="1" t="s">
        <v>64</v>
      </c>
      <c r="J84" s="1" t="s">
        <v>40</v>
      </c>
      <c r="K84" s="1" t="s">
        <v>41</v>
      </c>
      <c r="L84" s="1">
        <v>2</v>
      </c>
      <c r="N84" s="1">
        <v>1</v>
      </c>
      <c r="O84" s="1">
        <v>0.75</v>
      </c>
      <c r="P84" s="1">
        <v>0.8</v>
      </c>
      <c r="Q84" s="69">
        <f t="shared" si="8"/>
        <v>0.77500000000000002</v>
      </c>
      <c r="R84" s="1">
        <v>18.100000000000001</v>
      </c>
      <c r="S84" s="1">
        <v>106</v>
      </c>
      <c r="T84" s="2">
        <f t="shared" si="3"/>
        <v>33</v>
      </c>
      <c r="U84" s="1">
        <v>128</v>
      </c>
      <c r="V84" s="2">
        <f t="shared" si="7"/>
        <v>4224</v>
      </c>
      <c r="W84" s="1">
        <v>10</v>
      </c>
      <c r="X84" s="1" t="s">
        <v>51</v>
      </c>
      <c r="Y84" s="1" t="s">
        <v>52</v>
      </c>
      <c r="Z84" s="1" t="s">
        <v>67</v>
      </c>
      <c r="AA84" s="1" t="s">
        <v>101</v>
      </c>
      <c r="AB84" s="16" t="s">
        <v>145</v>
      </c>
    </row>
    <row r="85" spans="1:28" x14ac:dyDescent="0.15">
      <c r="A85" s="1" t="s">
        <v>35</v>
      </c>
      <c r="B85" s="1" t="s">
        <v>143</v>
      </c>
      <c r="C85" s="1">
        <v>2020</v>
      </c>
      <c r="D85" s="76" t="s">
        <v>234</v>
      </c>
      <c r="E85" s="1" t="s">
        <v>54</v>
      </c>
      <c r="F85" s="1" t="s">
        <v>243</v>
      </c>
      <c r="G85" s="1" t="s">
        <v>37</v>
      </c>
      <c r="H85" s="1" t="s">
        <v>82</v>
      </c>
      <c r="I85" s="1" t="s">
        <v>64</v>
      </c>
      <c r="J85" s="1" t="s">
        <v>40</v>
      </c>
      <c r="K85" s="1" t="s">
        <v>41</v>
      </c>
      <c r="L85" s="1">
        <v>3</v>
      </c>
      <c r="N85" s="1">
        <v>1</v>
      </c>
      <c r="O85" s="1">
        <v>1</v>
      </c>
      <c r="P85" s="1">
        <v>0.8</v>
      </c>
      <c r="Q85" s="69">
        <f t="shared" si="8"/>
        <v>0.9</v>
      </c>
      <c r="R85" s="1">
        <v>13.6</v>
      </c>
      <c r="S85" s="1">
        <v>101</v>
      </c>
      <c r="T85" s="2">
        <f t="shared" si="3"/>
        <v>33</v>
      </c>
      <c r="U85" s="1">
        <v>128</v>
      </c>
      <c r="V85" s="2">
        <f t="shared" si="7"/>
        <v>4224</v>
      </c>
      <c r="W85" s="1">
        <v>10</v>
      </c>
      <c r="X85" s="1" t="s">
        <v>51</v>
      </c>
      <c r="Y85" s="1" t="s">
        <v>52</v>
      </c>
      <c r="Z85" s="1" t="s">
        <v>67</v>
      </c>
      <c r="AA85" s="1" t="s">
        <v>101</v>
      </c>
      <c r="AB85" s="16" t="s">
        <v>145</v>
      </c>
    </row>
    <row r="86" spans="1:28" x14ac:dyDescent="0.15">
      <c r="A86" s="1" t="s">
        <v>35</v>
      </c>
      <c r="B86" s="16" t="s">
        <v>143</v>
      </c>
      <c r="C86" s="1">
        <v>2020</v>
      </c>
      <c r="D86" s="76" t="s">
        <v>234</v>
      </c>
      <c r="E86" s="1" t="s">
        <v>54</v>
      </c>
      <c r="F86" s="1" t="s">
        <v>243</v>
      </c>
      <c r="G86" s="1" t="s">
        <v>37</v>
      </c>
      <c r="H86" s="1" t="s">
        <v>82</v>
      </c>
      <c r="I86" s="1" t="s">
        <v>64</v>
      </c>
      <c r="J86" s="1" t="s">
        <v>40</v>
      </c>
      <c r="K86" s="1" t="s">
        <v>41</v>
      </c>
      <c r="L86" s="1">
        <v>1</v>
      </c>
      <c r="N86" s="1">
        <v>4</v>
      </c>
      <c r="O86" s="1">
        <v>0.8</v>
      </c>
      <c r="P86" s="1">
        <v>0.9</v>
      </c>
      <c r="Q86" s="69">
        <f t="shared" si="8"/>
        <v>0.85000000000000009</v>
      </c>
      <c r="R86" s="1">
        <v>17.3</v>
      </c>
      <c r="S86" s="1">
        <v>83</v>
      </c>
      <c r="T86" s="2">
        <f t="shared" si="3"/>
        <v>39</v>
      </c>
      <c r="U86" s="1">
        <v>498</v>
      </c>
      <c r="V86" s="2">
        <f t="shared" si="7"/>
        <v>4855.5</v>
      </c>
      <c r="W86" s="1">
        <v>1</v>
      </c>
      <c r="X86" s="1" t="s">
        <v>51</v>
      </c>
      <c r="Y86" s="1" t="s">
        <v>52</v>
      </c>
      <c r="Z86" s="1" t="s">
        <v>67</v>
      </c>
      <c r="AA86" s="1" t="s">
        <v>101</v>
      </c>
      <c r="AB86" s="16" t="s">
        <v>145</v>
      </c>
    </row>
    <row r="87" spans="1:28" x14ac:dyDescent="0.15">
      <c r="A87" s="1" t="s">
        <v>35</v>
      </c>
      <c r="B87" s="16" t="s">
        <v>143</v>
      </c>
      <c r="C87" s="1">
        <v>2020</v>
      </c>
      <c r="D87" s="76" t="s">
        <v>234</v>
      </c>
      <c r="E87" s="1" t="s">
        <v>54</v>
      </c>
      <c r="F87" s="1" t="s">
        <v>243</v>
      </c>
      <c r="G87" s="1" t="s">
        <v>37</v>
      </c>
      <c r="H87" s="1" t="s">
        <v>82</v>
      </c>
      <c r="I87" s="1" t="s">
        <v>64</v>
      </c>
      <c r="J87" s="1" t="s">
        <v>40</v>
      </c>
      <c r="K87" s="1" t="s">
        <v>41</v>
      </c>
      <c r="L87" s="1">
        <v>2</v>
      </c>
      <c r="N87" s="1">
        <v>4</v>
      </c>
      <c r="O87" s="1">
        <v>0.75</v>
      </c>
      <c r="P87" s="1">
        <v>0.75</v>
      </c>
      <c r="Q87" s="69">
        <f t="shared" si="8"/>
        <v>0.75</v>
      </c>
      <c r="R87" s="1">
        <v>14.4</v>
      </c>
      <c r="S87" s="1">
        <v>87</v>
      </c>
      <c r="T87" s="2">
        <f t="shared" si="3"/>
        <v>36</v>
      </c>
      <c r="U87" s="1">
        <v>498</v>
      </c>
      <c r="V87" s="2">
        <f t="shared" si="7"/>
        <v>4482</v>
      </c>
      <c r="W87" s="1">
        <v>1</v>
      </c>
      <c r="X87" s="1" t="s">
        <v>51</v>
      </c>
      <c r="Y87" s="1" t="s">
        <v>52</v>
      </c>
      <c r="Z87" s="1" t="s">
        <v>67</v>
      </c>
      <c r="AA87" s="1" t="s">
        <v>101</v>
      </c>
      <c r="AB87" s="16" t="s">
        <v>145</v>
      </c>
    </row>
    <row r="88" spans="1:28" x14ac:dyDescent="0.15">
      <c r="A88" s="1" t="s">
        <v>35</v>
      </c>
      <c r="B88" s="16" t="s">
        <v>143</v>
      </c>
      <c r="C88" s="1">
        <v>2020</v>
      </c>
      <c r="D88" s="76" t="s">
        <v>234</v>
      </c>
      <c r="E88" s="1" t="s">
        <v>54</v>
      </c>
      <c r="F88" s="1" t="s">
        <v>243</v>
      </c>
      <c r="G88" s="1" t="s">
        <v>37</v>
      </c>
      <c r="H88" s="1" t="s">
        <v>82</v>
      </c>
      <c r="I88" s="1" t="s">
        <v>64</v>
      </c>
      <c r="J88" s="1" t="s">
        <v>40</v>
      </c>
      <c r="K88" s="1" t="s">
        <v>41</v>
      </c>
      <c r="L88" s="1">
        <v>3</v>
      </c>
      <c r="N88" s="1">
        <v>4</v>
      </c>
      <c r="O88" s="1">
        <v>0.8</v>
      </c>
      <c r="P88" s="1">
        <v>0.8</v>
      </c>
      <c r="Q88" s="69">
        <f t="shared" si="8"/>
        <v>0.8</v>
      </c>
      <c r="R88" s="1">
        <v>17.399999999999999</v>
      </c>
      <c r="S88" s="1">
        <v>86</v>
      </c>
      <c r="T88" s="2">
        <f t="shared" si="3"/>
        <v>36</v>
      </c>
      <c r="U88" s="1">
        <v>498</v>
      </c>
      <c r="V88" s="2">
        <f t="shared" si="7"/>
        <v>4482</v>
      </c>
      <c r="W88" s="1">
        <v>1</v>
      </c>
      <c r="X88" s="1" t="s">
        <v>51</v>
      </c>
      <c r="Y88" s="1" t="s">
        <v>52</v>
      </c>
      <c r="Z88" s="1" t="s">
        <v>67</v>
      </c>
      <c r="AA88" s="1" t="s">
        <v>101</v>
      </c>
      <c r="AB88" s="16" t="s">
        <v>145</v>
      </c>
    </row>
    <row r="89" spans="1:28" x14ac:dyDescent="0.15">
      <c r="A89" s="1" t="s">
        <v>35</v>
      </c>
      <c r="B89" s="16" t="s">
        <v>143</v>
      </c>
      <c r="C89" s="1">
        <v>2020</v>
      </c>
      <c r="D89" s="76" t="s">
        <v>234</v>
      </c>
      <c r="E89" s="1" t="s">
        <v>76</v>
      </c>
      <c r="F89" s="1" t="s">
        <v>255</v>
      </c>
      <c r="G89" s="1" t="s">
        <v>37</v>
      </c>
      <c r="H89" s="1" t="s">
        <v>63</v>
      </c>
      <c r="I89" s="1" t="s">
        <v>64</v>
      </c>
      <c r="J89" s="1" t="s">
        <v>40</v>
      </c>
      <c r="K89" s="1" t="s">
        <v>41</v>
      </c>
      <c r="L89" s="1">
        <v>1</v>
      </c>
      <c r="N89" s="1">
        <v>1</v>
      </c>
      <c r="O89" s="1">
        <v>0.8</v>
      </c>
      <c r="P89" s="1">
        <v>1</v>
      </c>
      <c r="Q89" s="69">
        <f t="shared" si="8"/>
        <v>0.9</v>
      </c>
      <c r="R89" s="1">
        <v>11.6</v>
      </c>
      <c r="S89" s="1">
        <v>83</v>
      </c>
      <c r="T89" s="2">
        <f t="shared" si="3"/>
        <v>39</v>
      </c>
      <c r="U89" s="1">
        <v>78</v>
      </c>
      <c r="V89" s="2">
        <f t="shared" si="7"/>
        <v>3042</v>
      </c>
      <c r="W89" s="1">
        <v>2</v>
      </c>
      <c r="X89" s="1" t="s">
        <v>51</v>
      </c>
      <c r="Y89" s="1" t="s">
        <v>67</v>
      </c>
      <c r="Z89" s="1" t="s">
        <v>43</v>
      </c>
      <c r="AA89" s="1" t="s">
        <v>122</v>
      </c>
      <c r="AB89" s="16" t="s">
        <v>145</v>
      </c>
    </row>
    <row r="90" spans="1:28" x14ac:dyDescent="0.15">
      <c r="A90" s="1" t="s">
        <v>35</v>
      </c>
      <c r="B90" s="16" t="s">
        <v>143</v>
      </c>
      <c r="C90" s="1">
        <v>2020</v>
      </c>
      <c r="D90" s="76" t="s">
        <v>234</v>
      </c>
      <c r="E90" s="1" t="s">
        <v>76</v>
      </c>
      <c r="F90" s="1" t="s">
        <v>255</v>
      </c>
      <c r="G90" s="1" t="s">
        <v>37</v>
      </c>
      <c r="H90" s="1" t="s">
        <v>63</v>
      </c>
      <c r="I90" s="1" t="s">
        <v>64</v>
      </c>
      <c r="J90" s="1" t="s">
        <v>40</v>
      </c>
      <c r="K90" s="1" t="s">
        <v>41</v>
      </c>
      <c r="L90" s="1">
        <v>2</v>
      </c>
      <c r="N90" s="1">
        <v>1</v>
      </c>
      <c r="O90" s="1">
        <v>0.75</v>
      </c>
      <c r="P90" s="1">
        <v>0.85</v>
      </c>
      <c r="Q90" s="69">
        <f t="shared" si="8"/>
        <v>0.8</v>
      </c>
      <c r="R90" s="1">
        <v>11.6</v>
      </c>
      <c r="S90" s="1">
        <v>90</v>
      </c>
      <c r="T90" s="2">
        <f t="shared" si="3"/>
        <v>36</v>
      </c>
      <c r="U90" s="1">
        <v>78</v>
      </c>
      <c r="V90" s="2">
        <f t="shared" si="7"/>
        <v>2808</v>
      </c>
      <c r="W90" s="1">
        <v>2</v>
      </c>
      <c r="X90" s="1" t="s">
        <v>51</v>
      </c>
      <c r="Y90" s="1" t="s">
        <v>67</v>
      </c>
      <c r="Z90" s="1" t="s">
        <v>43</v>
      </c>
      <c r="AA90" s="1" t="s">
        <v>122</v>
      </c>
      <c r="AB90" s="16" t="s">
        <v>145</v>
      </c>
    </row>
    <row r="91" spans="1:28" x14ac:dyDescent="0.15">
      <c r="A91" s="1" t="s">
        <v>35</v>
      </c>
      <c r="B91" s="16" t="s">
        <v>143</v>
      </c>
      <c r="C91" s="1">
        <v>2020</v>
      </c>
      <c r="D91" s="76" t="s">
        <v>234</v>
      </c>
      <c r="E91" s="1" t="s">
        <v>76</v>
      </c>
      <c r="F91" s="1" t="s">
        <v>255</v>
      </c>
      <c r="G91" s="1" t="s">
        <v>37</v>
      </c>
      <c r="H91" s="1" t="s">
        <v>63</v>
      </c>
      <c r="I91" s="1" t="s">
        <v>64</v>
      </c>
      <c r="J91" s="1" t="s">
        <v>40</v>
      </c>
      <c r="K91" s="1" t="s">
        <v>41</v>
      </c>
      <c r="L91" s="1">
        <v>3</v>
      </c>
      <c r="N91" s="1">
        <v>1</v>
      </c>
      <c r="O91" s="1">
        <v>0.8</v>
      </c>
      <c r="P91" s="1">
        <v>0.9</v>
      </c>
      <c r="Q91" s="69">
        <f t="shared" si="8"/>
        <v>0.85000000000000009</v>
      </c>
      <c r="R91" s="1">
        <v>12</v>
      </c>
      <c r="S91" s="1">
        <v>83</v>
      </c>
      <c r="T91" s="2">
        <f t="shared" si="3"/>
        <v>39</v>
      </c>
      <c r="U91" s="1">
        <v>78</v>
      </c>
      <c r="V91" s="2">
        <f t="shared" si="7"/>
        <v>3042</v>
      </c>
      <c r="W91" s="1">
        <v>2</v>
      </c>
      <c r="X91" s="1" t="s">
        <v>51</v>
      </c>
      <c r="Y91" s="1" t="s">
        <v>67</v>
      </c>
      <c r="Z91" s="1" t="s">
        <v>43</v>
      </c>
      <c r="AA91" s="1" t="s">
        <v>122</v>
      </c>
      <c r="AB91" s="16" t="s">
        <v>145</v>
      </c>
    </row>
    <row r="92" spans="1:28" x14ac:dyDescent="0.15">
      <c r="A92" s="1" t="s">
        <v>35</v>
      </c>
      <c r="B92" s="1" t="s">
        <v>143</v>
      </c>
      <c r="C92" s="1">
        <v>2020</v>
      </c>
      <c r="D92" s="76" t="s">
        <v>234</v>
      </c>
      <c r="E92" s="1" t="s">
        <v>76</v>
      </c>
      <c r="F92" s="1" t="s">
        <v>255</v>
      </c>
      <c r="G92" s="1" t="s">
        <v>37</v>
      </c>
      <c r="H92" s="1" t="s">
        <v>63</v>
      </c>
      <c r="I92" s="1" t="s">
        <v>64</v>
      </c>
      <c r="J92" s="1" t="s">
        <v>40</v>
      </c>
      <c r="K92" s="1" t="s">
        <v>41</v>
      </c>
      <c r="L92" s="1">
        <v>1</v>
      </c>
      <c r="N92" s="1">
        <v>4</v>
      </c>
      <c r="O92" s="1">
        <v>0.6</v>
      </c>
      <c r="P92" s="1">
        <v>0.5</v>
      </c>
      <c r="Q92" s="69">
        <f t="shared" si="8"/>
        <v>0.55000000000000004</v>
      </c>
      <c r="R92" s="1">
        <v>11.7</v>
      </c>
      <c r="S92" s="1">
        <v>103</v>
      </c>
      <c r="T92" s="2">
        <f t="shared" si="3"/>
        <v>33</v>
      </c>
      <c r="U92" s="1">
        <v>398</v>
      </c>
      <c r="V92" s="2">
        <f t="shared" si="7"/>
        <v>3283.5</v>
      </c>
      <c r="W92" s="1">
        <v>6</v>
      </c>
      <c r="X92" s="1" t="s">
        <v>51</v>
      </c>
      <c r="Y92" s="1" t="s">
        <v>67</v>
      </c>
      <c r="Z92" s="1" t="s">
        <v>43</v>
      </c>
      <c r="AA92" s="1" t="s">
        <v>122</v>
      </c>
      <c r="AB92" s="1" t="s">
        <v>145</v>
      </c>
    </row>
    <row r="93" spans="1:28" x14ac:dyDescent="0.15">
      <c r="A93" s="1" t="s">
        <v>35</v>
      </c>
      <c r="B93" s="1" t="s">
        <v>143</v>
      </c>
      <c r="C93" s="1">
        <v>2020</v>
      </c>
      <c r="D93" s="76" t="s">
        <v>234</v>
      </c>
      <c r="E93" s="1" t="s">
        <v>76</v>
      </c>
      <c r="F93" s="1" t="s">
        <v>255</v>
      </c>
      <c r="G93" s="1" t="s">
        <v>37</v>
      </c>
      <c r="H93" s="1" t="s">
        <v>63</v>
      </c>
      <c r="I93" s="1" t="s">
        <v>64</v>
      </c>
      <c r="J93" s="1" t="s">
        <v>40</v>
      </c>
      <c r="K93" s="1" t="s">
        <v>41</v>
      </c>
      <c r="L93" s="1">
        <v>2</v>
      </c>
      <c r="N93" s="1">
        <v>4</v>
      </c>
      <c r="O93" s="1">
        <v>0.5</v>
      </c>
      <c r="P93" s="1">
        <v>0.65</v>
      </c>
      <c r="Q93" s="69">
        <f t="shared" si="8"/>
        <v>0.57499999999999996</v>
      </c>
      <c r="R93" s="1">
        <v>11.1</v>
      </c>
      <c r="S93" s="1">
        <v>89</v>
      </c>
      <c r="T93" s="2">
        <f t="shared" si="3"/>
        <v>36</v>
      </c>
      <c r="U93" s="1">
        <v>398</v>
      </c>
      <c r="V93" s="2">
        <f t="shared" si="7"/>
        <v>3582</v>
      </c>
      <c r="W93" s="1">
        <v>6</v>
      </c>
      <c r="X93" s="1" t="s">
        <v>51</v>
      </c>
      <c r="Y93" s="1" t="s">
        <v>67</v>
      </c>
      <c r="Z93" s="1" t="s">
        <v>43</v>
      </c>
      <c r="AA93" s="1" t="s">
        <v>122</v>
      </c>
      <c r="AB93" s="1" t="s">
        <v>145</v>
      </c>
    </row>
    <row r="94" spans="1:28" x14ac:dyDescent="0.15">
      <c r="A94" s="1" t="s">
        <v>35</v>
      </c>
      <c r="B94" s="1" t="s">
        <v>143</v>
      </c>
      <c r="C94" s="1">
        <v>2020</v>
      </c>
      <c r="D94" s="76" t="s">
        <v>234</v>
      </c>
      <c r="E94" s="1" t="s">
        <v>76</v>
      </c>
      <c r="F94" s="1" t="s">
        <v>255</v>
      </c>
      <c r="G94" s="1" t="s">
        <v>37</v>
      </c>
      <c r="H94" s="1" t="s">
        <v>63</v>
      </c>
      <c r="I94" s="1" t="s">
        <v>64</v>
      </c>
      <c r="J94" s="1" t="s">
        <v>40</v>
      </c>
      <c r="K94" s="1" t="s">
        <v>41</v>
      </c>
      <c r="L94" s="1">
        <v>3</v>
      </c>
      <c r="N94" s="1">
        <v>4</v>
      </c>
      <c r="O94" s="1">
        <v>0.8</v>
      </c>
      <c r="P94" s="1">
        <v>0.8</v>
      </c>
      <c r="Q94" s="69">
        <f t="shared" si="8"/>
        <v>0.8</v>
      </c>
      <c r="R94" s="1">
        <v>11.1</v>
      </c>
      <c r="S94" s="1">
        <v>98</v>
      </c>
      <c r="T94" s="2">
        <f t="shared" si="3"/>
        <v>36</v>
      </c>
      <c r="U94" s="1">
        <v>398</v>
      </c>
      <c r="V94" s="2">
        <f t="shared" si="7"/>
        <v>3582</v>
      </c>
      <c r="W94" s="1">
        <v>6</v>
      </c>
      <c r="X94" s="1" t="s">
        <v>51</v>
      </c>
      <c r="Y94" s="1" t="s">
        <v>67</v>
      </c>
      <c r="Z94" s="1" t="s">
        <v>43</v>
      </c>
      <c r="AA94" s="1" t="s">
        <v>122</v>
      </c>
      <c r="AB94" s="1" t="s">
        <v>145</v>
      </c>
    </row>
    <row r="95" spans="1:28" x14ac:dyDescent="0.15">
      <c r="A95" s="1" t="s">
        <v>35</v>
      </c>
      <c r="B95" s="1" t="s">
        <v>143</v>
      </c>
      <c r="C95" s="1">
        <v>2020</v>
      </c>
      <c r="D95" s="76" t="s">
        <v>234</v>
      </c>
      <c r="E95" s="1" t="s">
        <v>76</v>
      </c>
      <c r="F95" s="1" t="s">
        <v>255</v>
      </c>
      <c r="G95" s="1" t="s">
        <v>37</v>
      </c>
      <c r="H95" s="1" t="s">
        <v>82</v>
      </c>
      <c r="I95" s="1" t="s">
        <v>64</v>
      </c>
      <c r="J95" s="1" t="s">
        <v>40</v>
      </c>
      <c r="K95" s="1" t="s">
        <v>41</v>
      </c>
      <c r="L95" s="1">
        <v>1</v>
      </c>
      <c r="N95" s="1">
        <v>1</v>
      </c>
      <c r="O95" s="1">
        <v>0.8</v>
      </c>
      <c r="P95" s="1">
        <v>0.95</v>
      </c>
      <c r="Q95" s="69">
        <f t="shared" si="8"/>
        <v>0.875</v>
      </c>
      <c r="R95" s="1">
        <v>9.8000000000000007</v>
      </c>
      <c r="S95" s="1">
        <v>122</v>
      </c>
      <c r="T95" s="2">
        <f t="shared" si="3"/>
        <v>27</v>
      </c>
      <c r="U95" s="1">
        <v>108</v>
      </c>
      <c r="V95" s="2">
        <f t="shared" si="7"/>
        <v>2916</v>
      </c>
      <c r="W95" s="1">
        <v>7</v>
      </c>
      <c r="X95" s="1" t="s">
        <v>51</v>
      </c>
      <c r="Y95" s="1" t="s">
        <v>67</v>
      </c>
      <c r="Z95" s="1" t="s">
        <v>43</v>
      </c>
      <c r="AA95" s="1" t="s">
        <v>122</v>
      </c>
      <c r="AB95" s="1" t="s">
        <v>145</v>
      </c>
    </row>
    <row r="96" spans="1:28" x14ac:dyDescent="0.15">
      <c r="A96" s="1" t="s">
        <v>35</v>
      </c>
      <c r="B96" s="1" t="s">
        <v>143</v>
      </c>
      <c r="C96" s="1">
        <v>2020</v>
      </c>
      <c r="D96" s="76" t="s">
        <v>234</v>
      </c>
      <c r="E96" s="1" t="s">
        <v>76</v>
      </c>
      <c r="F96" s="1" t="s">
        <v>255</v>
      </c>
      <c r="G96" s="1" t="s">
        <v>37</v>
      </c>
      <c r="H96" s="1" t="s">
        <v>82</v>
      </c>
      <c r="I96" s="1" t="s">
        <v>64</v>
      </c>
      <c r="J96" s="1" t="s">
        <v>40</v>
      </c>
      <c r="K96" s="1" t="s">
        <v>41</v>
      </c>
      <c r="L96" s="1">
        <v>2</v>
      </c>
      <c r="N96" s="1">
        <v>1</v>
      </c>
      <c r="O96" s="1">
        <v>1</v>
      </c>
      <c r="P96" s="1">
        <v>0.95</v>
      </c>
      <c r="Q96" s="69">
        <f t="shared" si="8"/>
        <v>0.97499999999999998</v>
      </c>
      <c r="R96" s="1">
        <v>12.4</v>
      </c>
      <c r="S96" s="1">
        <v>123</v>
      </c>
      <c r="T96" s="2">
        <f t="shared" si="3"/>
        <v>27</v>
      </c>
      <c r="U96" s="1">
        <v>108</v>
      </c>
      <c r="V96" s="2">
        <f t="shared" si="7"/>
        <v>2916</v>
      </c>
      <c r="W96" s="1">
        <v>7</v>
      </c>
      <c r="X96" s="1" t="s">
        <v>51</v>
      </c>
      <c r="Y96" s="1" t="s">
        <v>67</v>
      </c>
      <c r="Z96" s="1" t="s">
        <v>43</v>
      </c>
      <c r="AA96" s="1" t="s">
        <v>122</v>
      </c>
      <c r="AB96" s="1" t="s">
        <v>145</v>
      </c>
    </row>
    <row r="97" spans="1:28" x14ac:dyDescent="0.15">
      <c r="A97" s="1" t="s">
        <v>35</v>
      </c>
      <c r="B97" s="1" t="s">
        <v>143</v>
      </c>
      <c r="C97" s="1">
        <v>2020</v>
      </c>
      <c r="D97" s="76" t="s">
        <v>234</v>
      </c>
      <c r="E97" s="1" t="s">
        <v>76</v>
      </c>
      <c r="F97" s="1" t="s">
        <v>255</v>
      </c>
      <c r="G97" s="1" t="s">
        <v>37</v>
      </c>
      <c r="H97" s="1" t="s">
        <v>82</v>
      </c>
      <c r="I97" s="1" t="s">
        <v>64</v>
      </c>
      <c r="J97" s="1" t="s">
        <v>40</v>
      </c>
      <c r="K97" s="1" t="s">
        <v>41</v>
      </c>
      <c r="L97" s="1">
        <v>3</v>
      </c>
      <c r="N97" s="1">
        <v>1</v>
      </c>
      <c r="O97" s="1">
        <v>0.7</v>
      </c>
      <c r="P97" s="1">
        <v>0.6</v>
      </c>
      <c r="Q97" s="69">
        <f t="shared" si="8"/>
        <v>0.64999999999999991</v>
      </c>
      <c r="R97" s="1">
        <v>13</v>
      </c>
      <c r="S97" s="1">
        <v>123</v>
      </c>
      <c r="T97" s="2">
        <f t="shared" si="3"/>
        <v>27</v>
      </c>
      <c r="U97" s="1">
        <v>108</v>
      </c>
      <c r="V97" s="2">
        <f t="shared" si="7"/>
        <v>2916</v>
      </c>
      <c r="W97" s="1">
        <v>7</v>
      </c>
      <c r="X97" s="1" t="s">
        <v>51</v>
      </c>
      <c r="Y97" s="1" t="s">
        <v>67</v>
      </c>
      <c r="Z97" s="1" t="s">
        <v>43</v>
      </c>
      <c r="AA97" s="1" t="s">
        <v>122</v>
      </c>
      <c r="AB97" s="1" t="s">
        <v>145</v>
      </c>
    </row>
    <row r="98" spans="1:28" x14ac:dyDescent="0.15">
      <c r="A98" s="1" t="s">
        <v>35</v>
      </c>
      <c r="B98" s="1" t="s">
        <v>143</v>
      </c>
      <c r="C98" s="1">
        <v>2020</v>
      </c>
      <c r="D98" s="76" t="s">
        <v>234</v>
      </c>
      <c r="E98" s="1" t="s">
        <v>76</v>
      </c>
      <c r="F98" s="1" t="s">
        <v>255</v>
      </c>
      <c r="G98" s="1" t="s">
        <v>37</v>
      </c>
      <c r="H98" s="1" t="s">
        <v>82</v>
      </c>
      <c r="I98" s="1" t="s">
        <v>64</v>
      </c>
      <c r="J98" s="1" t="s">
        <v>40</v>
      </c>
      <c r="K98" s="1" t="s">
        <v>41</v>
      </c>
      <c r="L98" s="1">
        <v>1</v>
      </c>
      <c r="N98" s="1">
        <v>4</v>
      </c>
      <c r="O98" s="1">
        <v>0.6</v>
      </c>
      <c r="P98" s="1">
        <v>0.7</v>
      </c>
      <c r="Q98" s="69">
        <f t="shared" si="8"/>
        <v>0.64999999999999991</v>
      </c>
      <c r="R98" s="1">
        <v>17.600000000000001</v>
      </c>
      <c r="S98" s="1">
        <v>105</v>
      </c>
      <c r="T98" s="2">
        <f t="shared" si="3"/>
        <v>33</v>
      </c>
      <c r="U98" s="1">
        <v>498</v>
      </c>
      <c r="V98" s="2">
        <f t="shared" si="7"/>
        <v>4108.5</v>
      </c>
      <c r="W98" s="1">
        <v>6</v>
      </c>
      <c r="X98" s="1" t="s">
        <v>51</v>
      </c>
      <c r="Y98" s="1" t="s">
        <v>67</v>
      </c>
      <c r="Z98" s="1" t="s">
        <v>43</v>
      </c>
      <c r="AA98" s="1" t="s">
        <v>122</v>
      </c>
      <c r="AB98" s="1" t="s">
        <v>145</v>
      </c>
    </row>
    <row r="99" spans="1:28" x14ac:dyDescent="0.15">
      <c r="A99" s="1" t="s">
        <v>35</v>
      </c>
      <c r="B99" s="1" t="s">
        <v>143</v>
      </c>
      <c r="C99" s="1">
        <v>2020</v>
      </c>
      <c r="D99" s="76" t="s">
        <v>234</v>
      </c>
      <c r="E99" s="1" t="s">
        <v>76</v>
      </c>
      <c r="F99" s="1" t="s">
        <v>255</v>
      </c>
      <c r="G99" s="1" t="s">
        <v>37</v>
      </c>
      <c r="H99" s="1" t="s">
        <v>82</v>
      </c>
      <c r="I99" s="1" t="s">
        <v>64</v>
      </c>
      <c r="J99" s="1" t="s">
        <v>40</v>
      </c>
      <c r="K99" s="1" t="s">
        <v>41</v>
      </c>
      <c r="L99" s="1">
        <v>2</v>
      </c>
      <c r="N99" s="1">
        <v>4</v>
      </c>
      <c r="O99" s="1">
        <v>0.75</v>
      </c>
      <c r="P99" s="1">
        <v>0.75</v>
      </c>
      <c r="Q99" s="69">
        <f t="shared" si="8"/>
        <v>0.75</v>
      </c>
      <c r="R99" s="1">
        <v>13.2</v>
      </c>
      <c r="S99" s="1">
        <v>101</v>
      </c>
      <c r="T99" s="2">
        <f t="shared" si="3"/>
        <v>33</v>
      </c>
      <c r="U99" s="1">
        <v>498</v>
      </c>
      <c r="V99" s="2">
        <f t="shared" si="7"/>
        <v>4108.5</v>
      </c>
      <c r="W99" s="1">
        <v>6</v>
      </c>
      <c r="X99" s="1" t="s">
        <v>51</v>
      </c>
      <c r="Y99" s="1" t="s">
        <v>67</v>
      </c>
      <c r="Z99" s="1" t="s">
        <v>43</v>
      </c>
      <c r="AA99" s="1" t="s">
        <v>122</v>
      </c>
      <c r="AB99" s="1" t="s">
        <v>145</v>
      </c>
    </row>
    <row r="100" spans="1:28" x14ac:dyDescent="0.15">
      <c r="A100" s="1" t="s">
        <v>35</v>
      </c>
      <c r="B100" s="1" t="s">
        <v>143</v>
      </c>
      <c r="C100" s="1">
        <v>2020</v>
      </c>
      <c r="D100" s="76" t="s">
        <v>234</v>
      </c>
      <c r="E100" s="1" t="s">
        <v>76</v>
      </c>
      <c r="F100" s="1" t="s">
        <v>255</v>
      </c>
      <c r="G100" s="1" t="s">
        <v>37</v>
      </c>
      <c r="H100" s="1" t="s">
        <v>82</v>
      </c>
      <c r="I100" s="1" t="s">
        <v>64</v>
      </c>
      <c r="J100" s="1" t="s">
        <v>40</v>
      </c>
      <c r="K100" s="1" t="s">
        <v>41</v>
      </c>
      <c r="L100" s="1">
        <v>3</v>
      </c>
      <c r="N100" s="1">
        <v>4</v>
      </c>
      <c r="O100" s="1">
        <v>0.6</v>
      </c>
      <c r="P100" s="1">
        <v>0.7</v>
      </c>
      <c r="Q100" s="69">
        <f t="shared" si="8"/>
        <v>0.64999999999999991</v>
      </c>
      <c r="R100" s="1">
        <v>13.2</v>
      </c>
      <c r="S100" s="1">
        <v>106</v>
      </c>
      <c r="T100" s="2">
        <f t="shared" si="3"/>
        <v>33</v>
      </c>
      <c r="U100" s="1">
        <v>498</v>
      </c>
      <c r="V100" s="2">
        <f t="shared" si="7"/>
        <v>4108.5</v>
      </c>
      <c r="W100" s="1">
        <v>6</v>
      </c>
      <c r="X100" s="1" t="s">
        <v>51</v>
      </c>
      <c r="Y100" s="1" t="s">
        <v>67</v>
      </c>
      <c r="Z100" s="1" t="s">
        <v>43</v>
      </c>
      <c r="AA100" s="1" t="s">
        <v>122</v>
      </c>
      <c r="AB100" s="1" t="s">
        <v>145</v>
      </c>
    </row>
    <row r="101" spans="1:28" x14ac:dyDescent="0.15">
      <c r="A101" s="1" t="s">
        <v>35</v>
      </c>
      <c r="B101" s="1" t="s">
        <v>143</v>
      </c>
      <c r="C101" s="1">
        <v>2020</v>
      </c>
      <c r="D101" s="76" t="s">
        <v>234</v>
      </c>
      <c r="E101" s="1" t="s">
        <v>98</v>
      </c>
      <c r="F101" s="1" t="s">
        <v>252</v>
      </c>
      <c r="G101" s="1" t="s">
        <v>37</v>
      </c>
      <c r="H101" s="1" t="s">
        <v>63</v>
      </c>
      <c r="I101" s="1" t="s">
        <v>64</v>
      </c>
      <c r="J101" s="1" t="s">
        <v>40</v>
      </c>
      <c r="K101" s="1" t="s">
        <v>41</v>
      </c>
      <c r="L101" s="1">
        <v>1</v>
      </c>
      <c r="N101" s="1">
        <v>1</v>
      </c>
      <c r="O101" s="1">
        <v>1.75</v>
      </c>
      <c r="P101" s="1">
        <v>1.6</v>
      </c>
      <c r="Q101" s="69">
        <f t="shared" si="8"/>
        <v>1.675</v>
      </c>
      <c r="R101" s="1">
        <v>10.8</v>
      </c>
      <c r="S101" s="1">
        <v>111</v>
      </c>
      <c r="T101" s="2">
        <f t="shared" si="3"/>
        <v>33</v>
      </c>
      <c r="U101" s="1">
        <v>98</v>
      </c>
      <c r="V101" s="2">
        <f t="shared" si="7"/>
        <v>3234</v>
      </c>
      <c r="W101" s="1">
        <v>1</v>
      </c>
      <c r="X101" s="1" t="s">
        <v>51</v>
      </c>
      <c r="Y101" s="1" t="s">
        <v>67</v>
      </c>
      <c r="Z101" s="1" t="s">
        <v>52</v>
      </c>
      <c r="AA101" s="1" t="s">
        <v>128</v>
      </c>
      <c r="AB101" s="1" t="s">
        <v>145</v>
      </c>
    </row>
    <row r="102" spans="1:28" x14ac:dyDescent="0.15">
      <c r="A102" s="1" t="s">
        <v>35</v>
      </c>
      <c r="B102" s="1" t="s">
        <v>143</v>
      </c>
      <c r="C102" s="1">
        <v>2020</v>
      </c>
      <c r="D102" s="76" t="s">
        <v>234</v>
      </c>
      <c r="E102" s="1" t="s">
        <v>98</v>
      </c>
      <c r="F102" s="1" t="s">
        <v>252</v>
      </c>
      <c r="G102" s="1" t="s">
        <v>37</v>
      </c>
      <c r="H102" s="1" t="s">
        <v>63</v>
      </c>
      <c r="I102" s="1" t="s">
        <v>64</v>
      </c>
      <c r="J102" s="1" t="s">
        <v>40</v>
      </c>
      <c r="K102" s="1" t="s">
        <v>41</v>
      </c>
      <c r="L102" s="1">
        <v>2</v>
      </c>
      <c r="N102" s="1">
        <v>1</v>
      </c>
      <c r="O102" s="1">
        <v>1.25</v>
      </c>
      <c r="P102" s="1">
        <v>1.3</v>
      </c>
      <c r="Q102" s="69">
        <f t="shared" si="8"/>
        <v>1.2749999999999999</v>
      </c>
      <c r="R102" s="1">
        <v>11.6</v>
      </c>
      <c r="S102" s="1">
        <v>114</v>
      </c>
      <c r="T102" s="2">
        <f t="shared" si="3"/>
        <v>30</v>
      </c>
      <c r="U102" s="1">
        <v>98</v>
      </c>
      <c r="V102" s="2">
        <f t="shared" si="7"/>
        <v>2940</v>
      </c>
      <c r="W102" s="1">
        <v>1</v>
      </c>
      <c r="X102" s="1" t="s">
        <v>51</v>
      </c>
      <c r="Y102" s="1" t="s">
        <v>67</v>
      </c>
      <c r="Z102" s="1" t="s">
        <v>52</v>
      </c>
      <c r="AA102" s="1" t="s">
        <v>128</v>
      </c>
      <c r="AB102" s="1" t="s">
        <v>145</v>
      </c>
    </row>
    <row r="103" spans="1:28" x14ac:dyDescent="0.15">
      <c r="A103" s="1" t="s">
        <v>35</v>
      </c>
      <c r="B103" s="1" t="s">
        <v>143</v>
      </c>
      <c r="C103" s="1">
        <v>2020</v>
      </c>
      <c r="D103" s="76" t="s">
        <v>234</v>
      </c>
      <c r="E103" s="1" t="s">
        <v>98</v>
      </c>
      <c r="F103" s="1" t="s">
        <v>252</v>
      </c>
      <c r="G103" s="1" t="s">
        <v>37</v>
      </c>
      <c r="H103" s="1" t="s">
        <v>63</v>
      </c>
      <c r="I103" s="1" t="s">
        <v>64</v>
      </c>
      <c r="J103" s="1" t="s">
        <v>40</v>
      </c>
      <c r="K103" s="1" t="s">
        <v>41</v>
      </c>
      <c r="L103" s="1">
        <v>3</v>
      </c>
      <c r="N103" s="1">
        <v>1</v>
      </c>
      <c r="O103" s="1">
        <v>1.6</v>
      </c>
      <c r="P103" s="1">
        <v>1.8</v>
      </c>
      <c r="Q103" s="69">
        <f t="shared" si="8"/>
        <v>1.7000000000000002</v>
      </c>
      <c r="R103" s="1">
        <v>9.8000000000000007</v>
      </c>
      <c r="S103" s="1">
        <v>118</v>
      </c>
      <c r="T103" s="2">
        <f t="shared" si="3"/>
        <v>30</v>
      </c>
      <c r="U103" s="1">
        <v>98</v>
      </c>
      <c r="V103" s="2">
        <f t="shared" si="7"/>
        <v>2940</v>
      </c>
      <c r="W103" s="1">
        <v>1</v>
      </c>
      <c r="X103" s="1" t="s">
        <v>51</v>
      </c>
      <c r="Y103" s="1" t="s">
        <v>67</v>
      </c>
      <c r="Z103" s="1" t="s">
        <v>52</v>
      </c>
      <c r="AA103" s="1" t="s">
        <v>128</v>
      </c>
      <c r="AB103" s="1" t="s">
        <v>145</v>
      </c>
    </row>
    <row r="104" spans="1:28" x14ac:dyDescent="0.15">
      <c r="A104" s="1" t="s">
        <v>35</v>
      </c>
      <c r="B104" s="1" t="s">
        <v>143</v>
      </c>
      <c r="C104" s="1">
        <v>2020</v>
      </c>
      <c r="D104" s="76" t="s">
        <v>234</v>
      </c>
      <c r="E104" s="1" t="s">
        <v>98</v>
      </c>
      <c r="F104" s="1" t="s">
        <v>252</v>
      </c>
      <c r="G104" s="1" t="s">
        <v>37</v>
      </c>
      <c r="H104" s="1" t="s">
        <v>63</v>
      </c>
      <c r="I104" s="1" t="s">
        <v>64</v>
      </c>
      <c r="J104" s="1" t="s">
        <v>40</v>
      </c>
      <c r="K104" s="1" t="s">
        <v>41</v>
      </c>
      <c r="L104" s="1">
        <v>1</v>
      </c>
      <c r="N104" s="1">
        <v>4</v>
      </c>
      <c r="O104" s="1">
        <v>1</v>
      </c>
      <c r="P104" s="1">
        <v>0.9</v>
      </c>
      <c r="Q104" s="69">
        <f t="shared" si="8"/>
        <v>0.95</v>
      </c>
      <c r="R104" s="1">
        <v>11</v>
      </c>
      <c r="S104" s="1">
        <v>86</v>
      </c>
      <c r="T104" s="2">
        <f t="shared" si="3"/>
        <v>36</v>
      </c>
      <c r="U104" s="1">
        <v>298</v>
      </c>
      <c r="V104" s="2">
        <f t="shared" si="7"/>
        <v>2682</v>
      </c>
      <c r="W104" s="1">
        <v>1</v>
      </c>
      <c r="X104" s="1" t="s">
        <v>51</v>
      </c>
      <c r="Y104" s="1" t="s">
        <v>67</v>
      </c>
      <c r="Z104" s="1" t="s">
        <v>52</v>
      </c>
      <c r="AA104" s="1" t="s">
        <v>128</v>
      </c>
      <c r="AB104" s="1" t="s">
        <v>145</v>
      </c>
    </row>
    <row r="105" spans="1:28" x14ac:dyDescent="0.15">
      <c r="A105" s="1" t="s">
        <v>35</v>
      </c>
      <c r="B105" s="1" t="s">
        <v>143</v>
      </c>
      <c r="C105" s="1">
        <v>2020</v>
      </c>
      <c r="D105" s="76" t="s">
        <v>234</v>
      </c>
      <c r="E105" s="1" t="s">
        <v>98</v>
      </c>
      <c r="F105" s="1" t="s">
        <v>252</v>
      </c>
      <c r="G105" s="1" t="s">
        <v>37</v>
      </c>
      <c r="H105" s="1" t="s">
        <v>63</v>
      </c>
      <c r="I105" s="1" t="s">
        <v>64</v>
      </c>
      <c r="J105" s="1" t="s">
        <v>40</v>
      </c>
      <c r="K105" s="1" t="s">
        <v>41</v>
      </c>
      <c r="L105" s="1">
        <v>2</v>
      </c>
      <c r="N105" s="1">
        <v>4</v>
      </c>
      <c r="O105" s="1">
        <v>0.75</v>
      </c>
      <c r="P105" s="1">
        <v>0.75</v>
      </c>
      <c r="Q105" s="69">
        <f t="shared" si="8"/>
        <v>0.75</v>
      </c>
      <c r="R105" s="1">
        <v>11.6</v>
      </c>
      <c r="S105" s="1">
        <v>87</v>
      </c>
      <c r="T105" s="2">
        <f t="shared" si="3"/>
        <v>36</v>
      </c>
      <c r="U105" s="1">
        <v>298</v>
      </c>
      <c r="V105" s="2">
        <f t="shared" si="7"/>
        <v>2682</v>
      </c>
      <c r="W105" s="1">
        <v>1</v>
      </c>
      <c r="X105" s="1" t="s">
        <v>51</v>
      </c>
      <c r="Y105" s="1" t="s">
        <v>67</v>
      </c>
      <c r="Z105" s="1" t="s">
        <v>52</v>
      </c>
      <c r="AA105" s="1" t="s">
        <v>128</v>
      </c>
      <c r="AB105" s="1" t="s">
        <v>145</v>
      </c>
    </row>
    <row r="106" spans="1:28" x14ac:dyDescent="0.15">
      <c r="A106" s="1" t="s">
        <v>35</v>
      </c>
      <c r="B106" s="1" t="s">
        <v>143</v>
      </c>
      <c r="C106" s="1">
        <v>2020</v>
      </c>
      <c r="D106" s="76" t="s">
        <v>234</v>
      </c>
      <c r="E106" s="1" t="s">
        <v>98</v>
      </c>
      <c r="F106" s="1" t="s">
        <v>252</v>
      </c>
      <c r="G106" s="1" t="s">
        <v>37</v>
      </c>
      <c r="H106" s="1" t="s">
        <v>63</v>
      </c>
      <c r="I106" s="1" t="s">
        <v>64</v>
      </c>
      <c r="J106" s="1" t="s">
        <v>40</v>
      </c>
      <c r="K106" s="1" t="s">
        <v>41</v>
      </c>
      <c r="L106" s="1">
        <v>3</v>
      </c>
      <c r="N106" s="1">
        <v>4</v>
      </c>
      <c r="O106" s="1">
        <v>1.2</v>
      </c>
      <c r="P106" s="1">
        <v>1.1000000000000001</v>
      </c>
      <c r="Q106" s="69">
        <f t="shared" si="8"/>
        <v>1.1499999999999999</v>
      </c>
      <c r="R106" s="1">
        <v>10.8</v>
      </c>
      <c r="S106" s="1">
        <v>89</v>
      </c>
      <c r="T106" s="2">
        <f t="shared" si="3"/>
        <v>36</v>
      </c>
      <c r="U106" s="1">
        <v>298</v>
      </c>
      <c r="V106" s="2">
        <f t="shared" si="7"/>
        <v>2682</v>
      </c>
      <c r="W106" s="1">
        <v>1</v>
      </c>
      <c r="X106" s="1" t="s">
        <v>51</v>
      </c>
      <c r="Y106" s="1" t="s">
        <v>67</v>
      </c>
      <c r="Z106" s="1" t="s">
        <v>52</v>
      </c>
      <c r="AA106" s="1" t="s">
        <v>128</v>
      </c>
      <c r="AB106" s="1" t="s">
        <v>145</v>
      </c>
    </row>
    <row r="107" spans="1:28" x14ac:dyDescent="0.15">
      <c r="A107" s="1" t="s">
        <v>35</v>
      </c>
      <c r="B107" s="1" t="s">
        <v>143</v>
      </c>
      <c r="C107" s="1">
        <v>2020</v>
      </c>
      <c r="D107" s="76" t="s">
        <v>234</v>
      </c>
      <c r="E107" s="1" t="s">
        <v>98</v>
      </c>
      <c r="F107" s="1" t="s">
        <v>252</v>
      </c>
      <c r="G107" s="1" t="s">
        <v>37</v>
      </c>
      <c r="H107" s="1" t="s">
        <v>82</v>
      </c>
      <c r="I107" s="1" t="s">
        <v>64</v>
      </c>
      <c r="J107" s="1" t="s">
        <v>40</v>
      </c>
      <c r="K107" s="1" t="s">
        <v>41</v>
      </c>
      <c r="L107" s="1">
        <v>1</v>
      </c>
      <c r="N107" s="1">
        <v>1</v>
      </c>
      <c r="O107" s="1">
        <v>1</v>
      </c>
      <c r="P107" s="1">
        <v>1.1499999999999999</v>
      </c>
      <c r="Q107" s="69">
        <f t="shared" si="8"/>
        <v>1.075</v>
      </c>
      <c r="R107" s="1">
        <v>12.9</v>
      </c>
      <c r="S107" s="1">
        <v>120</v>
      </c>
      <c r="T107" s="2">
        <f t="shared" si="3"/>
        <v>30</v>
      </c>
      <c r="U107" s="1">
        <v>128</v>
      </c>
      <c r="V107" s="2">
        <f t="shared" si="7"/>
        <v>3840</v>
      </c>
      <c r="W107" s="1">
        <v>4</v>
      </c>
      <c r="X107" s="1" t="s">
        <v>51</v>
      </c>
      <c r="Y107" s="1" t="s">
        <v>67</v>
      </c>
      <c r="Z107" s="1" t="s">
        <v>52</v>
      </c>
      <c r="AA107" s="1" t="s">
        <v>128</v>
      </c>
      <c r="AB107" s="1" t="s">
        <v>145</v>
      </c>
    </row>
    <row r="108" spans="1:28" x14ac:dyDescent="0.15">
      <c r="A108" s="1" t="s">
        <v>35</v>
      </c>
      <c r="B108" s="1" t="s">
        <v>143</v>
      </c>
      <c r="C108" s="1">
        <v>2020</v>
      </c>
      <c r="D108" s="76" t="s">
        <v>234</v>
      </c>
      <c r="E108" s="1" t="s">
        <v>98</v>
      </c>
      <c r="F108" s="1" t="s">
        <v>252</v>
      </c>
      <c r="G108" s="1" t="s">
        <v>37</v>
      </c>
      <c r="H108" s="1" t="s">
        <v>82</v>
      </c>
      <c r="I108" s="1" t="s">
        <v>64</v>
      </c>
      <c r="J108" s="1" t="s">
        <v>40</v>
      </c>
      <c r="K108" s="1" t="s">
        <v>41</v>
      </c>
      <c r="L108" s="1">
        <v>2</v>
      </c>
      <c r="N108" s="1">
        <v>1</v>
      </c>
      <c r="O108" s="1">
        <v>0.75</v>
      </c>
      <c r="P108" s="1">
        <v>0.8</v>
      </c>
      <c r="Q108" s="69">
        <f t="shared" si="8"/>
        <v>0.77500000000000002</v>
      </c>
      <c r="R108" s="1">
        <v>18.5</v>
      </c>
      <c r="S108" s="1">
        <v>121</v>
      </c>
      <c r="T108" s="2">
        <f t="shared" si="3"/>
        <v>27</v>
      </c>
      <c r="U108" s="1">
        <v>128</v>
      </c>
      <c r="V108" s="2">
        <f t="shared" si="7"/>
        <v>3456</v>
      </c>
      <c r="W108" s="1">
        <v>4</v>
      </c>
      <c r="X108" s="1" t="s">
        <v>51</v>
      </c>
      <c r="Y108" s="1" t="s">
        <v>67</v>
      </c>
      <c r="Z108" s="1" t="s">
        <v>52</v>
      </c>
      <c r="AA108" s="1" t="s">
        <v>128</v>
      </c>
      <c r="AB108" s="1" t="s">
        <v>145</v>
      </c>
    </row>
    <row r="109" spans="1:28" x14ac:dyDescent="0.15">
      <c r="A109" s="1" t="s">
        <v>35</v>
      </c>
      <c r="B109" s="1" t="s">
        <v>143</v>
      </c>
      <c r="C109" s="1">
        <v>2020</v>
      </c>
      <c r="D109" s="76" t="s">
        <v>234</v>
      </c>
      <c r="E109" s="1" t="s">
        <v>98</v>
      </c>
      <c r="F109" s="1" t="s">
        <v>252</v>
      </c>
      <c r="G109" s="1" t="s">
        <v>37</v>
      </c>
      <c r="H109" s="1" t="s">
        <v>82</v>
      </c>
      <c r="I109" s="1" t="s">
        <v>64</v>
      </c>
      <c r="J109" s="1" t="s">
        <v>40</v>
      </c>
      <c r="K109" s="1" t="s">
        <v>41</v>
      </c>
      <c r="L109" s="1">
        <v>3</v>
      </c>
      <c r="N109" s="1">
        <v>1</v>
      </c>
      <c r="O109" s="1">
        <v>1.3</v>
      </c>
      <c r="P109" s="1">
        <v>1.4</v>
      </c>
      <c r="Q109" s="69">
        <f t="shared" si="8"/>
        <v>1.35</v>
      </c>
      <c r="R109" s="1">
        <v>14.1</v>
      </c>
      <c r="S109" s="1">
        <v>120</v>
      </c>
      <c r="T109" s="2">
        <f t="shared" si="3"/>
        <v>30</v>
      </c>
      <c r="U109" s="1">
        <v>128</v>
      </c>
      <c r="V109" s="2">
        <f t="shared" si="7"/>
        <v>3840</v>
      </c>
      <c r="W109" s="1">
        <v>4</v>
      </c>
      <c r="X109" s="1" t="s">
        <v>51</v>
      </c>
      <c r="Y109" s="1" t="s">
        <v>67</v>
      </c>
      <c r="Z109" s="1" t="s">
        <v>52</v>
      </c>
      <c r="AA109" s="1" t="s">
        <v>128</v>
      </c>
      <c r="AB109" s="1" t="s">
        <v>145</v>
      </c>
    </row>
    <row r="110" spans="1:28" x14ac:dyDescent="0.15">
      <c r="A110" s="1" t="s">
        <v>35</v>
      </c>
      <c r="B110" s="1" t="s">
        <v>143</v>
      </c>
      <c r="C110" s="1">
        <v>2020</v>
      </c>
      <c r="D110" s="76" t="s">
        <v>234</v>
      </c>
      <c r="E110" s="1" t="s">
        <v>98</v>
      </c>
      <c r="F110" s="1" t="s">
        <v>252</v>
      </c>
      <c r="G110" s="1" t="s">
        <v>37</v>
      </c>
      <c r="H110" s="1" t="s">
        <v>82</v>
      </c>
      <c r="I110" s="1" t="s">
        <v>64</v>
      </c>
      <c r="J110" s="1" t="s">
        <v>40</v>
      </c>
      <c r="K110" s="1" t="s">
        <v>41</v>
      </c>
      <c r="L110" s="1">
        <v>1</v>
      </c>
      <c r="N110" s="1">
        <v>6</v>
      </c>
      <c r="O110" s="1">
        <v>1.25</v>
      </c>
      <c r="P110" s="1">
        <v>1.2</v>
      </c>
      <c r="Q110" s="69">
        <f t="shared" si="8"/>
        <v>1.2250000000000001</v>
      </c>
      <c r="R110" s="1">
        <v>16.399999999999999</v>
      </c>
      <c r="S110" s="1">
        <v>119</v>
      </c>
      <c r="T110" s="2">
        <f t="shared" si="3"/>
        <v>30</v>
      </c>
      <c r="U110" s="1">
        <v>750</v>
      </c>
      <c r="V110" s="2">
        <f t="shared" si="7"/>
        <v>3750</v>
      </c>
      <c r="W110" s="1">
        <v>1</v>
      </c>
      <c r="X110" s="1" t="s">
        <v>51</v>
      </c>
      <c r="Y110" s="1" t="s">
        <v>67</v>
      </c>
      <c r="Z110" s="1" t="s">
        <v>52</v>
      </c>
      <c r="AA110" s="1" t="s">
        <v>128</v>
      </c>
      <c r="AB110" s="1" t="s">
        <v>145</v>
      </c>
    </row>
    <row r="111" spans="1:28" x14ac:dyDescent="0.15">
      <c r="A111" s="1" t="s">
        <v>35</v>
      </c>
      <c r="B111" s="1" t="s">
        <v>143</v>
      </c>
      <c r="C111" s="1">
        <v>2020</v>
      </c>
      <c r="D111" s="76" t="s">
        <v>234</v>
      </c>
      <c r="E111" s="1" t="s">
        <v>98</v>
      </c>
      <c r="F111" s="1" t="s">
        <v>252</v>
      </c>
      <c r="G111" s="1" t="s">
        <v>37</v>
      </c>
      <c r="H111" s="1" t="s">
        <v>82</v>
      </c>
      <c r="I111" s="1" t="s">
        <v>64</v>
      </c>
      <c r="J111" s="1" t="s">
        <v>40</v>
      </c>
      <c r="K111" s="1" t="s">
        <v>41</v>
      </c>
      <c r="L111" s="1">
        <v>2</v>
      </c>
      <c r="N111" s="1">
        <v>6</v>
      </c>
      <c r="O111" s="1">
        <v>1.2</v>
      </c>
      <c r="P111" s="1">
        <v>1.1000000000000001</v>
      </c>
      <c r="Q111" s="69">
        <f t="shared" si="8"/>
        <v>1.1499999999999999</v>
      </c>
      <c r="R111" s="1">
        <v>12.6</v>
      </c>
      <c r="S111" s="1">
        <v>114</v>
      </c>
      <c r="T111" s="2">
        <f t="shared" si="3"/>
        <v>30</v>
      </c>
      <c r="U111" s="1">
        <v>750</v>
      </c>
      <c r="V111" s="2">
        <f t="shared" si="7"/>
        <v>3750</v>
      </c>
      <c r="W111" s="1">
        <v>1</v>
      </c>
      <c r="X111" s="1" t="s">
        <v>51</v>
      </c>
      <c r="Y111" s="1" t="s">
        <v>67</v>
      </c>
      <c r="Z111" s="1" t="s">
        <v>52</v>
      </c>
      <c r="AA111" s="1" t="s">
        <v>128</v>
      </c>
      <c r="AB111" s="1" t="s">
        <v>145</v>
      </c>
    </row>
    <row r="112" spans="1:28" x14ac:dyDescent="0.15">
      <c r="A112" s="1" t="s">
        <v>35</v>
      </c>
      <c r="B112" s="1" t="s">
        <v>143</v>
      </c>
      <c r="C112" s="1">
        <v>2020</v>
      </c>
      <c r="D112" s="76" t="s">
        <v>234</v>
      </c>
      <c r="E112" s="1" t="s">
        <v>98</v>
      </c>
      <c r="F112" s="1" t="s">
        <v>252</v>
      </c>
      <c r="G112" s="1" t="s">
        <v>37</v>
      </c>
      <c r="H112" s="1" t="s">
        <v>82</v>
      </c>
      <c r="I112" s="1" t="s">
        <v>64</v>
      </c>
      <c r="J112" s="1" t="s">
        <v>40</v>
      </c>
      <c r="K112" s="1" t="s">
        <v>41</v>
      </c>
      <c r="L112" s="1">
        <v>3</v>
      </c>
      <c r="N112" s="1">
        <v>6</v>
      </c>
      <c r="O112" s="1">
        <v>1.25</v>
      </c>
      <c r="P112" s="1">
        <v>1.35</v>
      </c>
      <c r="Q112" s="69">
        <f t="shared" si="8"/>
        <v>1.3</v>
      </c>
      <c r="R112" s="1">
        <v>11.8</v>
      </c>
      <c r="S112" s="1">
        <v>120</v>
      </c>
      <c r="T112" s="2">
        <f t="shared" si="3"/>
        <v>30</v>
      </c>
      <c r="U112" s="1">
        <v>750</v>
      </c>
      <c r="V112" s="2">
        <f t="shared" si="7"/>
        <v>3750</v>
      </c>
      <c r="W112" s="1">
        <v>1</v>
      </c>
      <c r="X112" s="1" t="s">
        <v>51</v>
      </c>
      <c r="Y112" s="1" t="s">
        <v>67</v>
      </c>
      <c r="Z112" s="1" t="s">
        <v>52</v>
      </c>
      <c r="AA112" s="1" t="s">
        <v>128</v>
      </c>
      <c r="AB112" s="1" t="s">
        <v>145</v>
      </c>
    </row>
    <row r="113" spans="1:28" x14ac:dyDescent="0.15">
      <c r="A113" s="1" t="s">
        <v>35</v>
      </c>
      <c r="B113" s="1" t="s">
        <v>143</v>
      </c>
      <c r="C113" s="1">
        <v>2020</v>
      </c>
      <c r="D113" s="76" t="s">
        <v>234</v>
      </c>
      <c r="E113" s="1" t="s">
        <v>98</v>
      </c>
      <c r="F113" s="1" t="s">
        <v>252</v>
      </c>
      <c r="G113" s="1" t="s">
        <v>37</v>
      </c>
      <c r="H113" s="1" t="s">
        <v>82</v>
      </c>
      <c r="I113" s="1" t="s">
        <v>71</v>
      </c>
      <c r="J113" s="1" t="s">
        <v>40</v>
      </c>
      <c r="K113" s="1" t="s">
        <v>41</v>
      </c>
      <c r="L113" s="1">
        <v>1</v>
      </c>
      <c r="N113" s="1">
        <v>4</v>
      </c>
      <c r="O113" s="1">
        <v>0.85</v>
      </c>
      <c r="P113" s="1">
        <v>0.8</v>
      </c>
      <c r="Q113" s="69">
        <f t="shared" si="8"/>
        <v>0.82499999999999996</v>
      </c>
      <c r="R113" s="1">
        <v>16.7</v>
      </c>
      <c r="S113" s="1">
        <v>96</v>
      </c>
      <c r="T113" s="2">
        <f t="shared" si="3"/>
        <v>36</v>
      </c>
      <c r="U113" s="1">
        <v>580</v>
      </c>
      <c r="V113" s="2">
        <f t="shared" si="7"/>
        <v>5220</v>
      </c>
      <c r="W113" s="1">
        <v>2</v>
      </c>
      <c r="X113" s="1" t="s">
        <v>51</v>
      </c>
      <c r="Y113" s="1" t="s">
        <v>67</v>
      </c>
      <c r="Z113" s="1" t="s">
        <v>52</v>
      </c>
      <c r="AA113" s="1" t="s">
        <v>128</v>
      </c>
      <c r="AB113" s="1" t="s">
        <v>145</v>
      </c>
    </row>
    <row r="114" spans="1:28" x14ac:dyDescent="0.15">
      <c r="A114" s="1" t="s">
        <v>35</v>
      </c>
      <c r="B114" s="1" t="s">
        <v>143</v>
      </c>
      <c r="C114" s="1">
        <v>2020</v>
      </c>
      <c r="D114" s="76" t="s">
        <v>234</v>
      </c>
      <c r="E114" s="1" t="s">
        <v>98</v>
      </c>
      <c r="F114" s="1" t="s">
        <v>252</v>
      </c>
      <c r="G114" s="1" t="s">
        <v>37</v>
      </c>
      <c r="H114" s="1" t="s">
        <v>82</v>
      </c>
      <c r="I114" s="1" t="s">
        <v>71</v>
      </c>
      <c r="J114" s="1" t="s">
        <v>40</v>
      </c>
      <c r="K114" s="1" t="s">
        <v>41</v>
      </c>
      <c r="L114" s="1">
        <v>2</v>
      </c>
      <c r="N114" s="1">
        <v>4</v>
      </c>
      <c r="O114" s="1">
        <v>1.25</v>
      </c>
      <c r="P114" s="1">
        <v>1.25</v>
      </c>
      <c r="Q114" s="69">
        <f t="shared" si="8"/>
        <v>1.25</v>
      </c>
      <c r="R114" s="1">
        <v>17.100000000000001</v>
      </c>
      <c r="S114" s="1">
        <v>101</v>
      </c>
      <c r="T114" s="2">
        <f t="shared" si="3"/>
        <v>33</v>
      </c>
      <c r="U114" s="1">
        <v>580</v>
      </c>
      <c r="V114" s="2">
        <f t="shared" si="7"/>
        <v>4785</v>
      </c>
      <c r="W114" s="1">
        <v>2</v>
      </c>
      <c r="X114" s="1" t="s">
        <v>51</v>
      </c>
      <c r="Y114" s="1" t="s">
        <v>67</v>
      </c>
      <c r="Z114" s="1" t="s">
        <v>52</v>
      </c>
      <c r="AA114" s="1" t="s">
        <v>128</v>
      </c>
      <c r="AB114" s="1" t="s">
        <v>145</v>
      </c>
    </row>
    <row r="115" spans="1:28" x14ac:dyDescent="0.15">
      <c r="A115" s="1" t="s">
        <v>35</v>
      </c>
      <c r="B115" s="1" t="s">
        <v>143</v>
      </c>
      <c r="C115" s="1">
        <v>2020</v>
      </c>
      <c r="D115" s="76" t="s">
        <v>234</v>
      </c>
      <c r="E115" s="1" t="s">
        <v>98</v>
      </c>
      <c r="F115" s="1" t="s">
        <v>252</v>
      </c>
      <c r="G115" s="1" t="s">
        <v>37</v>
      </c>
      <c r="H115" s="1" t="s">
        <v>82</v>
      </c>
      <c r="I115" s="1" t="s">
        <v>71</v>
      </c>
      <c r="J115" s="1" t="s">
        <v>40</v>
      </c>
      <c r="K115" s="1" t="s">
        <v>41</v>
      </c>
      <c r="L115" s="1">
        <v>3</v>
      </c>
      <c r="N115" s="1">
        <v>4</v>
      </c>
      <c r="O115" s="1">
        <v>1.1499999999999999</v>
      </c>
      <c r="P115" s="1">
        <v>1.2</v>
      </c>
      <c r="Q115" s="69">
        <f t="shared" si="8"/>
        <v>1.1749999999999998</v>
      </c>
      <c r="R115" s="1">
        <v>19.2</v>
      </c>
      <c r="S115" s="1">
        <v>96</v>
      </c>
      <c r="T115" s="2">
        <f t="shared" si="3"/>
        <v>36</v>
      </c>
      <c r="U115" s="1">
        <v>580</v>
      </c>
      <c r="V115" s="2">
        <f t="shared" si="7"/>
        <v>5220</v>
      </c>
      <c r="W115" s="1">
        <v>2</v>
      </c>
      <c r="X115" s="1" t="s">
        <v>51</v>
      </c>
      <c r="Y115" s="1" t="s">
        <v>67</v>
      </c>
      <c r="Z115" s="1" t="s">
        <v>52</v>
      </c>
      <c r="AA115" s="1" t="s">
        <v>128</v>
      </c>
      <c r="AB115" s="1" t="s">
        <v>145</v>
      </c>
    </row>
    <row r="116" spans="1:28" x14ac:dyDescent="0.15">
      <c r="A116" s="1" t="s">
        <v>35</v>
      </c>
      <c r="B116" s="1" t="s">
        <v>143</v>
      </c>
      <c r="C116" s="1">
        <v>2020</v>
      </c>
      <c r="D116" s="76" t="s">
        <v>234</v>
      </c>
      <c r="E116" s="1" t="s">
        <v>93</v>
      </c>
      <c r="F116" s="1" t="s">
        <v>265</v>
      </c>
      <c r="G116" s="1" t="s">
        <v>37</v>
      </c>
      <c r="H116" s="1" t="s">
        <v>63</v>
      </c>
      <c r="I116" s="1" t="s">
        <v>64</v>
      </c>
      <c r="J116" s="1" t="s">
        <v>40</v>
      </c>
      <c r="K116" s="1" t="s">
        <v>41</v>
      </c>
      <c r="L116" s="1">
        <v>1</v>
      </c>
      <c r="N116" s="1">
        <v>1</v>
      </c>
      <c r="O116" s="1">
        <v>1.25</v>
      </c>
      <c r="P116" s="1">
        <v>1.25</v>
      </c>
      <c r="Q116" s="69">
        <f t="shared" si="8"/>
        <v>1.25</v>
      </c>
      <c r="R116" s="1">
        <v>13.6</v>
      </c>
      <c r="S116" s="1">
        <v>104</v>
      </c>
      <c r="T116" s="2">
        <f t="shared" si="3"/>
        <v>33</v>
      </c>
      <c r="U116" s="1">
        <v>98</v>
      </c>
      <c r="V116" s="2">
        <f t="shared" si="7"/>
        <v>3234</v>
      </c>
      <c r="W116" s="1">
        <v>2</v>
      </c>
      <c r="X116" s="1" t="s">
        <v>51</v>
      </c>
      <c r="Y116" s="1" t="s">
        <v>67</v>
      </c>
      <c r="Z116" s="1" t="s">
        <v>43</v>
      </c>
      <c r="AA116" s="1" t="s">
        <v>128</v>
      </c>
      <c r="AB116" s="1" t="s">
        <v>145</v>
      </c>
    </row>
    <row r="117" spans="1:28" x14ac:dyDescent="0.15">
      <c r="A117" s="1" t="s">
        <v>35</v>
      </c>
      <c r="B117" s="1" t="s">
        <v>143</v>
      </c>
      <c r="C117" s="1">
        <v>2020</v>
      </c>
      <c r="D117" s="76" t="s">
        <v>234</v>
      </c>
      <c r="E117" s="1" t="s">
        <v>93</v>
      </c>
      <c r="F117" s="1" t="s">
        <v>265</v>
      </c>
      <c r="G117" s="1" t="s">
        <v>37</v>
      </c>
      <c r="H117" s="1" t="s">
        <v>63</v>
      </c>
      <c r="I117" s="1" t="s">
        <v>64</v>
      </c>
      <c r="J117" s="1" t="s">
        <v>40</v>
      </c>
      <c r="K117" s="1" t="s">
        <v>41</v>
      </c>
      <c r="L117" s="1">
        <v>2</v>
      </c>
      <c r="N117" s="1">
        <v>1</v>
      </c>
      <c r="O117" s="1">
        <v>1.25</v>
      </c>
      <c r="P117" s="1">
        <v>1.1000000000000001</v>
      </c>
      <c r="Q117" s="69">
        <f t="shared" si="8"/>
        <v>1.175</v>
      </c>
      <c r="R117" s="1">
        <v>16.3</v>
      </c>
      <c r="S117" s="1">
        <v>109</v>
      </c>
      <c r="T117" s="2">
        <f t="shared" si="3"/>
        <v>33</v>
      </c>
      <c r="U117" s="1">
        <v>98</v>
      </c>
      <c r="V117" s="2">
        <f t="shared" si="7"/>
        <v>3234</v>
      </c>
      <c r="W117" s="1">
        <v>2</v>
      </c>
      <c r="X117" s="1" t="s">
        <v>51</v>
      </c>
      <c r="Y117" s="1" t="s">
        <v>67</v>
      </c>
      <c r="Z117" s="1" t="s">
        <v>43</v>
      </c>
      <c r="AA117" s="1" t="s">
        <v>128</v>
      </c>
      <c r="AB117" s="1" t="s">
        <v>145</v>
      </c>
    </row>
    <row r="118" spans="1:28" x14ac:dyDescent="0.15">
      <c r="A118" s="1" t="s">
        <v>35</v>
      </c>
      <c r="B118" s="1" t="s">
        <v>143</v>
      </c>
      <c r="C118" s="1">
        <v>2020</v>
      </c>
      <c r="D118" s="76" t="s">
        <v>234</v>
      </c>
      <c r="E118" s="1" t="s">
        <v>93</v>
      </c>
      <c r="F118" s="1" t="s">
        <v>265</v>
      </c>
      <c r="G118" s="1" t="s">
        <v>37</v>
      </c>
      <c r="H118" s="1" t="s">
        <v>63</v>
      </c>
      <c r="I118" s="1" t="s">
        <v>64</v>
      </c>
      <c r="J118" s="1" t="s">
        <v>40</v>
      </c>
      <c r="K118" s="1" t="s">
        <v>41</v>
      </c>
      <c r="L118" s="1">
        <v>3</v>
      </c>
      <c r="N118" s="1">
        <v>1</v>
      </c>
      <c r="O118" s="1">
        <v>1.25</v>
      </c>
      <c r="P118" s="1">
        <v>1.25</v>
      </c>
      <c r="Q118" s="69">
        <f t="shared" si="8"/>
        <v>1.25</v>
      </c>
      <c r="R118" s="1">
        <v>10.7</v>
      </c>
      <c r="S118" s="1">
        <v>124</v>
      </c>
      <c r="T118" s="2">
        <f t="shared" si="3"/>
        <v>27</v>
      </c>
      <c r="U118" s="1">
        <v>98</v>
      </c>
      <c r="V118" s="2">
        <f t="shared" si="7"/>
        <v>2646</v>
      </c>
      <c r="W118" s="1">
        <v>2</v>
      </c>
      <c r="X118" s="1" t="s">
        <v>51</v>
      </c>
      <c r="Y118" s="1" t="s">
        <v>67</v>
      </c>
      <c r="Z118" s="1" t="s">
        <v>43</v>
      </c>
      <c r="AA118" s="1" t="s">
        <v>128</v>
      </c>
      <c r="AB118" s="1" t="s">
        <v>145</v>
      </c>
    </row>
    <row r="119" spans="1:28" x14ac:dyDescent="0.15">
      <c r="A119" s="1" t="s">
        <v>35</v>
      </c>
      <c r="B119" s="1" t="s">
        <v>143</v>
      </c>
      <c r="C119" s="1">
        <v>2020</v>
      </c>
      <c r="D119" s="76" t="s">
        <v>234</v>
      </c>
      <c r="E119" s="1" t="s">
        <v>93</v>
      </c>
      <c r="F119" s="1" t="s">
        <v>265</v>
      </c>
      <c r="G119" s="1" t="s">
        <v>37</v>
      </c>
      <c r="H119" s="1" t="s">
        <v>63</v>
      </c>
      <c r="I119" s="1" t="s">
        <v>64</v>
      </c>
      <c r="J119" s="1" t="s">
        <v>40</v>
      </c>
      <c r="K119" s="1" t="s">
        <v>41</v>
      </c>
      <c r="L119" s="1">
        <v>1</v>
      </c>
      <c r="N119" s="1">
        <v>4</v>
      </c>
      <c r="O119" s="1">
        <v>0.9</v>
      </c>
      <c r="P119" s="1">
        <v>1.1000000000000001</v>
      </c>
      <c r="Q119" s="69">
        <f t="shared" si="8"/>
        <v>1</v>
      </c>
      <c r="R119" s="1">
        <v>10.1</v>
      </c>
      <c r="S119" s="1">
        <v>120</v>
      </c>
      <c r="T119" s="2">
        <f t="shared" si="3"/>
        <v>30</v>
      </c>
      <c r="U119" s="1">
        <v>398</v>
      </c>
      <c r="V119" s="2">
        <f t="shared" si="7"/>
        <v>2985</v>
      </c>
      <c r="W119" s="1">
        <v>2</v>
      </c>
      <c r="X119" s="1" t="s">
        <v>51</v>
      </c>
      <c r="Y119" s="1" t="s">
        <v>67</v>
      </c>
      <c r="Z119" s="1" t="s">
        <v>43</v>
      </c>
      <c r="AA119" s="1" t="s">
        <v>128</v>
      </c>
      <c r="AB119" s="1" t="s">
        <v>145</v>
      </c>
    </row>
    <row r="120" spans="1:28" x14ac:dyDescent="0.15">
      <c r="A120" s="1" t="s">
        <v>35</v>
      </c>
      <c r="B120" s="1" t="s">
        <v>143</v>
      </c>
      <c r="C120" s="1">
        <v>2020</v>
      </c>
      <c r="D120" s="76" t="s">
        <v>234</v>
      </c>
      <c r="E120" s="1" t="s">
        <v>93</v>
      </c>
      <c r="F120" s="1" t="s">
        <v>265</v>
      </c>
      <c r="G120" s="1" t="s">
        <v>37</v>
      </c>
      <c r="H120" s="1" t="s">
        <v>63</v>
      </c>
      <c r="I120" s="1" t="s">
        <v>64</v>
      </c>
      <c r="J120" s="1" t="s">
        <v>40</v>
      </c>
      <c r="K120" s="1" t="s">
        <v>41</v>
      </c>
      <c r="L120" s="1">
        <v>2</v>
      </c>
      <c r="N120" s="1">
        <v>4</v>
      </c>
      <c r="O120" s="1">
        <v>0.6</v>
      </c>
      <c r="P120" s="1">
        <v>0.7</v>
      </c>
      <c r="Q120" s="69">
        <f t="shared" si="8"/>
        <v>0.64999999999999991</v>
      </c>
      <c r="R120" s="1">
        <v>10.7</v>
      </c>
      <c r="S120" s="1">
        <v>121</v>
      </c>
      <c r="T120" s="2">
        <f t="shared" si="3"/>
        <v>27</v>
      </c>
      <c r="U120" s="1">
        <v>398</v>
      </c>
      <c r="V120" s="2">
        <f t="shared" si="7"/>
        <v>2686.5</v>
      </c>
      <c r="W120" s="1">
        <v>2</v>
      </c>
      <c r="X120" s="1" t="s">
        <v>51</v>
      </c>
      <c r="Y120" s="1" t="s">
        <v>67</v>
      </c>
      <c r="Z120" s="1" t="s">
        <v>43</v>
      </c>
      <c r="AA120" s="1" t="s">
        <v>128</v>
      </c>
      <c r="AB120" s="1" t="s">
        <v>145</v>
      </c>
    </row>
    <row r="121" spans="1:28" x14ac:dyDescent="0.15">
      <c r="A121" s="1" t="s">
        <v>35</v>
      </c>
      <c r="B121" s="1" t="s">
        <v>143</v>
      </c>
      <c r="C121" s="1">
        <v>2020</v>
      </c>
      <c r="D121" s="76" t="s">
        <v>234</v>
      </c>
      <c r="E121" s="1" t="s">
        <v>93</v>
      </c>
      <c r="F121" s="1" t="s">
        <v>265</v>
      </c>
      <c r="G121" s="1" t="s">
        <v>37</v>
      </c>
      <c r="H121" s="1" t="s">
        <v>63</v>
      </c>
      <c r="I121" s="1" t="s">
        <v>64</v>
      </c>
      <c r="J121" s="1" t="s">
        <v>40</v>
      </c>
      <c r="K121" s="1" t="s">
        <v>41</v>
      </c>
      <c r="L121" s="1">
        <v>3</v>
      </c>
      <c r="N121" s="1">
        <v>4</v>
      </c>
      <c r="O121" s="1">
        <v>1.25</v>
      </c>
      <c r="P121" s="1">
        <v>1.5</v>
      </c>
      <c r="Q121" s="66">
        <f t="shared" si="8"/>
        <v>1.375</v>
      </c>
      <c r="R121" s="1">
        <v>10.9</v>
      </c>
      <c r="S121" s="1">
        <v>126</v>
      </c>
      <c r="T121" s="2">
        <f t="shared" si="3"/>
        <v>27</v>
      </c>
      <c r="U121" s="1">
        <v>398</v>
      </c>
      <c r="V121" s="2">
        <f t="shared" si="7"/>
        <v>2686.5</v>
      </c>
      <c r="W121" s="1">
        <v>2</v>
      </c>
      <c r="X121" s="1" t="s">
        <v>51</v>
      </c>
      <c r="Y121" s="1" t="s">
        <v>67</v>
      </c>
      <c r="Z121" s="1" t="s">
        <v>43</v>
      </c>
      <c r="AA121" s="1" t="s">
        <v>128</v>
      </c>
      <c r="AB121" s="1" t="s">
        <v>145</v>
      </c>
    </row>
    <row r="122" spans="1:28" x14ac:dyDescent="0.15">
      <c r="A122" s="1" t="s">
        <v>35</v>
      </c>
      <c r="B122" s="1" t="s">
        <v>143</v>
      </c>
      <c r="C122" s="1">
        <v>2020</v>
      </c>
      <c r="D122" s="76" t="s">
        <v>234</v>
      </c>
      <c r="E122" s="1" t="s">
        <v>93</v>
      </c>
      <c r="F122" s="1" t="s">
        <v>265</v>
      </c>
      <c r="G122" s="1" t="s">
        <v>37</v>
      </c>
      <c r="H122" s="1" t="s">
        <v>82</v>
      </c>
      <c r="I122" s="1" t="s">
        <v>64</v>
      </c>
      <c r="J122" s="1" t="s">
        <v>40</v>
      </c>
      <c r="K122" s="1" t="s">
        <v>41</v>
      </c>
      <c r="L122" s="1">
        <v>1</v>
      </c>
      <c r="N122" s="1">
        <v>1</v>
      </c>
      <c r="O122" s="1">
        <v>0.7</v>
      </c>
      <c r="P122" s="1">
        <v>0.75</v>
      </c>
      <c r="Q122" s="66">
        <f t="shared" si="8"/>
        <v>0.72499999999999998</v>
      </c>
      <c r="R122" s="1">
        <v>16.8</v>
      </c>
      <c r="S122" s="1">
        <v>126</v>
      </c>
      <c r="T122" s="2">
        <f t="shared" si="3"/>
        <v>27</v>
      </c>
      <c r="U122" s="1">
        <v>98</v>
      </c>
      <c r="V122" s="2">
        <f t="shared" si="7"/>
        <v>2646</v>
      </c>
      <c r="W122" s="1">
        <v>2</v>
      </c>
      <c r="X122" s="1" t="s">
        <v>51</v>
      </c>
      <c r="Y122" s="1" t="s">
        <v>67</v>
      </c>
      <c r="Z122" s="1" t="s">
        <v>43</v>
      </c>
      <c r="AA122" s="1" t="s">
        <v>128</v>
      </c>
      <c r="AB122" s="1" t="s">
        <v>145</v>
      </c>
    </row>
    <row r="123" spans="1:28" x14ac:dyDescent="0.15">
      <c r="A123" s="1" t="s">
        <v>35</v>
      </c>
      <c r="B123" s="1" t="s">
        <v>143</v>
      </c>
      <c r="C123" s="1">
        <v>2020</v>
      </c>
      <c r="D123" s="76" t="s">
        <v>234</v>
      </c>
      <c r="E123" s="1" t="s">
        <v>93</v>
      </c>
      <c r="F123" s="1" t="s">
        <v>265</v>
      </c>
      <c r="G123" s="1" t="s">
        <v>37</v>
      </c>
      <c r="H123" s="1" t="s">
        <v>82</v>
      </c>
      <c r="I123" s="1" t="s">
        <v>64</v>
      </c>
      <c r="J123" s="1" t="s">
        <v>40</v>
      </c>
      <c r="K123" s="1" t="s">
        <v>41</v>
      </c>
      <c r="L123" s="1">
        <v>2</v>
      </c>
      <c r="N123" s="1">
        <v>1</v>
      </c>
      <c r="O123" s="1">
        <v>1</v>
      </c>
      <c r="P123" s="1">
        <v>1</v>
      </c>
      <c r="Q123" s="66">
        <f t="shared" si="8"/>
        <v>1</v>
      </c>
      <c r="R123" s="1">
        <v>11.6</v>
      </c>
      <c r="S123" s="1">
        <v>125</v>
      </c>
      <c r="T123" s="2">
        <f t="shared" si="3"/>
        <v>27</v>
      </c>
      <c r="U123" s="1">
        <v>98</v>
      </c>
      <c r="V123" s="2">
        <f t="shared" si="7"/>
        <v>2646</v>
      </c>
      <c r="W123" s="1">
        <v>2</v>
      </c>
      <c r="X123" s="1" t="s">
        <v>51</v>
      </c>
      <c r="Y123" s="1" t="s">
        <v>67</v>
      </c>
      <c r="Z123" s="1" t="s">
        <v>43</v>
      </c>
      <c r="AA123" s="1" t="s">
        <v>128</v>
      </c>
      <c r="AB123" s="1" t="s">
        <v>145</v>
      </c>
    </row>
    <row r="124" spans="1:28" x14ac:dyDescent="0.15">
      <c r="A124" s="1" t="s">
        <v>35</v>
      </c>
      <c r="B124" s="1" t="s">
        <v>143</v>
      </c>
      <c r="C124" s="1">
        <v>2020</v>
      </c>
      <c r="D124" s="76" t="s">
        <v>234</v>
      </c>
      <c r="E124" s="1" t="s">
        <v>93</v>
      </c>
      <c r="F124" s="1" t="s">
        <v>265</v>
      </c>
      <c r="G124" s="1" t="s">
        <v>37</v>
      </c>
      <c r="H124" s="1" t="s">
        <v>82</v>
      </c>
      <c r="I124" s="1" t="s">
        <v>64</v>
      </c>
      <c r="J124" s="1" t="s">
        <v>40</v>
      </c>
      <c r="K124" s="1" t="s">
        <v>41</v>
      </c>
      <c r="L124" s="1">
        <v>3</v>
      </c>
      <c r="N124" s="1">
        <v>1</v>
      </c>
      <c r="O124" s="1">
        <v>0.75</v>
      </c>
      <c r="P124" s="1">
        <v>0.7</v>
      </c>
      <c r="Q124" s="66">
        <f t="shared" si="8"/>
        <v>0.72499999999999998</v>
      </c>
      <c r="R124" s="1">
        <v>17.399999999999999</v>
      </c>
      <c r="S124" s="1">
        <v>123</v>
      </c>
      <c r="T124" s="2">
        <f t="shared" si="3"/>
        <v>27</v>
      </c>
      <c r="U124" s="1">
        <v>98</v>
      </c>
      <c r="V124" s="2">
        <f t="shared" si="7"/>
        <v>2646</v>
      </c>
      <c r="W124" s="1">
        <v>2</v>
      </c>
      <c r="X124" s="1" t="s">
        <v>51</v>
      </c>
      <c r="Y124" s="1" t="s">
        <v>67</v>
      </c>
      <c r="Z124" s="1" t="s">
        <v>43</v>
      </c>
      <c r="AA124" s="1" t="s">
        <v>128</v>
      </c>
      <c r="AB124" s="1" t="s">
        <v>145</v>
      </c>
    </row>
    <row r="125" spans="1:28" x14ac:dyDescent="0.15">
      <c r="A125" s="1" t="s">
        <v>35</v>
      </c>
      <c r="B125" s="1" t="s">
        <v>143</v>
      </c>
      <c r="C125" s="1">
        <v>2020</v>
      </c>
      <c r="D125" s="76" t="s">
        <v>234</v>
      </c>
      <c r="E125" s="1" t="s">
        <v>93</v>
      </c>
      <c r="F125" s="1" t="s">
        <v>265</v>
      </c>
      <c r="G125" s="1" t="s">
        <v>37</v>
      </c>
      <c r="H125" s="1" t="s">
        <v>82</v>
      </c>
      <c r="I125" s="1" t="s">
        <v>64</v>
      </c>
      <c r="J125" s="1" t="s">
        <v>40</v>
      </c>
      <c r="K125" s="1" t="s">
        <v>41</v>
      </c>
      <c r="L125" s="1">
        <v>1</v>
      </c>
      <c r="N125" s="1">
        <v>4</v>
      </c>
      <c r="O125" s="1">
        <v>0.6</v>
      </c>
      <c r="P125" s="1">
        <v>0.65</v>
      </c>
      <c r="Q125" s="66">
        <f t="shared" si="8"/>
        <v>0.625</v>
      </c>
      <c r="R125" s="1">
        <v>13.8</v>
      </c>
      <c r="S125" s="1">
        <v>109</v>
      </c>
      <c r="T125" s="2">
        <f t="shared" si="3"/>
        <v>33</v>
      </c>
      <c r="U125" s="1">
        <v>498</v>
      </c>
      <c r="V125" s="2">
        <f t="shared" si="7"/>
        <v>4108.5</v>
      </c>
      <c r="W125" s="1">
        <v>2</v>
      </c>
      <c r="X125" s="1" t="s">
        <v>51</v>
      </c>
      <c r="Y125" s="1" t="s">
        <v>67</v>
      </c>
      <c r="Z125" s="1" t="s">
        <v>43</v>
      </c>
      <c r="AA125" s="1" t="s">
        <v>128</v>
      </c>
      <c r="AB125" s="1" t="s">
        <v>145</v>
      </c>
    </row>
    <row r="126" spans="1:28" x14ac:dyDescent="0.15">
      <c r="A126" s="1" t="s">
        <v>35</v>
      </c>
      <c r="B126" s="1" t="s">
        <v>143</v>
      </c>
      <c r="C126" s="1">
        <v>2020</v>
      </c>
      <c r="D126" s="76" t="s">
        <v>234</v>
      </c>
      <c r="E126" s="1" t="s">
        <v>93</v>
      </c>
      <c r="F126" s="1" t="s">
        <v>265</v>
      </c>
      <c r="G126" s="1" t="s">
        <v>37</v>
      </c>
      <c r="H126" s="1" t="s">
        <v>82</v>
      </c>
      <c r="I126" s="1" t="s">
        <v>64</v>
      </c>
      <c r="J126" s="1" t="s">
        <v>40</v>
      </c>
      <c r="K126" s="1" t="s">
        <v>41</v>
      </c>
      <c r="L126" s="1">
        <v>2</v>
      </c>
      <c r="N126" s="1">
        <v>4</v>
      </c>
      <c r="O126" s="1">
        <v>0.8</v>
      </c>
      <c r="P126" s="1">
        <v>0.9</v>
      </c>
      <c r="Q126" s="66">
        <f t="shared" si="8"/>
        <v>0.85000000000000009</v>
      </c>
      <c r="R126" s="1">
        <v>17.100000000000001</v>
      </c>
      <c r="S126" s="1">
        <v>107</v>
      </c>
      <c r="T126" s="2">
        <f t="shared" si="3"/>
        <v>33</v>
      </c>
      <c r="U126" s="1">
        <v>498</v>
      </c>
      <c r="V126" s="2">
        <f t="shared" si="7"/>
        <v>4108.5</v>
      </c>
      <c r="W126" s="1">
        <v>2</v>
      </c>
      <c r="X126" s="1" t="s">
        <v>51</v>
      </c>
      <c r="Y126" s="1" t="s">
        <v>67</v>
      </c>
      <c r="Z126" s="1" t="s">
        <v>43</v>
      </c>
      <c r="AA126" s="1" t="s">
        <v>128</v>
      </c>
      <c r="AB126" s="1" t="s">
        <v>145</v>
      </c>
    </row>
    <row r="127" spans="1:28" x14ac:dyDescent="0.15">
      <c r="A127" s="1" t="s">
        <v>35</v>
      </c>
      <c r="B127" s="1" t="s">
        <v>143</v>
      </c>
      <c r="C127" s="1">
        <v>2020</v>
      </c>
      <c r="D127" s="76" t="s">
        <v>234</v>
      </c>
      <c r="E127" s="1" t="s">
        <v>93</v>
      </c>
      <c r="F127" s="1" t="s">
        <v>265</v>
      </c>
      <c r="G127" s="1" t="s">
        <v>37</v>
      </c>
      <c r="H127" s="1" t="s">
        <v>82</v>
      </c>
      <c r="I127" s="1" t="s">
        <v>64</v>
      </c>
      <c r="J127" s="1" t="s">
        <v>40</v>
      </c>
      <c r="K127" s="1" t="s">
        <v>41</v>
      </c>
      <c r="L127" s="1">
        <v>3</v>
      </c>
      <c r="N127" s="1">
        <v>4</v>
      </c>
      <c r="O127" s="1">
        <v>0.6</v>
      </c>
      <c r="P127" s="1">
        <v>0.6</v>
      </c>
      <c r="Q127" s="66">
        <f t="shared" si="8"/>
        <v>0.6</v>
      </c>
      <c r="R127" s="1">
        <v>17.399999999999999</v>
      </c>
      <c r="S127" s="1">
        <v>109</v>
      </c>
      <c r="T127" s="2">
        <f t="shared" si="3"/>
        <v>33</v>
      </c>
      <c r="U127" s="1">
        <v>498</v>
      </c>
      <c r="V127" s="2">
        <f t="shared" si="7"/>
        <v>4108.5</v>
      </c>
      <c r="W127" s="1">
        <v>2</v>
      </c>
      <c r="X127" s="1" t="s">
        <v>51</v>
      </c>
      <c r="Y127" s="1" t="s">
        <v>67</v>
      </c>
      <c r="Z127" s="1" t="s">
        <v>43</v>
      </c>
      <c r="AA127" s="1" t="s">
        <v>128</v>
      </c>
      <c r="AB127" s="1" t="s">
        <v>145</v>
      </c>
    </row>
    <row r="128" spans="1:28" x14ac:dyDescent="0.15">
      <c r="A128" s="1" t="s">
        <v>35</v>
      </c>
      <c r="B128" s="1" t="s">
        <v>143</v>
      </c>
      <c r="C128" s="1">
        <v>2020</v>
      </c>
      <c r="D128" s="76" t="s">
        <v>234</v>
      </c>
      <c r="E128" s="1" t="s">
        <v>45</v>
      </c>
      <c r="F128" s="1" t="s">
        <v>240</v>
      </c>
      <c r="G128" s="1" t="s">
        <v>37</v>
      </c>
      <c r="H128" s="1" t="s">
        <v>63</v>
      </c>
      <c r="I128" s="1" t="s">
        <v>64</v>
      </c>
      <c r="J128" s="1" t="s">
        <v>40</v>
      </c>
      <c r="K128" s="1" t="s">
        <v>41</v>
      </c>
      <c r="L128" s="1">
        <v>1</v>
      </c>
      <c r="N128" s="1">
        <v>1</v>
      </c>
      <c r="O128" s="1">
        <v>0.8</v>
      </c>
      <c r="P128" s="1">
        <v>0.9</v>
      </c>
      <c r="Q128" s="66">
        <f t="shared" si="8"/>
        <v>0.85000000000000009</v>
      </c>
      <c r="R128" s="1">
        <v>10.7</v>
      </c>
      <c r="S128" s="1">
        <v>137</v>
      </c>
      <c r="T128" s="2">
        <f t="shared" si="3"/>
        <v>25</v>
      </c>
      <c r="U128" s="1">
        <v>93</v>
      </c>
      <c r="V128" s="2">
        <f t="shared" si="7"/>
        <v>2325</v>
      </c>
      <c r="W128" s="1">
        <v>4</v>
      </c>
      <c r="X128" s="1" t="s">
        <v>51</v>
      </c>
      <c r="Y128" s="1" t="s">
        <v>67</v>
      </c>
      <c r="Z128" s="1" t="s">
        <v>52</v>
      </c>
      <c r="AA128" s="1" t="s">
        <v>101</v>
      </c>
      <c r="AB128" s="1" t="s">
        <v>145</v>
      </c>
    </row>
    <row r="129" spans="1:28" x14ac:dyDescent="0.15">
      <c r="A129" s="1" t="s">
        <v>35</v>
      </c>
      <c r="B129" s="1" t="s">
        <v>143</v>
      </c>
      <c r="C129" s="1">
        <v>2020</v>
      </c>
      <c r="D129" s="76" t="s">
        <v>234</v>
      </c>
      <c r="E129" s="1" t="s">
        <v>45</v>
      </c>
      <c r="F129" s="1" t="s">
        <v>240</v>
      </c>
      <c r="G129" s="1" t="s">
        <v>37</v>
      </c>
      <c r="H129" s="1" t="s">
        <v>63</v>
      </c>
      <c r="I129" s="1" t="s">
        <v>64</v>
      </c>
      <c r="J129" s="1" t="s">
        <v>40</v>
      </c>
      <c r="K129" s="1" t="s">
        <v>41</v>
      </c>
      <c r="L129" s="1">
        <v>2</v>
      </c>
      <c r="N129" s="1">
        <v>1</v>
      </c>
      <c r="O129" s="1">
        <v>0.9</v>
      </c>
      <c r="P129" s="1">
        <v>0.7</v>
      </c>
      <c r="Q129" s="66">
        <f t="shared" si="8"/>
        <v>0.8</v>
      </c>
      <c r="R129" s="1">
        <v>12</v>
      </c>
      <c r="S129" s="1">
        <v>137</v>
      </c>
      <c r="T129" s="2">
        <f t="shared" si="3"/>
        <v>25</v>
      </c>
      <c r="U129" s="1">
        <v>93</v>
      </c>
      <c r="V129" s="2">
        <f t="shared" si="7"/>
        <v>2325</v>
      </c>
      <c r="W129" s="1">
        <v>4</v>
      </c>
      <c r="X129" s="1" t="s">
        <v>51</v>
      </c>
      <c r="Y129" s="1" t="s">
        <v>67</v>
      </c>
      <c r="Z129" s="1" t="s">
        <v>52</v>
      </c>
      <c r="AA129" s="1" t="s">
        <v>101</v>
      </c>
      <c r="AB129" s="1" t="s">
        <v>145</v>
      </c>
    </row>
    <row r="130" spans="1:28" x14ac:dyDescent="0.15">
      <c r="A130" s="1" t="s">
        <v>35</v>
      </c>
      <c r="B130" s="1" t="s">
        <v>143</v>
      </c>
      <c r="C130" s="1">
        <v>2020</v>
      </c>
      <c r="D130" s="76" t="s">
        <v>234</v>
      </c>
      <c r="E130" s="1" t="s">
        <v>45</v>
      </c>
      <c r="F130" s="1" t="s">
        <v>240</v>
      </c>
      <c r="G130" s="1" t="s">
        <v>37</v>
      </c>
      <c r="H130" s="1" t="s">
        <v>63</v>
      </c>
      <c r="I130" s="1" t="s">
        <v>64</v>
      </c>
      <c r="J130" s="1" t="s">
        <v>40</v>
      </c>
      <c r="K130" s="1" t="s">
        <v>41</v>
      </c>
      <c r="L130" s="1">
        <v>3</v>
      </c>
      <c r="N130" s="1">
        <v>1</v>
      </c>
      <c r="O130" s="1">
        <v>0.5</v>
      </c>
      <c r="P130" s="1">
        <v>0.75</v>
      </c>
      <c r="Q130" s="66">
        <f t="shared" si="8"/>
        <v>0.625</v>
      </c>
      <c r="R130" s="1">
        <v>12.8</v>
      </c>
      <c r="S130" s="1">
        <v>140</v>
      </c>
      <c r="T130" s="2">
        <f t="shared" si="3"/>
        <v>22</v>
      </c>
      <c r="U130" s="1">
        <v>93</v>
      </c>
      <c r="V130" s="2">
        <f t="shared" si="7"/>
        <v>2046</v>
      </c>
      <c r="W130" s="1">
        <v>4</v>
      </c>
      <c r="X130" s="1" t="s">
        <v>51</v>
      </c>
      <c r="Y130" s="1" t="s">
        <v>67</v>
      </c>
      <c r="Z130" s="1" t="s">
        <v>52</v>
      </c>
      <c r="AA130" s="1" t="s">
        <v>101</v>
      </c>
      <c r="AB130" s="1" t="s">
        <v>145</v>
      </c>
    </row>
    <row r="131" spans="1:28" x14ac:dyDescent="0.15">
      <c r="A131" s="1" t="s">
        <v>35</v>
      </c>
      <c r="B131" s="1" t="s">
        <v>143</v>
      </c>
      <c r="C131" s="1">
        <v>2020</v>
      </c>
      <c r="D131" s="76" t="s">
        <v>234</v>
      </c>
      <c r="E131" s="1" t="s">
        <v>45</v>
      </c>
      <c r="F131" s="1" t="s">
        <v>240</v>
      </c>
      <c r="G131" s="1" t="s">
        <v>37</v>
      </c>
      <c r="H131" s="1" t="s">
        <v>63</v>
      </c>
      <c r="I131" s="1" t="s">
        <v>64</v>
      </c>
      <c r="J131" s="1" t="s">
        <v>40</v>
      </c>
      <c r="K131" s="1" t="s">
        <v>41</v>
      </c>
      <c r="L131" s="1">
        <v>1</v>
      </c>
      <c r="N131" s="1">
        <v>4</v>
      </c>
      <c r="O131" s="1">
        <v>0.8</v>
      </c>
      <c r="P131" s="1">
        <v>0.75</v>
      </c>
      <c r="Q131" s="66">
        <f t="shared" si="8"/>
        <v>0.77500000000000002</v>
      </c>
      <c r="R131" s="1">
        <v>12.3</v>
      </c>
      <c r="S131" s="1">
        <v>139</v>
      </c>
      <c r="T131" s="2">
        <f t="shared" si="3"/>
        <v>22</v>
      </c>
      <c r="U131" s="1">
        <v>398</v>
      </c>
      <c r="V131" s="2">
        <f t="shared" si="7"/>
        <v>2189</v>
      </c>
      <c r="W131" s="1">
        <v>2</v>
      </c>
      <c r="X131" s="1" t="s">
        <v>51</v>
      </c>
      <c r="Y131" s="1" t="s">
        <v>67</v>
      </c>
      <c r="Z131" s="1" t="s">
        <v>52</v>
      </c>
      <c r="AA131" s="1" t="s">
        <v>101</v>
      </c>
      <c r="AB131" s="1" t="s">
        <v>145</v>
      </c>
    </row>
    <row r="132" spans="1:28" x14ac:dyDescent="0.15">
      <c r="A132" s="1" t="s">
        <v>35</v>
      </c>
      <c r="B132" s="1" t="s">
        <v>143</v>
      </c>
      <c r="C132" s="1">
        <v>2020</v>
      </c>
      <c r="D132" s="76" t="s">
        <v>234</v>
      </c>
      <c r="E132" s="1" t="s">
        <v>45</v>
      </c>
      <c r="F132" s="1" t="s">
        <v>240</v>
      </c>
      <c r="G132" s="1" t="s">
        <v>37</v>
      </c>
      <c r="H132" s="1" t="s">
        <v>63</v>
      </c>
      <c r="I132" s="1" t="s">
        <v>64</v>
      </c>
      <c r="J132" s="1" t="s">
        <v>40</v>
      </c>
      <c r="K132" s="1" t="s">
        <v>41</v>
      </c>
      <c r="L132" s="1">
        <v>2</v>
      </c>
      <c r="N132" s="1">
        <v>4</v>
      </c>
      <c r="O132" s="1">
        <v>0.75</v>
      </c>
      <c r="P132" s="1">
        <v>0.5</v>
      </c>
      <c r="Q132" s="66">
        <f t="shared" si="8"/>
        <v>0.625</v>
      </c>
      <c r="R132" s="1">
        <v>10.8</v>
      </c>
      <c r="S132" s="1">
        <v>138</v>
      </c>
      <c r="T132" s="2">
        <f t="shared" si="3"/>
        <v>22</v>
      </c>
      <c r="U132" s="1">
        <v>398</v>
      </c>
      <c r="V132" s="2">
        <f t="shared" si="7"/>
        <v>2189</v>
      </c>
      <c r="W132" s="1">
        <v>2</v>
      </c>
      <c r="X132" s="1" t="s">
        <v>51</v>
      </c>
      <c r="Y132" s="1" t="s">
        <v>67</v>
      </c>
      <c r="Z132" s="1" t="s">
        <v>52</v>
      </c>
      <c r="AA132" s="1" t="s">
        <v>101</v>
      </c>
      <c r="AB132" s="1" t="s">
        <v>145</v>
      </c>
    </row>
    <row r="133" spans="1:28" x14ac:dyDescent="0.15">
      <c r="A133" s="1" t="s">
        <v>35</v>
      </c>
      <c r="B133" s="1" t="s">
        <v>143</v>
      </c>
      <c r="C133" s="1">
        <v>2020</v>
      </c>
      <c r="D133" s="76" t="s">
        <v>234</v>
      </c>
      <c r="E133" s="1" t="s">
        <v>45</v>
      </c>
      <c r="F133" s="1" t="s">
        <v>240</v>
      </c>
      <c r="G133" s="1" t="s">
        <v>37</v>
      </c>
      <c r="H133" s="1" t="s">
        <v>63</v>
      </c>
      <c r="I133" s="1" t="s">
        <v>64</v>
      </c>
      <c r="J133" s="1" t="s">
        <v>40</v>
      </c>
      <c r="K133" s="1" t="s">
        <v>41</v>
      </c>
      <c r="L133" s="1">
        <v>3</v>
      </c>
      <c r="N133" s="1">
        <v>4</v>
      </c>
      <c r="O133" s="1">
        <v>0.75</v>
      </c>
      <c r="P133" s="1">
        <v>0.75</v>
      </c>
      <c r="Q133" s="66">
        <f t="shared" si="8"/>
        <v>0.75</v>
      </c>
      <c r="R133" s="1">
        <v>10.7</v>
      </c>
      <c r="S133" s="1">
        <v>135</v>
      </c>
      <c r="T133" s="2">
        <f t="shared" si="3"/>
        <v>25</v>
      </c>
      <c r="U133" s="1">
        <v>398</v>
      </c>
      <c r="V133" s="2">
        <f t="shared" si="7"/>
        <v>2487.5</v>
      </c>
      <c r="W133" s="1">
        <v>2</v>
      </c>
      <c r="X133" s="1" t="s">
        <v>51</v>
      </c>
      <c r="Y133" s="1" t="s">
        <v>67</v>
      </c>
      <c r="Z133" s="1" t="s">
        <v>52</v>
      </c>
      <c r="AA133" s="1" t="s">
        <v>101</v>
      </c>
      <c r="AB133" s="1" t="s">
        <v>145</v>
      </c>
    </row>
    <row r="134" spans="1:28" x14ac:dyDescent="0.15">
      <c r="A134" s="1" t="s">
        <v>35</v>
      </c>
      <c r="B134" s="1" t="s">
        <v>143</v>
      </c>
      <c r="C134" s="1">
        <v>2020</v>
      </c>
      <c r="D134" s="76" t="s">
        <v>234</v>
      </c>
      <c r="E134" s="1" t="s">
        <v>45</v>
      </c>
      <c r="F134" s="1" t="s">
        <v>240</v>
      </c>
      <c r="G134" s="1" t="s">
        <v>37</v>
      </c>
      <c r="H134" s="1" t="s">
        <v>63</v>
      </c>
      <c r="I134" s="1" t="s">
        <v>64</v>
      </c>
      <c r="J134" s="1" t="s">
        <v>40</v>
      </c>
      <c r="K134" s="1" t="s">
        <v>41</v>
      </c>
      <c r="L134" s="1">
        <v>1</v>
      </c>
      <c r="N134" s="1">
        <v>5</v>
      </c>
      <c r="O134" s="1">
        <v>0.6</v>
      </c>
      <c r="P134" s="1">
        <v>0.8</v>
      </c>
      <c r="Q134" s="66">
        <f t="shared" si="8"/>
        <v>0.7</v>
      </c>
      <c r="R134" s="1">
        <v>10.5</v>
      </c>
      <c r="S134" s="1">
        <v>105</v>
      </c>
      <c r="T134" s="2">
        <f t="shared" si="3"/>
        <v>33</v>
      </c>
      <c r="U134" s="1">
        <v>450</v>
      </c>
      <c r="V134" s="2">
        <f t="shared" si="7"/>
        <v>2970</v>
      </c>
      <c r="W134" s="1">
        <v>4</v>
      </c>
      <c r="X134" s="1" t="s">
        <v>51</v>
      </c>
      <c r="Y134" s="1" t="s">
        <v>67</v>
      </c>
      <c r="Z134" s="1" t="s">
        <v>52</v>
      </c>
      <c r="AA134" s="1" t="s">
        <v>101</v>
      </c>
      <c r="AB134" s="1" t="s">
        <v>145</v>
      </c>
    </row>
    <row r="135" spans="1:28" x14ac:dyDescent="0.15">
      <c r="A135" s="1" t="s">
        <v>35</v>
      </c>
      <c r="B135" s="1" t="s">
        <v>143</v>
      </c>
      <c r="C135" s="1">
        <v>2020</v>
      </c>
      <c r="D135" s="76" t="s">
        <v>234</v>
      </c>
      <c r="E135" s="1" t="s">
        <v>45</v>
      </c>
      <c r="F135" s="1" t="s">
        <v>240</v>
      </c>
      <c r="G135" s="1" t="s">
        <v>37</v>
      </c>
      <c r="H135" s="1" t="s">
        <v>63</v>
      </c>
      <c r="I135" s="1" t="s">
        <v>64</v>
      </c>
      <c r="J135" s="1" t="s">
        <v>40</v>
      </c>
      <c r="K135" s="1" t="s">
        <v>41</v>
      </c>
      <c r="L135" s="1">
        <v>2</v>
      </c>
      <c r="N135" s="1">
        <v>5</v>
      </c>
      <c r="O135" s="1">
        <v>0.8</v>
      </c>
      <c r="P135" s="1">
        <v>0.75</v>
      </c>
      <c r="Q135" s="66">
        <f t="shared" si="8"/>
        <v>0.77500000000000002</v>
      </c>
      <c r="R135" s="1">
        <v>11.9</v>
      </c>
      <c r="S135" s="1">
        <v>95</v>
      </c>
      <c r="T135" s="2">
        <f t="shared" si="3"/>
        <v>36</v>
      </c>
      <c r="U135" s="1">
        <v>450</v>
      </c>
      <c r="V135" s="2">
        <f t="shared" si="7"/>
        <v>3240</v>
      </c>
      <c r="W135" s="1">
        <v>4</v>
      </c>
      <c r="X135" s="1" t="s">
        <v>51</v>
      </c>
      <c r="Y135" s="1" t="s">
        <v>67</v>
      </c>
      <c r="Z135" s="1" t="s">
        <v>52</v>
      </c>
      <c r="AA135" s="1" t="s">
        <v>101</v>
      </c>
      <c r="AB135" s="1" t="s">
        <v>145</v>
      </c>
    </row>
    <row r="136" spans="1:28" x14ac:dyDescent="0.15">
      <c r="A136" s="1" t="s">
        <v>35</v>
      </c>
      <c r="B136" s="1" t="s">
        <v>143</v>
      </c>
      <c r="C136" s="1">
        <v>2020</v>
      </c>
      <c r="D136" s="76" t="s">
        <v>234</v>
      </c>
      <c r="E136" s="1" t="s">
        <v>45</v>
      </c>
      <c r="F136" s="1" t="s">
        <v>240</v>
      </c>
      <c r="G136" s="1" t="s">
        <v>37</v>
      </c>
      <c r="H136" s="1" t="s">
        <v>63</v>
      </c>
      <c r="I136" s="1" t="s">
        <v>64</v>
      </c>
      <c r="J136" s="1" t="s">
        <v>40</v>
      </c>
      <c r="K136" s="1" t="s">
        <v>41</v>
      </c>
      <c r="L136" s="1">
        <v>3</v>
      </c>
      <c r="N136" s="1">
        <v>5</v>
      </c>
      <c r="O136" s="1">
        <v>0.5</v>
      </c>
      <c r="P136" s="1">
        <v>0.5</v>
      </c>
      <c r="Q136" s="66">
        <f t="shared" si="8"/>
        <v>0.5</v>
      </c>
      <c r="R136" s="1">
        <v>10.5</v>
      </c>
      <c r="S136" s="1">
        <v>98</v>
      </c>
      <c r="T136" s="2">
        <f t="shared" si="3"/>
        <v>36</v>
      </c>
      <c r="U136" s="1">
        <v>450</v>
      </c>
      <c r="V136" s="2">
        <f t="shared" si="7"/>
        <v>3240</v>
      </c>
      <c r="W136" s="1">
        <v>4</v>
      </c>
      <c r="X136" s="1" t="s">
        <v>51</v>
      </c>
      <c r="Y136" s="1" t="s">
        <v>67</v>
      </c>
      <c r="Z136" s="1" t="s">
        <v>52</v>
      </c>
      <c r="AA136" s="1" t="s">
        <v>101</v>
      </c>
      <c r="AB136" s="1" t="s">
        <v>145</v>
      </c>
    </row>
    <row r="137" spans="1:28" x14ac:dyDescent="0.15">
      <c r="A137" s="1" t="s">
        <v>35</v>
      </c>
      <c r="B137" s="1" t="s">
        <v>143</v>
      </c>
      <c r="C137" s="1">
        <v>2020</v>
      </c>
      <c r="D137" s="76" t="s">
        <v>234</v>
      </c>
      <c r="E137" s="1" t="s">
        <v>45</v>
      </c>
      <c r="F137" s="1" t="s">
        <v>240</v>
      </c>
      <c r="G137" s="1" t="s">
        <v>37</v>
      </c>
      <c r="H137" s="1" t="s">
        <v>82</v>
      </c>
      <c r="I137" s="1" t="s">
        <v>64</v>
      </c>
      <c r="J137" s="1" t="s">
        <v>40</v>
      </c>
      <c r="K137" s="1" t="s">
        <v>41</v>
      </c>
      <c r="L137" s="1">
        <v>1</v>
      </c>
      <c r="N137" s="1">
        <v>1</v>
      </c>
      <c r="O137" s="1">
        <v>1.1000000000000001</v>
      </c>
      <c r="P137" s="1">
        <v>1.2</v>
      </c>
      <c r="Q137" s="66">
        <f t="shared" si="8"/>
        <v>1.1499999999999999</v>
      </c>
      <c r="R137" s="1">
        <v>18</v>
      </c>
      <c r="S137" s="1">
        <v>128</v>
      </c>
      <c r="T137" s="2">
        <f t="shared" si="3"/>
        <v>27</v>
      </c>
      <c r="U137" s="1">
        <v>93</v>
      </c>
      <c r="V137" s="2">
        <f t="shared" si="7"/>
        <v>2511</v>
      </c>
      <c r="W137" s="1">
        <v>9</v>
      </c>
      <c r="X137" s="1" t="s">
        <v>51</v>
      </c>
      <c r="Y137" s="1" t="s">
        <v>67</v>
      </c>
      <c r="Z137" s="1" t="s">
        <v>52</v>
      </c>
      <c r="AA137" s="1" t="s">
        <v>101</v>
      </c>
      <c r="AB137" s="1" t="s">
        <v>145</v>
      </c>
    </row>
    <row r="138" spans="1:28" x14ac:dyDescent="0.15">
      <c r="A138" s="1" t="s">
        <v>35</v>
      </c>
      <c r="B138" s="1" t="s">
        <v>143</v>
      </c>
      <c r="C138" s="1">
        <v>2020</v>
      </c>
      <c r="D138" s="76" t="s">
        <v>234</v>
      </c>
      <c r="E138" s="1" t="s">
        <v>45</v>
      </c>
      <c r="F138" s="1" t="s">
        <v>240</v>
      </c>
      <c r="G138" s="1" t="s">
        <v>37</v>
      </c>
      <c r="H138" s="1" t="s">
        <v>82</v>
      </c>
      <c r="I138" s="1" t="s">
        <v>64</v>
      </c>
      <c r="J138" s="1" t="s">
        <v>40</v>
      </c>
      <c r="K138" s="1" t="s">
        <v>41</v>
      </c>
      <c r="L138" s="1">
        <v>2</v>
      </c>
      <c r="N138" s="1">
        <v>1</v>
      </c>
      <c r="O138" s="1">
        <v>0.9</v>
      </c>
      <c r="P138" s="1">
        <v>1</v>
      </c>
      <c r="Q138" s="66">
        <f t="shared" si="8"/>
        <v>0.95</v>
      </c>
      <c r="R138" s="1">
        <v>16.2</v>
      </c>
      <c r="S138" s="1">
        <v>125</v>
      </c>
      <c r="T138" s="2">
        <f t="shared" si="3"/>
        <v>27</v>
      </c>
      <c r="U138" s="1">
        <v>93</v>
      </c>
      <c r="V138" s="2">
        <f t="shared" si="7"/>
        <v>2511</v>
      </c>
      <c r="W138" s="1">
        <v>9</v>
      </c>
      <c r="X138" s="1" t="s">
        <v>51</v>
      </c>
      <c r="Y138" s="1" t="s">
        <v>67</v>
      </c>
      <c r="Z138" s="1" t="s">
        <v>52</v>
      </c>
      <c r="AA138" s="1" t="s">
        <v>101</v>
      </c>
      <c r="AB138" s="1" t="s">
        <v>145</v>
      </c>
    </row>
    <row r="139" spans="1:28" x14ac:dyDescent="0.15">
      <c r="A139" s="1" t="s">
        <v>35</v>
      </c>
      <c r="B139" s="1" t="s">
        <v>143</v>
      </c>
      <c r="C139" s="1">
        <v>2020</v>
      </c>
      <c r="D139" s="76" t="s">
        <v>234</v>
      </c>
      <c r="E139" s="1" t="s">
        <v>45</v>
      </c>
      <c r="F139" s="1" t="s">
        <v>240</v>
      </c>
      <c r="G139" s="1" t="s">
        <v>37</v>
      </c>
      <c r="H139" s="1" t="s">
        <v>82</v>
      </c>
      <c r="I139" s="1" t="s">
        <v>64</v>
      </c>
      <c r="J139" s="1" t="s">
        <v>40</v>
      </c>
      <c r="K139" s="1" t="s">
        <v>41</v>
      </c>
      <c r="L139" s="1">
        <v>3</v>
      </c>
      <c r="N139" s="1">
        <v>1</v>
      </c>
      <c r="O139" s="1">
        <v>0.65</v>
      </c>
      <c r="P139" s="1">
        <v>0.7</v>
      </c>
      <c r="Q139" s="66">
        <f t="shared" si="8"/>
        <v>0.67500000000000004</v>
      </c>
      <c r="R139" s="1">
        <v>17.7</v>
      </c>
      <c r="S139" s="1">
        <v>126</v>
      </c>
      <c r="T139" s="2">
        <f t="shared" si="3"/>
        <v>27</v>
      </c>
      <c r="U139" s="1">
        <v>93</v>
      </c>
      <c r="V139" s="2">
        <f t="shared" si="7"/>
        <v>2511</v>
      </c>
      <c r="W139" s="1">
        <v>9</v>
      </c>
      <c r="X139" s="1" t="s">
        <v>51</v>
      </c>
      <c r="Y139" s="1" t="s">
        <v>67</v>
      </c>
      <c r="Z139" s="1" t="s">
        <v>52</v>
      </c>
      <c r="AA139" s="1" t="s">
        <v>101</v>
      </c>
      <c r="AB139" s="1" t="s">
        <v>145</v>
      </c>
    </row>
    <row r="140" spans="1:28" x14ac:dyDescent="0.15">
      <c r="A140" s="1" t="s">
        <v>35</v>
      </c>
      <c r="B140" s="1" t="s">
        <v>143</v>
      </c>
      <c r="C140" s="1">
        <v>2020</v>
      </c>
      <c r="D140" s="76" t="s">
        <v>234</v>
      </c>
      <c r="E140" s="1" t="s">
        <v>45</v>
      </c>
      <c r="F140" s="1" t="s">
        <v>240</v>
      </c>
      <c r="G140" s="1" t="s">
        <v>37</v>
      </c>
      <c r="H140" s="1" t="s">
        <v>82</v>
      </c>
      <c r="I140" s="1" t="s">
        <v>64</v>
      </c>
      <c r="J140" s="1" t="s">
        <v>40</v>
      </c>
      <c r="K140" s="1" t="s">
        <v>41</v>
      </c>
      <c r="L140" s="1">
        <v>1</v>
      </c>
      <c r="N140" s="1">
        <v>4</v>
      </c>
      <c r="O140" s="1">
        <v>1</v>
      </c>
      <c r="P140" s="1">
        <v>1</v>
      </c>
      <c r="Q140" s="66">
        <f t="shared" si="8"/>
        <v>1</v>
      </c>
      <c r="R140" s="1">
        <v>11.2</v>
      </c>
      <c r="S140" s="1">
        <v>125</v>
      </c>
      <c r="T140" s="2">
        <f t="shared" si="3"/>
        <v>27</v>
      </c>
      <c r="U140" s="1">
        <v>398</v>
      </c>
      <c r="V140" s="2">
        <f t="shared" si="7"/>
        <v>2686.5</v>
      </c>
      <c r="W140" s="1">
        <v>10</v>
      </c>
      <c r="X140" s="1" t="s">
        <v>51</v>
      </c>
      <c r="Y140" s="1" t="s">
        <v>67</v>
      </c>
      <c r="Z140" s="1" t="s">
        <v>52</v>
      </c>
      <c r="AA140" s="1" t="s">
        <v>101</v>
      </c>
      <c r="AB140" s="1" t="s">
        <v>145</v>
      </c>
    </row>
    <row r="141" spans="1:28" x14ac:dyDescent="0.15">
      <c r="A141" s="1" t="s">
        <v>35</v>
      </c>
      <c r="B141" s="1" t="s">
        <v>143</v>
      </c>
      <c r="C141" s="1">
        <v>2020</v>
      </c>
      <c r="D141" s="76" t="s">
        <v>234</v>
      </c>
      <c r="E141" s="1" t="s">
        <v>45</v>
      </c>
      <c r="F141" s="1" t="s">
        <v>240</v>
      </c>
      <c r="G141" s="1" t="s">
        <v>37</v>
      </c>
      <c r="H141" s="1" t="s">
        <v>82</v>
      </c>
      <c r="I141" s="1" t="s">
        <v>64</v>
      </c>
      <c r="J141" s="1" t="s">
        <v>40</v>
      </c>
      <c r="K141" s="1" t="s">
        <v>41</v>
      </c>
      <c r="L141" s="1">
        <v>2</v>
      </c>
      <c r="N141" s="1">
        <v>4</v>
      </c>
      <c r="O141" s="1">
        <v>1.1000000000000001</v>
      </c>
      <c r="P141" s="1">
        <v>1.2</v>
      </c>
      <c r="Q141" s="66">
        <f t="shared" si="8"/>
        <v>1.1499999999999999</v>
      </c>
      <c r="R141" s="1">
        <v>16.7</v>
      </c>
      <c r="S141" s="1">
        <v>136</v>
      </c>
      <c r="T141" s="2">
        <f t="shared" si="3"/>
        <v>25</v>
      </c>
      <c r="U141" s="1">
        <v>398</v>
      </c>
      <c r="V141" s="2">
        <f t="shared" si="7"/>
        <v>2487.5</v>
      </c>
      <c r="W141" s="1">
        <v>10</v>
      </c>
      <c r="X141" s="1" t="s">
        <v>51</v>
      </c>
      <c r="Y141" s="1" t="s">
        <v>67</v>
      </c>
      <c r="Z141" s="1" t="s">
        <v>52</v>
      </c>
      <c r="AA141" s="1" t="s">
        <v>101</v>
      </c>
      <c r="AB141" s="1" t="s">
        <v>145</v>
      </c>
    </row>
    <row r="142" spans="1:28" x14ac:dyDescent="0.15">
      <c r="A142" s="1" t="s">
        <v>35</v>
      </c>
      <c r="B142" s="1" t="s">
        <v>143</v>
      </c>
      <c r="C142" s="1">
        <v>2020</v>
      </c>
      <c r="D142" s="76" t="s">
        <v>234</v>
      </c>
      <c r="E142" s="1" t="s">
        <v>45</v>
      </c>
      <c r="F142" s="1" t="s">
        <v>240</v>
      </c>
      <c r="G142" s="1" t="s">
        <v>37</v>
      </c>
      <c r="H142" s="1" t="s">
        <v>82</v>
      </c>
      <c r="I142" s="1" t="s">
        <v>64</v>
      </c>
      <c r="J142" s="1" t="s">
        <v>40</v>
      </c>
      <c r="K142" s="1" t="s">
        <v>41</v>
      </c>
      <c r="L142" s="1">
        <v>3</v>
      </c>
      <c r="N142" s="1">
        <v>4</v>
      </c>
      <c r="O142" s="1">
        <v>0.9</v>
      </c>
      <c r="P142" s="1">
        <v>1</v>
      </c>
      <c r="Q142" s="66">
        <f t="shared" si="8"/>
        <v>0.95</v>
      </c>
      <c r="R142" s="1">
        <v>11.1</v>
      </c>
      <c r="S142" s="1">
        <v>130</v>
      </c>
      <c r="T142" s="2">
        <f t="shared" si="3"/>
        <v>25</v>
      </c>
      <c r="U142" s="1">
        <v>398</v>
      </c>
      <c r="V142" s="2">
        <f t="shared" si="7"/>
        <v>2487.5</v>
      </c>
      <c r="W142" s="1">
        <v>10</v>
      </c>
      <c r="X142" s="1" t="s">
        <v>51</v>
      </c>
      <c r="Y142" s="1" t="s">
        <v>67</v>
      </c>
      <c r="Z142" s="1" t="s">
        <v>52</v>
      </c>
      <c r="AA142" s="1" t="s">
        <v>101</v>
      </c>
      <c r="AB142" s="1" t="s">
        <v>145</v>
      </c>
    </row>
    <row r="143" spans="1:28" x14ac:dyDescent="0.15">
      <c r="A143" s="1" t="s">
        <v>35</v>
      </c>
      <c r="B143" s="1" t="s">
        <v>143</v>
      </c>
      <c r="C143" s="1">
        <v>2020</v>
      </c>
      <c r="D143" s="76" t="s">
        <v>234</v>
      </c>
      <c r="E143" s="1" t="s">
        <v>45</v>
      </c>
      <c r="F143" s="1" t="s">
        <v>240</v>
      </c>
      <c r="G143" s="1" t="s">
        <v>37</v>
      </c>
      <c r="H143" s="1" t="s">
        <v>82</v>
      </c>
      <c r="I143" s="1" t="s">
        <v>64</v>
      </c>
      <c r="J143" s="1" t="s">
        <v>40</v>
      </c>
      <c r="K143" s="1" t="s">
        <v>41</v>
      </c>
      <c r="L143" s="1">
        <v>1</v>
      </c>
      <c r="N143" s="1">
        <v>8</v>
      </c>
      <c r="O143" s="1">
        <v>0.6</v>
      </c>
      <c r="P143" s="1">
        <v>0.6</v>
      </c>
      <c r="Q143" s="66">
        <f t="shared" si="8"/>
        <v>0.6</v>
      </c>
      <c r="R143" s="1">
        <v>12.9</v>
      </c>
      <c r="S143" s="1">
        <v>116</v>
      </c>
      <c r="T143" s="2">
        <f t="shared" si="3"/>
        <v>30</v>
      </c>
      <c r="U143" s="1">
        <v>698</v>
      </c>
      <c r="V143" s="2">
        <f t="shared" si="7"/>
        <v>2617.5</v>
      </c>
      <c r="W143" s="1">
        <v>2</v>
      </c>
      <c r="X143" s="1" t="s">
        <v>51</v>
      </c>
      <c r="Y143" s="1" t="s">
        <v>67</v>
      </c>
      <c r="Z143" s="1" t="s">
        <v>52</v>
      </c>
      <c r="AA143" s="1" t="s">
        <v>101</v>
      </c>
      <c r="AB143" s="1" t="s">
        <v>145</v>
      </c>
    </row>
    <row r="144" spans="1:28" x14ac:dyDescent="0.15">
      <c r="A144" s="1" t="s">
        <v>35</v>
      </c>
      <c r="B144" s="1" t="s">
        <v>143</v>
      </c>
      <c r="C144" s="1">
        <v>2020</v>
      </c>
      <c r="D144" s="76" t="s">
        <v>234</v>
      </c>
      <c r="E144" s="1" t="s">
        <v>45</v>
      </c>
      <c r="F144" s="1" t="s">
        <v>240</v>
      </c>
      <c r="G144" s="1" t="s">
        <v>37</v>
      </c>
      <c r="H144" s="1" t="s">
        <v>82</v>
      </c>
      <c r="I144" s="1" t="s">
        <v>64</v>
      </c>
      <c r="J144" s="1" t="s">
        <v>40</v>
      </c>
      <c r="K144" s="1" t="s">
        <v>41</v>
      </c>
      <c r="L144" s="1">
        <v>2</v>
      </c>
      <c r="N144" s="1">
        <v>8</v>
      </c>
      <c r="O144" s="1">
        <v>0.7</v>
      </c>
      <c r="P144" s="1">
        <v>0.65</v>
      </c>
      <c r="Q144" s="66">
        <f t="shared" si="8"/>
        <v>0.67500000000000004</v>
      </c>
      <c r="R144" s="1">
        <v>11.9</v>
      </c>
      <c r="S144" s="1">
        <v>111</v>
      </c>
      <c r="T144" s="2">
        <f t="shared" si="3"/>
        <v>33</v>
      </c>
      <c r="U144" s="1">
        <v>698</v>
      </c>
      <c r="V144" s="2">
        <f t="shared" si="7"/>
        <v>2879.25</v>
      </c>
      <c r="W144" s="1">
        <v>2</v>
      </c>
      <c r="X144" s="1" t="s">
        <v>51</v>
      </c>
      <c r="Y144" s="1" t="s">
        <v>67</v>
      </c>
      <c r="Z144" s="1" t="s">
        <v>52</v>
      </c>
      <c r="AA144" s="1" t="s">
        <v>101</v>
      </c>
      <c r="AB144" s="1" t="s">
        <v>145</v>
      </c>
    </row>
    <row r="145" spans="1:28" x14ac:dyDescent="0.15">
      <c r="A145" s="1" t="s">
        <v>35</v>
      </c>
      <c r="B145" s="1" t="s">
        <v>143</v>
      </c>
      <c r="C145" s="1">
        <v>2020</v>
      </c>
      <c r="D145" s="76" t="s">
        <v>234</v>
      </c>
      <c r="E145" s="1" t="s">
        <v>45</v>
      </c>
      <c r="F145" s="1" t="s">
        <v>240</v>
      </c>
      <c r="G145" s="1" t="s">
        <v>37</v>
      </c>
      <c r="H145" s="1" t="s">
        <v>82</v>
      </c>
      <c r="I145" s="1" t="s">
        <v>64</v>
      </c>
      <c r="J145" s="1" t="s">
        <v>40</v>
      </c>
      <c r="K145" s="1" t="s">
        <v>41</v>
      </c>
      <c r="L145" s="1">
        <v>3</v>
      </c>
      <c r="N145" s="1">
        <v>8</v>
      </c>
      <c r="O145" s="1">
        <v>0.6</v>
      </c>
      <c r="P145" s="1">
        <v>0.7</v>
      </c>
      <c r="Q145" s="66">
        <f t="shared" si="8"/>
        <v>0.64999999999999991</v>
      </c>
      <c r="R145" s="1">
        <v>13.1</v>
      </c>
      <c r="S145" s="1">
        <v>107</v>
      </c>
      <c r="T145" s="2">
        <f t="shared" si="3"/>
        <v>33</v>
      </c>
      <c r="U145" s="1">
        <v>698</v>
      </c>
      <c r="V145" s="2">
        <f t="shared" si="7"/>
        <v>2879.25</v>
      </c>
      <c r="W145" s="1">
        <v>2</v>
      </c>
      <c r="X145" s="1" t="s">
        <v>51</v>
      </c>
      <c r="Y145" s="1" t="s">
        <v>67</v>
      </c>
      <c r="Z145" s="1" t="s">
        <v>52</v>
      </c>
      <c r="AA145" s="1" t="s">
        <v>101</v>
      </c>
      <c r="AB145" s="1" t="s">
        <v>145</v>
      </c>
    </row>
  </sheetData>
  <autoFilter ref="A1:BA145" xr:uid="{00000000-0009-0000-0000-000000000000}"/>
  <phoneticPr fontId="13"/>
  <dataValidations count="18">
    <dataValidation type="list" allowBlank="1" showInputMessage="1" showErrorMessage="1" sqref="F149:F1048576 F1:F145" xr:uid="{D06EC5D3-E6E4-480D-B017-0A4CF0578B00}">
      <formula1>$AH$2:$AH$11</formula1>
    </dataValidation>
    <dataValidation type="list" allowBlank="1" showInputMessage="1" showErrorMessage="1" sqref="WVN983030:WVN983349 WLR983030:WLR983349 WBV983030:WBV983349 VRZ983030:VRZ983349 VID983030:VID983349 UYH983030:UYH983349 UOL983030:UOL983349 UEP983030:UEP983349 TUT983030:TUT983349 TKX983030:TKX983349 TBB983030:TBB983349 SRF983030:SRF983349 SHJ983030:SHJ983349 RXN983030:RXN983349 RNR983030:RNR983349 RDV983030:RDV983349 QTZ983030:QTZ983349 QKD983030:QKD983349 QAH983030:QAH983349 PQL983030:PQL983349 PGP983030:PGP983349 OWT983030:OWT983349 OMX983030:OMX983349 ODB983030:ODB983349 NTF983030:NTF983349 NJJ983030:NJJ983349 MZN983030:MZN983349 MPR983030:MPR983349 MFV983030:MFV983349 LVZ983030:LVZ983349 LMD983030:LMD983349 LCH983030:LCH983349 KSL983030:KSL983349 KIP983030:KIP983349 JYT983030:JYT983349 JOX983030:JOX983349 JFB983030:JFB983349 IVF983030:IVF983349 ILJ983030:ILJ983349 IBN983030:IBN983349 HRR983030:HRR983349 HHV983030:HHV983349 GXZ983030:GXZ983349 GOD983030:GOD983349 GEH983030:GEH983349 FUL983030:FUL983349 FKP983030:FKP983349 FAT983030:FAT983349 EQX983030:EQX983349 EHB983030:EHB983349 DXF983030:DXF983349 DNJ983030:DNJ983349 DDN983030:DDN983349 CTR983030:CTR983349 CJV983030:CJV983349 BZZ983030:BZZ983349 BQD983030:BQD983349 BGH983030:BGH983349 AWL983030:AWL983349 AMP983030:AMP983349 ACT983030:ACT983349 SX983030:SX983349 JB983030:JB983349 WVN917494:WVN917813 WLR917494:WLR917813 WBV917494:WBV917813 VRZ917494:VRZ917813 VID917494:VID917813 UYH917494:UYH917813 UOL917494:UOL917813 UEP917494:UEP917813 TUT917494:TUT917813 TKX917494:TKX917813 TBB917494:TBB917813 SRF917494:SRF917813 SHJ917494:SHJ917813 RXN917494:RXN917813 RNR917494:RNR917813 RDV917494:RDV917813 QTZ917494:QTZ917813 QKD917494:QKD917813 QAH917494:QAH917813 PQL917494:PQL917813 PGP917494:PGP917813 OWT917494:OWT917813 OMX917494:OMX917813 ODB917494:ODB917813 NTF917494:NTF917813 NJJ917494:NJJ917813 MZN917494:MZN917813 MPR917494:MPR917813 MFV917494:MFV917813 LVZ917494:LVZ917813 LMD917494:LMD917813 LCH917494:LCH917813 KSL917494:KSL917813 KIP917494:KIP917813 JYT917494:JYT917813 JOX917494:JOX917813 JFB917494:JFB917813 IVF917494:IVF917813 ILJ917494:ILJ917813 IBN917494:IBN917813 HRR917494:HRR917813 HHV917494:HHV917813 GXZ917494:GXZ917813 GOD917494:GOD917813 GEH917494:GEH917813 FUL917494:FUL917813 FKP917494:FKP917813 FAT917494:FAT917813 EQX917494:EQX917813 EHB917494:EHB917813 DXF917494:DXF917813 DNJ917494:DNJ917813 DDN917494:DDN917813 CTR917494:CTR917813 CJV917494:CJV917813 BZZ917494:BZZ917813 BQD917494:BQD917813 BGH917494:BGH917813 AWL917494:AWL917813 AMP917494:AMP917813 ACT917494:ACT917813 SX917494:SX917813 JB917494:JB917813 WVN851958:WVN852277 WLR851958:WLR852277 WBV851958:WBV852277 VRZ851958:VRZ852277 VID851958:VID852277 UYH851958:UYH852277 UOL851958:UOL852277 UEP851958:UEP852277 TUT851958:TUT852277 TKX851958:TKX852277 TBB851958:TBB852277 SRF851958:SRF852277 SHJ851958:SHJ852277 RXN851958:RXN852277 RNR851958:RNR852277 RDV851958:RDV852277 QTZ851958:QTZ852277 QKD851958:QKD852277 QAH851958:QAH852277 PQL851958:PQL852277 PGP851958:PGP852277 OWT851958:OWT852277 OMX851958:OMX852277 ODB851958:ODB852277 NTF851958:NTF852277 NJJ851958:NJJ852277 MZN851958:MZN852277 MPR851958:MPR852277 MFV851958:MFV852277 LVZ851958:LVZ852277 LMD851958:LMD852277 LCH851958:LCH852277 KSL851958:KSL852277 KIP851958:KIP852277 JYT851958:JYT852277 JOX851958:JOX852277 JFB851958:JFB852277 IVF851958:IVF852277 ILJ851958:ILJ852277 IBN851958:IBN852277 HRR851958:HRR852277 HHV851958:HHV852277 GXZ851958:GXZ852277 GOD851958:GOD852277 GEH851958:GEH852277 FUL851958:FUL852277 FKP851958:FKP852277 FAT851958:FAT852277 EQX851958:EQX852277 EHB851958:EHB852277 DXF851958:DXF852277 DNJ851958:DNJ852277 DDN851958:DDN852277 CTR851958:CTR852277 CJV851958:CJV852277 BZZ851958:BZZ852277 BQD851958:BQD852277 BGH851958:BGH852277 AWL851958:AWL852277 AMP851958:AMP852277 ACT851958:ACT852277 SX851958:SX852277 JB851958:JB852277 WVN786422:WVN786741 WLR786422:WLR786741 WBV786422:WBV786741 VRZ786422:VRZ786741 VID786422:VID786741 UYH786422:UYH786741 UOL786422:UOL786741 UEP786422:UEP786741 TUT786422:TUT786741 TKX786422:TKX786741 TBB786422:TBB786741 SRF786422:SRF786741 SHJ786422:SHJ786741 RXN786422:RXN786741 RNR786422:RNR786741 RDV786422:RDV786741 QTZ786422:QTZ786741 QKD786422:QKD786741 QAH786422:QAH786741 PQL786422:PQL786741 PGP786422:PGP786741 OWT786422:OWT786741 OMX786422:OMX786741 ODB786422:ODB786741 NTF786422:NTF786741 NJJ786422:NJJ786741 MZN786422:MZN786741 MPR786422:MPR786741 MFV786422:MFV786741 LVZ786422:LVZ786741 LMD786422:LMD786741 LCH786422:LCH786741 KSL786422:KSL786741 KIP786422:KIP786741 JYT786422:JYT786741 JOX786422:JOX786741 JFB786422:JFB786741 IVF786422:IVF786741 ILJ786422:ILJ786741 IBN786422:IBN786741 HRR786422:HRR786741 HHV786422:HHV786741 GXZ786422:GXZ786741 GOD786422:GOD786741 GEH786422:GEH786741 FUL786422:FUL786741 FKP786422:FKP786741 FAT786422:FAT786741 EQX786422:EQX786741 EHB786422:EHB786741 DXF786422:DXF786741 DNJ786422:DNJ786741 DDN786422:DDN786741 CTR786422:CTR786741 CJV786422:CJV786741 BZZ786422:BZZ786741 BQD786422:BQD786741 BGH786422:BGH786741 AWL786422:AWL786741 AMP786422:AMP786741 ACT786422:ACT786741 SX786422:SX786741 JB786422:JB786741 WVN720886:WVN721205 WLR720886:WLR721205 WBV720886:WBV721205 VRZ720886:VRZ721205 VID720886:VID721205 UYH720886:UYH721205 UOL720886:UOL721205 UEP720886:UEP721205 TUT720886:TUT721205 TKX720886:TKX721205 TBB720886:TBB721205 SRF720886:SRF721205 SHJ720886:SHJ721205 RXN720886:RXN721205 RNR720886:RNR721205 RDV720886:RDV721205 QTZ720886:QTZ721205 QKD720886:QKD721205 QAH720886:QAH721205 PQL720886:PQL721205 PGP720886:PGP721205 OWT720886:OWT721205 OMX720886:OMX721205 ODB720886:ODB721205 NTF720886:NTF721205 NJJ720886:NJJ721205 MZN720886:MZN721205 MPR720886:MPR721205 MFV720886:MFV721205 LVZ720886:LVZ721205 LMD720886:LMD721205 LCH720886:LCH721205 KSL720886:KSL721205 KIP720886:KIP721205 JYT720886:JYT721205 JOX720886:JOX721205 JFB720886:JFB721205 IVF720886:IVF721205 ILJ720886:ILJ721205 IBN720886:IBN721205 HRR720886:HRR721205 HHV720886:HHV721205 GXZ720886:GXZ721205 GOD720886:GOD721205 GEH720886:GEH721205 FUL720886:FUL721205 FKP720886:FKP721205 FAT720886:FAT721205 EQX720886:EQX721205 EHB720886:EHB721205 DXF720886:DXF721205 DNJ720886:DNJ721205 DDN720886:DDN721205 CTR720886:CTR721205 CJV720886:CJV721205 BZZ720886:BZZ721205 BQD720886:BQD721205 BGH720886:BGH721205 AWL720886:AWL721205 AMP720886:AMP721205 ACT720886:ACT721205 SX720886:SX721205 JB720886:JB721205 WVN655350:WVN655669 WLR655350:WLR655669 WBV655350:WBV655669 VRZ655350:VRZ655669 VID655350:VID655669 UYH655350:UYH655669 UOL655350:UOL655669 UEP655350:UEP655669 TUT655350:TUT655669 TKX655350:TKX655669 TBB655350:TBB655669 SRF655350:SRF655669 SHJ655350:SHJ655669 RXN655350:RXN655669 RNR655350:RNR655669 RDV655350:RDV655669 QTZ655350:QTZ655669 QKD655350:QKD655669 QAH655350:QAH655669 PQL655350:PQL655669 PGP655350:PGP655669 OWT655350:OWT655669 OMX655350:OMX655669 ODB655350:ODB655669 NTF655350:NTF655669 NJJ655350:NJJ655669 MZN655350:MZN655669 MPR655350:MPR655669 MFV655350:MFV655669 LVZ655350:LVZ655669 LMD655350:LMD655669 LCH655350:LCH655669 KSL655350:KSL655669 KIP655350:KIP655669 JYT655350:JYT655669 JOX655350:JOX655669 JFB655350:JFB655669 IVF655350:IVF655669 ILJ655350:ILJ655669 IBN655350:IBN655669 HRR655350:HRR655669 HHV655350:HHV655669 GXZ655350:GXZ655669 GOD655350:GOD655669 GEH655350:GEH655669 FUL655350:FUL655669 FKP655350:FKP655669 FAT655350:FAT655669 EQX655350:EQX655669 EHB655350:EHB655669 DXF655350:DXF655669 DNJ655350:DNJ655669 DDN655350:DDN655669 CTR655350:CTR655669 CJV655350:CJV655669 BZZ655350:BZZ655669 BQD655350:BQD655669 BGH655350:BGH655669 AWL655350:AWL655669 AMP655350:AMP655669 ACT655350:ACT655669 SX655350:SX655669 JB655350:JB655669 WVN589814:WVN590133 WLR589814:WLR590133 WBV589814:WBV590133 VRZ589814:VRZ590133 VID589814:VID590133 UYH589814:UYH590133 UOL589814:UOL590133 UEP589814:UEP590133 TUT589814:TUT590133 TKX589814:TKX590133 TBB589814:TBB590133 SRF589814:SRF590133 SHJ589814:SHJ590133 RXN589814:RXN590133 RNR589814:RNR590133 RDV589814:RDV590133 QTZ589814:QTZ590133 QKD589814:QKD590133 QAH589814:QAH590133 PQL589814:PQL590133 PGP589814:PGP590133 OWT589814:OWT590133 OMX589814:OMX590133 ODB589814:ODB590133 NTF589814:NTF590133 NJJ589814:NJJ590133 MZN589814:MZN590133 MPR589814:MPR590133 MFV589814:MFV590133 LVZ589814:LVZ590133 LMD589814:LMD590133 LCH589814:LCH590133 KSL589814:KSL590133 KIP589814:KIP590133 JYT589814:JYT590133 JOX589814:JOX590133 JFB589814:JFB590133 IVF589814:IVF590133 ILJ589814:ILJ590133 IBN589814:IBN590133 HRR589814:HRR590133 HHV589814:HHV590133 GXZ589814:GXZ590133 GOD589814:GOD590133 GEH589814:GEH590133 FUL589814:FUL590133 FKP589814:FKP590133 FAT589814:FAT590133 EQX589814:EQX590133 EHB589814:EHB590133 DXF589814:DXF590133 DNJ589814:DNJ590133 DDN589814:DDN590133 CTR589814:CTR590133 CJV589814:CJV590133 BZZ589814:BZZ590133 BQD589814:BQD590133 BGH589814:BGH590133 AWL589814:AWL590133 AMP589814:AMP590133 ACT589814:ACT590133 SX589814:SX590133 JB589814:JB590133 WVN524278:WVN524597 WLR524278:WLR524597 WBV524278:WBV524597 VRZ524278:VRZ524597 VID524278:VID524597 UYH524278:UYH524597 UOL524278:UOL524597 UEP524278:UEP524597 TUT524278:TUT524597 TKX524278:TKX524597 TBB524278:TBB524597 SRF524278:SRF524597 SHJ524278:SHJ524597 RXN524278:RXN524597 RNR524278:RNR524597 RDV524278:RDV524597 QTZ524278:QTZ524597 QKD524278:QKD524597 QAH524278:QAH524597 PQL524278:PQL524597 PGP524278:PGP524597 OWT524278:OWT524597 OMX524278:OMX524597 ODB524278:ODB524597 NTF524278:NTF524597 NJJ524278:NJJ524597 MZN524278:MZN524597 MPR524278:MPR524597 MFV524278:MFV524597 LVZ524278:LVZ524597 LMD524278:LMD524597 LCH524278:LCH524597 KSL524278:KSL524597 KIP524278:KIP524597 JYT524278:JYT524597 JOX524278:JOX524597 JFB524278:JFB524597 IVF524278:IVF524597 ILJ524278:ILJ524597 IBN524278:IBN524597 HRR524278:HRR524597 HHV524278:HHV524597 GXZ524278:GXZ524597 GOD524278:GOD524597 GEH524278:GEH524597 FUL524278:FUL524597 FKP524278:FKP524597 FAT524278:FAT524597 EQX524278:EQX524597 EHB524278:EHB524597 DXF524278:DXF524597 DNJ524278:DNJ524597 DDN524278:DDN524597 CTR524278:CTR524597 CJV524278:CJV524597 BZZ524278:BZZ524597 BQD524278:BQD524597 BGH524278:BGH524597 AWL524278:AWL524597 AMP524278:AMP524597 ACT524278:ACT524597 SX524278:SX524597 JB524278:JB524597 WVN458742:WVN459061 WLR458742:WLR459061 WBV458742:WBV459061 VRZ458742:VRZ459061 VID458742:VID459061 UYH458742:UYH459061 UOL458742:UOL459061 UEP458742:UEP459061 TUT458742:TUT459061 TKX458742:TKX459061 TBB458742:TBB459061 SRF458742:SRF459061 SHJ458742:SHJ459061 RXN458742:RXN459061 RNR458742:RNR459061 RDV458742:RDV459061 QTZ458742:QTZ459061 QKD458742:QKD459061 QAH458742:QAH459061 PQL458742:PQL459061 PGP458742:PGP459061 OWT458742:OWT459061 OMX458742:OMX459061 ODB458742:ODB459061 NTF458742:NTF459061 NJJ458742:NJJ459061 MZN458742:MZN459061 MPR458742:MPR459061 MFV458742:MFV459061 LVZ458742:LVZ459061 LMD458742:LMD459061 LCH458742:LCH459061 KSL458742:KSL459061 KIP458742:KIP459061 JYT458742:JYT459061 JOX458742:JOX459061 JFB458742:JFB459061 IVF458742:IVF459061 ILJ458742:ILJ459061 IBN458742:IBN459061 HRR458742:HRR459061 HHV458742:HHV459061 GXZ458742:GXZ459061 GOD458742:GOD459061 GEH458742:GEH459061 FUL458742:FUL459061 FKP458742:FKP459061 FAT458742:FAT459061 EQX458742:EQX459061 EHB458742:EHB459061 DXF458742:DXF459061 DNJ458742:DNJ459061 DDN458742:DDN459061 CTR458742:CTR459061 CJV458742:CJV459061 BZZ458742:BZZ459061 BQD458742:BQD459061 BGH458742:BGH459061 AWL458742:AWL459061 AMP458742:AMP459061 ACT458742:ACT459061 SX458742:SX459061 JB458742:JB459061 WVN393206:WVN393525 WLR393206:WLR393525 WBV393206:WBV393525 VRZ393206:VRZ393525 VID393206:VID393525 UYH393206:UYH393525 UOL393206:UOL393525 UEP393206:UEP393525 TUT393206:TUT393525 TKX393206:TKX393525 TBB393206:TBB393525 SRF393206:SRF393525 SHJ393206:SHJ393525 RXN393206:RXN393525 RNR393206:RNR393525 RDV393206:RDV393525 QTZ393206:QTZ393525 QKD393206:QKD393525 QAH393206:QAH393525 PQL393206:PQL393525 PGP393206:PGP393525 OWT393206:OWT393525 OMX393206:OMX393525 ODB393206:ODB393525 NTF393206:NTF393525 NJJ393206:NJJ393525 MZN393206:MZN393525 MPR393206:MPR393525 MFV393206:MFV393525 LVZ393206:LVZ393525 LMD393206:LMD393525 LCH393206:LCH393525 KSL393206:KSL393525 KIP393206:KIP393525 JYT393206:JYT393525 JOX393206:JOX393525 JFB393206:JFB393525 IVF393206:IVF393525 ILJ393206:ILJ393525 IBN393206:IBN393525 HRR393206:HRR393525 HHV393206:HHV393525 GXZ393206:GXZ393525 GOD393206:GOD393525 GEH393206:GEH393525 FUL393206:FUL393525 FKP393206:FKP393525 FAT393206:FAT393525 EQX393206:EQX393525 EHB393206:EHB393525 DXF393206:DXF393525 DNJ393206:DNJ393525 DDN393206:DDN393525 CTR393206:CTR393525 CJV393206:CJV393525 BZZ393206:BZZ393525 BQD393206:BQD393525 BGH393206:BGH393525 AWL393206:AWL393525 AMP393206:AMP393525 ACT393206:ACT393525 SX393206:SX393525 JB393206:JB393525 WVN327670:WVN327989 WLR327670:WLR327989 WBV327670:WBV327989 VRZ327670:VRZ327989 VID327670:VID327989 UYH327670:UYH327989 UOL327670:UOL327989 UEP327670:UEP327989 TUT327670:TUT327989 TKX327670:TKX327989 TBB327670:TBB327989 SRF327670:SRF327989 SHJ327670:SHJ327989 RXN327670:RXN327989 RNR327670:RNR327989 RDV327670:RDV327989 QTZ327670:QTZ327989 QKD327670:QKD327989 QAH327670:QAH327989 PQL327670:PQL327989 PGP327670:PGP327989 OWT327670:OWT327989 OMX327670:OMX327989 ODB327670:ODB327989 NTF327670:NTF327989 NJJ327670:NJJ327989 MZN327670:MZN327989 MPR327670:MPR327989 MFV327670:MFV327989 LVZ327670:LVZ327989 LMD327670:LMD327989 LCH327670:LCH327989 KSL327670:KSL327989 KIP327670:KIP327989 JYT327670:JYT327989 JOX327670:JOX327989 JFB327670:JFB327989 IVF327670:IVF327989 ILJ327670:ILJ327989 IBN327670:IBN327989 HRR327670:HRR327989 HHV327670:HHV327989 GXZ327670:GXZ327989 GOD327670:GOD327989 GEH327670:GEH327989 FUL327670:FUL327989 FKP327670:FKP327989 FAT327670:FAT327989 EQX327670:EQX327989 EHB327670:EHB327989 DXF327670:DXF327989 DNJ327670:DNJ327989 DDN327670:DDN327989 CTR327670:CTR327989 CJV327670:CJV327989 BZZ327670:BZZ327989 BQD327670:BQD327989 BGH327670:BGH327989 AWL327670:AWL327989 AMP327670:AMP327989 ACT327670:ACT327989 SX327670:SX327989 JB327670:JB327989 WVN262134:WVN262453 WLR262134:WLR262453 WBV262134:WBV262453 VRZ262134:VRZ262453 VID262134:VID262453 UYH262134:UYH262453 UOL262134:UOL262453 UEP262134:UEP262453 TUT262134:TUT262453 TKX262134:TKX262453 TBB262134:TBB262453 SRF262134:SRF262453 SHJ262134:SHJ262453 RXN262134:RXN262453 RNR262134:RNR262453 RDV262134:RDV262453 QTZ262134:QTZ262453 QKD262134:QKD262453 QAH262134:QAH262453 PQL262134:PQL262453 PGP262134:PGP262453 OWT262134:OWT262453 OMX262134:OMX262453 ODB262134:ODB262453 NTF262134:NTF262453 NJJ262134:NJJ262453 MZN262134:MZN262453 MPR262134:MPR262453 MFV262134:MFV262453 LVZ262134:LVZ262453 LMD262134:LMD262453 LCH262134:LCH262453 KSL262134:KSL262453 KIP262134:KIP262453 JYT262134:JYT262453 JOX262134:JOX262453 JFB262134:JFB262453 IVF262134:IVF262453 ILJ262134:ILJ262453 IBN262134:IBN262453 HRR262134:HRR262453 HHV262134:HHV262453 GXZ262134:GXZ262453 GOD262134:GOD262453 GEH262134:GEH262453 FUL262134:FUL262453 FKP262134:FKP262453 FAT262134:FAT262453 EQX262134:EQX262453 EHB262134:EHB262453 DXF262134:DXF262453 DNJ262134:DNJ262453 DDN262134:DDN262453 CTR262134:CTR262453 CJV262134:CJV262453 BZZ262134:BZZ262453 BQD262134:BQD262453 BGH262134:BGH262453 AWL262134:AWL262453 AMP262134:AMP262453 ACT262134:ACT262453 SX262134:SX262453 JB262134:JB262453 WVN196598:WVN196917 WLR196598:WLR196917 WBV196598:WBV196917 VRZ196598:VRZ196917 VID196598:VID196917 UYH196598:UYH196917 UOL196598:UOL196917 UEP196598:UEP196917 TUT196598:TUT196917 TKX196598:TKX196917 TBB196598:TBB196917 SRF196598:SRF196917 SHJ196598:SHJ196917 RXN196598:RXN196917 RNR196598:RNR196917 RDV196598:RDV196917 QTZ196598:QTZ196917 QKD196598:QKD196917 QAH196598:QAH196917 PQL196598:PQL196917 PGP196598:PGP196917 OWT196598:OWT196917 OMX196598:OMX196917 ODB196598:ODB196917 NTF196598:NTF196917 NJJ196598:NJJ196917 MZN196598:MZN196917 MPR196598:MPR196917 MFV196598:MFV196917 LVZ196598:LVZ196917 LMD196598:LMD196917 LCH196598:LCH196917 KSL196598:KSL196917 KIP196598:KIP196917 JYT196598:JYT196917 JOX196598:JOX196917 JFB196598:JFB196917 IVF196598:IVF196917 ILJ196598:ILJ196917 IBN196598:IBN196917 HRR196598:HRR196917 HHV196598:HHV196917 GXZ196598:GXZ196917 GOD196598:GOD196917 GEH196598:GEH196917 FUL196598:FUL196917 FKP196598:FKP196917 FAT196598:FAT196917 EQX196598:EQX196917 EHB196598:EHB196917 DXF196598:DXF196917 DNJ196598:DNJ196917 DDN196598:DDN196917 CTR196598:CTR196917 CJV196598:CJV196917 BZZ196598:BZZ196917 BQD196598:BQD196917 BGH196598:BGH196917 AWL196598:AWL196917 AMP196598:AMP196917 ACT196598:ACT196917 SX196598:SX196917 JB196598:JB196917 WVN131062:WVN131381 WLR131062:WLR131381 WBV131062:WBV131381 VRZ131062:VRZ131381 VID131062:VID131381 UYH131062:UYH131381 UOL131062:UOL131381 UEP131062:UEP131381 TUT131062:TUT131381 TKX131062:TKX131381 TBB131062:TBB131381 SRF131062:SRF131381 SHJ131062:SHJ131381 RXN131062:RXN131381 RNR131062:RNR131381 RDV131062:RDV131381 QTZ131062:QTZ131381 QKD131062:QKD131381 QAH131062:QAH131381 PQL131062:PQL131381 PGP131062:PGP131381 OWT131062:OWT131381 OMX131062:OMX131381 ODB131062:ODB131381 NTF131062:NTF131381 NJJ131062:NJJ131381 MZN131062:MZN131381 MPR131062:MPR131381 MFV131062:MFV131381 LVZ131062:LVZ131381 LMD131062:LMD131381 LCH131062:LCH131381 KSL131062:KSL131381 KIP131062:KIP131381 JYT131062:JYT131381 JOX131062:JOX131381 JFB131062:JFB131381 IVF131062:IVF131381 ILJ131062:ILJ131381 IBN131062:IBN131381 HRR131062:HRR131381 HHV131062:HHV131381 GXZ131062:GXZ131381 GOD131062:GOD131381 GEH131062:GEH131381 FUL131062:FUL131381 FKP131062:FKP131381 FAT131062:FAT131381 EQX131062:EQX131381 EHB131062:EHB131381 DXF131062:DXF131381 DNJ131062:DNJ131381 DDN131062:DDN131381 CTR131062:CTR131381 CJV131062:CJV131381 BZZ131062:BZZ131381 BQD131062:BQD131381 BGH131062:BGH131381 AWL131062:AWL131381 AMP131062:AMP131381 ACT131062:ACT131381 SX131062:SX131381 JB131062:JB131381 WVN65526:WVN65845 WLR65526:WLR65845 WBV65526:WBV65845 VRZ65526:VRZ65845 VID65526:VID65845 UYH65526:UYH65845 UOL65526:UOL65845 UEP65526:UEP65845 TUT65526:TUT65845 TKX65526:TKX65845 TBB65526:TBB65845 SRF65526:SRF65845 SHJ65526:SHJ65845 RXN65526:RXN65845 RNR65526:RNR65845 RDV65526:RDV65845 QTZ65526:QTZ65845 QKD65526:QKD65845 QAH65526:QAH65845 PQL65526:PQL65845 PGP65526:PGP65845 OWT65526:OWT65845 OMX65526:OMX65845 ODB65526:ODB65845 NTF65526:NTF65845 NJJ65526:NJJ65845 MZN65526:MZN65845 MPR65526:MPR65845 MFV65526:MFV65845 LVZ65526:LVZ65845 LMD65526:LMD65845 LCH65526:LCH65845 KSL65526:KSL65845 KIP65526:KIP65845 JYT65526:JYT65845 JOX65526:JOX65845 JFB65526:JFB65845 IVF65526:IVF65845 ILJ65526:ILJ65845 IBN65526:IBN65845 HRR65526:HRR65845 HHV65526:HHV65845 GXZ65526:GXZ65845 GOD65526:GOD65845 GEH65526:GEH65845 FUL65526:FUL65845 FKP65526:FKP65845 FAT65526:FAT65845 EQX65526:EQX65845 EHB65526:EHB65845 DXF65526:DXF65845 DNJ65526:DNJ65845 DDN65526:DDN65845 CTR65526:CTR65845 CJV65526:CJV65845 BZZ65526:BZZ65845 BQD65526:BQD65845 BGH65526:BGH65845 AWL65526:AWL65845 AMP65526:AMP65845 ACT65526:ACT65845 SX65526:SX65845 JB65526:JB65845 FAT2:FAT309 FKP2:FKP309 FUL2:FUL309 GEH2:GEH309 GOD2:GOD309 GXZ2:GXZ309 HHV2:HHV309 HRR2:HRR309 IBN2:IBN309 ILJ2:ILJ309 IVF2:IVF309 JFB2:JFB309 JOX2:JOX309 JYT2:JYT309 KIP2:KIP309 KSL2:KSL309 LCH2:LCH309 LMD2:LMD309 LVZ2:LVZ309 MFV2:MFV309 MPR2:MPR309 MZN2:MZN309 NJJ2:NJJ309 NTF2:NTF309 ODB2:ODB309 OMX2:OMX309 OWT2:OWT309 PGP2:PGP309 PQL2:PQL309 QAH2:QAH309 QKD2:QKD309 QTZ2:QTZ309 RDV2:RDV309 RNR2:RNR309 RXN2:RXN309 SHJ2:SHJ309 SRF2:SRF309 TBB2:TBB309 TKX2:TKX309 TUT2:TUT309 UEP2:UEP309 UOL2:UOL309 UYH2:UYH309 VID2:VID309 VRZ2:VRZ309 WBV2:WBV309 WLR2:WLR309 WVN2:WVN309 JB2:JB309 SX2:SX309 ACT2:ACT309 AMP2:AMP309 AWL2:AWL309 BGH2:BGH309 BQD2:BQD309 BZZ2:BZZ309 CJV2:CJV309 CTR2:CTR309 DDN2:DDN309 DNJ2:DNJ309 DXF2:DXF309 EHB2:EHB309 EQX2:EQX309" xr:uid="{C31F8AF7-C665-44C5-A416-14AF0FF87C83}">
      <formula1>$AH$2:$AH$10</formula1>
    </dataValidation>
    <dataValidation type="list" allowBlank="1" showInputMessage="1" showErrorMessage="1" sqref="WWG983030:WWI983110 WMK983030:WMM983110 WCO983030:WCQ983110 VSS983030:VSU983110 VIW983030:VIY983110 UZA983030:UZC983110 UPE983030:UPG983110 UFI983030:UFK983110 TVM983030:TVO983110 TLQ983030:TLS983110 TBU983030:TBW983110 SRY983030:SSA983110 SIC983030:SIE983110 RYG983030:RYI983110 ROK983030:ROM983110 REO983030:REQ983110 QUS983030:QUU983110 QKW983030:QKY983110 QBA983030:QBC983110 PRE983030:PRG983110 PHI983030:PHK983110 OXM983030:OXO983110 ONQ983030:ONS983110 ODU983030:ODW983110 NTY983030:NUA983110 NKC983030:NKE983110 NAG983030:NAI983110 MQK983030:MQM983110 MGO983030:MGQ983110 LWS983030:LWU983110 LMW983030:LMY983110 LDA983030:LDC983110 KTE983030:KTG983110 KJI983030:KJK983110 JZM983030:JZO983110 JPQ983030:JPS983110 JFU983030:JFW983110 IVY983030:IWA983110 IMC983030:IME983110 ICG983030:ICI983110 HSK983030:HSM983110 HIO983030:HIQ983110 GYS983030:GYU983110 GOW983030:GOY983110 GFA983030:GFC983110 FVE983030:FVG983110 FLI983030:FLK983110 FBM983030:FBO983110 ERQ983030:ERS983110 EHU983030:EHW983110 DXY983030:DYA983110 DOC983030:DOE983110 DEG983030:DEI983110 CUK983030:CUM983110 CKO983030:CKQ983110 CAS983030:CAU983110 BQW983030:BQY983110 BHA983030:BHC983110 AXE983030:AXG983110 ANI983030:ANK983110 ADM983030:ADO983110 TQ983030:TS983110 JU983030:JW983110 Y983030:AA983110 WWG917494:WWI917574 WMK917494:WMM917574 WCO917494:WCQ917574 VSS917494:VSU917574 VIW917494:VIY917574 UZA917494:UZC917574 UPE917494:UPG917574 UFI917494:UFK917574 TVM917494:TVO917574 TLQ917494:TLS917574 TBU917494:TBW917574 SRY917494:SSA917574 SIC917494:SIE917574 RYG917494:RYI917574 ROK917494:ROM917574 REO917494:REQ917574 QUS917494:QUU917574 QKW917494:QKY917574 QBA917494:QBC917574 PRE917494:PRG917574 PHI917494:PHK917574 OXM917494:OXO917574 ONQ917494:ONS917574 ODU917494:ODW917574 NTY917494:NUA917574 NKC917494:NKE917574 NAG917494:NAI917574 MQK917494:MQM917574 MGO917494:MGQ917574 LWS917494:LWU917574 LMW917494:LMY917574 LDA917494:LDC917574 KTE917494:KTG917574 KJI917494:KJK917574 JZM917494:JZO917574 JPQ917494:JPS917574 JFU917494:JFW917574 IVY917494:IWA917574 IMC917494:IME917574 ICG917494:ICI917574 HSK917494:HSM917574 HIO917494:HIQ917574 GYS917494:GYU917574 GOW917494:GOY917574 GFA917494:GFC917574 FVE917494:FVG917574 FLI917494:FLK917574 FBM917494:FBO917574 ERQ917494:ERS917574 EHU917494:EHW917574 DXY917494:DYA917574 DOC917494:DOE917574 DEG917494:DEI917574 CUK917494:CUM917574 CKO917494:CKQ917574 CAS917494:CAU917574 BQW917494:BQY917574 BHA917494:BHC917574 AXE917494:AXG917574 ANI917494:ANK917574 ADM917494:ADO917574 TQ917494:TS917574 JU917494:JW917574 Y917494:AA917574 WWG851958:WWI852038 WMK851958:WMM852038 WCO851958:WCQ852038 VSS851958:VSU852038 VIW851958:VIY852038 UZA851958:UZC852038 UPE851958:UPG852038 UFI851958:UFK852038 TVM851958:TVO852038 TLQ851958:TLS852038 TBU851958:TBW852038 SRY851958:SSA852038 SIC851958:SIE852038 RYG851958:RYI852038 ROK851958:ROM852038 REO851958:REQ852038 QUS851958:QUU852038 QKW851958:QKY852038 QBA851958:QBC852038 PRE851958:PRG852038 PHI851958:PHK852038 OXM851958:OXO852038 ONQ851958:ONS852038 ODU851958:ODW852038 NTY851958:NUA852038 NKC851958:NKE852038 NAG851958:NAI852038 MQK851958:MQM852038 MGO851958:MGQ852038 LWS851958:LWU852038 LMW851958:LMY852038 LDA851958:LDC852038 KTE851958:KTG852038 KJI851958:KJK852038 JZM851958:JZO852038 JPQ851958:JPS852038 JFU851958:JFW852038 IVY851958:IWA852038 IMC851958:IME852038 ICG851958:ICI852038 HSK851958:HSM852038 HIO851958:HIQ852038 GYS851958:GYU852038 GOW851958:GOY852038 GFA851958:GFC852038 FVE851958:FVG852038 FLI851958:FLK852038 FBM851958:FBO852038 ERQ851958:ERS852038 EHU851958:EHW852038 DXY851958:DYA852038 DOC851958:DOE852038 DEG851958:DEI852038 CUK851958:CUM852038 CKO851958:CKQ852038 CAS851958:CAU852038 BQW851958:BQY852038 BHA851958:BHC852038 AXE851958:AXG852038 ANI851958:ANK852038 ADM851958:ADO852038 TQ851958:TS852038 JU851958:JW852038 Y851958:AA852038 WWG786422:WWI786502 WMK786422:WMM786502 WCO786422:WCQ786502 VSS786422:VSU786502 VIW786422:VIY786502 UZA786422:UZC786502 UPE786422:UPG786502 UFI786422:UFK786502 TVM786422:TVO786502 TLQ786422:TLS786502 TBU786422:TBW786502 SRY786422:SSA786502 SIC786422:SIE786502 RYG786422:RYI786502 ROK786422:ROM786502 REO786422:REQ786502 QUS786422:QUU786502 QKW786422:QKY786502 QBA786422:QBC786502 PRE786422:PRG786502 PHI786422:PHK786502 OXM786422:OXO786502 ONQ786422:ONS786502 ODU786422:ODW786502 NTY786422:NUA786502 NKC786422:NKE786502 NAG786422:NAI786502 MQK786422:MQM786502 MGO786422:MGQ786502 LWS786422:LWU786502 LMW786422:LMY786502 LDA786422:LDC786502 KTE786422:KTG786502 KJI786422:KJK786502 JZM786422:JZO786502 JPQ786422:JPS786502 JFU786422:JFW786502 IVY786422:IWA786502 IMC786422:IME786502 ICG786422:ICI786502 HSK786422:HSM786502 HIO786422:HIQ786502 GYS786422:GYU786502 GOW786422:GOY786502 GFA786422:GFC786502 FVE786422:FVG786502 FLI786422:FLK786502 FBM786422:FBO786502 ERQ786422:ERS786502 EHU786422:EHW786502 DXY786422:DYA786502 DOC786422:DOE786502 DEG786422:DEI786502 CUK786422:CUM786502 CKO786422:CKQ786502 CAS786422:CAU786502 BQW786422:BQY786502 BHA786422:BHC786502 AXE786422:AXG786502 ANI786422:ANK786502 ADM786422:ADO786502 TQ786422:TS786502 JU786422:JW786502 Y786422:AA786502 WWG720886:WWI720966 WMK720886:WMM720966 WCO720886:WCQ720966 VSS720886:VSU720966 VIW720886:VIY720966 UZA720886:UZC720966 UPE720886:UPG720966 UFI720886:UFK720966 TVM720886:TVO720966 TLQ720886:TLS720966 TBU720886:TBW720966 SRY720886:SSA720966 SIC720886:SIE720966 RYG720886:RYI720966 ROK720886:ROM720966 REO720886:REQ720966 QUS720886:QUU720966 QKW720886:QKY720966 QBA720886:QBC720966 PRE720886:PRG720966 PHI720886:PHK720966 OXM720886:OXO720966 ONQ720886:ONS720966 ODU720886:ODW720966 NTY720886:NUA720966 NKC720886:NKE720966 NAG720886:NAI720966 MQK720886:MQM720966 MGO720886:MGQ720966 LWS720886:LWU720966 LMW720886:LMY720966 LDA720886:LDC720966 KTE720886:KTG720966 KJI720886:KJK720966 JZM720886:JZO720966 JPQ720886:JPS720966 JFU720886:JFW720966 IVY720886:IWA720966 IMC720886:IME720966 ICG720886:ICI720966 HSK720886:HSM720966 HIO720886:HIQ720966 GYS720886:GYU720966 GOW720886:GOY720966 GFA720886:GFC720966 FVE720886:FVG720966 FLI720886:FLK720966 FBM720886:FBO720966 ERQ720886:ERS720966 EHU720886:EHW720966 DXY720886:DYA720966 DOC720886:DOE720966 DEG720886:DEI720966 CUK720886:CUM720966 CKO720886:CKQ720966 CAS720886:CAU720966 BQW720886:BQY720966 BHA720886:BHC720966 AXE720886:AXG720966 ANI720886:ANK720966 ADM720886:ADO720966 TQ720886:TS720966 JU720886:JW720966 Y720886:AA720966 WWG655350:WWI655430 WMK655350:WMM655430 WCO655350:WCQ655430 VSS655350:VSU655430 VIW655350:VIY655430 UZA655350:UZC655430 UPE655350:UPG655430 UFI655350:UFK655430 TVM655350:TVO655430 TLQ655350:TLS655430 TBU655350:TBW655430 SRY655350:SSA655430 SIC655350:SIE655430 RYG655350:RYI655430 ROK655350:ROM655430 REO655350:REQ655430 QUS655350:QUU655430 QKW655350:QKY655430 QBA655350:QBC655430 PRE655350:PRG655430 PHI655350:PHK655430 OXM655350:OXO655430 ONQ655350:ONS655430 ODU655350:ODW655430 NTY655350:NUA655430 NKC655350:NKE655430 NAG655350:NAI655430 MQK655350:MQM655430 MGO655350:MGQ655430 LWS655350:LWU655430 LMW655350:LMY655430 LDA655350:LDC655430 KTE655350:KTG655430 KJI655350:KJK655430 JZM655350:JZO655430 JPQ655350:JPS655430 JFU655350:JFW655430 IVY655350:IWA655430 IMC655350:IME655430 ICG655350:ICI655430 HSK655350:HSM655430 HIO655350:HIQ655430 GYS655350:GYU655430 GOW655350:GOY655430 GFA655350:GFC655430 FVE655350:FVG655430 FLI655350:FLK655430 FBM655350:FBO655430 ERQ655350:ERS655430 EHU655350:EHW655430 DXY655350:DYA655430 DOC655350:DOE655430 DEG655350:DEI655430 CUK655350:CUM655430 CKO655350:CKQ655430 CAS655350:CAU655430 BQW655350:BQY655430 BHA655350:BHC655430 AXE655350:AXG655430 ANI655350:ANK655430 ADM655350:ADO655430 TQ655350:TS655430 JU655350:JW655430 Y655350:AA655430 WWG589814:WWI589894 WMK589814:WMM589894 WCO589814:WCQ589894 VSS589814:VSU589894 VIW589814:VIY589894 UZA589814:UZC589894 UPE589814:UPG589894 UFI589814:UFK589894 TVM589814:TVO589894 TLQ589814:TLS589894 TBU589814:TBW589894 SRY589814:SSA589894 SIC589814:SIE589894 RYG589814:RYI589894 ROK589814:ROM589894 REO589814:REQ589894 QUS589814:QUU589894 QKW589814:QKY589894 QBA589814:QBC589894 PRE589814:PRG589894 PHI589814:PHK589894 OXM589814:OXO589894 ONQ589814:ONS589894 ODU589814:ODW589894 NTY589814:NUA589894 NKC589814:NKE589894 NAG589814:NAI589894 MQK589814:MQM589894 MGO589814:MGQ589894 LWS589814:LWU589894 LMW589814:LMY589894 LDA589814:LDC589894 KTE589814:KTG589894 KJI589814:KJK589894 JZM589814:JZO589894 JPQ589814:JPS589894 JFU589814:JFW589894 IVY589814:IWA589894 IMC589814:IME589894 ICG589814:ICI589894 HSK589814:HSM589894 HIO589814:HIQ589894 GYS589814:GYU589894 GOW589814:GOY589894 GFA589814:GFC589894 FVE589814:FVG589894 FLI589814:FLK589894 FBM589814:FBO589894 ERQ589814:ERS589894 EHU589814:EHW589894 DXY589814:DYA589894 DOC589814:DOE589894 DEG589814:DEI589894 CUK589814:CUM589894 CKO589814:CKQ589894 CAS589814:CAU589894 BQW589814:BQY589894 BHA589814:BHC589894 AXE589814:AXG589894 ANI589814:ANK589894 ADM589814:ADO589894 TQ589814:TS589894 JU589814:JW589894 Y589814:AA589894 WWG524278:WWI524358 WMK524278:WMM524358 WCO524278:WCQ524358 VSS524278:VSU524358 VIW524278:VIY524358 UZA524278:UZC524358 UPE524278:UPG524358 UFI524278:UFK524358 TVM524278:TVO524358 TLQ524278:TLS524358 TBU524278:TBW524358 SRY524278:SSA524358 SIC524278:SIE524358 RYG524278:RYI524358 ROK524278:ROM524358 REO524278:REQ524358 QUS524278:QUU524358 QKW524278:QKY524358 QBA524278:QBC524358 PRE524278:PRG524358 PHI524278:PHK524358 OXM524278:OXO524358 ONQ524278:ONS524358 ODU524278:ODW524358 NTY524278:NUA524358 NKC524278:NKE524358 NAG524278:NAI524358 MQK524278:MQM524358 MGO524278:MGQ524358 LWS524278:LWU524358 LMW524278:LMY524358 LDA524278:LDC524358 KTE524278:KTG524358 KJI524278:KJK524358 JZM524278:JZO524358 JPQ524278:JPS524358 JFU524278:JFW524358 IVY524278:IWA524358 IMC524278:IME524358 ICG524278:ICI524358 HSK524278:HSM524358 HIO524278:HIQ524358 GYS524278:GYU524358 GOW524278:GOY524358 GFA524278:GFC524358 FVE524278:FVG524358 FLI524278:FLK524358 FBM524278:FBO524358 ERQ524278:ERS524358 EHU524278:EHW524358 DXY524278:DYA524358 DOC524278:DOE524358 DEG524278:DEI524358 CUK524278:CUM524358 CKO524278:CKQ524358 CAS524278:CAU524358 BQW524278:BQY524358 BHA524278:BHC524358 AXE524278:AXG524358 ANI524278:ANK524358 ADM524278:ADO524358 TQ524278:TS524358 JU524278:JW524358 Y524278:AA524358 WWG458742:WWI458822 WMK458742:WMM458822 WCO458742:WCQ458822 VSS458742:VSU458822 VIW458742:VIY458822 UZA458742:UZC458822 UPE458742:UPG458822 UFI458742:UFK458822 TVM458742:TVO458822 TLQ458742:TLS458822 TBU458742:TBW458822 SRY458742:SSA458822 SIC458742:SIE458822 RYG458742:RYI458822 ROK458742:ROM458822 REO458742:REQ458822 QUS458742:QUU458822 QKW458742:QKY458822 QBA458742:QBC458822 PRE458742:PRG458822 PHI458742:PHK458822 OXM458742:OXO458822 ONQ458742:ONS458822 ODU458742:ODW458822 NTY458742:NUA458822 NKC458742:NKE458822 NAG458742:NAI458822 MQK458742:MQM458822 MGO458742:MGQ458822 LWS458742:LWU458822 LMW458742:LMY458822 LDA458742:LDC458822 KTE458742:KTG458822 KJI458742:KJK458822 JZM458742:JZO458822 JPQ458742:JPS458822 JFU458742:JFW458822 IVY458742:IWA458822 IMC458742:IME458822 ICG458742:ICI458822 HSK458742:HSM458822 HIO458742:HIQ458822 GYS458742:GYU458822 GOW458742:GOY458822 GFA458742:GFC458822 FVE458742:FVG458822 FLI458742:FLK458822 FBM458742:FBO458822 ERQ458742:ERS458822 EHU458742:EHW458822 DXY458742:DYA458822 DOC458742:DOE458822 DEG458742:DEI458822 CUK458742:CUM458822 CKO458742:CKQ458822 CAS458742:CAU458822 BQW458742:BQY458822 BHA458742:BHC458822 AXE458742:AXG458822 ANI458742:ANK458822 ADM458742:ADO458822 TQ458742:TS458822 JU458742:JW458822 Y458742:AA458822 WWG393206:WWI393286 WMK393206:WMM393286 WCO393206:WCQ393286 VSS393206:VSU393286 VIW393206:VIY393286 UZA393206:UZC393286 UPE393206:UPG393286 UFI393206:UFK393286 TVM393206:TVO393286 TLQ393206:TLS393286 TBU393206:TBW393286 SRY393206:SSA393286 SIC393206:SIE393286 RYG393206:RYI393286 ROK393206:ROM393286 REO393206:REQ393286 QUS393206:QUU393286 QKW393206:QKY393286 QBA393206:QBC393286 PRE393206:PRG393286 PHI393206:PHK393286 OXM393206:OXO393286 ONQ393206:ONS393286 ODU393206:ODW393286 NTY393206:NUA393286 NKC393206:NKE393286 NAG393206:NAI393286 MQK393206:MQM393286 MGO393206:MGQ393286 LWS393206:LWU393286 LMW393206:LMY393286 LDA393206:LDC393286 KTE393206:KTG393286 KJI393206:KJK393286 JZM393206:JZO393286 JPQ393206:JPS393286 JFU393206:JFW393286 IVY393206:IWA393286 IMC393206:IME393286 ICG393206:ICI393286 HSK393206:HSM393286 HIO393206:HIQ393286 GYS393206:GYU393286 GOW393206:GOY393286 GFA393206:GFC393286 FVE393206:FVG393286 FLI393206:FLK393286 FBM393206:FBO393286 ERQ393206:ERS393286 EHU393206:EHW393286 DXY393206:DYA393286 DOC393206:DOE393286 DEG393206:DEI393286 CUK393206:CUM393286 CKO393206:CKQ393286 CAS393206:CAU393286 BQW393206:BQY393286 BHA393206:BHC393286 AXE393206:AXG393286 ANI393206:ANK393286 ADM393206:ADO393286 TQ393206:TS393286 JU393206:JW393286 Y393206:AA393286 WWG327670:WWI327750 WMK327670:WMM327750 WCO327670:WCQ327750 VSS327670:VSU327750 VIW327670:VIY327750 UZA327670:UZC327750 UPE327670:UPG327750 UFI327670:UFK327750 TVM327670:TVO327750 TLQ327670:TLS327750 TBU327670:TBW327750 SRY327670:SSA327750 SIC327670:SIE327750 RYG327670:RYI327750 ROK327670:ROM327750 REO327670:REQ327750 QUS327670:QUU327750 QKW327670:QKY327750 QBA327670:QBC327750 PRE327670:PRG327750 PHI327670:PHK327750 OXM327670:OXO327750 ONQ327670:ONS327750 ODU327670:ODW327750 NTY327670:NUA327750 NKC327670:NKE327750 NAG327670:NAI327750 MQK327670:MQM327750 MGO327670:MGQ327750 LWS327670:LWU327750 LMW327670:LMY327750 LDA327670:LDC327750 KTE327670:KTG327750 KJI327670:KJK327750 JZM327670:JZO327750 JPQ327670:JPS327750 JFU327670:JFW327750 IVY327670:IWA327750 IMC327670:IME327750 ICG327670:ICI327750 HSK327670:HSM327750 HIO327670:HIQ327750 GYS327670:GYU327750 GOW327670:GOY327750 GFA327670:GFC327750 FVE327670:FVG327750 FLI327670:FLK327750 FBM327670:FBO327750 ERQ327670:ERS327750 EHU327670:EHW327750 DXY327670:DYA327750 DOC327670:DOE327750 DEG327670:DEI327750 CUK327670:CUM327750 CKO327670:CKQ327750 CAS327670:CAU327750 BQW327670:BQY327750 BHA327670:BHC327750 AXE327670:AXG327750 ANI327670:ANK327750 ADM327670:ADO327750 TQ327670:TS327750 JU327670:JW327750 Y327670:AA327750 WWG262134:WWI262214 WMK262134:WMM262214 WCO262134:WCQ262214 VSS262134:VSU262214 VIW262134:VIY262214 UZA262134:UZC262214 UPE262134:UPG262214 UFI262134:UFK262214 TVM262134:TVO262214 TLQ262134:TLS262214 TBU262134:TBW262214 SRY262134:SSA262214 SIC262134:SIE262214 RYG262134:RYI262214 ROK262134:ROM262214 REO262134:REQ262214 QUS262134:QUU262214 QKW262134:QKY262214 QBA262134:QBC262214 PRE262134:PRG262214 PHI262134:PHK262214 OXM262134:OXO262214 ONQ262134:ONS262214 ODU262134:ODW262214 NTY262134:NUA262214 NKC262134:NKE262214 NAG262134:NAI262214 MQK262134:MQM262214 MGO262134:MGQ262214 LWS262134:LWU262214 LMW262134:LMY262214 LDA262134:LDC262214 KTE262134:KTG262214 KJI262134:KJK262214 JZM262134:JZO262214 JPQ262134:JPS262214 JFU262134:JFW262214 IVY262134:IWA262214 IMC262134:IME262214 ICG262134:ICI262214 HSK262134:HSM262214 HIO262134:HIQ262214 GYS262134:GYU262214 GOW262134:GOY262214 GFA262134:GFC262214 FVE262134:FVG262214 FLI262134:FLK262214 FBM262134:FBO262214 ERQ262134:ERS262214 EHU262134:EHW262214 DXY262134:DYA262214 DOC262134:DOE262214 DEG262134:DEI262214 CUK262134:CUM262214 CKO262134:CKQ262214 CAS262134:CAU262214 BQW262134:BQY262214 BHA262134:BHC262214 AXE262134:AXG262214 ANI262134:ANK262214 ADM262134:ADO262214 TQ262134:TS262214 JU262134:JW262214 Y262134:AA262214 WWG196598:WWI196678 WMK196598:WMM196678 WCO196598:WCQ196678 VSS196598:VSU196678 VIW196598:VIY196678 UZA196598:UZC196678 UPE196598:UPG196678 UFI196598:UFK196678 TVM196598:TVO196678 TLQ196598:TLS196678 TBU196598:TBW196678 SRY196598:SSA196678 SIC196598:SIE196678 RYG196598:RYI196678 ROK196598:ROM196678 REO196598:REQ196678 QUS196598:QUU196678 QKW196598:QKY196678 QBA196598:QBC196678 PRE196598:PRG196678 PHI196598:PHK196678 OXM196598:OXO196678 ONQ196598:ONS196678 ODU196598:ODW196678 NTY196598:NUA196678 NKC196598:NKE196678 NAG196598:NAI196678 MQK196598:MQM196678 MGO196598:MGQ196678 LWS196598:LWU196678 LMW196598:LMY196678 LDA196598:LDC196678 KTE196598:KTG196678 KJI196598:KJK196678 JZM196598:JZO196678 JPQ196598:JPS196678 JFU196598:JFW196678 IVY196598:IWA196678 IMC196598:IME196678 ICG196598:ICI196678 HSK196598:HSM196678 HIO196598:HIQ196678 GYS196598:GYU196678 GOW196598:GOY196678 GFA196598:GFC196678 FVE196598:FVG196678 FLI196598:FLK196678 FBM196598:FBO196678 ERQ196598:ERS196678 EHU196598:EHW196678 DXY196598:DYA196678 DOC196598:DOE196678 DEG196598:DEI196678 CUK196598:CUM196678 CKO196598:CKQ196678 CAS196598:CAU196678 BQW196598:BQY196678 BHA196598:BHC196678 AXE196598:AXG196678 ANI196598:ANK196678 ADM196598:ADO196678 TQ196598:TS196678 JU196598:JW196678 Y196598:AA196678 WWG131062:WWI131142 WMK131062:WMM131142 WCO131062:WCQ131142 VSS131062:VSU131142 VIW131062:VIY131142 UZA131062:UZC131142 UPE131062:UPG131142 UFI131062:UFK131142 TVM131062:TVO131142 TLQ131062:TLS131142 TBU131062:TBW131142 SRY131062:SSA131142 SIC131062:SIE131142 RYG131062:RYI131142 ROK131062:ROM131142 REO131062:REQ131142 QUS131062:QUU131142 QKW131062:QKY131142 QBA131062:QBC131142 PRE131062:PRG131142 PHI131062:PHK131142 OXM131062:OXO131142 ONQ131062:ONS131142 ODU131062:ODW131142 NTY131062:NUA131142 NKC131062:NKE131142 NAG131062:NAI131142 MQK131062:MQM131142 MGO131062:MGQ131142 LWS131062:LWU131142 LMW131062:LMY131142 LDA131062:LDC131142 KTE131062:KTG131142 KJI131062:KJK131142 JZM131062:JZO131142 JPQ131062:JPS131142 JFU131062:JFW131142 IVY131062:IWA131142 IMC131062:IME131142 ICG131062:ICI131142 HSK131062:HSM131142 HIO131062:HIQ131142 GYS131062:GYU131142 GOW131062:GOY131142 GFA131062:GFC131142 FVE131062:FVG131142 FLI131062:FLK131142 FBM131062:FBO131142 ERQ131062:ERS131142 EHU131062:EHW131142 DXY131062:DYA131142 DOC131062:DOE131142 DEG131062:DEI131142 CUK131062:CUM131142 CKO131062:CKQ131142 CAS131062:CAU131142 BQW131062:BQY131142 BHA131062:BHC131142 AXE131062:AXG131142 ANI131062:ANK131142 ADM131062:ADO131142 TQ131062:TS131142 JU131062:JW131142 Y131062:AA131142 WWG65526:WWI65606 WMK65526:WMM65606 WCO65526:WCQ65606 VSS65526:VSU65606 VIW65526:VIY65606 UZA65526:UZC65606 UPE65526:UPG65606 UFI65526:UFK65606 TVM65526:TVO65606 TLQ65526:TLS65606 TBU65526:TBW65606 SRY65526:SSA65606 SIC65526:SIE65606 RYG65526:RYI65606 ROK65526:ROM65606 REO65526:REQ65606 QUS65526:QUU65606 QKW65526:QKY65606 QBA65526:QBC65606 PRE65526:PRG65606 PHI65526:PHK65606 OXM65526:OXO65606 ONQ65526:ONS65606 ODU65526:ODW65606 NTY65526:NUA65606 NKC65526:NKE65606 NAG65526:NAI65606 MQK65526:MQM65606 MGO65526:MGQ65606 LWS65526:LWU65606 LMW65526:LMY65606 LDA65526:LDC65606 KTE65526:KTG65606 KJI65526:KJK65606 JZM65526:JZO65606 JPQ65526:JPS65606 JFU65526:JFW65606 IVY65526:IWA65606 IMC65526:IME65606 ICG65526:ICI65606 HSK65526:HSM65606 HIO65526:HIQ65606 GYS65526:GYU65606 GOW65526:GOY65606 GFA65526:GFC65606 FVE65526:FVG65606 FLI65526:FLK65606 FBM65526:FBO65606 ERQ65526:ERS65606 EHU65526:EHW65606 DXY65526:DYA65606 DOC65526:DOE65606 DEG65526:DEI65606 CUK65526:CUM65606 CKO65526:CKQ65606 CAS65526:CAU65606 BQW65526:BQY65606 BHA65526:BHC65606 AXE65526:AXG65606 ANI65526:ANK65606 ADM65526:ADO65606 TQ65526:TS65606 JU65526:JW65606 Y65526:AA65606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2E9D25AD-8F86-45CC-8903-43B2AA12D8DF}">
      <formula1>$AV$2:$AV$20</formula1>
    </dataValidation>
    <dataValidation type="list" allowBlank="1" showInputMessage="1" showErrorMessage="1" sqref="WVP983030:WVP983108 WLT983030:WLT983108 WBX983030:WBX983108 VSB983030:VSB983108 VIF983030:VIF983108 UYJ983030:UYJ983108 UON983030:UON983108 UER983030:UER983108 TUV983030:TUV983108 TKZ983030:TKZ983108 TBD983030:TBD983108 SRH983030:SRH983108 SHL983030:SHL983108 RXP983030:RXP983108 RNT983030:RNT983108 RDX983030:RDX983108 QUB983030:QUB983108 QKF983030:QKF983108 QAJ983030:QAJ983108 PQN983030:PQN983108 PGR983030:PGR983108 OWV983030:OWV983108 OMZ983030:OMZ983108 ODD983030:ODD983108 NTH983030:NTH983108 NJL983030:NJL983108 MZP983030:MZP983108 MPT983030:MPT983108 MFX983030:MFX983108 LWB983030:LWB983108 LMF983030:LMF983108 LCJ983030:LCJ983108 KSN983030:KSN983108 KIR983030:KIR983108 JYV983030:JYV983108 JOZ983030:JOZ983108 JFD983030:JFD983108 IVH983030:IVH983108 ILL983030:ILL983108 IBP983030:IBP983108 HRT983030:HRT983108 HHX983030:HHX983108 GYB983030:GYB983108 GOF983030:GOF983108 GEJ983030:GEJ983108 FUN983030:FUN983108 FKR983030:FKR983108 FAV983030:FAV983108 EQZ983030:EQZ983108 EHD983030:EHD983108 DXH983030:DXH983108 DNL983030:DNL983108 DDP983030:DDP983108 CTT983030:CTT983108 CJX983030:CJX983108 CAB983030:CAB983108 BQF983030:BQF983108 BGJ983030:BGJ983108 AWN983030:AWN983108 AMR983030:AMR983108 ACV983030:ACV983108 SZ983030:SZ983108 JD983030:JD983108 H983030:H983108 WVP917494:WVP917572 WLT917494:WLT917572 WBX917494:WBX917572 VSB917494:VSB917572 VIF917494:VIF917572 UYJ917494:UYJ917572 UON917494:UON917572 UER917494:UER917572 TUV917494:TUV917572 TKZ917494:TKZ917572 TBD917494:TBD917572 SRH917494:SRH917572 SHL917494:SHL917572 RXP917494:RXP917572 RNT917494:RNT917572 RDX917494:RDX917572 QUB917494:QUB917572 QKF917494:QKF917572 QAJ917494:QAJ917572 PQN917494:PQN917572 PGR917494:PGR917572 OWV917494:OWV917572 OMZ917494:OMZ917572 ODD917494:ODD917572 NTH917494:NTH917572 NJL917494:NJL917572 MZP917494:MZP917572 MPT917494:MPT917572 MFX917494:MFX917572 LWB917494:LWB917572 LMF917494:LMF917572 LCJ917494:LCJ917572 KSN917494:KSN917572 KIR917494:KIR917572 JYV917494:JYV917572 JOZ917494:JOZ917572 JFD917494:JFD917572 IVH917494:IVH917572 ILL917494:ILL917572 IBP917494:IBP917572 HRT917494:HRT917572 HHX917494:HHX917572 GYB917494:GYB917572 GOF917494:GOF917572 GEJ917494:GEJ917572 FUN917494:FUN917572 FKR917494:FKR917572 FAV917494:FAV917572 EQZ917494:EQZ917572 EHD917494:EHD917572 DXH917494:DXH917572 DNL917494:DNL917572 DDP917494:DDP917572 CTT917494:CTT917572 CJX917494:CJX917572 CAB917494:CAB917572 BQF917494:BQF917572 BGJ917494:BGJ917572 AWN917494:AWN917572 AMR917494:AMR917572 ACV917494:ACV917572 SZ917494:SZ917572 JD917494:JD917572 H917494:H917572 WVP851958:WVP852036 WLT851958:WLT852036 WBX851958:WBX852036 VSB851958:VSB852036 VIF851958:VIF852036 UYJ851958:UYJ852036 UON851958:UON852036 UER851958:UER852036 TUV851958:TUV852036 TKZ851958:TKZ852036 TBD851958:TBD852036 SRH851958:SRH852036 SHL851958:SHL852036 RXP851958:RXP852036 RNT851958:RNT852036 RDX851958:RDX852036 QUB851958:QUB852036 QKF851958:QKF852036 QAJ851958:QAJ852036 PQN851958:PQN852036 PGR851958:PGR852036 OWV851958:OWV852036 OMZ851958:OMZ852036 ODD851958:ODD852036 NTH851958:NTH852036 NJL851958:NJL852036 MZP851958:MZP852036 MPT851958:MPT852036 MFX851958:MFX852036 LWB851958:LWB852036 LMF851958:LMF852036 LCJ851958:LCJ852036 KSN851958:KSN852036 KIR851958:KIR852036 JYV851958:JYV852036 JOZ851958:JOZ852036 JFD851958:JFD852036 IVH851958:IVH852036 ILL851958:ILL852036 IBP851958:IBP852036 HRT851958:HRT852036 HHX851958:HHX852036 GYB851958:GYB852036 GOF851958:GOF852036 GEJ851958:GEJ852036 FUN851958:FUN852036 FKR851958:FKR852036 FAV851958:FAV852036 EQZ851958:EQZ852036 EHD851958:EHD852036 DXH851958:DXH852036 DNL851958:DNL852036 DDP851958:DDP852036 CTT851958:CTT852036 CJX851958:CJX852036 CAB851958:CAB852036 BQF851958:BQF852036 BGJ851958:BGJ852036 AWN851958:AWN852036 AMR851958:AMR852036 ACV851958:ACV852036 SZ851958:SZ852036 JD851958:JD852036 H851958:H852036 WVP786422:WVP786500 WLT786422:WLT786500 WBX786422:WBX786500 VSB786422:VSB786500 VIF786422:VIF786500 UYJ786422:UYJ786500 UON786422:UON786500 UER786422:UER786500 TUV786422:TUV786500 TKZ786422:TKZ786500 TBD786422:TBD786500 SRH786422:SRH786500 SHL786422:SHL786500 RXP786422:RXP786500 RNT786422:RNT786500 RDX786422:RDX786500 QUB786422:QUB786500 QKF786422:QKF786500 QAJ786422:QAJ786500 PQN786422:PQN786500 PGR786422:PGR786500 OWV786422:OWV786500 OMZ786422:OMZ786500 ODD786422:ODD786500 NTH786422:NTH786500 NJL786422:NJL786500 MZP786422:MZP786500 MPT786422:MPT786500 MFX786422:MFX786500 LWB786422:LWB786500 LMF786422:LMF786500 LCJ786422:LCJ786500 KSN786422:KSN786500 KIR786422:KIR786500 JYV786422:JYV786500 JOZ786422:JOZ786500 JFD786422:JFD786500 IVH786422:IVH786500 ILL786422:ILL786500 IBP786422:IBP786500 HRT786422:HRT786500 HHX786422:HHX786500 GYB786422:GYB786500 GOF786422:GOF786500 GEJ786422:GEJ786500 FUN786422:FUN786500 FKR786422:FKR786500 FAV786422:FAV786500 EQZ786422:EQZ786500 EHD786422:EHD786500 DXH786422:DXH786500 DNL786422:DNL786500 DDP786422:DDP786500 CTT786422:CTT786500 CJX786422:CJX786500 CAB786422:CAB786500 BQF786422:BQF786500 BGJ786422:BGJ786500 AWN786422:AWN786500 AMR786422:AMR786500 ACV786422:ACV786500 SZ786422:SZ786500 JD786422:JD786500 H786422:H786500 WVP720886:WVP720964 WLT720886:WLT720964 WBX720886:WBX720964 VSB720886:VSB720964 VIF720886:VIF720964 UYJ720886:UYJ720964 UON720886:UON720964 UER720886:UER720964 TUV720886:TUV720964 TKZ720886:TKZ720964 TBD720886:TBD720964 SRH720886:SRH720964 SHL720886:SHL720964 RXP720886:RXP720964 RNT720886:RNT720964 RDX720886:RDX720964 QUB720886:QUB720964 QKF720886:QKF720964 QAJ720886:QAJ720964 PQN720886:PQN720964 PGR720886:PGR720964 OWV720886:OWV720964 OMZ720886:OMZ720964 ODD720886:ODD720964 NTH720886:NTH720964 NJL720886:NJL720964 MZP720886:MZP720964 MPT720886:MPT720964 MFX720886:MFX720964 LWB720886:LWB720964 LMF720886:LMF720964 LCJ720886:LCJ720964 KSN720886:KSN720964 KIR720886:KIR720964 JYV720886:JYV720964 JOZ720886:JOZ720964 JFD720886:JFD720964 IVH720886:IVH720964 ILL720886:ILL720964 IBP720886:IBP720964 HRT720886:HRT720964 HHX720886:HHX720964 GYB720886:GYB720964 GOF720886:GOF720964 GEJ720886:GEJ720964 FUN720886:FUN720964 FKR720886:FKR720964 FAV720886:FAV720964 EQZ720886:EQZ720964 EHD720886:EHD720964 DXH720886:DXH720964 DNL720886:DNL720964 DDP720886:DDP720964 CTT720886:CTT720964 CJX720886:CJX720964 CAB720886:CAB720964 BQF720886:BQF720964 BGJ720886:BGJ720964 AWN720886:AWN720964 AMR720886:AMR720964 ACV720886:ACV720964 SZ720886:SZ720964 JD720886:JD720964 H720886:H720964 WVP655350:WVP655428 WLT655350:WLT655428 WBX655350:WBX655428 VSB655350:VSB655428 VIF655350:VIF655428 UYJ655350:UYJ655428 UON655350:UON655428 UER655350:UER655428 TUV655350:TUV655428 TKZ655350:TKZ655428 TBD655350:TBD655428 SRH655350:SRH655428 SHL655350:SHL655428 RXP655350:RXP655428 RNT655350:RNT655428 RDX655350:RDX655428 QUB655350:QUB655428 QKF655350:QKF655428 QAJ655350:QAJ655428 PQN655350:PQN655428 PGR655350:PGR655428 OWV655350:OWV655428 OMZ655350:OMZ655428 ODD655350:ODD655428 NTH655350:NTH655428 NJL655350:NJL655428 MZP655350:MZP655428 MPT655350:MPT655428 MFX655350:MFX655428 LWB655350:LWB655428 LMF655350:LMF655428 LCJ655350:LCJ655428 KSN655350:KSN655428 KIR655350:KIR655428 JYV655350:JYV655428 JOZ655350:JOZ655428 JFD655350:JFD655428 IVH655350:IVH655428 ILL655350:ILL655428 IBP655350:IBP655428 HRT655350:HRT655428 HHX655350:HHX655428 GYB655350:GYB655428 GOF655350:GOF655428 GEJ655350:GEJ655428 FUN655350:FUN655428 FKR655350:FKR655428 FAV655350:FAV655428 EQZ655350:EQZ655428 EHD655350:EHD655428 DXH655350:DXH655428 DNL655350:DNL655428 DDP655350:DDP655428 CTT655350:CTT655428 CJX655350:CJX655428 CAB655350:CAB655428 BQF655350:BQF655428 BGJ655350:BGJ655428 AWN655350:AWN655428 AMR655350:AMR655428 ACV655350:ACV655428 SZ655350:SZ655428 JD655350:JD655428 H655350:H655428 WVP589814:WVP589892 WLT589814:WLT589892 WBX589814:WBX589892 VSB589814:VSB589892 VIF589814:VIF589892 UYJ589814:UYJ589892 UON589814:UON589892 UER589814:UER589892 TUV589814:TUV589892 TKZ589814:TKZ589892 TBD589814:TBD589892 SRH589814:SRH589892 SHL589814:SHL589892 RXP589814:RXP589892 RNT589814:RNT589892 RDX589814:RDX589892 QUB589814:QUB589892 QKF589814:QKF589892 QAJ589814:QAJ589892 PQN589814:PQN589892 PGR589814:PGR589892 OWV589814:OWV589892 OMZ589814:OMZ589892 ODD589814:ODD589892 NTH589814:NTH589892 NJL589814:NJL589892 MZP589814:MZP589892 MPT589814:MPT589892 MFX589814:MFX589892 LWB589814:LWB589892 LMF589814:LMF589892 LCJ589814:LCJ589892 KSN589814:KSN589892 KIR589814:KIR589892 JYV589814:JYV589892 JOZ589814:JOZ589892 JFD589814:JFD589892 IVH589814:IVH589892 ILL589814:ILL589892 IBP589814:IBP589892 HRT589814:HRT589892 HHX589814:HHX589892 GYB589814:GYB589892 GOF589814:GOF589892 GEJ589814:GEJ589892 FUN589814:FUN589892 FKR589814:FKR589892 FAV589814:FAV589892 EQZ589814:EQZ589892 EHD589814:EHD589892 DXH589814:DXH589892 DNL589814:DNL589892 DDP589814:DDP589892 CTT589814:CTT589892 CJX589814:CJX589892 CAB589814:CAB589892 BQF589814:BQF589892 BGJ589814:BGJ589892 AWN589814:AWN589892 AMR589814:AMR589892 ACV589814:ACV589892 SZ589814:SZ589892 JD589814:JD589892 H589814:H589892 WVP524278:WVP524356 WLT524278:WLT524356 WBX524278:WBX524356 VSB524278:VSB524356 VIF524278:VIF524356 UYJ524278:UYJ524356 UON524278:UON524356 UER524278:UER524356 TUV524278:TUV524356 TKZ524278:TKZ524356 TBD524278:TBD524356 SRH524278:SRH524356 SHL524278:SHL524356 RXP524278:RXP524356 RNT524278:RNT524356 RDX524278:RDX524356 QUB524278:QUB524356 QKF524278:QKF524356 QAJ524278:QAJ524356 PQN524278:PQN524356 PGR524278:PGR524356 OWV524278:OWV524356 OMZ524278:OMZ524356 ODD524278:ODD524356 NTH524278:NTH524356 NJL524278:NJL524356 MZP524278:MZP524356 MPT524278:MPT524356 MFX524278:MFX524356 LWB524278:LWB524356 LMF524278:LMF524356 LCJ524278:LCJ524356 KSN524278:KSN524356 KIR524278:KIR524356 JYV524278:JYV524356 JOZ524278:JOZ524356 JFD524278:JFD524356 IVH524278:IVH524356 ILL524278:ILL524356 IBP524278:IBP524356 HRT524278:HRT524356 HHX524278:HHX524356 GYB524278:GYB524356 GOF524278:GOF524356 GEJ524278:GEJ524356 FUN524278:FUN524356 FKR524278:FKR524356 FAV524278:FAV524356 EQZ524278:EQZ524356 EHD524278:EHD524356 DXH524278:DXH524356 DNL524278:DNL524356 DDP524278:DDP524356 CTT524278:CTT524356 CJX524278:CJX524356 CAB524278:CAB524356 BQF524278:BQF524356 BGJ524278:BGJ524356 AWN524278:AWN524356 AMR524278:AMR524356 ACV524278:ACV524356 SZ524278:SZ524356 JD524278:JD524356 H524278:H524356 WVP458742:WVP458820 WLT458742:WLT458820 WBX458742:WBX458820 VSB458742:VSB458820 VIF458742:VIF458820 UYJ458742:UYJ458820 UON458742:UON458820 UER458742:UER458820 TUV458742:TUV458820 TKZ458742:TKZ458820 TBD458742:TBD458820 SRH458742:SRH458820 SHL458742:SHL458820 RXP458742:RXP458820 RNT458742:RNT458820 RDX458742:RDX458820 QUB458742:QUB458820 QKF458742:QKF458820 QAJ458742:QAJ458820 PQN458742:PQN458820 PGR458742:PGR458820 OWV458742:OWV458820 OMZ458742:OMZ458820 ODD458742:ODD458820 NTH458742:NTH458820 NJL458742:NJL458820 MZP458742:MZP458820 MPT458742:MPT458820 MFX458742:MFX458820 LWB458742:LWB458820 LMF458742:LMF458820 LCJ458742:LCJ458820 KSN458742:KSN458820 KIR458742:KIR458820 JYV458742:JYV458820 JOZ458742:JOZ458820 JFD458742:JFD458820 IVH458742:IVH458820 ILL458742:ILL458820 IBP458742:IBP458820 HRT458742:HRT458820 HHX458742:HHX458820 GYB458742:GYB458820 GOF458742:GOF458820 GEJ458742:GEJ458820 FUN458742:FUN458820 FKR458742:FKR458820 FAV458742:FAV458820 EQZ458742:EQZ458820 EHD458742:EHD458820 DXH458742:DXH458820 DNL458742:DNL458820 DDP458742:DDP458820 CTT458742:CTT458820 CJX458742:CJX458820 CAB458742:CAB458820 BQF458742:BQF458820 BGJ458742:BGJ458820 AWN458742:AWN458820 AMR458742:AMR458820 ACV458742:ACV458820 SZ458742:SZ458820 JD458742:JD458820 H458742:H458820 WVP393206:WVP393284 WLT393206:WLT393284 WBX393206:WBX393284 VSB393206:VSB393284 VIF393206:VIF393284 UYJ393206:UYJ393284 UON393206:UON393284 UER393206:UER393284 TUV393206:TUV393284 TKZ393206:TKZ393284 TBD393206:TBD393284 SRH393206:SRH393284 SHL393206:SHL393284 RXP393206:RXP393284 RNT393206:RNT393284 RDX393206:RDX393284 QUB393206:QUB393284 QKF393206:QKF393284 QAJ393206:QAJ393284 PQN393206:PQN393284 PGR393206:PGR393284 OWV393206:OWV393284 OMZ393206:OMZ393284 ODD393206:ODD393284 NTH393206:NTH393284 NJL393206:NJL393284 MZP393206:MZP393284 MPT393206:MPT393284 MFX393206:MFX393284 LWB393206:LWB393284 LMF393206:LMF393284 LCJ393206:LCJ393284 KSN393206:KSN393284 KIR393206:KIR393284 JYV393206:JYV393284 JOZ393206:JOZ393284 JFD393206:JFD393284 IVH393206:IVH393284 ILL393206:ILL393284 IBP393206:IBP393284 HRT393206:HRT393284 HHX393206:HHX393284 GYB393206:GYB393284 GOF393206:GOF393284 GEJ393206:GEJ393284 FUN393206:FUN393284 FKR393206:FKR393284 FAV393206:FAV393284 EQZ393206:EQZ393284 EHD393206:EHD393284 DXH393206:DXH393284 DNL393206:DNL393284 DDP393206:DDP393284 CTT393206:CTT393284 CJX393206:CJX393284 CAB393206:CAB393284 BQF393206:BQF393284 BGJ393206:BGJ393284 AWN393206:AWN393284 AMR393206:AMR393284 ACV393206:ACV393284 SZ393206:SZ393284 JD393206:JD393284 H393206:H393284 WVP327670:WVP327748 WLT327670:WLT327748 WBX327670:WBX327748 VSB327670:VSB327748 VIF327670:VIF327748 UYJ327670:UYJ327748 UON327670:UON327748 UER327670:UER327748 TUV327670:TUV327748 TKZ327670:TKZ327748 TBD327670:TBD327748 SRH327670:SRH327748 SHL327670:SHL327748 RXP327670:RXP327748 RNT327670:RNT327748 RDX327670:RDX327748 QUB327670:QUB327748 QKF327670:QKF327748 QAJ327670:QAJ327748 PQN327670:PQN327748 PGR327670:PGR327748 OWV327670:OWV327748 OMZ327670:OMZ327748 ODD327670:ODD327748 NTH327670:NTH327748 NJL327670:NJL327748 MZP327670:MZP327748 MPT327670:MPT327748 MFX327670:MFX327748 LWB327670:LWB327748 LMF327670:LMF327748 LCJ327670:LCJ327748 KSN327670:KSN327748 KIR327670:KIR327748 JYV327670:JYV327748 JOZ327670:JOZ327748 JFD327670:JFD327748 IVH327670:IVH327748 ILL327670:ILL327748 IBP327670:IBP327748 HRT327670:HRT327748 HHX327670:HHX327748 GYB327670:GYB327748 GOF327670:GOF327748 GEJ327670:GEJ327748 FUN327670:FUN327748 FKR327670:FKR327748 FAV327670:FAV327748 EQZ327670:EQZ327748 EHD327670:EHD327748 DXH327670:DXH327748 DNL327670:DNL327748 DDP327670:DDP327748 CTT327670:CTT327748 CJX327670:CJX327748 CAB327670:CAB327748 BQF327670:BQF327748 BGJ327670:BGJ327748 AWN327670:AWN327748 AMR327670:AMR327748 ACV327670:ACV327748 SZ327670:SZ327748 JD327670:JD327748 H327670:H327748 WVP262134:WVP262212 WLT262134:WLT262212 WBX262134:WBX262212 VSB262134:VSB262212 VIF262134:VIF262212 UYJ262134:UYJ262212 UON262134:UON262212 UER262134:UER262212 TUV262134:TUV262212 TKZ262134:TKZ262212 TBD262134:TBD262212 SRH262134:SRH262212 SHL262134:SHL262212 RXP262134:RXP262212 RNT262134:RNT262212 RDX262134:RDX262212 QUB262134:QUB262212 QKF262134:QKF262212 QAJ262134:QAJ262212 PQN262134:PQN262212 PGR262134:PGR262212 OWV262134:OWV262212 OMZ262134:OMZ262212 ODD262134:ODD262212 NTH262134:NTH262212 NJL262134:NJL262212 MZP262134:MZP262212 MPT262134:MPT262212 MFX262134:MFX262212 LWB262134:LWB262212 LMF262134:LMF262212 LCJ262134:LCJ262212 KSN262134:KSN262212 KIR262134:KIR262212 JYV262134:JYV262212 JOZ262134:JOZ262212 JFD262134:JFD262212 IVH262134:IVH262212 ILL262134:ILL262212 IBP262134:IBP262212 HRT262134:HRT262212 HHX262134:HHX262212 GYB262134:GYB262212 GOF262134:GOF262212 GEJ262134:GEJ262212 FUN262134:FUN262212 FKR262134:FKR262212 FAV262134:FAV262212 EQZ262134:EQZ262212 EHD262134:EHD262212 DXH262134:DXH262212 DNL262134:DNL262212 DDP262134:DDP262212 CTT262134:CTT262212 CJX262134:CJX262212 CAB262134:CAB262212 BQF262134:BQF262212 BGJ262134:BGJ262212 AWN262134:AWN262212 AMR262134:AMR262212 ACV262134:ACV262212 SZ262134:SZ262212 JD262134:JD262212 H262134:H262212 WVP196598:WVP196676 WLT196598:WLT196676 WBX196598:WBX196676 VSB196598:VSB196676 VIF196598:VIF196676 UYJ196598:UYJ196676 UON196598:UON196676 UER196598:UER196676 TUV196598:TUV196676 TKZ196598:TKZ196676 TBD196598:TBD196676 SRH196598:SRH196676 SHL196598:SHL196676 RXP196598:RXP196676 RNT196598:RNT196676 RDX196598:RDX196676 QUB196598:QUB196676 QKF196598:QKF196676 QAJ196598:QAJ196676 PQN196598:PQN196676 PGR196598:PGR196676 OWV196598:OWV196676 OMZ196598:OMZ196676 ODD196598:ODD196676 NTH196598:NTH196676 NJL196598:NJL196676 MZP196598:MZP196676 MPT196598:MPT196676 MFX196598:MFX196676 LWB196598:LWB196676 LMF196598:LMF196676 LCJ196598:LCJ196676 KSN196598:KSN196676 KIR196598:KIR196676 JYV196598:JYV196676 JOZ196598:JOZ196676 JFD196598:JFD196676 IVH196598:IVH196676 ILL196598:ILL196676 IBP196598:IBP196676 HRT196598:HRT196676 HHX196598:HHX196676 GYB196598:GYB196676 GOF196598:GOF196676 GEJ196598:GEJ196676 FUN196598:FUN196676 FKR196598:FKR196676 FAV196598:FAV196676 EQZ196598:EQZ196676 EHD196598:EHD196676 DXH196598:DXH196676 DNL196598:DNL196676 DDP196598:DDP196676 CTT196598:CTT196676 CJX196598:CJX196676 CAB196598:CAB196676 BQF196598:BQF196676 BGJ196598:BGJ196676 AWN196598:AWN196676 AMR196598:AMR196676 ACV196598:ACV196676 SZ196598:SZ196676 JD196598:JD196676 H196598:H196676 WVP131062:WVP131140 WLT131062:WLT131140 WBX131062:WBX131140 VSB131062:VSB131140 VIF131062:VIF131140 UYJ131062:UYJ131140 UON131062:UON131140 UER131062:UER131140 TUV131062:TUV131140 TKZ131062:TKZ131140 TBD131062:TBD131140 SRH131062:SRH131140 SHL131062:SHL131140 RXP131062:RXP131140 RNT131062:RNT131140 RDX131062:RDX131140 QUB131062:QUB131140 QKF131062:QKF131140 QAJ131062:QAJ131140 PQN131062:PQN131140 PGR131062:PGR131140 OWV131062:OWV131140 OMZ131062:OMZ131140 ODD131062:ODD131140 NTH131062:NTH131140 NJL131062:NJL131140 MZP131062:MZP131140 MPT131062:MPT131140 MFX131062:MFX131140 LWB131062:LWB131140 LMF131062:LMF131140 LCJ131062:LCJ131140 KSN131062:KSN131140 KIR131062:KIR131140 JYV131062:JYV131140 JOZ131062:JOZ131140 JFD131062:JFD131140 IVH131062:IVH131140 ILL131062:ILL131140 IBP131062:IBP131140 HRT131062:HRT131140 HHX131062:HHX131140 GYB131062:GYB131140 GOF131062:GOF131140 GEJ131062:GEJ131140 FUN131062:FUN131140 FKR131062:FKR131140 FAV131062:FAV131140 EQZ131062:EQZ131140 EHD131062:EHD131140 DXH131062:DXH131140 DNL131062:DNL131140 DDP131062:DDP131140 CTT131062:CTT131140 CJX131062:CJX131140 CAB131062:CAB131140 BQF131062:BQF131140 BGJ131062:BGJ131140 AWN131062:AWN131140 AMR131062:AMR131140 ACV131062:ACV131140 SZ131062:SZ131140 JD131062:JD131140 H131062:H131140 WVP65526:WVP65604 WLT65526:WLT65604 WBX65526:WBX65604 VSB65526:VSB65604 VIF65526:VIF65604 UYJ65526:UYJ65604 UON65526:UON65604 UER65526:UER65604 TUV65526:TUV65604 TKZ65526:TKZ65604 TBD65526:TBD65604 SRH65526:SRH65604 SHL65526:SHL65604 RXP65526:RXP65604 RNT65526:RNT65604 RDX65526:RDX65604 QUB65526:QUB65604 QKF65526:QKF65604 QAJ65526:QAJ65604 PQN65526:PQN65604 PGR65526:PGR65604 OWV65526:OWV65604 OMZ65526:OMZ65604 ODD65526:ODD65604 NTH65526:NTH65604 NJL65526:NJL65604 MZP65526:MZP65604 MPT65526:MPT65604 MFX65526:MFX65604 LWB65526:LWB65604 LMF65526:LMF65604 LCJ65526:LCJ65604 KSN65526:KSN65604 KIR65526:KIR65604 JYV65526:JYV65604 JOZ65526:JOZ65604 JFD65526:JFD65604 IVH65526:IVH65604 ILL65526:ILL65604 IBP65526:IBP65604 HRT65526:HRT65604 HHX65526:HHX65604 GYB65526:GYB65604 GOF65526:GOF65604 GEJ65526:GEJ65604 FUN65526:FUN65604 FKR65526:FKR65604 FAV65526:FAV65604 EQZ65526:EQZ65604 EHD65526:EHD65604 DXH65526:DXH65604 DNL65526:DNL65604 DDP65526:DDP65604 CTT65526:CTT65604 CJX65526:CJX65604 CAB65526:CAB65604 BQF65526:BQF65604 BGJ65526:BGJ65604 AWN65526:AWN65604 AMR65526:AMR65604 ACV65526:ACV65604 SZ65526:SZ65604 JD65526:JD65604 H65526:H65604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3E2B1671-580D-4FED-BB75-B2ADC81936CB}">
      <formula1>$AL$5:$AL$9</formula1>
    </dataValidation>
    <dataValidation type="list" allowBlank="1" showInputMessage="1" showErrorMessage="1" sqref="WWF983030:WWF983110 X65526:X65606 JT65526:JT65606 TP65526:TP65606 ADL65526:ADL65606 ANH65526:ANH65606 AXD65526:AXD65606 BGZ65526:BGZ65606 BQV65526:BQV65606 CAR65526:CAR65606 CKN65526:CKN65606 CUJ65526:CUJ65606 DEF65526:DEF65606 DOB65526:DOB65606 DXX65526:DXX65606 EHT65526:EHT65606 ERP65526:ERP65606 FBL65526:FBL65606 FLH65526:FLH65606 FVD65526:FVD65606 GEZ65526:GEZ65606 GOV65526:GOV65606 GYR65526:GYR65606 HIN65526:HIN65606 HSJ65526:HSJ65606 ICF65526:ICF65606 IMB65526:IMB65606 IVX65526:IVX65606 JFT65526:JFT65606 JPP65526:JPP65606 JZL65526:JZL65606 KJH65526:KJH65606 KTD65526:KTD65606 LCZ65526:LCZ65606 LMV65526:LMV65606 LWR65526:LWR65606 MGN65526:MGN65606 MQJ65526:MQJ65606 NAF65526:NAF65606 NKB65526:NKB65606 NTX65526:NTX65606 ODT65526:ODT65606 ONP65526:ONP65606 OXL65526:OXL65606 PHH65526:PHH65606 PRD65526:PRD65606 QAZ65526:QAZ65606 QKV65526:QKV65606 QUR65526:QUR65606 REN65526:REN65606 ROJ65526:ROJ65606 RYF65526:RYF65606 SIB65526:SIB65606 SRX65526:SRX65606 TBT65526:TBT65606 TLP65526:TLP65606 TVL65526:TVL65606 UFH65526:UFH65606 UPD65526:UPD65606 UYZ65526:UYZ65606 VIV65526:VIV65606 VSR65526:VSR65606 WCN65526:WCN65606 WMJ65526:WMJ65606 WWF65526:WWF65606 X131062:X131142 JT131062:JT131142 TP131062:TP131142 ADL131062:ADL131142 ANH131062:ANH131142 AXD131062:AXD131142 BGZ131062:BGZ131142 BQV131062:BQV131142 CAR131062:CAR131142 CKN131062:CKN131142 CUJ131062:CUJ131142 DEF131062:DEF131142 DOB131062:DOB131142 DXX131062:DXX131142 EHT131062:EHT131142 ERP131062:ERP131142 FBL131062:FBL131142 FLH131062:FLH131142 FVD131062:FVD131142 GEZ131062:GEZ131142 GOV131062:GOV131142 GYR131062:GYR131142 HIN131062:HIN131142 HSJ131062:HSJ131142 ICF131062:ICF131142 IMB131062:IMB131142 IVX131062:IVX131142 JFT131062:JFT131142 JPP131062:JPP131142 JZL131062:JZL131142 KJH131062:KJH131142 KTD131062:KTD131142 LCZ131062:LCZ131142 LMV131062:LMV131142 LWR131062:LWR131142 MGN131062:MGN131142 MQJ131062:MQJ131142 NAF131062:NAF131142 NKB131062:NKB131142 NTX131062:NTX131142 ODT131062:ODT131142 ONP131062:ONP131142 OXL131062:OXL131142 PHH131062:PHH131142 PRD131062:PRD131142 QAZ131062:QAZ131142 QKV131062:QKV131142 QUR131062:QUR131142 REN131062:REN131142 ROJ131062:ROJ131142 RYF131062:RYF131142 SIB131062:SIB131142 SRX131062:SRX131142 TBT131062:TBT131142 TLP131062:TLP131142 TVL131062:TVL131142 UFH131062:UFH131142 UPD131062:UPD131142 UYZ131062:UYZ131142 VIV131062:VIV131142 VSR131062:VSR131142 WCN131062:WCN131142 WMJ131062:WMJ131142 WWF131062:WWF131142 X196598:X196678 JT196598:JT196678 TP196598:TP196678 ADL196598:ADL196678 ANH196598:ANH196678 AXD196598:AXD196678 BGZ196598:BGZ196678 BQV196598:BQV196678 CAR196598:CAR196678 CKN196598:CKN196678 CUJ196598:CUJ196678 DEF196598:DEF196678 DOB196598:DOB196678 DXX196598:DXX196678 EHT196598:EHT196678 ERP196598:ERP196678 FBL196598:FBL196678 FLH196598:FLH196678 FVD196598:FVD196678 GEZ196598:GEZ196678 GOV196598:GOV196678 GYR196598:GYR196678 HIN196598:HIN196678 HSJ196598:HSJ196678 ICF196598:ICF196678 IMB196598:IMB196678 IVX196598:IVX196678 JFT196598:JFT196678 JPP196598:JPP196678 JZL196598:JZL196678 KJH196598:KJH196678 KTD196598:KTD196678 LCZ196598:LCZ196678 LMV196598:LMV196678 LWR196598:LWR196678 MGN196598:MGN196678 MQJ196598:MQJ196678 NAF196598:NAF196678 NKB196598:NKB196678 NTX196598:NTX196678 ODT196598:ODT196678 ONP196598:ONP196678 OXL196598:OXL196678 PHH196598:PHH196678 PRD196598:PRD196678 QAZ196598:QAZ196678 QKV196598:QKV196678 QUR196598:QUR196678 REN196598:REN196678 ROJ196598:ROJ196678 RYF196598:RYF196678 SIB196598:SIB196678 SRX196598:SRX196678 TBT196598:TBT196678 TLP196598:TLP196678 TVL196598:TVL196678 UFH196598:UFH196678 UPD196598:UPD196678 UYZ196598:UYZ196678 VIV196598:VIV196678 VSR196598:VSR196678 WCN196598:WCN196678 WMJ196598:WMJ196678 WWF196598:WWF196678 X262134:X262214 JT262134:JT262214 TP262134:TP262214 ADL262134:ADL262214 ANH262134:ANH262214 AXD262134:AXD262214 BGZ262134:BGZ262214 BQV262134:BQV262214 CAR262134:CAR262214 CKN262134:CKN262214 CUJ262134:CUJ262214 DEF262134:DEF262214 DOB262134:DOB262214 DXX262134:DXX262214 EHT262134:EHT262214 ERP262134:ERP262214 FBL262134:FBL262214 FLH262134:FLH262214 FVD262134:FVD262214 GEZ262134:GEZ262214 GOV262134:GOV262214 GYR262134:GYR262214 HIN262134:HIN262214 HSJ262134:HSJ262214 ICF262134:ICF262214 IMB262134:IMB262214 IVX262134:IVX262214 JFT262134:JFT262214 JPP262134:JPP262214 JZL262134:JZL262214 KJH262134:KJH262214 KTD262134:KTD262214 LCZ262134:LCZ262214 LMV262134:LMV262214 LWR262134:LWR262214 MGN262134:MGN262214 MQJ262134:MQJ262214 NAF262134:NAF262214 NKB262134:NKB262214 NTX262134:NTX262214 ODT262134:ODT262214 ONP262134:ONP262214 OXL262134:OXL262214 PHH262134:PHH262214 PRD262134:PRD262214 QAZ262134:QAZ262214 QKV262134:QKV262214 QUR262134:QUR262214 REN262134:REN262214 ROJ262134:ROJ262214 RYF262134:RYF262214 SIB262134:SIB262214 SRX262134:SRX262214 TBT262134:TBT262214 TLP262134:TLP262214 TVL262134:TVL262214 UFH262134:UFH262214 UPD262134:UPD262214 UYZ262134:UYZ262214 VIV262134:VIV262214 VSR262134:VSR262214 WCN262134:WCN262214 WMJ262134:WMJ262214 WWF262134:WWF262214 X327670:X327750 JT327670:JT327750 TP327670:TP327750 ADL327670:ADL327750 ANH327670:ANH327750 AXD327670:AXD327750 BGZ327670:BGZ327750 BQV327670:BQV327750 CAR327670:CAR327750 CKN327670:CKN327750 CUJ327670:CUJ327750 DEF327670:DEF327750 DOB327670:DOB327750 DXX327670:DXX327750 EHT327670:EHT327750 ERP327670:ERP327750 FBL327670:FBL327750 FLH327670:FLH327750 FVD327670:FVD327750 GEZ327670:GEZ327750 GOV327670:GOV327750 GYR327670:GYR327750 HIN327670:HIN327750 HSJ327670:HSJ327750 ICF327670:ICF327750 IMB327670:IMB327750 IVX327670:IVX327750 JFT327670:JFT327750 JPP327670:JPP327750 JZL327670:JZL327750 KJH327670:KJH327750 KTD327670:KTD327750 LCZ327670:LCZ327750 LMV327670:LMV327750 LWR327670:LWR327750 MGN327670:MGN327750 MQJ327670:MQJ327750 NAF327670:NAF327750 NKB327670:NKB327750 NTX327670:NTX327750 ODT327670:ODT327750 ONP327670:ONP327750 OXL327670:OXL327750 PHH327670:PHH327750 PRD327670:PRD327750 QAZ327670:QAZ327750 QKV327670:QKV327750 QUR327670:QUR327750 REN327670:REN327750 ROJ327670:ROJ327750 RYF327670:RYF327750 SIB327670:SIB327750 SRX327670:SRX327750 TBT327670:TBT327750 TLP327670:TLP327750 TVL327670:TVL327750 UFH327670:UFH327750 UPD327670:UPD327750 UYZ327670:UYZ327750 VIV327670:VIV327750 VSR327670:VSR327750 WCN327670:WCN327750 WMJ327670:WMJ327750 WWF327670:WWF327750 X393206:X393286 JT393206:JT393286 TP393206:TP393286 ADL393206:ADL393286 ANH393206:ANH393286 AXD393206:AXD393286 BGZ393206:BGZ393286 BQV393206:BQV393286 CAR393206:CAR393286 CKN393206:CKN393286 CUJ393206:CUJ393286 DEF393206:DEF393286 DOB393206:DOB393286 DXX393206:DXX393286 EHT393206:EHT393286 ERP393206:ERP393286 FBL393206:FBL393286 FLH393206:FLH393286 FVD393206:FVD393286 GEZ393206:GEZ393286 GOV393206:GOV393286 GYR393206:GYR393286 HIN393206:HIN393286 HSJ393206:HSJ393286 ICF393206:ICF393286 IMB393206:IMB393286 IVX393206:IVX393286 JFT393206:JFT393286 JPP393206:JPP393286 JZL393206:JZL393286 KJH393206:KJH393286 KTD393206:KTD393286 LCZ393206:LCZ393286 LMV393206:LMV393286 LWR393206:LWR393286 MGN393206:MGN393286 MQJ393206:MQJ393286 NAF393206:NAF393286 NKB393206:NKB393286 NTX393206:NTX393286 ODT393206:ODT393286 ONP393206:ONP393286 OXL393206:OXL393286 PHH393206:PHH393286 PRD393206:PRD393286 QAZ393206:QAZ393286 QKV393206:QKV393286 QUR393206:QUR393286 REN393206:REN393286 ROJ393206:ROJ393286 RYF393206:RYF393286 SIB393206:SIB393286 SRX393206:SRX393286 TBT393206:TBT393286 TLP393206:TLP393286 TVL393206:TVL393286 UFH393206:UFH393286 UPD393206:UPD393286 UYZ393206:UYZ393286 VIV393206:VIV393286 VSR393206:VSR393286 WCN393206:WCN393286 WMJ393206:WMJ393286 WWF393206:WWF393286 X458742:X458822 JT458742:JT458822 TP458742:TP458822 ADL458742:ADL458822 ANH458742:ANH458822 AXD458742:AXD458822 BGZ458742:BGZ458822 BQV458742:BQV458822 CAR458742:CAR458822 CKN458742:CKN458822 CUJ458742:CUJ458822 DEF458742:DEF458822 DOB458742:DOB458822 DXX458742:DXX458822 EHT458742:EHT458822 ERP458742:ERP458822 FBL458742:FBL458822 FLH458742:FLH458822 FVD458742:FVD458822 GEZ458742:GEZ458822 GOV458742:GOV458822 GYR458742:GYR458822 HIN458742:HIN458822 HSJ458742:HSJ458822 ICF458742:ICF458822 IMB458742:IMB458822 IVX458742:IVX458822 JFT458742:JFT458822 JPP458742:JPP458822 JZL458742:JZL458822 KJH458742:KJH458822 KTD458742:KTD458822 LCZ458742:LCZ458822 LMV458742:LMV458822 LWR458742:LWR458822 MGN458742:MGN458822 MQJ458742:MQJ458822 NAF458742:NAF458822 NKB458742:NKB458822 NTX458742:NTX458822 ODT458742:ODT458822 ONP458742:ONP458822 OXL458742:OXL458822 PHH458742:PHH458822 PRD458742:PRD458822 QAZ458742:QAZ458822 QKV458742:QKV458822 QUR458742:QUR458822 REN458742:REN458822 ROJ458742:ROJ458822 RYF458742:RYF458822 SIB458742:SIB458822 SRX458742:SRX458822 TBT458742:TBT458822 TLP458742:TLP458822 TVL458742:TVL458822 UFH458742:UFH458822 UPD458742:UPD458822 UYZ458742:UYZ458822 VIV458742:VIV458822 VSR458742:VSR458822 WCN458742:WCN458822 WMJ458742:WMJ458822 WWF458742:WWF458822 X524278:X524358 JT524278:JT524358 TP524278:TP524358 ADL524278:ADL524358 ANH524278:ANH524358 AXD524278:AXD524358 BGZ524278:BGZ524358 BQV524278:BQV524358 CAR524278:CAR524358 CKN524278:CKN524358 CUJ524278:CUJ524358 DEF524278:DEF524358 DOB524278:DOB524358 DXX524278:DXX524358 EHT524278:EHT524358 ERP524278:ERP524358 FBL524278:FBL524358 FLH524278:FLH524358 FVD524278:FVD524358 GEZ524278:GEZ524358 GOV524278:GOV524358 GYR524278:GYR524358 HIN524278:HIN524358 HSJ524278:HSJ524358 ICF524278:ICF524358 IMB524278:IMB524358 IVX524278:IVX524358 JFT524278:JFT524358 JPP524278:JPP524358 JZL524278:JZL524358 KJH524278:KJH524358 KTD524278:KTD524358 LCZ524278:LCZ524358 LMV524278:LMV524358 LWR524278:LWR524358 MGN524278:MGN524358 MQJ524278:MQJ524358 NAF524278:NAF524358 NKB524278:NKB524358 NTX524278:NTX524358 ODT524278:ODT524358 ONP524278:ONP524358 OXL524278:OXL524358 PHH524278:PHH524358 PRD524278:PRD524358 QAZ524278:QAZ524358 QKV524278:QKV524358 QUR524278:QUR524358 REN524278:REN524358 ROJ524278:ROJ524358 RYF524278:RYF524358 SIB524278:SIB524358 SRX524278:SRX524358 TBT524278:TBT524358 TLP524278:TLP524358 TVL524278:TVL524358 UFH524278:UFH524358 UPD524278:UPD524358 UYZ524278:UYZ524358 VIV524278:VIV524358 VSR524278:VSR524358 WCN524278:WCN524358 WMJ524278:WMJ524358 WWF524278:WWF524358 X589814:X589894 JT589814:JT589894 TP589814:TP589894 ADL589814:ADL589894 ANH589814:ANH589894 AXD589814:AXD589894 BGZ589814:BGZ589894 BQV589814:BQV589894 CAR589814:CAR589894 CKN589814:CKN589894 CUJ589814:CUJ589894 DEF589814:DEF589894 DOB589814:DOB589894 DXX589814:DXX589894 EHT589814:EHT589894 ERP589814:ERP589894 FBL589814:FBL589894 FLH589814:FLH589894 FVD589814:FVD589894 GEZ589814:GEZ589894 GOV589814:GOV589894 GYR589814:GYR589894 HIN589814:HIN589894 HSJ589814:HSJ589894 ICF589814:ICF589894 IMB589814:IMB589894 IVX589814:IVX589894 JFT589814:JFT589894 JPP589814:JPP589894 JZL589814:JZL589894 KJH589814:KJH589894 KTD589814:KTD589894 LCZ589814:LCZ589894 LMV589814:LMV589894 LWR589814:LWR589894 MGN589814:MGN589894 MQJ589814:MQJ589894 NAF589814:NAF589894 NKB589814:NKB589894 NTX589814:NTX589894 ODT589814:ODT589894 ONP589814:ONP589894 OXL589814:OXL589894 PHH589814:PHH589894 PRD589814:PRD589894 QAZ589814:QAZ589894 QKV589814:QKV589894 QUR589814:QUR589894 REN589814:REN589894 ROJ589814:ROJ589894 RYF589814:RYF589894 SIB589814:SIB589894 SRX589814:SRX589894 TBT589814:TBT589894 TLP589814:TLP589894 TVL589814:TVL589894 UFH589814:UFH589894 UPD589814:UPD589894 UYZ589814:UYZ589894 VIV589814:VIV589894 VSR589814:VSR589894 WCN589814:WCN589894 WMJ589814:WMJ589894 WWF589814:WWF589894 X655350:X655430 JT655350:JT655430 TP655350:TP655430 ADL655350:ADL655430 ANH655350:ANH655430 AXD655350:AXD655430 BGZ655350:BGZ655430 BQV655350:BQV655430 CAR655350:CAR655430 CKN655350:CKN655430 CUJ655350:CUJ655430 DEF655350:DEF655430 DOB655350:DOB655430 DXX655350:DXX655430 EHT655350:EHT655430 ERP655350:ERP655430 FBL655350:FBL655430 FLH655350:FLH655430 FVD655350:FVD655430 GEZ655350:GEZ655430 GOV655350:GOV655430 GYR655350:GYR655430 HIN655350:HIN655430 HSJ655350:HSJ655430 ICF655350:ICF655430 IMB655350:IMB655430 IVX655350:IVX655430 JFT655350:JFT655430 JPP655350:JPP655430 JZL655350:JZL655430 KJH655350:KJH655430 KTD655350:KTD655430 LCZ655350:LCZ655430 LMV655350:LMV655430 LWR655350:LWR655430 MGN655350:MGN655430 MQJ655350:MQJ655430 NAF655350:NAF655430 NKB655350:NKB655430 NTX655350:NTX655430 ODT655350:ODT655430 ONP655350:ONP655430 OXL655350:OXL655430 PHH655350:PHH655430 PRD655350:PRD655430 QAZ655350:QAZ655430 QKV655350:QKV655430 QUR655350:QUR655430 REN655350:REN655430 ROJ655350:ROJ655430 RYF655350:RYF655430 SIB655350:SIB655430 SRX655350:SRX655430 TBT655350:TBT655430 TLP655350:TLP655430 TVL655350:TVL655430 UFH655350:UFH655430 UPD655350:UPD655430 UYZ655350:UYZ655430 VIV655350:VIV655430 VSR655350:VSR655430 WCN655350:WCN655430 WMJ655350:WMJ655430 WWF655350:WWF655430 X720886:X720966 JT720886:JT720966 TP720886:TP720966 ADL720886:ADL720966 ANH720886:ANH720966 AXD720886:AXD720966 BGZ720886:BGZ720966 BQV720886:BQV720966 CAR720886:CAR720966 CKN720886:CKN720966 CUJ720886:CUJ720966 DEF720886:DEF720966 DOB720886:DOB720966 DXX720886:DXX720966 EHT720886:EHT720966 ERP720886:ERP720966 FBL720886:FBL720966 FLH720886:FLH720966 FVD720886:FVD720966 GEZ720886:GEZ720966 GOV720886:GOV720966 GYR720886:GYR720966 HIN720886:HIN720966 HSJ720886:HSJ720966 ICF720886:ICF720966 IMB720886:IMB720966 IVX720886:IVX720966 JFT720886:JFT720966 JPP720886:JPP720966 JZL720886:JZL720966 KJH720886:KJH720966 KTD720886:KTD720966 LCZ720886:LCZ720966 LMV720886:LMV720966 LWR720886:LWR720966 MGN720886:MGN720966 MQJ720886:MQJ720966 NAF720886:NAF720966 NKB720886:NKB720966 NTX720886:NTX720966 ODT720886:ODT720966 ONP720886:ONP720966 OXL720886:OXL720966 PHH720886:PHH720966 PRD720886:PRD720966 QAZ720886:QAZ720966 QKV720886:QKV720966 QUR720886:QUR720966 REN720886:REN720966 ROJ720886:ROJ720966 RYF720886:RYF720966 SIB720886:SIB720966 SRX720886:SRX720966 TBT720886:TBT720966 TLP720886:TLP720966 TVL720886:TVL720966 UFH720886:UFH720966 UPD720886:UPD720966 UYZ720886:UYZ720966 VIV720886:VIV720966 VSR720886:VSR720966 WCN720886:WCN720966 WMJ720886:WMJ720966 WWF720886:WWF720966 X786422:X786502 JT786422:JT786502 TP786422:TP786502 ADL786422:ADL786502 ANH786422:ANH786502 AXD786422:AXD786502 BGZ786422:BGZ786502 BQV786422:BQV786502 CAR786422:CAR786502 CKN786422:CKN786502 CUJ786422:CUJ786502 DEF786422:DEF786502 DOB786422:DOB786502 DXX786422:DXX786502 EHT786422:EHT786502 ERP786422:ERP786502 FBL786422:FBL786502 FLH786422:FLH786502 FVD786422:FVD786502 GEZ786422:GEZ786502 GOV786422:GOV786502 GYR786422:GYR786502 HIN786422:HIN786502 HSJ786422:HSJ786502 ICF786422:ICF786502 IMB786422:IMB786502 IVX786422:IVX786502 JFT786422:JFT786502 JPP786422:JPP786502 JZL786422:JZL786502 KJH786422:KJH786502 KTD786422:KTD786502 LCZ786422:LCZ786502 LMV786422:LMV786502 LWR786422:LWR786502 MGN786422:MGN786502 MQJ786422:MQJ786502 NAF786422:NAF786502 NKB786422:NKB786502 NTX786422:NTX786502 ODT786422:ODT786502 ONP786422:ONP786502 OXL786422:OXL786502 PHH786422:PHH786502 PRD786422:PRD786502 QAZ786422:QAZ786502 QKV786422:QKV786502 QUR786422:QUR786502 REN786422:REN786502 ROJ786422:ROJ786502 RYF786422:RYF786502 SIB786422:SIB786502 SRX786422:SRX786502 TBT786422:TBT786502 TLP786422:TLP786502 TVL786422:TVL786502 UFH786422:UFH786502 UPD786422:UPD786502 UYZ786422:UYZ786502 VIV786422:VIV786502 VSR786422:VSR786502 WCN786422:WCN786502 WMJ786422:WMJ786502 WWF786422:WWF786502 X851958:X852038 JT851958:JT852038 TP851958:TP852038 ADL851958:ADL852038 ANH851958:ANH852038 AXD851958:AXD852038 BGZ851958:BGZ852038 BQV851958:BQV852038 CAR851958:CAR852038 CKN851958:CKN852038 CUJ851958:CUJ852038 DEF851958:DEF852038 DOB851958:DOB852038 DXX851958:DXX852038 EHT851958:EHT852038 ERP851958:ERP852038 FBL851958:FBL852038 FLH851958:FLH852038 FVD851958:FVD852038 GEZ851958:GEZ852038 GOV851958:GOV852038 GYR851958:GYR852038 HIN851958:HIN852038 HSJ851958:HSJ852038 ICF851958:ICF852038 IMB851958:IMB852038 IVX851958:IVX852038 JFT851958:JFT852038 JPP851958:JPP852038 JZL851958:JZL852038 KJH851958:KJH852038 KTD851958:KTD852038 LCZ851958:LCZ852038 LMV851958:LMV852038 LWR851958:LWR852038 MGN851958:MGN852038 MQJ851958:MQJ852038 NAF851958:NAF852038 NKB851958:NKB852038 NTX851958:NTX852038 ODT851958:ODT852038 ONP851958:ONP852038 OXL851958:OXL852038 PHH851958:PHH852038 PRD851958:PRD852038 QAZ851958:QAZ852038 QKV851958:QKV852038 QUR851958:QUR852038 REN851958:REN852038 ROJ851958:ROJ852038 RYF851958:RYF852038 SIB851958:SIB852038 SRX851958:SRX852038 TBT851958:TBT852038 TLP851958:TLP852038 TVL851958:TVL852038 UFH851958:UFH852038 UPD851958:UPD852038 UYZ851958:UYZ852038 VIV851958:VIV852038 VSR851958:VSR852038 WCN851958:WCN852038 WMJ851958:WMJ852038 WWF851958:WWF852038 X917494:X917574 JT917494:JT917574 TP917494:TP917574 ADL917494:ADL917574 ANH917494:ANH917574 AXD917494:AXD917574 BGZ917494:BGZ917574 BQV917494:BQV917574 CAR917494:CAR917574 CKN917494:CKN917574 CUJ917494:CUJ917574 DEF917494:DEF917574 DOB917494:DOB917574 DXX917494:DXX917574 EHT917494:EHT917574 ERP917494:ERP917574 FBL917494:FBL917574 FLH917494:FLH917574 FVD917494:FVD917574 GEZ917494:GEZ917574 GOV917494:GOV917574 GYR917494:GYR917574 HIN917494:HIN917574 HSJ917494:HSJ917574 ICF917494:ICF917574 IMB917494:IMB917574 IVX917494:IVX917574 JFT917494:JFT917574 JPP917494:JPP917574 JZL917494:JZL917574 KJH917494:KJH917574 KTD917494:KTD917574 LCZ917494:LCZ917574 LMV917494:LMV917574 LWR917494:LWR917574 MGN917494:MGN917574 MQJ917494:MQJ917574 NAF917494:NAF917574 NKB917494:NKB917574 NTX917494:NTX917574 ODT917494:ODT917574 ONP917494:ONP917574 OXL917494:OXL917574 PHH917494:PHH917574 PRD917494:PRD917574 QAZ917494:QAZ917574 QKV917494:QKV917574 QUR917494:QUR917574 REN917494:REN917574 ROJ917494:ROJ917574 RYF917494:RYF917574 SIB917494:SIB917574 SRX917494:SRX917574 TBT917494:TBT917574 TLP917494:TLP917574 TVL917494:TVL917574 UFH917494:UFH917574 UPD917494:UPD917574 UYZ917494:UYZ917574 VIV917494:VIV917574 VSR917494:VSR917574 WCN917494:WCN917574 WMJ917494:WMJ917574 WWF917494:WWF917574 X983030:X983110 JT983030:JT983110 TP983030:TP983110 ADL983030:ADL983110 ANH983030:ANH983110 AXD983030:AXD983110 BGZ983030:BGZ983110 BQV983030:BQV983110 CAR983030:CAR983110 CKN983030:CKN983110 CUJ983030:CUJ983110 DEF983030:DEF983110 DOB983030:DOB983110 DXX983030:DXX983110 EHT983030:EHT983110 ERP983030:ERP983110 FBL983030:FBL983110 FLH983030:FLH983110 FVD983030:FVD983110 GEZ983030:GEZ983110 GOV983030:GOV983110 GYR983030:GYR983110 HIN983030:HIN983110 HSJ983030:HSJ983110 ICF983030:ICF983110 IMB983030:IMB983110 IVX983030:IVX983110 JFT983030:JFT983110 JPP983030:JPP983110 JZL983030:JZL983110 KJH983030:KJH983110 KTD983030:KTD983110 LCZ983030:LCZ983110 LMV983030:LMV983110 LWR983030:LWR983110 MGN983030:MGN983110 MQJ983030:MQJ983110 NAF983030:NAF983110 NKB983030:NKB983110 NTX983030:NTX983110 ODT983030:ODT983110 ONP983030:ONP983110 OXL983030:OXL983110 PHH983030:PHH983110 PRD983030:PRD983110 QAZ983030:QAZ983110 QKV983030:QKV983110 QUR983030:QUR983110 REN983030:REN983110 ROJ983030:ROJ983110 RYF983030:RYF983110 SIB983030:SIB983110 SRX983030:SRX983110 TBT983030:TBT983110 TLP983030:TLP983110 TVL983030:TVL983110 UFH983030:UFH983110 UPD983030:UPD983110 UYZ983030:UYZ983110 VIV983030:VIV983110 VSR983030:VSR983110 WCN983030:WCN983110 WMJ983030:WMJ983110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88" xr:uid="{0AB4ECD3-1E12-4B92-A65D-88A4B04C3398}">
      <formula1>$AT$2:$AT$3</formula1>
    </dataValidation>
    <dataValidation type="list" allowBlank="1" showInputMessage="1" showErrorMessage="1" sqref="WVS983030:WVS983108 WLW983030:WLW983108 K65526:K65604 JG65526:JG65604 TC65526:TC65604 ACY65526:ACY65604 AMU65526:AMU65604 AWQ65526:AWQ65604 BGM65526:BGM65604 BQI65526:BQI65604 CAE65526:CAE65604 CKA65526:CKA65604 CTW65526:CTW65604 DDS65526:DDS65604 DNO65526:DNO65604 DXK65526:DXK65604 EHG65526:EHG65604 ERC65526:ERC65604 FAY65526:FAY65604 FKU65526:FKU65604 FUQ65526:FUQ65604 GEM65526:GEM65604 GOI65526:GOI65604 GYE65526:GYE65604 HIA65526:HIA65604 HRW65526:HRW65604 IBS65526:IBS65604 ILO65526:ILO65604 IVK65526:IVK65604 JFG65526:JFG65604 JPC65526:JPC65604 JYY65526:JYY65604 KIU65526:KIU65604 KSQ65526:KSQ65604 LCM65526:LCM65604 LMI65526:LMI65604 LWE65526:LWE65604 MGA65526:MGA65604 MPW65526:MPW65604 MZS65526:MZS65604 NJO65526:NJO65604 NTK65526:NTK65604 ODG65526:ODG65604 ONC65526:ONC65604 OWY65526:OWY65604 PGU65526:PGU65604 PQQ65526:PQQ65604 QAM65526:QAM65604 QKI65526:QKI65604 QUE65526:QUE65604 REA65526:REA65604 RNW65526:RNW65604 RXS65526:RXS65604 SHO65526:SHO65604 SRK65526:SRK65604 TBG65526:TBG65604 TLC65526:TLC65604 TUY65526:TUY65604 UEU65526:UEU65604 UOQ65526:UOQ65604 UYM65526:UYM65604 VII65526:VII65604 VSE65526:VSE65604 WCA65526:WCA65604 WLW65526:WLW65604 WVS65526:WVS65604 K131062:K131140 JG131062:JG131140 TC131062:TC131140 ACY131062:ACY131140 AMU131062:AMU131140 AWQ131062:AWQ131140 BGM131062:BGM131140 BQI131062:BQI131140 CAE131062:CAE131140 CKA131062:CKA131140 CTW131062:CTW131140 DDS131062:DDS131140 DNO131062:DNO131140 DXK131062:DXK131140 EHG131062:EHG131140 ERC131062:ERC131140 FAY131062:FAY131140 FKU131062:FKU131140 FUQ131062:FUQ131140 GEM131062:GEM131140 GOI131062:GOI131140 GYE131062:GYE131140 HIA131062:HIA131140 HRW131062:HRW131140 IBS131062:IBS131140 ILO131062:ILO131140 IVK131062:IVK131140 JFG131062:JFG131140 JPC131062:JPC131140 JYY131062:JYY131140 KIU131062:KIU131140 KSQ131062:KSQ131140 LCM131062:LCM131140 LMI131062:LMI131140 LWE131062:LWE131140 MGA131062:MGA131140 MPW131062:MPW131140 MZS131062:MZS131140 NJO131062:NJO131140 NTK131062:NTK131140 ODG131062:ODG131140 ONC131062:ONC131140 OWY131062:OWY131140 PGU131062:PGU131140 PQQ131062:PQQ131140 QAM131062:QAM131140 QKI131062:QKI131140 QUE131062:QUE131140 REA131062:REA131140 RNW131062:RNW131140 RXS131062:RXS131140 SHO131062:SHO131140 SRK131062:SRK131140 TBG131062:TBG131140 TLC131062:TLC131140 TUY131062:TUY131140 UEU131062:UEU131140 UOQ131062:UOQ131140 UYM131062:UYM131140 VII131062:VII131140 VSE131062:VSE131140 WCA131062:WCA131140 WLW131062:WLW131140 WVS131062:WVS131140 K196598:K196676 JG196598:JG196676 TC196598:TC196676 ACY196598:ACY196676 AMU196598:AMU196676 AWQ196598:AWQ196676 BGM196598:BGM196676 BQI196598:BQI196676 CAE196598:CAE196676 CKA196598:CKA196676 CTW196598:CTW196676 DDS196598:DDS196676 DNO196598:DNO196676 DXK196598:DXK196676 EHG196598:EHG196676 ERC196598:ERC196676 FAY196598:FAY196676 FKU196598:FKU196676 FUQ196598:FUQ196676 GEM196598:GEM196676 GOI196598:GOI196676 GYE196598:GYE196676 HIA196598:HIA196676 HRW196598:HRW196676 IBS196598:IBS196676 ILO196598:ILO196676 IVK196598:IVK196676 JFG196598:JFG196676 JPC196598:JPC196676 JYY196598:JYY196676 KIU196598:KIU196676 KSQ196598:KSQ196676 LCM196598:LCM196676 LMI196598:LMI196676 LWE196598:LWE196676 MGA196598:MGA196676 MPW196598:MPW196676 MZS196598:MZS196676 NJO196598:NJO196676 NTK196598:NTK196676 ODG196598:ODG196676 ONC196598:ONC196676 OWY196598:OWY196676 PGU196598:PGU196676 PQQ196598:PQQ196676 QAM196598:QAM196676 QKI196598:QKI196676 QUE196598:QUE196676 REA196598:REA196676 RNW196598:RNW196676 RXS196598:RXS196676 SHO196598:SHO196676 SRK196598:SRK196676 TBG196598:TBG196676 TLC196598:TLC196676 TUY196598:TUY196676 UEU196598:UEU196676 UOQ196598:UOQ196676 UYM196598:UYM196676 VII196598:VII196676 VSE196598:VSE196676 WCA196598:WCA196676 WLW196598:WLW196676 WVS196598:WVS196676 K262134:K262212 JG262134:JG262212 TC262134:TC262212 ACY262134:ACY262212 AMU262134:AMU262212 AWQ262134:AWQ262212 BGM262134:BGM262212 BQI262134:BQI262212 CAE262134:CAE262212 CKA262134:CKA262212 CTW262134:CTW262212 DDS262134:DDS262212 DNO262134:DNO262212 DXK262134:DXK262212 EHG262134:EHG262212 ERC262134:ERC262212 FAY262134:FAY262212 FKU262134:FKU262212 FUQ262134:FUQ262212 GEM262134:GEM262212 GOI262134:GOI262212 GYE262134:GYE262212 HIA262134:HIA262212 HRW262134:HRW262212 IBS262134:IBS262212 ILO262134:ILO262212 IVK262134:IVK262212 JFG262134:JFG262212 JPC262134:JPC262212 JYY262134:JYY262212 KIU262134:KIU262212 KSQ262134:KSQ262212 LCM262134:LCM262212 LMI262134:LMI262212 LWE262134:LWE262212 MGA262134:MGA262212 MPW262134:MPW262212 MZS262134:MZS262212 NJO262134:NJO262212 NTK262134:NTK262212 ODG262134:ODG262212 ONC262134:ONC262212 OWY262134:OWY262212 PGU262134:PGU262212 PQQ262134:PQQ262212 QAM262134:QAM262212 QKI262134:QKI262212 QUE262134:QUE262212 REA262134:REA262212 RNW262134:RNW262212 RXS262134:RXS262212 SHO262134:SHO262212 SRK262134:SRK262212 TBG262134:TBG262212 TLC262134:TLC262212 TUY262134:TUY262212 UEU262134:UEU262212 UOQ262134:UOQ262212 UYM262134:UYM262212 VII262134:VII262212 VSE262134:VSE262212 WCA262134:WCA262212 WLW262134:WLW262212 WVS262134:WVS262212 K327670:K327748 JG327670:JG327748 TC327670:TC327748 ACY327670:ACY327748 AMU327670:AMU327748 AWQ327670:AWQ327748 BGM327670:BGM327748 BQI327670:BQI327748 CAE327670:CAE327748 CKA327670:CKA327748 CTW327670:CTW327748 DDS327670:DDS327748 DNO327670:DNO327748 DXK327670:DXK327748 EHG327670:EHG327748 ERC327670:ERC327748 FAY327670:FAY327748 FKU327670:FKU327748 FUQ327670:FUQ327748 GEM327670:GEM327748 GOI327670:GOI327748 GYE327670:GYE327748 HIA327670:HIA327748 HRW327670:HRW327748 IBS327670:IBS327748 ILO327670:ILO327748 IVK327670:IVK327748 JFG327670:JFG327748 JPC327670:JPC327748 JYY327670:JYY327748 KIU327670:KIU327748 KSQ327670:KSQ327748 LCM327670:LCM327748 LMI327670:LMI327748 LWE327670:LWE327748 MGA327670:MGA327748 MPW327670:MPW327748 MZS327670:MZS327748 NJO327670:NJO327748 NTK327670:NTK327748 ODG327670:ODG327748 ONC327670:ONC327748 OWY327670:OWY327748 PGU327670:PGU327748 PQQ327670:PQQ327748 QAM327670:QAM327748 QKI327670:QKI327748 QUE327670:QUE327748 REA327670:REA327748 RNW327670:RNW327748 RXS327670:RXS327748 SHO327670:SHO327748 SRK327670:SRK327748 TBG327670:TBG327748 TLC327670:TLC327748 TUY327670:TUY327748 UEU327670:UEU327748 UOQ327670:UOQ327748 UYM327670:UYM327748 VII327670:VII327748 VSE327670:VSE327748 WCA327670:WCA327748 WLW327670:WLW327748 WVS327670:WVS327748 K393206:K393284 JG393206:JG393284 TC393206:TC393284 ACY393206:ACY393284 AMU393206:AMU393284 AWQ393206:AWQ393284 BGM393206:BGM393284 BQI393206:BQI393284 CAE393206:CAE393284 CKA393206:CKA393284 CTW393206:CTW393284 DDS393206:DDS393284 DNO393206:DNO393284 DXK393206:DXK393284 EHG393206:EHG393284 ERC393206:ERC393284 FAY393206:FAY393284 FKU393206:FKU393284 FUQ393206:FUQ393284 GEM393206:GEM393284 GOI393206:GOI393284 GYE393206:GYE393284 HIA393206:HIA393284 HRW393206:HRW393284 IBS393206:IBS393284 ILO393206:ILO393284 IVK393206:IVK393284 JFG393206:JFG393284 JPC393206:JPC393284 JYY393206:JYY393284 KIU393206:KIU393284 KSQ393206:KSQ393284 LCM393206:LCM393284 LMI393206:LMI393284 LWE393206:LWE393284 MGA393206:MGA393284 MPW393206:MPW393284 MZS393206:MZS393284 NJO393206:NJO393284 NTK393206:NTK393284 ODG393206:ODG393284 ONC393206:ONC393284 OWY393206:OWY393284 PGU393206:PGU393284 PQQ393206:PQQ393284 QAM393206:QAM393284 QKI393206:QKI393284 QUE393206:QUE393284 REA393206:REA393284 RNW393206:RNW393284 RXS393206:RXS393284 SHO393206:SHO393284 SRK393206:SRK393284 TBG393206:TBG393284 TLC393206:TLC393284 TUY393206:TUY393284 UEU393206:UEU393284 UOQ393206:UOQ393284 UYM393206:UYM393284 VII393206:VII393284 VSE393206:VSE393284 WCA393206:WCA393284 WLW393206:WLW393284 WVS393206:WVS393284 K458742:K458820 JG458742:JG458820 TC458742:TC458820 ACY458742:ACY458820 AMU458742:AMU458820 AWQ458742:AWQ458820 BGM458742:BGM458820 BQI458742:BQI458820 CAE458742:CAE458820 CKA458742:CKA458820 CTW458742:CTW458820 DDS458742:DDS458820 DNO458742:DNO458820 DXK458742:DXK458820 EHG458742:EHG458820 ERC458742:ERC458820 FAY458742:FAY458820 FKU458742:FKU458820 FUQ458742:FUQ458820 GEM458742:GEM458820 GOI458742:GOI458820 GYE458742:GYE458820 HIA458742:HIA458820 HRW458742:HRW458820 IBS458742:IBS458820 ILO458742:ILO458820 IVK458742:IVK458820 JFG458742:JFG458820 JPC458742:JPC458820 JYY458742:JYY458820 KIU458742:KIU458820 KSQ458742:KSQ458820 LCM458742:LCM458820 LMI458742:LMI458820 LWE458742:LWE458820 MGA458742:MGA458820 MPW458742:MPW458820 MZS458742:MZS458820 NJO458742:NJO458820 NTK458742:NTK458820 ODG458742:ODG458820 ONC458742:ONC458820 OWY458742:OWY458820 PGU458742:PGU458820 PQQ458742:PQQ458820 QAM458742:QAM458820 QKI458742:QKI458820 QUE458742:QUE458820 REA458742:REA458820 RNW458742:RNW458820 RXS458742:RXS458820 SHO458742:SHO458820 SRK458742:SRK458820 TBG458742:TBG458820 TLC458742:TLC458820 TUY458742:TUY458820 UEU458742:UEU458820 UOQ458742:UOQ458820 UYM458742:UYM458820 VII458742:VII458820 VSE458742:VSE458820 WCA458742:WCA458820 WLW458742:WLW458820 WVS458742:WVS458820 K524278:K524356 JG524278:JG524356 TC524278:TC524356 ACY524278:ACY524356 AMU524278:AMU524356 AWQ524278:AWQ524356 BGM524278:BGM524356 BQI524278:BQI524356 CAE524278:CAE524356 CKA524278:CKA524356 CTW524278:CTW524356 DDS524278:DDS524356 DNO524278:DNO524356 DXK524278:DXK524356 EHG524278:EHG524356 ERC524278:ERC524356 FAY524278:FAY524356 FKU524278:FKU524356 FUQ524278:FUQ524356 GEM524278:GEM524356 GOI524278:GOI524356 GYE524278:GYE524356 HIA524278:HIA524356 HRW524278:HRW524356 IBS524278:IBS524356 ILO524278:ILO524356 IVK524278:IVK524356 JFG524278:JFG524356 JPC524278:JPC524356 JYY524278:JYY524356 KIU524278:KIU524356 KSQ524278:KSQ524356 LCM524278:LCM524356 LMI524278:LMI524356 LWE524278:LWE524356 MGA524278:MGA524356 MPW524278:MPW524356 MZS524278:MZS524356 NJO524278:NJO524356 NTK524278:NTK524356 ODG524278:ODG524356 ONC524278:ONC524356 OWY524278:OWY524356 PGU524278:PGU524356 PQQ524278:PQQ524356 QAM524278:QAM524356 QKI524278:QKI524356 QUE524278:QUE524356 REA524278:REA524356 RNW524278:RNW524356 RXS524278:RXS524356 SHO524278:SHO524356 SRK524278:SRK524356 TBG524278:TBG524356 TLC524278:TLC524356 TUY524278:TUY524356 UEU524278:UEU524356 UOQ524278:UOQ524356 UYM524278:UYM524356 VII524278:VII524356 VSE524278:VSE524356 WCA524278:WCA524356 WLW524278:WLW524356 WVS524278:WVS524356 K589814:K589892 JG589814:JG589892 TC589814:TC589892 ACY589814:ACY589892 AMU589814:AMU589892 AWQ589814:AWQ589892 BGM589814:BGM589892 BQI589814:BQI589892 CAE589814:CAE589892 CKA589814:CKA589892 CTW589814:CTW589892 DDS589814:DDS589892 DNO589814:DNO589892 DXK589814:DXK589892 EHG589814:EHG589892 ERC589814:ERC589892 FAY589814:FAY589892 FKU589814:FKU589892 FUQ589814:FUQ589892 GEM589814:GEM589892 GOI589814:GOI589892 GYE589814:GYE589892 HIA589814:HIA589892 HRW589814:HRW589892 IBS589814:IBS589892 ILO589814:ILO589892 IVK589814:IVK589892 JFG589814:JFG589892 JPC589814:JPC589892 JYY589814:JYY589892 KIU589814:KIU589892 KSQ589814:KSQ589892 LCM589814:LCM589892 LMI589814:LMI589892 LWE589814:LWE589892 MGA589814:MGA589892 MPW589814:MPW589892 MZS589814:MZS589892 NJO589814:NJO589892 NTK589814:NTK589892 ODG589814:ODG589892 ONC589814:ONC589892 OWY589814:OWY589892 PGU589814:PGU589892 PQQ589814:PQQ589892 QAM589814:QAM589892 QKI589814:QKI589892 QUE589814:QUE589892 REA589814:REA589892 RNW589814:RNW589892 RXS589814:RXS589892 SHO589814:SHO589892 SRK589814:SRK589892 TBG589814:TBG589892 TLC589814:TLC589892 TUY589814:TUY589892 UEU589814:UEU589892 UOQ589814:UOQ589892 UYM589814:UYM589892 VII589814:VII589892 VSE589814:VSE589892 WCA589814:WCA589892 WLW589814:WLW589892 WVS589814:WVS589892 K655350:K655428 JG655350:JG655428 TC655350:TC655428 ACY655350:ACY655428 AMU655350:AMU655428 AWQ655350:AWQ655428 BGM655350:BGM655428 BQI655350:BQI655428 CAE655350:CAE655428 CKA655350:CKA655428 CTW655350:CTW655428 DDS655350:DDS655428 DNO655350:DNO655428 DXK655350:DXK655428 EHG655350:EHG655428 ERC655350:ERC655428 FAY655350:FAY655428 FKU655350:FKU655428 FUQ655350:FUQ655428 GEM655350:GEM655428 GOI655350:GOI655428 GYE655350:GYE655428 HIA655350:HIA655428 HRW655350:HRW655428 IBS655350:IBS655428 ILO655350:ILO655428 IVK655350:IVK655428 JFG655350:JFG655428 JPC655350:JPC655428 JYY655350:JYY655428 KIU655350:KIU655428 KSQ655350:KSQ655428 LCM655350:LCM655428 LMI655350:LMI655428 LWE655350:LWE655428 MGA655350:MGA655428 MPW655350:MPW655428 MZS655350:MZS655428 NJO655350:NJO655428 NTK655350:NTK655428 ODG655350:ODG655428 ONC655350:ONC655428 OWY655350:OWY655428 PGU655350:PGU655428 PQQ655350:PQQ655428 QAM655350:QAM655428 QKI655350:QKI655428 QUE655350:QUE655428 REA655350:REA655428 RNW655350:RNW655428 RXS655350:RXS655428 SHO655350:SHO655428 SRK655350:SRK655428 TBG655350:TBG655428 TLC655350:TLC655428 TUY655350:TUY655428 UEU655350:UEU655428 UOQ655350:UOQ655428 UYM655350:UYM655428 VII655350:VII655428 VSE655350:VSE655428 WCA655350:WCA655428 WLW655350:WLW655428 WVS655350:WVS655428 K720886:K720964 JG720886:JG720964 TC720886:TC720964 ACY720886:ACY720964 AMU720886:AMU720964 AWQ720886:AWQ720964 BGM720886:BGM720964 BQI720886:BQI720964 CAE720886:CAE720964 CKA720886:CKA720964 CTW720886:CTW720964 DDS720886:DDS720964 DNO720886:DNO720964 DXK720886:DXK720964 EHG720886:EHG720964 ERC720886:ERC720964 FAY720886:FAY720964 FKU720886:FKU720964 FUQ720886:FUQ720964 GEM720886:GEM720964 GOI720886:GOI720964 GYE720886:GYE720964 HIA720886:HIA720964 HRW720886:HRW720964 IBS720886:IBS720964 ILO720886:ILO720964 IVK720886:IVK720964 JFG720886:JFG720964 JPC720886:JPC720964 JYY720886:JYY720964 KIU720886:KIU720964 KSQ720886:KSQ720964 LCM720886:LCM720964 LMI720886:LMI720964 LWE720886:LWE720964 MGA720886:MGA720964 MPW720886:MPW720964 MZS720886:MZS720964 NJO720886:NJO720964 NTK720886:NTK720964 ODG720886:ODG720964 ONC720886:ONC720964 OWY720886:OWY720964 PGU720886:PGU720964 PQQ720886:PQQ720964 QAM720886:QAM720964 QKI720886:QKI720964 QUE720886:QUE720964 REA720886:REA720964 RNW720886:RNW720964 RXS720886:RXS720964 SHO720886:SHO720964 SRK720886:SRK720964 TBG720886:TBG720964 TLC720886:TLC720964 TUY720886:TUY720964 UEU720886:UEU720964 UOQ720886:UOQ720964 UYM720886:UYM720964 VII720886:VII720964 VSE720886:VSE720964 WCA720886:WCA720964 WLW720886:WLW720964 WVS720886:WVS720964 K786422:K786500 JG786422:JG786500 TC786422:TC786500 ACY786422:ACY786500 AMU786422:AMU786500 AWQ786422:AWQ786500 BGM786422:BGM786500 BQI786422:BQI786500 CAE786422:CAE786500 CKA786422:CKA786500 CTW786422:CTW786500 DDS786422:DDS786500 DNO786422:DNO786500 DXK786422:DXK786500 EHG786422:EHG786500 ERC786422:ERC786500 FAY786422:FAY786500 FKU786422:FKU786500 FUQ786422:FUQ786500 GEM786422:GEM786500 GOI786422:GOI786500 GYE786422:GYE786500 HIA786422:HIA786500 HRW786422:HRW786500 IBS786422:IBS786500 ILO786422:ILO786500 IVK786422:IVK786500 JFG786422:JFG786500 JPC786422:JPC786500 JYY786422:JYY786500 KIU786422:KIU786500 KSQ786422:KSQ786500 LCM786422:LCM786500 LMI786422:LMI786500 LWE786422:LWE786500 MGA786422:MGA786500 MPW786422:MPW786500 MZS786422:MZS786500 NJO786422:NJO786500 NTK786422:NTK786500 ODG786422:ODG786500 ONC786422:ONC786500 OWY786422:OWY786500 PGU786422:PGU786500 PQQ786422:PQQ786500 QAM786422:QAM786500 QKI786422:QKI786500 QUE786422:QUE786500 REA786422:REA786500 RNW786422:RNW786500 RXS786422:RXS786500 SHO786422:SHO786500 SRK786422:SRK786500 TBG786422:TBG786500 TLC786422:TLC786500 TUY786422:TUY786500 UEU786422:UEU786500 UOQ786422:UOQ786500 UYM786422:UYM786500 VII786422:VII786500 VSE786422:VSE786500 WCA786422:WCA786500 WLW786422:WLW786500 WVS786422:WVS786500 K851958:K852036 JG851958:JG852036 TC851958:TC852036 ACY851958:ACY852036 AMU851958:AMU852036 AWQ851958:AWQ852036 BGM851958:BGM852036 BQI851958:BQI852036 CAE851958:CAE852036 CKA851958:CKA852036 CTW851958:CTW852036 DDS851958:DDS852036 DNO851958:DNO852036 DXK851958:DXK852036 EHG851958:EHG852036 ERC851958:ERC852036 FAY851958:FAY852036 FKU851958:FKU852036 FUQ851958:FUQ852036 GEM851958:GEM852036 GOI851958:GOI852036 GYE851958:GYE852036 HIA851958:HIA852036 HRW851958:HRW852036 IBS851958:IBS852036 ILO851958:ILO852036 IVK851958:IVK852036 JFG851958:JFG852036 JPC851958:JPC852036 JYY851958:JYY852036 KIU851958:KIU852036 KSQ851958:KSQ852036 LCM851958:LCM852036 LMI851958:LMI852036 LWE851958:LWE852036 MGA851958:MGA852036 MPW851958:MPW852036 MZS851958:MZS852036 NJO851958:NJO852036 NTK851958:NTK852036 ODG851958:ODG852036 ONC851958:ONC852036 OWY851958:OWY852036 PGU851958:PGU852036 PQQ851958:PQQ852036 QAM851958:QAM852036 QKI851958:QKI852036 QUE851958:QUE852036 REA851958:REA852036 RNW851958:RNW852036 RXS851958:RXS852036 SHO851958:SHO852036 SRK851958:SRK852036 TBG851958:TBG852036 TLC851958:TLC852036 TUY851958:TUY852036 UEU851958:UEU852036 UOQ851958:UOQ852036 UYM851958:UYM852036 VII851958:VII852036 VSE851958:VSE852036 WCA851958:WCA852036 WLW851958:WLW852036 WVS851958:WVS852036 K917494:K917572 JG917494:JG917572 TC917494:TC917572 ACY917494:ACY917572 AMU917494:AMU917572 AWQ917494:AWQ917572 BGM917494:BGM917572 BQI917494:BQI917572 CAE917494:CAE917572 CKA917494:CKA917572 CTW917494:CTW917572 DDS917494:DDS917572 DNO917494:DNO917572 DXK917494:DXK917572 EHG917494:EHG917572 ERC917494:ERC917572 FAY917494:FAY917572 FKU917494:FKU917572 FUQ917494:FUQ917572 GEM917494:GEM917572 GOI917494:GOI917572 GYE917494:GYE917572 HIA917494:HIA917572 HRW917494:HRW917572 IBS917494:IBS917572 ILO917494:ILO917572 IVK917494:IVK917572 JFG917494:JFG917572 JPC917494:JPC917572 JYY917494:JYY917572 KIU917494:KIU917572 KSQ917494:KSQ917572 LCM917494:LCM917572 LMI917494:LMI917572 LWE917494:LWE917572 MGA917494:MGA917572 MPW917494:MPW917572 MZS917494:MZS917572 NJO917494:NJO917572 NTK917494:NTK917572 ODG917494:ODG917572 ONC917494:ONC917572 OWY917494:OWY917572 PGU917494:PGU917572 PQQ917494:PQQ917572 QAM917494:QAM917572 QKI917494:QKI917572 QUE917494:QUE917572 REA917494:REA917572 RNW917494:RNW917572 RXS917494:RXS917572 SHO917494:SHO917572 SRK917494:SRK917572 TBG917494:TBG917572 TLC917494:TLC917572 TUY917494:TUY917572 UEU917494:UEU917572 UOQ917494:UOQ917572 UYM917494:UYM917572 VII917494:VII917572 VSE917494:VSE917572 WCA917494:WCA917572 WLW917494:WLW917572 WVS917494:WVS917572 K983030:K983108 JG983030:JG983108 TC983030:TC983108 ACY983030:ACY983108 AMU983030:AMU983108 AWQ983030:AWQ983108 BGM983030:BGM983108 BQI983030:BQI983108 CAE983030:CAE983108 CKA983030:CKA983108 CTW983030:CTW983108 DDS983030:DDS983108 DNO983030:DNO983108 DXK983030:DXK983108 EHG983030:EHG983108 ERC983030:ERC983108 FAY983030:FAY983108 FKU983030:FKU983108 FUQ983030:FUQ983108 GEM983030:GEM983108 GOI983030:GOI983108 GYE983030:GYE983108 HIA983030:HIA983108 HRW983030:HRW983108 IBS983030:IBS983108 ILO983030:ILO983108 IVK983030:IVK983108 JFG983030:JFG983108 JPC983030:JPC983108 JYY983030:JYY983108 KIU983030:KIU983108 KSQ983030:KSQ983108 LCM983030:LCM983108 LMI983030:LMI983108 LWE983030:LWE983108 MGA983030:MGA983108 MPW983030:MPW983108 MZS983030:MZS983108 NJO983030:NJO983108 NTK983030:NTK983108 ODG983030:ODG983108 ONC983030:ONC983108 OWY983030:OWY983108 PGU983030:PGU983108 PQQ983030:PQQ983108 QAM983030:QAM983108 QKI983030:QKI983108 QUE983030:QUE983108 REA983030:REA983108 RNW983030:RNW983108 RXS983030:RXS983108 SHO983030:SHO983108 SRK983030:SRK983108 TBG983030:TBG983108 TLC983030:TLC983108 TUY983030:TUY983108 UEU983030:UEU983108 UOQ983030:UOQ983108 UYM983030:UYM983108 VII983030:VII983108 VSE983030:VSE983108 WCA983030:WCA983108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85D05DF-1286-436A-B752-EC16018AE99E}">
      <formula1>$AR$2:$AR$30</formula1>
    </dataValidation>
    <dataValidation type="list" allowBlank="1" showInputMessage="1" showErrorMessage="1" sqref="WVR983030:WVR983108 WLV983030:WLV983108 J65526:J65604 JF65526:JF65604 TB65526:TB65604 ACX65526:ACX65604 AMT65526:AMT65604 AWP65526:AWP65604 BGL65526:BGL65604 BQH65526:BQH65604 CAD65526:CAD65604 CJZ65526:CJZ65604 CTV65526:CTV65604 DDR65526:DDR65604 DNN65526:DNN65604 DXJ65526:DXJ65604 EHF65526:EHF65604 ERB65526:ERB65604 FAX65526:FAX65604 FKT65526:FKT65604 FUP65526:FUP65604 GEL65526:GEL65604 GOH65526:GOH65604 GYD65526:GYD65604 HHZ65526:HHZ65604 HRV65526:HRV65604 IBR65526:IBR65604 ILN65526:ILN65604 IVJ65526:IVJ65604 JFF65526:JFF65604 JPB65526:JPB65604 JYX65526:JYX65604 KIT65526:KIT65604 KSP65526:KSP65604 LCL65526:LCL65604 LMH65526:LMH65604 LWD65526:LWD65604 MFZ65526:MFZ65604 MPV65526:MPV65604 MZR65526:MZR65604 NJN65526:NJN65604 NTJ65526:NTJ65604 ODF65526:ODF65604 ONB65526:ONB65604 OWX65526:OWX65604 PGT65526:PGT65604 PQP65526:PQP65604 QAL65526:QAL65604 QKH65526:QKH65604 QUD65526:QUD65604 RDZ65526:RDZ65604 RNV65526:RNV65604 RXR65526:RXR65604 SHN65526:SHN65604 SRJ65526:SRJ65604 TBF65526:TBF65604 TLB65526:TLB65604 TUX65526:TUX65604 UET65526:UET65604 UOP65526:UOP65604 UYL65526:UYL65604 VIH65526:VIH65604 VSD65526:VSD65604 WBZ65526:WBZ65604 WLV65526:WLV65604 WVR65526:WVR65604 J131062:J131140 JF131062:JF131140 TB131062:TB131140 ACX131062:ACX131140 AMT131062:AMT131140 AWP131062:AWP131140 BGL131062:BGL131140 BQH131062:BQH131140 CAD131062:CAD131140 CJZ131062:CJZ131140 CTV131062:CTV131140 DDR131062:DDR131140 DNN131062:DNN131140 DXJ131062:DXJ131140 EHF131062:EHF131140 ERB131062:ERB131140 FAX131062:FAX131140 FKT131062:FKT131140 FUP131062:FUP131140 GEL131062:GEL131140 GOH131062:GOH131140 GYD131062:GYD131140 HHZ131062:HHZ131140 HRV131062:HRV131140 IBR131062:IBR131140 ILN131062:ILN131140 IVJ131062:IVJ131140 JFF131062:JFF131140 JPB131062:JPB131140 JYX131062:JYX131140 KIT131062:KIT131140 KSP131062:KSP131140 LCL131062:LCL131140 LMH131062:LMH131140 LWD131062:LWD131140 MFZ131062:MFZ131140 MPV131062:MPV131140 MZR131062:MZR131140 NJN131062:NJN131140 NTJ131062:NTJ131140 ODF131062:ODF131140 ONB131062:ONB131140 OWX131062:OWX131140 PGT131062:PGT131140 PQP131062:PQP131140 QAL131062:QAL131140 QKH131062:QKH131140 QUD131062:QUD131140 RDZ131062:RDZ131140 RNV131062:RNV131140 RXR131062:RXR131140 SHN131062:SHN131140 SRJ131062:SRJ131140 TBF131062:TBF131140 TLB131062:TLB131140 TUX131062:TUX131140 UET131062:UET131140 UOP131062:UOP131140 UYL131062:UYL131140 VIH131062:VIH131140 VSD131062:VSD131140 WBZ131062:WBZ131140 WLV131062:WLV131140 WVR131062:WVR131140 J196598:J196676 JF196598:JF196676 TB196598:TB196676 ACX196598:ACX196676 AMT196598:AMT196676 AWP196598:AWP196676 BGL196598:BGL196676 BQH196598:BQH196676 CAD196598:CAD196676 CJZ196598:CJZ196676 CTV196598:CTV196676 DDR196598:DDR196676 DNN196598:DNN196676 DXJ196598:DXJ196676 EHF196598:EHF196676 ERB196598:ERB196676 FAX196598:FAX196676 FKT196598:FKT196676 FUP196598:FUP196676 GEL196598:GEL196676 GOH196598:GOH196676 GYD196598:GYD196676 HHZ196598:HHZ196676 HRV196598:HRV196676 IBR196598:IBR196676 ILN196598:ILN196676 IVJ196598:IVJ196676 JFF196598:JFF196676 JPB196598:JPB196676 JYX196598:JYX196676 KIT196598:KIT196676 KSP196598:KSP196676 LCL196598:LCL196676 LMH196598:LMH196676 LWD196598:LWD196676 MFZ196598:MFZ196676 MPV196598:MPV196676 MZR196598:MZR196676 NJN196598:NJN196676 NTJ196598:NTJ196676 ODF196598:ODF196676 ONB196598:ONB196676 OWX196598:OWX196676 PGT196598:PGT196676 PQP196598:PQP196676 QAL196598:QAL196676 QKH196598:QKH196676 QUD196598:QUD196676 RDZ196598:RDZ196676 RNV196598:RNV196676 RXR196598:RXR196676 SHN196598:SHN196676 SRJ196598:SRJ196676 TBF196598:TBF196676 TLB196598:TLB196676 TUX196598:TUX196676 UET196598:UET196676 UOP196598:UOP196676 UYL196598:UYL196676 VIH196598:VIH196676 VSD196598:VSD196676 WBZ196598:WBZ196676 WLV196598:WLV196676 WVR196598:WVR196676 J262134:J262212 JF262134:JF262212 TB262134:TB262212 ACX262134:ACX262212 AMT262134:AMT262212 AWP262134:AWP262212 BGL262134:BGL262212 BQH262134:BQH262212 CAD262134:CAD262212 CJZ262134:CJZ262212 CTV262134:CTV262212 DDR262134:DDR262212 DNN262134:DNN262212 DXJ262134:DXJ262212 EHF262134:EHF262212 ERB262134:ERB262212 FAX262134:FAX262212 FKT262134:FKT262212 FUP262134:FUP262212 GEL262134:GEL262212 GOH262134:GOH262212 GYD262134:GYD262212 HHZ262134:HHZ262212 HRV262134:HRV262212 IBR262134:IBR262212 ILN262134:ILN262212 IVJ262134:IVJ262212 JFF262134:JFF262212 JPB262134:JPB262212 JYX262134:JYX262212 KIT262134:KIT262212 KSP262134:KSP262212 LCL262134:LCL262212 LMH262134:LMH262212 LWD262134:LWD262212 MFZ262134:MFZ262212 MPV262134:MPV262212 MZR262134:MZR262212 NJN262134:NJN262212 NTJ262134:NTJ262212 ODF262134:ODF262212 ONB262134:ONB262212 OWX262134:OWX262212 PGT262134:PGT262212 PQP262134:PQP262212 QAL262134:QAL262212 QKH262134:QKH262212 QUD262134:QUD262212 RDZ262134:RDZ262212 RNV262134:RNV262212 RXR262134:RXR262212 SHN262134:SHN262212 SRJ262134:SRJ262212 TBF262134:TBF262212 TLB262134:TLB262212 TUX262134:TUX262212 UET262134:UET262212 UOP262134:UOP262212 UYL262134:UYL262212 VIH262134:VIH262212 VSD262134:VSD262212 WBZ262134:WBZ262212 WLV262134:WLV262212 WVR262134:WVR262212 J327670:J327748 JF327670:JF327748 TB327670:TB327748 ACX327670:ACX327748 AMT327670:AMT327748 AWP327670:AWP327748 BGL327670:BGL327748 BQH327670:BQH327748 CAD327670:CAD327748 CJZ327670:CJZ327748 CTV327670:CTV327748 DDR327670:DDR327748 DNN327670:DNN327748 DXJ327670:DXJ327748 EHF327670:EHF327748 ERB327670:ERB327748 FAX327670:FAX327748 FKT327670:FKT327748 FUP327670:FUP327748 GEL327670:GEL327748 GOH327670:GOH327748 GYD327670:GYD327748 HHZ327670:HHZ327748 HRV327670:HRV327748 IBR327670:IBR327748 ILN327670:ILN327748 IVJ327670:IVJ327748 JFF327670:JFF327748 JPB327670:JPB327748 JYX327670:JYX327748 KIT327670:KIT327748 KSP327670:KSP327748 LCL327670:LCL327748 LMH327670:LMH327748 LWD327670:LWD327748 MFZ327670:MFZ327748 MPV327670:MPV327748 MZR327670:MZR327748 NJN327670:NJN327748 NTJ327670:NTJ327748 ODF327670:ODF327748 ONB327670:ONB327748 OWX327670:OWX327748 PGT327670:PGT327748 PQP327670:PQP327748 QAL327670:QAL327748 QKH327670:QKH327748 QUD327670:QUD327748 RDZ327670:RDZ327748 RNV327670:RNV327748 RXR327670:RXR327748 SHN327670:SHN327748 SRJ327670:SRJ327748 TBF327670:TBF327748 TLB327670:TLB327748 TUX327670:TUX327748 UET327670:UET327748 UOP327670:UOP327748 UYL327670:UYL327748 VIH327670:VIH327748 VSD327670:VSD327748 WBZ327670:WBZ327748 WLV327670:WLV327748 WVR327670:WVR327748 J393206:J393284 JF393206:JF393284 TB393206:TB393284 ACX393206:ACX393284 AMT393206:AMT393284 AWP393206:AWP393284 BGL393206:BGL393284 BQH393206:BQH393284 CAD393206:CAD393284 CJZ393206:CJZ393284 CTV393206:CTV393284 DDR393206:DDR393284 DNN393206:DNN393284 DXJ393206:DXJ393284 EHF393206:EHF393284 ERB393206:ERB393284 FAX393206:FAX393284 FKT393206:FKT393284 FUP393206:FUP393284 GEL393206:GEL393284 GOH393206:GOH393284 GYD393206:GYD393284 HHZ393206:HHZ393284 HRV393206:HRV393284 IBR393206:IBR393284 ILN393206:ILN393284 IVJ393206:IVJ393284 JFF393206:JFF393284 JPB393206:JPB393284 JYX393206:JYX393284 KIT393206:KIT393284 KSP393206:KSP393284 LCL393206:LCL393284 LMH393206:LMH393284 LWD393206:LWD393284 MFZ393206:MFZ393284 MPV393206:MPV393284 MZR393206:MZR393284 NJN393206:NJN393284 NTJ393206:NTJ393284 ODF393206:ODF393284 ONB393206:ONB393284 OWX393206:OWX393284 PGT393206:PGT393284 PQP393206:PQP393284 QAL393206:QAL393284 QKH393206:QKH393284 QUD393206:QUD393284 RDZ393206:RDZ393284 RNV393206:RNV393284 RXR393206:RXR393284 SHN393206:SHN393284 SRJ393206:SRJ393284 TBF393206:TBF393284 TLB393206:TLB393284 TUX393206:TUX393284 UET393206:UET393284 UOP393206:UOP393284 UYL393206:UYL393284 VIH393206:VIH393284 VSD393206:VSD393284 WBZ393206:WBZ393284 WLV393206:WLV393284 WVR393206:WVR393284 J458742:J458820 JF458742:JF458820 TB458742:TB458820 ACX458742:ACX458820 AMT458742:AMT458820 AWP458742:AWP458820 BGL458742:BGL458820 BQH458742:BQH458820 CAD458742:CAD458820 CJZ458742:CJZ458820 CTV458742:CTV458820 DDR458742:DDR458820 DNN458742:DNN458820 DXJ458742:DXJ458820 EHF458742:EHF458820 ERB458742:ERB458820 FAX458742:FAX458820 FKT458742:FKT458820 FUP458742:FUP458820 GEL458742:GEL458820 GOH458742:GOH458820 GYD458742:GYD458820 HHZ458742:HHZ458820 HRV458742:HRV458820 IBR458742:IBR458820 ILN458742:ILN458820 IVJ458742:IVJ458820 JFF458742:JFF458820 JPB458742:JPB458820 JYX458742:JYX458820 KIT458742:KIT458820 KSP458742:KSP458820 LCL458742:LCL458820 LMH458742:LMH458820 LWD458742:LWD458820 MFZ458742:MFZ458820 MPV458742:MPV458820 MZR458742:MZR458820 NJN458742:NJN458820 NTJ458742:NTJ458820 ODF458742:ODF458820 ONB458742:ONB458820 OWX458742:OWX458820 PGT458742:PGT458820 PQP458742:PQP458820 QAL458742:QAL458820 QKH458742:QKH458820 QUD458742:QUD458820 RDZ458742:RDZ458820 RNV458742:RNV458820 RXR458742:RXR458820 SHN458742:SHN458820 SRJ458742:SRJ458820 TBF458742:TBF458820 TLB458742:TLB458820 TUX458742:TUX458820 UET458742:UET458820 UOP458742:UOP458820 UYL458742:UYL458820 VIH458742:VIH458820 VSD458742:VSD458820 WBZ458742:WBZ458820 WLV458742:WLV458820 WVR458742:WVR458820 J524278:J524356 JF524278:JF524356 TB524278:TB524356 ACX524278:ACX524356 AMT524278:AMT524356 AWP524278:AWP524356 BGL524278:BGL524356 BQH524278:BQH524356 CAD524278:CAD524356 CJZ524278:CJZ524356 CTV524278:CTV524356 DDR524278:DDR524356 DNN524278:DNN524356 DXJ524278:DXJ524356 EHF524278:EHF524356 ERB524278:ERB524356 FAX524278:FAX524356 FKT524278:FKT524356 FUP524278:FUP524356 GEL524278:GEL524356 GOH524278:GOH524356 GYD524278:GYD524356 HHZ524278:HHZ524356 HRV524278:HRV524356 IBR524278:IBR524356 ILN524278:ILN524356 IVJ524278:IVJ524356 JFF524278:JFF524356 JPB524278:JPB524356 JYX524278:JYX524356 KIT524278:KIT524356 KSP524278:KSP524356 LCL524278:LCL524356 LMH524278:LMH524356 LWD524278:LWD524356 MFZ524278:MFZ524356 MPV524278:MPV524356 MZR524278:MZR524356 NJN524278:NJN524356 NTJ524278:NTJ524356 ODF524278:ODF524356 ONB524278:ONB524356 OWX524278:OWX524356 PGT524278:PGT524356 PQP524278:PQP524356 QAL524278:QAL524356 QKH524278:QKH524356 QUD524278:QUD524356 RDZ524278:RDZ524356 RNV524278:RNV524356 RXR524278:RXR524356 SHN524278:SHN524356 SRJ524278:SRJ524356 TBF524278:TBF524356 TLB524278:TLB524356 TUX524278:TUX524356 UET524278:UET524356 UOP524278:UOP524356 UYL524278:UYL524356 VIH524278:VIH524356 VSD524278:VSD524356 WBZ524278:WBZ524356 WLV524278:WLV524356 WVR524278:WVR524356 J589814:J589892 JF589814:JF589892 TB589814:TB589892 ACX589814:ACX589892 AMT589814:AMT589892 AWP589814:AWP589892 BGL589814:BGL589892 BQH589814:BQH589892 CAD589814:CAD589892 CJZ589814:CJZ589892 CTV589814:CTV589892 DDR589814:DDR589892 DNN589814:DNN589892 DXJ589814:DXJ589892 EHF589814:EHF589892 ERB589814:ERB589892 FAX589814:FAX589892 FKT589814:FKT589892 FUP589814:FUP589892 GEL589814:GEL589892 GOH589814:GOH589892 GYD589814:GYD589892 HHZ589814:HHZ589892 HRV589814:HRV589892 IBR589814:IBR589892 ILN589814:ILN589892 IVJ589814:IVJ589892 JFF589814:JFF589892 JPB589814:JPB589892 JYX589814:JYX589892 KIT589814:KIT589892 KSP589814:KSP589892 LCL589814:LCL589892 LMH589814:LMH589892 LWD589814:LWD589892 MFZ589814:MFZ589892 MPV589814:MPV589892 MZR589814:MZR589892 NJN589814:NJN589892 NTJ589814:NTJ589892 ODF589814:ODF589892 ONB589814:ONB589892 OWX589814:OWX589892 PGT589814:PGT589892 PQP589814:PQP589892 QAL589814:QAL589892 QKH589814:QKH589892 QUD589814:QUD589892 RDZ589814:RDZ589892 RNV589814:RNV589892 RXR589814:RXR589892 SHN589814:SHN589892 SRJ589814:SRJ589892 TBF589814:TBF589892 TLB589814:TLB589892 TUX589814:TUX589892 UET589814:UET589892 UOP589814:UOP589892 UYL589814:UYL589892 VIH589814:VIH589892 VSD589814:VSD589892 WBZ589814:WBZ589892 WLV589814:WLV589892 WVR589814:WVR589892 J655350:J655428 JF655350:JF655428 TB655350:TB655428 ACX655350:ACX655428 AMT655350:AMT655428 AWP655350:AWP655428 BGL655350:BGL655428 BQH655350:BQH655428 CAD655350:CAD655428 CJZ655350:CJZ655428 CTV655350:CTV655428 DDR655350:DDR655428 DNN655350:DNN655428 DXJ655350:DXJ655428 EHF655350:EHF655428 ERB655350:ERB655428 FAX655350:FAX655428 FKT655350:FKT655428 FUP655350:FUP655428 GEL655350:GEL655428 GOH655350:GOH655428 GYD655350:GYD655428 HHZ655350:HHZ655428 HRV655350:HRV655428 IBR655350:IBR655428 ILN655350:ILN655428 IVJ655350:IVJ655428 JFF655350:JFF655428 JPB655350:JPB655428 JYX655350:JYX655428 KIT655350:KIT655428 KSP655350:KSP655428 LCL655350:LCL655428 LMH655350:LMH655428 LWD655350:LWD655428 MFZ655350:MFZ655428 MPV655350:MPV655428 MZR655350:MZR655428 NJN655350:NJN655428 NTJ655350:NTJ655428 ODF655350:ODF655428 ONB655350:ONB655428 OWX655350:OWX655428 PGT655350:PGT655428 PQP655350:PQP655428 QAL655350:QAL655428 QKH655350:QKH655428 QUD655350:QUD655428 RDZ655350:RDZ655428 RNV655350:RNV655428 RXR655350:RXR655428 SHN655350:SHN655428 SRJ655350:SRJ655428 TBF655350:TBF655428 TLB655350:TLB655428 TUX655350:TUX655428 UET655350:UET655428 UOP655350:UOP655428 UYL655350:UYL655428 VIH655350:VIH655428 VSD655350:VSD655428 WBZ655350:WBZ655428 WLV655350:WLV655428 WVR655350:WVR655428 J720886:J720964 JF720886:JF720964 TB720886:TB720964 ACX720886:ACX720964 AMT720886:AMT720964 AWP720886:AWP720964 BGL720886:BGL720964 BQH720886:BQH720964 CAD720886:CAD720964 CJZ720886:CJZ720964 CTV720886:CTV720964 DDR720886:DDR720964 DNN720886:DNN720964 DXJ720886:DXJ720964 EHF720886:EHF720964 ERB720886:ERB720964 FAX720886:FAX720964 FKT720886:FKT720964 FUP720886:FUP720964 GEL720886:GEL720964 GOH720886:GOH720964 GYD720886:GYD720964 HHZ720886:HHZ720964 HRV720886:HRV720964 IBR720886:IBR720964 ILN720886:ILN720964 IVJ720886:IVJ720964 JFF720886:JFF720964 JPB720886:JPB720964 JYX720886:JYX720964 KIT720886:KIT720964 KSP720886:KSP720964 LCL720886:LCL720964 LMH720886:LMH720964 LWD720886:LWD720964 MFZ720886:MFZ720964 MPV720886:MPV720964 MZR720886:MZR720964 NJN720886:NJN720964 NTJ720886:NTJ720964 ODF720886:ODF720964 ONB720886:ONB720964 OWX720886:OWX720964 PGT720886:PGT720964 PQP720886:PQP720964 QAL720886:QAL720964 QKH720886:QKH720964 QUD720886:QUD720964 RDZ720886:RDZ720964 RNV720886:RNV720964 RXR720886:RXR720964 SHN720886:SHN720964 SRJ720886:SRJ720964 TBF720886:TBF720964 TLB720886:TLB720964 TUX720886:TUX720964 UET720886:UET720964 UOP720886:UOP720964 UYL720886:UYL720964 VIH720886:VIH720964 VSD720886:VSD720964 WBZ720886:WBZ720964 WLV720886:WLV720964 WVR720886:WVR720964 J786422:J786500 JF786422:JF786500 TB786422:TB786500 ACX786422:ACX786500 AMT786422:AMT786500 AWP786422:AWP786500 BGL786422:BGL786500 BQH786422:BQH786500 CAD786422:CAD786500 CJZ786422:CJZ786500 CTV786422:CTV786500 DDR786422:DDR786500 DNN786422:DNN786500 DXJ786422:DXJ786500 EHF786422:EHF786500 ERB786422:ERB786500 FAX786422:FAX786500 FKT786422:FKT786500 FUP786422:FUP786500 GEL786422:GEL786500 GOH786422:GOH786500 GYD786422:GYD786500 HHZ786422:HHZ786500 HRV786422:HRV786500 IBR786422:IBR786500 ILN786422:ILN786500 IVJ786422:IVJ786500 JFF786422:JFF786500 JPB786422:JPB786500 JYX786422:JYX786500 KIT786422:KIT786500 KSP786422:KSP786500 LCL786422:LCL786500 LMH786422:LMH786500 LWD786422:LWD786500 MFZ786422:MFZ786500 MPV786422:MPV786500 MZR786422:MZR786500 NJN786422:NJN786500 NTJ786422:NTJ786500 ODF786422:ODF786500 ONB786422:ONB786500 OWX786422:OWX786500 PGT786422:PGT786500 PQP786422:PQP786500 QAL786422:QAL786500 QKH786422:QKH786500 QUD786422:QUD786500 RDZ786422:RDZ786500 RNV786422:RNV786500 RXR786422:RXR786500 SHN786422:SHN786500 SRJ786422:SRJ786500 TBF786422:TBF786500 TLB786422:TLB786500 TUX786422:TUX786500 UET786422:UET786500 UOP786422:UOP786500 UYL786422:UYL786500 VIH786422:VIH786500 VSD786422:VSD786500 WBZ786422:WBZ786500 WLV786422:WLV786500 WVR786422:WVR786500 J851958:J852036 JF851958:JF852036 TB851958:TB852036 ACX851958:ACX852036 AMT851958:AMT852036 AWP851958:AWP852036 BGL851958:BGL852036 BQH851958:BQH852036 CAD851958:CAD852036 CJZ851958:CJZ852036 CTV851958:CTV852036 DDR851958:DDR852036 DNN851958:DNN852036 DXJ851958:DXJ852036 EHF851958:EHF852036 ERB851958:ERB852036 FAX851958:FAX852036 FKT851958:FKT852036 FUP851958:FUP852036 GEL851958:GEL852036 GOH851958:GOH852036 GYD851958:GYD852036 HHZ851958:HHZ852036 HRV851958:HRV852036 IBR851958:IBR852036 ILN851958:ILN852036 IVJ851958:IVJ852036 JFF851958:JFF852036 JPB851958:JPB852036 JYX851958:JYX852036 KIT851958:KIT852036 KSP851958:KSP852036 LCL851958:LCL852036 LMH851958:LMH852036 LWD851958:LWD852036 MFZ851958:MFZ852036 MPV851958:MPV852036 MZR851958:MZR852036 NJN851958:NJN852036 NTJ851958:NTJ852036 ODF851958:ODF852036 ONB851958:ONB852036 OWX851958:OWX852036 PGT851958:PGT852036 PQP851958:PQP852036 QAL851958:QAL852036 QKH851958:QKH852036 QUD851958:QUD852036 RDZ851958:RDZ852036 RNV851958:RNV852036 RXR851958:RXR852036 SHN851958:SHN852036 SRJ851958:SRJ852036 TBF851958:TBF852036 TLB851958:TLB852036 TUX851958:TUX852036 UET851958:UET852036 UOP851958:UOP852036 UYL851958:UYL852036 VIH851958:VIH852036 VSD851958:VSD852036 WBZ851958:WBZ852036 WLV851958:WLV852036 WVR851958:WVR852036 J917494:J917572 JF917494:JF917572 TB917494:TB917572 ACX917494:ACX917572 AMT917494:AMT917572 AWP917494:AWP917572 BGL917494:BGL917572 BQH917494:BQH917572 CAD917494:CAD917572 CJZ917494:CJZ917572 CTV917494:CTV917572 DDR917494:DDR917572 DNN917494:DNN917572 DXJ917494:DXJ917572 EHF917494:EHF917572 ERB917494:ERB917572 FAX917494:FAX917572 FKT917494:FKT917572 FUP917494:FUP917572 GEL917494:GEL917572 GOH917494:GOH917572 GYD917494:GYD917572 HHZ917494:HHZ917572 HRV917494:HRV917572 IBR917494:IBR917572 ILN917494:ILN917572 IVJ917494:IVJ917572 JFF917494:JFF917572 JPB917494:JPB917572 JYX917494:JYX917572 KIT917494:KIT917572 KSP917494:KSP917572 LCL917494:LCL917572 LMH917494:LMH917572 LWD917494:LWD917572 MFZ917494:MFZ917572 MPV917494:MPV917572 MZR917494:MZR917572 NJN917494:NJN917572 NTJ917494:NTJ917572 ODF917494:ODF917572 ONB917494:ONB917572 OWX917494:OWX917572 PGT917494:PGT917572 PQP917494:PQP917572 QAL917494:QAL917572 QKH917494:QKH917572 QUD917494:QUD917572 RDZ917494:RDZ917572 RNV917494:RNV917572 RXR917494:RXR917572 SHN917494:SHN917572 SRJ917494:SRJ917572 TBF917494:TBF917572 TLB917494:TLB917572 TUX917494:TUX917572 UET917494:UET917572 UOP917494:UOP917572 UYL917494:UYL917572 VIH917494:VIH917572 VSD917494:VSD917572 WBZ917494:WBZ917572 WLV917494:WLV917572 WVR917494:WVR917572 J983030:J983108 JF983030:JF983108 TB983030:TB983108 ACX983030:ACX983108 AMT983030:AMT983108 AWP983030:AWP983108 BGL983030:BGL983108 BQH983030:BQH983108 CAD983030:CAD983108 CJZ983030:CJZ983108 CTV983030:CTV983108 DDR983030:DDR983108 DNN983030:DNN983108 DXJ983030:DXJ983108 EHF983030:EHF983108 ERB983030:ERB983108 FAX983030:FAX983108 FKT983030:FKT983108 FUP983030:FUP983108 GEL983030:GEL983108 GOH983030:GOH983108 GYD983030:GYD983108 HHZ983030:HHZ983108 HRV983030:HRV983108 IBR983030:IBR983108 ILN983030:ILN983108 IVJ983030:IVJ983108 JFF983030:JFF983108 JPB983030:JPB983108 JYX983030:JYX983108 KIT983030:KIT983108 KSP983030:KSP983108 LCL983030:LCL983108 LMH983030:LMH983108 LWD983030:LWD983108 MFZ983030:MFZ983108 MPV983030:MPV983108 MZR983030:MZR983108 NJN983030:NJN983108 NTJ983030:NTJ983108 ODF983030:ODF983108 ONB983030:ONB983108 OWX983030:OWX983108 PGT983030:PGT983108 PQP983030:PQP983108 QAL983030:QAL983108 QKH983030:QKH983108 QUD983030:QUD983108 RDZ983030:RDZ983108 RNV983030:RNV983108 RXR983030:RXR983108 SHN983030:SHN983108 SRJ983030:SRJ983108 TBF983030:TBF983108 TLB983030:TLB983108 TUX983030:TUX983108 UET983030:UET983108 UOP983030:UOP983108 UYL983030:UYL983108 VIH983030:VIH983108 VSD983030:VSD983108 WBZ983030:WBZ983108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4B8275C2-792C-4075-B461-71982E98AFDD}">
      <formula1>$AP$2:$AP$15</formula1>
    </dataValidation>
    <dataValidation type="list" allowBlank="1" showInputMessage="1" showErrorMessage="1" sqref="WVQ983030:WVQ983108 I65526:I65604 JE65526:JE65604 TA65526:TA65604 ACW65526:ACW65604 AMS65526:AMS65604 AWO65526:AWO65604 BGK65526:BGK65604 BQG65526:BQG65604 CAC65526:CAC65604 CJY65526:CJY65604 CTU65526:CTU65604 DDQ65526:DDQ65604 DNM65526:DNM65604 DXI65526:DXI65604 EHE65526:EHE65604 ERA65526:ERA65604 FAW65526:FAW65604 FKS65526:FKS65604 FUO65526:FUO65604 GEK65526:GEK65604 GOG65526:GOG65604 GYC65526:GYC65604 HHY65526:HHY65604 HRU65526:HRU65604 IBQ65526:IBQ65604 ILM65526:ILM65604 IVI65526:IVI65604 JFE65526:JFE65604 JPA65526:JPA65604 JYW65526:JYW65604 KIS65526:KIS65604 KSO65526:KSO65604 LCK65526:LCK65604 LMG65526:LMG65604 LWC65526:LWC65604 MFY65526:MFY65604 MPU65526:MPU65604 MZQ65526:MZQ65604 NJM65526:NJM65604 NTI65526:NTI65604 ODE65526:ODE65604 ONA65526:ONA65604 OWW65526:OWW65604 PGS65526:PGS65604 PQO65526:PQO65604 QAK65526:QAK65604 QKG65526:QKG65604 QUC65526:QUC65604 RDY65526:RDY65604 RNU65526:RNU65604 RXQ65526:RXQ65604 SHM65526:SHM65604 SRI65526:SRI65604 TBE65526:TBE65604 TLA65526:TLA65604 TUW65526:TUW65604 UES65526:UES65604 UOO65526:UOO65604 UYK65526:UYK65604 VIG65526:VIG65604 VSC65526:VSC65604 WBY65526:WBY65604 WLU65526:WLU65604 WVQ65526:WVQ65604 I131062:I131140 JE131062:JE131140 TA131062:TA131140 ACW131062:ACW131140 AMS131062:AMS131140 AWO131062:AWO131140 BGK131062:BGK131140 BQG131062:BQG131140 CAC131062:CAC131140 CJY131062:CJY131140 CTU131062:CTU131140 DDQ131062:DDQ131140 DNM131062:DNM131140 DXI131062:DXI131140 EHE131062:EHE131140 ERA131062:ERA131140 FAW131062:FAW131140 FKS131062:FKS131140 FUO131062:FUO131140 GEK131062:GEK131140 GOG131062:GOG131140 GYC131062:GYC131140 HHY131062:HHY131140 HRU131062:HRU131140 IBQ131062:IBQ131140 ILM131062:ILM131140 IVI131062:IVI131140 JFE131062:JFE131140 JPA131062:JPA131140 JYW131062:JYW131140 KIS131062:KIS131140 KSO131062:KSO131140 LCK131062:LCK131140 LMG131062:LMG131140 LWC131062:LWC131140 MFY131062:MFY131140 MPU131062:MPU131140 MZQ131062:MZQ131140 NJM131062:NJM131140 NTI131062:NTI131140 ODE131062:ODE131140 ONA131062:ONA131140 OWW131062:OWW131140 PGS131062:PGS131140 PQO131062:PQO131140 QAK131062:QAK131140 QKG131062:QKG131140 QUC131062:QUC131140 RDY131062:RDY131140 RNU131062:RNU131140 RXQ131062:RXQ131140 SHM131062:SHM131140 SRI131062:SRI131140 TBE131062:TBE131140 TLA131062:TLA131140 TUW131062:TUW131140 UES131062:UES131140 UOO131062:UOO131140 UYK131062:UYK131140 VIG131062:VIG131140 VSC131062:VSC131140 WBY131062:WBY131140 WLU131062:WLU131140 WVQ131062:WVQ131140 I196598:I196676 JE196598:JE196676 TA196598:TA196676 ACW196598:ACW196676 AMS196598:AMS196676 AWO196598:AWO196676 BGK196598:BGK196676 BQG196598:BQG196676 CAC196598:CAC196676 CJY196598:CJY196676 CTU196598:CTU196676 DDQ196598:DDQ196676 DNM196598:DNM196676 DXI196598:DXI196676 EHE196598:EHE196676 ERA196598:ERA196676 FAW196598:FAW196676 FKS196598:FKS196676 FUO196598:FUO196676 GEK196598:GEK196676 GOG196598:GOG196676 GYC196598:GYC196676 HHY196598:HHY196676 HRU196598:HRU196676 IBQ196598:IBQ196676 ILM196598:ILM196676 IVI196598:IVI196676 JFE196598:JFE196676 JPA196598:JPA196676 JYW196598:JYW196676 KIS196598:KIS196676 KSO196598:KSO196676 LCK196598:LCK196676 LMG196598:LMG196676 LWC196598:LWC196676 MFY196598:MFY196676 MPU196598:MPU196676 MZQ196598:MZQ196676 NJM196598:NJM196676 NTI196598:NTI196676 ODE196598:ODE196676 ONA196598:ONA196676 OWW196598:OWW196676 PGS196598:PGS196676 PQO196598:PQO196676 QAK196598:QAK196676 QKG196598:QKG196676 QUC196598:QUC196676 RDY196598:RDY196676 RNU196598:RNU196676 RXQ196598:RXQ196676 SHM196598:SHM196676 SRI196598:SRI196676 TBE196598:TBE196676 TLA196598:TLA196676 TUW196598:TUW196676 UES196598:UES196676 UOO196598:UOO196676 UYK196598:UYK196676 VIG196598:VIG196676 VSC196598:VSC196676 WBY196598:WBY196676 WLU196598:WLU196676 WVQ196598:WVQ196676 I262134:I262212 JE262134:JE262212 TA262134:TA262212 ACW262134:ACW262212 AMS262134:AMS262212 AWO262134:AWO262212 BGK262134:BGK262212 BQG262134:BQG262212 CAC262134:CAC262212 CJY262134:CJY262212 CTU262134:CTU262212 DDQ262134:DDQ262212 DNM262134:DNM262212 DXI262134:DXI262212 EHE262134:EHE262212 ERA262134:ERA262212 FAW262134:FAW262212 FKS262134:FKS262212 FUO262134:FUO262212 GEK262134:GEK262212 GOG262134:GOG262212 GYC262134:GYC262212 HHY262134:HHY262212 HRU262134:HRU262212 IBQ262134:IBQ262212 ILM262134:ILM262212 IVI262134:IVI262212 JFE262134:JFE262212 JPA262134:JPA262212 JYW262134:JYW262212 KIS262134:KIS262212 KSO262134:KSO262212 LCK262134:LCK262212 LMG262134:LMG262212 LWC262134:LWC262212 MFY262134:MFY262212 MPU262134:MPU262212 MZQ262134:MZQ262212 NJM262134:NJM262212 NTI262134:NTI262212 ODE262134:ODE262212 ONA262134:ONA262212 OWW262134:OWW262212 PGS262134:PGS262212 PQO262134:PQO262212 QAK262134:QAK262212 QKG262134:QKG262212 QUC262134:QUC262212 RDY262134:RDY262212 RNU262134:RNU262212 RXQ262134:RXQ262212 SHM262134:SHM262212 SRI262134:SRI262212 TBE262134:TBE262212 TLA262134:TLA262212 TUW262134:TUW262212 UES262134:UES262212 UOO262134:UOO262212 UYK262134:UYK262212 VIG262134:VIG262212 VSC262134:VSC262212 WBY262134:WBY262212 WLU262134:WLU262212 WVQ262134:WVQ262212 I327670:I327748 JE327670:JE327748 TA327670:TA327748 ACW327670:ACW327748 AMS327670:AMS327748 AWO327670:AWO327748 BGK327670:BGK327748 BQG327670:BQG327748 CAC327670:CAC327748 CJY327670:CJY327748 CTU327670:CTU327748 DDQ327670:DDQ327748 DNM327670:DNM327748 DXI327670:DXI327748 EHE327670:EHE327748 ERA327670:ERA327748 FAW327670:FAW327748 FKS327670:FKS327748 FUO327670:FUO327748 GEK327670:GEK327748 GOG327670:GOG327748 GYC327670:GYC327748 HHY327670:HHY327748 HRU327670:HRU327748 IBQ327670:IBQ327748 ILM327670:ILM327748 IVI327670:IVI327748 JFE327670:JFE327748 JPA327670:JPA327748 JYW327670:JYW327748 KIS327670:KIS327748 KSO327670:KSO327748 LCK327670:LCK327748 LMG327670:LMG327748 LWC327670:LWC327748 MFY327670:MFY327748 MPU327670:MPU327748 MZQ327670:MZQ327748 NJM327670:NJM327748 NTI327670:NTI327748 ODE327670:ODE327748 ONA327670:ONA327748 OWW327670:OWW327748 PGS327670:PGS327748 PQO327670:PQO327748 QAK327670:QAK327748 QKG327670:QKG327748 QUC327670:QUC327748 RDY327670:RDY327748 RNU327670:RNU327748 RXQ327670:RXQ327748 SHM327670:SHM327748 SRI327670:SRI327748 TBE327670:TBE327748 TLA327670:TLA327748 TUW327670:TUW327748 UES327670:UES327748 UOO327670:UOO327748 UYK327670:UYK327748 VIG327670:VIG327748 VSC327670:VSC327748 WBY327670:WBY327748 WLU327670:WLU327748 WVQ327670:WVQ327748 I393206:I393284 JE393206:JE393284 TA393206:TA393284 ACW393206:ACW393284 AMS393206:AMS393284 AWO393206:AWO393284 BGK393206:BGK393284 BQG393206:BQG393284 CAC393206:CAC393284 CJY393206:CJY393284 CTU393206:CTU393284 DDQ393206:DDQ393284 DNM393206:DNM393284 DXI393206:DXI393284 EHE393206:EHE393284 ERA393206:ERA393284 FAW393206:FAW393284 FKS393206:FKS393284 FUO393206:FUO393284 GEK393206:GEK393284 GOG393206:GOG393284 GYC393206:GYC393284 HHY393206:HHY393284 HRU393206:HRU393284 IBQ393206:IBQ393284 ILM393206:ILM393284 IVI393206:IVI393284 JFE393206:JFE393284 JPA393206:JPA393284 JYW393206:JYW393284 KIS393206:KIS393284 KSO393206:KSO393284 LCK393206:LCK393284 LMG393206:LMG393284 LWC393206:LWC393284 MFY393206:MFY393284 MPU393206:MPU393284 MZQ393206:MZQ393284 NJM393206:NJM393284 NTI393206:NTI393284 ODE393206:ODE393284 ONA393206:ONA393284 OWW393206:OWW393284 PGS393206:PGS393284 PQO393206:PQO393284 QAK393206:QAK393284 QKG393206:QKG393284 QUC393206:QUC393284 RDY393206:RDY393284 RNU393206:RNU393284 RXQ393206:RXQ393284 SHM393206:SHM393284 SRI393206:SRI393284 TBE393206:TBE393284 TLA393206:TLA393284 TUW393206:TUW393284 UES393206:UES393284 UOO393206:UOO393284 UYK393206:UYK393284 VIG393206:VIG393284 VSC393206:VSC393284 WBY393206:WBY393284 WLU393206:WLU393284 WVQ393206:WVQ393284 I458742:I458820 JE458742:JE458820 TA458742:TA458820 ACW458742:ACW458820 AMS458742:AMS458820 AWO458742:AWO458820 BGK458742:BGK458820 BQG458742:BQG458820 CAC458742:CAC458820 CJY458742:CJY458820 CTU458742:CTU458820 DDQ458742:DDQ458820 DNM458742:DNM458820 DXI458742:DXI458820 EHE458742:EHE458820 ERA458742:ERA458820 FAW458742:FAW458820 FKS458742:FKS458820 FUO458742:FUO458820 GEK458742:GEK458820 GOG458742:GOG458820 GYC458742:GYC458820 HHY458742:HHY458820 HRU458742:HRU458820 IBQ458742:IBQ458820 ILM458742:ILM458820 IVI458742:IVI458820 JFE458742:JFE458820 JPA458742:JPA458820 JYW458742:JYW458820 KIS458742:KIS458820 KSO458742:KSO458820 LCK458742:LCK458820 LMG458742:LMG458820 LWC458742:LWC458820 MFY458742:MFY458820 MPU458742:MPU458820 MZQ458742:MZQ458820 NJM458742:NJM458820 NTI458742:NTI458820 ODE458742:ODE458820 ONA458742:ONA458820 OWW458742:OWW458820 PGS458742:PGS458820 PQO458742:PQO458820 QAK458742:QAK458820 QKG458742:QKG458820 QUC458742:QUC458820 RDY458742:RDY458820 RNU458742:RNU458820 RXQ458742:RXQ458820 SHM458742:SHM458820 SRI458742:SRI458820 TBE458742:TBE458820 TLA458742:TLA458820 TUW458742:TUW458820 UES458742:UES458820 UOO458742:UOO458820 UYK458742:UYK458820 VIG458742:VIG458820 VSC458742:VSC458820 WBY458742:WBY458820 WLU458742:WLU458820 WVQ458742:WVQ458820 I524278:I524356 JE524278:JE524356 TA524278:TA524356 ACW524278:ACW524356 AMS524278:AMS524356 AWO524278:AWO524356 BGK524278:BGK524356 BQG524278:BQG524356 CAC524278:CAC524356 CJY524278:CJY524356 CTU524278:CTU524356 DDQ524278:DDQ524356 DNM524278:DNM524356 DXI524278:DXI524356 EHE524278:EHE524356 ERA524278:ERA524356 FAW524278:FAW524356 FKS524278:FKS524356 FUO524278:FUO524356 GEK524278:GEK524356 GOG524278:GOG524356 GYC524278:GYC524356 HHY524278:HHY524356 HRU524278:HRU524356 IBQ524278:IBQ524356 ILM524278:ILM524356 IVI524278:IVI524356 JFE524278:JFE524356 JPA524278:JPA524356 JYW524278:JYW524356 KIS524278:KIS524356 KSO524278:KSO524356 LCK524278:LCK524356 LMG524278:LMG524356 LWC524278:LWC524356 MFY524278:MFY524356 MPU524278:MPU524356 MZQ524278:MZQ524356 NJM524278:NJM524356 NTI524278:NTI524356 ODE524278:ODE524356 ONA524278:ONA524356 OWW524278:OWW524356 PGS524278:PGS524356 PQO524278:PQO524356 QAK524278:QAK524356 QKG524278:QKG524356 QUC524278:QUC524356 RDY524278:RDY524356 RNU524278:RNU524356 RXQ524278:RXQ524356 SHM524278:SHM524356 SRI524278:SRI524356 TBE524278:TBE524356 TLA524278:TLA524356 TUW524278:TUW524356 UES524278:UES524356 UOO524278:UOO524356 UYK524278:UYK524356 VIG524278:VIG524356 VSC524278:VSC524356 WBY524278:WBY524356 WLU524278:WLU524356 WVQ524278:WVQ524356 I589814:I589892 JE589814:JE589892 TA589814:TA589892 ACW589814:ACW589892 AMS589814:AMS589892 AWO589814:AWO589892 BGK589814:BGK589892 BQG589814:BQG589892 CAC589814:CAC589892 CJY589814:CJY589892 CTU589814:CTU589892 DDQ589814:DDQ589892 DNM589814:DNM589892 DXI589814:DXI589892 EHE589814:EHE589892 ERA589814:ERA589892 FAW589814:FAW589892 FKS589814:FKS589892 FUO589814:FUO589892 GEK589814:GEK589892 GOG589814:GOG589892 GYC589814:GYC589892 HHY589814:HHY589892 HRU589814:HRU589892 IBQ589814:IBQ589892 ILM589814:ILM589892 IVI589814:IVI589892 JFE589814:JFE589892 JPA589814:JPA589892 JYW589814:JYW589892 KIS589814:KIS589892 KSO589814:KSO589892 LCK589814:LCK589892 LMG589814:LMG589892 LWC589814:LWC589892 MFY589814:MFY589892 MPU589814:MPU589892 MZQ589814:MZQ589892 NJM589814:NJM589892 NTI589814:NTI589892 ODE589814:ODE589892 ONA589814:ONA589892 OWW589814:OWW589892 PGS589814:PGS589892 PQO589814:PQO589892 QAK589814:QAK589892 QKG589814:QKG589892 QUC589814:QUC589892 RDY589814:RDY589892 RNU589814:RNU589892 RXQ589814:RXQ589892 SHM589814:SHM589892 SRI589814:SRI589892 TBE589814:TBE589892 TLA589814:TLA589892 TUW589814:TUW589892 UES589814:UES589892 UOO589814:UOO589892 UYK589814:UYK589892 VIG589814:VIG589892 VSC589814:VSC589892 WBY589814:WBY589892 WLU589814:WLU589892 WVQ589814:WVQ589892 I655350:I655428 JE655350:JE655428 TA655350:TA655428 ACW655350:ACW655428 AMS655350:AMS655428 AWO655350:AWO655428 BGK655350:BGK655428 BQG655350:BQG655428 CAC655350:CAC655428 CJY655350:CJY655428 CTU655350:CTU655428 DDQ655350:DDQ655428 DNM655350:DNM655428 DXI655350:DXI655428 EHE655350:EHE655428 ERA655350:ERA655428 FAW655350:FAW655428 FKS655350:FKS655428 FUO655350:FUO655428 GEK655350:GEK655428 GOG655350:GOG655428 GYC655350:GYC655428 HHY655350:HHY655428 HRU655350:HRU655428 IBQ655350:IBQ655428 ILM655350:ILM655428 IVI655350:IVI655428 JFE655350:JFE655428 JPA655350:JPA655428 JYW655350:JYW655428 KIS655350:KIS655428 KSO655350:KSO655428 LCK655350:LCK655428 LMG655350:LMG655428 LWC655350:LWC655428 MFY655350:MFY655428 MPU655350:MPU655428 MZQ655350:MZQ655428 NJM655350:NJM655428 NTI655350:NTI655428 ODE655350:ODE655428 ONA655350:ONA655428 OWW655350:OWW655428 PGS655350:PGS655428 PQO655350:PQO655428 QAK655350:QAK655428 QKG655350:QKG655428 QUC655350:QUC655428 RDY655350:RDY655428 RNU655350:RNU655428 RXQ655350:RXQ655428 SHM655350:SHM655428 SRI655350:SRI655428 TBE655350:TBE655428 TLA655350:TLA655428 TUW655350:TUW655428 UES655350:UES655428 UOO655350:UOO655428 UYK655350:UYK655428 VIG655350:VIG655428 VSC655350:VSC655428 WBY655350:WBY655428 WLU655350:WLU655428 WVQ655350:WVQ655428 I720886:I720964 JE720886:JE720964 TA720886:TA720964 ACW720886:ACW720964 AMS720886:AMS720964 AWO720886:AWO720964 BGK720886:BGK720964 BQG720886:BQG720964 CAC720886:CAC720964 CJY720886:CJY720964 CTU720886:CTU720964 DDQ720886:DDQ720964 DNM720886:DNM720964 DXI720886:DXI720964 EHE720886:EHE720964 ERA720886:ERA720964 FAW720886:FAW720964 FKS720886:FKS720964 FUO720886:FUO720964 GEK720886:GEK720964 GOG720886:GOG720964 GYC720886:GYC720964 HHY720886:HHY720964 HRU720886:HRU720964 IBQ720886:IBQ720964 ILM720886:ILM720964 IVI720886:IVI720964 JFE720886:JFE720964 JPA720886:JPA720964 JYW720886:JYW720964 KIS720886:KIS720964 KSO720886:KSO720964 LCK720886:LCK720964 LMG720886:LMG720964 LWC720886:LWC720964 MFY720886:MFY720964 MPU720886:MPU720964 MZQ720886:MZQ720964 NJM720886:NJM720964 NTI720886:NTI720964 ODE720886:ODE720964 ONA720886:ONA720964 OWW720886:OWW720964 PGS720886:PGS720964 PQO720886:PQO720964 QAK720886:QAK720964 QKG720886:QKG720964 QUC720886:QUC720964 RDY720886:RDY720964 RNU720886:RNU720964 RXQ720886:RXQ720964 SHM720886:SHM720964 SRI720886:SRI720964 TBE720886:TBE720964 TLA720886:TLA720964 TUW720886:TUW720964 UES720886:UES720964 UOO720886:UOO720964 UYK720886:UYK720964 VIG720886:VIG720964 VSC720886:VSC720964 WBY720886:WBY720964 WLU720886:WLU720964 WVQ720886:WVQ720964 I786422:I786500 JE786422:JE786500 TA786422:TA786500 ACW786422:ACW786500 AMS786422:AMS786500 AWO786422:AWO786500 BGK786422:BGK786500 BQG786422:BQG786500 CAC786422:CAC786500 CJY786422:CJY786500 CTU786422:CTU786500 DDQ786422:DDQ786500 DNM786422:DNM786500 DXI786422:DXI786500 EHE786422:EHE786500 ERA786422:ERA786500 FAW786422:FAW786500 FKS786422:FKS786500 FUO786422:FUO786500 GEK786422:GEK786500 GOG786422:GOG786500 GYC786422:GYC786500 HHY786422:HHY786500 HRU786422:HRU786500 IBQ786422:IBQ786500 ILM786422:ILM786500 IVI786422:IVI786500 JFE786422:JFE786500 JPA786422:JPA786500 JYW786422:JYW786500 KIS786422:KIS786500 KSO786422:KSO786500 LCK786422:LCK786500 LMG786422:LMG786500 LWC786422:LWC786500 MFY786422:MFY786500 MPU786422:MPU786500 MZQ786422:MZQ786500 NJM786422:NJM786500 NTI786422:NTI786500 ODE786422:ODE786500 ONA786422:ONA786500 OWW786422:OWW786500 PGS786422:PGS786500 PQO786422:PQO786500 QAK786422:QAK786500 QKG786422:QKG786500 QUC786422:QUC786500 RDY786422:RDY786500 RNU786422:RNU786500 RXQ786422:RXQ786500 SHM786422:SHM786500 SRI786422:SRI786500 TBE786422:TBE786500 TLA786422:TLA786500 TUW786422:TUW786500 UES786422:UES786500 UOO786422:UOO786500 UYK786422:UYK786500 VIG786422:VIG786500 VSC786422:VSC786500 WBY786422:WBY786500 WLU786422:WLU786500 WVQ786422:WVQ786500 I851958:I852036 JE851958:JE852036 TA851958:TA852036 ACW851958:ACW852036 AMS851958:AMS852036 AWO851958:AWO852036 BGK851958:BGK852036 BQG851958:BQG852036 CAC851958:CAC852036 CJY851958:CJY852036 CTU851958:CTU852036 DDQ851958:DDQ852036 DNM851958:DNM852036 DXI851958:DXI852036 EHE851958:EHE852036 ERA851958:ERA852036 FAW851958:FAW852036 FKS851958:FKS852036 FUO851958:FUO852036 GEK851958:GEK852036 GOG851958:GOG852036 GYC851958:GYC852036 HHY851958:HHY852036 HRU851958:HRU852036 IBQ851958:IBQ852036 ILM851958:ILM852036 IVI851958:IVI852036 JFE851958:JFE852036 JPA851958:JPA852036 JYW851958:JYW852036 KIS851958:KIS852036 KSO851958:KSO852036 LCK851958:LCK852036 LMG851958:LMG852036 LWC851958:LWC852036 MFY851958:MFY852036 MPU851958:MPU852036 MZQ851958:MZQ852036 NJM851958:NJM852036 NTI851958:NTI852036 ODE851958:ODE852036 ONA851958:ONA852036 OWW851958:OWW852036 PGS851958:PGS852036 PQO851958:PQO852036 QAK851958:QAK852036 QKG851958:QKG852036 QUC851958:QUC852036 RDY851958:RDY852036 RNU851958:RNU852036 RXQ851958:RXQ852036 SHM851958:SHM852036 SRI851958:SRI852036 TBE851958:TBE852036 TLA851958:TLA852036 TUW851958:TUW852036 UES851958:UES852036 UOO851958:UOO852036 UYK851958:UYK852036 VIG851958:VIG852036 VSC851958:VSC852036 WBY851958:WBY852036 WLU851958:WLU852036 WVQ851958:WVQ852036 I917494:I917572 JE917494:JE917572 TA917494:TA917572 ACW917494:ACW917572 AMS917494:AMS917572 AWO917494:AWO917572 BGK917494:BGK917572 BQG917494:BQG917572 CAC917494:CAC917572 CJY917494:CJY917572 CTU917494:CTU917572 DDQ917494:DDQ917572 DNM917494:DNM917572 DXI917494:DXI917572 EHE917494:EHE917572 ERA917494:ERA917572 FAW917494:FAW917572 FKS917494:FKS917572 FUO917494:FUO917572 GEK917494:GEK917572 GOG917494:GOG917572 GYC917494:GYC917572 HHY917494:HHY917572 HRU917494:HRU917572 IBQ917494:IBQ917572 ILM917494:ILM917572 IVI917494:IVI917572 JFE917494:JFE917572 JPA917494:JPA917572 JYW917494:JYW917572 KIS917494:KIS917572 KSO917494:KSO917572 LCK917494:LCK917572 LMG917494:LMG917572 LWC917494:LWC917572 MFY917494:MFY917572 MPU917494:MPU917572 MZQ917494:MZQ917572 NJM917494:NJM917572 NTI917494:NTI917572 ODE917494:ODE917572 ONA917494:ONA917572 OWW917494:OWW917572 PGS917494:PGS917572 PQO917494:PQO917572 QAK917494:QAK917572 QKG917494:QKG917572 QUC917494:QUC917572 RDY917494:RDY917572 RNU917494:RNU917572 RXQ917494:RXQ917572 SHM917494:SHM917572 SRI917494:SRI917572 TBE917494:TBE917572 TLA917494:TLA917572 TUW917494:TUW917572 UES917494:UES917572 UOO917494:UOO917572 UYK917494:UYK917572 VIG917494:VIG917572 VSC917494:VSC917572 WBY917494:WBY917572 WLU917494:WLU917572 WVQ917494:WVQ917572 I983030:I983108 JE983030:JE983108 TA983030:TA983108 ACW983030:ACW983108 AMS983030:AMS983108 AWO983030:AWO983108 BGK983030:BGK983108 BQG983030:BQG983108 CAC983030:CAC983108 CJY983030:CJY983108 CTU983030:CTU983108 DDQ983030:DDQ983108 DNM983030:DNM983108 DXI983030:DXI983108 EHE983030:EHE983108 ERA983030:ERA983108 FAW983030:FAW983108 FKS983030:FKS983108 FUO983030:FUO983108 GEK983030:GEK983108 GOG983030:GOG983108 GYC983030:GYC983108 HHY983030:HHY983108 HRU983030:HRU983108 IBQ983030:IBQ983108 ILM983030:ILM983108 IVI983030:IVI983108 JFE983030:JFE983108 JPA983030:JPA983108 JYW983030:JYW983108 KIS983030:KIS983108 KSO983030:KSO983108 LCK983030:LCK983108 LMG983030:LMG983108 LWC983030:LWC983108 MFY983030:MFY983108 MPU983030:MPU983108 MZQ983030:MZQ983108 NJM983030:NJM983108 NTI983030:NTI983108 ODE983030:ODE983108 ONA983030:ONA983108 OWW983030:OWW983108 PGS983030:PGS983108 PQO983030:PQO983108 QAK983030:QAK983108 QKG983030:QKG983108 QUC983030:QUC983108 RDY983030:RDY983108 RNU983030:RNU983108 RXQ983030:RXQ983108 SHM983030:SHM983108 SRI983030:SRI983108 TBE983030:TBE983108 TLA983030:TLA983108 TUW983030:TUW983108 UES983030:UES983108 UOO983030:UOO983108 UYK983030:UYK983108 VIG983030:VIG983108 VSC983030:VSC983108 WBY983030:WBY983108 WLU983030:WLU983108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88" xr:uid="{4FF0F2BE-B077-4241-9655-6E1509989521}">
      <formula1>$AN$5:$AN$6</formula1>
    </dataValidation>
    <dataValidation type="list" allowBlank="1" showInputMessage="1" showErrorMessage="1" sqref="WVO983030:WVO983351 G65526:G65847 JC65526:JC65847 SY65526:SY65847 ACU65526:ACU65847 AMQ65526:AMQ65847 AWM65526:AWM65847 BGI65526:BGI65847 BQE65526:BQE65847 CAA65526:CAA65847 CJW65526:CJW65847 CTS65526:CTS65847 DDO65526:DDO65847 DNK65526:DNK65847 DXG65526:DXG65847 EHC65526:EHC65847 EQY65526:EQY65847 FAU65526:FAU65847 FKQ65526:FKQ65847 FUM65526:FUM65847 GEI65526:GEI65847 GOE65526:GOE65847 GYA65526:GYA65847 HHW65526:HHW65847 HRS65526:HRS65847 IBO65526:IBO65847 ILK65526:ILK65847 IVG65526:IVG65847 JFC65526:JFC65847 JOY65526:JOY65847 JYU65526:JYU65847 KIQ65526:KIQ65847 KSM65526:KSM65847 LCI65526:LCI65847 LME65526:LME65847 LWA65526:LWA65847 MFW65526:MFW65847 MPS65526:MPS65847 MZO65526:MZO65847 NJK65526:NJK65847 NTG65526:NTG65847 ODC65526:ODC65847 OMY65526:OMY65847 OWU65526:OWU65847 PGQ65526:PGQ65847 PQM65526:PQM65847 QAI65526:QAI65847 QKE65526:QKE65847 QUA65526:QUA65847 RDW65526:RDW65847 RNS65526:RNS65847 RXO65526:RXO65847 SHK65526:SHK65847 SRG65526:SRG65847 TBC65526:TBC65847 TKY65526:TKY65847 TUU65526:TUU65847 UEQ65526:UEQ65847 UOM65526:UOM65847 UYI65526:UYI65847 VIE65526:VIE65847 VSA65526:VSA65847 WBW65526:WBW65847 WLS65526:WLS65847 WVO65526:WVO65847 G131062:G131383 JC131062:JC131383 SY131062:SY131383 ACU131062:ACU131383 AMQ131062:AMQ131383 AWM131062:AWM131383 BGI131062:BGI131383 BQE131062:BQE131383 CAA131062:CAA131383 CJW131062:CJW131383 CTS131062:CTS131383 DDO131062:DDO131383 DNK131062:DNK131383 DXG131062:DXG131383 EHC131062:EHC131383 EQY131062:EQY131383 FAU131062:FAU131383 FKQ131062:FKQ131383 FUM131062:FUM131383 GEI131062:GEI131383 GOE131062:GOE131383 GYA131062:GYA131383 HHW131062:HHW131383 HRS131062:HRS131383 IBO131062:IBO131383 ILK131062:ILK131383 IVG131062:IVG131383 JFC131062:JFC131383 JOY131062:JOY131383 JYU131062:JYU131383 KIQ131062:KIQ131383 KSM131062:KSM131383 LCI131062:LCI131383 LME131062:LME131383 LWA131062:LWA131383 MFW131062:MFW131383 MPS131062:MPS131383 MZO131062:MZO131383 NJK131062:NJK131383 NTG131062:NTG131383 ODC131062:ODC131383 OMY131062:OMY131383 OWU131062:OWU131383 PGQ131062:PGQ131383 PQM131062:PQM131383 QAI131062:QAI131383 QKE131062:QKE131383 QUA131062:QUA131383 RDW131062:RDW131383 RNS131062:RNS131383 RXO131062:RXO131383 SHK131062:SHK131383 SRG131062:SRG131383 TBC131062:TBC131383 TKY131062:TKY131383 TUU131062:TUU131383 UEQ131062:UEQ131383 UOM131062:UOM131383 UYI131062:UYI131383 VIE131062:VIE131383 VSA131062:VSA131383 WBW131062:WBW131383 WLS131062:WLS131383 WVO131062:WVO131383 G196598:G196919 JC196598:JC196919 SY196598:SY196919 ACU196598:ACU196919 AMQ196598:AMQ196919 AWM196598:AWM196919 BGI196598:BGI196919 BQE196598:BQE196919 CAA196598:CAA196919 CJW196598:CJW196919 CTS196598:CTS196919 DDO196598:DDO196919 DNK196598:DNK196919 DXG196598:DXG196919 EHC196598:EHC196919 EQY196598:EQY196919 FAU196598:FAU196919 FKQ196598:FKQ196919 FUM196598:FUM196919 GEI196598:GEI196919 GOE196598:GOE196919 GYA196598:GYA196919 HHW196598:HHW196919 HRS196598:HRS196919 IBO196598:IBO196919 ILK196598:ILK196919 IVG196598:IVG196919 JFC196598:JFC196919 JOY196598:JOY196919 JYU196598:JYU196919 KIQ196598:KIQ196919 KSM196598:KSM196919 LCI196598:LCI196919 LME196598:LME196919 LWA196598:LWA196919 MFW196598:MFW196919 MPS196598:MPS196919 MZO196598:MZO196919 NJK196598:NJK196919 NTG196598:NTG196919 ODC196598:ODC196919 OMY196598:OMY196919 OWU196598:OWU196919 PGQ196598:PGQ196919 PQM196598:PQM196919 QAI196598:QAI196919 QKE196598:QKE196919 QUA196598:QUA196919 RDW196598:RDW196919 RNS196598:RNS196919 RXO196598:RXO196919 SHK196598:SHK196919 SRG196598:SRG196919 TBC196598:TBC196919 TKY196598:TKY196919 TUU196598:TUU196919 UEQ196598:UEQ196919 UOM196598:UOM196919 UYI196598:UYI196919 VIE196598:VIE196919 VSA196598:VSA196919 WBW196598:WBW196919 WLS196598:WLS196919 WVO196598:WVO196919 G262134:G262455 JC262134:JC262455 SY262134:SY262455 ACU262134:ACU262455 AMQ262134:AMQ262455 AWM262134:AWM262455 BGI262134:BGI262455 BQE262134:BQE262455 CAA262134:CAA262455 CJW262134:CJW262455 CTS262134:CTS262455 DDO262134:DDO262455 DNK262134:DNK262455 DXG262134:DXG262455 EHC262134:EHC262455 EQY262134:EQY262455 FAU262134:FAU262455 FKQ262134:FKQ262455 FUM262134:FUM262455 GEI262134:GEI262455 GOE262134:GOE262455 GYA262134:GYA262455 HHW262134:HHW262455 HRS262134:HRS262455 IBO262134:IBO262455 ILK262134:ILK262455 IVG262134:IVG262455 JFC262134:JFC262455 JOY262134:JOY262455 JYU262134:JYU262455 KIQ262134:KIQ262455 KSM262134:KSM262455 LCI262134:LCI262455 LME262134:LME262455 LWA262134:LWA262455 MFW262134:MFW262455 MPS262134:MPS262455 MZO262134:MZO262455 NJK262134:NJK262455 NTG262134:NTG262455 ODC262134:ODC262455 OMY262134:OMY262455 OWU262134:OWU262455 PGQ262134:PGQ262455 PQM262134:PQM262455 QAI262134:QAI262455 QKE262134:QKE262455 QUA262134:QUA262455 RDW262134:RDW262455 RNS262134:RNS262455 RXO262134:RXO262455 SHK262134:SHK262455 SRG262134:SRG262455 TBC262134:TBC262455 TKY262134:TKY262455 TUU262134:TUU262455 UEQ262134:UEQ262455 UOM262134:UOM262455 UYI262134:UYI262455 VIE262134:VIE262455 VSA262134:VSA262455 WBW262134:WBW262455 WLS262134:WLS262455 WVO262134:WVO262455 G327670:G327991 JC327670:JC327991 SY327670:SY327991 ACU327670:ACU327991 AMQ327670:AMQ327991 AWM327670:AWM327991 BGI327670:BGI327991 BQE327670:BQE327991 CAA327670:CAA327991 CJW327670:CJW327991 CTS327670:CTS327991 DDO327670:DDO327991 DNK327670:DNK327991 DXG327670:DXG327991 EHC327670:EHC327991 EQY327670:EQY327991 FAU327670:FAU327991 FKQ327670:FKQ327991 FUM327670:FUM327991 GEI327670:GEI327991 GOE327670:GOE327991 GYA327670:GYA327991 HHW327670:HHW327991 HRS327670:HRS327991 IBO327670:IBO327991 ILK327670:ILK327991 IVG327670:IVG327991 JFC327670:JFC327991 JOY327670:JOY327991 JYU327670:JYU327991 KIQ327670:KIQ327991 KSM327670:KSM327991 LCI327670:LCI327991 LME327670:LME327991 LWA327670:LWA327991 MFW327670:MFW327991 MPS327670:MPS327991 MZO327670:MZO327991 NJK327670:NJK327991 NTG327670:NTG327991 ODC327670:ODC327991 OMY327670:OMY327991 OWU327670:OWU327991 PGQ327670:PGQ327991 PQM327670:PQM327991 QAI327670:QAI327991 QKE327670:QKE327991 QUA327670:QUA327991 RDW327670:RDW327991 RNS327670:RNS327991 RXO327670:RXO327991 SHK327670:SHK327991 SRG327670:SRG327991 TBC327670:TBC327991 TKY327670:TKY327991 TUU327670:TUU327991 UEQ327670:UEQ327991 UOM327670:UOM327991 UYI327670:UYI327991 VIE327670:VIE327991 VSA327670:VSA327991 WBW327670:WBW327991 WLS327670:WLS327991 WVO327670:WVO327991 G393206:G393527 JC393206:JC393527 SY393206:SY393527 ACU393206:ACU393527 AMQ393206:AMQ393527 AWM393206:AWM393527 BGI393206:BGI393527 BQE393206:BQE393527 CAA393206:CAA393527 CJW393206:CJW393527 CTS393206:CTS393527 DDO393206:DDO393527 DNK393206:DNK393527 DXG393206:DXG393527 EHC393206:EHC393527 EQY393206:EQY393527 FAU393206:FAU393527 FKQ393206:FKQ393527 FUM393206:FUM393527 GEI393206:GEI393527 GOE393206:GOE393527 GYA393206:GYA393527 HHW393206:HHW393527 HRS393206:HRS393527 IBO393206:IBO393527 ILK393206:ILK393527 IVG393206:IVG393527 JFC393206:JFC393527 JOY393206:JOY393527 JYU393206:JYU393527 KIQ393206:KIQ393527 KSM393206:KSM393527 LCI393206:LCI393527 LME393206:LME393527 LWA393206:LWA393527 MFW393206:MFW393527 MPS393206:MPS393527 MZO393206:MZO393527 NJK393206:NJK393527 NTG393206:NTG393527 ODC393206:ODC393527 OMY393206:OMY393527 OWU393206:OWU393527 PGQ393206:PGQ393527 PQM393206:PQM393527 QAI393206:QAI393527 QKE393206:QKE393527 QUA393206:QUA393527 RDW393206:RDW393527 RNS393206:RNS393527 RXO393206:RXO393527 SHK393206:SHK393527 SRG393206:SRG393527 TBC393206:TBC393527 TKY393206:TKY393527 TUU393206:TUU393527 UEQ393206:UEQ393527 UOM393206:UOM393527 UYI393206:UYI393527 VIE393206:VIE393527 VSA393206:VSA393527 WBW393206:WBW393527 WLS393206:WLS393527 WVO393206:WVO393527 G458742:G459063 JC458742:JC459063 SY458742:SY459063 ACU458742:ACU459063 AMQ458742:AMQ459063 AWM458742:AWM459063 BGI458742:BGI459063 BQE458742:BQE459063 CAA458742:CAA459063 CJW458742:CJW459063 CTS458742:CTS459063 DDO458742:DDO459063 DNK458742:DNK459063 DXG458742:DXG459063 EHC458742:EHC459063 EQY458742:EQY459063 FAU458742:FAU459063 FKQ458742:FKQ459063 FUM458742:FUM459063 GEI458742:GEI459063 GOE458742:GOE459063 GYA458742:GYA459063 HHW458742:HHW459063 HRS458742:HRS459063 IBO458742:IBO459063 ILK458742:ILK459063 IVG458742:IVG459063 JFC458742:JFC459063 JOY458742:JOY459063 JYU458742:JYU459063 KIQ458742:KIQ459063 KSM458742:KSM459063 LCI458742:LCI459063 LME458742:LME459063 LWA458742:LWA459063 MFW458742:MFW459063 MPS458742:MPS459063 MZO458742:MZO459063 NJK458742:NJK459063 NTG458742:NTG459063 ODC458742:ODC459063 OMY458742:OMY459063 OWU458742:OWU459063 PGQ458742:PGQ459063 PQM458742:PQM459063 QAI458742:QAI459063 QKE458742:QKE459063 QUA458742:QUA459063 RDW458742:RDW459063 RNS458742:RNS459063 RXO458742:RXO459063 SHK458742:SHK459063 SRG458742:SRG459063 TBC458742:TBC459063 TKY458742:TKY459063 TUU458742:TUU459063 UEQ458742:UEQ459063 UOM458742:UOM459063 UYI458742:UYI459063 VIE458742:VIE459063 VSA458742:VSA459063 WBW458742:WBW459063 WLS458742:WLS459063 WVO458742:WVO459063 G524278:G524599 JC524278:JC524599 SY524278:SY524599 ACU524278:ACU524599 AMQ524278:AMQ524599 AWM524278:AWM524599 BGI524278:BGI524599 BQE524278:BQE524599 CAA524278:CAA524599 CJW524278:CJW524599 CTS524278:CTS524599 DDO524278:DDO524599 DNK524278:DNK524599 DXG524278:DXG524599 EHC524278:EHC524599 EQY524278:EQY524599 FAU524278:FAU524599 FKQ524278:FKQ524599 FUM524278:FUM524599 GEI524278:GEI524599 GOE524278:GOE524599 GYA524278:GYA524599 HHW524278:HHW524599 HRS524278:HRS524599 IBO524278:IBO524599 ILK524278:ILK524599 IVG524278:IVG524599 JFC524278:JFC524599 JOY524278:JOY524599 JYU524278:JYU524599 KIQ524278:KIQ524599 KSM524278:KSM524599 LCI524278:LCI524599 LME524278:LME524599 LWA524278:LWA524599 MFW524278:MFW524599 MPS524278:MPS524599 MZO524278:MZO524599 NJK524278:NJK524599 NTG524278:NTG524599 ODC524278:ODC524599 OMY524278:OMY524599 OWU524278:OWU524599 PGQ524278:PGQ524599 PQM524278:PQM524599 QAI524278:QAI524599 QKE524278:QKE524599 QUA524278:QUA524599 RDW524278:RDW524599 RNS524278:RNS524599 RXO524278:RXO524599 SHK524278:SHK524599 SRG524278:SRG524599 TBC524278:TBC524599 TKY524278:TKY524599 TUU524278:TUU524599 UEQ524278:UEQ524599 UOM524278:UOM524599 UYI524278:UYI524599 VIE524278:VIE524599 VSA524278:VSA524599 WBW524278:WBW524599 WLS524278:WLS524599 WVO524278:WVO524599 G589814:G590135 JC589814:JC590135 SY589814:SY590135 ACU589814:ACU590135 AMQ589814:AMQ590135 AWM589814:AWM590135 BGI589814:BGI590135 BQE589814:BQE590135 CAA589814:CAA590135 CJW589814:CJW590135 CTS589814:CTS590135 DDO589814:DDO590135 DNK589814:DNK590135 DXG589814:DXG590135 EHC589814:EHC590135 EQY589814:EQY590135 FAU589814:FAU590135 FKQ589814:FKQ590135 FUM589814:FUM590135 GEI589814:GEI590135 GOE589814:GOE590135 GYA589814:GYA590135 HHW589814:HHW590135 HRS589814:HRS590135 IBO589814:IBO590135 ILK589814:ILK590135 IVG589814:IVG590135 JFC589814:JFC590135 JOY589814:JOY590135 JYU589814:JYU590135 KIQ589814:KIQ590135 KSM589814:KSM590135 LCI589814:LCI590135 LME589814:LME590135 LWA589814:LWA590135 MFW589814:MFW590135 MPS589814:MPS590135 MZO589814:MZO590135 NJK589814:NJK590135 NTG589814:NTG590135 ODC589814:ODC590135 OMY589814:OMY590135 OWU589814:OWU590135 PGQ589814:PGQ590135 PQM589814:PQM590135 QAI589814:QAI590135 QKE589814:QKE590135 QUA589814:QUA590135 RDW589814:RDW590135 RNS589814:RNS590135 RXO589814:RXO590135 SHK589814:SHK590135 SRG589814:SRG590135 TBC589814:TBC590135 TKY589814:TKY590135 TUU589814:TUU590135 UEQ589814:UEQ590135 UOM589814:UOM590135 UYI589814:UYI590135 VIE589814:VIE590135 VSA589814:VSA590135 WBW589814:WBW590135 WLS589814:WLS590135 WVO589814:WVO590135 G655350:G655671 JC655350:JC655671 SY655350:SY655671 ACU655350:ACU655671 AMQ655350:AMQ655671 AWM655350:AWM655671 BGI655350:BGI655671 BQE655350:BQE655671 CAA655350:CAA655671 CJW655350:CJW655671 CTS655350:CTS655671 DDO655350:DDO655671 DNK655350:DNK655671 DXG655350:DXG655671 EHC655350:EHC655671 EQY655350:EQY655671 FAU655350:FAU655671 FKQ655350:FKQ655671 FUM655350:FUM655671 GEI655350:GEI655671 GOE655350:GOE655671 GYA655350:GYA655671 HHW655350:HHW655671 HRS655350:HRS655671 IBO655350:IBO655671 ILK655350:ILK655671 IVG655350:IVG655671 JFC655350:JFC655671 JOY655350:JOY655671 JYU655350:JYU655671 KIQ655350:KIQ655671 KSM655350:KSM655671 LCI655350:LCI655671 LME655350:LME655671 LWA655350:LWA655671 MFW655350:MFW655671 MPS655350:MPS655671 MZO655350:MZO655671 NJK655350:NJK655671 NTG655350:NTG655671 ODC655350:ODC655671 OMY655350:OMY655671 OWU655350:OWU655671 PGQ655350:PGQ655671 PQM655350:PQM655671 QAI655350:QAI655671 QKE655350:QKE655671 QUA655350:QUA655671 RDW655350:RDW655671 RNS655350:RNS655671 RXO655350:RXO655671 SHK655350:SHK655671 SRG655350:SRG655671 TBC655350:TBC655671 TKY655350:TKY655671 TUU655350:TUU655671 UEQ655350:UEQ655671 UOM655350:UOM655671 UYI655350:UYI655671 VIE655350:VIE655671 VSA655350:VSA655671 WBW655350:WBW655671 WLS655350:WLS655671 WVO655350:WVO655671 G720886:G721207 JC720886:JC721207 SY720886:SY721207 ACU720886:ACU721207 AMQ720886:AMQ721207 AWM720886:AWM721207 BGI720886:BGI721207 BQE720886:BQE721207 CAA720886:CAA721207 CJW720886:CJW721207 CTS720886:CTS721207 DDO720886:DDO721207 DNK720886:DNK721207 DXG720886:DXG721207 EHC720886:EHC721207 EQY720886:EQY721207 FAU720886:FAU721207 FKQ720886:FKQ721207 FUM720886:FUM721207 GEI720886:GEI721207 GOE720886:GOE721207 GYA720886:GYA721207 HHW720886:HHW721207 HRS720886:HRS721207 IBO720886:IBO721207 ILK720886:ILK721207 IVG720886:IVG721207 JFC720886:JFC721207 JOY720886:JOY721207 JYU720886:JYU721207 KIQ720886:KIQ721207 KSM720886:KSM721207 LCI720886:LCI721207 LME720886:LME721207 LWA720886:LWA721207 MFW720886:MFW721207 MPS720886:MPS721207 MZO720886:MZO721207 NJK720886:NJK721207 NTG720886:NTG721207 ODC720886:ODC721207 OMY720886:OMY721207 OWU720886:OWU721207 PGQ720886:PGQ721207 PQM720886:PQM721207 QAI720886:QAI721207 QKE720886:QKE721207 QUA720886:QUA721207 RDW720886:RDW721207 RNS720886:RNS721207 RXO720886:RXO721207 SHK720886:SHK721207 SRG720886:SRG721207 TBC720886:TBC721207 TKY720886:TKY721207 TUU720886:TUU721207 UEQ720886:UEQ721207 UOM720886:UOM721207 UYI720886:UYI721207 VIE720886:VIE721207 VSA720886:VSA721207 WBW720886:WBW721207 WLS720886:WLS721207 WVO720886:WVO721207 G786422:G786743 JC786422:JC786743 SY786422:SY786743 ACU786422:ACU786743 AMQ786422:AMQ786743 AWM786422:AWM786743 BGI786422:BGI786743 BQE786422:BQE786743 CAA786422:CAA786743 CJW786422:CJW786743 CTS786422:CTS786743 DDO786422:DDO786743 DNK786422:DNK786743 DXG786422:DXG786743 EHC786422:EHC786743 EQY786422:EQY786743 FAU786422:FAU786743 FKQ786422:FKQ786743 FUM786422:FUM786743 GEI786422:GEI786743 GOE786422:GOE786743 GYA786422:GYA786743 HHW786422:HHW786743 HRS786422:HRS786743 IBO786422:IBO786743 ILK786422:ILK786743 IVG786422:IVG786743 JFC786422:JFC786743 JOY786422:JOY786743 JYU786422:JYU786743 KIQ786422:KIQ786743 KSM786422:KSM786743 LCI786422:LCI786743 LME786422:LME786743 LWA786422:LWA786743 MFW786422:MFW786743 MPS786422:MPS786743 MZO786422:MZO786743 NJK786422:NJK786743 NTG786422:NTG786743 ODC786422:ODC786743 OMY786422:OMY786743 OWU786422:OWU786743 PGQ786422:PGQ786743 PQM786422:PQM786743 QAI786422:QAI786743 QKE786422:QKE786743 QUA786422:QUA786743 RDW786422:RDW786743 RNS786422:RNS786743 RXO786422:RXO786743 SHK786422:SHK786743 SRG786422:SRG786743 TBC786422:TBC786743 TKY786422:TKY786743 TUU786422:TUU786743 UEQ786422:UEQ786743 UOM786422:UOM786743 UYI786422:UYI786743 VIE786422:VIE786743 VSA786422:VSA786743 WBW786422:WBW786743 WLS786422:WLS786743 WVO786422:WVO786743 G851958:G852279 JC851958:JC852279 SY851958:SY852279 ACU851958:ACU852279 AMQ851958:AMQ852279 AWM851958:AWM852279 BGI851958:BGI852279 BQE851958:BQE852279 CAA851958:CAA852279 CJW851958:CJW852279 CTS851958:CTS852279 DDO851958:DDO852279 DNK851958:DNK852279 DXG851958:DXG852279 EHC851958:EHC852279 EQY851958:EQY852279 FAU851958:FAU852279 FKQ851958:FKQ852279 FUM851958:FUM852279 GEI851958:GEI852279 GOE851958:GOE852279 GYA851958:GYA852279 HHW851958:HHW852279 HRS851958:HRS852279 IBO851958:IBO852279 ILK851958:ILK852279 IVG851958:IVG852279 JFC851958:JFC852279 JOY851958:JOY852279 JYU851958:JYU852279 KIQ851958:KIQ852279 KSM851958:KSM852279 LCI851958:LCI852279 LME851958:LME852279 LWA851958:LWA852279 MFW851958:MFW852279 MPS851958:MPS852279 MZO851958:MZO852279 NJK851958:NJK852279 NTG851958:NTG852279 ODC851958:ODC852279 OMY851958:OMY852279 OWU851958:OWU852279 PGQ851958:PGQ852279 PQM851958:PQM852279 QAI851958:QAI852279 QKE851958:QKE852279 QUA851958:QUA852279 RDW851958:RDW852279 RNS851958:RNS852279 RXO851958:RXO852279 SHK851958:SHK852279 SRG851958:SRG852279 TBC851958:TBC852279 TKY851958:TKY852279 TUU851958:TUU852279 UEQ851958:UEQ852279 UOM851958:UOM852279 UYI851958:UYI852279 VIE851958:VIE852279 VSA851958:VSA852279 WBW851958:WBW852279 WLS851958:WLS852279 WVO851958:WVO852279 G917494:G917815 JC917494:JC917815 SY917494:SY917815 ACU917494:ACU917815 AMQ917494:AMQ917815 AWM917494:AWM917815 BGI917494:BGI917815 BQE917494:BQE917815 CAA917494:CAA917815 CJW917494:CJW917815 CTS917494:CTS917815 DDO917494:DDO917815 DNK917494:DNK917815 DXG917494:DXG917815 EHC917494:EHC917815 EQY917494:EQY917815 FAU917494:FAU917815 FKQ917494:FKQ917815 FUM917494:FUM917815 GEI917494:GEI917815 GOE917494:GOE917815 GYA917494:GYA917815 HHW917494:HHW917815 HRS917494:HRS917815 IBO917494:IBO917815 ILK917494:ILK917815 IVG917494:IVG917815 JFC917494:JFC917815 JOY917494:JOY917815 JYU917494:JYU917815 KIQ917494:KIQ917815 KSM917494:KSM917815 LCI917494:LCI917815 LME917494:LME917815 LWA917494:LWA917815 MFW917494:MFW917815 MPS917494:MPS917815 MZO917494:MZO917815 NJK917494:NJK917815 NTG917494:NTG917815 ODC917494:ODC917815 OMY917494:OMY917815 OWU917494:OWU917815 PGQ917494:PGQ917815 PQM917494:PQM917815 QAI917494:QAI917815 QKE917494:QKE917815 QUA917494:QUA917815 RDW917494:RDW917815 RNS917494:RNS917815 RXO917494:RXO917815 SHK917494:SHK917815 SRG917494:SRG917815 TBC917494:TBC917815 TKY917494:TKY917815 TUU917494:TUU917815 UEQ917494:UEQ917815 UOM917494:UOM917815 UYI917494:UYI917815 VIE917494:VIE917815 VSA917494:VSA917815 WBW917494:WBW917815 WLS917494:WLS917815 WVO917494:WVO917815 G983030:G983351 JC983030:JC983351 SY983030:SY983351 ACU983030:ACU983351 AMQ983030:AMQ983351 AWM983030:AWM983351 BGI983030:BGI983351 BQE983030:BQE983351 CAA983030:CAA983351 CJW983030:CJW983351 CTS983030:CTS983351 DDO983030:DDO983351 DNK983030:DNK983351 DXG983030:DXG983351 EHC983030:EHC983351 EQY983030:EQY983351 FAU983030:FAU983351 FKQ983030:FKQ983351 FUM983030:FUM983351 GEI983030:GEI983351 GOE983030:GOE983351 GYA983030:GYA983351 HHW983030:HHW983351 HRS983030:HRS983351 IBO983030:IBO983351 ILK983030:ILK983351 IVG983030:IVG983351 JFC983030:JFC983351 JOY983030:JOY983351 JYU983030:JYU983351 KIQ983030:KIQ983351 KSM983030:KSM983351 LCI983030:LCI983351 LME983030:LME983351 LWA983030:LWA983351 MFW983030:MFW983351 MPS983030:MPS983351 MZO983030:MZO983351 NJK983030:NJK983351 NTG983030:NTG983351 ODC983030:ODC983351 OMY983030:OMY983351 OWU983030:OWU983351 PGQ983030:PGQ983351 PQM983030:PQM983351 QAI983030:QAI983351 QKE983030:QKE983351 QUA983030:QUA983351 RDW983030:RDW983351 RNS983030:RNS983351 RXO983030:RXO983351 SHK983030:SHK983351 SRG983030:SRG983351 TBC983030:TBC983351 TKY983030:TKY983351 TUU983030:TUU983351 UEQ983030:UEQ983351 UOM983030:UOM983351 UYI983030:UYI983351 VIE983030:VIE983351 VSA983030:VSA983351 WBW983030:WBW983351 WLS983030:WLS983351 G2:G145 G149:G488 JC2:JC311 WVO2:WVO311 WLS2:WLS311 WBW2:WBW311 VSA2:VSA311 VIE2:VIE311 UYI2:UYI311 UOM2:UOM311 UEQ2:UEQ311 TUU2:TUU311 TKY2:TKY311 TBC2:TBC311 SRG2:SRG311 SHK2:SHK311 RXO2:RXO311 RNS2:RNS311 RDW2:RDW311 QUA2:QUA311 QKE2:QKE311 QAI2:QAI311 PQM2:PQM311 PGQ2:PGQ311 OWU2:OWU311 OMY2:OMY311 ODC2:ODC311 NTG2:NTG311 NJK2:NJK311 MZO2:MZO311 MPS2:MPS311 MFW2:MFW311 LWA2:LWA311 LME2:LME311 LCI2:LCI311 KSM2:KSM311 KIQ2:KIQ311 JYU2:JYU311 JOY2:JOY311 JFC2:JFC311 IVG2:IVG311 ILK2:ILK311 IBO2:IBO311 HRS2:HRS311 HHW2:HHW311 GYA2:GYA311 GOE2:GOE311 GEI2:GEI311 FUM2:FUM311 FKQ2:FKQ311 FAU2:FAU311 EQY2:EQY311 EHC2:EHC311 DXG2:DXG311 DNK2:DNK311 DDO2:DDO311 CTS2:CTS311 CJW2:CJW311 CAA2:CAA311 BQE2:BQE311 BGI2:BGI311 AWM2:AWM311 AMQ2:AMQ311 ACU2:ACU311 SY2:SY311" xr:uid="{E63BBBF0-C6C4-43AB-A3B9-2523E770250B}">
      <formula1>$AJ$2:$AJ$4</formula1>
    </dataValidation>
    <dataValidation type="list" allowBlank="1" showInputMessage="1" showErrorMessage="1" sqref="WVM983030:WVM983333 E65526:E65829 JA65526:JA65829 SW65526:SW65829 ACS65526:ACS65829 AMO65526:AMO65829 AWK65526:AWK65829 BGG65526:BGG65829 BQC65526:BQC65829 BZY65526:BZY65829 CJU65526:CJU65829 CTQ65526:CTQ65829 DDM65526:DDM65829 DNI65526:DNI65829 DXE65526:DXE65829 EHA65526:EHA65829 EQW65526:EQW65829 FAS65526:FAS65829 FKO65526:FKO65829 FUK65526:FUK65829 GEG65526:GEG65829 GOC65526:GOC65829 GXY65526:GXY65829 HHU65526:HHU65829 HRQ65526:HRQ65829 IBM65526:IBM65829 ILI65526:ILI65829 IVE65526:IVE65829 JFA65526:JFA65829 JOW65526:JOW65829 JYS65526:JYS65829 KIO65526:KIO65829 KSK65526:KSK65829 LCG65526:LCG65829 LMC65526:LMC65829 LVY65526:LVY65829 MFU65526:MFU65829 MPQ65526:MPQ65829 MZM65526:MZM65829 NJI65526:NJI65829 NTE65526:NTE65829 ODA65526:ODA65829 OMW65526:OMW65829 OWS65526:OWS65829 PGO65526:PGO65829 PQK65526:PQK65829 QAG65526:QAG65829 QKC65526:QKC65829 QTY65526:QTY65829 RDU65526:RDU65829 RNQ65526:RNQ65829 RXM65526:RXM65829 SHI65526:SHI65829 SRE65526:SRE65829 TBA65526:TBA65829 TKW65526:TKW65829 TUS65526:TUS65829 UEO65526:UEO65829 UOK65526:UOK65829 UYG65526:UYG65829 VIC65526:VIC65829 VRY65526:VRY65829 WBU65526:WBU65829 WLQ65526:WLQ65829 WVM65526:WVM65829 E131062:E131365 JA131062:JA131365 SW131062:SW131365 ACS131062:ACS131365 AMO131062:AMO131365 AWK131062:AWK131365 BGG131062:BGG131365 BQC131062:BQC131365 BZY131062:BZY131365 CJU131062:CJU131365 CTQ131062:CTQ131365 DDM131062:DDM131365 DNI131062:DNI131365 DXE131062:DXE131365 EHA131062:EHA131365 EQW131062:EQW131365 FAS131062:FAS131365 FKO131062:FKO131365 FUK131062:FUK131365 GEG131062:GEG131365 GOC131062:GOC131365 GXY131062:GXY131365 HHU131062:HHU131365 HRQ131062:HRQ131365 IBM131062:IBM131365 ILI131062:ILI131365 IVE131062:IVE131365 JFA131062:JFA131365 JOW131062:JOW131365 JYS131062:JYS131365 KIO131062:KIO131365 KSK131062:KSK131365 LCG131062:LCG131365 LMC131062:LMC131365 LVY131062:LVY131365 MFU131062:MFU131365 MPQ131062:MPQ131365 MZM131062:MZM131365 NJI131062:NJI131365 NTE131062:NTE131365 ODA131062:ODA131365 OMW131062:OMW131365 OWS131062:OWS131365 PGO131062:PGO131365 PQK131062:PQK131365 QAG131062:QAG131365 QKC131062:QKC131365 QTY131062:QTY131365 RDU131062:RDU131365 RNQ131062:RNQ131365 RXM131062:RXM131365 SHI131062:SHI131365 SRE131062:SRE131365 TBA131062:TBA131365 TKW131062:TKW131365 TUS131062:TUS131365 UEO131062:UEO131365 UOK131062:UOK131365 UYG131062:UYG131365 VIC131062:VIC131365 VRY131062:VRY131365 WBU131062:WBU131365 WLQ131062:WLQ131365 WVM131062:WVM131365 E196598:E196901 JA196598:JA196901 SW196598:SW196901 ACS196598:ACS196901 AMO196598:AMO196901 AWK196598:AWK196901 BGG196598:BGG196901 BQC196598:BQC196901 BZY196598:BZY196901 CJU196598:CJU196901 CTQ196598:CTQ196901 DDM196598:DDM196901 DNI196598:DNI196901 DXE196598:DXE196901 EHA196598:EHA196901 EQW196598:EQW196901 FAS196598:FAS196901 FKO196598:FKO196901 FUK196598:FUK196901 GEG196598:GEG196901 GOC196598:GOC196901 GXY196598:GXY196901 HHU196598:HHU196901 HRQ196598:HRQ196901 IBM196598:IBM196901 ILI196598:ILI196901 IVE196598:IVE196901 JFA196598:JFA196901 JOW196598:JOW196901 JYS196598:JYS196901 KIO196598:KIO196901 KSK196598:KSK196901 LCG196598:LCG196901 LMC196598:LMC196901 LVY196598:LVY196901 MFU196598:MFU196901 MPQ196598:MPQ196901 MZM196598:MZM196901 NJI196598:NJI196901 NTE196598:NTE196901 ODA196598:ODA196901 OMW196598:OMW196901 OWS196598:OWS196901 PGO196598:PGO196901 PQK196598:PQK196901 QAG196598:QAG196901 QKC196598:QKC196901 QTY196598:QTY196901 RDU196598:RDU196901 RNQ196598:RNQ196901 RXM196598:RXM196901 SHI196598:SHI196901 SRE196598:SRE196901 TBA196598:TBA196901 TKW196598:TKW196901 TUS196598:TUS196901 UEO196598:UEO196901 UOK196598:UOK196901 UYG196598:UYG196901 VIC196598:VIC196901 VRY196598:VRY196901 WBU196598:WBU196901 WLQ196598:WLQ196901 WVM196598:WVM196901 E262134:E262437 JA262134:JA262437 SW262134:SW262437 ACS262134:ACS262437 AMO262134:AMO262437 AWK262134:AWK262437 BGG262134:BGG262437 BQC262134:BQC262437 BZY262134:BZY262437 CJU262134:CJU262437 CTQ262134:CTQ262437 DDM262134:DDM262437 DNI262134:DNI262437 DXE262134:DXE262437 EHA262134:EHA262437 EQW262134:EQW262437 FAS262134:FAS262437 FKO262134:FKO262437 FUK262134:FUK262437 GEG262134:GEG262437 GOC262134:GOC262437 GXY262134:GXY262437 HHU262134:HHU262437 HRQ262134:HRQ262437 IBM262134:IBM262437 ILI262134:ILI262437 IVE262134:IVE262437 JFA262134:JFA262437 JOW262134:JOW262437 JYS262134:JYS262437 KIO262134:KIO262437 KSK262134:KSK262437 LCG262134:LCG262437 LMC262134:LMC262437 LVY262134:LVY262437 MFU262134:MFU262437 MPQ262134:MPQ262437 MZM262134:MZM262437 NJI262134:NJI262437 NTE262134:NTE262437 ODA262134:ODA262437 OMW262134:OMW262437 OWS262134:OWS262437 PGO262134:PGO262437 PQK262134:PQK262437 QAG262134:QAG262437 QKC262134:QKC262437 QTY262134:QTY262437 RDU262134:RDU262437 RNQ262134:RNQ262437 RXM262134:RXM262437 SHI262134:SHI262437 SRE262134:SRE262437 TBA262134:TBA262437 TKW262134:TKW262437 TUS262134:TUS262437 UEO262134:UEO262437 UOK262134:UOK262437 UYG262134:UYG262437 VIC262134:VIC262437 VRY262134:VRY262437 WBU262134:WBU262437 WLQ262134:WLQ262437 WVM262134:WVM262437 E327670:E327973 JA327670:JA327973 SW327670:SW327973 ACS327670:ACS327973 AMO327670:AMO327973 AWK327670:AWK327973 BGG327670:BGG327973 BQC327670:BQC327973 BZY327670:BZY327973 CJU327670:CJU327973 CTQ327670:CTQ327973 DDM327670:DDM327973 DNI327670:DNI327973 DXE327670:DXE327973 EHA327670:EHA327973 EQW327670:EQW327973 FAS327670:FAS327973 FKO327670:FKO327973 FUK327670:FUK327973 GEG327670:GEG327973 GOC327670:GOC327973 GXY327670:GXY327973 HHU327670:HHU327973 HRQ327670:HRQ327973 IBM327670:IBM327973 ILI327670:ILI327973 IVE327670:IVE327973 JFA327670:JFA327973 JOW327670:JOW327973 JYS327670:JYS327973 KIO327670:KIO327973 KSK327670:KSK327973 LCG327670:LCG327973 LMC327670:LMC327973 LVY327670:LVY327973 MFU327670:MFU327973 MPQ327670:MPQ327973 MZM327670:MZM327973 NJI327670:NJI327973 NTE327670:NTE327973 ODA327670:ODA327973 OMW327670:OMW327973 OWS327670:OWS327973 PGO327670:PGO327973 PQK327670:PQK327973 QAG327670:QAG327973 QKC327670:QKC327973 QTY327670:QTY327973 RDU327670:RDU327973 RNQ327670:RNQ327973 RXM327670:RXM327973 SHI327670:SHI327973 SRE327670:SRE327973 TBA327670:TBA327973 TKW327670:TKW327973 TUS327670:TUS327973 UEO327670:UEO327973 UOK327670:UOK327973 UYG327670:UYG327973 VIC327670:VIC327973 VRY327670:VRY327973 WBU327670:WBU327973 WLQ327670:WLQ327973 WVM327670:WVM327973 E393206:E393509 JA393206:JA393509 SW393206:SW393509 ACS393206:ACS393509 AMO393206:AMO393509 AWK393206:AWK393509 BGG393206:BGG393509 BQC393206:BQC393509 BZY393206:BZY393509 CJU393206:CJU393509 CTQ393206:CTQ393509 DDM393206:DDM393509 DNI393206:DNI393509 DXE393206:DXE393509 EHA393206:EHA393509 EQW393206:EQW393509 FAS393206:FAS393509 FKO393206:FKO393509 FUK393206:FUK393509 GEG393206:GEG393509 GOC393206:GOC393509 GXY393206:GXY393509 HHU393206:HHU393509 HRQ393206:HRQ393509 IBM393206:IBM393509 ILI393206:ILI393509 IVE393206:IVE393509 JFA393206:JFA393509 JOW393206:JOW393509 JYS393206:JYS393509 KIO393206:KIO393509 KSK393206:KSK393509 LCG393206:LCG393509 LMC393206:LMC393509 LVY393206:LVY393509 MFU393206:MFU393509 MPQ393206:MPQ393509 MZM393206:MZM393509 NJI393206:NJI393509 NTE393206:NTE393509 ODA393206:ODA393509 OMW393206:OMW393509 OWS393206:OWS393509 PGO393206:PGO393509 PQK393206:PQK393509 QAG393206:QAG393509 QKC393206:QKC393509 QTY393206:QTY393509 RDU393206:RDU393509 RNQ393206:RNQ393509 RXM393206:RXM393509 SHI393206:SHI393509 SRE393206:SRE393509 TBA393206:TBA393509 TKW393206:TKW393509 TUS393206:TUS393509 UEO393206:UEO393509 UOK393206:UOK393509 UYG393206:UYG393509 VIC393206:VIC393509 VRY393206:VRY393509 WBU393206:WBU393509 WLQ393206:WLQ393509 WVM393206:WVM393509 E458742:E459045 JA458742:JA459045 SW458742:SW459045 ACS458742:ACS459045 AMO458742:AMO459045 AWK458742:AWK459045 BGG458742:BGG459045 BQC458742:BQC459045 BZY458742:BZY459045 CJU458742:CJU459045 CTQ458742:CTQ459045 DDM458742:DDM459045 DNI458742:DNI459045 DXE458742:DXE459045 EHA458742:EHA459045 EQW458742:EQW459045 FAS458742:FAS459045 FKO458742:FKO459045 FUK458742:FUK459045 GEG458742:GEG459045 GOC458742:GOC459045 GXY458742:GXY459045 HHU458742:HHU459045 HRQ458742:HRQ459045 IBM458742:IBM459045 ILI458742:ILI459045 IVE458742:IVE459045 JFA458742:JFA459045 JOW458742:JOW459045 JYS458742:JYS459045 KIO458742:KIO459045 KSK458742:KSK459045 LCG458742:LCG459045 LMC458742:LMC459045 LVY458742:LVY459045 MFU458742:MFU459045 MPQ458742:MPQ459045 MZM458742:MZM459045 NJI458742:NJI459045 NTE458742:NTE459045 ODA458742:ODA459045 OMW458742:OMW459045 OWS458742:OWS459045 PGO458742:PGO459045 PQK458742:PQK459045 QAG458742:QAG459045 QKC458742:QKC459045 QTY458742:QTY459045 RDU458742:RDU459045 RNQ458742:RNQ459045 RXM458742:RXM459045 SHI458742:SHI459045 SRE458742:SRE459045 TBA458742:TBA459045 TKW458742:TKW459045 TUS458742:TUS459045 UEO458742:UEO459045 UOK458742:UOK459045 UYG458742:UYG459045 VIC458742:VIC459045 VRY458742:VRY459045 WBU458742:WBU459045 WLQ458742:WLQ459045 WVM458742:WVM459045 E524278:E524581 JA524278:JA524581 SW524278:SW524581 ACS524278:ACS524581 AMO524278:AMO524581 AWK524278:AWK524581 BGG524278:BGG524581 BQC524278:BQC524581 BZY524278:BZY524581 CJU524278:CJU524581 CTQ524278:CTQ524581 DDM524278:DDM524581 DNI524278:DNI524581 DXE524278:DXE524581 EHA524278:EHA524581 EQW524278:EQW524581 FAS524278:FAS524581 FKO524278:FKO524581 FUK524278:FUK524581 GEG524278:GEG524581 GOC524278:GOC524581 GXY524278:GXY524581 HHU524278:HHU524581 HRQ524278:HRQ524581 IBM524278:IBM524581 ILI524278:ILI524581 IVE524278:IVE524581 JFA524278:JFA524581 JOW524278:JOW524581 JYS524278:JYS524581 KIO524278:KIO524581 KSK524278:KSK524581 LCG524278:LCG524581 LMC524278:LMC524581 LVY524278:LVY524581 MFU524278:MFU524581 MPQ524278:MPQ524581 MZM524278:MZM524581 NJI524278:NJI524581 NTE524278:NTE524581 ODA524278:ODA524581 OMW524278:OMW524581 OWS524278:OWS524581 PGO524278:PGO524581 PQK524278:PQK524581 QAG524278:QAG524581 QKC524278:QKC524581 QTY524278:QTY524581 RDU524278:RDU524581 RNQ524278:RNQ524581 RXM524278:RXM524581 SHI524278:SHI524581 SRE524278:SRE524581 TBA524278:TBA524581 TKW524278:TKW524581 TUS524278:TUS524581 UEO524278:UEO524581 UOK524278:UOK524581 UYG524278:UYG524581 VIC524278:VIC524581 VRY524278:VRY524581 WBU524278:WBU524581 WLQ524278:WLQ524581 WVM524278:WVM524581 E589814:E590117 JA589814:JA590117 SW589814:SW590117 ACS589814:ACS590117 AMO589814:AMO590117 AWK589814:AWK590117 BGG589814:BGG590117 BQC589814:BQC590117 BZY589814:BZY590117 CJU589814:CJU590117 CTQ589814:CTQ590117 DDM589814:DDM590117 DNI589814:DNI590117 DXE589814:DXE590117 EHA589814:EHA590117 EQW589814:EQW590117 FAS589814:FAS590117 FKO589814:FKO590117 FUK589814:FUK590117 GEG589814:GEG590117 GOC589814:GOC590117 GXY589814:GXY590117 HHU589814:HHU590117 HRQ589814:HRQ590117 IBM589814:IBM590117 ILI589814:ILI590117 IVE589814:IVE590117 JFA589814:JFA590117 JOW589814:JOW590117 JYS589814:JYS590117 KIO589814:KIO590117 KSK589814:KSK590117 LCG589814:LCG590117 LMC589814:LMC590117 LVY589814:LVY590117 MFU589814:MFU590117 MPQ589814:MPQ590117 MZM589814:MZM590117 NJI589814:NJI590117 NTE589814:NTE590117 ODA589814:ODA590117 OMW589814:OMW590117 OWS589814:OWS590117 PGO589814:PGO590117 PQK589814:PQK590117 QAG589814:QAG590117 QKC589814:QKC590117 QTY589814:QTY590117 RDU589814:RDU590117 RNQ589814:RNQ590117 RXM589814:RXM590117 SHI589814:SHI590117 SRE589814:SRE590117 TBA589814:TBA590117 TKW589814:TKW590117 TUS589814:TUS590117 UEO589814:UEO590117 UOK589814:UOK590117 UYG589814:UYG590117 VIC589814:VIC590117 VRY589814:VRY590117 WBU589814:WBU590117 WLQ589814:WLQ590117 WVM589814:WVM590117 E655350:E655653 JA655350:JA655653 SW655350:SW655653 ACS655350:ACS655653 AMO655350:AMO655653 AWK655350:AWK655653 BGG655350:BGG655653 BQC655350:BQC655653 BZY655350:BZY655653 CJU655350:CJU655653 CTQ655350:CTQ655653 DDM655350:DDM655653 DNI655350:DNI655653 DXE655350:DXE655653 EHA655350:EHA655653 EQW655350:EQW655653 FAS655350:FAS655653 FKO655350:FKO655653 FUK655350:FUK655653 GEG655350:GEG655653 GOC655350:GOC655653 GXY655350:GXY655653 HHU655350:HHU655653 HRQ655350:HRQ655653 IBM655350:IBM655653 ILI655350:ILI655653 IVE655350:IVE655653 JFA655350:JFA655653 JOW655350:JOW655653 JYS655350:JYS655653 KIO655350:KIO655653 KSK655350:KSK655653 LCG655350:LCG655653 LMC655350:LMC655653 LVY655350:LVY655653 MFU655350:MFU655653 MPQ655350:MPQ655653 MZM655350:MZM655653 NJI655350:NJI655653 NTE655350:NTE655653 ODA655350:ODA655653 OMW655350:OMW655653 OWS655350:OWS655653 PGO655350:PGO655653 PQK655350:PQK655653 QAG655350:QAG655653 QKC655350:QKC655653 QTY655350:QTY655653 RDU655350:RDU655653 RNQ655350:RNQ655653 RXM655350:RXM655653 SHI655350:SHI655653 SRE655350:SRE655653 TBA655350:TBA655653 TKW655350:TKW655653 TUS655350:TUS655653 UEO655350:UEO655653 UOK655350:UOK655653 UYG655350:UYG655653 VIC655350:VIC655653 VRY655350:VRY655653 WBU655350:WBU655653 WLQ655350:WLQ655653 WVM655350:WVM655653 E720886:E721189 JA720886:JA721189 SW720886:SW721189 ACS720886:ACS721189 AMO720886:AMO721189 AWK720886:AWK721189 BGG720886:BGG721189 BQC720886:BQC721189 BZY720886:BZY721189 CJU720886:CJU721189 CTQ720886:CTQ721189 DDM720886:DDM721189 DNI720886:DNI721189 DXE720886:DXE721189 EHA720886:EHA721189 EQW720886:EQW721189 FAS720886:FAS721189 FKO720886:FKO721189 FUK720886:FUK721189 GEG720886:GEG721189 GOC720886:GOC721189 GXY720886:GXY721189 HHU720886:HHU721189 HRQ720886:HRQ721189 IBM720886:IBM721189 ILI720886:ILI721189 IVE720886:IVE721189 JFA720886:JFA721189 JOW720886:JOW721189 JYS720886:JYS721189 KIO720886:KIO721189 KSK720886:KSK721189 LCG720886:LCG721189 LMC720886:LMC721189 LVY720886:LVY721189 MFU720886:MFU721189 MPQ720886:MPQ721189 MZM720886:MZM721189 NJI720886:NJI721189 NTE720886:NTE721189 ODA720886:ODA721189 OMW720886:OMW721189 OWS720886:OWS721189 PGO720886:PGO721189 PQK720886:PQK721189 QAG720886:QAG721189 QKC720886:QKC721189 QTY720886:QTY721189 RDU720886:RDU721189 RNQ720886:RNQ721189 RXM720886:RXM721189 SHI720886:SHI721189 SRE720886:SRE721189 TBA720886:TBA721189 TKW720886:TKW721189 TUS720886:TUS721189 UEO720886:UEO721189 UOK720886:UOK721189 UYG720886:UYG721189 VIC720886:VIC721189 VRY720886:VRY721189 WBU720886:WBU721189 WLQ720886:WLQ721189 WVM720886:WVM721189 E786422:E786725 JA786422:JA786725 SW786422:SW786725 ACS786422:ACS786725 AMO786422:AMO786725 AWK786422:AWK786725 BGG786422:BGG786725 BQC786422:BQC786725 BZY786422:BZY786725 CJU786422:CJU786725 CTQ786422:CTQ786725 DDM786422:DDM786725 DNI786422:DNI786725 DXE786422:DXE786725 EHA786422:EHA786725 EQW786422:EQW786725 FAS786422:FAS786725 FKO786422:FKO786725 FUK786422:FUK786725 GEG786422:GEG786725 GOC786422:GOC786725 GXY786422:GXY786725 HHU786422:HHU786725 HRQ786422:HRQ786725 IBM786422:IBM786725 ILI786422:ILI786725 IVE786422:IVE786725 JFA786422:JFA786725 JOW786422:JOW786725 JYS786422:JYS786725 KIO786422:KIO786725 KSK786422:KSK786725 LCG786422:LCG786725 LMC786422:LMC786725 LVY786422:LVY786725 MFU786422:MFU786725 MPQ786422:MPQ786725 MZM786422:MZM786725 NJI786422:NJI786725 NTE786422:NTE786725 ODA786422:ODA786725 OMW786422:OMW786725 OWS786422:OWS786725 PGO786422:PGO786725 PQK786422:PQK786725 QAG786422:QAG786725 QKC786422:QKC786725 QTY786422:QTY786725 RDU786422:RDU786725 RNQ786422:RNQ786725 RXM786422:RXM786725 SHI786422:SHI786725 SRE786422:SRE786725 TBA786422:TBA786725 TKW786422:TKW786725 TUS786422:TUS786725 UEO786422:UEO786725 UOK786422:UOK786725 UYG786422:UYG786725 VIC786422:VIC786725 VRY786422:VRY786725 WBU786422:WBU786725 WLQ786422:WLQ786725 WVM786422:WVM786725 E851958:E852261 JA851958:JA852261 SW851958:SW852261 ACS851958:ACS852261 AMO851958:AMO852261 AWK851958:AWK852261 BGG851958:BGG852261 BQC851958:BQC852261 BZY851958:BZY852261 CJU851958:CJU852261 CTQ851958:CTQ852261 DDM851958:DDM852261 DNI851958:DNI852261 DXE851958:DXE852261 EHA851958:EHA852261 EQW851958:EQW852261 FAS851958:FAS852261 FKO851958:FKO852261 FUK851958:FUK852261 GEG851958:GEG852261 GOC851958:GOC852261 GXY851958:GXY852261 HHU851958:HHU852261 HRQ851958:HRQ852261 IBM851958:IBM852261 ILI851958:ILI852261 IVE851958:IVE852261 JFA851958:JFA852261 JOW851958:JOW852261 JYS851958:JYS852261 KIO851958:KIO852261 KSK851958:KSK852261 LCG851958:LCG852261 LMC851958:LMC852261 LVY851958:LVY852261 MFU851958:MFU852261 MPQ851958:MPQ852261 MZM851958:MZM852261 NJI851958:NJI852261 NTE851958:NTE852261 ODA851958:ODA852261 OMW851958:OMW852261 OWS851958:OWS852261 PGO851958:PGO852261 PQK851958:PQK852261 QAG851958:QAG852261 QKC851958:QKC852261 QTY851958:QTY852261 RDU851958:RDU852261 RNQ851958:RNQ852261 RXM851958:RXM852261 SHI851958:SHI852261 SRE851958:SRE852261 TBA851958:TBA852261 TKW851958:TKW852261 TUS851958:TUS852261 UEO851958:UEO852261 UOK851958:UOK852261 UYG851958:UYG852261 VIC851958:VIC852261 VRY851958:VRY852261 WBU851958:WBU852261 WLQ851958:WLQ852261 WVM851958:WVM852261 E917494:E917797 JA917494:JA917797 SW917494:SW917797 ACS917494:ACS917797 AMO917494:AMO917797 AWK917494:AWK917797 BGG917494:BGG917797 BQC917494:BQC917797 BZY917494:BZY917797 CJU917494:CJU917797 CTQ917494:CTQ917797 DDM917494:DDM917797 DNI917494:DNI917797 DXE917494:DXE917797 EHA917494:EHA917797 EQW917494:EQW917797 FAS917494:FAS917797 FKO917494:FKO917797 FUK917494:FUK917797 GEG917494:GEG917797 GOC917494:GOC917797 GXY917494:GXY917797 HHU917494:HHU917797 HRQ917494:HRQ917797 IBM917494:IBM917797 ILI917494:ILI917797 IVE917494:IVE917797 JFA917494:JFA917797 JOW917494:JOW917797 JYS917494:JYS917797 KIO917494:KIO917797 KSK917494:KSK917797 LCG917494:LCG917797 LMC917494:LMC917797 LVY917494:LVY917797 MFU917494:MFU917797 MPQ917494:MPQ917797 MZM917494:MZM917797 NJI917494:NJI917797 NTE917494:NTE917797 ODA917494:ODA917797 OMW917494:OMW917797 OWS917494:OWS917797 PGO917494:PGO917797 PQK917494:PQK917797 QAG917494:QAG917797 QKC917494:QKC917797 QTY917494:QTY917797 RDU917494:RDU917797 RNQ917494:RNQ917797 RXM917494:RXM917797 SHI917494:SHI917797 SRE917494:SRE917797 TBA917494:TBA917797 TKW917494:TKW917797 TUS917494:TUS917797 UEO917494:UEO917797 UOK917494:UOK917797 UYG917494:UYG917797 VIC917494:VIC917797 VRY917494:VRY917797 WBU917494:WBU917797 WLQ917494:WLQ917797 WVM917494:WVM917797 E983030:E983333 JA983030:JA983333 SW983030:SW983333 ACS983030:ACS983333 AMO983030:AMO983333 AWK983030:AWK983333 BGG983030:BGG983333 BQC983030:BQC983333 BZY983030:BZY983333 CJU983030:CJU983333 CTQ983030:CTQ983333 DDM983030:DDM983333 DNI983030:DNI983333 DXE983030:DXE983333 EHA983030:EHA983333 EQW983030:EQW983333 FAS983030:FAS983333 FKO983030:FKO983333 FUK983030:FUK983333 GEG983030:GEG983333 GOC983030:GOC983333 GXY983030:GXY983333 HHU983030:HHU983333 HRQ983030:HRQ983333 IBM983030:IBM983333 ILI983030:ILI983333 IVE983030:IVE983333 JFA983030:JFA983333 JOW983030:JOW983333 JYS983030:JYS983333 KIO983030:KIO983333 KSK983030:KSK983333 LCG983030:LCG983333 LMC983030:LMC983333 LVY983030:LVY983333 MFU983030:MFU983333 MPQ983030:MPQ983333 MZM983030:MZM983333 NJI983030:NJI983333 NTE983030:NTE983333 ODA983030:ODA983333 OMW983030:OMW983333 OWS983030:OWS983333 PGO983030:PGO983333 PQK983030:PQK983333 QAG983030:QAG983333 QKC983030:QKC983333 QTY983030:QTY983333 RDU983030:RDU983333 RNQ983030:RNQ983333 RXM983030:RXM983333 SHI983030:SHI983333 SRE983030:SRE983333 TBA983030:TBA983333 TKW983030:TKW983333 TUS983030:TUS983333 UEO983030:UEO983333 UOK983030:UOK983333 UYG983030:UYG983333 VIC983030:VIC983333 VRY983030:VRY983333 WBU983030:WBU983333 WLQ983030:WLQ983333 E2:E145 E149:E488 JA2:JA293 WVM2:WVM293 WLQ2:WLQ293 WBU2:WBU293 VRY2:VRY293 VIC2:VIC293 UYG2:UYG293 UOK2:UOK293 UEO2:UEO293 TUS2:TUS293 TKW2:TKW293 TBA2:TBA293 SRE2:SRE293 SHI2:SHI293 RXM2:RXM293 RNQ2:RNQ293 RDU2:RDU293 QTY2:QTY293 QKC2:QKC293 QAG2:QAG293 PQK2:PQK293 PGO2:PGO293 OWS2:OWS293 OMW2:OMW293 ODA2:ODA293 NTE2:NTE293 NJI2:NJI293 MZM2:MZM293 MPQ2:MPQ293 MFU2:MFU293 LVY2:LVY293 LMC2:LMC293 LCG2:LCG293 KSK2:KSK293 KIO2:KIO293 JYS2:JYS293 JOW2:JOW293 JFA2:JFA293 IVE2:IVE293 ILI2:ILI293 IBM2:IBM293 HRQ2:HRQ293 HHU2:HHU293 GXY2:GXY293 GOC2:GOC293 GEG2:GEG293 FUK2:FUK293 FKO2:FKO293 FAS2:FAS293 EQW2:EQW293 EHA2:EHA293 DXE2:DXE293 DNI2:DNI293 DDM2:DDM293 CTQ2:CTQ293 CJU2:CJU293 BZY2:BZY293 BQC2:BQC293 BGG2:BGG293 AWK2:AWK293 AMO2:AMO293 ACS2:ACS293 SW2:SW293" xr:uid="{5A824373-1D63-4AD7-9996-A34EBE2C662B}">
      <formula1>$AG$2:$AG$11</formula1>
    </dataValidation>
    <dataValidation operator="equal" allowBlank="1" showInputMessage="1" showErrorMessage="1" sqref="WVJ983030:WVJ983108 B65526:B65604 IX65526:IX65604 ST65526:ST65604 ACP65526:ACP65604 AML65526:AML65604 AWH65526:AWH65604 BGD65526:BGD65604 BPZ65526:BPZ65604 BZV65526:BZV65604 CJR65526:CJR65604 CTN65526:CTN65604 DDJ65526:DDJ65604 DNF65526:DNF65604 DXB65526:DXB65604 EGX65526:EGX65604 EQT65526:EQT65604 FAP65526:FAP65604 FKL65526:FKL65604 FUH65526:FUH65604 GED65526:GED65604 GNZ65526:GNZ65604 GXV65526:GXV65604 HHR65526:HHR65604 HRN65526:HRN65604 IBJ65526:IBJ65604 ILF65526:ILF65604 IVB65526:IVB65604 JEX65526:JEX65604 JOT65526:JOT65604 JYP65526:JYP65604 KIL65526:KIL65604 KSH65526:KSH65604 LCD65526:LCD65604 LLZ65526:LLZ65604 LVV65526:LVV65604 MFR65526:MFR65604 MPN65526:MPN65604 MZJ65526:MZJ65604 NJF65526:NJF65604 NTB65526:NTB65604 OCX65526:OCX65604 OMT65526:OMT65604 OWP65526:OWP65604 PGL65526:PGL65604 PQH65526:PQH65604 QAD65526:QAD65604 QJZ65526:QJZ65604 QTV65526:QTV65604 RDR65526:RDR65604 RNN65526:RNN65604 RXJ65526:RXJ65604 SHF65526:SHF65604 SRB65526:SRB65604 TAX65526:TAX65604 TKT65526:TKT65604 TUP65526:TUP65604 UEL65526:UEL65604 UOH65526:UOH65604 UYD65526:UYD65604 VHZ65526:VHZ65604 VRV65526:VRV65604 WBR65526:WBR65604 WLN65526:WLN65604 WVJ65526:WVJ65604 B131062:B131140 IX131062:IX131140 ST131062:ST131140 ACP131062:ACP131140 AML131062:AML131140 AWH131062:AWH131140 BGD131062:BGD131140 BPZ131062:BPZ131140 BZV131062:BZV131140 CJR131062:CJR131140 CTN131062:CTN131140 DDJ131062:DDJ131140 DNF131062:DNF131140 DXB131062:DXB131140 EGX131062:EGX131140 EQT131062:EQT131140 FAP131062:FAP131140 FKL131062:FKL131140 FUH131062:FUH131140 GED131062:GED131140 GNZ131062:GNZ131140 GXV131062:GXV131140 HHR131062:HHR131140 HRN131062:HRN131140 IBJ131062:IBJ131140 ILF131062:ILF131140 IVB131062:IVB131140 JEX131062:JEX131140 JOT131062:JOT131140 JYP131062:JYP131140 KIL131062:KIL131140 KSH131062:KSH131140 LCD131062:LCD131140 LLZ131062:LLZ131140 LVV131062:LVV131140 MFR131062:MFR131140 MPN131062:MPN131140 MZJ131062:MZJ131140 NJF131062:NJF131140 NTB131062:NTB131140 OCX131062:OCX131140 OMT131062:OMT131140 OWP131062:OWP131140 PGL131062:PGL131140 PQH131062:PQH131140 QAD131062:QAD131140 QJZ131062:QJZ131140 QTV131062:QTV131140 RDR131062:RDR131140 RNN131062:RNN131140 RXJ131062:RXJ131140 SHF131062:SHF131140 SRB131062:SRB131140 TAX131062:TAX131140 TKT131062:TKT131140 TUP131062:TUP131140 UEL131062:UEL131140 UOH131062:UOH131140 UYD131062:UYD131140 VHZ131062:VHZ131140 VRV131062:VRV131140 WBR131062:WBR131140 WLN131062:WLN131140 WVJ131062:WVJ131140 B196598:B196676 IX196598:IX196676 ST196598:ST196676 ACP196598:ACP196676 AML196598:AML196676 AWH196598:AWH196676 BGD196598:BGD196676 BPZ196598:BPZ196676 BZV196598:BZV196676 CJR196598:CJR196676 CTN196598:CTN196676 DDJ196598:DDJ196676 DNF196598:DNF196676 DXB196598:DXB196676 EGX196598:EGX196676 EQT196598:EQT196676 FAP196598:FAP196676 FKL196598:FKL196676 FUH196598:FUH196676 GED196598:GED196676 GNZ196598:GNZ196676 GXV196598:GXV196676 HHR196598:HHR196676 HRN196598:HRN196676 IBJ196598:IBJ196676 ILF196598:ILF196676 IVB196598:IVB196676 JEX196598:JEX196676 JOT196598:JOT196676 JYP196598:JYP196676 KIL196598:KIL196676 KSH196598:KSH196676 LCD196598:LCD196676 LLZ196598:LLZ196676 LVV196598:LVV196676 MFR196598:MFR196676 MPN196598:MPN196676 MZJ196598:MZJ196676 NJF196598:NJF196676 NTB196598:NTB196676 OCX196598:OCX196676 OMT196598:OMT196676 OWP196598:OWP196676 PGL196598:PGL196676 PQH196598:PQH196676 QAD196598:QAD196676 QJZ196598:QJZ196676 QTV196598:QTV196676 RDR196598:RDR196676 RNN196598:RNN196676 RXJ196598:RXJ196676 SHF196598:SHF196676 SRB196598:SRB196676 TAX196598:TAX196676 TKT196598:TKT196676 TUP196598:TUP196676 UEL196598:UEL196676 UOH196598:UOH196676 UYD196598:UYD196676 VHZ196598:VHZ196676 VRV196598:VRV196676 WBR196598:WBR196676 WLN196598:WLN196676 WVJ196598:WVJ196676 B262134:B262212 IX262134:IX262212 ST262134:ST262212 ACP262134:ACP262212 AML262134:AML262212 AWH262134:AWH262212 BGD262134:BGD262212 BPZ262134:BPZ262212 BZV262134:BZV262212 CJR262134:CJR262212 CTN262134:CTN262212 DDJ262134:DDJ262212 DNF262134:DNF262212 DXB262134:DXB262212 EGX262134:EGX262212 EQT262134:EQT262212 FAP262134:FAP262212 FKL262134:FKL262212 FUH262134:FUH262212 GED262134:GED262212 GNZ262134:GNZ262212 GXV262134:GXV262212 HHR262134:HHR262212 HRN262134:HRN262212 IBJ262134:IBJ262212 ILF262134:ILF262212 IVB262134:IVB262212 JEX262134:JEX262212 JOT262134:JOT262212 JYP262134:JYP262212 KIL262134:KIL262212 KSH262134:KSH262212 LCD262134:LCD262212 LLZ262134:LLZ262212 LVV262134:LVV262212 MFR262134:MFR262212 MPN262134:MPN262212 MZJ262134:MZJ262212 NJF262134:NJF262212 NTB262134:NTB262212 OCX262134:OCX262212 OMT262134:OMT262212 OWP262134:OWP262212 PGL262134:PGL262212 PQH262134:PQH262212 QAD262134:QAD262212 QJZ262134:QJZ262212 QTV262134:QTV262212 RDR262134:RDR262212 RNN262134:RNN262212 RXJ262134:RXJ262212 SHF262134:SHF262212 SRB262134:SRB262212 TAX262134:TAX262212 TKT262134:TKT262212 TUP262134:TUP262212 UEL262134:UEL262212 UOH262134:UOH262212 UYD262134:UYD262212 VHZ262134:VHZ262212 VRV262134:VRV262212 WBR262134:WBR262212 WLN262134:WLN262212 WVJ262134:WVJ262212 B327670:B327748 IX327670:IX327748 ST327670:ST327748 ACP327670:ACP327748 AML327670:AML327748 AWH327670:AWH327748 BGD327670:BGD327748 BPZ327670:BPZ327748 BZV327670:BZV327748 CJR327670:CJR327748 CTN327670:CTN327748 DDJ327670:DDJ327748 DNF327670:DNF327748 DXB327670:DXB327748 EGX327670:EGX327748 EQT327670:EQT327748 FAP327670:FAP327748 FKL327670:FKL327748 FUH327670:FUH327748 GED327670:GED327748 GNZ327670:GNZ327748 GXV327670:GXV327748 HHR327670:HHR327748 HRN327670:HRN327748 IBJ327670:IBJ327748 ILF327670:ILF327748 IVB327670:IVB327748 JEX327670:JEX327748 JOT327670:JOT327748 JYP327670:JYP327748 KIL327670:KIL327748 KSH327670:KSH327748 LCD327670:LCD327748 LLZ327670:LLZ327748 LVV327670:LVV327748 MFR327670:MFR327748 MPN327670:MPN327748 MZJ327670:MZJ327748 NJF327670:NJF327748 NTB327670:NTB327748 OCX327670:OCX327748 OMT327670:OMT327748 OWP327670:OWP327748 PGL327670:PGL327748 PQH327670:PQH327748 QAD327670:QAD327748 QJZ327670:QJZ327748 QTV327670:QTV327748 RDR327670:RDR327748 RNN327670:RNN327748 RXJ327670:RXJ327748 SHF327670:SHF327748 SRB327670:SRB327748 TAX327670:TAX327748 TKT327670:TKT327748 TUP327670:TUP327748 UEL327670:UEL327748 UOH327670:UOH327748 UYD327670:UYD327748 VHZ327670:VHZ327748 VRV327670:VRV327748 WBR327670:WBR327748 WLN327670:WLN327748 WVJ327670:WVJ327748 B393206:B393284 IX393206:IX393284 ST393206:ST393284 ACP393206:ACP393284 AML393206:AML393284 AWH393206:AWH393284 BGD393206:BGD393284 BPZ393206:BPZ393284 BZV393206:BZV393284 CJR393206:CJR393284 CTN393206:CTN393284 DDJ393206:DDJ393284 DNF393206:DNF393284 DXB393206:DXB393284 EGX393206:EGX393284 EQT393206:EQT393284 FAP393206:FAP393284 FKL393206:FKL393284 FUH393206:FUH393284 GED393206:GED393284 GNZ393206:GNZ393284 GXV393206:GXV393284 HHR393206:HHR393284 HRN393206:HRN393284 IBJ393206:IBJ393284 ILF393206:ILF393284 IVB393206:IVB393284 JEX393206:JEX393284 JOT393206:JOT393284 JYP393206:JYP393284 KIL393206:KIL393284 KSH393206:KSH393284 LCD393206:LCD393284 LLZ393206:LLZ393284 LVV393206:LVV393284 MFR393206:MFR393284 MPN393206:MPN393284 MZJ393206:MZJ393284 NJF393206:NJF393284 NTB393206:NTB393284 OCX393206:OCX393284 OMT393206:OMT393284 OWP393206:OWP393284 PGL393206:PGL393284 PQH393206:PQH393284 QAD393206:QAD393284 QJZ393206:QJZ393284 QTV393206:QTV393284 RDR393206:RDR393284 RNN393206:RNN393284 RXJ393206:RXJ393284 SHF393206:SHF393284 SRB393206:SRB393284 TAX393206:TAX393284 TKT393206:TKT393284 TUP393206:TUP393284 UEL393206:UEL393284 UOH393206:UOH393284 UYD393206:UYD393284 VHZ393206:VHZ393284 VRV393206:VRV393284 WBR393206:WBR393284 WLN393206:WLN393284 WVJ393206:WVJ393284 B458742:B458820 IX458742:IX458820 ST458742:ST458820 ACP458742:ACP458820 AML458742:AML458820 AWH458742:AWH458820 BGD458742:BGD458820 BPZ458742:BPZ458820 BZV458742:BZV458820 CJR458742:CJR458820 CTN458742:CTN458820 DDJ458742:DDJ458820 DNF458742:DNF458820 DXB458742:DXB458820 EGX458742:EGX458820 EQT458742:EQT458820 FAP458742:FAP458820 FKL458742:FKL458820 FUH458742:FUH458820 GED458742:GED458820 GNZ458742:GNZ458820 GXV458742:GXV458820 HHR458742:HHR458820 HRN458742:HRN458820 IBJ458742:IBJ458820 ILF458742:ILF458820 IVB458742:IVB458820 JEX458742:JEX458820 JOT458742:JOT458820 JYP458742:JYP458820 KIL458742:KIL458820 KSH458742:KSH458820 LCD458742:LCD458820 LLZ458742:LLZ458820 LVV458742:LVV458820 MFR458742:MFR458820 MPN458742:MPN458820 MZJ458742:MZJ458820 NJF458742:NJF458820 NTB458742:NTB458820 OCX458742:OCX458820 OMT458742:OMT458820 OWP458742:OWP458820 PGL458742:PGL458820 PQH458742:PQH458820 QAD458742:QAD458820 QJZ458742:QJZ458820 QTV458742:QTV458820 RDR458742:RDR458820 RNN458742:RNN458820 RXJ458742:RXJ458820 SHF458742:SHF458820 SRB458742:SRB458820 TAX458742:TAX458820 TKT458742:TKT458820 TUP458742:TUP458820 UEL458742:UEL458820 UOH458742:UOH458820 UYD458742:UYD458820 VHZ458742:VHZ458820 VRV458742:VRV458820 WBR458742:WBR458820 WLN458742:WLN458820 WVJ458742:WVJ458820 B524278:B524356 IX524278:IX524356 ST524278:ST524356 ACP524278:ACP524356 AML524278:AML524356 AWH524278:AWH524356 BGD524278:BGD524356 BPZ524278:BPZ524356 BZV524278:BZV524356 CJR524278:CJR524356 CTN524278:CTN524356 DDJ524278:DDJ524356 DNF524278:DNF524356 DXB524278:DXB524356 EGX524278:EGX524356 EQT524278:EQT524356 FAP524278:FAP524356 FKL524278:FKL524356 FUH524278:FUH524356 GED524278:GED524356 GNZ524278:GNZ524356 GXV524278:GXV524356 HHR524278:HHR524356 HRN524278:HRN524356 IBJ524278:IBJ524356 ILF524278:ILF524356 IVB524278:IVB524356 JEX524278:JEX524356 JOT524278:JOT524356 JYP524278:JYP524356 KIL524278:KIL524356 KSH524278:KSH524356 LCD524278:LCD524356 LLZ524278:LLZ524356 LVV524278:LVV524356 MFR524278:MFR524356 MPN524278:MPN524356 MZJ524278:MZJ524356 NJF524278:NJF524356 NTB524278:NTB524356 OCX524278:OCX524356 OMT524278:OMT524356 OWP524278:OWP524356 PGL524278:PGL524356 PQH524278:PQH524356 QAD524278:QAD524356 QJZ524278:QJZ524356 QTV524278:QTV524356 RDR524278:RDR524356 RNN524278:RNN524356 RXJ524278:RXJ524356 SHF524278:SHF524356 SRB524278:SRB524356 TAX524278:TAX524356 TKT524278:TKT524356 TUP524278:TUP524356 UEL524278:UEL524356 UOH524278:UOH524356 UYD524278:UYD524356 VHZ524278:VHZ524356 VRV524278:VRV524356 WBR524278:WBR524356 WLN524278:WLN524356 WVJ524278:WVJ524356 B589814:B589892 IX589814:IX589892 ST589814:ST589892 ACP589814:ACP589892 AML589814:AML589892 AWH589814:AWH589892 BGD589814:BGD589892 BPZ589814:BPZ589892 BZV589814:BZV589892 CJR589814:CJR589892 CTN589814:CTN589892 DDJ589814:DDJ589892 DNF589814:DNF589892 DXB589814:DXB589892 EGX589814:EGX589892 EQT589814:EQT589892 FAP589814:FAP589892 FKL589814:FKL589892 FUH589814:FUH589892 GED589814:GED589892 GNZ589814:GNZ589892 GXV589814:GXV589892 HHR589814:HHR589892 HRN589814:HRN589892 IBJ589814:IBJ589892 ILF589814:ILF589892 IVB589814:IVB589892 JEX589814:JEX589892 JOT589814:JOT589892 JYP589814:JYP589892 KIL589814:KIL589892 KSH589814:KSH589892 LCD589814:LCD589892 LLZ589814:LLZ589892 LVV589814:LVV589892 MFR589814:MFR589892 MPN589814:MPN589892 MZJ589814:MZJ589892 NJF589814:NJF589892 NTB589814:NTB589892 OCX589814:OCX589892 OMT589814:OMT589892 OWP589814:OWP589892 PGL589814:PGL589892 PQH589814:PQH589892 QAD589814:QAD589892 QJZ589814:QJZ589892 QTV589814:QTV589892 RDR589814:RDR589892 RNN589814:RNN589892 RXJ589814:RXJ589892 SHF589814:SHF589892 SRB589814:SRB589892 TAX589814:TAX589892 TKT589814:TKT589892 TUP589814:TUP589892 UEL589814:UEL589892 UOH589814:UOH589892 UYD589814:UYD589892 VHZ589814:VHZ589892 VRV589814:VRV589892 WBR589814:WBR589892 WLN589814:WLN589892 WVJ589814:WVJ589892 B655350:B655428 IX655350:IX655428 ST655350:ST655428 ACP655350:ACP655428 AML655350:AML655428 AWH655350:AWH655428 BGD655350:BGD655428 BPZ655350:BPZ655428 BZV655350:BZV655428 CJR655350:CJR655428 CTN655350:CTN655428 DDJ655350:DDJ655428 DNF655350:DNF655428 DXB655350:DXB655428 EGX655350:EGX655428 EQT655350:EQT655428 FAP655350:FAP655428 FKL655350:FKL655428 FUH655350:FUH655428 GED655350:GED655428 GNZ655350:GNZ655428 GXV655350:GXV655428 HHR655350:HHR655428 HRN655350:HRN655428 IBJ655350:IBJ655428 ILF655350:ILF655428 IVB655350:IVB655428 JEX655350:JEX655428 JOT655350:JOT655428 JYP655350:JYP655428 KIL655350:KIL655428 KSH655350:KSH655428 LCD655350:LCD655428 LLZ655350:LLZ655428 LVV655350:LVV655428 MFR655350:MFR655428 MPN655350:MPN655428 MZJ655350:MZJ655428 NJF655350:NJF655428 NTB655350:NTB655428 OCX655350:OCX655428 OMT655350:OMT655428 OWP655350:OWP655428 PGL655350:PGL655428 PQH655350:PQH655428 QAD655350:QAD655428 QJZ655350:QJZ655428 QTV655350:QTV655428 RDR655350:RDR655428 RNN655350:RNN655428 RXJ655350:RXJ655428 SHF655350:SHF655428 SRB655350:SRB655428 TAX655350:TAX655428 TKT655350:TKT655428 TUP655350:TUP655428 UEL655350:UEL655428 UOH655350:UOH655428 UYD655350:UYD655428 VHZ655350:VHZ655428 VRV655350:VRV655428 WBR655350:WBR655428 WLN655350:WLN655428 WVJ655350:WVJ655428 B720886:B720964 IX720886:IX720964 ST720886:ST720964 ACP720886:ACP720964 AML720886:AML720964 AWH720886:AWH720964 BGD720886:BGD720964 BPZ720886:BPZ720964 BZV720886:BZV720964 CJR720886:CJR720964 CTN720886:CTN720964 DDJ720886:DDJ720964 DNF720886:DNF720964 DXB720886:DXB720964 EGX720886:EGX720964 EQT720886:EQT720964 FAP720886:FAP720964 FKL720886:FKL720964 FUH720886:FUH720964 GED720886:GED720964 GNZ720886:GNZ720964 GXV720886:GXV720964 HHR720886:HHR720964 HRN720886:HRN720964 IBJ720886:IBJ720964 ILF720886:ILF720964 IVB720886:IVB720964 JEX720886:JEX720964 JOT720886:JOT720964 JYP720886:JYP720964 KIL720886:KIL720964 KSH720886:KSH720964 LCD720886:LCD720964 LLZ720886:LLZ720964 LVV720886:LVV720964 MFR720886:MFR720964 MPN720886:MPN720964 MZJ720886:MZJ720964 NJF720886:NJF720964 NTB720886:NTB720964 OCX720886:OCX720964 OMT720886:OMT720964 OWP720886:OWP720964 PGL720886:PGL720964 PQH720886:PQH720964 QAD720886:QAD720964 QJZ720886:QJZ720964 QTV720886:QTV720964 RDR720886:RDR720964 RNN720886:RNN720964 RXJ720886:RXJ720964 SHF720886:SHF720964 SRB720886:SRB720964 TAX720886:TAX720964 TKT720886:TKT720964 TUP720886:TUP720964 UEL720886:UEL720964 UOH720886:UOH720964 UYD720886:UYD720964 VHZ720886:VHZ720964 VRV720886:VRV720964 WBR720886:WBR720964 WLN720886:WLN720964 WVJ720886:WVJ720964 B786422:B786500 IX786422:IX786500 ST786422:ST786500 ACP786422:ACP786500 AML786422:AML786500 AWH786422:AWH786500 BGD786422:BGD786500 BPZ786422:BPZ786500 BZV786422:BZV786500 CJR786422:CJR786500 CTN786422:CTN786500 DDJ786422:DDJ786500 DNF786422:DNF786500 DXB786422:DXB786500 EGX786422:EGX786500 EQT786422:EQT786500 FAP786422:FAP786500 FKL786422:FKL786500 FUH786422:FUH786500 GED786422:GED786500 GNZ786422:GNZ786500 GXV786422:GXV786500 HHR786422:HHR786500 HRN786422:HRN786500 IBJ786422:IBJ786500 ILF786422:ILF786500 IVB786422:IVB786500 JEX786422:JEX786500 JOT786422:JOT786500 JYP786422:JYP786500 KIL786422:KIL786500 KSH786422:KSH786500 LCD786422:LCD786500 LLZ786422:LLZ786500 LVV786422:LVV786500 MFR786422:MFR786500 MPN786422:MPN786500 MZJ786422:MZJ786500 NJF786422:NJF786500 NTB786422:NTB786500 OCX786422:OCX786500 OMT786422:OMT786500 OWP786422:OWP786500 PGL786422:PGL786500 PQH786422:PQH786500 QAD786422:QAD786500 QJZ786422:QJZ786500 QTV786422:QTV786500 RDR786422:RDR786500 RNN786422:RNN786500 RXJ786422:RXJ786500 SHF786422:SHF786500 SRB786422:SRB786500 TAX786422:TAX786500 TKT786422:TKT786500 TUP786422:TUP786500 UEL786422:UEL786500 UOH786422:UOH786500 UYD786422:UYD786500 VHZ786422:VHZ786500 VRV786422:VRV786500 WBR786422:WBR786500 WLN786422:WLN786500 WVJ786422:WVJ786500 B851958:B852036 IX851958:IX852036 ST851958:ST852036 ACP851958:ACP852036 AML851958:AML852036 AWH851958:AWH852036 BGD851958:BGD852036 BPZ851958:BPZ852036 BZV851958:BZV852036 CJR851958:CJR852036 CTN851958:CTN852036 DDJ851958:DDJ852036 DNF851958:DNF852036 DXB851958:DXB852036 EGX851958:EGX852036 EQT851958:EQT852036 FAP851958:FAP852036 FKL851958:FKL852036 FUH851958:FUH852036 GED851958:GED852036 GNZ851958:GNZ852036 GXV851958:GXV852036 HHR851958:HHR852036 HRN851958:HRN852036 IBJ851958:IBJ852036 ILF851958:ILF852036 IVB851958:IVB852036 JEX851958:JEX852036 JOT851958:JOT852036 JYP851958:JYP852036 KIL851958:KIL852036 KSH851958:KSH852036 LCD851958:LCD852036 LLZ851958:LLZ852036 LVV851958:LVV852036 MFR851958:MFR852036 MPN851958:MPN852036 MZJ851958:MZJ852036 NJF851958:NJF852036 NTB851958:NTB852036 OCX851958:OCX852036 OMT851958:OMT852036 OWP851958:OWP852036 PGL851958:PGL852036 PQH851958:PQH852036 QAD851958:QAD852036 QJZ851958:QJZ852036 QTV851958:QTV852036 RDR851958:RDR852036 RNN851958:RNN852036 RXJ851958:RXJ852036 SHF851958:SHF852036 SRB851958:SRB852036 TAX851958:TAX852036 TKT851958:TKT852036 TUP851958:TUP852036 UEL851958:UEL852036 UOH851958:UOH852036 UYD851958:UYD852036 VHZ851958:VHZ852036 VRV851958:VRV852036 WBR851958:WBR852036 WLN851958:WLN852036 WVJ851958:WVJ852036 B917494:B917572 IX917494:IX917572 ST917494:ST917572 ACP917494:ACP917572 AML917494:AML917572 AWH917494:AWH917572 BGD917494:BGD917572 BPZ917494:BPZ917572 BZV917494:BZV917572 CJR917494:CJR917572 CTN917494:CTN917572 DDJ917494:DDJ917572 DNF917494:DNF917572 DXB917494:DXB917572 EGX917494:EGX917572 EQT917494:EQT917572 FAP917494:FAP917572 FKL917494:FKL917572 FUH917494:FUH917572 GED917494:GED917572 GNZ917494:GNZ917572 GXV917494:GXV917572 HHR917494:HHR917572 HRN917494:HRN917572 IBJ917494:IBJ917572 ILF917494:ILF917572 IVB917494:IVB917572 JEX917494:JEX917572 JOT917494:JOT917572 JYP917494:JYP917572 KIL917494:KIL917572 KSH917494:KSH917572 LCD917494:LCD917572 LLZ917494:LLZ917572 LVV917494:LVV917572 MFR917494:MFR917572 MPN917494:MPN917572 MZJ917494:MZJ917572 NJF917494:NJF917572 NTB917494:NTB917572 OCX917494:OCX917572 OMT917494:OMT917572 OWP917494:OWP917572 PGL917494:PGL917572 PQH917494:PQH917572 QAD917494:QAD917572 QJZ917494:QJZ917572 QTV917494:QTV917572 RDR917494:RDR917572 RNN917494:RNN917572 RXJ917494:RXJ917572 SHF917494:SHF917572 SRB917494:SRB917572 TAX917494:TAX917572 TKT917494:TKT917572 TUP917494:TUP917572 UEL917494:UEL917572 UOH917494:UOH917572 UYD917494:UYD917572 VHZ917494:VHZ917572 VRV917494:VRV917572 WBR917494:WBR917572 WLN917494:WLN917572 WVJ917494:WVJ917572 B983030:B983108 IX983030:IX983108 ST983030:ST983108 ACP983030:ACP983108 AML983030:AML983108 AWH983030:AWH983108 BGD983030:BGD983108 BPZ983030:BPZ983108 BZV983030:BZV983108 CJR983030:CJR983108 CTN983030:CTN983108 DDJ983030:DDJ983108 DNF983030:DNF983108 DXB983030:DXB983108 EGX983030:EGX983108 EQT983030:EQT983108 FAP983030:FAP983108 FKL983030:FKL983108 FUH983030:FUH983108 GED983030:GED983108 GNZ983030:GNZ983108 GXV983030:GXV983108 HHR983030:HHR983108 HRN983030:HRN983108 IBJ983030:IBJ983108 ILF983030:ILF983108 IVB983030:IVB983108 JEX983030:JEX983108 JOT983030:JOT983108 JYP983030:JYP983108 KIL983030:KIL983108 KSH983030:KSH983108 LCD983030:LCD983108 LLZ983030:LLZ983108 LVV983030:LVV983108 MFR983030:MFR983108 MPN983030:MPN983108 MZJ983030:MZJ983108 NJF983030:NJF983108 NTB983030:NTB983108 OCX983030:OCX983108 OMT983030:OMT983108 OWP983030:OWP983108 PGL983030:PGL983108 PQH983030:PQH983108 QAD983030:QAD983108 QJZ983030:QJZ983108 QTV983030:QTV983108 RDR983030:RDR983108 RNN983030:RNN983108 RXJ983030:RXJ983108 SHF983030:SHF983108 SRB983030:SRB983108 TAX983030:TAX983108 TKT983030:TKT983108 TUP983030:TUP983108 UEL983030:UEL983108 UOH983030:UOH983108 UYD983030:UYD983108 VHZ983030:VHZ983108 VRV983030:VRV983108 WBR983030:WBR983108 WLN983030:WLN983108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4EB3A495-1C88-490C-8AF9-D0E3D2D95D3D}"/>
    <dataValidation type="list" allowBlank="1" showInputMessage="1" showErrorMessage="1" sqref="WVI983030:WVI983351 WLM983030:WLM983351 A65526:A65847 IW65526:IW65847 SS65526:SS65847 ACO65526:ACO65847 AMK65526:AMK65847 AWG65526:AWG65847 BGC65526:BGC65847 BPY65526:BPY65847 BZU65526:BZU65847 CJQ65526:CJQ65847 CTM65526:CTM65847 DDI65526:DDI65847 DNE65526:DNE65847 DXA65526:DXA65847 EGW65526:EGW65847 EQS65526:EQS65847 FAO65526:FAO65847 FKK65526:FKK65847 FUG65526:FUG65847 GEC65526:GEC65847 GNY65526:GNY65847 GXU65526:GXU65847 HHQ65526:HHQ65847 HRM65526:HRM65847 IBI65526:IBI65847 ILE65526:ILE65847 IVA65526:IVA65847 JEW65526:JEW65847 JOS65526:JOS65847 JYO65526:JYO65847 KIK65526:KIK65847 KSG65526:KSG65847 LCC65526:LCC65847 LLY65526:LLY65847 LVU65526:LVU65847 MFQ65526:MFQ65847 MPM65526:MPM65847 MZI65526:MZI65847 NJE65526:NJE65847 NTA65526:NTA65847 OCW65526:OCW65847 OMS65526:OMS65847 OWO65526:OWO65847 PGK65526:PGK65847 PQG65526:PQG65847 QAC65526:QAC65847 QJY65526:QJY65847 QTU65526:QTU65847 RDQ65526:RDQ65847 RNM65526:RNM65847 RXI65526:RXI65847 SHE65526:SHE65847 SRA65526:SRA65847 TAW65526:TAW65847 TKS65526:TKS65847 TUO65526:TUO65847 UEK65526:UEK65847 UOG65526:UOG65847 UYC65526:UYC65847 VHY65526:VHY65847 VRU65526:VRU65847 WBQ65526:WBQ65847 WLM65526:WLM65847 WVI65526:WVI65847 A131062:A131383 IW131062:IW131383 SS131062:SS131383 ACO131062:ACO131383 AMK131062:AMK131383 AWG131062:AWG131383 BGC131062:BGC131383 BPY131062:BPY131383 BZU131062:BZU131383 CJQ131062:CJQ131383 CTM131062:CTM131383 DDI131062:DDI131383 DNE131062:DNE131383 DXA131062:DXA131383 EGW131062:EGW131383 EQS131062:EQS131383 FAO131062:FAO131383 FKK131062:FKK131383 FUG131062:FUG131383 GEC131062:GEC131383 GNY131062:GNY131383 GXU131062:GXU131383 HHQ131062:HHQ131383 HRM131062:HRM131383 IBI131062:IBI131383 ILE131062:ILE131383 IVA131062:IVA131383 JEW131062:JEW131383 JOS131062:JOS131383 JYO131062:JYO131383 KIK131062:KIK131383 KSG131062:KSG131383 LCC131062:LCC131383 LLY131062:LLY131383 LVU131062:LVU131383 MFQ131062:MFQ131383 MPM131062:MPM131383 MZI131062:MZI131383 NJE131062:NJE131383 NTA131062:NTA131383 OCW131062:OCW131383 OMS131062:OMS131383 OWO131062:OWO131383 PGK131062:PGK131383 PQG131062:PQG131383 QAC131062:QAC131383 QJY131062:QJY131383 QTU131062:QTU131383 RDQ131062:RDQ131383 RNM131062:RNM131383 RXI131062:RXI131383 SHE131062:SHE131383 SRA131062:SRA131383 TAW131062:TAW131383 TKS131062:TKS131383 TUO131062:TUO131383 UEK131062:UEK131383 UOG131062:UOG131383 UYC131062:UYC131383 VHY131062:VHY131383 VRU131062:VRU131383 WBQ131062:WBQ131383 WLM131062:WLM131383 WVI131062:WVI131383 A196598:A196919 IW196598:IW196919 SS196598:SS196919 ACO196598:ACO196919 AMK196598:AMK196919 AWG196598:AWG196919 BGC196598:BGC196919 BPY196598:BPY196919 BZU196598:BZU196919 CJQ196598:CJQ196919 CTM196598:CTM196919 DDI196598:DDI196919 DNE196598:DNE196919 DXA196598:DXA196919 EGW196598:EGW196919 EQS196598:EQS196919 FAO196598:FAO196919 FKK196598:FKK196919 FUG196598:FUG196919 GEC196598:GEC196919 GNY196598:GNY196919 GXU196598:GXU196919 HHQ196598:HHQ196919 HRM196598:HRM196919 IBI196598:IBI196919 ILE196598:ILE196919 IVA196598:IVA196919 JEW196598:JEW196919 JOS196598:JOS196919 JYO196598:JYO196919 KIK196598:KIK196919 KSG196598:KSG196919 LCC196598:LCC196919 LLY196598:LLY196919 LVU196598:LVU196919 MFQ196598:MFQ196919 MPM196598:MPM196919 MZI196598:MZI196919 NJE196598:NJE196919 NTA196598:NTA196919 OCW196598:OCW196919 OMS196598:OMS196919 OWO196598:OWO196919 PGK196598:PGK196919 PQG196598:PQG196919 QAC196598:QAC196919 QJY196598:QJY196919 QTU196598:QTU196919 RDQ196598:RDQ196919 RNM196598:RNM196919 RXI196598:RXI196919 SHE196598:SHE196919 SRA196598:SRA196919 TAW196598:TAW196919 TKS196598:TKS196919 TUO196598:TUO196919 UEK196598:UEK196919 UOG196598:UOG196919 UYC196598:UYC196919 VHY196598:VHY196919 VRU196598:VRU196919 WBQ196598:WBQ196919 WLM196598:WLM196919 WVI196598:WVI196919 A262134:A262455 IW262134:IW262455 SS262134:SS262455 ACO262134:ACO262455 AMK262134:AMK262455 AWG262134:AWG262455 BGC262134:BGC262455 BPY262134:BPY262455 BZU262134:BZU262455 CJQ262134:CJQ262455 CTM262134:CTM262455 DDI262134:DDI262455 DNE262134:DNE262455 DXA262134:DXA262455 EGW262134:EGW262455 EQS262134:EQS262455 FAO262134:FAO262455 FKK262134:FKK262455 FUG262134:FUG262455 GEC262134:GEC262455 GNY262134:GNY262455 GXU262134:GXU262455 HHQ262134:HHQ262455 HRM262134:HRM262455 IBI262134:IBI262455 ILE262134:ILE262455 IVA262134:IVA262455 JEW262134:JEW262455 JOS262134:JOS262455 JYO262134:JYO262455 KIK262134:KIK262455 KSG262134:KSG262455 LCC262134:LCC262455 LLY262134:LLY262455 LVU262134:LVU262455 MFQ262134:MFQ262455 MPM262134:MPM262455 MZI262134:MZI262455 NJE262134:NJE262455 NTA262134:NTA262455 OCW262134:OCW262455 OMS262134:OMS262455 OWO262134:OWO262455 PGK262134:PGK262455 PQG262134:PQG262455 QAC262134:QAC262455 QJY262134:QJY262455 QTU262134:QTU262455 RDQ262134:RDQ262455 RNM262134:RNM262455 RXI262134:RXI262455 SHE262134:SHE262455 SRA262134:SRA262455 TAW262134:TAW262455 TKS262134:TKS262455 TUO262134:TUO262455 UEK262134:UEK262455 UOG262134:UOG262455 UYC262134:UYC262455 VHY262134:VHY262455 VRU262134:VRU262455 WBQ262134:WBQ262455 WLM262134:WLM262455 WVI262134:WVI262455 A327670:A327991 IW327670:IW327991 SS327670:SS327991 ACO327670:ACO327991 AMK327670:AMK327991 AWG327670:AWG327991 BGC327670:BGC327991 BPY327670:BPY327991 BZU327670:BZU327991 CJQ327670:CJQ327991 CTM327670:CTM327991 DDI327670:DDI327991 DNE327670:DNE327991 DXA327670:DXA327991 EGW327670:EGW327991 EQS327670:EQS327991 FAO327670:FAO327991 FKK327670:FKK327991 FUG327670:FUG327991 GEC327670:GEC327991 GNY327670:GNY327991 GXU327670:GXU327991 HHQ327670:HHQ327991 HRM327670:HRM327991 IBI327670:IBI327991 ILE327670:ILE327991 IVA327670:IVA327991 JEW327670:JEW327991 JOS327670:JOS327991 JYO327670:JYO327991 KIK327670:KIK327991 KSG327670:KSG327991 LCC327670:LCC327991 LLY327670:LLY327991 LVU327670:LVU327991 MFQ327670:MFQ327991 MPM327670:MPM327991 MZI327670:MZI327991 NJE327670:NJE327991 NTA327670:NTA327991 OCW327670:OCW327991 OMS327670:OMS327991 OWO327670:OWO327991 PGK327670:PGK327991 PQG327670:PQG327991 QAC327670:QAC327991 QJY327670:QJY327991 QTU327670:QTU327991 RDQ327670:RDQ327991 RNM327670:RNM327991 RXI327670:RXI327991 SHE327670:SHE327991 SRA327670:SRA327991 TAW327670:TAW327991 TKS327670:TKS327991 TUO327670:TUO327991 UEK327670:UEK327991 UOG327670:UOG327991 UYC327670:UYC327991 VHY327670:VHY327991 VRU327670:VRU327991 WBQ327670:WBQ327991 WLM327670:WLM327991 WVI327670:WVI327991 A393206:A393527 IW393206:IW393527 SS393206:SS393527 ACO393206:ACO393527 AMK393206:AMK393527 AWG393206:AWG393527 BGC393206:BGC393527 BPY393206:BPY393527 BZU393206:BZU393527 CJQ393206:CJQ393527 CTM393206:CTM393527 DDI393206:DDI393527 DNE393206:DNE393527 DXA393206:DXA393527 EGW393206:EGW393527 EQS393206:EQS393527 FAO393206:FAO393527 FKK393206:FKK393527 FUG393206:FUG393527 GEC393206:GEC393527 GNY393206:GNY393527 GXU393206:GXU393527 HHQ393206:HHQ393527 HRM393206:HRM393527 IBI393206:IBI393527 ILE393206:ILE393527 IVA393206:IVA393527 JEW393206:JEW393527 JOS393206:JOS393527 JYO393206:JYO393527 KIK393206:KIK393527 KSG393206:KSG393527 LCC393206:LCC393527 LLY393206:LLY393527 LVU393206:LVU393527 MFQ393206:MFQ393527 MPM393206:MPM393527 MZI393206:MZI393527 NJE393206:NJE393527 NTA393206:NTA393527 OCW393206:OCW393527 OMS393206:OMS393527 OWO393206:OWO393527 PGK393206:PGK393527 PQG393206:PQG393527 QAC393206:QAC393527 QJY393206:QJY393527 QTU393206:QTU393527 RDQ393206:RDQ393527 RNM393206:RNM393527 RXI393206:RXI393527 SHE393206:SHE393527 SRA393206:SRA393527 TAW393206:TAW393527 TKS393206:TKS393527 TUO393206:TUO393527 UEK393206:UEK393527 UOG393206:UOG393527 UYC393206:UYC393527 VHY393206:VHY393527 VRU393206:VRU393527 WBQ393206:WBQ393527 WLM393206:WLM393527 WVI393206:WVI393527 A458742:A459063 IW458742:IW459063 SS458742:SS459063 ACO458742:ACO459063 AMK458742:AMK459063 AWG458742:AWG459063 BGC458742:BGC459063 BPY458742:BPY459063 BZU458742:BZU459063 CJQ458742:CJQ459063 CTM458742:CTM459063 DDI458742:DDI459063 DNE458742:DNE459063 DXA458742:DXA459063 EGW458742:EGW459063 EQS458742:EQS459063 FAO458742:FAO459063 FKK458742:FKK459063 FUG458742:FUG459063 GEC458742:GEC459063 GNY458742:GNY459063 GXU458742:GXU459063 HHQ458742:HHQ459063 HRM458742:HRM459063 IBI458742:IBI459063 ILE458742:ILE459063 IVA458742:IVA459063 JEW458742:JEW459063 JOS458742:JOS459063 JYO458742:JYO459063 KIK458742:KIK459063 KSG458742:KSG459063 LCC458742:LCC459063 LLY458742:LLY459063 LVU458742:LVU459063 MFQ458742:MFQ459063 MPM458742:MPM459063 MZI458742:MZI459063 NJE458742:NJE459063 NTA458742:NTA459063 OCW458742:OCW459063 OMS458742:OMS459063 OWO458742:OWO459063 PGK458742:PGK459063 PQG458742:PQG459063 QAC458742:QAC459063 QJY458742:QJY459063 QTU458742:QTU459063 RDQ458742:RDQ459063 RNM458742:RNM459063 RXI458742:RXI459063 SHE458742:SHE459063 SRA458742:SRA459063 TAW458742:TAW459063 TKS458742:TKS459063 TUO458742:TUO459063 UEK458742:UEK459063 UOG458742:UOG459063 UYC458742:UYC459063 VHY458742:VHY459063 VRU458742:VRU459063 WBQ458742:WBQ459063 WLM458742:WLM459063 WVI458742:WVI459063 A524278:A524599 IW524278:IW524599 SS524278:SS524599 ACO524278:ACO524599 AMK524278:AMK524599 AWG524278:AWG524599 BGC524278:BGC524599 BPY524278:BPY524599 BZU524278:BZU524599 CJQ524278:CJQ524599 CTM524278:CTM524599 DDI524278:DDI524599 DNE524278:DNE524599 DXA524278:DXA524599 EGW524278:EGW524599 EQS524278:EQS524599 FAO524278:FAO524599 FKK524278:FKK524599 FUG524278:FUG524599 GEC524278:GEC524599 GNY524278:GNY524599 GXU524278:GXU524599 HHQ524278:HHQ524599 HRM524278:HRM524599 IBI524278:IBI524599 ILE524278:ILE524599 IVA524278:IVA524599 JEW524278:JEW524599 JOS524278:JOS524599 JYO524278:JYO524599 KIK524278:KIK524599 KSG524278:KSG524599 LCC524278:LCC524599 LLY524278:LLY524599 LVU524278:LVU524599 MFQ524278:MFQ524599 MPM524278:MPM524599 MZI524278:MZI524599 NJE524278:NJE524599 NTA524278:NTA524599 OCW524278:OCW524599 OMS524278:OMS524599 OWO524278:OWO524599 PGK524278:PGK524599 PQG524278:PQG524599 QAC524278:QAC524599 QJY524278:QJY524599 QTU524278:QTU524599 RDQ524278:RDQ524599 RNM524278:RNM524599 RXI524278:RXI524599 SHE524278:SHE524599 SRA524278:SRA524599 TAW524278:TAW524599 TKS524278:TKS524599 TUO524278:TUO524599 UEK524278:UEK524599 UOG524278:UOG524599 UYC524278:UYC524599 VHY524278:VHY524599 VRU524278:VRU524599 WBQ524278:WBQ524599 WLM524278:WLM524599 WVI524278:WVI524599 A589814:A590135 IW589814:IW590135 SS589814:SS590135 ACO589814:ACO590135 AMK589814:AMK590135 AWG589814:AWG590135 BGC589814:BGC590135 BPY589814:BPY590135 BZU589814:BZU590135 CJQ589814:CJQ590135 CTM589814:CTM590135 DDI589814:DDI590135 DNE589814:DNE590135 DXA589814:DXA590135 EGW589814:EGW590135 EQS589814:EQS590135 FAO589814:FAO590135 FKK589814:FKK590135 FUG589814:FUG590135 GEC589814:GEC590135 GNY589814:GNY590135 GXU589814:GXU590135 HHQ589814:HHQ590135 HRM589814:HRM590135 IBI589814:IBI590135 ILE589814:ILE590135 IVA589814:IVA590135 JEW589814:JEW590135 JOS589814:JOS590135 JYO589814:JYO590135 KIK589814:KIK590135 KSG589814:KSG590135 LCC589814:LCC590135 LLY589814:LLY590135 LVU589814:LVU590135 MFQ589814:MFQ590135 MPM589814:MPM590135 MZI589814:MZI590135 NJE589814:NJE590135 NTA589814:NTA590135 OCW589814:OCW590135 OMS589814:OMS590135 OWO589814:OWO590135 PGK589814:PGK590135 PQG589814:PQG590135 QAC589814:QAC590135 QJY589814:QJY590135 QTU589814:QTU590135 RDQ589814:RDQ590135 RNM589814:RNM590135 RXI589814:RXI590135 SHE589814:SHE590135 SRA589814:SRA590135 TAW589814:TAW590135 TKS589814:TKS590135 TUO589814:TUO590135 UEK589814:UEK590135 UOG589814:UOG590135 UYC589814:UYC590135 VHY589814:VHY590135 VRU589814:VRU590135 WBQ589814:WBQ590135 WLM589814:WLM590135 WVI589814:WVI590135 A655350:A655671 IW655350:IW655671 SS655350:SS655671 ACO655350:ACO655671 AMK655350:AMK655671 AWG655350:AWG655671 BGC655350:BGC655671 BPY655350:BPY655671 BZU655350:BZU655671 CJQ655350:CJQ655671 CTM655350:CTM655671 DDI655350:DDI655671 DNE655350:DNE655671 DXA655350:DXA655671 EGW655350:EGW655671 EQS655350:EQS655671 FAO655350:FAO655671 FKK655350:FKK655671 FUG655350:FUG655671 GEC655350:GEC655671 GNY655350:GNY655671 GXU655350:GXU655671 HHQ655350:HHQ655671 HRM655350:HRM655671 IBI655350:IBI655671 ILE655350:ILE655671 IVA655350:IVA655671 JEW655350:JEW655671 JOS655350:JOS655671 JYO655350:JYO655671 KIK655350:KIK655671 KSG655350:KSG655671 LCC655350:LCC655671 LLY655350:LLY655671 LVU655350:LVU655671 MFQ655350:MFQ655671 MPM655350:MPM655671 MZI655350:MZI655671 NJE655350:NJE655671 NTA655350:NTA655671 OCW655350:OCW655671 OMS655350:OMS655671 OWO655350:OWO655671 PGK655350:PGK655671 PQG655350:PQG655671 QAC655350:QAC655671 QJY655350:QJY655671 QTU655350:QTU655671 RDQ655350:RDQ655671 RNM655350:RNM655671 RXI655350:RXI655671 SHE655350:SHE655671 SRA655350:SRA655671 TAW655350:TAW655671 TKS655350:TKS655671 TUO655350:TUO655671 UEK655350:UEK655671 UOG655350:UOG655671 UYC655350:UYC655671 VHY655350:VHY655671 VRU655350:VRU655671 WBQ655350:WBQ655671 WLM655350:WLM655671 WVI655350:WVI655671 A720886:A721207 IW720886:IW721207 SS720886:SS721207 ACO720886:ACO721207 AMK720886:AMK721207 AWG720886:AWG721207 BGC720886:BGC721207 BPY720886:BPY721207 BZU720886:BZU721207 CJQ720886:CJQ721207 CTM720886:CTM721207 DDI720886:DDI721207 DNE720886:DNE721207 DXA720886:DXA721207 EGW720886:EGW721207 EQS720886:EQS721207 FAO720886:FAO721207 FKK720886:FKK721207 FUG720886:FUG721207 GEC720886:GEC721207 GNY720886:GNY721207 GXU720886:GXU721207 HHQ720886:HHQ721207 HRM720886:HRM721207 IBI720886:IBI721207 ILE720886:ILE721207 IVA720886:IVA721207 JEW720886:JEW721207 JOS720886:JOS721207 JYO720886:JYO721207 KIK720886:KIK721207 KSG720886:KSG721207 LCC720886:LCC721207 LLY720886:LLY721207 LVU720886:LVU721207 MFQ720886:MFQ721207 MPM720886:MPM721207 MZI720886:MZI721207 NJE720886:NJE721207 NTA720886:NTA721207 OCW720886:OCW721207 OMS720886:OMS721207 OWO720886:OWO721207 PGK720886:PGK721207 PQG720886:PQG721207 QAC720886:QAC721207 QJY720886:QJY721207 QTU720886:QTU721207 RDQ720886:RDQ721207 RNM720886:RNM721207 RXI720886:RXI721207 SHE720886:SHE721207 SRA720886:SRA721207 TAW720886:TAW721207 TKS720886:TKS721207 TUO720886:TUO721207 UEK720886:UEK721207 UOG720886:UOG721207 UYC720886:UYC721207 VHY720886:VHY721207 VRU720886:VRU721207 WBQ720886:WBQ721207 WLM720886:WLM721207 WVI720886:WVI721207 A786422:A786743 IW786422:IW786743 SS786422:SS786743 ACO786422:ACO786743 AMK786422:AMK786743 AWG786422:AWG786743 BGC786422:BGC786743 BPY786422:BPY786743 BZU786422:BZU786743 CJQ786422:CJQ786743 CTM786422:CTM786743 DDI786422:DDI786743 DNE786422:DNE786743 DXA786422:DXA786743 EGW786422:EGW786743 EQS786422:EQS786743 FAO786422:FAO786743 FKK786422:FKK786743 FUG786422:FUG786743 GEC786422:GEC786743 GNY786422:GNY786743 GXU786422:GXU786743 HHQ786422:HHQ786743 HRM786422:HRM786743 IBI786422:IBI786743 ILE786422:ILE786743 IVA786422:IVA786743 JEW786422:JEW786743 JOS786422:JOS786743 JYO786422:JYO786743 KIK786422:KIK786743 KSG786422:KSG786743 LCC786422:LCC786743 LLY786422:LLY786743 LVU786422:LVU786743 MFQ786422:MFQ786743 MPM786422:MPM786743 MZI786422:MZI786743 NJE786422:NJE786743 NTA786422:NTA786743 OCW786422:OCW786743 OMS786422:OMS786743 OWO786422:OWO786743 PGK786422:PGK786743 PQG786422:PQG786743 QAC786422:QAC786743 QJY786422:QJY786743 QTU786422:QTU786743 RDQ786422:RDQ786743 RNM786422:RNM786743 RXI786422:RXI786743 SHE786422:SHE786743 SRA786422:SRA786743 TAW786422:TAW786743 TKS786422:TKS786743 TUO786422:TUO786743 UEK786422:UEK786743 UOG786422:UOG786743 UYC786422:UYC786743 VHY786422:VHY786743 VRU786422:VRU786743 WBQ786422:WBQ786743 WLM786422:WLM786743 WVI786422:WVI786743 A851958:A852279 IW851958:IW852279 SS851958:SS852279 ACO851958:ACO852279 AMK851958:AMK852279 AWG851958:AWG852279 BGC851958:BGC852279 BPY851958:BPY852279 BZU851958:BZU852279 CJQ851958:CJQ852279 CTM851958:CTM852279 DDI851958:DDI852279 DNE851958:DNE852279 DXA851958:DXA852279 EGW851958:EGW852279 EQS851958:EQS852279 FAO851958:FAO852279 FKK851958:FKK852279 FUG851958:FUG852279 GEC851958:GEC852279 GNY851958:GNY852279 GXU851958:GXU852279 HHQ851958:HHQ852279 HRM851958:HRM852279 IBI851958:IBI852279 ILE851958:ILE852279 IVA851958:IVA852279 JEW851958:JEW852279 JOS851958:JOS852279 JYO851958:JYO852279 KIK851958:KIK852279 KSG851958:KSG852279 LCC851958:LCC852279 LLY851958:LLY852279 LVU851958:LVU852279 MFQ851958:MFQ852279 MPM851958:MPM852279 MZI851958:MZI852279 NJE851958:NJE852279 NTA851958:NTA852279 OCW851958:OCW852279 OMS851958:OMS852279 OWO851958:OWO852279 PGK851958:PGK852279 PQG851958:PQG852279 QAC851958:QAC852279 QJY851958:QJY852279 QTU851958:QTU852279 RDQ851958:RDQ852279 RNM851958:RNM852279 RXI851958:RXI852279 SHE851958:SHE852279 SRA851958:SRA852279 TAW851958:TAW852279 TKS851958:TKS852279 TUO851958:TUO852279 UEK851958:UEK852279 UOG851958:UOG852279 UYC851958:UYC852279 VHY851958:VHY852279 VRU851958:VRU852279 WBQ851958:WBQ852279 WLM851958:WLM852279 WVI851958:WVI852279 A917494:A917815 IW917494:IW917815 SS917494:SS917815 ACO917494:ACO917815 AMK917494:AMK917815 AWG917494:AWG917815 BGC917494:BGC917815 BPY917494:BPY917815 BZU917494:BZU917815 CJQ917494:CJQ917815 CTM917494:CTM917815 DDI917494:DDI917815 DNE917494:DNE917815 DXA917494:DXA917815 EGW917494:EGW917815 EQS917494:EQS917815 FAO917494:FAO917815 FKK917494:FKK917815 FUG917494:FUG917815 GEC917494:GEC917815 GNY917494:GNY917815 GXU917494:GXU917815 HHQ917494:HHQ917815 HRM917494:HRM917815 IBI917494:IBI917815 ILE917494:ILE917815 IVA917494:IVA917815 JEW917494:JEW917815 JOS917494:JOS917815 JYO917494:JYO917815 KIK917494:KIK917815 KSG917494:KSG917815 LCC917494:LCC917815 LLY917494:LLY917815 LVU917494:LVU917815 MFQ917494:MFQ917815 MPM917494:MPM917815 MZI917494:MZI917815 NJE917494:NJE917815 NTA917494:NTA917815 OCW917494:OCW917815 OMS917494:OMS917815 OWO917494:OWO917815 PGK917494:PGK917815 PQG917494:PQG917815 QAC917494:QAC917815 QJY917494:QJY917815 QTU917494:QTU917815 RDQ917494:RDQ917815 RNM917494:RNM917815 RXI917494:RXI917815 SHE917494:SHE917815 SRA917494:SRA917815 TAW917494:TAW917815 TKS917494:TKS917815 TUO917494:TUO917815 UEK917494:UEK917815 UOG917494:UOG917815 UYC917494:UYC917815 VHY917494:VHY917815 VRU917494:VRU917815 WBQ917494:WBQ917815 WLM917494:WLM917815 WVI917494:WVI917815 A983030:A983351 IW983030:IW983351 SS983030:SS983351 ACO983030:ACO983351 AMK983030:AMK983351 AWG983030:AWG983351 BGC983030:BGC983351 BPY983030:BPY983351 BZU983030:BZU983351 CJQ983030:CJQ983351 CTM983030:CTM983351 DDI983030:DDI983351 DNE983030:DNE983351 DXA983030:DXA983351 EGW983030:EGW983351 EQS983030:EQS983351 FAO983030:FAO983351 FKK983030:FKK983351 FUG983030:FUG983351 GEC983030:GEC983351 GNY983030:GNY983351 GXU983030:GXU983351 HHQ983030:HHQ983351 HRM983030:HRM983351 IBI983030:IBI983351 ILE983030:ILE983351 IVA983030:IVA983351 JEW983030:JEW983351 JOS983030:JOS983351 JYO983030:JYO983351 KIK983030:KIK983351 KSG983030:KSG983351 LCC983030:LCC983351 LLY983030:LLY983351 LVU983030:LVU983351 MFQ983030:MFQ983351 MPM983030:MPM983351 MZI983030:MZI983351 NJE983030:NJE983351 NTA983030:NTA983351 OCW983030:OCW983351 OMS983030:OMS983351 OWO983030:OWO983351 PGK983030:PGK983351 PQG983030:PQG983351 QAC983030:QAC983351 QJY983030:QJY983351 QTU983030:QTU983351 RDQ983030:RDQ983351 RNM983030:RNM983351 RXI983030:RXI983351 SHE983030:SHE983351 SRA983030:SRA983351 TAW983030:TAW983351 TKS983030:TKS983351 TUO983030:TUO983351 UEK983030:UEK983351 UOG983030:UOG983351 UYC983030:UYC983351 VHY983030:VHY983351 VRU983030:VRU983351 WBQ983030:WBQ983351 WVI2:WVI311 WLM2:WLM311 WBQ2:WBQ311 VRU2:VRU311 VHY2:VHY311 UYC2:UYC311 UOG2:UOG311 UEK2:UEK311 TUO2:TUO311 TKS2:TKS311 TAW2:TAW311 SRA2:SRA311 SHE2:SHE311 RXI2:RXI311 RNM2:RNM311 RDQ2:RDQ311 QTU2:QTU311 QJY2:QJY311 QAC2:QAC311 PQG2:PQG311 PGK2:PGK311 OWO2:OWO311 OMS2:OMS311 OCW2:OCW311 NTA2:NTA311 NJE2:NJE311 MZI2:MZI311 MPM2:MPM311 MFQ2:MFQ311 LVU2:LVU311 LLY2:LLY311 LCC2:LCC311 KSG2:KSG311 KIK2:KIK311 JYO2:JYO311 JOS2:JOS311 JEW2:JEW311 IVA2:IVA311 ILE2:ILE311 IBI2:IBI311 HRM2:HRM311 HHQ2:HHQ311 GXU2:GXU311 GNY2:GNY311 GEC2:GEC311 FUG2:FUG311 FKK2:FKK311 FAO2:FAO311 EQS2:EQS311 EGW2:EGW311 DXA2:DXA311 DNE2:DNE311 DDI2:DDI311 CTM2:CTM311 CJQ2:CJQ311 BZU2:BZU311 BPY2:BPY311 BGC2:BGC311 AWG2:AWG311 AMK2:AMK311 ACO2:ACO311 SS2:SS311 IW2:IW311" xr:uid="{D0D66D93-CA93-4E0F-956D-C90B0965EA68}">
      <formula1>$AE$2:$AE$22</formula1>
    </dataValidation>
    <dataValidation type="list" allowBlank="1" showInputMessage="1" showErrorMessage="1" sqref="K2:K991" xr:uid="{416984D5-D4D8-4550-9D20-1B6C3DC95A67}">
      <formula1>$AR$2:$AR$28</formula1>
    </dataValidation>
    <dataValidation type="list" allowBlank="1" showInputMessage="1" showErrorMessage="1" sqref="J2:J991" xr:uid="{1205DC64-1611-4001-822F-36941F2F6975}">
      <formula1>$AP$2:$AP$29</formula1>
    </dataValidation>
    <dataValidation type="list" allowBlank="1" showInputMessage="1" showErrorMessage="1" sqref="H2:H1175" xr:uid="{9CC7B1E0-46E6-4A59-BD29-1A51957F1D8D}">
      <formula1>$AL$2:$AL$9</formula1>
    </dataValidation>
    <dataValidation type="decimal" allowBlank="1" showInputMessage="1" showErrorMessage="1" error="硬度を正しく入力して下さい。" sqref="O2:P488" xr:uid="{DC759259-2856-4A26-8DF1-BD5ADB65848D}">
      <formula1>0</formula1>
      <formula2>7</formula2>
    </dataValidation>
    <dataValidation type="list" allowBlank="1" showInputMessage="1" showErrorMessage="1" sqref="Y2:AA488" xr:uid="{F54A178B-73E1-4155-B27D-54B9F0CE84F5}">
      <formula1>$AV$2:$AV$21</formula1>
    </dataValidation>
    <dataValidation type="list" allowBlank="1" showInputMessage="1" showErrorMessage="1" sqref="A3:A488" xr:uid="{B00A2CCF-1B48-4CEF-8C14-4BE73D88674A}">
      <formula1>$AE$2:$AE$19</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1136-5186-45E9-A38D-3FCE2F1F3063}">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
    <col min="4" max="4" width="11" style="1" customWidth="1"/>
    <col min="5" max="5" width="10.875" style="1" customWidth="1"/>
    <col min="6" max="16" width="9" style="1"/>
    <col min="17" max="17" width="9" style="2"/>
    <col min="18" max="18" width="9" style="1"/>
    <col min="19" max="19" width="11.625" style="1" customWidth="1"/>
    <col min="20" max="20" width="9" style="2"/>
    <col min="21" max="21" width="9" style="1"/>
    <col min="22" max="22" width="9" style="2"/>
    <col min="23" max="32" width="9" style="1"/>
    <col min="33" max="33" width="14.375" style="1" customWidth="1"/>
    <col min="34" max="34" width="11.375" style="1" customWidth="1"/>
    <col min="35" max="16384" width="9" style="1"/>
  </cols>
  <sheetData>
    <row r="1" spans="1:53" ht="45" x14ac:dyDescent="0.15">
      <c r="A1" s="3" t="s">
        <v>0</v>
      </c>
      <c r="B1" s="70" t="s">
        <v>1</v>
      </c>
      <c r="C1" s="70" t="s">
        <v>2</v>
      </c>
      <c r="D1" s="71" t="s">
        <v>3</v>
      </c>
      <c r="E1" s="4" t="s">
        <v>4</v>
      </c>
      <c r="F1" s="4" t="s">
        <v>5</v>
      </c>
      <c r="G1" s="4" t="s">
        <v>6</v>
      </c>
      <c r="H1" s="4" t="s">
        <v>7</v>
      </c>
      <c r="I1" s="4" t="s">
        <v>8</v>
      </c>
      <c r="J1" s="4" t="s">
        <v>9</v>
      </c>
      <c r="K1" s="4" t="s">
        <v>10</v>
      </c>
      <c r="L1" s="71" t="s">
        <v>11</v>
      </c>
      <c r="M1" s="71" t="s">
        <v>12</v>
      </c>
      <c r="N1" s="71" t="s">
        <v>13</v>
      </c>
      <c r="O1" s="71" t="s">
        <v>14</v>
      </c>
      <c r="P1" s="71" t="s">
        <v>15</v>
      </c>
      <c r="Q1" s="135" t="s">
        <v>16</v>
      </c>
      <c r="R1" s="71" t="s">
        <v>17</v>
      </c>
      <c r="S1" s="71" t="s">
        <v>18</v>
      </c>
      <c r="T1" s="135" t="s">
        <v>19</v>
      </c>
      <c r="U1" s="71" t="s">
        <v>20</v>
      </c>
      <c r="V1" s="136" t="s">
        <v>21</v>
      </c>
      <c r="W1" s="71" t="s">
        <v>22</v>
      </c>
      <c r="X1" s="4" t="s">
        <v>23</v>
      </c>
      <c r="Y1" s="4" t="s">
        <v>24</v>
      </c>
      <c r="Z1" s="4" t="s">
        <v>25</v>
      </c>
      <c r="AA1" s="4" t="s">
        <v>26</v>
      </c>
      <c r="AB1" s="8" t="s">
        <v>27</v>
      </c>
      <c r="AE1" s="74" t="s">
        <v>0</v>
      </c>
      <c r="AF1" s="137"/>
      <c r="AG1" s="74" t="s">
        <v>4</v>
      </c>
      <c r="AH1" s="74" t="s">
        <v>5</v>
      </c>
      <c r="AI1" s="137"/>
      <c r="AJ1" s="74" t="s">
        <v>6</v>
      </c>
      <c r="AK1" s="137"/>
      <c r="AL1" s="11" t="s">
        <v>7</v>
      </c>
      <c r="AM1" s="137"/>
      <c r="AN1" s="11" t="s">
        <v>8</v>
      </c>
      <c r="AO1" s="137"/>
      <c r="AP1" s="11" t="s">
        <v>28</v>
      </c>
      <c r="AQ1" s="137"/>
      <c r="AR1" s="11" t="s">
        <v>10</v>
      </c>
      <c r="AS1" s="137"/>
      <c r="AT1" s="18" t="s">
        <v>29</v>
      </c>
      <c r="AU1" s="137"/>
      <c r="AV1" s="11" t="s">
        <v>30</v>
      </c>
      <c r="AX1" s="138" t="s">
        <v>213</v>
      </c>
      <c r="AY1" s="139" t="s">
        <v>32</v>
      </c>
      <c r="AZ1" s="139" t="s">
        <v>214</v>
      </c>
      <c r="BA1" s="140" t="s">
        <v>34</v>
      </c>
    </row>
    <row r="2" spans="1:53" x14ac:dyDescent="0.15">
      <c r="A2" s="1" t="s">
        <v>44</v>
      </c>
      <c r="B2" s="1" t="s">
        <v>143</v>
      </c>
      <c r="C2" s="1">
        <v>2020</v>
      </c>
      <c r="D2" s="76" t="s">
        <v>411</v>
      </c>
      <c r="E2" s="1" t="s">
        <v>87</v>
      </c>
      <c r="F2" s="1" t="s">
        <v>144</v>
      </c>
      <c r="G2" s="1" t="s">
        <v>37</v>
      </c>
      <c r="H2" s="1" t="s">
        <v>77</v>
      </c>
      <c r="I2" s="1" t="s">
        <v>64</v>
      </c>
      <c r="J2" s="1" t="s">
        <v>40</v>
      </c>
      <c r="K2" s="1" t="s">
        <v>41</v>
      </c>
      <c r="L2" s="1">
        <v>1</v>
      </c>
      <c r="N2" s="1">
        <v>1</v>
      </c>
      <c r="O2" s="1">
        <v>0.65</v>
      </c>
      <c r="P2" s="1">
        <v>0.7</v>
      </c>
      <c r="Q2" s="7">
        <f t="shared" ref="Q2:Q65" si="0">IF(OR(O2="",P2=""),"",AVERAGE(O2,P2))</f>
        <v>0.67500000000000004</v>
      </c>
      <c r="R2" s="1">
        <v>15.6</v>
      </c>
      <c r="S2" s="1">
        <v>130</v>
      </c>
      <c r="T2" s="2">
        <f t="shared" ref="T2:T65" si="1">IF(H2="","",IF(OR(H2="GREEN",H2="GK"),IF(S2&gt;=$AX$2,VLOOKUP(S2,$AX$2:$AY$10,2,1),""),IF(S2&gt;=$AZ$2,VLOOKUP(S2,$AZ$2:$BA$10,2,1),"")))</f>
        <v>25</v>
      </c>
      <c r="U2" s="1">
        <v>98</v>
      </c>
      <c r="V2" s="2">
        <f t="shared" ref="V2:V65" si="2">IF(OR(N2="",U2="",T2=""),"",U2/N2*T2)</f>
        <v>2450</v>
      </c>
      <c r="W2" s="1">
        <v>4</v>
      </c>
      <c r="X2" s="1" t="s">
        <v>51</v>
      </c>
      <c r="Y2" s="1" t="s">
        <v>67</v>
      </c>
      <c r="Z2" s="1" t="s">
        <v>101</v>
      </c>
      <c r="AA2" s="1" t="s">
        <v>52</v>
      </c>
      <c r="AB2" s="1" t="s">
        <v>145</v>
      </c>
      <c r="AE2" s="77" t="s">
        <v>35</v>
      </c>
      <c r="AG2" s="141" t="s">
        <v>87</v>
      </c>
      <c r="AH2" s="142" t="s">
        <v>144</v>
      </c>
      <c r="AJ2" s="19" t="s">
        <v>37</v>
      </c>
      <c r="AL2" s="79" t="s">
        <v>38</v>
      </c>
      <c r="AN2" s="19" t="s">
        <v>39</v>
      </c>
      <c r="AP2" s="19" t="s">
        <v>40</v>
      </c>
      <c r="AR2" s="19" t="s">
        <v>41</v>
      </c>
      <c r="AT2" s="19" t="s">
        <v>42</v>
      </c>
      <c r="AV2" s="19" t="s">
        <v>43</v>
      </c>
      <c r="AX2" s="40">
        <v>1</v>
      </c>
      <c r="AY2" s="41">
        <v>50</v>
      </c>
      <c r="AZ2" s="41">
        <v>1</v>
      </c>
      <c r="BA2" s="42">
        <v>50</v>
      </c>
    </row>
    <row r="3" spans="1:53" x14ac:dyDescent="0.15">
      <c r="A3" s="1" t="s">
        <v>44</v>
      </c>
      <c r="B3" s="1" t="s">
        <v>143</v>
      </c>
      <c r="C3" s="1">
        <v>2020</v>
      </c>
      <c r="D3" s="76" t="s">
        <v>411</v>
      </c>
      <c r="E3" s="1" t="s">
        <v>87</v>
      </c>
      <c r="F3" s="1" t="s">
        <v>144</v>
      </c>
      <c r="G3" s="1" t="s">
        <v>37</v>
      </c>
      <c r="H3" s="1" t="s">
        <v>77</v>
      </c>
      <c r="I3" s="1" t="s">
        <v>64</v>
      </c>
      <c r="J3" s="1" t="s">
        <v>40</v>
      </c>
      <c r="K3" s="1" t="s">
        <v>41</v>
      </c>
      <c r="L3" s="1">
        <v>2</v>
      </c>
      <c r="N3" s="1">
        <v>1</v>
      </c>
      <c r="O3" s="1">
        <v>0.8</v>
      </c>
      <c r="P3" s="1">
        <v>0.85</v>
      </c>
      <c r="Q3" s="7">
        <f t="shared" si="0"/>
        <v>0.82499999999999996</v>
      </c>
      <c r="R3" s="1">
        <v>16.399999999999999</v>
      </c>
      <c r="S3" s="1">
        <v>128</v>
      </c>
      <c r="T3" s="2">
        <f t="shared" si="1"/>
        <v>27</v>
      </c>
      <c r="U3" s="1">
        <v>98</v>
      </c>
      <c r="V3" s="2">
        <f t="shared" si="2"/>
        <v>2646</v>
      </c>
      <c r="W3" s="1">
        <v>4</v>
      </c>
      <c r="X3" s="1" t="s">
        <v>51</v>
      </c>
      <c r="Y3" s="1" t="s">
        <v>67</v>
      </c>
      <c r="Z3" s="1" t="s">
        <v>101</v>
      </c>
      <c r="AA3" s="1" t="s">
        <v>52</v>
      </c>
      <c r="AB3" s="1" t="s">
        <v>145</v>
      </c>
      <c r="AE3" s="9" t="s">
        <v>44</v>
      </c>
      <c r="AG3" s="143" t="s">
        <v>146</v>
      </c>
      <c r="AH3" s="143" t="s">
        <v>144</v>
      </c>
      <c r="AJ3" s="12" t="s">
        <v>46</v>
      </c>
      <c r="AL3" s="12" t="s">
        <v>47</v>
      </c>
      <c r="AN3" s="12" t="s">
        <v>48</v>
      </c>
      <c r="AP3" s="12" t="s">
        <v>49</v>
      </c>
      <c r="AR3" s="12" t="s">
        <v>50</v>
      </c>
      <c r="AT3" s="12" t="s">
        <v>51</v>
      </c>
      <c r="AV3" s="12" t="s">
        <v>52</v>
      </c>
      <c r="AX3" s="23">
        <v>72</v>
      </c>
      <c r="AY3" s="24">
        <v>46</v>
      </c>
      <c r="AZ3" s="24">
        <v>71</v>
      </c>
      <c r="BA3" s="25">
        <v>42</v>
      </c>
    </row>
    <row r="4" spans="1:53" x14ac:dyDescent="0.15">
      <c r="A4" s="1" t="s">
        <v>44</v>
      </c>
      <c r="B4" s="1" t="s">
        <v>143</v>
      </c>
      <c r="C4" s="1">
        <v>2020</v>
      </c>
      <c r="D4" s="76" t="s">
        <v>411</v>
      </c>
      <c r="E4" s="1" t="s">
        <v>87</v>
      </c>
      <c r="F4" s="1" t="s">
        <v>144</v>
      </c>
      <c r="G4" s="1" t="s">
        <v>37</v>
      </c>
      <c r="H4" s="1" t="s">
        <v>77</v>
      </c>
      <c r="I4" s="1" t="s">
        <v>64</v>
      </c>
      <c r="J4" s="1" t="s">
        <v>40</v>
      </c>
      <c r="K4" s="1" t="s">
        <v>41</v>
      </c>
      <c r="L4" s="1">
        <v>3</v>
      </c>
      <c r="N4" s="1">
        <v>1</v>
      </c>
      <c r="O4" s="1">
        <v>0.65</v>
      </c>
      <c r="P4" s="1">
        <v>0.7</v>
      </c>
      <c r="Q4" s="7">
        <f t="shared" si="0"/>
        <v>0.67500000000000004</v>
      </c>
      <c r="R4" s="1">
        <v>14</v>
      </c>
      <c r="S4" s="1">
        <v>125</v>
      </c>
      <c r="T4" s="2">
        <f t="shared" si="1"/>
        <v>27</v>
      </c>
      <c r="U4" s="1">
        <v>98</v>
      </c>
      <c r="V4" s="2">
        <f t="shared" si="2"/>
        <v>2646</v>
      </c>
      <c r="W4" s="1">
        <v>4</v>
      </c>
      <c r="X4" s="1" t="s">
        <v>51</v>
      </c>
      <c r="Y4" s="1" t="s">
        <v>67</v>
      </c>
      <c r="Z4" s="1" t="s">
        <v>101</v>
      </c>
      <c r="AA4" s="1" t="s">
        <v>52</v>
      </c>
      <c r="AB4" s="1" t="s">
        <v>145</v>
      </c>
      <c r="AE4" s="9" t="s">
        <v>53</v>
      </c>
      <c r="AG4" s="143" t="s">
        <v>146</v>
      </c>
      <c r="AH4" s="143" t="s">
        <v>147</v>
      </c>
      <c r="AJ4" s="13" t="s">
        <v>55</v>
      </c>
      <c r="AL4" s="12" t="s">
        <v>56</v>
      </c>
      <c r="AN4" s="14" t="s">
        <v>57</v>
      </c>
      <c r="AP4" s="12" t="s">
        <v>58</v>
      </c>
      <c r="AR4" s="12" t="s">
        <v>59</v>
      </c>
      <c r="AT4" s="14"/>
      <c r="AV4" s="12" t="s">
        <v>60</v>
      </c>
      <c r="AX4" s="23">
        <v>75</v>
      </c>
      <c r="AY4" s="24">
        <v>42</v>
      </c>
      <c r="AZ4" s="24">
        <v>76</v>
      </c>
      <c r="BA4" s="25">
        <v>39</v>
      </c>
    </row>
    <row r="5" spans="1:53" ht="13.5" customHeight="1" x14ac:dyDescent="0.15">
      <c r="A5" s="1" t="s">
        <v>44</v>
      </c>
      <c r="B5" s="1" t="s">
        <v>143</v>
      </c>
      <c r="C5" s="1">
        <v>2020</v>
      </c>
      <c r="D5" s="76" t="s">
        <v>411</v>
      </c>
      <c r="E5" s="1" t="s">
        <v>87</v>
      </c>
      <c r="F5" s="1" t="s">
        <v>144</v>
      </c>
      <c r="G5" s="1" t="s">
        <v>37</v>
      </c>
      <c r="H5" s="1" t="s">
        <v>63</v>
      </c>
      <c r="I5" s="1" t="s">
        <v>64</v>
      </c>
      <c r="J5" s="1" t="s">
        <v>40</v>
      </c>
      <c r="K5" s="1" t="s">
        <v>41</v>
      </c>
      <c r="L5" s="1">
        <v>1</v>
      </c>
      <c r="N5" s="1">
        <v>8</v>
      </c>
      <c r="O5" s="1">
        <v>0.7</v>
      </c>
      <c r="P5" s="1">
        <v>0.65</v>
      </c>
      <c r="Q5" s="7">
        <f t="shared" si="0"/>
        <v>0.67500000000000004</v>
      </c>
      <c r="R5" s="1">
        <v>13.5</v>
      </c>
      <c r="S5" s="1">
        <v>108</v>
      </c>
      <c r="T5" s="2">
        <f t="shared" si="1"/>
        <v>33</v>
      </c>
      <c r="U5" s="1">
        <v>598</v>
      </c>
      <c r="V5" s="2">
        <f t="shared" si="2"/>
        <v>2466.75</v>
      </c>
      <c r="W5" s="1">
        <v>2</v>
      </c>
      <c r="X5" s="1" t="s">
        <v>51</v>
      </c>
      <c r="Y5" s="1" t="s">
        <v>67</v>
      </c>
      <c r="Z5" s="1" t="s">
        <v>101</v>
      </c>
      <c r="AA5" s="1" t="s">
        <v>52</v>
      </c>
      <c r="AB5" s="1" t="s">
        <v>145</v>
      </c>
      <c r="AE5" s="9" t="s">
        <v>61</v>
      </c>
      <c r="AG5" s="143" t="s">
        <v>148</v>
      </c>
      <c r="AH5" s="143" t="s">
        <v>144</v>
      </c>
      <c r="AJ5" s="14"/>
      <c r="AL5" s="12" t="s">
        <v>63</v>
      </c>
      <c r="AN5" s="43" t="s">
        <v>64</v>
      </c>
      <c r="AP5" s="12" t="s">
        <v>65</v>
      </c>
      <c r="AR5" s="12" t="s">
        <v>66</v>
      </c>
      <c r="AV5" s="12" t="s">
        <v>67</v>
      </c>
      <c r="AX5" s="23">
        <v>84</v>
      </c>
      <c r="AY5" s="24">
        <v>39</v>
      </c>
      <c r="AZ5" s="24">
        <v>84</v>
      </c>
      <c r="BA5" s="25">
        <v>36</v>
      </c>
    </row>
    <row r="6" spans="1:53" x14ac:dyDescent="0.15">
      <c r="A6" s="1" t="s">
        <v>44</v>
      </c>
      <c r="B6" s="1" t="s">
        <v>143</v>
      </c>
      <c r="C6" s="1">
        <v>2020</v>
      </c>
      <c r="D6" s="76" t="s">
        <v>411</v>
      </c>
      <c r="E6" s="1" t="s">
        <v>87</v>
      </c>
      <c r="F6" s="1" t="s">
        <v>144</v>
      </c>
      <c r="G6" s="1" t="s">
        <v>37</v>
      </c>
      <c r="H6" s="1" t="s">
        <v>63</v>
      </c>
      <c r="I6" s="1" t="s">
        <v>64</v>
      </c>
      <c r="J6" s="1" t="s">
        <v>40</v>
      </c>
      <c r="K6" s="1" t="s">
        <v>41</v>
      </c>
      <c r="L6" s="1">
        <v>2</v>
      </c>
      <c r="N6" s="1">
        <v>8</v>
      </c>
      <c r="O6" s="1">
        <v>0.9</v>
      </c>
      <c r="P6" s="1">
        <v>0.95</v>
      </c>
      <c r="Q6" s="7">
        <f t="shared" si="0"/>
        <v>0.92500000000000004</v>
      </c>
      <c r="R6" s="1">
        <v>14.8</v>
      </c>
      <c r="S6" s="1">
        <v>110</v>
      </c>
      <c r="T6" s="2">
        <f t="shared" si="1"/>
        <v>33</v>
      </c>
      <c r="U6" s="1">
        <v>598</v>
      </c>
      <c r="V6" s="2">
        <f t="shared" si="2"/>
        <v>2466.75</v>
      </c>
      <c r="W6" s="1">
        <v>2</v>
      </c>
      <c r="X6" s="1" t="s">
        <v>51</v>
      </c>
      <c r="Y6" s="1" t="s">
        <v>67</v>
      </c>
      <c r="Z6" s="1" t="s">
        <v>101</v>
      </c>
      <c r="AA6" s="1" t="s">
        <v>52</v>
      </c>
      <c r="AB6" s="1" t="s">
        <v>145</v>
      </c>
      <c r="AE6" s="9" t="s">
        <v>68</v>
      </c>
      <c r="AG6" s="143" t="s">
        <v>148</v>
      </c>
      <c r="AH6" s="143" t="s">
        <v>149</v>
      </c>
      <c r="AL6" s="12" t="s">
        <v>70</v>
      </c>
      <c r="AN6" s="43" t="s">
        <v>71</v>
      </c>
      <c r="AP6" s="12" t="s">
        <v>72</v>
      </c>
      <c r="AR6" s="12" t="s">
        <v>73</v>
      </c>
      <c r="AV6" s="12" t="s">
        <v>74</v>
      </c>
      <c r="AX6" s="23">
        <v>97</v>
      </c>
      <c r="AY6" s="24">
        <v>36</v>
      </c>
      <c r="AZ6" s="24">
        <v>99</v>
      </c>
      <c r="BA6" s="25">
        <v>33</v>
      </c>
    </row>
    <row r="7" spans="1:53" x14ac:dyDescent="0.15">
      <c r="A7" s="1" t="s">
        <v>44</v>
      </c>
      <c r="B7" s="1" t="s">
        <v>143</v>
      </c>
      <c r="C7" s="1">
        <v>2020</v>
      </c>
      <c r="D7" s="76" t="s">
        <v>411</v>
      </c>
      <c r="E7" s="1" t="s">
        <v>87</v>
      </c>
      <c r="F7" s="1" t="s">
        <v>144</v>
      </c>
      <c r="G7" s="1" t="s">
        <v>37</v>
      </c>
      <c r="H7" s="1" t="s">
        <v>63</v>
      </c>
      <c r="I7" s="1" t="s">
        <v>64</v>
      </c>
      <c r="J7" s="1" t="s">
        <v>40</v>
      </c>
      <c r="K7" s="1" t="s">
        <v>41</v>
      </c>
      <c r="L7" s="1">
        <v>3</v>
      </c>
      <c r="N7" s="1">
        <v>8</v>
      </c>
      <c r="O7" s="1">
        <v>1</v>
      </c>
      <c r="P7" s="1">
        <v>1.1000000000000001</v>
      </c>
      <c r="Q7" s="7">
        <f t="shared" si="0"/>
        <v>1.05</v>
      </c>
      <c r="R7" s="1">
        <v>13.7</v>
      </c>
      <c r="S7" s="1">
        <v>104</v>
      </c>
      <c r="T7" s="2">
        <f t="shared" si="1"/>
        <v>33</v>
      </c>
      <c r="U7" s="1">
        <v>598</v>
      </c>
      <c r="V7" s="2">
        <f t="shared" si="2"/>
        <v>2466.75</v>
      </c>
      <c r="W7" s="1">
        <v>2</v>
      </c>
      <c r="X7" s="1" t="s">
        <v>51</v>
      </c>
      <c r="Y7" s="1" t="s">
        <v>67</v>
      </c>
      <c r="Z7" s="1" t="s">
        <v>101</v>
      </c>
      <c r="AA7" s="1" t="s">
        <v>52</v>
      </c>
      <c r="AB7" s="1" t="s">
        <v>145</v>
      </c>
      <c r="AE7" s="9" t="s">
        <v>75</v>
      </c>
      <c r="AG7" s="143" t="s">
        <v>150</v>
      </c>
      <c r="AH7" s="143" t="s">
        <v>149</v>
      </c>
      <c r="AL7" s="12" t="s">
        <v>77</v>
      </c>
      <c r="AP7" s="12" t="s">
        <v>78</v>
      </c>
      <c r="AR7" s="12" t="s">
        <v>79</v>
      </c>
      <c r="AV7" s="12" t="s">
        <v>80</v>
      </c>
      <c r="AX7" s="23">
        <v>109</v>
      </c>
      <c r="AY7" s="24">
        <v>33</v>
      </c>
      <c r="AZ7" s="24">
        <v>113</v>
      </c>
      <c r="BA7" s="25">
        <v>30</v>
      </c>
    </row>
    <row r="8" spans="1:53" x14ac:dyDescent="0.15">
      <c r="A8" s="1" t="s">
        <v>44</v>
      </c>
      <c r="B8" s="1" t="s">
        <v>143</v>
      </c>
      <c r="C8" s="1">
        <v>2020</v>
      </c>
      <c r="D8" s="76" t="s">
        <v>411</v>
      </c>
      <c r="E8" s="1" t="s">
        <v>87</v>
      </c>
      <c r="F8" s="1" t="s">
        <v>144</v>
      </c>
      <c r="G8" s="1" t="s">
        <v>37</v>
      </c>
      <c r="H8" s="1" t="s">
        <v>77</v>
      </c>
      <c r="I8" s="1" t="s">
        <v>64</v>
      </c>
      <c r="J8" s="1" t="s">
        <v>40</v>
      </c>
      <c r="K8" s="1" t="s">
        <v>41</v>
      </c>
      <c r="L8" s="1">
        <v>1</v>
      </c>
      <c r="N8" s="1">
        <v>8</v>
      </c>
      <c r="O8" s="1">
        <v>0.35</v>
      </c>
      <c r="P8" s="1">
        <v>0.4</v>
      </c>
      <c r="Q8" s="7">
        <f t="shared" si="0"/>
        <v>0.375</v>
      </c>
      <c r="R8" s="1">
        <v>16.7</v>
      </c>
      <c r="S8" s="1">
        <v>120</v>
      </c>
      <c r="T8" s="68">
        <f t="shared" si="1"/>
        <v>30</v>
      </c>
      <c r="U8" s="1">
        <v>798</v>
      </c>
      <c r="V8" s="68">
        <f t="shared" si="2"/>
        <v>2992.5</v>
      </c>
      <c r="W8" s="1">
        <v>5</v>
      </c>
      <c r="X8" s="1" t="s">
        <v>51</v>
      </c>
      <c r="Y8" s="1" t="s">
        <v>67</v>
      </c>
      <c r="Z8" s="1" t="s">
        <v>101</v>
      </c>
      <c r="AA8" s="1" t="s">
        <v>52</v>
      </c>
      <c r="AB8" s="1" t="s">
        <v>145</v>
      </c>
      <c r="AE8" s="9" t="s">
        <v>73</v>
      </c>
      <c r="AG8" s="143" t="s">
        <v>151</v>
      </c>
      <c r="AH8" s="143" t="s">
        <v>152</v>
      </c>
      <c r="AL8" s="12" t="s">
        <v>82</v>
      </c>
      <c r="AP8" s="12" t="s">
        <v>83</v>
      </c>
      <c r="AR8" s="12" t="s">
        <v>84</v>
      </c>
      <c r="AV8" s="12" t="s">
        <v>85</v>
      </c>
      <c r="AX8" s="23">
        <v>119</v>
      </c>
      <c r="AY8" s="24">
        <v>30</v>
      </c>
      <c r="AZ8" s="24">
        <v>121</v>
      </c>
      <c r="BA8" s="25">
        <v>27</v>
      </c>
    </row>
    <row r="9" spans="1:53" x14ac:dyDescent="0.15">
      <c r="A9" s="1" t="s">
        <v>44</v>
      </c>
      <c r="B9" s="1" t="s">
        <v>143</v>
      </c>
      <c r="C9" s="1">
        <v>2020</v>
      </c>
      <c r="D9" s="76" t="s">
        <v>411</v>
      </c>
      <c r="E9" s="1" t="s">
        <v>87</v>
      </c>
      <c r="F9" s="1" t="s">
        <v>144</v>
      </c>
      <c r="G9" s="1" t="s">
        <v>37</v>
      </c>
      <c r="H9" s="1" t="s">
        <v>77</v>
      </c>
      <c r="I9" s="1" t="s">
        <v>64</v>
      </c>
      <c r="J9" s="1" t="s">
        <v>40</v>
      </c>
      <c r="K9" s="1" t="s">
        <v>41</v>
      </c>
      <c r="L9" s="1">
        <v>2</v>
      </c>
      <c r="N9" s="1">
        <v>8</v>
      </c>
      <c r="O9" s="1">
        <v>0.4</v>
      </c>
      <c r="P9" s="1">
        <v>0.55000000000000004</v>
      </c>
      <c r="Q9" s="7">
        <f t="shared" si="0"/>
        <v>0.47500000000000003</v>
      </c>
      <c r="R9" s="1">
        <v>14.8</v>
      </c>
      <c r="S9" s="1">
        <v>118</v>
      </c>
      <c r="T9" s="68">
        <f t="shared" si="1"/>
        <v>30</v>
      </c>
      <c r="U9" s="1">
        <v>798</v>
      </c>
      <c r="V9" s="2">
        <f t="shared" si="2"/>
        <v>2992.5</v>
      </c>
      <c r="W9" s="1">
        <v>5</v>
      </c>
      <c r="X9" s="1" t="s">
        <v>51</v>
      </c>
      <c r="Y9" s="1" t="s">
        <v>67</v>
      </c>
      <c r="Z9" s="1" t="s">
        <v>101</v>
      </c>
      <c r="AA9" s="1" t="s">
        <v>52</v>
      </c>
      <c r="AB9" s="1" t="s">
        <v>145</v>
      </c>
      <c r="AE9" s="9" t="s">
        <v>86</v>
      </c>
      <c r="AG9" s="143" t="s">
        <v>153</v>
      </c>
      <c r="AH9" s="143" t="s">
        <v>154</v>
      </c>
      <c r="AL9" s="12" t="s">
        <v>88</v>
      </c>
      <c r="AP9" s="12" t="s">
        <v>89</v>
      </c>
      <c r="AR9" s="12" t="s">
        <v>90</v>
      </c>
      <c r="AV9" s="12" t="s">
        <v>91</v>
      </c>
      <c r="AX9" s="23">
        <v>128</v>
      </c>
      <c r="AY9" s="24">
        <v>27</v>
      </c>
      <c r="AZ9" s="24">
        <v>129</v>
      </c>
      <c r="BA9" s="25">
        <v>25</v>
      </c>
    </row>
    <row r="10" spans="1:53" x14ac:dyDescent="0.15">
      <c r="A10" s="1" t="s">
        <v>44</v>
      </c>
      <c r="B10" s="1" t="s">
        <v>143</v>
      </c>
      <c r="C10" s="1">
        <v>2020</v>
      </c>
      <c r="D10" s="76" t="s">
        <v>411</v>
      </c>
      <c r="E10" s="1" t="s">
        <v>87</v>
      </c>
      <c r="F10" s="1" t="s">
        <v>144</v>
      </c>
      <c r="G10" s="1" t="s">
        <v>37</v>
      </c>
      <c r="H10" s="1" t="s">
        <v>77</v>
      </c>
      <c r="I10" s="1" t="s">
        <v>64</v>
      </c>
      <c r="J10" s="1" t="s">
        <v>40</v>
      </c>
      <c r="K10" s="1" t="s">
        <v>41</v>
      </c>
      <c r="L10" s="1">
        <v>3</v>
      </c>
      <c r="N10" s="1">
        <v>8</v>
      </c>
      <c r="O10" s="1">
        <v>0.65</v>
      </c>
      <c r="P10" s="1">
        <v>0.45</v>
      </c>
      <c r="Q10" s="7">
        <f t="shared" si="0"/>
        <v>0.55000000000000004</v>
      </c>
      <c r="R10" s="1">
        <v>15.8</v>
      </c>
      <c r="S10" s="1">
        <v>120</v>
      </c>
      <c r="T10" s="68">
        <f t="shared" si="1"/>
        <v>30</v>
      </c>
      <c r="U10" s="1">
        <v>798</v>
      </c>
      <c r="V10" s="2">
        <f t="shared" si="2"/>
        <v>2992.5</v>
      </c>
      <c r="W10" s="1">
        <v>5</v>
      </c>
      <c r="X10" s="1" t="s">
        <v>51</v>
      </c>
      <c r="Y10" s="1" t="s">
        <v>67</v>
      </c>
      <c r="Z10" s="1" t="s">
        <v>101</v>
      </c>
      <c r="AA10" s="1" t="s">
        <v>52</v>
      </c>
      <c r="AB10" s="1" t="s">
        <v>145</v>
      </c>
      <c r="AE10" s="9" t="s">
        <v>92</v>
      </c>
      <c r="AG10" s="143" t="s">
        <v>151</v>
      </c>
      <c r="AH10" s="143" t="s">
        <v>155</v>
      </c>
      <c r="AP10" s="12" t="s">
        <v>94</v>
      </c>
      <c r="AR10" s="12" t="s">
        <v>95</v>
      </c>
      <c r="AV10" s="12" t="s">
        <v>96</v>
      </c>
      <c r="AX10" s="23">
        <v>138</v>
      </c>
      <c r="AY10" s="24">
        <v>25</v>
      </c>
      <c r="AZ10" s="24">
        <v>138</v>
      </c>
      <c r="BA10" s="25">
        <v>22</v>
      </c>
    </row>
    <row r="11" spans="1:53" x14ac:dyDescent="0.15">
      <c r="A11" s="1" t="s">
        <v>44</v>
      </c>
      <c r="B11" s="1" t="s">
        <v>143</v>
      </c>
      <c r="C11" s="1">
        <v>2020</v>
      </c>
      <c r="D11" s="76" t="s">
        <v>411</v>
      </c>
      <c r="E11" s="1" t="s">
        <v>87</v>
      </c>
      <c r="F11" s="1" t="s">
        <v>144</v>
      </c>
      <c r="G11" s="1" t="s">
        <v>37</v>
      </c>
      <c r="H11" s="1" t="s">
        <v>82</v>
      </c>
      <c r="I11" s="1" t="s">
        <v>64</v>
      </c>
      <c r="J11" s="1" t="s">
        <v>40</v>
      </c>
      <c r="K11" s="1" t="s">
        <v>41</v>
      </c>
      <c r="L11" s="1">
        <v>1</v>
      </c>
      <c r="N11" s="1">
        <v>1</v>
      </c>
      <c r="O11" s="1">
        <v>0.8</v>
      </c>
      <c r="P11" s="1">
        <v>0.75</v>
      </c>
      <c r="Q11" s="7">
        <f t="shared" si="0"/>
        <v>0.77500000000000002</v>
      </c>
      <c r="R11" s="1">
        <v>16.7</v>
      </c>
      <c r="S11" s="1">
        <v>130</v>
      </c>
      <c r="T11" s="68">
        <f t="shared" si="1"/>
        <v>25</v>
      </c>
      <c r="U11" s="1">
        <v>138</v>
      </c>
      <c r="V11" s="68">
        <f t="shared" si="2"/>
        <v>3450</v>
      </c>
      <c r="W11" s="1">
        <v>6</v>
      </c>
      <c r="X11" s="1" t="s">
        <v>51</v>
      </c>
      <c r="Y11" s="1" t="s">
        <v>67</v>
      </c>
      <c r="Z11" s="1" t="s">
        <v>101</v>
      </c>
      <c r="AA11" s="1" t="s">
        <v>52</v>
      </c>
      <c r="AB11" s="1" t="s">
        <v>145</v>
      </c>
      <c r="AE11" s="9" t="s">
        <v>97</v>
      </c>
      <c r="AG11" s="143" t="s">
        <v>81</v>
      </c>
      <c r="AH11" s="143" t="s">
        <v>156</v>
      </c>
      <c r="AP11" s="12" t="s">
        <v>99</v>
      </c>
      <c r="AR11" s="12" t="s">
        <v>100</v>
      </c>
      <c r="AV11" s="12" t="s">
        <v>101</v>
      </c>
      <c r="AX11" s="23">
        <v>151</v>
      </c>
      <c r="AY11" s="24">
        <v>22</v>
      </c>
      <c r="AZ11" s="24">
        <v>152</v>
      </c>
      <c r="BA11" s="25">
        <v>18</v>
      </c>
    </row>
    <row r="12" spans="1:53" x14ac:dyDescent="0.15">
      <c r="A12" s="1" t="s">
        <v>44</v>
      </c>
      <c r="B12" s="1" t="s">
        <v>143</v>
      </c>
      <c r="C12" s="1">
        <v>2020</v>
      </c>
      <c r="D12" s="76" t="s">
        <v>411</v>
      </c>
      <c r="E12" s="1" t="s">
        <v>87</v>
      </c>
      <c r="F12" s="1" t="s">
        <v>144</v>
      </c>
      <c r="G12" s="1" t="s">
        <v>37</v>
      </c>
      <c r="H12" s="1" t="s">
        <v>82</v>
      </c>
      <c r="I12" s="1" t="s">
        <v>64</v>
      </c>
      <c r="J12" s="1" t="s">
        <v>40</v>
      </c>
      <c r="K12" s="1" t="s">
        <v>41</v>
      </c>
      <c r="L12" s="1">
        <v>2</v>
      </c>
      <c r="N12" s="1">
        <v>1</v>
      </c>
      <c r="O12" s="1">
        <v>0.65</v>
      </c>
      <c r="P12" s="1">
        <v>0.6</v>
      </c>
      <c r="Q12" s="7">
        <f t="shared" si="0"/>
        <v>0.625</v>
      </c>
      <c r="R12" s="1">
        <v>17.8</v>
      </c>
      <c r="S12" s="1">
        <v>137</v>
      </c>
      <c r="T12" s="68">
        <f t="shared" si="1"/>
        <v>25</v>
      </c>
      <c r="U12" s="1">
        <v>138</v>
      </c>
      <c r="V12" s="2">
        <f t="shared" si="2"/>
        <v>3450</v>
      </c>
      <c r="W12" s="1">
        <v>6</v>
      </c>
      <c r="X12" s="1" t="s">
        <v>51</v>
      </c>
      <c r="Y12" s="1" t="s">
        <v>67</v>
      </c>
      <c r="Z12" s="1" t="s">
        <v>101</v>
      </c>
      <c r="AA12" s="1" t="s">
        <v>52</v>
      </c>
      <c r="AB12" s="1" t="s">
        <v>145</v>
      </c>
      <c r="AE12" s="9" t="s">
        <v>102</v>
      </c>
      <c r="AG12" s="9"/>
      <c r="AH12" s="9"/>
      <c r="AP12" s="12" t="s">
        <v>103</v>
      </c>
      <c r="AR12" s="12" t="s">
        <v>104</v>
      </c>
      <c r="AV12" s="12" t="s">
        <v>105</v>
      </c>
      <c r="AX12" s="26">
        <v>180</v>
      </c>
      <c r="AY12" s="27">
        <v>18</v>
      </c>
      <c r="AZ12" s="27">
        <v>181</v>
      </c>
      <c r="BA12" s="28">
        <v>16</v>
      </c>
    </row>
    <row r="13" spans="1:53" x14ac:dyDescent="0.15">
      <c r="A13" s="1" t="s">
        <v>44</v>
      </c>
      <c r="B13" s="1" t="s">
        <v>143</v>
      </c>
      <c r="C13" s="1">
        <v>2020</v>
      </c>
      <c r="D13" s="76" t="s">
        <v>411</v>
      </c>
      <c r="E13" s="1" t="s">
        <v>87</v>
      </c>
      <c r="F13" s="1" t="s">
        <v>144</v>
      </c>
      <c r="G13" s="1" t="s">
        <v>37</v>
      </c>
      <c r="H13" s="1" t="s">
        <v>82</v>
      </c>
      <c r="I13" s="1" t="s">
        <v>64</v>
      </c>
      <c r="J13" s="1" t="s">
        <v>40</v>
      </c>
      <c r="K13" s="1" t="s">
        <v>41</v>
      </c>
      <c r="L13" s="1">
        <v>3</v>
      </c>
      <c r="N13" s="1">
        <v>1</v>
      </c>
      <c r="O13" s="1">
        <v>0.7</v>
      </c>
      <c r="P13" s="1">
        <v>0.85</v>
      </c>
      <c r="Q13" s="7">
        <f t="shared" si="0"/>
        <v>0.77499999999999991</v>
      </c>
      <c r="R13" s="1">
        <v>15</v>
      </c>
      <c r="S13" s="1">
        <v>135</v>
      </c>
      <c r="T13" s="68">
        <f t="shared" si="1"/>
        <v>25</v>
      </c>
      <c r="U13" s="1">
        <v>138</v>
      </c>
      <c r="V13" s="2">
        <f t="shared" si="2"/>
        <v>3450</v>
      </c>
      <c r="W13" s="1">
        <v>6</v>
      </c>
      <c r="X13" s="1" t="s">
        <v>51</v>
      </c>
      <c r="Y13" s="1" t="s">
        <v>67</v>
      </c>
      <c r="Z13" s="1" t="s">
        <v>101</v>
      </c>
      <c r="AA13" s="1" t="s">
        <v>52</v>
      </c>
      <c r="AB13" s="1" t="s">
        <v>145</v>
      </c>
      <c r="AE13" s="9" t="s">
        <v>106</v>
      </c>
      <c r="AG13" s="12"/>
      <c r="AH13" s="12"/>
      <c r="AP13" s="12" t="s">
        <v>107</v>
      </c>
      <c r="AR13" s="12" t="s">
        <v>92</v>
      </c>
      <c r="AV13" s="12" t="s">
        <v>108</v>
      </c>
    </row>
    <row r="14" spans="1:53" x14ac:dyDescent="0.15">
      <c r="A14" s="1" t="s">
        <v>44</v>
      </c>
      <c r="B14" s="1" t="s">
        <v>143</v>
      </c>
      <c r="C14" s="1">
        <v>2020</v>
      </c>
      <c r="D14" s="76" t="s">
        <v>411</v>
      </c>
      <c r="E14" s="1" t="s">
        <v>87</v>
      </c>
      <c r="F14" s="1" t="s">
        <v>144</v>
      </c>
      <c r="G14" s="1" t="s">
        <v>37</v>
      </c>
      <c r="H14" s="1" t="s">
        <v>82</v>
      </c>
      <c r="I14" s="1" t="s">
        <v>64</v>
      </c>
      <c r="J14" s="1" t="s">
        <v>40</v>
      </c>
      <c r="K14" s="1" t="s">
        <v>41</v>
      </c>
      <c r="L14" s="1">
        <v>1</v>
      </c>
      <c r="N14" s="1">
        <v>10</v>
      </c>
      <c r="O14" s="1">
        <v>0.35</v>
      </c>
      <c r="P14" s="1">
        <v>0.4</v>
      </c>
      <c r="Q14" s="7">
        <f t="shared" si="0"/>
        <v>0.375</v>
      </c>
      <c r="R14" s="1">
        <v>14.6</v>
      </c>
      <c r="S14" s="1">
        <v>121</v>
      </c>
      <c r="T14" s="68">
        <f t="shared" si="1"/>
        <v>27</v>
      </c>
      <c r="U14" s="1">
        <v>1280</v>
      </c>
      <c r="V14" s="68">
        <f t="shared" si="2"/>
        <v>3456</v>
      </c>
      <c r="W14" s="1">
        <v>1</v>
      </c>
      <c r="X14" s="1" t="s">
        <v>51</v>
      </c>
      <c r="Y14" s="1" t="s">
        <v>67</v>
      </c>
      <c r="Z14" s="1" t="s">
        <v>101</v>
      </c>
      <c r="AA14" s="1" t="s">
        <v>52</v>
      </c>
      <c r="AB14" s="1" t="s">
        <v>145</v>
      </c>
      <c r="AE14" s="9" t="s">
        <v>109</v>
      </c>
      <c r="AG14" s="12"/>
      <c r="AH14" s="12"/>
      <c r="AP14" s="12" t="s">
        <v>110</v>
      </c>
      <c r="AR14" s="12" t="s">
        <v>111</v>
      </c>
      <c r="AV14" s="12" t="s">
        <v>112</v>
      </c>
    </row>
    <row r="15" spans="1:53" x14ac:dyDescent="0.15">
      <c r="A15" s="1" t="s">
        <v>44</v>
      </c>
      <c r="B15" s="1" t="s">
        <v>143</v>
      </c>
      <c r="C15" s="1">
        <v>2020</v>
      </c>
      <c r="D15" s="76" t="s">
        <v>411</v>
      </c>
      <c r="E15" s="1" t="s">
        <v>87</v>
      </c>
      <c r="F15" s="1" t="s">
        <v>144</v>
      </c>
      <c r="G15" s="1" t="s">
        <v>37</v>
      </c>
      <c r="H15" s="1" t="s">
        <v>82</v>
      </c>
      <c r="I15" s="1" t="s">
        <v>64</v>
      </c>
      <c r="J15" s="1" t="s">
        <v>40</v>
      </c>
      <c r="K15" s="1" t="s">
        <v>41</v>
      </c>
      <c r="L15" s="1">
        <v>2</v>
      </c>
      <c r="N15" s="1">
        <v>10</v>
      </c>
      <c r="O15" s="1">
        <v>0.4</v>
      </c>
      <c r="P15" s="1">
        <v>0.45</v>
      </c>
      <c r="Q15" s="7">
        <f t="shared" si="0"/>
        <v>0.42500000000000004</v>
      </c>
      <c r="R15" s="1">
        <v>16.2</v>
      </c>
      <c r="S15" s="1">
        <v>120</v>
      </c>
      <c r="T15" s="68">
        <f t="shared" si="1"/>
        <v>30</v>
      </c>
      <c r="U15" s="1">
        <v>1280</v>
      </c>
      <c r="V15" s="2">
        <f t="shared" si="2"/>
        <v>3840</v>
      </c>
      <c r="W15" s="1">
        <v>1</v>
      </c>
      <c r="X15" s="1" t="s">
        <v>51</v>
      </c>
      <c r="Y15" s="1" t="s">
        <v>67</v>
      </c>
      <c r="Z15" s="1" t="s">
        <v>101</v>
      </c>
      <c r="AA15" s="1" t="s">
        <v>52</v>
      </c>
      <c r="AB15" s="1" t="s">
        <v>145</v>
      </c>
      <c r="AE15" s="9" t="s">
        <v>113</v>
      </c>
      <c r="AG15" s="12"/>
      <c r="AH15" s="12"/>
      <c r="AP15" s="12" t="s">
        <v>114</v>
      </c>
      <c r="AR15" s="12" t="s">
        <v>115</v>
      </c>
      <c r="AV15" s="12" t="s">
        <v>116</v>
      </c>
    </row>
    <row r="16" spans="1:53" x14ac:dyDescent="0.15">
      <c r="A16" s="1" t="s">
        <v>44</v>
      </c>
      <c r="B16" s="1" t="s">
        <v>143</v>
      </c>
      <c r="C16" s="1">
        <v>2020</v>
      </c>
      <c r="D16" s="76" t="s">
        <v>411</v>
      </c>
      <c r="E16" s="1" t="s">
        <v>87</v>
      </c>
      <c r="F16" s="1" t="s">
        <v>144</v>
      </c>
      <c r="G16" s="1" t="s">
        <v>37</v>
      </c>
      <c r="H16" s="1" t="s">
        <v>82</v>
      </c>
      <c r="I16" s="1" t="s">
        <v>64</v>
      </c>
      <c r="J16" s="1" t="s">
        <v>40</v>
      </c>
      <c r="K16" s="1" t="s">
        <v>41</v>
      </c>
      <c r="L16" s="1">
        <v>3</v>
      </c>
      <c r="N16" s="1">
        <v>10</v>
      </c>
      <c r="O16" s="1">
        <v>0.5</v>
      </c>
      <c r="P16" s="1">
        <v>0.5</v>
      </c>
      <c r="Q16" s="7">
        <f t="shared" si="0"/>
        <v>0.5</v>
      </c>
      <c r="R16" s="1">
        <v>15.7</v>
      </c>
      <c r="S16" s="1">
        <v>114</v>
      </c>
      <c r="T16" s="68">
        <f t="shared" si="1"/>
        <v>30</v>
      </c>
      <c r="U16" s="1">
        <v>1280</v>
      </c>
      <c r="V16" s="2">
        <f t="shared" si="2"/>
        <v>3840</v>
      </c>
      <c r="W16" s="1">
        <v>1</v>
      </c>
      <c r="X16" s="1" t="s">
        <v>51</v>
      </c>
      <c r="Y16" s="1" t="s">
        <v>67</v>
      </c>
      <c r="Z16" s="1" t="s">
        <v>101</v>
      </c>
      <c r="AA16" s="1" t="s">
        <v>52</v>
      </c>
      <c r="AB16" s="1" t="s">
        <v>145</v>
      </c>
      <c r="AE16" s="9" t="s">
        <v>117</v>
      </c>
      <c r="AG16" s="14"/>
      <c r="AH16" s="14"/>
      <c r="AP16" s="12" t="s">
        <v>115</v>
      </c>
      <c r="AR16" s="12" t="s">
        <v>118</v>
      </c>
      <c r="AV16" s="12" t="s">
        <v>119</v>
      </c>
    </row>
    <row r="17" spans="1:48" x14ac:dyDescent="0.15">
      <c r="A17" s="1" t="s">
        <v>44</v>
      </c>
      <c r="B17" s="1" t="s">
        <v>143</v>
      </c>
      <c r="C17" s="1">
        <v>2020</v>
      </c>
      <c r="D17" s="76" t="s">
        <v>411</v>
      </c>
      <c r="E17" s="1" t="s">
        <v>146</v>
      </c>
      <c r="F17" s="1" t="s">
        <v>144</v>
      </c>
      <c r="G17" s="1" t="s">
        <v>37</v>
      </c>
      <c r="H17" s="1" t="s">
        <v>82</v>
      </c>
      <c r="I17" s="1" t="s">
        <v>64</v>
      </c>
      <c r="J17" s="1" t="s">
        <v>40</v>
      </c>
      <c r="K17" s="1" t="s">
        <v>41</v>
      </c>
      <c r="L17" s="1">
        <v>1</v>
      </c>
      <c r="N17" s="1">
        <v>1</v>
      </c>
      <c r="O17" s="1">
        <v>0.3</v>
      </c>
      <c r="P17" s="1">
        <v>0.45</v>
      </c>
      <c r="Q17" s="7">
        <f t="shared" si="0"/>
        <v>0.375</v>
      </c>
      <c r="R17" s="1">
        <v>15.8</v>
      </c>
      <c r="S17" s="1">
        <v>127</v>
      </c>
      <c r="T17" s="68">
        <f t="shared" si="1"/>
        <v>27</v>
      </c>
      <c r="U17" s="1">
        <v>98</v>
      </c>
      <c r="V17" s="68">
        <f t="shared" si="2"/>
        <v>2646</v>
      </c>
      <c r="W17" s="1">
        <v>4</v>
      </c>
      <c r="X17" s="1" t="s">
        <v>51</v>
      </c>
      <c r="Y17" s="1" t="s">
        <v>67</v>
      </c>
      <c r="Z17" s="1" t="s">
        <v>101</v>
      </c>
      <c r="AA17" s="1" t="s">
        <v>112</v>
      </c>
      <c r="AB17" s="1" t="s">
        <v>145</v>
      </c>
      <c r="AE17" s="9" t="s">
        <v>120</v>
      </c>
      <c r="AP17" s="13" t="s">
        <v>121</v>
      </c>
      <c r="AR17" s="12" t="s">
        <v>109</v>
      </c>
      <c r="AV17" s="12" t="s">
        <v>122</v>
      </c>
    </row>
    <row r="18" spans="1:48" x14ac:dyDescent="0.15">
      <c r="A18" s="1" t="s">
        <v>44</v>
      </c>
      <c r="B18" s="1" t="s">
        <v>143</v>
      </c>
      <c r="C18" s="1">
        <v>2020</v>
      </c>
      <c r="D18" s="76" t="s">
        <v>411</v>
      </c>
      <c r="E18" s="1" t="s">
        <v>146</v>
      </c>
      <c r="F18" s="1" t="s">
        <v>144</v>
      </c>
      <c r="G18" s="1" t="s">
        <v>37</v>
      </c>
      <c r="H18" s="1" t="s">
        <v>82</v>
      </c>
      <c r="I18" s="1" t="s">
        <v>64</v>
      </c>
      <c r="J18" s="1" t="s">
        <v>40</v>
      </c>
      <c r="K18" s="1" t="s">
        <v>41</v>
      </c>
      <c r="L18" s="1">
        <v>2</v>
      </c>
      <c r="N18" s="1">
        <v>1</v>
      </c>
      <c r="O18" s="1">
        <v>0.35</v>
      </c>
      <c r="P18" s="1">
        <v>0.5</v>
      </c>
      <c r="Q18" s="7">
        <f t="shared" si="0"/>
        <v>0.42499999999999999</v>
      </c>
      <c r="R18" s="1">
        <v>16</v>
      </c>
      <c r="S18" s="1">
        <v>123</v>
      </c>
      <c r="T18" s="68">
        <f t="shared" si="1"/>
        <v>27</v>
      </c>
      <c r="U18" s="1">
        <v>98</v>
      </c>
      <c r="V18" s="2">
        <f t="shared" si="2"/>
        <v>2646</v>
      </c>
      <c r="W18" s="1">
        <v>4</v>
      </c>
      <c r="X18" s="1" t="s">
        <v>51</v>
      </c>
      <c r="Y18" s="1" t="s">
        <v>67</v>
      </c>
      <c r="Z18" s="1" t="s">
        <v>101</v>
      </c>
      <c r="AA18" s="1" t="s">
        <v>112</v>
      </c>
      <c r="AB18" s="1" t="s">
        <v>145</v>
      </c>
      <c r="AE18" s="9" t="s">
        <v>100</v>
      </c>
      <c r="AP18" s="13" t="s">
        <v>123</v>
      </c>
      <c r="AR18" s="12" t="s">
        <v>124</v>
      </c>
      <c r="AV18" s="12" t="s">
        <v>125</v>
      </c>
    </row>
    <row r="19" spans="1:48" x14ac:dyDescent="0.15">
      <c r="A19" s="1" t="s">
        <v>44</v>
      </c>
      <c r="B19" s="1" t="s">
        <v>143</v>
      </c>
      <c r="C19" s="1">
        <v>2020</v>
      </c>
      <c r="D19" s="76" t="s">
        <v>411</v>
      </c>
      <c r="E19" s="1" t="s">
        <v>146</v>
      </c>
      <c r="F19" s="1" t="s">
        <v>144</v>
      </c>
      <c r="G19" s="1" t="s">
        <v>37</v>
      </c>
      <c r="H19" s="1" t="s">
        <v>82</v>
      </c>
      <c r="I19" s="1" t="s">
        <v>64</v>
      </c>
      <c r="J19" s="1" t="s">
        <v>40</v>
      </c>
      <c r="K19" s="1" t="s">
        <v>41</v>
      </c>
      <c r="L19" s="1">
        <v>3</v>
      </c>
      <c r="N19" s="1">
        <v>1</v>
      </c>
      <c r="O19" s="1">
        <v>0.3</v>
      </c>
      <c r="P19" s="1">
        <v>0.35</v>
      </c>
      <c r="Q19" s="7">
        <f t="shared" si="0"/>
        <v>0.32499999999999996</v>
      </c>
      <c r="R19" s="1">
        <v>14.8</v>
      </c>
      <c r="S19" s="1">
        <v>128</v>
      </c>
      <c r="T19" s="68">
        <f t="shared" si="1"/>
        <v>27</v>
      </c>
      <c r="U19" s="1">
        <v>98</v>
      </c>
      <c r="V19" s="2">
        <f t="shared" si="2"/>
        <v>2646</v>
      </c>
      <c r="W19" s="1">
        <v>4</v>
      </c>
      <c r="X19" s="1" t="s">
        <v>51</v>
      </c>
      <c r="Y19" s="1" t="s">
        <v>67</v>
      </c>
      <c r="Z19" s="1" t="s">
        <v>101</v>
      </c>
      <c r="AA19" s="1" t="s">
        <v>112</v>
      </c>
      <c r="AB19" s="1" t="s">
        <v>145</v>
      </c>
      <c r="AE19" s="10" t="s">
        <v>90</v>
      </c>
      <c r="AP19" s="13" t="s">
        <v>126</v>
      </c>
      <c r="AR19" s="12" t="s">
        <v>127</v>
      </c>
      <c r="AV19" s="12" t="s">
        <v>128</v>
      </c>
    </row>
    <row r="20" spans="1:48" x14ac:dyDescent="0.15">
      <c r="A20" s="1" t="s">
        <v>44</v>
      </c>
      <c r="B20" s="1" t="s">
        <v>143</v>
      </c>
      <c r="C20" s="1">
        <v>2020</v>
      </c>
      <c r="D20" s="76" t="s">
        <v>411</v>
      </c>
      <c r="E20" s="1" t="s">
        <v>146</v>
      </c>
      <c r="F20" s="1" t="s">
        <v>144</v>
      </c>
      <c r="G20" s="1" t="s">
        <v>37</v>
      </c>
      <c r="H20" s="1" t="s">
        <v>82</v>
      </c>
      <c r="I20" s="1" t="s">
        <v>64</v>
      </c>
      <c r="J20" s="1" t="s">
        <v>40</v>
      </c>
      <c r="K20" s="1" t="s">
        <v>41</v>
      </c>
      <c r="L20" s="1">
        <v>1</v>
      </c>
      <c r="N20" s="1">
        <v>4</v>
      </c>
      <c r="O20" s="1">
        <v>0.45</v>
      </c>
      <c r="P20" s="1">
        <v>0.45</v>
      </c>
      <c r="Q20" s="7">
        <f t="shared" si="0"/>
        <v>0.45</v>
      </c>
      <c r="R20" s="1">
        <v>16.5</v>
      </c>
      <c r="S20" s="1">
        <v>106</v>
      </c>
      <c r="T20" s="68">
        <f t="shared" si="1"/>
        <v>33</v>
      </c>
      <c r="U20" s="1">
        <v>498</v>
      </c>
      <c r="V20" s="68">
        <f t="shared" si="2"/>
        <v>4108.5</v>
      </c>
      <c r="W20" s="1">
        <v>3</v>
      </c>
      <c r="X20" s="1" t="s">
        <v>51</v>
      </c>
      <c r="Y20" s="1" t="s">
        <v>67</v>
      </c>
      <c r="Z20" s="1" t="s">
        <v>101</v>
      </c>
      <c r="AA20" s="1" t="s">
        <v>112</v>
      </c>
      <c r="AB20" s="1" t="s">
        <v>145</v>
      </c>
      <c r="AE20" s="10"/>
      <c r="AP20" s="13" t="s">
        <v>129</v>
      </c>
      <c r="AR20" s="12" t="s">
        <v>130</v>
      </c>
      <c r="AV20" s="13" t="s">
        <v>131</v>
      </c>
    </row>
    <row r="21" spans="1:48" x14ac:dyDescent="0.15">
      <c r="A21" s="1" t="s">
        <v>44</v>
      </c>
      <c r="B21" s="1" t="s">
        <v>143</v>
      </c>
      <c r="C21" s="1">
        <v>2020</v>
      </c>
      <c r="D21" s="76" t="s">
        <v>411</v>
      </c>
      <c r="E21" s="1" t="s">
        <v>146</v>
      </c>
      <c r="F21" s="1" t="s">
        <v>144</v>
      </c>
      <c r="G21" s="1" t="s">
        <v>37</v>
      </c>
      <c r="H21" s="1" t="s">
        <v>82</v>
      </c>
      <c r="I21" s="1" t="s">
        <v>64</v>
      </c>
      <c r="J21" s="1" t="s">
        <v>40</v>
      </c>
      <c r="K21" s="1" t="s">
        <v>41</v>
      </c>
      <c r="L21" s="1">
        <v>2</v>
      </c>
      <c r="N21" s="1">
        <v>4</v>
      </c>
      <c r="O21" s="1">
        <v>0.25</v>
      </c>
      <c r="P21" s="1">
        <v>0.25</v>
      </c>
      <c r="Q21" s="7">
        <f t="shared" si="0"/>
        <v>0.25</v>
      </c>
      <c r="R21" s="1">
        <v>17.399999999999999</v>
      </c>
      <c r="S21" s="1">
        <v>108</v>
      </c>
      <c r="T21" s="68">
        <f t="shared" si="1"/>
        <v>33</v>
      </c>
      <c r="U21" s="1">
        <v>498</v>
      </c>
      <c r="V21" s="2">
        <f t="shared" si="2"/>
        <v>4108.5</v>
      </c>
      <c r="W21" s="1">
        <v>3</v>
      </c>
      <c r="X21" s="1" t="s">
        <v>51</v>
      </c>
      <c r="Y21" s="1" t="s">
        <v>67</v>
      </c>
      <c r="Z21" s="1" t="s">
        <v>101</v>
      </c>
      <c r="AA21" s="1" t="s">
        <v>112</v>
      </c>
      <c r="AB21" s="1" t="s">
        <v>145</v>
      </c>
      <c r="AE21" s="14"/>
      <c r="AP21" s="13" t="s">
        <v>132</v>
      </c>
      <c r="AR21" s="12" t="s">
        <v>97</v>
      </c>
      <c r="AV21" s="13" t="s">
        <v>133</v>
      </c>
    </row>
    <row r="22" spans="1:48" x14ac:dyDescent="0.15">
      <c r="A22" s="1" t="s">
        <v>44</v>
      </c>
      <c r="B22" s="1" t="s">
        <v>143</v>
      </c>
      <c r="C22" s="1">
        <v>2020</v>
      </c>
      <c r="D22" s="76" t="s">
        <v>411</v>
      </c>
      <c r="E22" s="1" t="s">
        <v>146</v>
      </c>
      <c r="F22" s="1" t="s">
        <v>144</v>
      </c>
      <c r="G22" s="1" t="s">
        <v>37</v>
      </c>
      <c r="H22" s="1" t="s">
        <v>82</v>
      </c>
      <c r="I22" s="1" t="s">
        <v>64</v>
      </c>
      <c r="J22" s="1" t="s">
        <v>40</v>
      </c>
      <c r="K22" s="1" t="s">
        <v>41</v>
      </c>
      <c r="L22" s="1">
        <v>3</v>
      </c>
      <c r="N22" s="1">
        <v>4</v>
      </c>
      <c r="O22" s="1">
        <v>0.35</v>
      </c>
      <c r="P22" s="1">
        <v>0.25</v>
      </c>
      <c r="Q22" s="7">
        <f t="shared" si="0"/>
        <v>0.3</v>
      </c>
      <c r="R22" s="1">
        <v>15.2</v>
      </c>
      <c r="S22" s="1">
        <v>101</v>
      </c>
      <c r="T22" s="68">
        <f t="shared" si="1"/>
        <v>33</v>
      </c>
      <c r="U22" s="1">
        <v>498</v>
      </c>
      <c r="V22" s="2">
        <f t="shared" si="2"/>
        <v>4108.5</v>
      </c>
      <c r="W22" s="1">
        <v>3</v>
      </c>
      <c r="X22" s="1" t="s">
        <v>51</v>
      </c>
      <c r="Y22" s="1" t="s">
        <v>67</v>
      </c>
      <c r="Z22" s="1" t="s">
        <v>101</v>
      </c>
      <c r="AA22" s="1" t="s">
        <v>112</v>
      </c>
      <c r="AB22" s="1" t="s">
        <v>145</v>
      </c>
      <c r="AP22" s="13" t="s">
        <v>134</v>
      </c>
      <c r="AR22" s="12" t="s">
        <v>135</v>
      </c>
      <c r="AV22" s="13"/>
    </row>
    <row r="23" spans="1:48" x14ac:dyDescent="0.15">
      <c r="A23" s="1" t="s">
        <v>44</v>
      </c>
      <c r="B23" s="1" t="s">
        <v>143</v>
      </c>
      <c r="C23" s="1">
        <v>2020</v>
      </c>
      <c r="D23" s="76" t="s">
        <v>411</v>
      </c>
      <c r="E23" s="1" t="s">
        <v>146</v>
      </c>
      <c r="F23" s="1" t="s">
        <v>144</v>
      </c>
      <c r="G23" s="1" t="s">
        <v>37</v>
      </c>
      <c r="H23" s="1" t="s">
        <v>82</v>
      </c>
      <c r="I23" s="1" t="s">
        <v>64</v>
      </c>
      <c r="J23" s="1" t="s">
        <v>40</v>
      </c>
      <c r="K23" s="1" t="s">
        <v>41</v>
      </c>
      <c r="L23" s="1">
        <v>1</v>
      </c>
      <c r="N23" s="1">
        <v>6</v>
      </c>
      <c r="O23" s="1">
        <v>0.65</v>
      </c>
      <c r="P23" s="1">
        <v>0.65</v>
      </c>
      <c r="Q23" s="7">
        <f t="shared" si="0"/>
        <v>0.65</v>
      </c>
      <c r="R23" s="1">
        <v>14.2</v>
      </c>
      <c r="S23" s="1">
        <v>100</v>
      </c>
      <c r="T23" s="68">
        <f t="shared" si="1"/>
        <v>33</v>
      </c>
      <c r="U23" s="1">
        <v>680</v>
      </c>
      <c r="V23" s="68">
        <f t="shared" si="2"/>
        <v>3740</v>
      </c>
      <c r="W23" s="1">
        <v>3</v>
      </c>
      <c r="X23" s="1" t="s">
        <v>51</v>
      </c>
      <c r="Y23" s="1" t="s">
        <v>67</v>
      </c>
      <c r="Z23" s="1" t="s">
        <v>101</v>
      </c>
      <c r="AA23" s="1" t="s">
        <v>112</v>
      </c>
      <c r="AB23" s="1" t="s">
        <v>145</v>
      </c>
      <c r="AP23" s="13" t="s">
        <v>140</v>
      </c>
      <c r="AR23" s="14" t="s">
        <v>141</v>
      </c>
      <c r="AV23" s="14"/>
    </row>
    <row r="24" spans="1:48" x14ac:dyDescent="0.15">
      <c r="A24" s="1" t="s">
        <v>44</v>
      </c>
      <c r="B24" s="1" t="s">
        <v>143</v>
      </c>
      <c r="C24" s="1">
        <v>2020</v>
      </c>
      <c r="D24" s="76" t="s">
        <v>411</v>
      </c>
      <c r="E24" s="1" t="s">
        <v>146</v>
      </c>
      <c r="F24" s="1" t="s">
        <v>144</v>
      </c>
      <c r="G24" s="1" t="s">
        <v>37</v>
      </c>
      <c r="H24" s="1" t="s">
        <v>82</v>
      </c>
      <c r="I24" s="1" t="s">
        <v>64</v>
      </c>
      <c r="J24" s="1" t="s">
        <v>40</v>
      </c>
      <c r="K24" s="1" t="s">
        <v>41</v>
      </c>
      <c r="L24" s="1">
        <v>2</v>
      </c>
      <c r="N24" s="1">
        <v>6</v>
      </c>
      <c r="O24" s="1">
        <v>0.4</v>
      </c>
      <c r="P24" s="1">
        <v>0.45</v>
      </c>
      <c r="Q24" s="7">
        <f t="shared" si="0"/>
        <v>0.42500000000000004</v>
      </c>
      <c r="R24" s="1">
        <v>16.2</v>
      </c>
      <c r="S24" s="1">
        <v>108</v>
      </c>
      <c r="T24" s="68">
        <f t="shared" si="1"/>
        <v>33</v>
      </c>
      <c r="U24" s="1">
        <v>680</v>
      </c>
      <c r="V24" s="68">
        <f t="shared" si="2"/>
        <v>3740</v>
      </c>
      <c r="W24" s="1">
        <v>3</v>
      </c>
      <c r="X24" s="1" t="s">
        <v>51</v>
      </c>
      <c r="Y24" s="1" t="s">
        <v>67</v>
      </c>
      <c r="Z24" s="1" t="s">
        <v>101</v>
      </c>
      <c r="AA24" s="1" t="s">
        <v>112</v>
      </c>
      <c r="AB24" s="1" t="s">
        <v>145</v>
      </c>
      <c r="AP24" s="13" t="s">
        <v>142</v>
      </c>
    </row>
    <row r="25" spans="1:48" x14ac:dyDescent="0.15">
      <c r="A25" s="1" t="s">
        <v>44</v>
      </c>
      <c r="B25" s="1" t="s">
        <v>143</v>
      </c>
      <c r="C25" s="1">
        <v>2020</v>
      </c>
      <c r="D25" s="76" t="s">
        <v>411</v>
      </c>
      <c r="E25" s="1" t="s">
        <v>146</v>
      </c>
      <c r="F25" s="1" t="s">
        <v>144</v>
      </c>
      <c r="G25" s="1" t="s">
        <v>37</v>
      </c>
      <c r="H25" s="1" t="s">
        <v>82</v>
      </c>
      <c r="I25" s="1" t="s">
        <v>64</v>
      </c>
      <c r="J25" s="1" t="s">
        <v>40</v>
      </c>
      <c r="K25" s="1" t="s">
        <v>41</v>
      </c>
      <c r="L25" s="1">
        <v>3</v>
      </c>
      <c r="N25" s="1">
        <v>6</v>
      </c>
      <c r="O25" s="1">
        <v>0.5</v>
      </c>
      <c r="P25" s="1">
        <v>0.5</v>
      </c>
      <c r="Q25" s="7">
        <f t="shared" si="0"/>
        <v>0.5</v>
      </c>
      <c r="R25" s="1">
        <v>13.8</v>
      </c>
      <c r="S25" s="1">
        <v>101</v>
      </c>
      <c r="T25" s="68">
        <f t="shared" si="1"/>
        <v>33</v>
      </c>
      <c r="U25" s="1">
        <v>680</v>
      </c>
      <c r="V25" s="68">
        <f t="shared" si="2"/>
        <v>3740</v>
      </c>
      <c r="W25" s="1">
        <v>3</v>
      </c>
      <c r="X25" s="1" t="s">
        <v>51</v>
      </c>
      <c r="Y25" s="1" t="s">
        <v>67</v>
      </c>
      <c r="Z25" s="1" t="s">
        <v>101</v>
      </c>
      <c r="AA25" s="1" t="s">
        <v>112</v>
      </c>
      <c r="AB25" s="1" t="s">
        <v>145</v>
      </c>
      <c r="AP25" s="1" t="s">
        <v>216</v>
      </c>
    </row>
    <row r="26" spans="1:48" x14ac:dyDescent="0.15">
      <c r="A26" s="1" t="s">
        <v>44</v>
      </c>
      <c r="B26" s="1" t="s">
        <v>143</v>
      </c>
      <c r="C26" s="1">
        <v>2020</v>
      </c>
      <c r="D26" s="76" t="s">
        <v>411</v>
      </c>
      <c r="E26" s="1" t="s">
        <v>146</v>
      </c>
      <c r="F26" s="1" t="s">
        <v>144</v>
      </c>
      <c r="G26" s="1" t="s">
        <v>37</v>
      </c>
      <c r="H26" s="1" t="s">
        <v>63</v>
      </c>
      <c r="I26" s="1" t="s">
        <v>64</v>
      </c>
      <c r="J26" s="1" t="s">
        <v>40</v>
      </c>
      <c r="K26" s="1" t="s">
        <v>41</v>
      </c>
      <c r="L26" s="1">
        <v>1</v>
      </c>
      <c r="N26" s="1">
        <v>1</v>
      </c>
      <c r="O26" s="1">
        <v>1</v>
      </c>
      <c r="P26" s="1">
        <v>1.1499999999999999</v>
      </c>
      <c r="Q26" s="7">
        <f t="shared" si="0"/>
        <v>1.075</v>
      </c>
      <c r="R26" s="1">
        <v>10.5</v>
      </c>
      <c r="S26" s="1">
        <v>132</v>
      </c>
      <c r="T26" s="68">
        <f t="shared" si="1"/>
        <v>25</v>
      </c>
      <c r="U26" s="1">
        <v>98</v>
      </c>
      <c r="V26" s="68">
        <f t="shared" si="2"/>
        <v>2450</v>
      </c>
      <c r="W26" s="1">
        <v>4</v>
      </c>
      <c r="X26" s="1" t="s">
        <v>51</v>
      </c>
      <c r="Y26" s="1" t="s">
        <v>67</v>
      </c>
      <c r="Z26" s="1" t="s">
        <v>101</v>
      </c>
      <c r="AA26" s="1" t="s">
        <v>112</v>
      </c>
      <c r="AB26" s="1" t="s">
        <v>145</v>
      </c>
    </row>
    <row r="27" spans="1:48" x14ac:dyDescent="0.15">
      <c r="A27" s="1" t="s">
        <v>44</v>
      </c>
      <c r="B27" s="1" t="s">
        <v>143</v>
      </c>
      <c r="C27" s="1">
        <v>2020</v>
      </c>
      <c r="D27" s="76" t="s">
        <v>411</v>
      </c>
      <c r="E27" s="1" t="s">
        <v>146</v>
      </c>
      <c r="F27" s="1" t="s">
        <v>144</v>
      </c>
      <c r="G27" s="1" t="s">
        <v>37</v>
      </c>
      <c r="H27" s="1" t="s">
        <v>63</v>
      </c>
      <c r="I27" s="1" t="s">
        <v>64</v>
      </c>
      <c r="J27" s="1" t="s">
        <v>40</v>
      </c>
      <c r="K27" s="1" t="s">
        <v>41</v>
      </c>
      <c r="L27" s="1">
        <v>2</v>
      </c>
      <c r="N27" s="1">
        <v>1</v>
      </c>
      <c r="O27" s="1">
        <v>0.95</v>
      </c>
      <c r="P27" s="1">
        <v>1</v>
      </c>
      <c r="Q27" s="7">
        <f t="shared" si="0"/>
        <v>0.97499999999999998</v>
      </c>
      <c r="R27" s="1">
        <v>11.5</v>
      </c>
      <c r="S27" s="1">
        <v>134</v>
      </c>
      <c r="T27" s="68">
        <f t="shared" si="1"/>
        <v>25</v>
      </c>
      <c r="U27" s="1">
        <v>98</v>
      </c>
      <c r="V27" s="68">
        <f t="shared" si="2"/>
        <v>2450</v>
      </c>
      <c r="W27" s="1">
        <v>4</v>
      </c>
      <c r="X27" s="1" t="s">
        <v>51</v>
      </c>
      <c r="Y27" s="1" t="s">
        <v>67</v>
      </c>
      <c r="Z27" s="1" t="s">
        <v>101</v>
      </c>
      <c r="AA27" s="1" t="s">
        <v>112</v>
      </c>
      <c r="AB27" s="1" t="s">
        <v>145</v>
      </c>
    </row>
    <row r="28" spans="1:48" x14ac:dyDescent="0.15">
      <c r="A28" s="1" t="s">
        <v>44</v>
      </c>
      <c r="B28" s="1" t="s">
        <v>143</v>
      </c>
      <c r="C28" s="1">
        <v>2020</v>
      </c>
      <c r="D28" s="76" t="s">
        <v>411</v>
      </c>
      <c r="E28" s="1" t="s">
        <v>146</v>
      </c>
      <c r="F28" s="1" t="s">
        <v>144</v>
      </c>
      <c r="G28" s="1" t="s">
        <v>37</v>
      </c>
      <c r="H28" s="1" t="s">
        <v>63</v>
      </c>
      <c r="I28" s="1" t="s">
        <v>64</v>
      </c>
      <c r="J28" s="1" t="s">
        <v>40</v>
      </c>
      <c r="K28" s="1" t="s">
        <v>41</v>
      </c>
      <c r="L28" s="1">
        <v>3</v>
      </c>
      <c r="N28" s="1">
        <v>1</v>
      </c>
      <c r="O28" s="1">
        <v>0.95</v>
      </c>
      <c r="P28" s="1">
        <v>0.85</v>
      </c>
      <c r="Q28" s="7">
        <f t="shared" si="0"/>
        <v>0.89999999999999991</v>
      </c>
      <c r="R28" s="1">
        <v>13.7</v>
      </c>
      <c r="S28" s="1">
        <v>130</v>
      </c>
      <c r="T28" s="68">
        <f t="shared" si="1"/>
        <v>25</v>
      </c>
      <c r="U28" s="1">
        <v>98</v>
      </c>
      <c r="V28" s="68">
        <f t="shared" si="2"/>
        <v>2450</v>
      </c>
      <c r="W28" s="1">
        <v>4</v>
      </c>
      <c r="X28" s="1" t="s">
        <v>51</v>
      </c>
      <c r="Y28" s="1" t="s">
        <v>67</v>
      </c>
      <c r="Z28" s="1" t="s">
        <v>101</v>
      </c>
      <c r="AA28" s="1" t="s">
        <v>112</v>
      </c>
      <c r="AB28" s="1" t="s">
        <v>145</v>
      </c>
    </row>
    <row r="29" spans="1:48" x14ac:dyDescent="0.15">
      <c r="A29" s="1" t="s">
        <v>44</v>
      </c>
      <c r="B29" s="1" t="s">
        <v>143</v>
      </c>
      <c r="C29" s="1">
        <v>2020</v>
      </c>
      <c r="D29" s="76" t="s">
        <v>411</v>
      </c>
      <c r="E29" s="1" t="s">
        <v>146</v>
      </c>
      <c r="F29" s="1" t="s">
        <v>144</v>
      </c>
      <c r="G29" s="1" t="s">
        <v>37</v>
      </c>
      <c r="H29" s="1" t="s">
        <v>63</v>
      </c>
      <c r="I29" s="1" t="s">
        <v>64</v>
      </c>
      <c r="J29" s="1" t="s">
        <v>40</v>
      </c>
      <c r="K29" s="1" t="s">
        <v>41</v>
      </c>
      <c r="L29" s="1">
        <v>1</v>
      </c>
      <c r="N29" s="1">
        <v>4</v>
      </c>
      <c r="O29" s="1">
        <v>0.35</v>
      </c>
      <c r="P29" s="1">
        <v>0.4</v>
      </c>
      <c r="Q29" s="7">
        <f t="shared" si="0"/>
        <v>0.375</v>
      </c>
      <c r="R29" s="1">
        <v>14.2</v>
      </c>
      <c r="S29" s="1">
        <v>121</v>
      </c>
      <c r="T29" s="68">
        <f t="shared" si="1"/>
        <v>27</v>
      </c>
      <c r="U29" s="1">
        <v>398</v>
      </c>
      <c r="V29" s="68">
        <f t="shared" si="2"/>
        <v>2686.5</v>
      </c>
      <c r="W29" s="1">
        <v>2</v>
      </c>
      <c r="X29" s="1" t="s">
        <v>51</v>
      </c>
      <c r="Y29" s="1" t="s">
        <v>67</v>
      </c>
      <c r="Z29" s="1" t="s">
        <v>101</v>
      </c>
      <c r="AA29" s="1" t="s">
        <v>112</v>
      </c>
      <c r="AB29" s="1" t="s">
        <v>145</v>
      </c>
    </row>
    <row r="30" spans="1:48" x14ac:dyDescent="0.15">
      <c r="A30" s="1" t="s">
        <v>44</v>
      </c>
      <c r="B30" s="1" t="s">
        <v>143</v>
      </c>
      <c r="C30" s="1">
        <v>2020</v>
      </c>
      <c r="D30" s="76" t="s">
        <v>411</v>
      </c>
      <c r="E30" s="1" t="s">
        <v>146</v>
      </c>
      <c r="F30" s="1" t="s">
        <v>144</v>
      </c>
      <c r="G30" s="1" t="s">
        <v>37</v>
      </c>
      <c r="H30" s="1" t="s">
        <v>63</v>
      </c>
      <c r="I30" s="1" t="s">
        <v>64</v>
      </c>
      <c r="J30" s="1" t="s">
        <v>40</v>
      </c>
      <c r="K30" s="1" t="s">
        <v>41</v>
      </c>
      <c r="L30" s="1">
        <v>2</v>
      </c>
      <c r="N30" s="1">
        <v>4</v>
      </c>
      <c r="O30" s="1">
        <v>0.4</v>
      </c>
      <c r="P30" s="1">
        <v>0.35</v>
      </c>
      <c r="Q30" s="7">
        <f t="shared" si="0"/>
        <v>0.375</v>
      </c>
      <c r="R30" s="1">
        <v>13.8</v>
      </c>
      <c r="S30" s="1">
        <v>118</v>
      </c>
      <c r="T30" s="68">
        <f t="shared" si="1"/>
        <v>30</v>
      </c>
      <c r="U30" s="1">
        <v>398</v>
      </c>
      <c r="V30" s="68">
        <f t="shared" si="2"/>
        <v>2985</v>
      </c>
      <c r="W30" s="1">
        <v>2</v>
      </c>
      <c r="X30" s="1" t="s">
        <v>51</v>
      </c>
      <c r="Y30" s="1" t="s">
        <v>67</v>
      </c>
      <c r="Z30" s="1" t="s">
        <v>101</v>
      </c>
      <c r="AA30" s="1" t="s">
        <v>112</v>
      </c>
      <c r="AB30" s="1" t="s">
        <v>145</v>
      </c>
    </row>
    <row r="31" spans="1:48" x14ac:dyDescent="0.15">
      <c r="A31" s="1" t="s">
        <v>44</v>
      </c>
      <c r="B31" s="1" t="s">
        <v>143</v>
      </c>
      <c r="C31" s="1">
        <v>2020</v>
      </c>
      <c r="D31" s="76" t="s">
        <v>411</v>
      </c>
      <c r="E31" s="1" t="s">
        <v>146</v>
      </c>
      <c r="F31" s="1" t="s">
        <v>144</v>
      </c>
      <c r="G31" s="1" t="s">
        <v>37</v>
      </c>
      <c r="H31" s="1" t="s">
        <v>63</v>
      </c>
      <c r="I31" s="1" t="s">
        <v>64</v>
      </c>
      <c r="J31" s="1" t="s">
        <v>40</v>
      </c>
      <c r="K31" s="1" t="s">
        <v>41</v>
      </c>
      <c r="L31" s="1">
        <v>3</v>
      </c>
      <c r="N31" s="1">
        <v>4</v>
      </c>
      <c r="O31" s="1">
        <v>0.35</v>
      </c>
      <c r="P31" s="1">
        <v>0.25</v>
      </c>
      <c r="Q31" s="7">
        <f t="shared" si="0"/>
        <v>0.3</v>
      </c>
      <c r="R31" s="1">
        <v>14.2</v>
      </c>
      <c r="S31" s="1">
        <v>120</v>
      </c>
      <c r="T31" s="68">
        <f t="shared" si="1"/>
        <v>30</v>
      </c>
      <c r="U31" s="1">
        <v>398</v>
      </c>
      <c r="V31" s="68">
        <f t="shared" si="2"/>
        <v>2985</v>
      </c>
      <c r="W31" s="1">
        <v>2</v>
      </c>
      <c r="X31" s="1" t="s">
        <v>51</v>
      </c>
      <c r="Y31" s="1" t="s">
        <v>67</v>
      </c>
      <c r="Z31" s="1" t="s">
        <v>101</v>
      </c>
      <c r="AA31" s="1" t="s">
        <v>112</v>
      </c>
      <c r="AB31" s="1" t="s">
        <v>145</v>
      </c>
    </row>
    <row r="32" spans="1:48" x14ac:dyDescent="0.15">
      <c r="A32" s="1" t="s">
        <v>44</v>
      </c>
      <c r="B32" s="1" t="s">
        <v>143</v>
      </c>
      <c r="C32" s="1">
        <v>2020</v>
      </c>
      <c r="D32" s="76" t="s">
        <v>411</v>
      </c>
      <c r="E32" s="1" t="s">
        <v>146</v>
      </c>
      <c r="F32" s="1" t="s">
        <v>144</v>
      </c>
      <c r="G32" s="1" t="s">
        <v>37</v>
      </c>
      <c r="H32" s="1" t="s">
        <v>63</v>
      </c>
      <c r="I32" s="1" t="s">
        <v>64</v>
      </c>
      <c r="J32" s="1" t="s">
        <v>40</v>
      </c>
      <c r="K32" s="1" t="s">
        <v>41</v>
      </c>
      <c r="L32" s="1">
        <v>1</v>
      </c>
      <c r="N32" s="1">
        <v>7</v>
      </c>
      <c r="O32" s="1">
        <v>0.7</v>
      </c>
      <c r="P32" s="1">
        <v>0.85</v>
      </c>
      <c r="Q32" s="7">
        <f t="shared" si="0"/>
        <v>0.77499999999999991</v>
      </c>
      <c r="R32" s="1">
        <v>15.5</v>
      </c>
      <c r="S32" s="1">
        <v>100</v>
      </c>
      <c r="T32" s="68">
        <f t="shared" si="1"/>
        <v>33</v>
      </c>
      <c r="U32" s="1">
        <v>580</v>
      </c>
      <c r="V32" s="68">
        <f t="shared" si="2"/>
        <v>2734.2857142857142</v>
      </c>
      <c r="W32" s="1">
        <v>3</v>
      </c>
      <c r="X32" s="1" t="s">
        <v>51</v>
      </c>
      <c r="Y32" s="1" t="s">
        <v>67</v>
      </c>
      <c r="Z32" s="1" t="s">
        <v>101</v>
      </c>
      <c r="AA32" s="1" t="s">
        <v>112</v>
      </c>
      <c r="AB32" s="1" t="s">
        <v>145</v>
      </c>
    </row>
    <row r="33" spans="1:28" x14ac:dyDescent="0.15">
      <c r="A33" s="1" t="s">
        <v>44</v>
      </c>
      <c r="B33" s="1" t="s">
        <v>143</v>
      </c>
      <c r="C33" s="1">
        <v>2020</v>
      </c>
      <c r="D33" s="76" t="s">
        <v>411</v>
      </c>
      <c r="E33" s="1" t="s">
        <v>146</v>
      </c>
      <c r="F33" s="1" t="s">
        <v>144</v>
      </c>
      <c r="G33" s="1" t="s">
        <v>37</v>
      </c>
      <c r="H33" s="1" t="s">
        <v>63</v>
      </c>
      <c r="I33" s="1" t="s">
        <v>64</v>
      </c>
      <c r="J33" s="1" t="s">
        <v>40</v>
      </c>
      <c r="K33" s="1" t="s">
        <v>41</v>
      </c>
      <c r="L33" s="1">
        <v>2</v>
      </c>
      <c r="N33" s="1">
        <v>7</v>
      </c>
      <c r="O33" s="1">
        <v>0.95</v>
      </c>
      <c r="P33" s="1">
        <v>0.8</v>
      </c>
      <c r="Q33" s="7">
        <f t="shared" si="0"/>
        <v>0.875</v>
      </c>
      <c r="R33" s="1">
        <v>13.2</v>
      </c>
      <c r="S33" s="1">
        <v>95</v>
      </c>
      <c r="T33" s="68">
        <f t="shared" si="1"/>
        <v>36</v>
      </c>
      <c r="U33" s="1">
        <v>580</v>
      </c>
      <c r="V33" s="2">
        <f t="shared" si="2"/>
        <v>2982.8571428571431</v>
      </c>
      <c r="W33" s="1">
        <v>3</v>
      </c>
      <c r="X33" s="1" t="s">
        <v>51</v>
      </c>
      <c r="Y33" s="1" t="s">
        <v>67</v>
      </c>
      <c r="Z33" s="1" t="s">
        <v>101</v>
      </c>
      <c r="AA33" s="1" t="s">
        <v>112</v>
      </c>
      <c r="AB33" s="1" t="s">
        <v>145</v>
      </c>
    </row>
    <row r="34" spans="1:28" x14ac:dyDescent="0.15">
      <c r="A34" s="1" t="s">
        <v>44</v>
      </c>
      <c r="B34" s="1" t="s">
        <v>143</v>
      </c>
      <c r="C34" s="1">
        <v>2020</v>
      </c>
      <c r="D34" s="76" t="s">
        <v>411</v>
      </c>
      <c r="E34" s="1" t="s">
        <v>146</v>
      </c>
      <c r="F34" s="1" t="s">
        <v>144</v>
      </c>
      <c r="G34" s="1" t="s">
        <v>37</v>
      </c>
      <c r="H34" s="1" t="s">
        <v>63</v>
      </c>
      <c r="I34" s="1" t="s">
        <v>64</v>
      </c>
      <c r="J34" s="1" t="s">
        <v>40</v>
      </c>
      <c r="K34" s="1" t="s">
        <v>41</v>
      </c>
      <c r="L34" s="1">
        <v>3</v>
      </c>
      <c r="N34" s="1">
        <v>7</v>
      </c>
      <c r="O34" s="1">
        <v>0.8</v>
      </c>
      <c r="P34" s="1">
        <v>0.75</v>
      </c>
      <c r="Q34" s="7">
        <f t="shared" si="0"/>
        <v>0.77500000000000002</v>
      </c>
      <c r="R34" s="1">
        <v>13.8</v>
      </c>
      <c r="S34" s="1">
        <v>96</v>
      </c>
      <c r="T34" s="68">
        <f t="shared" si="1"/>
        <v>36</v>
      </c>
      <c r="U34" s="1">
        <v>580</v>
      </c>
      <c r="V34" s="2">
        <f t="shared" si="2"/>
        <v>2982.8571428571431</v>
      </c>
      <c r="W34" s="1">
        <v>3</v>
      </c>
      <c r="X34" s="1" t="s">
        <v>51</v>
      </c>
      <c r="Y34" s="1" t="s">
        <v>67</v>
      </c>
      <c r="Z34" s="1" t="s">
        <v>101</v>
      </c>
      <c r="AA34" s="1" t="s">
        <v>112</v>
      </c>
      <c r="AB34" s="1" t="s">
        <v>145</v>
      </c>
    </row>
    <row r="35" spans="1:28" x14ac:dyDescent="0.15">
      <c r="A35" s="1" t="s">
        <v>44</v>
      </c>
      <c r="B35" s="1" t="s">
        <v>143</v>
      </c>
      <c r="C35" s="1">
        <v>2020</v>
      </c>
      <c r="D35" s="76" t="s">
        <v>411</v>
      </c>
      <c r="E35" s="1" t="s">
        <v>146</v>
      </c>
      <c r="F35" s="1" t="s">
        <v>147</v>
      </c>
      <c r="G35" s="1" t="s">
        <v>37</v>
      </c>
      <c r="H35" s="1" t="s">
        <v>82</v>
      </c>
      <c r="I35" s="1" t="s">
        <v>64</v>
      </c>
      <c r="J35" s="1" t="s">
        <v>40</v>
      </c>
      <c r="K35" s="1" t="s">
        <v>41</v>
      </c>
      <c r="L35" s="1">
        <v>1</v>
      </c>
      <c r="N35" s="1">
        <v>1</v>
      </c>
      <c r="O35" s="1">
        <v>0.9</v>
      </c>
      <c r="P35" s="1">
        <v>1</v>
      </c>
      <c r="Q35" s="7">
        <f t="shared" si="0"/>
        <v>0.95</v>
      </c>
      <c r="R35" s="1">
        <v>15.2</v>
      </c>
      <c r="S35" s="1">
        <v>130</v>
      </c>
      <c r="T35" s="2">
        <f t="shared" si="1"/>
        <v>25</v>
      </c>
      <c r="U35" s="1">
        <v>138</v>
      </c>
      <c r="V35" s="2">
        <f t="shared" si="2"/>
        <v>3450</v>
      </c>
      <c r="W35" s="1">
        <v>4</v>
      </c>
      <c r="X35" s="1" t="s">
        <v>51</v>
      </c>
      <c r="Y35" s="1" t="s">
        <v>67</v>
      </c>
      <c r="Z35" s="1" t="s">
        <v>101</v>
      </c>
      <c r="AA35" s="1" t="s">
        <v>52</v>
      </c>
      <c r="AB35" s="1" t="s">
        <v>145</v>
      </c>
    </row>
    <row r="36" spans="1:28" x14ac:dyDescent="0.15">
      <c r="A36" s="1" t="s">
        <v>44</v>
      </c>
      <c r="B36" s="1" t="s">
        <v>143</v>
      </c>
      <c r="C36" s="1">
        <v>2020</v>
      </c>
      <c r="D36" s="76" t="s">
        <v>411</v>
      </c>
      <c r="E36" s="1" t="s">
        <v>146</v>
      </c>
      <c r="F36" s="1" t="s">
        <v>147</v>
      </c>
      <c r="G36" s="1" t="s">
        <v>37</v>
      </c>
      <c r="H36" s="1" t="s">
        <v>82</v>
      </c>
      <c r="I36" s="1" t="s">
        <v>64</v>
      </c>
      <c r="J36" s="1" t="s">
        <v>40</v>
      </c>
      <c r="K36" s="1" t="s">
        <v>41</v>
      </c>
      <c r="L36" s="1">
        <v>2</v>
      </c>
      <c r="N36" s="1">
        <v>1</v>
      </c>
      <c r="O36" s="1">
        <v>0.85</v>
      </c>
      <c r="P36" s="1">
        <v>0.8</v>
      </c>
      <c r="Q36" s="7">
        <f t="shared" si="0"/>
        <v>0.82499999999999996</v>
      </c>
      <c r="R36" s="1">
        <v>14.1</v>
      </c>
      <c r="S36" s="1">
        <v>129</v>
      </c>
      <c r="T36" s="2">
        <f t="shared" si="1"/>
        <v>25</v>
      </c>
      <c r="U36" s="1">
        <v>138</v>
      </c>
      <c r="V36" s="2">
        <f t="shared" si="2"/>
        <v>3450</v>
      </c>
      <c r="W36" s="1">
        <v>4</v>
      </c>
      <c r="X36" s="1" t="s">
        <v>51</v>
      </c>
      <c r="Y36" s="1" t="s">
        <v>67</v>
      </c>
      <c r="Z36" s="1" t="s">
        <v>101</v>
      </c>
      <c r="AA36" s="1" t="s">
        <v>52</v>
      </c>
      <c r="AB36" s="1" t="s">
        <v>145</v>
      </c>
    </row>
    <row r="37" spans="1:28" x14ac:dyDescent="0.15">
      <c r="A37" s="1" t="s">
        <v>44</v>
      </c>
      <c r="B37" s="1" t="s">
        <v>143</v>
      </c>
      <c r="C37" s="1">
        <v>2020</v>
      </c>
      <c r="D37" s="76" t="s">
        <v>411</v>
      </c>
      <c r="E37" s="1" t="s">
        <v>146</v>
      </c>
      <c r="F37" s="1" t="s">
        <v>147</v>
      </c>
      <c r="G37" s="1" t="s">
        <v>37</v>
      </c>
      <c r="H37" s="1" t="s">
        <v>82</v>
      </c>
      <c r="I37" s="1" t="s">
        <v>64</v>
      </c>
      <c r="J37" s="1" t="s">
        <v>40</v>
      </c>
      <c r="K37" s="1" t="s">
        <v>41</v>
      </c>
      <c r="L37" s="1">
        <v>3</v>
      </c>
      <c r="N37" s="1">
        <v>1</v>
      </c>
      <c r="O37" s="1">
        <v>0.65</v>
      </c>
      <c r="P37" s="1">
        <v>0.45</v>
      </c>
      <c r="Q37" s="7">
        <f t="shared" si="0"/>
        <v>0.55000000000000004</v>
      </c>
      <c r="R37" s="1">
        <v>13.8</v>
      </c>
      <c r="S37" s="1">
        <v>131</v>
      </c>
      <c r="T37" s="2">
        <f t="shared" si="1"/>
        <v>25</v>
      </c>
      <c r="U37" s="1">
        <v>138</v>
      </c>
      <c r="V37" s="2">
        <f t="shared" si="2"/>
        <v>3450</v>
      </c>
      <c r="W37" s="1">
        <v>4</v>
      </c>
      <c r="X37" s="1" t="s">
        <v>51</v>
      </c>
      <c r="Y37" s="1" t="s">
        <v>67</v>
      </c>
      <c r="Z37" s="1" t="s">
        <v>101</v>
      </c>
      <c r="AA37" s="1" t="s">
        <v>52</v>
      </c>
      <c r="AB37" s="1" t="s">
        <v>145</v>
      </c>
    </row>
    <row r="38" spans="1:28" x14ac:dyDescent="0.15">
      <c r="A38" s="1" t="s">
        <v>44</v>
      </c>
      <c r="B38" s="1" t="s">
        <v>143</v>
      </c>
      <c r="C38" s="1">
        <v>2020</v>
      </c>
      <c r="D38" s="76" t="s">
        <v>411</v>
      </c>
      <c r="E38" s="1" t="s">
        <v>146</v>
      </c>
      <c r="F38" s="1" t="s">
        <v>147</v>
      </c>
      <c r="G38" s="1" t="s">
        <v>37</v>
      </c>
      <c r="H38" s="1" t="s">
        <v>82</v>
      </c>
      <c r="I38" s="1" t="s">
        <v>64</v>
      </c>
      <c r="J38" s="1" t="s">
        <v>40</v>
      </c>
      <c r="K38" s="1" t="s">
        <v>41</v>
      </c>
      <c r="L38" s="1">
        <v>1</v>
      </c>
      <c r="N38" s="1">
        <v>4</v>
      </c>
      <c r="O38" s="1">
        <v>0.45</v>
      </c>
      <c r="P38" s="1">
        <v>0.5</v>
      </c>
      <c r="Q38" s="7">
        <f t="shared" si="0"/>
        <v>0.47499999999999998</v>
      </c>
      <c r="R38" s="1">
        <v>16.600000000000001</v>
      </c>
      <c r="S38" s="1">
        <v>124</v>
      </c>
      <c r="T38" s="68">
        <f t="shared" si="1"/>
        <v>27</v>
      </c>
      <c r="U38" s="1">
        <v>498</v>
      </c>
      <c r="V38" s="68">
        <f t="shared" si="2"/>
        <v>3361.5</v>
      </c>
      <c r="W38" s="1">
        <v>3</v>
      </c>
      <c r="X38" s="1" t="s">
        <v>51</v>
      </c>
      <c r="Y38" s="1" t="s">
        <v>67</v>
      </c>
      <c r="Z38" s="1" t="s">
        <v>101</v>
      </c>
      <c r="AA38" s="1" t="s">
        <v>52</v>
      </c>
      <c r="AB38" s="1" t="s">
        <v>145</v>
      </c>
    </row>
    <row r="39" spans="1:28" x14ac:dyDescent="0.15">
      <c r="A39" s="1" t="s">
        <v>44</v>
      </c>
      <c r="B39" s="1" t="s">
        <v>143</v>
      </c>
      <c r="C39" s="1">
        <v>2020</v>
      </c>
      <c r="D39" s="76" t="s">
        <v>411</v>
      </c>
      <c r="E39" s="1" t="s">
        <v>146</v>
      </c>
      <c r="F39" s="1" t="s">
        <v>147</v>
      </c>
      <c r="G39" s="1" t="s">
        <v>37</v>
      </c>
      <c r="H39" s="1" t="s">
        <v>82</v>
      </c>
      <c r="I39" s="1" t="s">
        <v>64</v>
      </c>
      <c r="J39" s="1" t="s">
        <v>40</v>
      </c>
      <c r="K39" s="1" t="s">
        <v>41</v>
      </c>
      <c r="L39" s="1">
        <v>2</v>
      </c>
      <c r="N39" s="1">
        <v>4</v>
      </c>
      <c r="O39" s="1">
        <v>0.3</v>
      </c>
      <c r="P39" s="1">
        <v>0.3</v>
      </c>
      <c r="Q39" s="7">
        <f t="shared" si="0"/>
        <v>0.3</v>
      </c>
      <c r="R39" s="1">
        <v>15.8</v>
      </c>
      <c r="S39" s="1">
        <v>120</v>
      </c>
      <c r="T39" s="68">
        <f t="shared" si="1"/>
        <v>30</v>
      </c>
      <c r="U39" s="1">
        <v>498</v>
      </c>
      <c r="V39" s="68">
        <f t="shared" si="2"/>
        <v>3735</v>
      </c>
      <c r="W39" s="1">
        <v>3</v>
      </c>
      <c r="X39" s="1" t="s">
        <v>51</v>
      </c>
      <c r="Y39" s="1" t="s">
        <v>67</v>
      </c>
      <c r="Z39" s="1" t="s">
        <v>101</v>
      </c>
      <c r="AA39" s="1" t="s">
        <v>52</v>
      </c>
      <c r="AB39" s="1" t="s">
        <v>145</v>
      </c>
    </row>
    <row r="40" spans="1:28" x14ac:dyDescent="0.15">
      <c r="A40" s="1" t="s">
        <v>44</v>
      </c>
      <c r="B40" s="1" t="s">
        <v>143</v>
      </c>
      <c r="C40" s="1">
        <v>2020</v>
      </c>
      <c r="D40" s="76" t="s">
        <v>411</v>
      </c>
      <c r="E40" s="1" t="s">
        <v>146</v>
      </c>
      <c r="F40" s="1" t="s">
        <v>147</v>
      </c>
      <c r="G40" s="1" t="s">
        <v>37</v>
      </c>
      <c r="H40" s="1" t="s">
        <v>82</v>
      </c>
      <c r="I40" s="1" t="s">
        <v>64</v>
      </c>
      <c r="J40" s="1" t="s">
        <v>40</v>
      </c>
      <c r="K40" s="1" t="s">
        <v>41</v>
      </c>
      <c r="L40" s="1">
        <v>3</v>
      </c>
      <c r="N40" s="1">
        <v>4</v>
      </c>
      <c r="O40" s="1">
        <v>0.35</v>
      </c>
      <c r="P40" s="1">
        <v>0.35</v>
      </c>
      <c r="Q40" s="7">
        <f t="shared" si="0"/>
        <v>0.35</v>
      </c>
      <c r="R40" s="1">
        <v>17.899999999999999</v>
      </c>
      <c r="S40" s="1">
        <v>121</v>
      </c>
      <c r="T40" s="68">
        <f t="shared" si="1"/>
        <v>27</v>
      </c>
      <c r="U40" s="1">
        <v>498</v>
      </c>
      <c r="V40" s="68">
        <f t="shared" si="2"/>
        <v>3361.5</v>
      </c>
      <c r="W40" s="1">
        <v>3</v>
      </c>
      <c r="X40" s="1" t="s">
        <v>51</v>
      </c>
      <c r="Y40" s="1" t="s">
        <v>67</v>
      </c>
      <c r="Z40" s="1" t="s">
        <v>101</v>
      </c>
      <c r="AA40" s="1" t="s">
        <v>52</v>
      </c>
      <c r="AB40" s="1" t="s">
        <v>145</v>
      </c>
    </row>
    <row r="41" spans="1:28" x14ac:dyDescent="0.15">
      <c r="A41" s="1" t="s">
        <v>44</v>
      </c>
      <c r="B41" s="1" t="s">
        <v>143</v>
      </c>
      <c r="C41" s="1">
        <v>2020</v>
      </c>
      <c r="D41" s="76" t="s">
        <v>411</v>
      </c>
      <c r="E41" s="1" t="s">
        <v>146</v>
      </c>
      <c r="F41" s="1" t="s">
        <v>147</v>
      </c>
      <c r="G41" s="1" t="s">
        <v>37</v>
      </c>
      <c r="H41" s="1" t="s">
        <v>82</v>
      </c>
      <c r="I41" s="1" t="s">
        <v>64</v>
      </c>
      <c r="J41" s="1" t="s">
        <v>40</v>
      </c>
      <c r="K41" s="1" t="s">
        <v>41</v>
      </c>
      <c r="L41" s="1">
        <v>1</v>
      </c>
      <c r="N41" s="1">
        <v>6</v>
      </c>
      <c r="O41" s="1">
        <v>0.25</v>
      </c>
      <c r="P41" s="1">
        <v>0.25</v>
      </c>
      <c r="Q41" s="7">
        <f t="shared" si="0"/>
        <v>0.25</v>
      </c>
      <c r="R41" s="1">
        <v>15.8</v>
      </c>
      <c r="S41" s="1">
        <v>111</v>
      </c>
      <c r="T41" s="68">
        <f t="shared" si="1"/>
        <v>33</v>
      </c>
      <c r="U41" s="1">
        <v>680</v>
      </c>
      <c r="V41" s="68">
        <f t="shared" si="2"/>
        <v>3740</v>
      </c>
      <c r="W41" s="1">
        <v>2</v>
      </c>
      <c r="X41" s="1" t="s">
        <v>51</v>
      </c>
      <c r="Y41" s="1" t="s">
        <v>67</v>
      </c>
      <c r="Z41" s="1" t="s">
        <v>101</v>
      </c>
      <c r="AA41" s="1" t="s">
        <v>52</v>
      </c>
      <c r="AB41" s="1" t="s">
        <v>145</v>
      </c>
    </row>
    <row r="42" spans="1:28" x14ac:dyDescent="0.15">
      <c r="A42" s="1" t="s">
        <v>44</v>
      </c>
      <c r="B42" s="1" t="s">
        <v>143</v>
      </c>
      <c r="C42" s="1">
        <v>2020</v>
      </c>
      <c r="D42" s="76" t="s">
        <v>411</v>
      </c>
      <c r="E42" s="1" t="s">
        <v>146</v>
      </c>
      <c r="F42" s="1" t="s">
        <v>147</v>
      </c>
      <c r="G42" s="1" t="s">
        <v>37</v>
      </c>
      <c r="H42" s="1" t="s">
        <v>82</v>
      </c>
      <c r="I42" s="1" t="s">
        <v>64</v>
      </c>
      <c r="J42" s="1" t="s">
        <v>40</v>
      </c>
      <c r="K42" s="1" t="s">
        <v>41</v>
      </c>
      <c r="L42" s="1">
        <v>2</v>
      </c>
      <c r="N42" s="1">
        <v>6</v>
      </c>
      <c r="O42" s="1">
        <v>0.3</v>
      </c>
      <c r="P42" s="1">
        <v>0.25</v>
      </c>
      <c r="Q42" s="7">
        <f t="shared" si="0"/>
        <v>0.27500000000000002</v>
      </c>
      <c r="R42" s="1">
        <v>18.100000000000001</v>
      </c>
      <c r="S42" s="1">
        <v>112</v>
      </c>
      <c r="T42" s="68">
        <f t="shared" si="1"/>
        <v>33</v>
      </c>
      <c r="U42" s="1">
        <v>680</v>
      </c>
      <c r="V42" s="2">
        <f t="shared" si="2"/>
        <v>3740</v>
      </c>
      <c r="W42" s="1">
        <v>2</v>
      </c>
      <c r="X42" s="1" t="s">
        <v>51</v>
      </c>
      <c r="Y42" s="1" t="s">
        <v>67</v>
      </c>
      <c r="Z42" s="1" t="s">
        <v>101</v>
      </c>
      <c r="AA42" s="1" t="s">
        <v>52</v>
      </c>
      <c r="AB42" s="1" t="s">
        <v>145</v>
      </c>
    </row>
    <row r="43" spans="1:28" x14ac:dyDescent="0.15">
      <c r="A43" s="1" t="s">
        <v>44</v>
      </c>
      <c r="B43" s="1" t="s">
        <v>143</v>
      </c>
      <c r="C43" s="1">
        <v>2020</v>
      </c>
      <c r="D43" s="76" t="s">
        <v>411</v>
      </c>
      <c r="E43" s="1" t="s">
        <v>146</v>
      </c>
      <c r="F43" s="1" t="s">
        <v>147</v>
      </c>
      <c r="G43" s="1" t="s">
        <v>37</v>
      </c>
      <c r="H43" s="1" t="s">
        <v>82</v>
      </c>
      <c r="I43" s="1" t="s">
        <v>64</v>
      </c>
      <c r="J43" s="1" t="s">
        <v>40</v>
      </c>
      <c r="K43" s="1" t="s">
        <v>41</v>
      </c>
      <c r="L43" s="1">
        <v>3</v>
      </c>
      <c r="N43" s="1">
        <v>6</v>
      </c>
      <c r="O43" s="1">
        <v>0.3</v>
      </c>
      <c r="P43" s="1">
        <v>0.3</v>
      </c>
      <c r="Q43" s="7">
        <f t="shared" si="0"/>
        <v>0.3</v>
      </c>
      <c r="R43" s="1">
        <v>15.2</v>
      </c>
      <c r="S43" s="1">
        <v>108</v>
      </c>
      <c r="T43" s="68">
        <f t="shared" si="1"/>
        <v>33</v>
      </c>
      <c r="U43" s="1">
        <v>680</v>
      </c>
      <c r="V43" s="2">
        <f t="shared" si="2"/>
        <v>3740</v>
      </c>
      <c r="W43" s="1">
        <v>2</v>
      </c>
      <c r="X43" s="1" t="s">
        <v>51</v>
      </c>
      <c r="Y43" s="1" t="s">
        <v>67</v>
      </c>
      <c r="Z43" s="1" t="s">
        <v>101</v>
      </c>
      <c r="AA43" s="1" t="s">
        <v>52</v>
      </c>
      <c r="AB43" s="1" t="s">
        <v>145</v>
      </c>
    </row>
    <row r="44" spans="1:28" x14ac:dyDescent="0.15">
      <c r="A44" s="1" t="s">
        <v>44</v>
      </c>
      <c r="B44" s="1" t="s">
        <v>143</v>
      </c>
      <c r="C44" s="1">
        <v>2020</v>
      </c>
      <c r="D44" s="76" t="s">
        <v>411</v>
      </c>
      <c r="E44" s="1" t="s">
        <v>146</v>
      </c>
      <c r="F44" s="1" t="s">
        <v>147</v>
      </c>
      <c r="G44" s="1" t="s">
        <v>37</v>
      </c>
      <c r="H44" s="1" t="s">
        <v>63</v>
      </c>
      <c r="I44" s="1" t="s">
        <v>64</v>
      </c>
      <c r="J44" s="1" t="s">
        <v>40</v>
      </c>
      <c r="K44" s="1" t="s">
        <v>41</v>
      </c>
      <c r="L44" s="1">
        <v>1</v>
      </c>
      <c r="N44" s="1">
        <v>1</v>
      </c>
      <c r="O44" s="1">
        <v>0.8</v>
      </c>
      <c r="P44" s="1">
        <v>0.85</v>
      </c>
      <c r="Q44" s="7">
        <f t="shared" si="0"/>
        <v>0.82499999999999996</v>
      </c>
      <c r="R44" s="1">
        <v>14</v>
      </c>
      <c r="S44" s="1">
        <v>124</v>
      </c>
      <c r="T44" s="2">
        <f t="shared" si="1"/>
        <v>27</v>
      </c>
      <c r="U44" s="1">
        <v>138</v>
      </c>
      <c r="V44" s="2">
        <f t="shared" si="2"/>
        <v>3726</v>
      </c>
      <c r="W44" s="1">
        <v>4</v>
      </c>
      <c r="X44" s="1" t="s">
        <v>51</v>
      </c>
      <c r="Y44" s="1" t="s">
        <v>67</v>
      </c>
      <c r="Z44" s="1" t="s">
        <v>101</v>
      </c>
      <c r="AA44" s="1" t="s">
        <v>52</v>
      </c>
      <c r="AB44" s="1" t="s">
        <v>145</v>
      </c>
    </row>
    <row r="45" spans="1:28" x14ac:dyDescent="0.15">
      <c r="A45" s="1" t="s">
        <v>44</v>
      </c>
      <c r="B45" s="1" t="s">
        <v>143</v>
      </c>
      <c r="C45" s="1">
        <v>2020</v>
      </c>
      <c r="D45" s="76" t="s">
        <v>411</v>
      </c>
      <c r="E45" s="1" t="s">
        <v>146</v>
      </c>
      <c r="F45" s="1" t="s">
        <v>147</v>
      </c>
      <c r="G45" s="1" t="s">
        <v>37</v>
      </c>
      <c r="H45" s="1" t="s">
        <v>63</v>
      </c>
      <c r="I45" s="1" t="s">
        <v>64</v>
      </c>
      <c r="J45" s="1" t="s">
        <v>40</v>
      </c>
      <c r="K45" s="1" t="s">
        <v>41</v>
      </c>
      <c r="L45" s="1">
        <v>2</v>
      </c>
      <c r="N45" s="1">
        <v>1</v>
      </c>
      <c r="O45" s="1">
        <v>0.65</v>
      </c>
      <c r="P45" s="1">
        <v>0.7</v>
      </c>
      <c r="Q45" s="7">
        <f t="shared" si="0"/>
        <v>0.67500000000000004</v>
      </c>
      <c r="R45" s="1">
        <v>12.9</v>
      </c>
      <c r="S45" s="1">
        <v>126</v>
      </c>
      <c r="T45" s="2">
        <f t="shared" si="1"/>
        <v>27</v>
      </c>
      <c r="U45" s="1">
        <v>138</v>
      </c>
      <c r="V45" s="2">
        <f t="shared" si="2"/>
        <v>3726</v>
      </c>
      <c r="W45" s="1">
        <v>4</v>
      </c>
      <c r="X45" s="1" t="s">
        <v>51</v>
      </c>
      <c r="Y45" s="1" t="s">
        <v>67</v>
      </c>
      <c r="Z45" s="1" t="s">
        <v>101</v>
      </c>
      <c r="AA45" s="1" t="s">
        <v>52</v>
      </c>
      <c r="AB45" s="1" t="s">
        <v>145</v>
      </c>
    </row>
    <row r="46" spans="1:28" x14ac:dyDescent="0.15">
      <c r="A46" s="1" t="s">
        <v>44</v>
      </c>
      <c r="B46" s="1" t="s">
        <v>143</v>
      </c>
      <c r="C46" s="1">
        <v>2020</v>
      </c>
      <c r="D46" s="76" t="s">
        <v>411</v>
      </c>
      <c r="E46" s="1" t="s">
        <v>146</v>
      </c>
      <c r="F46" s="1" t="s">
        <v>147</v>
      </c>
      <c r="G46" s="1" t="s">
        <v>37</v>
      </c>
      <c r="H46" s="1" t="s">
        <v>63</v>
      </c>
      <c r="I46" s="1" t="s">
        <v>64</v>
      </c>
      <c r="J46" s="1" t="s">
        <v>40</v>
      </c>
      <c r="K46" s="1" t="s">
        <v>41</v>
      </c>
      <c r="L46" s="1">
        <v>3</v>
      </c>
      <c r="N46" s="1">
        <v>1</v>
      </c>
      <c r="O46" s="1">
        <v>0.8</v>
      </c>
      <c r="P46" s="1">
        <v>0.85</v>
      </c>
      <c r="Q46" s="7">
        <f t="shared" si="0"/>
        <v>0.82499999999999996</v>
      </c>
      <c r="R46" s="1">
        <v>14.1</v>
      </c>
      <c r="S46" s="1">
        <v>128</v>
      </c>
      <c r="T46" s="2">
        <f t="shared" si="1"/>
        <v>27</v>
      </c>
      <c r="U46" s="1">
        <v>138</v>
      </c>
      <c r="V46" s="2">
        <f t="shared" si="2"/>
        <v>3726</v>
      </c>
      <c r="W46" s="1">
        <v>4</v>
      </c>
      <c r="X46" s="1" t="s">
        <v>51</v>
      </c>
      <c r="Y46" s="1" t="s">
        <v>67</v>
      </c>
      <c r="Z46" s="1" t="s">
        <v>101</v>
      </c>
      <c r="AA46" s="1" t="s">
        <v>52</v>
      </c>
      <c r="AB46" s="1" t="s">
        <v>145</v>
      </c>
    </row>
    <row r="47" spans="1:28" x14ac:dyDescent="0.15">
      <c r="A47" s="1" t="s">
        <v>44</v>
      </c>
      <c r="B47" s="1" t="s">
        <v>143</v>
      </c>
      <c r="C47" s="1">
        <v>2020</v>
      </c>
      <c r="D47" s="76" t="s">
        <v>411</v>
      </c>
      <c r="E47" s="1" t="s">
        <v>146</v>
      </c>
      <c r="F47" s="1" t="s">
        <v>147</v>
      </c>
      <c r="G47" s="1" t="s">
        <v>37</v>
      </c>
      <c r="H47" s="1" t="s">
        <v>63</v>
      </c>
      <c r="I47" s="1" t="s">
        <v>64</v>
      </c>
      <c r="J47" s="1" t="s">
        <v>40</v>
      </c>
      <c r="K47" s="1" t="s">
        <v>41</v>
      </c>
      <c r="L47" s="1">
        <v>1</v>
      </c>
      <c r="N47" s="1">
        <v>5</v>
      </c>
      <c r="O47" s="1">
        <v>1</v>
      </c>
      <c r="P47" s="1">
        <v>0.85</v>
      </c>
      <c r="Q47" s="7">
        <f t="shared" si="0"/>
        <v>0.92500000000000004</v>
      </c>
      <c r="R47" s="1">
        <v>12.8</v>
      </c>
      <c r="S47" s="1">
        <v>101</v>
      </c>
      <c r="T47" s="2">
        <f t="shared" si="1"/>
        <v>33</v>
      </c>
      <c r="U47" s="1">
        <v>398</v>
      </c>
      <c r="V47" s="2">
        <f t="shared" si="2"/>
        <v>2626.7999999999997</v>
      </c>
      <c r="W47" s="1">
        <v>3</v>
      </c>
      <c r="X47" s="1" t="s">
        <v>51</v>
      </c>
      <c r="Y47" s="1" t="s">
        <v>67</v>
      </c>
      <c r="Z47" s="1" t="s">
        <v>101</v>
      </c>
      <c r="AA47" s="1" t="s">
        <v>52</v>
      </c>
      <c r="AB47" s="1" t="s">
        <v>145</v>
      </c>
    </row>
    <row r="48" spans="1:28" x14ac:dyDescent="0.15">
      <c r="A48" s="1" t="s">
        <v>44</v>
      </c>
      <c r="B48" s="1" t="s">
        <v>143</v>
      </c>
      <c r="C48" s="1">
        <v>2020</v>
      </c>
      <c r="D48" s="76" t="s">
        <v>411</v>
      </c>
      <c r="E48" s="1" t="s">
        <v>146</v>
      </c>
      <c r="F48" s="1" t="s">
        <v>147</v>
      </c>
      <c r="G48" s="1" t="s">
        <v>37</v>
      </c>
      <c r="H48" s="1" t="s">
        <v>63</v>
      </c>
      <c r="I48" s="1" t="s">
        <v>64</v>
      </c>
      <c r="J48" s="1" t="s">
        <v>40</v>
      </c>
      <c r="K48" s="1" t="s">
        <v>41</v>
      </c>
      <c r="L48" s="1">
        <v>2</v>
      </c>
      <c r="N48" s="1">
        <v>5</v>
      </c>
      <c r="O48" s="1">
        <v>0.65</v>
      </c>
      <c r="P48" s="1">
        <v>0.85</v>
      </c>
      <c r="Q48" s="7">
        <f t="shared" si="0"/>
        <v>0.75</v>
      </c>
      <c r="R48" s="1">
        <v>15.2</v>
      </c>
      <c r="S48" s="1">
        <v>100</v>
      </c>
      <c r="T48" s="2">
        <f t="shared" si="1"/>
        <v>33</v>
      </c>
      <c r="U48" s="1">
        <v>398</v>
      </c>
      <c r="V48" s="2">
        <f t="shared" si="2"/>
        <v>2626.7999999999997</v>
      </c>
      <c r="W48" s="1">
        <v>3</v>
      </c>
      <c r="X48" s="1" t="s">
        <v>51</v>
      </c>
      <c r="Y48" s="1" t="s">
        <v>67</v>
      </c>
      <c r="Z48" s="1" t="s">
        <v>101</v>
      </c>
      <c r="AA48" s="1" t="s">
        <v>52</v>
      </c>
      <c r="AB48" s="1" t="s">
        <v>145</v>
      </c>
    </row>
    <row r="49" spans="1:28" x14ac:dyDescent="0.15">
      <c r="A49" s="1" t="s">
        <v>44</v>
      </c>
      <c r="B49" s="1" t="s">
        <v>143</v>
      </c>
      <c r="C49" s="1">
        <v>2020</v>
      </c>
      <c r="D49" s="76" t="s">
        <v>411</v>
      </c>
      <c r="E49" s="1" t="s">
        <v>146</v>
      </c>
      <c r="F49" s="1" t="s">
        <v>147</v>
      </c>
      <c r="G49" s="1" t="s">
        <v>37</v>
      </c>
      <c r="H49" s="1" t="s">
        <v>63</v>
      </c>
      <c r="I49" s="1" t="s">
        <v>64</v>
      </c>
      <c r="J49" s="1" t="s">
        <v>40</v>
      </c>
      <c r="K49" s="1" t="s">
        <v>41</v>
      </c>
      <c r="L49" s="1">
        <v>3</v>
      </c>
      <c r="N49" s="1">
        <v>5</v>
      </c>
      <c r="O49" s="1">
        <v>0.8</v>
      </c>
      <c r="P49" s="1">
        <v>0.9</v>
      </c>
      <c r="Q49" s="7">
        <f t="shared" si="0"/>
        <v>0.85000000000000009</v>
      </c>
      <c r="R49" s="1">
        <v>14.7</v>
      </c>
      <c r="S49" s="1">
        <v>103</v>
      </c>
      <c r="T49" s="2">
        <f t="shared" si="1"/>
        <v>33</v>
      </c>
      <c r="U49" s="1">
        <v>398</v>
      </c>
      <c r="V49" s="2">
        <f t="shared" si="2"/>
        <v>2626.7999999999997</v>
      </c>
      <c r="W49" s="1">
        <v>3</v>
      </c>
      <c r="X49" s="1" t="s">
        <v>51</v>
      </c>
      <c r="Y49" s="1" t="s">
        <v>67</v>
      </c>
      <c r="Z49" s="1" t="s">
        <v>101</v>
      </c>
      <c r="AA49" s="1" t="s">
        <v>52</v>
      </c>
      <c r="AB49" s="1" t="s">
        <v>145</v>
      </c>
    </row>
    <row r="50" spans="1:28" x14ac:dyDescent="0.15">
      <c r="A50" s="1" t="s">
        <v>44</v>
      </c>
      <c r="B50" s="1" t="s">
        <v>143</v>
      </c>
      <c r="C50" s="1">
        <v>2020</v>
      </c>
      <c r="D50" s="76" t="s">
        <v>411</v>
      </c>
      <c r="E50" s="1" t="s">
        <v>146</v>
      </c>
      <c r="F50" s="1" t="s">
        <v>147</v>
      </c>
      <c r="G50" s="1" t="s">
        <v>37</v>
      </c>
      <c r="H50" s="1" t="s">
        <v>63</v>
      </c>
      <c r="I50" s="1" t="s">
        <v>64</v>
      </c>
      <c r="J50" s="1" t="s">
        <v>40</v>
      </c>
      <c r="K50" s="1" t="s">
        <v>41</v>
      </c>
      <c r="L50" s="1">
        <v>1</v>
      </c>
      <c r="N50" s="1">
        <v>7</v>
      </c>
      <c r="O50" s="1">
        <v>0.45</v>
      </c>
      <c r="P50" s="1">
        <v>0.45</v>
      </c>
      <c r="Q50" s="7">
        <f t="shared" si="0"/>
        <v>0.45</v>
      </c>
      <c r="R50" s="1">
        <v>15.1</v>
      </c>
      <c r="S50" s="1">
        <v>95</v>
      </c>
      <c r="T50" s="2">
        <f t="shared" si="1"/>
        <v>36</v>
      </c>
      <c r="U50" s="1">
        <v>580</v>
      </c>
      <c r="V50" s="2">
        <f t="shared" si="2"/>
        <v>2982.8571428571431</v>
      </c>
      <c r="W50" s="1">
        <v>2</v>
      </c>
      <c r="X50" s="1" t="s">
        <v>51</v>
      </c>
      <c r="Y50" s="1" t="s">
        <v>67</v>
      </c>
      <c r="Z50" s="1" t="s">
        <v>101</v>
      </c>
      <c r="AA50" s="1" t="s">
        <v>52</v>
      </c>
      <c r="AB50" s="1" t="s">
        <v>145</v>
      </c>
    </row>
    <row r="51" spans="1:28" x14ac:dyDescent="0.15">
      <c r="A51" s="1" t="s">
        <v>44</v>
      </c>
      <c r="B51" s="1" t="s">
        <v>143</v>
      </c>
      <c r="C51" s="1">
        <v>2020</v>
      </c>
      <c r="D51" s="76" t="s">
        <v>411</v>
      </c>
      <c r="E51" s="1" t="s">
        <v>146</v>
      </c>
      <c r="F51" s="1" t="s">
        <v>147</v>
      </c>
      <c r="G51" s="1" t="s">
        <v>37</v>
      </c>
      <c r="H51" s="1" t="s">
        <v>63</v>
      </c>
      <c r="I51" s="1" t="s">
        <v>64</v>
      </c>
      <c r="J51" s="1" t="s">
        <v>40</v>
      </c>
      <c r="K51" s="1" t="s">
        <v>41</v>
      </c>
      <c r="L51" s="1">
        <v>2</v>
      </c>
      <c r="N51" s="1">
        <v>7</v>
      </c>
      <c r="O51" s="1">
        <v>0.6</v>
      </c>
      <c r="P51" s="1">
        <v>0.45</v>
      </c>
      <c r="Q51" s="7">
        <f t="shared" si="0"/>
        <v>0.52500000000000002</v>
      </c>
      <c r="R51" s="1">
        <v>15.9</v>
      </c>
      <c r="S51" s="1">
        <v>103</v>
      </c>
      <c r="T51" s="2">
        <f t="shared" si="1"/>
        <v>33</v>
      </c>
      <c r="U51" s="1">
        <v>580</v>
      </c>
      <c r="V51" s="2">
        <f t="shared" si="2"/>
        <v>2734.2857142857142</v>
      </c>
      <c r="W51" s="1">
        <v>2</v>
      </c>
      <c r="X51" s="1" t="s">
        <v>51</v>
      </c>
      <c r="Y51" s="1" t="s">
        <v>67</v>
      </c>
      <c r="Z51" s="1" t="s">
        <v>101</v>
      </c>
      <c r="AA51" s="1" t="s">
        <v>52</v>
      </c>
      <c r="AB51" s="1" t="s">
        <v>145</v>
      </c>
    </row>
    <row r="52" spans="1:28" x14ac:dyDescent="0.15">
      <c r="A52" s="1" t="s">
        <v>44</v>
      </c>
      <c r="B52" s="1" t="s">
        <v>143</v>
      </c>
      <c r="C52" s="1">
        <v>2020</v>
      </c>
      <c r="D52" s="76" t="s">
        <v>411</v>
      </c>
      <c r="E52" s="1" t="s">
        <v>146</v>
      </c>
      <c r="F52" s="1" t="s">
        <v>147</v>
      </c>
      <c r="G52" s="1" t="s">
        <v>37</v>
      </c>
      <c r="H52" s="1" t="s">
        <v>63</v>
      </c>
      <c r="I52" s="1" t="s">
        <v>64</v>
      </c>
      <c r="J52" s="1" t="s">
        <v>40</v>
      </c>
      <c r="K52" s="1" t="s">
        <v>41</v>
      </c>
      <c r="L52" s="1">
        <v>3</v>
      </c>
      <c r="N52" s="1">
        <v>7</v>
      </c>
      <c r="O52" s="1">
        <v>0.5</v>
      </c>
      <c r="P52" s="1">
        <v>0.5</v>
      </c>
      <c r="Q52" s="7">
        <f t="shared" si="0"/>
        <v>0.5</v>
      </c>
      <c r="R52" s="1">
        <v>14.9</v>
      </c>
      <c r="S52" s="1">
        <v>95</v>
      </c>
      <c r="T52" s="2">
        <f t="shared" si="1"/>
        <v>36</v>
      </c>
      <c r="U52" s="1">
        <v>580</v>
      </c>
      <c r="V52" s="2">
        <f t="shared" si="2"/>
        <v>2982.8571428571431</v>
      </c>
      <c r="W52" s="1">
        <v>2</v>
      </c>
      <c r="X52" s="1" t="s">
        <v>51</v>
      </c>
      <c r="Y52" s="1" t="s">
        <v>67</v>
      </c>
      <c r="Z52" s="1" t="s">
        <v>101</v>
      </c>
      <c r="AA52" s="1" t="s">
        <v>52</v>
      </c>
      <c r="AB52" s="1" t="s">
        <v>145</v>
      </c>
    </row>
    <row r="53" spans="1:28" x14ac:dyDescent="0.15">
      <c r="A53" s="1" t="s">
        <v>44</v>
      </c>
      <c r="B53" s="1" t="s">
        <v>143</v>
      </c>
      <c r="C53" s="1">
        <v>2020</v>
      </c>
      <c r="D53" s="76" t="s">
        <v>411</v>
      </c>
      <c r="E53" s="1" t="s">
        <v>148</v>
      </c>
      <c r="F53" s="1" t="s">
        <v>144</v>
      </c>
      <c r="G53" s="1" t="s">
        <v>37</v>
      </c>
      <c r="H53" s="1" t="s">
        <v>63</v>
      </c>
      <c r="I53" s="1" t="s">
        <v>64</v>
      </c>
      <c r="J53" s="1" t="s">
        <v>40</v>
      </c>
      <c r="K53" s="1" t="s">
        <v>41</v>
      </c>
      <c r="L53" s="1">
        <v>1</v>
      </c>
      <c r="N53" s="1">
        <v>5</v>
      </c>
      <c r="O53" s="1">
        <v>0.35</v>
      </c>
      <c r="P53" s="1">
        <v>0.3</v>
      </c>
      <c r="Q53" s="7">
        <f t="shared" si="0"/>
        <v>0.32499999999999996</v>
      </c>
      <c r="R53" s="1">
        <v>10.5</v>
      </c>
      <c r="S53" s="1">
        <v>120</v>
      </c>
      <c r="T53" s="2">
        <f t="shared" si="1"/>
        <v>30</v>
      </c>
      <c r="U53" s="1">
        <v>398</v>
      </c>
      <c r="V53" s="2">
        <f t="shared" si="2"/>
        <v>2388</v>
      </c>
      <c r="W53" s="1">
        <v>2</v>
      </c>
      <c r="X53" s="1" t="s">
        <v>51</v>
      </c>
      <c r="Y53" s="1" t="s">
        <v>101</v>
      </c>
      <c r="Z53" s="1" t="s">
        <v>67</v>
      </c>
      <c r="AA53" s="1" t="s">
        <v>43</v>
      </c>
      <c r="AB53" s="1" t="s">
        <v>145</v>
      </c>
    </row>
    <row r="54" spans="1:28" x14ac:dyDescent="0.15">
      <c r="A54" s="1" t="s">
        <v>44</v>
      </c>
      <c r="B54" s="1" t="s">
        <v>143</v>
      </c>
      <c r="C54" s="1">
        <v>2020</v>
      </c>
      <c r="D54" s="76" t="s">
        <v>411</v>
      </c>
      <c r="E54" s="1" t="s">
        <v>148</v>
      </c>
      <c r="F54" s="1" t="s">
        <v>144</v>
      </c>
      <c r="G54" s="1" t="s">
        <v>37</v>
      </c>
      <c r="H54" s="1" t="s">
        <v>63</v>
      </c>
      <c r="I54" s="1" t="s">
        <v>64</v>
      </c>
      <c r="J54" s="1" t="s">
        <v>40</v>
      </c>
      <c r="K54" s="1" t="s">
        <v>41</v>
      </c>
      <c r="L54" s="1">
        <v>2</v>
      </c>
      <c r="N54" s="1">
        <v>5</v>
      </c>
      <c r="O54" s="1">
        <v>0.35</v>
      </c>
      <c r="P54" s="1">
        <v>0.35</v>
      </c>
      <c r="Q54" s="7">
        <f t="shared" si="0"/>
        <v>0.35</v>
      </c>
      <c r="R54" s="1">
        <v>13</v>
      </c>
      <c r="S54" s="1">
        <v>115</v>
      </c>
      <c r="T54" s="2">
        <f t="shared" si="1"/>
        <v>30</v>
      </c>
      <c r="U54" s="1">
        <v>398</v>
      </c>
      <c r="V54" s="2">
        <f t="shared" si="2"/>
        <v>2388</v>
      </c>
      <c r="W54" s="1">
        <v>2</v>
      </c>
      <c r="X54" s="1" t="s">
        <v>51</v>
      </c>
      <c r="Y54" s="1" t="s">
        <v>101</v>
      </c>
      <c r="Z54" s="1" t="s">
        <v>67</v>
      </c>
      <c r="AA54" s="1" t="s">
        <v>43</v>
      </c>
      <c r="AB54" s="1" t="s">
        <v>145</v>
      </c>
    </row>
    <row r="55" spans="1:28" x14ac:dyDescent="0.15">
      <c r="A55" s="1" t="s">
        <v>44</v>
      </c>
      <c r="B55" s="1" t="s">
        <v>143</v>
      </c>
      <c r="C55" s="1">
        <v>2020</v>
      </c>
      <c r="D55" s="76" t="s">
        <v>411</v>
      </c>
      <c r="E55" s="1" t="s">
        <v>148</v>
      </c>
      <c r="F55" s="1" t="s">
        <v>144</v>
      </c>
      <c r="G55" s="1" t="s">
        <v>37</v>
      </c>
      <c r="H55" s="1" t="s">
        <v>63</v>
      </c>
      <c r="I55" s="1" t="s">
        <v>64</v>
      </c>
      <c r="J55" s="1" t="s">
        <v>40</v>
      </c>
      <c r="K55" s="1" t="s">
        <v>41</v>
      </c>
      <c r="L55" s="1">
        <v>3</v>
      </c>
      <c r="N55" s="1">
        <v>5</v>
      </c>
      <c r="O55" s="1">
        <v>0.3</v>
      </c>
      <c r="P55" s="1">
        <v>0.25</v>
      </c>
      <c r="Q55" s="7">
        <f t="shared" si="0"/>
        <v>0.27500000000000002</v>
      </c>
      <c r="R55" s="1">
        <v>14.1</v>
      </c>
      <c r="S55" s="1">
        <v>114</v>
      </c>
      <c r="T55" s="2">
        <f t="shared" si="1"/>
        <v>30</v>
      </c>
      <c r="U55" s="1">
        <v>398</v>
      </c>
      <c r="V55" s="2">
        <f t="shared" si="2"/>
        <v>2388</v>
      </c>
      <c r="W55" s="1">
        <v>2</v>
      </c>
      <c r="X55" s="1" t="s">
        <v>51</v>
      </c>
      <c r="Y55" s="1" t="s">
        <v>101</v>
      </c>
      <c r="Z55" s="1" t="s">
        <v>67</v>
      </c>
      <c r="AA55" s="1" t="s">
        <v>43</v>
      </c>
      <c r="AB55" s="1" t="s">
        <v>145</v>
      </c>
    </row>
    <row r="56" spans="1:28" x14ac:dyDescent="0.15">
      <c r="A56" s="1" t="s">
        <v>44</v>
      </c>
      <c r="B56" s="1" t="s">
        <v>143</v>
      </c>
      <c r="C56" s="1">
        <v>2020</v>
      </c>
      <c r="D56" s="76" t="s">
        <v>411</v>
      </c>
      <c r="E56" s="1" t="s">
        <v>148</v>
      </c>
      <c r="F56" s="1" t="s">
        <v>144</v>
      </c>
      <c r="G56" s="1" t="s">
        <v>37</v>
      </c>
      <c r="H56" s="1" t="s">
        <v>82</v>
      </c>
      <c r="I56" s="1" t="s">
        <v>64</v>
      </c>
      <c r="J56" s="1" t="s">
        <v>40</v>
      </c>
      <c r="K56" s="1" t="s">
        <v>41</v>
      </c>
      <c r="L56" s="1">
        <v>1</v>
      </c>
      <c r="N56" s="1">
        <v>1</v>
      </c>
      <c r="O56" s="1">
        <v>0.75</v>
      </c>
      <c r="P56" s="1">
        <v>0.85</v>
      </c>
      <c r="Q56" s="7">
        <f t="shared" si="0"/>
        <v>0.8</v>
      </c>
      <c r="R56" s="1">
        <v>16.8</v>
      </c>
      <c r="S56" s="1">
        <v>133</v>
      </c>
      <c r="T56" s="2">
        <f t="shared" si="1"/>
        <v>25</v>
      </c>
      <c r="U56" s="1">
        <v>99</v>
      </c>
      <c r="V56" s="2">
        <f t="shared" si="2"/>
        <v>2475</v>
      </c>
      <c r="W56" s="1">
        <v>5</v>
      </c>
      <c r="X56" s="1" t="s">
        <v>51</v>
      </c>
      <c r="Y56" s="1" t="s">
        <v>101</v>
      </c>
      <c r="Z56" s="1" t="s">
        <v>67</v>
      </c>
      <c r="AA56" s="1" t="s">
        <v>43</v>
      </c>
      <c r="AB56" s="1" t="s">
        <v>145</v>
      </c>
    </row>
    <row r="57" spans="1:28" x14ac:dyDescent="0.15">
      <c r="A57" s="1" t="s">
        <v>44</v>
      </c>
      <c r="B57" s="1" t="s">
        <v>143</v>
      </c>
      <c r="C57" s="1">
        <v>2020</v>
      </c>
      <c r="D57" s="76" t="s">
        <v>411</v>
      </c>
      <c r="E57" s="1" t="s">
        <v>148</v>
      </c>
      <c r="F57" s="1" t="s">
        <v>144</v>
      </c>
      <c r="G57" s="1" t="s">
        <v>37</v>
      </c>
      <c r="H57" s="1" t="s">
        <v>82</v>
      </c>
      <c r="I57" s="1" t="s">
        <v>64</v>
      </c>
      <c r="J57" s="1" t="s">
        <v>40</v>
      </c>
      <c r="K57" s="1" t="s">
        <v>41</v>
      </c>
      <c r="L57" s="1">
        <v>2</v>
      </c>
      <c r="N57" s="1">
        <v>1</v>
      </c>
      <c r="O57" s="1">
        <v>0.8</v>
      </c>
      <c r="P57" s="1">
        <v>0.7</v>
      </c>
      <c r="Q57" s="7">
        <f t="shared" si="0"/>
        <v>0.75</v>
      </c>
      <c r="R57" s="1">
        <v>14.4</v>
      </c>
      <c r="S57" s="1">
        <v>137</v>
      </c>
      <c r="T57" s="2">
        <f t="shared" si="1"/>
        <v>25</v>
      </c>
      <c r="U57" s="1">
        <v>99</v>
      </c>
      <c r="V57" s="2">
        <f t="shared" si="2"/>
        <v>2475</v>
      </c>
      <c r="W57" s="1">
        <v>5</v>
      </c>
      <c r="X57" s="1" t="s">
        <v>51</v>
      </c>
      <c r="Y57" s="1" t="s">
        <v>101</v>
      </c>
      <c r="Z57" s="1" t="s">
        <v>67</v>
      </c>
      <c r="AA57" s="1" t="s">
        <v>43</v>
      </c>
      <c r="AB57" s="1" t="s">
        <v>145</v>
      </c>
    </row>
    <row r="58" spans="1:28" x14ac:dyDescent="0.15">
      <c r="A58" s="1" t="s">
        <v>44</v>
      </c>
      <c r="B58" s="1" t="s">
        <v>143</v>
      </c>
      <c r="C58" s="1">
        <v>2020</v>
      </c>
      <c r="D58" s="76" t="s">
        <v>411</v>
      </c>
      <c r="E58" s="1" t="s">
        <v>148</v>
      </c>
      <c r="F58" s="1" t="s">
        <v>144</v>
      </c>
      <c r="G58" s="1" t="s">
        <v>37</v>
      </c>
      <c r="H58" s="1" t="s">
        <v>82</v>
      </c>
      <c r="I58" s="1" t="s">
        <v>64</v>
      </c>
      <c r="J58" s="1" t="s">
        <v>40</v>
      </c>
      <c r="K58" s="1" t="s">
        <v>41</v>
      </c>
      <c r="L58" s="1">
        <v>3</v>
      </c>
      <c r="N58" s="1">
        <v>1</v>
      </c>
      <c r="O58" s="1">
        <v>0.95</v>
      </c>
      <c r="P58" s="1">
        <v>0.9</v>
      </c>
      <c r="Q58" s="7">
        <f t="shared" si="0"/>
        <v>0.92500000000000004</v>
      </c>
      <c r="R58" s="1">
        <v>14.2</v>
      </c>
      <c r="S58" s="1">
        <v>135</v>
      </c>
      <c r="T58" s="2">
        <f t="shared" si="1"/>
        <v>25</v>
      </c>
      <c r="U58" s="1">
        <v>99</v>
      </c>
      <c r="V58" s="2">
        <f t="shared" si="2"/>
        <v>2475</v>
      </c>
      <c r="W58" s="1">
        <v>5</v>
      </c>
      <c r="X58" s="1" t="s">
        <v>51</v>
      </c>
      <c r="Y58" s="1" t="s">
        <v>101</v>
      </c>
      <c r="Z58" s="1" t="s">
        <v>67</v>
      </c>
      <c r="AA58" s="1" t="s">
        <v>43</v>
      </c>
      <c r="AB58" s="1" t="s">
        <v>145</v>
      </c>
    </row>
    <row r="59" spans="1:28" x14ac:dyDescent="0.15">
      <c r="A59" s="1" t="s">
        <v>44</v>
      </c>
      <c r="B59" s="1" t="s">
        <v>143</v>
      </c>
      <c r="C59" s="1">
        <v>2020</v>
      </c>
      <c r="D59" s="76" t="s">
        <v>411</v>
      </c>
      <c r="E59" s="1" t="s">
        <v>148</v>
      </c>
      <c r="F59" s="1" t="s">
        <v>144</v>
      </c>
      <c r="G59" s="1" t="s">
        <v>37</v>
      </c>
      <c r="H59" s="1" t="s">
        <v>82</v>
      </c>
      <c r="I59" s="1" t="s">
        <v>64</v>
      </c>
      <c r="J59" s="1" t="s">
        <v>40</v>
      </c>
      <c r="K59" s="1" t="s">
        <v>41</v>
      </c>
      <c r="L59" s="1">
        <v>1</v>
      </c>
      <c r="N59" s="1">
        <v>4</v>
      </c>
      <c r="O59" s="1">
        <v>0.45</v>
      </c>
      <c r="P59" s="1">
        <v>0.55000000000000004</v>
      </c>
      <c r="Q59" s="7">
        <f t="shared" si="0"/>
        <v>0.5</v>
      </c>
      <c r="R59" s="1">
        <v>16.8</v>
      </c>
      <c r="S59" s="1">
        <v>126</v>
      </c>
      <c r="T59" s="2">
        <f t="shared" si="1"/>
        <v>27</v>
      </c>
      <c r="U59" s="1">
        <v>598</v>
      </c>
      <c r="V59" s="2">
        <f t="shared" si="2"/>
        <v>4036.5</v>
      </c>
      <c r="W59" s="1">
        <v>2</v>
      </c>
      <c r="X59" s="1" t="s">
        <v>51</v>
      </c>
      <c r="Y59" s="1" t="s">
        <v>101</v>
      </c>
      <c r="Z59" s="1" t="s">
        <v>67</v>
      </c>
      <c r="AA59" s="1" t="s">
        <v>43</v>
      </c>
      <c r="AB59" s="1" t="s">
        <v>145</v>
      </c>
    </row>
    <row r="60" spans="1:28" x14ac:dyDescent="0.15">
      <c r="A60" s="1" t="s">
        <v>44</v>
      </c>
      <c r="B60" s="1" t="s">
        <v>143</v>
      </c>
      <c r="C60" s="1">
        <v>2020</v>
      </c>
      <c r="D60" s="76" t="s">
        <v>411</v>
      </c>
      <c r="E60" s="1" t="s">
        <v>148</v>
      </c>
      <c r="F60" s="1" t="s">
        <v>144</v>
      </c>
      <c r="G60" s="1" t="s">
        <v>37</v>
      </c>
      <c r="H60" s="1" t="s">
        <v>82</v>
      </c>
      <c r="I60" s="1" t="s">
        <v>64</v>
      </c>
      <c r="J60" s="1" t="s">
        <v>40</v>
      </c>
      <c r="K60" s="1" t="s">
        <v>41</v>
      </c>
      <c r="L60" s="1">
        <v>2</v>
      </c>
      <c r="N60" s="1">
        <v>4</v>
      </c>
      <c r="O60" s="1">
        <v>0.6</v>
      </c>
      <c r="P60" s="1">
        <v>0.45</v>
      </c>
      <c r="Q60" s="7">
        <f t="shared" si="0"/>
        <v>0.52500000000000002</v>
      </c>
      <c r="R60" s="1">
        <v>15.7</v>
      </c>
      <c r="S60" s="1">
        <v>122</v>
      </c>
      <c r="T60" s="2">
        <f t="shared" si="1"/>
        <v>27</v>
      </c>
      <c r="U60" s="1">
        <v>598</v>
      </c>
      <c r="V60" s="2">
        <f t="shared" si="2"/>
        <v>4036.5</v>
      </c>
      <c r="W60" s="1">
        <v>2</v>
      </c>
      <c r="X60" s="1" t="s">
        <v>51</v>
      </c>
      <c r="Y60" s="1" t="s">
        <v>101</v>
      </c>
      <c r="Z60" s="1" t="s">
        <v>67</v>
      </c>
      <c r="AA60" s="1" t="s">
        <v>43</v>
      </c>
      <c r="AB60" s="1" t="s">
        <v>145</v>
      </c>
    </row>
    <row r="61" spans="1:28" x14ac:dyDescent="0.15">
      <c r="A61" s="1" t="s">
        <v>44</v>
      </c>
      <c r="B61" s="1" t="s">
        <v>143</v>
      </c>
      <c r="C61" s="1">
        <v>2020</v>
      </c>
      <c r="D61" s="76" t="s">
        <v>411</v>
      </c>
      <c r="E61" s="1" t="s">
        <v>148</v>
      </c>
      <c r="F61" s="1" t="s">
        <v>144</v>
      </c>
      <c r="G61" s="1" t="s">
        <v>37</v>
      </c>
      <c r="H61" s="1" t="s">
        <v>82</v>
      </c>
      <c r="I61" s="1" t="s">
        <v>64</v>
      </c>
      <c r="J61" s="1" t="s">
        <v>40</v>
      </c>
      <c r="K61" s="1" t="s">
        <v>41</v>
      </c>
      <c r="L61" s="1">
        <v>3</v>
      </c>
      <c r="N61" s="1">
        <v>4</v>
      </c>
      <c r="O61" s="1">
        <v>0.7</v>
      </c>
      <c r="P61" s="1">
        <v>0.55000000000000004</v>
      </c>
      <c r="Q61" s="7">
        <f t="shared" si="0"/>
        <v>0.625</v>
      </c>
      <c r="R61" s="1">
        <v>17.8</v>
      </c>
      <c r="S61" s="1">
        <v>124</v>
      </c>
      <c r="T61" s="2">
        <f t="shared" si="1"/>
        <v>27</v>
      </c>
      <c r="U61" s="1">
        <v>598</v>
      </c>
      <c r="V61" s="2">
        <f t="shared" si="2"/>
        <v>4036.5</v>
      </c>
      <c r="W61" s="1">
        <v>2</v>
      </c>
      <c r="X61" s="1" t="s">
        <v>51</v>
      </c>
      <c r="Y61" s="1" t="s">
        <v>101</v>
      </c>
      <c r="Z61" s="1" t="s">
        <v>67</v>
      </c>
      <c r="AA61" s="1" t="s">
        <v>43</v>
      </c>
      <c r="AB61" s="1" t="s">
        <v>145</v>
      </c>
    </row>
    <row r="62" spans="1:28" x14ac:dyDescent="0.15">
      <c r="A62" s="1" t="s">
        <v>44</v>
      </c>
      <c r="B62" s="1" t="s">
        <v>143</v>
      </c>
      <c r="C62" s="1">
        <v>2020</v>
      </c>
      <c r="D62" s="76" t="s">
        <v>411</v>
      </c>
      <c r="E62" s="1" t="s">
        <v>148</v>
      </c>
      <c r="F62" s="1" t="s">
        <v>144</v>
      </c>
      <c r="G62" s="1" t="s">
        <v>37</v>
      </c>
      <c r="H62" s="1" t="s">
        <v>82</v>
      </c>
      <c r="I62" s="1" t="s">
        <v>64</v>
      </c>
      <c r="J62" s="1" t="s">
        <v>40</v>
      </c>
      <c r="K62" s="1" t="s">
        <v>41</v>
      </c>
      <c r="L62" s="1">
        <v>1</v>
      </c>
      <c r="N62" s="1">
        <v>8</v>
      </c>
      <c r="O62" s="1">
        <v>0.7</v>
      </c>
      <c r="P62" s="1">
        <v>0.65</v>
      </c>
      <c r="Q62" s="7">
        <f t="shared" si="0"/>
        <v>0.67500000000000004</v>
      </c>
      <c r="R62" s="1">
        <v>16.5</v>
      </c>
      <c r="S62" s="1">
        <v>126</v>
      </c>
      <c r="T62" s="2">
        <f t="shared" si="1"/>
        <v>27</v>
      </c>
      <c r="U62" s="1">
        <v>598</v>
      </c>
      <c r="V62" s="2">
        <f t="shared" si="2"/>
        <v>2018.25</v>
      </c>
      <c r="W62" s="1">
        <v>5</v>
      </c>
      <c r="X62" s="1" t="s">
        <v>51</v>
      </c>
      <c r="Y62" s="1" t="s">
        <v>101</v>
      </c>
      <c r="Z62" s="1" t="s">
        <v>67</v>
      </c>
      <c r="AA62" s="1" t="s">
        <v>43</v>
      </c>
      <c r="AB62" s="1" t="s">
        <v>145</v>
      </c>
    </row>
    <row r="63" spans="1:28" x14ac:dyDescent="0.15">
      <c r="A63" s="1" t="s">
        <v>44</v>
      </c>
      <c r="B63" s="1" t="s">
        <v>143</v>
      </c>
      <c r="C63" s="1">
        <v>2020</v>
      </c>
      <c r="D63" s="76" t="s">
        <v>411</v>
      </c>
      <c r="E63" s="1" t="s">
        <v>148</v>
      </c>
      <c r="F63" s="1" t="s">
        <v>144</v>
      </c>
      <c r="G63" s="1" t="s">
        <v>37</v>
      </c>
      <c r="H63" s="1" t="s">
        <v>82</v>
      </c>
      <c r="I63" s="1" t="s">
        <v>64</v>
      </c>
      <c r="J63" s="1" t="s">
        <v>40</v>
      </c>
      <c r="K63" s="1" t="s">
        <v>41</v>
      </c>
      <c r="L63" s="1">
        <v>2</v>
      </c>
      <c r="N63" s="1">
        <v>8</v>
      </c>
      <c r="O63" s="1">
        <v>0.65</v>
      </c>
      <c r="P63" s="1">
        <v>0.75</v>
      </c>
      <c r="Q63" s="7">
        <f t="shared" si="0"/>
        <v>0.7</v>
      </c>
      <c r="R63" s="1">
        <v>15.4</v>
      </c>
      <c r="S63" s="1">
        <v>122</v>
      </c>
      <c r="T63" s="2">
        <f t="shared" si="1"/>
        <v>27</v>
      </c>
      <c r="U63" s="1">
        <v>598</v>
      </c>
      <c r="V63" s="2">
        <f t="shared" si="2"/>
        <v>2018.25</v>
      </c>
      <c r="W63" s="1">
        <v>5</v>
      </c>
      <c r="X63" s="1" t="s">
        <v>51</v>
      </c>
      <c r="Y63" s="1" t="s">
        <v>101</v>
      </c>
      <c r="Z63" s="1" t="s">
        <v>67</v>
      </c>
      <c r="AA63" s="1" t="s">
        <v>43</v>
      </c>
      <c r="AB63" s="1" t="s">
        <v>145</v>
      </c>
    </row>
    <row r="64" spans="1:28" x14ac:dyDescent="0.15">
      <c r="A64" s="1" t="s">
        <v>44</v>
      </c>
      <c r="B64" s="1" t="s">
        <v>143</v>
      </c>
      <c r="C64" s="1">
        <v>2020</v>
      </c>
      <c r="D64" s="76" t="s">
        <v>411</v>
      </c>
      <c r="E64" s="1" t="s">
        <v>148</v>
      </c>
      <c r="F64" s="1" t="s">
        <v>144</v>
      </c>
      <c r="G64" s="1" t="s">
        <v>37</v>
      </c>
      <c r="H64" s="1" t="s">
        <v>82</v>
      </c>
      <c r="I64" s="1" t="s">
        <v>64</v>
      </c>
      <c r="J64" s="1" t="s">
        <v>40</v>
      </c>
      <c r="K64" s="1" t="s">
        <v>41</v>
      </c>
      <c r="L64" s="1">
        <v>3</v>
      </c>
      <c r="N64" s="1">
        <v>8</v>
      </c>
      <c r="O64" s="1">
        <v>0.55000000000000004</v>
      </c>
      <c r="P64" s="1">
        <v>0.6</v>
      </c>
      <c r="Q64" s="7">
        <f t="shared" si="0"/>
        <v>0.57499999999999996</v>
      </c>
      <c r="R64" s="1">
        <v>15.5</v>
      </c>
      <c r="S64" s="1">
        <v>127</v>
      </c>
      <c r="T64" s="2">
        <f t="shared" si="1"/>
        <v>27</v>
      </c>
      <c r="U64" s="1">
        <v>598</v>
      </c>
      <c r="V64" s="2">
        <f t="shared" si="2"/>
        <v>2018.25</v>
      </c>
      <c r="W64" s="1">
        <v>5</v>
      </c>
      <c r="X64" s="1" t="s">
        <v>51</v>
      </c>
      <c r="Y64" s="1" t="s">
        <v>101</v>
      </c>
      <c r="Z64" s="1" t="s">
        <v>67</v>
      </c>
      <c r="AA64" s="1" t="s">
        <v>43</v>
      </c>
      <c r="AB64" s="1" t="s">
        <v>145</v>
      </c>
    </row>
    <row r="65" spans="1:28" x14ac:dyDescent="0.15">
      <c r="A65" s="1" t="s">
        <v>44</v>
      </c>
      <c r="B65" s="1" t="s">
        <v>143</v>
      </c>
      <c r="C65" s="1">
        <v>2020</v>
      </c>
      <c r="D65" s="76" t="s">
        <v>411</v>
      </c>
      <c r="E65" s="1" t="s">
        <v>148</v>
      </c>
      <c r="F65" s="1" t="s">
        <v>149</v>
      </c>
      <c r="G65" s="1" t="s">
        <v>37</v>
      </c>
      <c r="H65" s="1" t="s">
        <v>82</v>
      </c>
      <c r="I65" s="1" t="s">
        <v>64</v>
      </c>
      <c r="J65" s="1" t="s">
        <v>40</v>
      </c>
      <c r="K65" s="1" t="s">
        <v>41</v>
      </c>
      <c r="L65" s="1">
        <v>1</v>
      </c>
      <c r="N65" s="1">
        <v>1</v>
      </c>
      <c r="O65" s="1">
        <v>0.6</v>
      </c>
      <c r="P65" s="1">
        <v>0.55000000000000004</v>
      </c>
      <c r="Q65" s="7">
        <f t="shared" si="0"/>
        <v>0.57499999999999996</v>
      </c>
      <c r="R65" s="1">
        <v>17.5</v>
      </c>
      <c r="S65" s="1">
        <v>138</v>
      </c>
      <c r="T65" s="2">
        <f t="shared" si="1"/>
        <v>22</v>
      </c>
      <c r="U65" s="1">
        <v>158</v>
      </c>
      <c r="V65" s="2">
        <f t="shared" si="2"/>
        <v>3476</v>
      </c>
      <c r="W65" s="1">
        <v>4</v>
      </c>
      <c r="X65" s="1" t="s">
        <v>51</v>
      </c>
      <c r="Y65" s="1" t="s">
        <v>67</v>
      </c>
      <c r="Z65" s="1" t="s">
        <v>101</v>
      </c>
      <c r="AA65" s="1" t="s">
        <v>74</v>
      </c>
      <c r="AB65" s="1" t="s">
        <v>145</v>
      </c>
    </row>
    <row r="66" spans="1:28" x14ac:dyDescent="0.15">
      <c r="A66" s="1" t="s">
        <v>44</v>
      </c>
      <c r="B66" s="1" t="s">
        <v>143</v>
      </c>
      <c r="C66" s="1">
        <v>2020</v>
      </c>
      <c r="D66" s="76" t="s">
        <v>411</v>
      </c>
      <c r="E66" s="1" t="s">
        <v>148</v>
      </c>
      <c r="F66" s="1" t="s">
        <v>149</v>
      </c>
      <c r="G66" s="1" t="s">
        <v>37</v>
      </c>
      <c r="H66" s="1" t="s">
        <v>82</v>
      </c>
      <c r="I66" s="1" t="s">
        <v>64</v>
      </c>
      <c r="J66" s="1" t="s">
        <v>40</v>
      </c>
      <c r="K66" s="1" t="s">
        <v>41</v>
      </c>
      <c r="L66" s="1">
        <v>2</v>
      </c>
      <c r="N66" s="1">
        <v>1</v>
      </c>
      <c r="O66" s="1">
        <v>0.75</v>
      </c>
      <c r="P66" s="1">
        <v>0.85</v>
      </c>
      <c r="Q66" s="7">
        <f t="shared" ref="Q66:Q129" si="3">IF(OR(O66="",P66=""),"",AVERAGE(O66,P66))</f>
        <v>0.8</v>
      </c>
      <c r="R66" s="1">
        <v>14.2</v>
      </c>
      <c r="S66" s="1">
        <v>134</v>
      </c>
      <c r="T66" s="2">
        <f t="shared" ref="T66:T70" si="4">IF(H66="","",IF(OR(H66="GREEN",H66="GK"),IF(S66&gt;=$AX$2,VLOOKUP(S66,$AX$2:$AY$10,2,1),""),IF(S66&gt;=$AZ$2,VLOOKUP(S66,$AZ$2:$BA$10,2,1),"")))</f>
        <v>25</v>
      </c>
      <c r="U66" s="1">
        <v>158</v>
      </c>
      <c r="V66" s="2">
        <f t="shared" ref="V66:V129" si="5">IF(OR(N66="",U66="",T66=""),"",U66/N66*T66)</f>
        <v>3950</v>
      </c>
      <c r="W66" s="1">
        <v>4</v>
      </c>
      <c r="X66" s="1" t="s">
        <v>51</v>
      </c>
      <c r="Y66" s="1" t="s">
        <v>67</v>
      </c>
      <c r="Z66" s="1" t="s">
        <v>101</v>
      </c>
      <c r="AA66" s="1" t="s">
        <v>74</v>
      </c>
      <c r="AB66" s="1" t="s">
        <v>145</v>
      </c>
    </row>
    <row r="67" spans="1:28" x14ac:dyDescent="0.15">
      <c r="A67" s="1" t="s">
        <v>44</v>
      </c>
      <c r="B67" s="1" t="s">
        <v>143</v>
      </c>
      <c r="C67" s="1">
        <v>2020</v>
      </c>
      <c r="D67" s="76" t="s">
        <v>411</v>
      </c>
      <c r="E67" s="1" t="s">
        <v>148</v>
      </c>
      <c r="F67" s="1" t="s">
        <v>149</v>
      </c>
      <c r="G67" s="1" t="s">
        <v>37</v>
      </c>
      <c r="H67" s="1" t="s">
        <v>82</v>
      </c>
      <c r="I67" s="1" t="s">
        <v>64</v>
      </c>
      <c r="J67" s="1" t="s">
        <v>40</v>
      </c>
      <c r="K67" s="1" t="s">
        <v>41</v>
      </c>
      <c r="L67" s="1">
        <v>3</v>
      </c>
      <c r="N67" s="1">
        <v>1</v>
      </c>
      <c r="O67" s="1">
        <v>0.9</v>
      </c>
      <c r="P67" s="1">
        <v>0.95</v>
      </c>
      <c r="Q67" s="7">
        <f t="shared" si="3"/>
        <v>0.92500000000000004</v>
      </c>
      <c r="R67" s="1">
        <v>16.2</v>
      </c>
      <c r="S67" s="1">
        <v>135</v>
      </c>
      <c r="T67" s="2">
        <f t="shared" si="4"/>
        <v>25</v>
      </c>
      <c r="U67" s="1">
        <v>158</v>
      </c>
      <c r="V67" s="2">
        <f t="shared" si="5"/>
        <v>3950</v>
      </c>
      <c r="W67" s="1">
        <v>4</v>
      </c>
      <c r="X67" s="1" t="s">
        <v>51</v>
      </c>
      <c r="Y67" s="1" t="s">
        <v>67</v>
      </c>
      <c r="Z67" s="1" t="s">
        <v>101</v>
      </c>
      <c r="AA67" s="1" t="s">
        <v>74</v>
      </c>
      <c r="AB67" s="1" t="s">
        <v>145</v>
      </c>
    </row>
    <row r="68" spans="1:28" x14ac:dyDescent="0.15">
      <c r="A68" s="1" t="s">
        <v>44</v>
      </c>
      <c r="B68" s="1" t="s">
        <v>143</v>
      </c>
      <c r="C68" s="1">
        <v>2020</v>
      </c>
      <c r="D68" s="76" t="s">
        <v>411</v>
      </c>
      <c r="E68" s="1" t="s">
        <v>148</v>
      </c>
      <c r="F68" s="1" t="s">
        <v>149</v>
      </c>
      <c r="G68" s="1" t="s">
        <v>37</v>
      </c>
      <c r="H68" s="1" t="s">
        <v>82</v>
      </c>
      <c r="I68" s="1" t="s">
        <v>64</v>
      </c>
      <c r="J68" s="1" t="s">
        <v>40</v>
      </c>
      <c r="K68" s="1" t="s">
        <v>41</v>
      </c>
      <c r="L68" s="1">
        <v>1</v>
      </c>
      <c r="N68" s="1">
        <v>4</v>
      </c>
      <c r="O68" s="1">
        <v>0.45</v>
      </c>
      <c r="P68" s="1">
        <v>0.4</v>
      </c>
      <c r="Q68" s="7">
        <f t="shared" si="3"/>
        <v>0.42500000000000004</v>
      </c>
      <c r="R68" s="1">
        <v>13</v>
      </c>
      <c r="S68" s="1">
        <v>126</v>
      </c>
      <c r="T68" s="2">
        <f t="shared" si="4"/>
        <v>27</v>
      </c>
      <c r="U68" s="1">
        <v>396</v>
      </c>
      <c r="V68" s="2">
        <f t="shared" si="5"/>
        <v>2673</v>
      </c>
      <c r="W68" s="1">
        <v>2</v>
      </c>
      <c r="X68" s="1" t="s">
        <v>51</v>
      </c>
      <c r="Y68" s="1" t="s">
        <v>67</v>
      </c>
      <c r="Z68" s="1" t="s">
        <v>101</v>
      </c>
      <c r="AA68" s="1" t="s">
        <v>74</v>
      </c>
      <c r="AB68" s="1" t="s">
        <v>145</v>
      </c>
    </row>
    <row r="69" spans="1:28" x14ac:dyDescent="0.15">
      <c r="A69" s="1" t="s">
        <v>44</v>
      </c>
      <c r="B69" s="1" t="s">
        <v>143</v>
      </c>
      <c r="C69" s="1">
        <v>2020</v>
      </c>
      <c r="D69" s="76" t="s">
        <v>411</v>
      </c>
      <c r="E69" s="1" t="s">
        <v>148</v>
      </c>
      <c r="F69" s="1" t="s">
        <v>149</v>
      </c>
      <c r="G69" s="1" t="s">
        <v>37</v>
      </c>
      <c r="H69" s="1" t="s">
        <v>82</v>
      </c>
      <c r="I69" s="1" t="s">
        <v>64</v>
      </c>
      <c r="J69" s="1" t="s">
        <v>40</v>
      </c>
      <c r="K69" s="1" t="s">
        <v>41</v>
      </c>
      <c r="L69" s="1">
        <v>2</v>
      </c>
      <c r="N69" s="1">
        <v>4</v>
      </c>
      <c r="O69" s="1">
        <v>0.25</v>
      </c>
      <c r="P69" s="1">
        <v>0.35</v>
      </c>
      <c r="Q69" s="7">
        <f t="shared" si="3"/>
        <v>0.3</v>
      </c>
      <c r="R69" s="1">
        <v>13.2</v>
      </c>
      <c r="S69" s="1">
        <v>127</v>
      </c>
      <c r="T69" s="2">
        <f t="shared" si="4"/>
        <v>27</v>
      </c>
      <c r="U69" s="1">
        <v>396</v>
      </c>
      <c r="V69" s="2">
        <f t="shared" si="5"/>
        <v>2673</v>
      </c>
      <c r="W69" s="1">
        <v>2</v>
      </c>
      <c r="X69" s="1" t="s">
        <v>51</v>
      </c>
      <c r="Y69" s="1" t="s">
        <v>67</v>
      </c>
      <c r="Z69" s="1" t="s">
        <v>101</v>
      </c>
      <c r="AA69" s="1" t="s">
        <v>74</v>
      </c>
      <c r="AB69" s="1" t="s">
        <v>145</v>
      </c>
    </row>
    <row r="70" spans="1:28" x14ac:dyDescent="0.15">
      <c r="A70" s="1" t="s">
        <v>44</v>
      </c>
      <c r="B70" s="1" t="s">
        <v>143</v>
      </c>
      <c r="C70" s="1">
        <v>2020</v>
      </c>
      <c r="D70" s="76" t="s">
        <v>411</v>
      </c>
      <c r="E70" s="1" t="s">
        <v>148</v>
      </c>
      <c r="F70" s="1" t="s">
        <v>149</v>
      </c>
      <c r="G70" s="1" t="s">
        <v>37</v>
      </c>
      <c r="H70" s="1" t="s">
        <v>82</v>
      </c>
      <c r="I70" s="1" t="s">
        <v>64</v>
      </c>
      <c r="J70" s="1" t="s">
        <v>40</v>
      </c>
      <c r="K70" s="1" t="s">
        <v>41</v>
      </c>
      <c r="L70" s="1">
        <v>3</v>
      </c>
      <c r="N70" s="1">
        <v>4</v>
      </c>
      <c r="O70" s="1">
        <v>0.35</v>
      </c>
      <c r="P70" s="1">
        <v>0.25</v>
      </c>
      <c r="Q70" s="7">
        <f t="shared" si="3"/>
        <v>0.3</v>
      </c>
      <c r="R70" s="1">
        <v>15.2</v>
      </c>
      <c r="S70" s="1">
        <v>125</v>
      </c>
      <c r="T70" s="2">
        <f t="shared" si="4"/>
        <v>27</v>
      </c>
      <c r="U70" s="1">
        <v>396</v>
      </c>
      <c r="V70" s="2">
        <f t="shared" si="5"/>
        <v>2673</v>
      </c>
      <c r="W70" s="1">
        <v>2</v>
      </c>
      <c r="X70" s="1" t="s">
        <v>51</v>
      </c>
      <c r="Y70" s="1" t="s">
        <v>67</v>
      </c>
      <c r="Z70" s="1" t="s">
        <v>101</v>
      </c>
      <c r="AA70" s="1" t="s">
        <v>74</v>
      </c>
      <c r="AB70" s="1" t="s">
        <v>145</v>
      </c>
    </row>
    <row r="71" spans="1:28" x14ac:dyDescent="0.15">
      <c r="A71" s="1" t="s">
        <v>44</v>
      </c>
      <c r="B71" s="1" t="s">
        <v>143</v>
      </c>
      <c r="C71" s="1">
        <v>2020</v>
      </c>
      <c r="D71" s="76" t="s">
        <v>411</v>
      </c>
      <c r="E71" s="1" t="s">
        <v>148</v>
      </c>
      <c r="F71" s="1" t="s">
        <v>149</v>
      </c>
      <c r="G71" s="1" t="s">
        <v>37</v>
      </c>
      <c r="H71" s="1" t="s">
        <v>82</v>
      </c>
      <c r="I71" s="1" t="s">
        <v>64</v>
      </c>
      <c r="J71" s="1" t="s">
        <v>40</v>
      </c>
      <c r="K71" s="1" t="s">
        <v>41</v>
      </c>
      <c r="L71" s="1">
        <v>1</v>
      </c>
      <c r="N71" s="1">
        <v>6</v>
      </c>
      <c r="O71" s="1">
        <v>0.45</v>
      </c>
      <c r="P71" s="1">
        <v>0.65</v>
      </c>
      <c r="Q71" s="7">
        <f t="shared" si="3"/>
        <v>0.55000000000000004</v>
      </c>
      <c r="R71" s="1">
        <v>13.9</v>
      </c>
      <c r="S71" s="1">
        <v>122</v>
      </c>
      <c r="T71" s="2">
        <f t="shared" ref="T71:T79" si="6">IF(H71="","",IF(OR(H71="GREEN",H71="GK"),IF(S71&gt;=$AX$2,VLOOKUP(S71,$AX$2:$AY$12,2,1),""),IF(S71&gt;=$AZ$2,VLOOKUP(S71,$AZ$2:$BA$12,2,1),"")))</f>
        <v>27</v>
      </c>
      <c r="U71" s="1">
        <v>498</v>
      </c>
      <c r="V71" s="2">
        <f t="shared" si="5"/>
        <v>2241</v>
      </c>
      <c r="W71" s="1">
        <v>5</v>
      </c>
      <c r="X71" s="1" t="s">
        <v>51</v>
      </c>
      <c r="Y71" s="1" t="s">
        <v>67</v>
      </c>
      <c r="Z71" s="1" t="s">
        <v>101</v>
      </c>
      <c r="AA71" s="1" t="s">
        <v>74</v>
      </c>
      <c r="AB71" s="1" t="s">
        <v>145</v>
      </c>
    </row>
    <row r="72" spans="1:28" x14ac:dyDescent="0.15">
      <c r="A72" s="1" t="s">
        <v>44</v>
      </c>
      <c r="B72" s="1" t="s">
        <v>143</v>
      </c>
      <c r="C72" s="1">
        <v>2020</v>
      </c>
      <c r="D72" s="76" t="s">
        <v>411</v>
      </c>
      <c r="E72" s="1" t="s">
        <v>148</v>
      </c>
      <c r="F72" s="1" t="s">
        <v>149</v>
      </c>
      <c r="G72" s="1" t="s">
        <v>37</v>
      </c>
      <c r="H72" s="1" t="s">
        <v>82</v>
      </c>
      <c r="I72" s="1" t="s">
        <v>64</v>
      </c>
      <c r="J72" s="1" t="s">
        <v>40</v>
      </c>
      <c r="K72" s="1" t="s">
        <v>41</v>
      </c>
      <c r="L72" s="1">
        <v>2</v>
      </c>
      <c r="N72" s="1">
        <v>6</v>
      </c>
      <c r="O72" s="1">
        <v>0.5</v>
      </c>
      <c r="P72" s="1">
        <v>0.55000000000000004</v>
      </c>
      <c r="Q72" s="7">
        <f t="shared" si="3"/>
        <v>0.52500000000000002</v>
      </c>
      <c r="R72" s="1">
        <v>14.2</v>
      </c>
      <c r="S72" s="1">
        <v>124</v>
      </c>
      <c r="T72" s="2">
        <f t="shared" si="6"/>
        <v>27</v>
      </c>
      <c r="U72" s="1">
        <v>498</v>
      </c>
      <c r="V72" s="2">
        <f t="shared" si="5"/>
        <v>2241</v>
      </c>
      <c r="W72" s="1">
        <v>5</v>
      </c>
      <c r="X72" s="1" t="s">
        <v>51</v>
      </c>
      <c r="Y72" s="1" t="s">
        <v>67</v>
      </c>
      <c r="Z72" s="1" t="s">
        <v>101</v>
      </c>
      <c r="AA72" s="1" t="s">
        <v>74</v>
      </c>
      <c r="AB72" s="1" t="s">
        <v>145</v>
      </c>
    </row>
    <row r="73" spans="1:28" x14ac:dyDescent="0.15">
      <c r="A73" s="1" t="s">
        <v>44</v>
      </c>
      <c r="B73" s="1" t="s">
        <v>143</v>
      </c>
      <c r="C73" s="1">
        <v>2020</v>
      </c>
      <c r="D73" s="76" t="s">
        <v>411</v>
      </c>
      <c r="E73" s="1" t="s">
        <v>148</v>
      </c>
      <c r="F73" s="1" t="s">
        <v>149</v>
      </c>
      <c r="G73" s="1" t="s">
        <v>37</v>
      </c>
      <c r="H73" s="1" t="s">
        <v>82</v>
      </c>
      <c r="I73" s="1" t="s">
        <v>64</v>
      </c>
      <c r="J73" s="1" t="s">
        <v>40</v>
      </c>
      <c r="K73" s="1" t="s">
        <v>41</v>
      </c>
      <c r="L73" s="1">
        <v>3</v>
      </c>
      <c r="N73" s="1">
        <v>6</v>
      </c>
      <c r="O73" s="1">
        <v>0.75</v>
      </c>
      <c r="P73" s="1">
        <v>0.7</v>
      </c>
      <c r="Q73" s="7">
        <f t="shared" si="3"/>
        <v>0.72499999999999998</v>
      </c>
      <c r="R73" s="1">
        <v>16.7</v>
      </c>
      <c r="S73" s="1">
        <v>122</v>
      </c>
      <c r="T73" s="2">
        <f t="shared" si="6"/>
        <v>27</v>
      </c>
      <c r="U73" s="1">
        <v>498</v>
      </c>
      <c r="V73" s="2">
        <f t="shared" si="5"/>
        <v>2241</v>
      </c>
      <c r="W73" s="1">
        <v>5</v>
      </c>
      <c r="X73" s="1" t="s">
        <v>51</v>
      </c>
      <c r="Y73" s="1" t="s">
        <v>67</v>
      </c>
      <c r="Z73" s="1" t="s">
        <v>101</v>
      </c>
      <c r="AA73" s="1" t="s">
        <v>74</v>
      </c>
      <c r="AB73" s="1" t="s">
        <v>145</v>
      </c>
    </row>
    <row r="74" spans="1:28" x14ac:dyDescent="0.15">
      <c r="A74" s="1" t="s">
        <v>44</v>
      </c>
      <c r="B74" s="1" t="s">
        <v>143</v>
      </c>
      <c r="C74" s="1">
        <v>2020</v>
      </c>
      <c r="D74" s="76" t="s">
        <v>411</v>
      </c>
      <c r="E74" s="1" t="s">
        <v>148</v>
      </c>
      <c r="F74" s="1" t="s">
        <v>149</v>
      </c>
      <c r="G74" s="1" t="s">
        <v>37</v>
      </c>
      <c r="H74" s="1" t="s">
        <v>63</v>
      </c>
      <c r="I74" s="1" t="s">
        <v>64</v>
      </c>
      <c r="J74" s="1" t="s">
        <v>40</v>
      </c>
      <c r="K74" s="1" t="s">
        <v>41</v>
      </c>
      <c r="L74" s="1">
        <v>1</v>
      </c>
      <c r="N74" s="1">
        <v>1</v>
      </c>
      <c r="O74" s="1">
        <v>0.95</v>
      </c>
      <c r="P74" s="1">
        <v>0.8</v>
      </c>
      <c r="Q74" s="7">
        <f t="shared" si="3"/>
        <v>0.875</v>
      </c>
      <c r="R74" s="1">
        <v>13.4</v>
      </c>
      <c r="S74" s="1">
        <v>134</v>
      </c>
      <c r="T74" s="2">
        <f t="shared" si="6"/>
        <v>25</v>
      </c>
      <c r="U74" s="1">
        <v>99</v>
      </c>
      <c r="V74" s="2">
        <f t="shared" si="5"/>
        <v>2475</v>
      </c>
      <c r="W74" s="1">
        <v>2</v>
      </c>
      <c r="X74" s="1" t="s">
        <v>51</v>
      </c>
      <c r="Y74" s="1" t="s">
        <v>67</v>
      </c>
      <c r="Z74" s="1" t="s">
        <v>101</v>
      </c>
      <c r="AA74" s="1" t="s">
        <v>74</v>
      </c>
      <c r="AB74" s="1" t="s">
        <v>145</v>
      </c>
    </row>
    <row r="75" spans="1:28" x14ac:dyDescent="0.15">
      <c r="A75" s="1" t="s">
        <v>44</v>
      </c>
      <c r="B75" s="1" t="s">
        <v>143</v>
      </c>
      <c r="C75" s="1">
        <v>2020</v>
      </c>
      <c r="D75" s="76" t="s">
        <v>411</v>
      </c>
      <c r="E75" s="1" t="s">
        <v>148</v>
      </c>
      <c r="F75" s="1" t="s">
        <v>149</v>
      </c>
      <c r="G75" s="1" t="s">
        <v>37</v>
      </c>
      <c r="H75" s="1" t="s">
        <v>63</v>
      </c>
      <c r="I75" s="1" t="s">
        <v>64</v>
      </c>
      <c r="J75" s="1" t="s">
        <v>40</v>
      </c>
      <c r="K75" s="1" t="s">
        <v>41</v>
      </c>
      <c r="L75" s="1">
        <v>2</v>
      </c>
      <c r="N75" s="1">
        <v>1</v>
      </c>
      <c r="O75" s="1">
        <v>0.7</v>
      </c>
      <c r="P75" s="1">
        <v>0.75</v>
      </c>
      <c r="Q75" s="7">
        <f t="shared" si="3"/>
        <v>0.72499999999999998</v>
      </c>
      <c r="R75" s="1">
        <v>12.8</v>
      </c>
      <c r="S75" s="1">
        <v>135</v>
      </c>
      <c r="T75" s="2">
        <f t="shared" si="6"/>
        <v>25</v>
      </c>
      <c r="U75" s="1">
        <v>99</v>
      </c>
      <c r="V75" s="2">
        <f t="shared" si="5"/>
        <v>2475</v>
      </c>
      <c r="W75" s="1">
        <v>2</v>
      </c>
      <c r="X75" s="1" t="s">
        <v>51</v>
      </c>
      <c r="Y75" s="1" t="s">
        <v>67</v>
      </c>
      <c r="Z75" s="1" t="s">
        <v>101</v>
      </c>
      <c r="AA75" s="1" t="s">
        <v>74</v>
      </c>
      <c r="AB75" s="1" t="s">
        <v>145</v>
      </c>
    </row>
    <row r="76" spans="1:28" x14ac:dyDescent="0.15">
      <c r="A76" s="1" t="s">
        <v>44</v>
      </c>
      <c r="B76" s="1" t="s">
        <v>143</v>
      </c>
      <c r="C76" s="1">
        <v>2020</v>
      </c>
      <c r="D76" s="76" t="s">
        <v>411</v>
      </c>
      <c r="E76" s="1" t="s">
        <v>148</v>
      </c>
      <c r="F76" s="1" t="s">
        <v>149</v>
      </c>
      <c r="G76" s="1" t="s">
        <v>37</v>
      </c>
      <c r="H76" s="1" t="s">
        <v>63</v>
      </c>
      <c r="I76" s="1" t="s">
        <v>64</v>
      </c>
      <c r="J76" s="1" t="s">
        <v>40</v>
      </c>
      <c r="K76" s="1" t="s">
        <v>41</v>
      </c>
      <c r="L76" s="1">
        <v>3</v>
      </c>
      <c r="N76" s="1">
        <v>1</v>
      </c>
      <c r="O76" s="1">
        <v>0.95</v>
      </c>
      <c r="P76" s="1">
        <v>0.95</v>
      </c>
      <c r="Q76" s="7">
        <f t="shared" si="3"/>
        <v>0.95</v>
      </c>
      <c r="R76" s="1">
        <v>13.4</v>
      </c>
      <c r="S76" s="1">
        <v>132</v>
      </c>
      <c r="T76" s="2">
        <f t="shared" si="6"/>
        <v>25</v>
      </c>
      <c r="U76" s="1">
        <v>99</v>
      </c>
      <c r="V76" s="2">
        <f t="shared" si="5"/>
        <v>2475</v>
      </c>
      <c r="W76" s="1">
        <v>2</v>
      </c>
      <c r="X76" s="1" t="s">
        <v>51</v>
      </c>
      <c r="Y76" s="1" t="s">
        <v>67</v>
      </c>
      <c r="Z76" s="1" t="s">
        <v>101</v>
      </c>
      <c r="AA76" s="1" t="s">
        <v>74</v>
      </c>
      <c r="AB76" s="1" t="s">
        <v>145</v>
      </c>
    </row>
    <row r="77" spans="1:28" x14ac:dyDescent="0.15">
      <c r="A77" s="1" t="s">
        <v>44</v>
      </c>
      <c r="B77" s="1" t="s">
        <v>143</v>
      </c>
      <c r="C77" s="1">
        <v>2020</v>
      </c>
      <c r="D77" s="76" t="s">
        <v>411</v>
      </c>
      <c r="E77" s="1" t="s">
        <v>148</v>
      </c>
      <c r="F77" s="1" t="s">
        <v>149</v>
      </c>
      <c r="G77" s="1" t="s">
        <v>37</v>
      </c>
      <c r="H77" s="1" t="s">
        <v>63</v>
      </c>
      <c r="I77" s="1" t="s">
        <v>64</v>
      </c>
      <c r="J77" s="1" t="s">
        <v>40</v>
      </c>
      <c r="K77" s="1" t="s">
        <v>41</v>
      </c>
      <c r="L77" s="1">
        <v>1</v>
      </c>
      <c r="N77" s="1">
        <v>4</v>
      </c>
      <c r="O77" s="1">
        <v>0.45</v>
      </c>
      <c r="P77" s="1">
        <v>0.5</v>
      </c>
      <c r="Q77" s="7">
        <f t="shared" si="3"/>
        <v>0.47499999999999998</v>
      </c>
      <c r="R77" s="1">
        <v>16.5</v>
      </c>
      <c r="S77" s="1">
        <v>118</v>
      </c>
      <c r="T77" s="2">
        <f t="shared" si="6"/>
        <v>30</v>
      </c>
      <c r="U77" s="1">
        <v>398</v>
      </c>
      <c r="V77" s="2">
        <f t="shared" si="5"/>
        <v>2985</v>
      </c>
      <c r="W77" s="1">
        <v>1</v>
      </c>
      <c r="X77" s="1" t="s">
        <v>51</v>
      </c>
      <c r="Y77" s="1" t="s">
        <v>67</v>
      </c>
      <c r="Z77" s="1" t="s">
        <v>101</v>
      </c>
      <c r="AA77" s="1" t="s">
        <v>74</v>
      </c>
      <c r="AB77" s="1" t="s">
        <v>145</v>
      </c>
    </row>
    <row r="78" spans="1:28" x14ac:dyDescent="0.15">
      <c r="A78" s="1" t="s">
        <v>44</v>
      </c>
      <c r="B78" s="1" t="s">
        <v>143</v>
      </c>
      <c r="C78" s="1">
        <v>2020</v>
      </c>
      <c r="D78" s="76" t="s">
        <v>411</v>
      </c>
      <c r="E78" s="1" t="s">
        <v>148</v>
      </c>
      <c r="F78" s="1" t="s">
        <v>149</v>
      </c>
      <c r="G78" s="1" t="s">
        <v>37</v>
      </c>
      <c r="H78" s="1" t="s">
        <v>63</v>
      </c>
      <c r="I78" s="1" t="s">
        <v>64</v>
      </c>
      <c r="J78" s="1" t="s">
        <v>40</v>
      </c>
      <c r="K78" s="1" t="s">
        <v>41</v>
      </c>
      <c r="L78" s="1">
        <v>2</v>
      </c>
      <c r="N78" s="1">
        <v>4</v>
      </c>
      <c r="O78" s="1">
        <v>0.7</v>
      </c>
      <c r="P78" s="1">
        <v>0.75</v>
      </c>
      <c r="Q78" s="7">
        <f t="shared" si="3"/>
        <v>0.72499999999999998</v>
      </c>
      <c r="R78" s="1">
        <v>14.8</v>
      </c>
      <c r="S78" s="1">
        <v>120</v>
      </c>
      <c r="T78" s="2">
        <f t="shared" si="6"/>
        <v>30</v>
      </c>
      <c r="U78" s="1">
        <v>398</v>
      </c>
      <c r="V78" s="2">
        <f t="shared" si="5"/>
        <v>2985</v>
      </c>
      <c r="W78" s="1">
        <v>1</v>
      </c>
      <c r="X78" s="1" t="s">
        <v>51</v>
      </c>
      <c r="Y78" s="1" t="s">
        <v>67</v>
      </c>
      <c r="Z78" s="1" t="s">
        <v>101</v>
      </c>
      <c r="AA78" s="1" t="s">
        <v>74</v>
      </c>
      <c r="AB78" s="1" t="s">
        <v>145</v>
      </c>
    </row>
    <row r="79" spans="1:28" x14ac:dyDescent="0.15">
      <c r="A79" s="1" t="s">
        <v>44</v>
      </c>
      <c r="B79" s="1" t="s">
        <v>143</v>
      </c>
      <c r="C79" s="1">
        <v>2020</v>
      </c>
      <c r="D79" s="76" t="s">
        <v>411</v>
      </c>
      <c r="E79" s="1" t="s">
        <v>148</v>
      </c>
      <c r="F79" s="1" t="s">
        <v>149</v>
      </c>
      <c r="G79" s="1" t="s">
        <v>37</v>
      </c>
      <c r="H79" s="1" t="s">
        <v>63</v>
      </c>
      <c r="I79" s="1" t="s">
        <v>64</v>
      </c>
      <c r="J79" s="1" t="s">
        <v>40</v>
      </c>
      <c r="K79" s="1" t="s">
        <v>41</v>
      </c>
      <c r="L79" s="1">
        <v>3</v>
      </c>
      <c r="N79" s="1">
        <v>4</v>
      </c>
      <c r="O79" s="1">
        <v>0.55000000000000004</v>
      </c>
      <c r="P79" s="1">
        <v>0.55000000000000004</v>
      </c>
      <c r="Q79" s="7">
        <f t="shared" si="3"/>
        <v>0.55000000000000004</v>
      </c>
      <c r="R79" s="1">
        <v>13.4</v>
      </c>
      <c r="S79" s="1">
        <v>114</v>
      </c>
      <c r="T79" s="2">
        <f t="shared" si="6"/>
        <v>30</v>
      </c>
      <c r="U79" s="1">
        <v>398</v>
      </c>
      <c r="V79" s="2">
        <f t="shared" si="5"/>
        <v>2985</v>
      </c>
      <c r="W79" s="1">
        <v>1</v>
      </c>
      <c r="X79" s="1" t="s">
        <v>51</v>
      </c>
      <c r="Y79" s="1" t="s">
        <v>67</v>
      </c>
      <c r="Z79" s="1" t="s">
        <v>101</v>
      </c>
      <c r="AA79" s="1" t="s">
        <v>74</v>
      </c>
      <c r="AB79" s="1" t="s">
        <v>145</v>
      </c>
    </row>
    <row r="80" spans="1:28" x14ac:dyDescent="0.15">
      <c r="A80" s="1" t="s">
        <v>44</v>
      </c>
      <c r="B80" s="1" t="s">
        <v>143</v>
      </c>
      <c r="C80" s="1">
        <v>2020</v>
      </c>
      <c r="D80" s="76" t="s">
        <v>411</v>
      </c>
      <c r="E80" s="1" t="s">
        <v>150</v>
      </c>
      <c r="F80" s="1" t="s">
        <v>149</v>
      </c>
      <c r="G80" s="1" t="s">
        <v>37</v>
      </c>
      <c r="H80" s="1" t="s">
        <v>63</v>
      </c>
      <c r="I80" s="1" t="s">
        <v>64</v>
      </c>
      <c r="J80" s="1" t="s">
        <v>40</v>
      </c>
      <c r="K80" s="1" t="s">
        <v>41</v>
      </c>
      <c r="L80" s="1">
        <v>1</v>
      </c>
      <c r="N80" s="1">
        <v>1</v>
      </c>
      <c r="O80" s="1">
        <v>0.9</v>
      </c>
      <c r="P80" s="1">
        <v>0.95</v>
      </c>
      <c r="Q80" s="7">
        <f t="shared" si="3"/>
        <v>0.92500000000000004</v>
      </c>
      <c r="R80" s="1">
        <v>12.1</v>
      </c>
      <c r="S80" s="1">
        <v>124</v>
      </c>
      <c r="T80" s="2">
        <f t="shared" ref="T80:T143" si="7">IF(H80="","",IF(OR(H80="GREEN",H80="GK"),IF(S80&gt;=$AX$2,VLOOKUP(S80,$AX$2:$AY$10,2,1),""),IF(S80&gt;=$AZ$2,VLOOKUP(S80,$AZ$2:$BA$10,2,1),"")))</f>
        <v>27</v>
      </c>
      <c r="U80" s="1">
        <v>87</v>
      </c>
      <c r="V80" s="2">
        <f t="shared" si="5"/>
        <v>2349</v>
      </c>
      <c r="W80" s="1">
        <v>2</v>
      </c>
      <c r="X80" s="1" t="s">
        <v>51</v>
      </c>
      <c r="Y80" s="1" t="s">
        <v>67</v>
      </c>
      <c r="Z80" s="1" t="s">
        <v>101</v>
      </c>
      <c r="AA80" s="1" t="s">
        <v>43</v>
      </c>
      <c r="AB80" s="1" t="s">
        <v>145</v>
      </c>
    </row>
    <row r="81" spans="1:28" x14ac:dyDescent="0.15">
      <c r="A81" s="1" t="s">
        <v>44</v>
      </c>
      <c r="B81" s="1" t="s">
        <v>143</v>
      </c>
      <c r="C81" s="1">
        <v>2020</v>
      </c>
      <c r="D81" s="76" t="s">
        <v>411</v>
      </c>
      <c r="E81" s="1" t="s">
        <v>150</v>
      </c>
      <c r="F81" s="1" t="s">
        <v>149</v>
      </c>
      <c r="G81" s="1" t="s">
        <v>37</v>
      </c>
      <c r="H81" s="1" t="s">
        <v>63</v>
      </c>
      <c r="I81" s="1" t="s">
        <v>64</v>
      </c>
      <c r="J81" s="1" t="s">
        <v>40</v>
      </c>
      <c r="K81" s="1" t="s">
        <v>41</v>
      </c>
      <c r="L81" s="1">
        <v>2</v>
      </c>
      <c r="N81" s="1">
        <v>1</v>
      </c>
      <c r="O81" s="1">
        <v>0.85</v>
      </c>
      <c r="P81" s="1">
        <v>0.9</v>
      </c>
      <c r="Q81" s="7">
        <f t="shared" si="3"/>
        <v>0.875</v>
      </c>
      <c r="R81" s="1">
        <v>11.3</v>
      </c>
      <c r="S81" s="1">
        <v>122</v>
      </c>
      <c r="T81" s="2">
        <f t="shared" si="7"/>
        <v>27</v>
      </c>
      <c r="U81" s="1">
        <v>87</v>
      </c>
      <c r="V81" s="2">
        <f t="shared" si="5"/>
        <v>2349</v>
      </c>
      <c r="W81" s="1">
        <v>2</v>
      </c>
      <c r="X81" s="1" t="s">
        <v>51</v>
      </c>
      <c r="Y81" s="1" t="s">
        <v>67</v>
      </c>
      <c r="Z81" s="1" t="s">
        <v>101</v>
      </c>
      <c r="AA81" s="1" t="s">
        <v>43</v>
      </c>
      <c r="AB81" s="1" t="s">
        <v>145</v>
      </c>
    </row>
    <row r="82" spans="1:28" x14ac:dyDescent="0.15">
      <c r="A82" s="1" t="s">
        <v>44</v>
      </c>
      <c r="B82" s="1" t="s">
        <v>143</v>
      </c>
      <c r="C82" s="1">
        <v>2020</v>
      </c>
      <c r="D82" s="76" t="s">
        <v>411</v>
      </c>
      <c r="E82" s="1" t="s">
        <v>150</v>
      </c>
      <c r="F82" s="1" t="s">
        <v>149</v>
      </c>
      <c r="G82" s="1" t="s">
        <v>37</v>
      </c>
      <c r="H82" s="1" t="s">
        <v>63</v>
      </c>
      <c r="I82" s="1" t="s">
        <v>64</v>
      </c>
      <c r="J82" s="1" t="s">
        <v>40</v>
      </c>
      <c r="K82" s="1" t="s">
        <v>41</v>
      </c>
      <c r="L82" s="1">
        <v>3</v>
      </c>
      <c r="N82" s="1">
        <v>1</v>
      </c>
      <c r="O82" s="1">
        <v>0.95</v>
      </c>
      <c r="P82" s="1">
        <v>0.85</v>
      </c>
      <c r="Q82" s="7">
        <f t="shared" si="3"/>
        <v>0.89999999999999991</v>
      </c>
      <c r="R82" s="1">
        <v>13.5</v>
      </c>
      <c r="S82" s="1">
        <v>126</v>
      </c>
      <c r="T82" s="2">
        <f t="shared" si="7"/>
        <v>27</v>
      </c>
      <c r="U82" s="1">
        <v>87</v>
      </c>
      <c r="V82" s="2">
        <f t="shared" si="5"/>
        <v>2349</v>
      </c>
      <c r="W82" s="1">
        <v>2</v>
      </c>
      <c r="X82" s="1" t="s">
        <v>51</v>
      </c>
      <c r="Y82" s="1" t="s">
        <v>67</v>
      </c>
      <c r="Z82" s="1" t="s">
        <v>101</v>
      </c>
      <c r="AA82" s="1" t="s">
        <v>43</v>
      </c>
      <c r="AB82" s="1" t="s">
        <v>145</v>
      </c>
    </row>
    <row r="83" spans="1:28" x14ac:dyDescent="0.15">
      <c r="A83" s="1" t="s">
        <v>44</v>
      </c>
      <c r="B83" s="1" t="s">
        <v>143</v>
      </c>
      <c r="C83" s="1">
        <v>2020</v>
      </c>
      <c r="D83" s="76" t="s">
        <v>411</v>
      </c>
      <c r="E83" s="1" t="s">
        <v>150</v>
      </c>
      <c r="F83" s="1" t="s">
        <v>149</v>
      </c>
      <c r="G83" s="1" t="s">
        <v>37</v>
      </c>
      <c r="H83" s="1" t="s">
        <v>63</v>
      </c>
      <c r="I83" s="1" t="s">
        <v>64</v>
      </c>
      <c r="J83" s="1" t="s">
        <v>40</v>
      </c>
      <c r="K83" s="1" t="s">
        <v>41</v>
      </c>
      <c r="L83" s="1">
        <v>1</v>
      </c>
      <c r="N83" s="1">
        <v>4</v>
      </c>
      <c r="O83" s="1">
        <v>0.45</v>
      </c>
      <c r="P83" s="1">
        <v>0.45</v>
      </c>
      <c r="Q83" s="7">
        <f t="shared" si="3"/>
        <v>0.45</v>
      </c>
      <c r="R83" s="1">
        <v>14.2</v>
      </c>
      <c r="S83" s="1">
        <v>120</v>
      </c>
      <c r="T83" s="2">
        <f t="shared" si="7"/>
        <v>30</v>
      </c>
      <c r="U83" s="1">
        <v>357</v>
      </c>
      <c r="V83" s="2">
        <f t="shared" si="5"/>
        <v>2677.5</v>
      </c>
      <c r="W83" s="1">
        <v>2</v>
      </c>
      <c r="X83" s="1" t="s">
        <v>51</v>
      </c>
      <c r="Y83" s="1" t="s">
        <v>67</v>
      </c>
      <c r="Z83" s="1" t="s">
        <v>101</v>
      </c>
      <c r="AA83" s="1" t="s">
        <v>43</v>
      </c>
      <c r="AB83" s="1" t="s">
        <v>145</v>
      </c>
    </row>
    <row r="84" spans="1:28" x14ac:dyDescent="0.15">
      <c r="A84" s="1" t="s">
        <v>44</v>
      </c>
      <c r="B84" s="1" t="s">
        <v>143</v>
      </c>
      <c r="C84" s="1">
        <v>2020</v>
      </c>
      <c r="D84" s="76" t="s">
        <v>411</v>
      </c>
      <c r="E84" s="1" t="s">
        <v>150</v>
      </c>
      <c r="F84" s="1" t="s">
        <v>149</v>
      </c>
      <c r="G84" s="1" t="s">
        <v>37</v>
      </c>
      <c r="H84" s="1" t="s">
        <v>63</v>
      </c>
      <c r="I84" s="1" t="s">
        <v>64</v>
      </c>
      <c r="J84" s="1" t="s">
        <v>40</v>
      </c>
      <c r="K84" s="1" t="s">
        <v>41</v>
      </c>
      <c r="L84" s="1">
        <v>2</v>
      </c>
      <c r="N84" s="1">
        <v>4</v>
      </c>
      <c r="O84" s="1">
        <v>0.35</v>
      </c>
      <c r="P84" s="1">
        <v>0.5</v>
      </c>
      <c r="Q84" s="7">
        <f t="shared" si="3"/>
        <v>0.42499999999999999</v>
      </c>
      <c r="R84" s="1">
        <v>13</v>
      </c>
      <c r="S84" s="1">
        <v>118</v>
      </c>
      <c r="T84" s="2">
        <f t="shared" si="7"/>
        <v>30</v>
      </c>
      <c r="U84" s="1">
        <v>357</v>
      </c>
      <c r="V84" s="2">
        <f t="shared" si="5"/>
        <v>2677.5</v>
      </c>
      <c r="W84" s="1">
        <v>2</v>
      </c>
      <c r="X84" s="1" t="s">
        <v>51</v>
      </c>
      <c r="Y84" s="1" t="s">
        <v>67</v>
      </c>
      <c r="Z84" s="1" t="s">
        <v>101</v>
      </c>
      <c r="AA84" s="1" t="s">
        <v>43</v>
      </c>
      <c r="AB84" s="1" t="s">
        <v>145</v>
      </c>
    </row>
    <row r="85" spans="1:28" x14ac:dyDescent="0.15">
      <c r="A85" s="1" t="s">
        <v>44</v>
      </c>
      <c r="B85" s="1" t="s">
        <v>143</v>
      </c>
      <c r="C85" s="1">
        <v>2020</v>
      </c>
      <c r="D85" s="76" t="s">
        <v>411</v>
      </c>
      <c r="E85" s="1" t="s">
        <v>150</v>
      </c>
      <c r="F85" s="1" t="s">
        <v>149</v>
      </c>
      <c r="G85" s="1" t="s">
        <v>37</v>
      </c>
      <c r="H85" s="1" t="s">
        <v>63</v>
      </c>
      <c r="I85" s="1" t="s">
        <v>64</v>
      </c>
      <c r="J85" s="1" t="s">
        <v>40</v>
      </c>
      <c r="K85" s="1" t="s">
        <v>41</v>
      </c>
      <c r="L85" s="1">
        <v>3</v>
      </c>
      <c r="N85" s="1">
        <v>4</v>
      </c>
      <c r="O85" s="1">
        <v>0.65</v>
      </c>
      <c r="P85" s="1">
        <v>0.55000000000000004</v>
      </c>
      <c r="Q85" s="7">
        <f t="shared" si="3"/>
        <v>0.60000000000000009</v>
      </c>
      <c r="R85" s="1">
        <v>13.8</v>
      </c>
      <c r="S85" s="1">
        <v>118</v>
      </c>
      <c r="T85" s="2">
        <f t="shared" si="7"/>
        <v>30</v>
      </c>
      <c r="U85" s="1">
        <v>357</v>
      </c>
      <c r="V85" s="2">
        <f t="shared" si="5"/>
        <v>2677.5</v>
      </c>
      <c r="W85" s="1">
        <v>2</v>
      </c>
      <c r="X85" s="1" t="s">
        <v>51</v>
      </c>
      <c r="Y85" s="1" t="s">
        <v>67</v>
      </c>
      <c r="Z85" s="1" t="s">
        <v>101</v>
      </c>
      <c r="AA85" s="1" t="s">
        <v>43</v>
      </c>
      <c r="AB85" s="1" t="s">
        <v>145</v>
      </c>
    </row>
    <row r="86" spans="1:28" x14ac:dyDescent="0.15">
      <c r="A86" s="1" t="s">
        <v>44</v>
      </c>
      <c r="B86" s="1" t="s">
        <v>143</v>
      </c>
      <c r="C86" s="1">
        <v>2020</v>
      </c>
      <c r="D86" s="76" t="s">
        <v>411</v>
      </c>
      <c r="E86" s="1" t="s">
        <v>150</v>
      </c>
      <c r="F86" s="1" t="s">
        <v>149</v>
      </c>
      <c r="G86" s="1" t="s">
        <v>37</v>
      </c>
      <c r="H86" s="1" t="s">
        <v>82</v>
      </c>
      <c r="I86" s="1" t="s">
        <v>64</v>
      </c>
      <c r="J86" s="1" t="s">
        <v>40</v>
      </c>
      <c r="K86" s="1" t="s">
        <v>41</v>
      </c>
      <c r="L86" s="1">
        <v>1</v>
      </c>
      <c r="N86" s="1">
        <v>1</v>
      </c>
      <c r="O86" s="1">
        <v>0.25</v>
      </c>
      <c r="P86" s="1">
        <v>0.35</v>
      </c>
      <c r="Q86" s="7">
        <f t="shared" si="3"/>
        <v>0.3</v>
      </c>
      <c r="R86" s="1">
        <v>15.9</v>
      </c>
      <c r="S86" s="1">
        <v>120</v>
      </c>
      <c r="T86" s="2">
        <f t="shared" si="7"/>
        <v>30</v>
      </c>
      <c r="U86" s="1">
        <v>87</v>
      </c>
      <c r="V86" s="2">
        <f t="shared" si="5"/>
        <v>2610</v>
      </c>
      <c r="W86" s="1">
        <v>3</v>
      </c>
      <c r="X86" s="1" t="s">
        <v>51</v>
      </c>
      <c r="Y86" s="1" t="s">
        <v>67</v>
      </c>
      <c r="Z86" s="1" t="s">
        <v>101</v>
      </c>
      <c r="AA86" s="1" t="s">
        <v>43</v>
      </c>
      <c r="AB86" s="1" t="s">
        <v>145</v>
      </c>
    </row>
    <row r="87" spans="1:28" x14ac:dyDescent="0.15">
      <c r="A87" s="1" t="s">
        <v>44</v>
      </c>
      <c r="B87" s="1" t="s">
        <v>143</v>
      </c>
      <c r="C87" s="1">
        <v>2020</v>
      </c>
      <c r="D87" s="76" t="s">
        <v>411</v>
      </c>
      <c r="E87" s="1" t="s">
        <v>150</v>
      </c>
      <c r="F87" s="1" t="s">
        <v>149</v>
      </c>
      <c r="G87" s="1" t="s">
        <v>37</v>
      </c>
      <c r="H87" s="1" t="s">
        <v>82</v>
      </c>
      <c r="I87" s="1" t="s">
        <v>64</v>
      </c>
      <c r="J87" s="1" t="s">
        <v>40</v>
      </c>
      <c r="K87" s="1" t="s">
        <v>41</v>
      </c>
      <c r="L87" s="1">
        <v>2</v>
      </c>
      <c r="N87" s="1">
        <v>1</v>
      </c>
      <c r="O87" s="1">
        <v>0.3</v>
      </c>
      <c r="P87" s="1">
        <v>0.3</v>
      </c>
      <c r="Q87" s="7">
        <f t="shared" si="3"/>
        <v>0.3</v>
      </c>
      <c r="R87" s="1">
        <v>17.399999999999999</v>
      </c>
      <c r="S87" s="1">
        <v>118</v>
      </c>
      <c r="T87" s="2">
        <f t="shared" si="7"/>
        <v>30</v>
      </c>
      <c r="U87" s="1">
        <v>87</v>
      </c>
      <c r="V87" s="2">
        <f t="shared" si="5"/>
        <v>2610</v>
      </c>
      <c r="W87" s="1">
        <v>3</v>
      </c>
      <c r="X87" s="1" t="s">
        <v>51</v>
      </c>
      <c r="Y87" s="1" t="s">
        <v>67</v>
      </c>
      <c r="Z87" s="1" t="s">
        <v>101</v>
      </c>
      <c r="AA87" s="1" t="s">
        <v>43</v>
      </c>
      <c r="AB87" s="1" t="s">
        <v>145</v>
      </c>
    </row>
    <row r="88" spans="1:28" x14ac:dyDescent="0.15">
      <c r="A88" s="1" t="s">
        <v>44</v>
      </c>
      <c r="B88" s="1" t="s">
        <v>143</v>
      </c>
      <c r="C88" s="1">
        <v>2020</v>
      </c>
      <c r="D88" s="76" t="s">
        <v>411</v>
      </c>
      <c r="E88" s="1" t="s">
        <v>150</v>
      </c>
      <c r="F88" s="1" t="s">
        <v>149</v>
      </c>
      <c r="G88" s="1" t="s">
        <v>37</v>
      </c>
      <c r="H88" s="1" t="s">
        <v>82</v>
      </c>
      <c r="I88" s="1" t="s">
        <v>64</v>
      </c>
      <c r="J88" s="1" t="s">
        <v>40</v>
      </c>
      <c r="K88" s="1" t="s">
        <v>41</v>
      </c>
      <c r="L88" s="1">
        <v>3</v>
      </c>
      <c r="N88" s="1">
        <v>1</v>
      </c>
      <c r="O88" s="1">
        <v>0.35</v>
      </c>
      <c r="P88" s="1">
        <v>0.35</v>
      </c>
      <c r="Q88" s="7">
        <f t="shared" si="3"/>
        <v>0.35</v>
      </c>
      <c r="R88" s="1">
        <v>15.4</v>
      </c>
      <c r="S88" s="1">
        <v>116</v>
      </c>
      <c r="T88" s="2">
        <f t="shared" si="7"/>
        <v>30</v>
      </c>
      <c r="U88" s="1">
        <v>87</v>
      </c>
      <c r="V88" s="2">
        <f t="shared" si="5"/>
        <v>2610</v>
      </c>
      <c r="W88" s="1">
        <v>3</v>
      </c>
      <c r="X88" s="1" t="s">
        <v>51</v>
      </c>
      <c r="Y88" s="1" t="s">
        <v>67</v>
      </c>
      <c r="Z88" s="1" t="s">
        <v>101</v>
      </c>
      <c r="AA88" s="1" t="s">
        <v>43</v>
      </c>
      <c r="AB88" s="1" t="s">
        <v>145</v>
      </c>
    </row>
    <row r="89" spans="1:28" x14ac:dyDescent="0.15">
      <c r="A89" s="1" t="s">
        <v>44</v>
      </c>
      <c r="B89" s="1" t="s">
        <v>143</v>
      </c>
      <c r="C89" s="1">
        <v>2020</v>
      </c>
      <c r="D89" s="76" t="s">
        <v>411</v>
      </c>
      <c r="E89" s="1" t="s">
        <v>150</v>
      </c>
      <c r="F89" s="1" t="s">
        <v>149</v>
      </c>
      <c r="G89" s="1" t="s">
        <v>37</v>
      </c>
      <c r="H89" s="1" t="s">
        <v>82</v>
      </c>
      <c r="I89" s="1" t="s">
        <v>64</v>
      </c>
      <c r="J89" s="1" t="s">
        <v>40</v>
      </c>
      <c r="K89" s="1" t="s">
        <v>41</v>
      </c>
      <c r="L89" s="1">
        <v>1</v>
      </c>
      <c r="N89" s="1">
        <v>8</v>
      </c>
      <c r="O89" s="1">
        <v>0.7</v>
      </c>
      <c r="P89" s="1">
        <v>0.45</v>
      </c>
      <c r="Q89" s="7">
        <f t="shared" si="3"/>
        <v>0.57499999999999996</v>
      </c>
      <c r="R89" s="1">
        <v>15.2</v>
      </c>
      <c r="S89" s="1">
        <v>105</v>
      </c>
      <c r="T89" s="2">
        <f t="shared" si="7"/>
        <v>33</v>
      </c>
      <c r="U89" s="1">
        <v>970</v>
      </c>
      <c r="V89" s="2">
        <f t="shared" si="5"/>
        <v>4001.25</v>
      </c>
      <c r="W89" s="1">
        <v>2</v>
      </c>
      <c r="X89" s="1" t="s">
        <v>51</v>
      </c>
      <c r="Y89" s="1" t="s">
        <v>67</v>
      </c>
      <c r="Z89" s="1" t="s">
        <v>101</v>
      </c>
      <c r="AA89" s="1" t="s">
        <v>43</v>
      </c>
      <c r="AB89" s="1" t="s">
        <v>145</v>
      </c>
    </row>
    <row r="90" spans="1:28" x14ac:dyDescent="0.15">
      <c r="A90" s="1" t="s">
        <v>44</v>
      </c>
      <c r="B90" s="1" t="s">
        <v>143</v>
      </c>
      <c r="C90" s="1">
        <v>2020</v>
      </c>
      <c r="D90" s="76" t="s">
        <v>411</v>
      </c>
      <c r="E90" s="1" t="s">
        <v>150</v>
      </c>
      <c r="F90" s="1" t="s">
        <v>149</v>
      </c>
      <c r="G90" s="1" t="s">
        <v>37</v>
      </c>
      <c r="H90" s="1" t="s">
        <v>82</v>
      </c>
      <c r="I90" s="1" t="s">
        <v>64</v>
      </c>
      <c r="J90" s="1" t="s">
        <v>40</v>
      </c>
      <c r="K90" s="1" t="s">
        <v>41</v>
      </c>
      <c r="L90" s="1">
        <v>2</v>
      </c>
      <c r="N90" s="1">
        <v>8</v>
      </c>
      <c r="O90" s="1">
        <v>0.65</v>
      </c>
      <c r="P90" s="1">
        <v>0.65</v>
      </c>
      <c r="Q90" s="7">
        <f t="shared" si="3"/>
        <v>0.65</v>
      </c>
      <c r="R90" s="1">
        <v>14.3</v>
      </c>
      <c r="S90" s="1">
        <v>104</v>
      </c>
      <c r="T90" s="2">
        <f t="shared" si="7"/>
        <v>33</v>
      </c>
      <c r="U90" s="1">
        <v>970</v>
      </c>
      <c r="V90" s="2">
        <f t="shared" si="5"/>
        <v>4001.25</v>
      </c>
      <c r="W90" s="1">
        <v>2</v>
      </c>
      <c r="X90" s="1" t="s">
        <v>51</v>
      </c>
      <c r="Y90" s="1" t="s">
        <v>67</v>
      </c>
      <c r="Z90" s="1" t="s">
        <v>101</v>
      </c>
      <c r="AA90" s="1" t="s">
        <v>43</v>
      </c>
      <c r="AB90" s="1" t="s">
        <v>145</v>
      </c>
    </row>
    <row r="91" spans="1:28" x14ac:dyDescent="0.15">
      <c r="A91" s="1" t="s">
        <v>44</v>
      </c>
      <c r="B91" s="1" t="s">
        <v>143</v>
      </c>
      <c r="C91" s="1">
        <v>2020</v>
      </c>
      <c r="D91" s="76" t="s">
        <v>411</v>
      </c>
      <c r="E91" s="1" t="s">
        <v>150</v>
      </c>
      <c r="F91" s="1" t="s">
        <v>149</v>
      </c>
      <c r="G91" s="1" t="s">
        <v>37</v>
      </c>
      <c r="H91" s="1" t="s">
        <v>82</v>
      </c>
      <c r="I91" s="1" t="s">
        <v>64</v>
      </c>
      <c r="J91" s="1" t="s">
        <v>40</v>
      </c>
      <c r="K91" s="1" t="s">
        <v>41</v>
      </c>
      <c r="L91" s="1">
        <v>3</v>
      </c>
      <c r="N91" s="1">
        <v>8</v>
      </c>
      <c r="O91" s="1">
        <v>0.8</v>
      </c>
      <c r="P91" s="1">
        <v>0.85</v>
      </c>
      <c r="Q91" s="7">
        <f t="shared" si="3"/>
        <v>0.82499999999999996</v>
      </c>
      <c r="R91" s="1">
        <v>14.8</v>
      </c>
      <c r="S91" s="1">
        <v>110</v>
      </c>
      <c r="T91" s="2">
        <f t="shared" si="7"/>
        <v>33</v>
      </c>
      <c r="U91" s="1">
        <v>970</v>
      </c>
      <c r="V91" s="2">
        <f t="shared" si="5"/>
        <v>4001.25</v>
      </c>
      <c r="W91" s="1">
        <v>2</v>
      </c>
      <c r="X91" s="1" t="s">
        <v>51</v>
      </c>
      <c r="Y91" s="1" t="s">
        <v>67</v>
      </c>
      <c r="Z91" s="1" t="s">
        <v>101</v>
      </c>
      <c r="AA91" s="1" t="s">
        <v>43</v>
      </c>
      <c r="AB91" s="1" t="s">
        <v>145</v>
      </c>
    </row>
    <row r="92" spans="1:28" x14ac:dyDescent="0.15">
      <c r="A92" s="1" t="s">
        <v>44</v>
      </c>
      <c r="B92" s="1" t="s">
        <v>143</v>
      </c>
      <c r="C92" s="1">
        <v>2020</v>
      </c>
      <c r="D92" s="76" t="s">
        <v>411</v>
      </c>
      <c r="E92" s="1" t="s">
        <v>151</v>
      </c>
      <c r="F92" s="1" t="s">
        <v>152</v>
      </c>
      <c r="G92" s="1" t="s">
        <v>37</v>
      </c>
      <c r="H92" s="1" t="s">
        <v>82</v>
      </c>
      <c r="I92" s="1" t="s">
        <v>64</v>
      </c>
      <c r="J92" s="1" t="s">
        <v>40</v>
      </c>
      <c r="K92" s="1" t="s">
        <v>41</v>
      </c>
      <c r="L92" s="1">
        <v>1</v>
      </c>
      <c r="N92" s="1">
        <v>1</v>
      </c>
      <c r="O92" s="1">
        <v>0.9</v>
      </c>
      <c r="P92" s="1">
        <v>0.85</v>
      </c>
      <c r="Q92" s="7">
        <f t="shared" si="3"/>
        <v>0.875</v>
      </c>
      <c r="R92" s="1">
        <v>13.5</v>
      </c>
      <c r="S92" s="1">
        <v>127</v>
      </c>
      <c r="T92" s="2">
        <f t="shared" si="7"/>
        <v>27</v>
      </c>
      <c r="U92" s="1">
        <v>98</v>
      </c>
      <c r="V92" s="2">
        <f t="shared" si="5"/>
        <v>2646</v>
      </c>
      <c r="W92" s="1">
        <v>4</v>
      </c>
      <c r="X92" s="1" t="s">
        <v>51</v>
      </c>
      <c r="Y92" s="1" t="s">
        <v>67</v>
      </c>
      <c r="Z92" s="1" t="s">
        <v>101</v>
      </c>
      <c r="AA92" s="1" t="s">
        <v>112</v>
      </c>
      <c r="AB92" s="1" t="s">
        <v>145</v>
      </c>
    </row>
    <row r="93" spans="1:28" x14ac:dyDescent="0.15">
      <c r="A93" s="1" t="s">
        <v>44</v>
      </c>
      <c r="B93" s="1" t="s">
        <v>143</v>
      </c>
      <c r="C93" s="1">
        <v>2020</v>
      </c>
      <c r="D93" s="76" t="s">
        <v>411</v>
      </c>
      <c r="E93" s="1" t="s">
        <v>151</v>
      </c>
      <c r="F93" s="1" t="s">
        <v>152</v>
      </c>
      <c r="G93" s="1" t="s">
        <v>37</v>
      </c>
      <c r="H93" s="1" t="s">
        <v>82</v>
      </c>
      <c r="I93" s="1" t="s">
        <v>64</v>
      </c>
      <c r="J93" s="1" t="s">
        <v>40</v>
      </c>
      <c r="K93" s="1" t="s">
        <v>41</v>
      </c>
      <c r="L93" s="1">
        <v>2</v>
      </c>
      <c r="N93" s="1">
        <v>1</v>
      </c>
      <c r="O93" s="1">
        <v>0.7</v>
      </c>
      <c r="P93" s="1">
        <v>0.75</v>
      </c>
      <c r="Q93" s="7">
        <f t="shared" si="3"/>
        <v>0.72499999999999998</v>
      </c>
      <c r="R93" s="1">
        <v>14.8</v>
      </c>
      <c r="S93" s="1">
        <v>122</v>
      </c>
      <c r="T93" s="2">
        <f t="shared" si="7"/>
        <v>27</v>
      </c>
      <c r="U93" s="1">
        <v>98</v>
      </c>
      <c r="V93" s="2">
        <f t="shared" si="5"/>
        <v>2646</v>
      </c>
      <c r="W93" s="1">
        <v>4</v>
      </c>
      <c r="X93" s="1" t="s">
        <v>51</v>
      </c>
      <c r="Y93" s="1" t="s">
        <v>67</v>
      </c>
      <c r="Z93" s="1" t="s">
        <v>101</v>
      </c>
      <c r="AA93" s="1" t="s">
        <v>112</v>
      </c>
      <c r="AB93" s="1" t="s">
        <v>145</v>
      </c>
    </row>
    <row r="94" spans="1:28" x14ac:dyDescent="0.15">
      <c r="A94" s="1" t="s">
        <v>44</v>
      </c>
      <c r="B94" s="1" t="s">
        <v>143</v>
      </c>
      <c r="C94" s="1">
        <v>2020</v>
      </c>
      <c r="D94" s="76" t="s">
        <v>411</v>
      </c>
      <c r="E94" s="1" t="s">
        <v>151</v>
      </c>
      <c r="F94" s="1" t="s">
        <v>152</v>
      </c>
      <c r="G94" s="1" t="s">
        <v>37</v>
      </c>
      <c r="H94" s="1" t="s">
        <v>82</v>
      </c>
      <c r="I94" s="1" t="s">
        <v>64</v>
      </c>
      <c r="J94" s="1" t="s">
        <v>40</v>
      </c>
      <c r="K94" s="1" t="s">
        <v>41</v>
      </c>
      <c r="L94" s="1">
        <v>3</v>
      </c>
      <c r="N94" s="1">
        <v>1</v>
      </c>
      <c r="O94" s="1">
        <v>0.65</v>
      </c>
      <c r="P94" s="1">
        <v>0.5</v>
      </c>
      <c r="Q94" s="7">
        <f t="shared" si="3"/>
        <v>0.57499999999999996</v>
      </c>
      <c r="R94" s="1">
        <v>16.7</v>
      </c>
      <c r="S94" s="1">
        <v>125</v>
      </c>
      <c r="T94" s="2">
        <f t="shared" si="7"/>
        <v>27</v>
      </c>
      <c r="U94" s="1">
        <v>98</v>
      </c>
      <c r="V94" s="2">
        <f t="shared" si="5"/>
        <v>2646</v>
      </c>
      <c r="W94" s="1">
        <v>4</v>
      </c>
      <c r="X94" s="1" t="s">
        <v>51</v>
      </c>
      <c r="Y94" s="1" t="s">
        <v>67</v>
      </c>
      <c r="Z94" s="1" t="s">
        <v>101</v>
      </c>
      <c r="AA94" s="1" t="s">
        <v>112</v>
      </c>
      <c r="AB94" s="1" t="s">
        <v>145</v>
      </c>
    </row>
    <row r="95" spans="1:28" x14ac:dyDescent="0.15">
      <c r="A95" s="1" t="s">
        <v>44</v>
      </c>
      <c r="B95" s="1" t="s">
        <v>143</v>
      </c>
      <c r="C95" s="1">
        <v>2020</v>
      </c>
      <c r="D95" s="76" t="s">
        <v>411</v>
      </c>
      <c r="E95" s="1" t="s">
        <v>151</v>
      </c>
      <c r="F95" s="1" t="s">
        <v>152</v>
      </c>
      <c r="G95" s="1" t="s">
        <v>37</v>
      </c>
      <c r="H95" s="1" t="s">
        <v>82</v>
      </c>
      <c r="I95" s="1" t="s">
        <v>64</v>
      </c>
      <c r="J95" s="1" t="s">
        <v>40</v>
      </c>
      <c r="K95" s="1" t="s">
        <v>41</v>
      </c>
      <c r="L95" s="1">
        <v>1</v>
      </c>
      <c r="N95" s="1">
        <v>4</v>
      </c>
      <c r="O95" s="1">
        <v>0.8</v>
      </c>
      <c r="P95" s="1">
        <v>0.85</v>
      </c>
      <c r="Q95" s="7">
        <f t="shared" si="3"/>
        <v>0.82499999999999996</v>
      </c>
      <c r="R95" s="1">
        <v>17.399999999999999</v>
      </c>
      <c r="S95" s="1">
        <v>120</v>
      </c>
      <c r="T95" s="2">
        <f t="shared" si="7"/>
        <v>30</v>
      </c>
      <c r="U95" s="1">
        <v>380</v>
      </c>
      <c r="V95" s="2">
        <f t="shared" si="5"/>
        <v>2850</v>
      </c>
      <c r="W95" s="1">
        <v>4</v>
      </c>
      <c r="X95" s="1" t="s">
        <v>51</v>
      </c>
      <c r="Y95" s="1" t="s">
        <v>67</v>
      </c>
      <c r="Z95" s="1" t="s">
        <v>101</v>
      </c>
      <c r="AA95" s="1" t="s">
        <v>112</v>
      </c>
      <c r="AB95" s="1" t="s">
        <v>145</v>
      </c>
    </row>
    <row r="96" spans="1:28" x14ac:dyDescent="0.15">
      <c r="A96" s="1" t="s">
        <v>44</v>
      </c>
      <c r="B96" s="1" t="s">
        <v>143</v>
      </c>
      <c r="C96" s="1">
        <v>2020</v>
      </c>
      <c r="D96" s="76" t="s">
        <v>411</v>
      </c>
      <c r="E96" s="1" t="s">
        <v>151</v>
      </c>
      <c r="F96" s="1" t="s">
        <v>152</v>
      </c>
      <c r="G96" s="1" t="s">
        <v>37</v>
      </c>
      <c r="H96" s="1" t="s">
        <v>82</v>
      </c>
      <c r="I96" s="1" t="s">
        <v>64</v>
      </c>
      <c r="J96" s="1" t="s">
        <v>40</v>
      </c>
      <c r="K96" s="1" t="s">
        <v>41</v>
      </c>
      <c r="L96" s="1">
        <v>2</v>
      </c>
      <c r="N96" s="1">
        <v>4</v>
      </c>
      <c r="O96" s="1">
        <v>0.65</v>
      </c>
      <c r="P96" s="1">
        <v>0.65</v>
      </c>
      <c r="Q96" s="7">
        <f t="shared" si="3"/>
        <v>0.65</v>
      </c>
      <c r="R96" s="1">
        <v>15.8</v>
      </c>
      <c r="S96" s="1">
        <v>121</v>
      </c>
      <c r="T96" s="2">
        <f t="shared" si="7"/>
        <v>27</v>
      </c>
      <c r="U96" s="1">
        <v>380</v>
      </c>
      <c r="V96" s="2">
        <f t="shared" si="5"/>
        <v>2565</v>
      </c>
      <c r="W96" s="1">
        <v>4</v>
      </c>
      <c r="X96" s="1" t="s">
        <v>51</v>
      </c>
      <c r="Y96" s="1" t="s">
        <v>67</v>
      </c>
      <c r="Z96" s="1" t="s">
        <v>101</v>
      </c>
      <c r="AA96" s="1" t="s">
        <v>112</v>
      </c>
      <c r="AB96" s="1" t="s">
        <v>145</v>
      </c>
    </row>
    <row r="97" spans="1:28" x14ac:dyDescent="0.15">
      <c r="A97" s="1" t="s">
        <v>44</v>
      </c>
      <c r="B97" s="1" t="s">
        <v>143</v>
      </c>
      <c r="C97" s="1">
        <v>2020</v>
      </c>
      <c r="D97" s="76" t="s">
        <v>411</v>
      </c>
      <c r="E97" s="1" t="s">
        <v>151</v>
      </c>
      <c r="F97" s="1" t="s">
        <v>152</v>
      </c>
      <c r="G97" s="1" t="s">
        <v>37</v>
      </c>
      <c r="H97" s="1" t="s">
        <v>82</v>
      </c>
      <c r="I97" s="1" t="s">
        <v>64</v>
      </c>
      <c r="J97" s="1" t="s">
        <v>40</v>
      </c>
      <c r="K97" s="1" t="s">
        <v>41</v>
      </c>
      <c r="L97" s="1">
        <v>3</v>
      </c>
      <c r="N97" s="1">
        <v>4</v>
      </c>
      <c r="O97" s="1">
        <v>0.5</v>
      </c>
      <c r="P97" s="1">
        <v>0.55000000000000004</v>
      </c>
      <c r="Q97" s="7">
        <f t="shared" si="3"/>
        <v>0.52500000000000002</v>
      </c>
      <c r="R97" s="1">
        <v>16</v>
      </c>
      <c r="S97" s="1">
        <v>123</v>
      </c>
      <c r="T97" s="2">
        <f t="shared" si="7"/>
        <v>27</v>
      </c>
      <c r="U97" s="1">
        <v>380</v>
      </c>
      <c r="V97" s="2">
        <f t="shared" si="5"/>
        <v>2565</v>
      </c>
      <c r="W97" s="1">
        <v>4</v>
      </c>
      <c r="X97" s="1" t="s">
        <v>51</v>
      </c>
      <c r="Y97" s="1" t="s">
        <v>67</v>
      </c>
      <c r="Z97" s="1" t="s">
        <v>101</v>
      </c>
      <c r="AA97" s="1" t="s">
        <v>112</v>
      </c>
      <c r="AB97" s="1" t="s">
        <v>145</v>
      </c>
    </row>
    <row r="98" spans="1:28" x14ac:dyDescent="0.15">
      <c r="A98" s="1" t="s">
        <v>44</v>
      </c>
      <c r="B98" s="1" t="s">
        <v>143</v>
      </c>
      <c r="C98" s="1">
        <v>2020</v>
      </c>
      <c r="D98" s="76" t="s">
        <v>411</v>
      </c>
      <c r="E98" s="1" t="s">
        <v>151</v>
      </c>
      <c r="F98" s="1" t="s">
        <v>152</v>
      </c>
      <c r="G98" s="1" t="s">
        <v>37</v>
      </c>
      <c r="H98" s="1" t="s">
        <v>63</v>
      </c>
      <c r="I98" s="1" t="s">
        <v>64</v>
      </c>
      <c r="J98" s="1" t="s">
        <v>40</v>
      </c>
      <c r="K98" s="1" t="s">
        <v>41</v>
      </c>
      <c r="L98" s="1">
        <v>1</v>
      </c>
      <c r="N98" s="1">
        <v>10</v>
      </c>
      <c r="O98" s="1">
        <v>0.45</v>
      </c>
      <c r="P98" s="1">
        <v>0.35</v>
      </c>
      <c r="Q98" s="7">
        <f t="shared" si="3"/>
        <v>0.4</v>
      </c>
      <c r="R98" s="1">
        <v>12.8</v>
      </c>
      <c r="S98" s="1">
        <v>101</v>
      </c>
      <c r="T98" s="2">
        <f t="shared" si="7"/>
        <v>33</v>
      </c>
      <c r="U98" s="1">
        <v>880</v>
      </c>
      <c r="V98" s="2">
        <f t="shared" si="5"/>
        <v>2904</v>
      </c>
      <c r="W98" s="1">
        <v>5</v>
      </c>
      <c r="X98" s="1" t="s">
        <v>51</v>
      </c>
      <c r="Y98" s="1" t="s">
        <v>67</v>
      </c>
      <c r="Z98" s="1" t="s">
        <v>101</v>
      </c>
      <c r="AA98" s="1" t="s">
        <v>112</v>
      </c>
      <c r="AB98" s="1" t="s">
        <v>145</v>
      </c>
    </row>
    <row r="99" spans="1:28" x14ac:dyDescent="0.15">
      <c r="A99" s="1" t="s">
        <v>44</v>
      </c>
      <c r="B99" s="1" t="s">
        <v>143</v>
      </c>
      <c r="C99" s="1">
        <v>2020</v>
      </c>
      <c r="D99" s="76" t="s">
        <v>411</v>
      </c>
      <c r="E99" s="1" t="s">
        <v>151</v>
      </c>
      <c r="F99" s="1" t="s">
        <v>152</v>
      </c>
      <c r="G99" s="1" t="s">
        <v>37</v>
      </c>
      <c r="H99" s="1" t="s">
        <v>63</v>
      </c>
      <c r="I99" s="1" t="s">
        <v>64</v>
      </c>
      <c r="J99" s="1" t="s">
        <v>40</v>
      </c>
      <c r="K99" s="1" t="s">
        <v>41</v>
      </c>
      <c r="L99" s="1">
        <v>2</v>
      </c>
      <c r="N99" s="1">
        <v>10</v>
      </c>
      <c r="O99" s="1">
        <v>0.35</v>
      </c>
      <c r="P99" s="1">
        <v>0.3</v>
      </c>
      <c r="Q99" s="7">
        <f t="shared" si="3"/>
        <v>0.32499999999999996</v>
      </c>
      <c r="R99" s="1">
        <v>11.4</v>
      </c>
      <c r="S99" s="1">
        <v>105</v>
      </c>
      <c r="T99" s="2">
        <f t="shared" si="7"/>
        <v>33</v>
      </c>
      <c r="U99" s="1">
        <v>880</v>
      </c>
      <c r="V99" s="2">
        <f t="shared" si="5"/>
        <v>2904</v>
      </c>
      <c r="W99" s="1">
        <v>5</v>
      </c>
      <c r="X99" s="1" t="s">
        <v>51</v>
      </c>
      <c r="Y99" s="1" t="s">
        <v>67</v>
      </c>
      <c r="Z99" s="1" t="s">
        <v>101</v>
      </c>
      <c r="AA99" s="1" t="s">
        <v>112</v>
      </c>
      <c r="AB99" s="1" t="s">
        <v>145</v>
      </c>
    </row>
    <row r="100" spans="1:28" x14ac:dyDescent="0.15">
      <c r="A100" s="1" t="s">
        <v>44</v>
      </c>
      <c r="B100" s="1" t="s">
        <v>143</v>
      </c>
      <c r="C100" s="1">
        <v>2020</v>
      </c>
      <c r="D100" s="76" t="s">
        <v>411</v>
      </c>
      <c r="E100" s="1" t="s">
        <v>151</v>
      </c>
      <c r="F100" s="1" t="s">
        <v>152</v>
      </c>
      <c r="G100" s="1" t="s">
        <v>37</v>
      </c>
      <c r="H100" s="1" t="s">
        <v>63</v>
      </c>
      <c r="I100" s="1" t="s">
        <v>64</v>
      </c>
      <c r="J100" s="1" t="s">
        <v>40</v>
      </c>
      <c r="K100" s="1" t="s">
        <v>41</v>
      </c>
      <c r="L100" s="1">
        <v>3</v>
      </c>
      <c r="N100" s="1">
        <v>10</v>
      </c>
      <c r="O100" s="1">
        <v>0.35</v>
      </c>
      <c r="P100" s="1">
        <v>0.35</v>
      </c>
      <c r="Q100" s="7">
        <f t="shared" si="3"/>
        <v>0.35</v>
      </c>
      <c r="R100" s="1">
        <v>13</v>
      </c>
      <c r="S100" s="1">
        <v>110</v>
      </c>
      <c r="T100" s="2">
        <f t="shared" si="7"/>
        <v>33</v>
      </c>
      <c r="U100" s="1">
        <v>880</v>
      </c>
      <c r="V100" s="2">
        <f t="shared" si="5"/>
        <v>2904</v>
      </c>
      <c r="W100" s="1">
        <v>5</v>
      </c>
      <c r="X100" s="1" t="s">
        <v>51</v>
      </c>
      <c r="Y100" s="1" t="s">
        <v>67</v>
      </c>
      <c r="Z100" s="1" t="s">
        <v>101</v>
      </c>
      <c r="AA100" s="1" t="s">
        <v>112</v>
      </c>
      <c r="AB100" s="1" t="s">
        <v>145</v>
      </c>
    </row>
    <row r="101" spans="1:28" x14ac:dyDescent="0.15">
      <c r="A101" s="1" t="s">
        <v>44</v>
      </c>
      <c r="B101" s="1" t="s">
        <v>143</v>
      </c>
      <c r="C101" s="1">
        <v>2020</v>
      </c>
      <c r="D101" s="76" t="s">
        <v>411</v>
      </c>
      <c r="E101" s="1" t="s">
        <v>151</v>
      </c>
      <c r="F101" s="1" t="s">
        <v>152</v>
      </c>
      <c r="G101" s="1" t="s">
        <v>37</v>
      </c>
      <c r="H101" s="1" t="s">
        <v>63</v>
      </c>
      <c r="I101" s="1" t="s">
        <v>64</v>
      </c>
      <c r="J101" s="1" t="s">
        <v>40</v>
      </c>
      <c r="K101" s="1" t="s">
        <v>41</v>
      </c>
      <c r="L101" s="1">
        <v>1</v>
      </c>
      <c r="N101" s="1">
        <v>1</v>
      </c>
      <c r="O101" s="1">
        <v>1.1000000000000001</v>
      </c>
      <c r="P101" s="1">
        <v>1.1499999999999999</v>
      </c>
      <c r="Q101" s="7">
        <f t="shared" si="3"/>
        <v>1.125</v>
      </c>
      <c r="R101" s="1">
        <v>10.1</v>
      </c>
      <c r="S101" s="1">
        <v>129</v>
      </c>
      <c r="T101" s="2">
        <f t="shared" si="7"/>
        <v>25</v>
      </c>
      <c r="U101" s="1">
        <v>98</v>
      </c>
      <c r="V101" s="2">
        <f t="shared" si="5"/>
        <v>2450</v>
      </c>
      <c r="W101" s="1">
        <v>2</v>
      </c>
      <c r="X101" s="1" t="s">
        <v>51</v>
      </c>
      <c r="Y101" s="1" t="s">
        <v>67</v>
      </c>
      <c r="Z101" s="1" t="s">
        <v>101</v>
      </c>
      <c r="AA101" s="1" t="s">
        <v>112</v>
      </c>
      <c r="AB101" s="1" t="s">
        <v>145</v>
      </c>
    </row>
    <row r="102" spans="1:28" x14ac:dyDescent="0.15">
      <c r="A102" s="1" t="s">
        <v>44</v>
      </c>
      <c r="B102" s="1" t="s">
        <v>143</v>
      </c>
      <c r="C102" s="1">
        <v>2020</v>
      </c>
      <c r="D102" s="76" t="s">
        <v>411</v>
      </c>
      <c r="E102" s="1" t="s">
        <v>151</v>
      </c>
      <c r="F102" s="1" t="s">
        <v>152</v>
      </c>
      <c r="G102" s="1" t="s">
        <v>37</v>
      </c>
      <c r="H102" s="1" t="s">
        <v>63</v>
      </c>
      <c r="I102" s="1" t="s">
        <v>64</v>
      </c>
      <c r="J102" s="1" t="s">
        <v>40</v>
      </c>
      <c r="K102" s="1" t="s">
        <v>41</v>
      </c>
      <c r="L102" s="1">
        <v>2</v>
      </c>
      <c r="N102" s="1">
        <v>1</v>
      </c>
      <c r="O102" s="1">
        <v>1.3</v>
      </c>
      <c r="P102" s="1">
        <v>1.2</v>
      </c>
      <c r="Q102" s="7">
        <f t="shared" si="3"/>
        <v>1.25</v>
      </c>
      <c r="R102" s="1">
        <v>13.2</v>
      </c>
      <c r="S102" s="1">
        <v>130</v>
      </c>
      <c r="T102" s="2">
        <f t="shared" si="7"/>
        <v>25</v>
      </c>
      <c r="U102" s="1">
        <v>98</v>
      </c>
      <c r="V102" s="2">
        <f t="shared" si="5"/>
        <v>2450</v>
      </c>
      <c r="W102" s="1">
        <v>2</v>
      </c>
      <c r="X102" s="1" t="s">
        <v>51</v>
      </c>
      <c r="Y102" s="1" t="s">
        <v>67</v>
      </c>
      <c r="Z102" s="1" t="s">
        <v>101</v>
      </c>
      <c r="AA102" s="1" t="s">
        <v>112</v>
      </c>
      <c r="AB102" s="1" t="s">
        <v>145</v>
      </c>
    </row>
    <row r="103" spans="1:28" x14ac:dyDescent="0.15">
      <c r="A103" s="1" t="s">
        <v>44</v>
      </c>
      <c r="B103" s="1" t="s">
        <v>143</v>
      </c>
      <c r="C103" s="1">
        <v>2020</v>
      </c>
      <c r="D103" s="76" t="s">
        <v>411</v>
      </c>
      <c r="E103" s="1" t="s">
        <v>151</v>
      </c>
      <c r="F103" s="1" t="s">
        <v>152</v>
      </c>
      <c r="G103" s="1" t="s">
        <v>37</v>
      </c>
      <c r="H103" s="1" t="s">
        <v>63</v>
      </c>
      <c r="I103" s="1" t="s">
        <v>64</v>
      </c>
      <c r="J103" s="1" t="s">
        <v>40</v>
      </c>
      <c r="K103" s="1" t="s">
        <v>41</v>
      </c>
      <c r="L103" s="1">
        <v>3</v>
      </c>
      <c r="N103" s="1">
        <v>1</v>
      </c>
      <c r="O103" s="1">
        <v>1.35</v>
      </c>
      <c r="P103" s="1">
        <v>1.25</v>
      </c>
      <c r="Q103" s="7">
        <f t="shared" si="3"/>
        <v>1.3</v>
      </c>
      <c r="R103" s="1">
        <v>12.8</v>
      </c>
      <c r="S103" s="1">
        <v>131</v>
      </c>
      <c r="T103" s="2">
        <f t="shared" si="7"/>
        <v>25</v>
      </c>
      <c r="U103" s="1">
        <v>98</v>
      </c>
      <c r="V103" s="2">
        <f t="shared" si="5"/>
        <v>2450</v>
      </c>
      <c r="W103" s="1">
        <v>2</v>
      </c>
      <c r="X103" s="1" t="s">
        <v>51</v>
      </c>
      <c r="Y103" s="1" t="s">
        <v>67</v>
      </c>
      <c r="Z103" s="1" t="s">
        <v>101</v>
      </c>
      <c r="AA103" s="1" t="s">
        <v>112</v>
      </c>
      <c r="AB103" s="1" t="s">
        <v>145</v>
      </c>
    </row>
    <row r="104" spans="1:28" x14ac:dyDescent="0.15">
      <c r="A104" s="1" t="s">
        <v>44</v>
      </c>
      <c r="B104" s="1" t="s">
        <v>143</v>
      </c>
      <c r="C104" s="1">
        <v>2020</v>
      </c>
      <c r="D104" s="76" t="s">
        <v>411</v>
      </c>
      <c r="E104" s="1" t="s">
        <v>151</v>
      </c>
      <c r="F104" s="1" t="s">
        <v>152</v>
      </c>
      <c r="G104" s="1" t="s">
        <v>37</v>
      </c>
      <c r="H104" s="1" t="s">
        <v>63</v>
      </c>
      <c r="I104" s="1" t="s">
        <v>64</v>
      </c>
      <c r="J104" s="1" t="s">
        <v>40</v>
      </c>
      <c r="K104" s="1" t="s">
        <v>41</v>
      </c>
      <c r="L104" s="1">
        <v>1</v>
      </c>
      <c r="N104" s="1">
        <v>5</v>
      </c>
      <c r="O104" s="1">
        <v>0.85</v>
      </c>
      <c r="P104" s="1">
        <v>0.95</v>
      </c>
      <c r="Q104" s="7">
        <f t="shared" si="3"/>
        <v>0.89999999999999991</v>
      </c>
      <c r="R104" s="1">
        <v>11</v>
      </c>
      <c r="S104" s="1">
        <v>123</v>
      </c>
      <c r="T104" s="2">
        <f t="shared" si="7"/>
        <v>27</v>
      </c>
      <c r="U104" s="1">
        <v>398</v>
      </c>
      <c r="V104" s="2">
        <f t="shared" si="5"/>
        <v>2149.1999999999998</v>
      </c>
      <c r="W104" s="1">
        <v>2</v>
      </c>
      <c r="X104" s="1" t="s">
        <v>51</v>
      </c>
      <c r="Y104" s="1" t="s">
        <v>67</v>
      </c>
      <c r="Z104" s="1" t="s">
        <v>101</v>
      </c>
      <c r="AA104" s="1" t="s">
        <v>112</v>
      </c>
      <c r="AB104" s="1" t="s">
        <v>145</v>
      </c>
    </row>
    <row r="105" spans="1:28" x14ac:dyDescent="0.15">
      <c r="A105" s="1" t="s">
        <v>44</v>
      </c>
      <c r="B105" s="1" t="s">
        <v>143</v>
      </c>
      <c r="C105" s="1">
        <v>2020</v>
      </c>
      <c r="D105" s="76" t="s">
        <v>411</v>
      </c>
      <c r="E105" s="1" t="s">
        <v>151</v>
      </c>
      <c r="F105" s="1" t="s">
        <v>152</v>
      </c>
      <c r="G105" s="1" t="s">
        <v>37</v>
      </c>
      <c r="H105" s="1" t="s">
        <v>63</v>
      </c>
      <c r="I105" s="1" t="s">
        <v>64</v>
      </c>
      <c r="J105" s="1" t="s">
        <v>40</v>
      </c>
      <c r="K105" s="1" t="s">
        <v>41</v>
      </c>
      <c r="L105" s="1">
        <v>2</v>
      </c>
      <c r="N105" s="1">
        <v>5</v>
      </c>
      <c r="O105" s="1">
        <v>0.9</v>
      </c>
      <c r="P105" s="1">
        <v>0.95</v>
      </c>
      <c r="Q105" s="7">
        <f t="shared" si="3"/>
        <v>0.92500000000000004</v>
      </c>
      <c r="R105" s="1">
        <v>13.7</v>
      </c>
      <c r="S105" s="1">
        <v>124</v>
      </c>
      <c r="T105" s="2">
        <f t="shared" si="7"/>
        <v>27</v>
      </c>
      <c r="U105" s="1">
        <v>398</v>
      </c>
      <c r="V105" s="2">
        <f t="shared" si="5"/>
        <v>2149.1999999999998</v>
      </c>
      <c r="W105" s="1">
        <v>2</v>
      </c>
      <c r="X105" s="1" t="s">
        <v>51</v>
      </c>
      <c r="Y105" s="1" t="s">
        <v>67</v>
      </c>
      <c r="Z105" s="1" t="s">
        <v>101</v>
      </c>
      <c r="AA105" s="1" t="s">
        <v>112</v>
      </c>
      <c r="AB105" s="1" t="s">
        <v>145</v>
      </c>
    </row>
    <row r="106" spans="1:28" x14ac:dyDescent="0.15">
      <c r="A106" s="1" t="s">
        <v>44</v>
      </c>
      <c r="B106" s="1" t="s">
        <v>143</v>
      </c>
      <c r="C106" s="1">
        <v>2020</v>
      </c>
      <c r="D106" s="76" t="s">
        <v>411</v>
      </c>
      <c r="E106" s="1" t="s">
        <v>151</v>
      </c>
      <c r="F106" s="1" t="s">
        <v>152</v>
      </c>
      <c r="G106" s="1" t="s">
        <v>37</v>
      </c>
      <c r="H106" s="1" t="s">
        <v>63</v>
      </c>
      <c r="I106" s="1" t="s">
        <v>64</v>
      </c>
      <c r="J106" s="1" t="s">
        <v>40</v>
      </c>
      <c r="K106" s="1" t="s">
        <v>41</v>
      </c>
      <c r="L106" s="1">
        <v>3</v>
      </c>
      <c r="N106" s="1">
        <v>5</v>
      </c>
      <c r="O106" s="1">
        <v>0.75</v>
      </c>
      <c r="P106" s="1">
        <v>0.7</v>
      </c>
      <c r="Q106" s="7">
        <f t="shared" si="3"/>
        <v>0.72499999999999998</v>
      </c>
      <c r="R106" s="1">
        <v>14</v>
      </c>
      <c r="S106" s="1">
        <v>122</v>
      </c>
      <c r="T106" s="2">
        <f t="shared" si="7"/>
        <v>27</v>
      </c>
      <c r="U106" s="1">
        <v>398</v>
      </c>
      <c r="V106" s="2">
        <f t="shared" si="5"/>
        <v>2149.1999999999998</v>
      </c>
      <c r="W106" s="1">
        <v>2</v>
      </c>
      <c r="X106" s="1" t="s">
        <v>51</v>
      </c>
      <c r="Y106" s="1" t="s">
        <v>67</v>
      </c>
      <c r="Z106" s="1" t="s">
        <v>101</v>
      </c>
      <c r="AA106" s="1" t="s">
        <v>112</v>
      </c>
      <c r="AB106" s="1" t="s">
        <v>145</v>
      </c>
    </row>
    <row r="107" spans="1:28" x14ac:dyDescent="0.15">
      <c r="A107" s="1" t="s">
        <v>44</v>
      </c>
      <c r="B107" s="1" t="s">
        <v>143</v>
      </c>
      <c r="C107" s="1">
        <v>2020</v>
      </c>
      <c r="D107" s="76" t="s">
        <v>411</v>
      </c>
      <c r="E107" s="1" t="s">
        <v>151</v>
      </c>
      <c r="F107" s="1" t="s">
        <v>155</v>
      </c>
      <c r="G107" s="1" t="s">
        <v>37</v>
      </c>
      <c r="H107" s="1" t="s">
        <v>82</v>
      </c>
      <c r="I107" s="1" t="s">
        <v>64</v>
      </c>
      <c r="J107" s="1" t="s">
        <v>40</v>
      </c>
      <c r="K107" s="1" t="s">
        <v>41</v>
      </c>
      <c r="L107" s="1">
        <v>1</v>
      </c>
      <c r="N107" s="1">
        <v>1</v>
      </c>
      <c r="O107" s="1">
        <v>0.3</v>
      </c>
      <c r="P107" s="1">
        <v>0.25</v>
      </c>
      <c r="Q107" s="7">
        <f t="shared" si="3"/>
        <v>0.27500000000000002</v>
      </c>
      <c r="R107" s="1">
        <v>16.7</v>
      </c>
      <c r="S107" s="1">
        <v>129</v>
      </c>
      <c r="T107" s="2">
        <f t="shared" si="7"/>
        <v>25</v>
      </c>
      <c r="U107" s="1">
        <v>98</v>
      </c>
      <c r="V107" s="2">
        <f t="shared" si="5"/>
        <v>2450</v>
      </c>
      <c r="W107" s="1">
        <v>3</v>
      </c>
      <c r="X107" s="1" t="s">
        <v>51</v>
      </c>
      <c r="Y107" s="1" t="s">
        <v>67</v>
      </c>
      <c r="Z107" s="1" t="s">
        <v>101</v>
      </c>
      <c r="AA107" s="1" t="s">
        <v>43</v>
      </c>
      <c r="AB107" s="1" t="s">
        <v>145</v>
      </c>
    </row>
    <row r="108" spans="1:28" x14ac:dyDescent="0.15">
      <c r="A108" s="1" t="s">
        <v>44</v>
      </c>
      <c r="B108" s="1" t="s">
        <v>143</v>
      </c>
      <c r="C108" s="1">
        <v>2020</v>
      </c>
      <c r="D108" s="76" t="s">
        <v>411</v>
      </c>
      <c r="E108" s="1" t="s">
        <v>151</v>
      </c>
      <c r="F108" s="1" t="s">
        <v>155</v>
      </c>
      <c r="G108" s="1" t="s">
        <v>37</v>
      </c>
      <c r="H108" s="1" t="s">
        <v>82</v>
      </c>
      <c r="I108" s="1" t="s">
        <v>64</v>
      </c>
      <c r="J108" s="1" t="s">
        <v>40</v>
      </c>
      <c r="K108" s="1" t="s">
        <v>41</v>
      </c>
      <c r="L108" s="1">
        <v>2</v>
      </c>
      <c r="N108" s="1">
        <v>1</v>
      </c>
      <c r="O108" s="1">
        <v>0.25</v>
      </c>
      <c r="P108" s="1">
        <v>0.25</v>
      </c>
      <c r="Q108" s="7">
        <f t="shared" si="3"/>
        <v>0.25</v>
      </c>
      <c r="R108" s="1">
        <v>15.2</v>
      </c>
      <c r="S108" s="1">
        <v>130</v>
      </c>
      <c r="T108" s="2">
        <f t="shared" si="7"/>
        <v>25</v>
      </c>
      <c r="U108" s="1">
        <v>98</v>
      </c>
      <c r="V108" s="2">
        <f t="shared" si="5"/>
        <v>2450</v>
      </c>
      <c r="W108" s="1">
        <v>3</v>
      </c>
      <c r="X108" s="1" t="s">
        <v>51</v>
      </c>
      <c r="Y108" s="1" t="s">
        <v>67</v>
      </c>
      <c r="Z108" s="1" t="s">
        <v>101</v>
      </c>
      <c r="AA108" s="1" t="s">
        <v>43</v>
      </c>
      <c r="AB108" s="1" t="s">
        <v>145</v>
      </c>
    </row>
    <row r="109" spans="1:28" x14ac:dyDescent="0.15">
      <c r="A109" s="1" t="s">
        <v>44</v>
      </c>
      <c r="B109" s="1" t="s">
        <v>143</v>
      </c>
      <c r="C109" s="1">
        <v>2020</v>
      </c>
      <c r="D109" s="76" t="s">
        <v>411</v>
      </c>
      <c r="E109" s="1" t="s">
        <v>151</v>
      </c>
      <c r="F109" s="1" t="s">
        <v>155</v>
      </c>
      <c r="G109" s="1" t="s">
        <v>37</v>
      </c>
      <c r="H109" s="1" t="s">
        <v>82</v>
      </c>
      <c r="I109" s="1" t="s">
        <v>64</v>
      </c>
      <c r="J109" s="1" t="s">
        <v>40</v>
      </c>
      <c r="K109" s="1" t="s">
        <v>41</v>
      </c>
      <c r="L109" s="1">
        <v>3</v>
      </c>
      <c r="N109" s="1">
        <v>1</v>
      </c>
      <c r="O109" s="1">
        <v>0.3</v>
      </c>
      <c r="P109" s="1">
        <v>0.25</v>
      </c>
      <c r="Q109" s="7">
        <f t="shared" si="3"/>
        <v>0.27500000000000002</v>
      </c>
      <c r="R109" s="1">
        <v>18.399999999999999</v>
      </c>
      <c r="S109" s="1">
        <v>132</v>
      </c>
      <c r="T109" s="2">
        <f t="shared" si="7"/>
        <v>25</v>
      </c>
      <c r="U109" s="1">
        <v>98</v>
      </c>
      <c r="V109" s="2">
        <f t="shared" si="5"/>
        <v>2450</v>
      </c>
      <c r="W109" s="1">
        <v>3</v>
      </c>
      <c r="X109" s="1" t="s">
        <v>51</v>
      </c>
      <c r="Y109" s="1" t="s">
        <v>67</v>
      </c>
      <c r="Z109" s="1" t="s">
        <v>101</v>
      </c>
      <c r="AA109" s="1" t="s">
        <v>43</v>
      </c>
      <c r="AB109" s="1" t="s">
        <v>145</v>
      </c>
    </row>
    <row r="110" spans="1:28" x14ac:dyDescent="0.15">
      <c r="A110" s="1" t="s">
        <v>44</v>
      </c>
      <c r="B110" s="1" t="s">
        <v>143</v>
      </c>
      <c r="C110" s="1">
        <v>2020</v>
      </c>
      <c r="D110" s="76" t="s">
        <v>411</v>
      </c>
      <c r="E110" s="1" t="s">
        <v>151</v>
      </c>
      <c r="F110" s="1" t="s">
        <v>155</v>
      </c>
      <c r="G110" s="1" t="s">
        <v>37</v>
      </c>
      <c r="H110" s="1" t="s">
        <v>82</v>
      </c>
      <c r="I110" s="1" t="s">
        <v>64</v>
      </c>
      <c r="J110" s="1" t="s">
        <v>40</v>
      </c>
      <c r="K110" s="1" t="s">
        <v>41</v>
      </c>
      <c r="L110" s="1">
        <v>1</v>
      </c>
      <c r="N110" s="1">
        <v>4</v>
      </c>
      <c r="O110" s="1">
        <v>0.25</v>
      </c>
      <c r="P110" s="1">
        <v>0.3</v>
      </c>
      <c r="Q110" s="7">
        <f t="shared" si="3"/>
        <v>0.27500000000000002</v>
      </c>
      <c r="R110" s="1">
        <v>14.2</v>
      </c>
      <c r="S110" s="1">
        <v>124</v>
      </c>
      <c r="T110" s="2">
        <f t="shared" si="7"/>
        <v>27</v>
      </c>
      <c r="U110" s="1">
        <v>480</v>
      </c>
      <c r="V110" s="2">
        <f t="shared" si="5"/>
        <v>3240</v>
      </c>
      <c r="W110" s="1">
        <v>1</v>
      </c>
      <c r="X110" s="1" t="s">
        <v>51</v>
      </c>
      <c r="Y110" s="1" t="s">
        <v>67</v>
      </c>
      <c r="Z110" s="1" t="s">
        <v>101</v>
      </c>
      <c r="AA110" s="1" t="s">
        <v>43</v>
      </c>
      <c r="AB110" s="1" t="s">
        <v>145</v>
      </c>
    </row>
    <row r="111" spans="1:28" x14ac:dyDescent="0.15">
      <c r="A111" s="1" t="s">
        <v>44</v>
      </c>
      <c r="B111" s="1" t="s">
        <v>143</v>
      </c>
      <c r="C111" s="1">
        <v>2020</v>
      </c>
      <c r="D111" s="76" t="s">
        <v>411</v>
      </c>
      <c r="E111" s="1" t="s">
        <v>151</v>
      </c>
      <c r="F111" s="1" t="s">
        <v>155</v>
      </c>
      <c r="G111" s="1" t="s">
        <v>37</v>
      </c>
      <c r="H111" s="1" t="s">
        <v>82</v>
      </c>
      <c r="I111" s="1" t="s">
        <v>64</v>
      </c>
      <c r="J111" s="1" t="s">
        <v>40</v>
      </c>
      <c r="K111" s="1" t="s">
        <v>41</v>
      </c>
      <c r="L111" s="1">
        <v>2</v>
      </c>
      <c r="N111" s="1">
        <v>4</v>
      </c>
      <c r="O111" s="1">
        <v>0.3</v>
      </c>
      <c r="P111" s="1">
        <v>0.25</v>
      </c>
      <c r="Q111" s="7">
        <f t="shared" si="3"/>
        <v>0.27500000000000002</v>
      </c>
      <c r="R111" s="1">
        <v>15.7</v>
      </c>
      <c r="S111" s="1">
        <v>122</v>
      </c>
      <c r="T111" s="2">
        <f t="shared" si="7"/>
        <v>27</v>
      </c>
      <c r="U111" s="1">
        <v>480</v>
      </c>
      <c r="V111" s="2">
        <f t="shared" si="5"/>
        <v>3240</v>
      </c>
      <c r="W111" s="1">
        <v>1</v>
      </c>
      <c r="X111" s="1" t="s">
        <v>51</v>
      </c>
      <c r="Y111" s="1" t="s">
        <v>67</v>
      </c>
      <c r="Z111" s="1" t="s">
        <v>101</v>
      </c>
      <c r="AA111" s="1" t="s">
        <v>43</v>
      </c>
      <c r="AB111" s="1" t="s">
        <v>145</v>
      </c>
    </row>
    <row r="112" spans="1:28" x14ac:dyDescent="0.15">
      <c r="A112" s="1" t="s">
        <v>44</v>
      </c>
      <c r="B112" s="1" t="s">
        <v>143</v>
      </c>
      <c r="C112" s="1">
        <v>2020</v>
      </c>
      <c r="D112" s="76" t="s">
        <v>411</v>
      </c>
      <c r="E112" s="1" t="s">
        <v>151</v>
      </c>
      <c r="F112" s="1" t="s">
        <v>155</v>
      </c>
      <c r="G112" s="1" t="s">
        <v>37</v>
      </c>
      <c r="H112" s="1" t="s">
        <v>82</v>
      </c>
      <c r="I112" s="1" t="s">
        <v>64</v>
      </c>
      <c r="J112" s="1" t="s">
        <v>40</v>
      </c>
      <c r="K112" s="1" t="s">
        <v>41</v>
      </c>
      <c r="L112" s="1">
        <v>3</v>
      </c>
      <c r="N112" s="1">
        <v>4</v>
      </c>
      <c r="O112" s="1">
        <v>0.35</v>
      </c>
      <c r="P112" s="1">
        <v>0.3</v>
      </c>
      <c r="Q112" s="7">
        <f t="shared" si="3"/>
        <v>0.32499999999999996</v>
      </c>
      <c r="R112" s="1">
        <v>16.8</v>
      </c>
      <c r="S112" s="1">
        <v>126</v>
      </c>
      <c r="T112" s="2">
        <f t="shared" si="7"/>
        <v>27</v>
      </c>
      <c r="U112" s="1">
        <v>480</v>
      </c>
      <c r="V112" s="2">
        <f t="shared" si="5"/>
        <v>3240</v>
      </c>
      <c r="W112" s="1">
        <v>1</v>
      </c>
      <c r="X112" s="1" t="s">
        <v>51</v>
      </c>
      <c r="Y112" s="1" t="s">
        <v>67</v>
      </c>
      <c r="Z112" s="1" t="s">
        <v>101</v>
      </c>
      <c r="AA112" s="1" t="s">
        <v>43</v>
      </c>
      <c r="AB112" s="1" t="s">
        <v>145</v>
      </c>
    </row>
    <row r="113" spans="1:28" x14ac:dyDescent="0.15">
      <c r="A113" s="1" t="s">
        <v>44</v>
      </c>
      <c r="B113" s="1" t="s">
        <v>143</v>
      </c>
      <c r="C113" s="1">
        <v>2020</v>
      </c>
      <c r="D113" s="76" t="s">
        <v>411</v>
      </c>
      <c r="E113" s="1" t="s">
        <v>151</v>
      </c>
      <c r="F113" s="1" t="s">
        <v>155</v>
      </c>
      <c r="G113" s="1" t="s">
        <v>37</v>
      </c>
      <c r="H113" s="1" t="s">
        <v>47</v>
      </c>
      <c r="I113" s="1" t="s">
        <v>64</v>
      </c>
      <c r="J113" s="1" t="s">
        <v>215</v>
      </c>
      <c r="K113" s="1" t="s">
        <v>50</v>
      </c>
      <c r="L113" s="1">
        <v>1</v>
      </c>
      <c r="N113" s="1">
        <v>5</v>
      </c>
      <c r="O113" s="1">
        <v>0.25</v>
      </c>
      <c r="P113" s="1">
        <v>0.25</v>
      </c>
      <c r="Q113" s="7">
        <f t="shared" si="3"/>
        <v>0.25</v>
      </c>
      <c r="R113" s="1">
        <v>16.899999999999999</v>
      </c>
      <c r="S113" s="1">
        <v>102</v>
      </c>
      <c r="T113" s="68">
        <f t="shared" si="7"/>
        <v>33</v>
      </c>
      <c r="U113" s="1">
        <v>350</v>
      </c>
      <c r="V113" s="68">
        <f t="shared" si="5"/>
        <v>2310</v>
      </c>
      <c r="W113" s="1">
        <v>4</v>
      </c>
      <c r="X113" s="1" t="s">
        <v>51</v>
      </c>
      <c r="Y113" s="1" t="s">
        <v>67</v>
      </c>
      <c r="Z113" s="1" t="s">
        <v>101</v>
      </c>
      <c r="AA113" s="1" t="s">
        <v>43</v>
      </c>
      <c r="AB113" s="1" t="s">
        <v>145</v>
      </c>
    </row>
    <row r="114" spans="1:28" x14ac:dyDescent="0.15">
      <c r="A114" s="1" t="s">
        <v>44</v>
      </c>
      <c r="B114" s="1" t="s">
        <v>143</v>
      </c>
      <c r="C114" s="1">
        <v>2020</v>
      </c>
      <c r="D114" s="76" t="s">
        <v>411</v>
      </c>
      <c r="E114" s="1" t="s">
        <v>151</v>
      </c>
      <c r="F114" s="1" t="s">
        <v>155</v>
      </c>
      <c r="G114" s="1" t="s">
        <v>37</v>
      </c>
      <c r="H114" s="1" t="s">
        <v>47</v>
      </c>
      <c r="I114" s="1" t="s">
        <v>64</v>
      </c>
      <c r="J114" s="1" t="s">
        <v>215</v>
      </c>
      <c r="K114" s="1" t="s">
        <v>50</v>
      </c>
      <c r="L114" s="1">
        <v>2</v>
      </c>
      <c r="N114" s="1">
        <v>5</v>
      </c>
      <c r="O114" s="1">
        <v>0.3</v>
      </c>
      <c r="P114" s="1">
        <v>0.4</v>
      </c>
      <c r="Q114" s="7">
        <f t="shared" si="3"/>
        <v>0.35</v>
      </c>
      <c r="R114" s="1">
        <v>14.1</v>
      </c>
      <c r="S114" s="1">
        <v>105</v>
      </c>
      <c r="T114" s="68">
        <f t="shared" si="7"/>
        <v>33</v>
      </c>
      <c r="U114" s="1">
        <v>350</v>
      </c>
      <c r="V114" s="68">
        <f t="shared" si="5"/>
        <v>2310</v>
      </c>
      <c r="W114" s="1">
        <v>4</v>
      </c>
      <c r="X114" s="1" t="s">
        <v>51</v>
      </c>
      <c r="Y114" s="1" t="s">
        <v>67</v>
      </c>
      <c r="Z114" s="1" t="s">
        <v>101</v>
      </c>
      <c r="AA114" s="1" t="s">
        <v>43</v>
      </c>
      <c r="AB114" s="1" t="s">
        <v>145</v>
      </c>
    </row>
    <row r="115" spans="1:28" x14ac:dyDescent="0.15">
      <c r="A115" s="1" t="s">
        <v>44</v>
      </c>
      <c r="B115" s="1" t="s">
        <v>143</v>
      </c>
      <c r="C115" s="1">
        <v>2020</v>
      </c>
      <c r="D115" s="76" t="s">
        <v>411</v>
      </c>
      <c r="E115" s="1" t="s">
        <v>151</v>
      </c>
      <c r="F115" s="1" t="s">
        <v>155</v>
      </c>
      <c r="G115" s="1" t="s">
        <v>37</v>
      </c>
      <c r="H115" s="1" t="s">
        <v>47</v>
      </c>
      <c r="I115" s="1" t="s">
        <v>64</v>
      </c>
      <c r="J115" s="1" t="s">
        <v>215</v>
      </c>
      <c r="K115" s="1" t="s">
        <v>50</v>
      </c>
      <c r="L115" s="1">
        <v>3</v>
      </c>
      <c r="N115" s="1">
        <v>5</v>
      </c>
      <c r="O115" s="1">
        <v>0.3</v>
      </c>
      <c r="P115" s="1">
        <v>0.35</v>
      </c>
      <c r="Q115" s="7">
        <f t="shared" si="3"/>
        <v>0.32499999999999996</v>
      </c>
      <c r="R115" s="1">
        <v>15.7</v>
      </c>
      <c r="S115" s="1">
        <v>110</v>
      </c>
      <c r="T115" s="68">
        <f t="shared" si="7"/>
        <v>33</v>
      </c>
      <c r="U115" s="1">
        <v>350</v>
      </c>
      <c r="V115" s="68">
        <f t="shared" si="5"/>
        <v>2310</v>
      </c>
      <c r="W115" s="1">
        <v>4</v>
      </c>
      <c r="X115" s="1" t="s">
        <v>51</v>
      </c>
      <c r="Y115" s="1" t="s">
        <v>67</v>
      </c>
      <c r="Z115" s="1" t="s">
        <v>101</v>
      </c>
      <c r="AA115" s="1" t="s">
        <v>43</v>
      </c>
      <c r="AB115" s="1" t="s">
        <v>145</v>
      </c>
    </row>
    <row r="116" spans="1:28" x14ac:dyDescent="0.15">
      <c r="A116" s="1" t="s">
        <v>44</v>
      </c>
      <c r="B116" s="1" t="s">
        <v>143</v>
      </c>
      <c r="C116" s="1">
        <v>2020</v>
      </c>
      <c r="D116" s="76" t="s">
        <v>411</v>
      </c>
      <c r="E116" s="1" t="s">
        <v>151</v>
      </c>
      <c r="F116" s="1" t="s">
        <v>155</v>
      </c>
      <c r="G116" s="1" t="s">
        <v>37</v>
      </c>
      <c r="H116" s="1" t="s">
        <v>63</v>
      </c>
      <c r="I116" s="1" t="s">
        <v>64</v>
      </c>
      <c r="J116" s="1" t="s">
        <v>40</v>
      </c>
      <c r="K116" s="1" t="s">
        <v>41</v>
      </c>
      <c r="L116" s="1">
        <v>1</v>
      </c>
      <c r="N116" s="1">
        <v>1</v>
      </c>
      <c r="O116" s="1">
        <v>0.65</v>
      </c>
      <c r="P116" s="1">
        <v>0.7</v>
      </c>
      <c r="Q116" s="7">
        <f t="shared" si="3"/>
        <v>0.67500000000000004</v>
      </c>
      <c r="R116" s="1">
        <v>14.5</v>
      </c>
      <c r="S116" s="1">
        <v>135</v>
      </c>
      <c r="T116" s="68">
        <f t="shared" si="7"/>
        <v>25</v>
      </c>
      <c r="U116" s="1">
        <v>88</v>
      </c>
      <c r="V116" s="68">
        <f t="shared" si="5"/>
        <v>2200</v>
      </c>
      <c r="W116" s="1">
        <v>3</v>
      </c>
      <c r="X116" s="1" t="s">
        <v>51</v>
      </c>
      <c r="Y116" s="1" t="s">
        <v>67</v>
      </c>
      <c r="Z116" s="1" t="s">
        <v>101</v>
      </c>
      <c r="AA116" s="1" t="s">
        <v>43</v>
      </c>
      <c r="AB116" s="1" t="s">
        <v>145</v>
      </c>
    </row>
    <row r="117" spans="1:28" x14ac:dyDescent="0.15">
      <c r="A117" s="1" t="s">
        <v>44</v>
      </c>
      <c r="B117" s="1" t="s">
        <v>143</v>
      </c>
      <c r="C117" s="1">
        <v>2020</v>
      </c>
      <c r="D117" s="76" t="s">
        <v>411</v>
      </c>
      <c r="E117" s="1" t="s">
        <v>151</v>
      </c>
      <c r="F117" s="1" t="s">
        <v>155</v>
      </c>
      <c r="G117" s="1" t="s">
        <v>37</v>
      </c>
      <c r="H117" s="1" t="s">
        <v>63</v>
      </c>
      <c r="I117" s="1" t="s">
        <v>64</v>
      </c>
      <c r="J117" s="1" t="s">
        <v>40</v>
      </c>
      <c r="K117" s="1" t="s">
        <v>41</v>
      </c>
      <c r="L117" s="1">
        <v>2</v>
      </c>
      <c r="N117" s="1">
        <v>1</v>
      </c>
      <c r="O117" s="1">
        <v>0.7</v>
      </c>
      <c r="P117" s="1">
        <v>0.65</v>
      </c>
      <c r="Q117" s="7">
        <f t="shared" si="3"/>
        <v>0.67500000000000004</v>
      </c>
      <c r="R117" s="1">
        <v>15.2</v>
      </c>
      <c r="S117" s="1">
        <v>132</v>
      </c>
      <c r="T117" s="68">
        <f t="shared" si="7"/>
        <v>25</v>
      </c>
      <c r="U117" s="1">
        <v>88</v>
      </c>
      <c r="V117" s="68">
        <f t="shared" si="5"/>
        <v>2200</v>
      </c>
      <c r="W117" s="1">
        <v>3</v>
      </c>
      <c r="X117" s="1" t="s">
        <v>51</v>
      </c>
      <c r="Y117" s="1" t="s">
        <v>67</v>
      </c>
      <c r="Z117" s="1" t="s">
        <v>101</v>
      </c>
      <c r="AA117" s="1" t="s">
        <v>43</v>
      </c>
      <c r="AB117" s="1" t="s">
        <v>145</v>
      </c>
    </row>
    <row r="118" spans="1:28" x14ac:dyDescent="0.15">
      <c r="A118" s="1" t="s">
        <v>44</v>
      </c>
      <c r="B118" s="1" t="s">
        <v>143</v>
      </c>
      <c r="C118" s="1">
        <v>2020</v>
      </c>
      <c r="D118" s="76" t="s">
        <v>411</v>
      </c>
      <c r="E118" s="1" t="s">
        <v>151</v>
      </c>
      <c r="F118" s="1" t="s">
        <v>155</v>
      </c>
      <c r="G118" s="1" t="s">
        <v>37</v>
      </c>
      <c r="H118" s="1" t="s">
        <v>63</v>
      </c>
      <c r="I118" s="1" t="s">
        <v>64</v>
      </c>
      <c r="J118" s="1" t="s">
        <v>40</v>
      </c>
      <c r="K118" s="1" t="s">
        <v>41</v>
      </c>
      <c r="L118" s="1">
        <v>3</v>
      </c>
      <c r="N118" s="1">
        <v>1</v>
      </c>
      <c r="O118" s="1">
        <v>0.65</v>
      </c>
      <c r="P118" s="1">
        <v>0.5</v>
      </c>
      <c r="Q118" s="7">
        <f t="shared" si="3"/>
        <v>0.57499999999999996</v>
      </c>
      <c r="R118" s="1">
        <v>15.2</v>
      </c>
      <c r="S118" s="1">
        <v>133</v>
      </c>
      <c r="T118" s="68">
        <f t="shared" si="7"/>
        <v>25</v>
      </c>
      <c r="U118" s="1">
        <v>88</v>
      </c>
      <c r="V118" s="68">
        <f t="shared" si="5"/>
        <v>2200</v>
      </c>
      <c r="W118" s="1">
        <v>3</v>
      </c>
      <c r="X118" s="1" t="s">
        <v>51</v>
      </c>
      <c r="Y118" s="1" t="s">
        <v>67</v>
      </c>
      <c r="Z118" s="1" t="s">
        <v>101</v>
      </c>
      <c r="AA118" s="1" t="s">
        <v>43</v>
      </c>
      <c r="AB118" s="1" t="s">
        <v>145</v>
      </c>
    </row>
    <row r="119" spans="1:28" x14ac:dyDescent="0.15">
      <c r="A119" s="1" t="s">
        <v>44</v>
      </c>
      <c r="B119" s="1" t="s">
        <v>143</v>
      </c>
      <c r="C119" s="1">
        <v>2020</v>
      </c>
      <c r="D119" s="76" t="s">
        <v>411</v>
      </c>
      <c r="E119" s="1" t="s">
        <v>151</v>
      </c>
      <c r="F119" s="1" t="s">
        <v>155</v>
      </c>
      <c r="G119" s="1" t="s">
        <v>37</v>
      </c>
      <c r="H119" s="1" t="s">
        <v>63</v>
      </c>
      <c r="I119" s="1" t="s">
        <v>64</v>
      </c>
      <c r="J119" s="1" t="s">
        <v>40</v>
      </c>
      <c r="K119" s="1" t="s">
        <v>41</v>
      </c>
      <c r="L119" s="1">
        <v>1</v>
      </c>
      <c r="N119" s="1">
        <v>5</v>
      </c>
      <c r="O119" s="1">
        <v>0.3</v>
      </c>
      <c r="P119" s="1">
        <v>0.4</v>
      </c>
      <c r="Q119" s="7">
        <f t="shared" si="3"/>
        <v>0.35</v>
      </c>
      <c r="R119" s="1">
        <v>13.9</v>
      </c>
      <c r="S119" s="1">
        <v>120</v>
      </c>
      <c r="T119" s="68">
        <f t="shared" si="7"/>
        <v>30</v>
      </c>
      <c r="U119" s="1">
        <v>350</v>
      </c>
      <c r="V119" s="68">
        <f t="shared" si="5"/>
        <v>2100</v>
      </c>
      <c r="W119" s="1">
        <v>3</v>
      </c>
      <c r="X119" s="1" t="s">
        <v>51</v>
      </c>
      <c r="Y119" s="1" t="s">
        <v>67</v>
      </c>
      <c r="Z119" s="1" t="s">
        <v>101</v>
      </c>
      <c r="AA119" s="1" t="s">
        <v>43</v>
      </c>
      <c r="AB119" s="1" t="s">
        <v>145</v>
      </c>
    </row>
    <row r="120" spans="1:28" x14ac:dyDescent="0.15">
      <c r="A120" s="1" t="s">
        <v>44</v>
      </c>
      <c r="B120" s="1" t="s">
        <v>143</v>
      </c>
      <c r="C120" s="1">
        <v>2020</v>
      </c>
      <c r="D120" s="76" t="s">
        <v>411</v>
      </c>
      <c r="E120" s="1" t="s">
        <v>151</v>
      </c>
      <c r="F120" s="1" t="s">
        <v>155</v>
      </c>
      <c r="G120" s="1" t="s">
        <v>37</v>
      </c>
      <c r="H120" s="1" t="s">
        <v>63</v>
      </c>
      <c r="I120" s="1" t="s">
        <v>64</v>
      </c>
      <c r="J120" s="1" t="s">
        <v>40</v>
      </c>
      <c r="K120" s="1" t="s">
        <v>41</v>
      </c>
      <c r="L120" s="1">
        <v>2</v>
      </c>
      <c r="N120" s="1">
        <v>5</v>
      </c>
      <c r="O120" s="1">
        <v>0.4</v>
      </c>
      <c r="P120" s="1">
        <v>0.25</v>
      </c>
      <c r="Q120" s="7">
        <f t="shared" si="3"/>
        <v>0.32500000000000001</v>
      </c>
      <c r="R120" s="1">
        <v>14.9</v>
      </c>
      <c r="S120" s="1">
        <v>117</v>
      </c>
      <c r="T120" s="68">
        <f t="shared" si="7"/>
        <v>30</v>
      </c>
      <c r="U120" s="1">
        <v>350</v>
      </c>
      <c r="V120" s="2">
        <f t="shared" si="5"/>
        <v>2100</v>
      </c>
      <c r="W120" s="1">
        <v>3</v>
      </c>
      <c r="X120" s="1" t="s">
        <v>51</v>
      </c>
      <c r="Y120" s="1" t="s">
        <v>67</v>
      </c>
      <c r="Z120" s="1" t="s">
        <v>101</v>
      </c>
      <c r="AA120" s="1" t="s">
        <v>43</v>
      </c>
      <c r="AB120" s="1" t="s">
        <v>145</v>
      </c>
    </row>
    <row r="121" spans="1:28" x14ac:dyDescent="0.15">
      <c r="A121" s="1" t="s">
        <v>44</v>
      </c>
      <c r="B121" s="1" t="s">
        <v>143</v>
      </c>
      <c r="C121" s="1">
        <v>2020</v>
      </c>
      <c r="D121" s="76" t="s">
        <v>411</v>
      </c>
      <c r="E121" s="1" t="s">
        <v>151</v>
      </c>
      <c r="F121" s="1" t="s">
        <v>155</v>
      </c>
      <c r="G121" s="1" t="s">
        <v>37</v>
      </c>
      <c r="H121" s="1" t="s">
        <v>63</v>
      </c>
      <c r="I121" s="1" t="s">
        <v>64</v>
      </c>
      <c r="J121" s="1" t="s">
        <v>40</v>
      </c>
      <c r="K121" s="1" t="s">
        <v>41</v>
      </c>
      <c r="L121" s="1">
        <v>3</v>
      </c>
      <c r="N121" s="1">
        <v>5</v>
      </c>
      <c r="O121" s="1">
        <v>0.5</v>
      </c>
      <c r="P121" s="1">
        <v>0.4</v>
      </c>
      <c r="Q121" s="7">
        <f t="shared" si="3"/>
        <v>0.45</v>
      </c>
      <c r="R121" s="1">
        <v>16.5</v>
      </c>
      <c r="S121" s="1">
        <v>119</v>
      </c>
      <c r="T121" s="68">
        <f t="shared" si="7"/>
        <v>30</v>
      </c>
      <c r="U121" s="1">
        <v>350</v>
      </c>
      <c r="V121" s="2">
        <f t="shared" si="5"/>
        <v>2100</v>
      </c>
      <c r="W121" s="1">
        <v>3</v>
      </c>
      <c r="X121" s="1" t="s">
        <v>51</v>
      </c>
      <c r="Y121" s="1" t="s">
        <v>67</v>
      </c>
      <c r="Z121" s="1" t="s">
        <v>101</v>
      </c>
      <c r="AA121" s="1" t="s">
        <v>43</v>
      </c>
      <c r="AB121" s="1" t="s">
        <v>145</v>
      </c>
    </row>
    <row r="122" spans="1:28" x14ac:dyDescent="0.15">
      <c r="A122" s="1" t="s">
        <v>44</v>
      </c>
      <c r="B122" s="1" t="s">
        <v>143</v>
      </c>
      <c r="C122" s="1">
        <v>2020</v>
      </c>
      <c r="D122" s="76" t="s">
        <v>411</v>
      </c>
      <c r="E122" s="1" t="s">
        <v>153</v>
      </c>
      <c r="F122" s="1" t="s">
        <v>154</v>
      </c>
      <c r="G122" s="1" t="s">
        <v>37</v>
      </c>
      <c r="H122" s="1" t="s">
        <v>82</v>
      </c>
      <c r="I122" s="1" t="s">
        <v>64</v>
      </c>
      <c r="J122" s="1" t="s">
        <v>40</v>
      </c>
      <c r="K122" s="1" t="s">
        <v>41</v>
      </c>
      <c r="L122" s="1">
        <v>1</v>
      </c>
      <c r="N122" s="1">
        <v>1</v>
      </c>
      <c r="O122" s="1">
        <v>0.4</v>
      </c>
      <c r="P122" s="1">
        <v>0.45</v>
      </c>
      <c r="Q122" s="7">
        <f t="shared" si="3"/>
        <v>0.42500000000000004</v>
      </c>
      <c r="R122" s="1">
        <v>14.8</v>
      </c>
      <c r="S122" s="1">
        <v>125</v>
      </c>
      <c r="T122" s="2">
        <f t="shared" si="7"/>
        <v>27</v>
      </c>
      <c r="U122" s="1">
        <v>95</v>
      </c>
      <c r="V122" s="2">
        <f t="shared" si="5"/>
        <v>2565</v>
      </c>
      <c r="W122" s="1">
        <v>4</v>
      </c>
      <c r="X122" s="1" t="s">
        <v>51</v>
      </c>
      <c r="Y122" s="1" t="s">
        <v>67</v>
      </c>
      <c r="Z122" s="1" t="s">
        <v>101</v>
      </c>
      <c r="AA122" s="1" t="s">
        <v>52</v>
      </c>
      <c r="AB122" s="1" t="s">
        <v>145</v>
      </c>
    </row>
    <row r="123" spans="1:28" x14ac:dyDescent="0.15">
      <c r="A123" s="1" t="s">
        <v>44</v>
      </c>
      <c r="B123" s="1" t="s">
        <v>143</v>
      </c>
      <c r="C123" s="1">
        <v>2020</v>
      </c>
      <c r="D123" s="76" t="s">
        <v>411</v>
      </c>
      <c r="E123" s="1" t="s">
        <v>153</v>
      </c>
      <c r="F123" s="1" t="s">
        <v>154</v>
      </c>
      <c r="G123" s="1" t="s">
        <v>37</v>
      </c>
      <c r="H123" s="1" t="s">
        <v>82</v>
      </c>
      <c r="I123" s="1" t="s">
        <v>64</v>
      </c>
      <c r="J123" s="1" t="s">
        <v>40</v>
      </c>
      <c r="K123" s="1" t="s">
        <v>41</v>
      </c>
      <c r="L123" s="1">
        <v>2</v>
      </c>
      <c r="N123" s="1">
        <v>1</v>
      </c>
      <c r="O123" s="1">
        <v>0.5</v>
      </c>
      <c r="P123" s="1">
        <v>0.55000000000000004</v>
      </c>
      <c r="Q123" s="7">
        <f t="shared" si="3"/>
        <v>0.52500000000000002</v>
      </c>
      <c r="R123" s="1">
        <v>16.8</v>
      </c>
      <c r="S123" s="1">
        <v>126</v>
      </c>
      <c r="T123" s="2">
        <f t="shared" si="7"/>
        <v>27</v>
      </c>
      <c r="U123" s="1">
        <v>95</v>
      </c>
      <c r="V123" s="2">
        <f t="shared" si="5"/>
        <v>2565</v>
      </c>
      <c r="W123" s="1">
        <v>4</v>
      </c>
      <c r="X123" s="1" t="s">
        <v>51</v>
      </c>
      <c r="Y123" s="1" t="s">
        <v>67</v>
      </c>
      <c r="Z123" s="1" t="s">
        <v>101</v>
      </c>
      <c r="AA123" s="1" t="s">
        <v>52</v>
      </c>
      <c r="AB123" s="1" t="s">
        <v>145</v>
      </c>
    </row>
    <row r="124" spans="1:28" x14ac:dyDescent="0.15">
      <c r="A124" s="1" t="s">
        <v>44</v>
      </c>
      <c r="B124" s="1" t="s">
        <v>143</v>
      </c>
      <c r="C124" s="1">
        <v>2020</v>
      </c>
      <c r="D124" s="76" t="s">
        <v>411</v>
      </c>
      <c r="E124" s="1" t="s">
        <v>153</v>
      </c>
      <c r="F124" s="1" t="s">
        <v>154</v>
      </c>
      <c r="G124" s="1" t="s">
        <v>37</v>
      </c>
      <c r="H124" s="1" t="s">
        <v>82</v>
      </c>
      <c r="I124" s="1" t="s">
        <v>64</v>
      </c>
      <c r="J124" s="1" t="s">
        <v>40</v>
      </c>
      <c r="K124" s="1" t="s">
        <v>41</v>
      </c>
      <c r="L124" s="1">
        <v>3</v>
      </c>
      <c r="N124" s="1">
        <v>1</v>
      </c>
      <c r="O124" s="1">
        <v>0.65</v>
      </c>
      <c r="P124" s="1">
        <v>0.5</v>
      </c>
      <c r="Q124" s="7">
        <f t="shared" si="3"/>
        <v>0.57499999999999996</v>
      </c>
      <c r="R124" s="1">
        <v>17.5</v>
      </c>
      <c r="S124" s="1">
        <v>127</v>
      </c>
      <c r="T124" s="2">
        <f t="shared" si="7"/>
        <v>27</v>
      </c>
      <c r="U124" s="1">
        <v>95</v>
      </c>
      <c r="V124" s="2">
        <f t="shared" si="5"/>
        <v>2565</v>
      </c>
      <c r="W124" s="1">
        <v>4</v>
      </c>
      <c r="X124" s="1" t="s">
        <v>51</v>
      </c>
      <c r="Y124" s="1" t="s">
        <v>67</v>
      </c>
      <c r="Z124" s="1" t="s">
        <v>101</v>
      </c>
      <c r="AA124" s="1" t="s">
        <v>52</v>
      </c>
      <c r="AB124" s="1" t="s">
        <v>145</v>
      </c>
    </row>
    <row r="125" spans="1:28" x14ac:dyDescent="0.15">
      <c r="A125" s="1" t="s">
        <v>44</v>
      </c>
      <c r="B125" s="1" t="s">
        <v>143</v>
      </c>
      <c r="C125" s="1">
        <v>2020</v>
      </c>
      <c r="D125" s="76" t="s">
        <v>411</v>
      </c>
      <c r="E125" s="1" t="s">
        <v>153</v>
      </c>
      <c r="F125" s="1" t="s">
        <v>154</v>
      </c>
      <c r="G125" s="1" t="s">
        <v>37</v>
      </c>
      <c r="H125" s="1" t="s">
        <v>82</v>
      </c>
      <c r="I125" s="1" t="s">
        <v>64</v>
      </c>
      <c r="J125" s="1" t="s">
        <v>40</v>
      </c>
      <c r="K125" s="1" t="s">
        <v>41</v>
      </c>
      <c r="L125" s="1">
        <v>1</v>
      </c>
      <c r="N125" s="1">
        <v>4</v>
      </c>
      <c r="O125" s="1">
        <v>0.25</v>
      </c>
      <c r="P125" s="1">
        <v>0.35</v>
      </c>
      <c r="Q125" s="7">
        <f t="shared" si="3"/>
        <v>0.3</v>
      </c>
      <c r="R125" s="1">
        <v>16.8</v>
      </c>
      <c r="S125" s="1">
        <v>122</v>
      </c>
      <c r="T125" s="2">
        <f t="shared" si="7"/>
        <v>27</v>
      </c>
      <c r="U125" s="1">
        <v>387</v>
      </c>
      <c r="V125" s="2">
        <f t="shared" si="5"/>
        <v>2612.25</v>
      </c>
      <c r="W125" s="1">
        <v>2</v>
      </c>
      <c r="X125" s="1" t="s">
        <v>51</v>
      </c>
      <c r="Y125" s="1" t="s">
        <v>67</v>
      </c>
      <c r="Z125" s="1" t="s">
        <v>101</v>
      </c>
      <c r="AA125" s="1" t="s">
        <v>52</v>
      </c>
      <c r="AB125" s="1" t="s">
        <v>145</v>
      </c>
    </row>
    <row r="126" spans="1:28" x14ac:dyDescent="0.15">
      <c r="A126" s="1" t="s">
        <v>44</v>
      </c>
      <c r="B126" s="1" t="s">
        <v>143</v>
      </c>
      <c r="C126" s="1">
        <v>2020</v>
      </c>
      <c r="D126" s="76" t="s">
        <v>411</v>
      </c>
      <c r="E126" s="1" t="s">
        <v>153</v>
      </c>
      <c r="F126" s="1" t="s">
        <v>154</v>
      </c>
      <c r="G126" s="1" t="s">
        <v>37</v>
      </c>
      <c r="H126" s="1" t="s">
        <v>82</v>
      </c>
      <c r="I126" s="1" t="s">
        <v>64</v>
      </c>
      <c r="J126" s="1" t="s">
        <v>40</v>
      </c>
      <c r="K126" s="1" t="s">
        <v>41</v>
      </c>
      <c r="L126" s="1">
        <v>2</v>
      </c>
      <c r="N126" s="1">
        <v>4</v>
      </c>
      <c r="O126" s="1">
        <v>0.35</v>
      </c>
      <c r="P126" s="1">
        <v>0.35</v>
      </c>
      <c r="Q126" s="7">
        <f t="shared" si="3"/>
        <v>0.35</v>
      </c>
      <c r="R126" s="1">
        <v>15.9</v>
      </c>
      <c r="S126" s="1">
        <v>124</v>
      </c>
      <c r="T126" s="2">
        <f t="shared" si="7"/>
        <v>27</v>
      </c>
      <c r="U126" s="1">
        <v>387</v>
      </c>
      <c r="V126" s="2">
        <f t="shared" si="5"/>
        <v>2612.25</v>
      </c>
      <c r="W126" s="1">
        <v>2</v>
      </c>
      <c r="X126" s="1" t="s">
        <v>51</v>
      </c>
      <c r="Y126" s="1" t="s">
        <v>67</v>
      </c>
      <c r="Z126" s="1" t="s">
        <v>101</v>
      </c>
      <c r="AA126" s="1" t="s">
        <v>52</v>
      </c>
      <c r="AB126" s="1" t="s">
        <v>145</v>
      </c>
    </row>
    <row r="127" spans="1:28" x14ac:dyDescent="0.15">
      <c r="A127" s="1" t="s">
        <v>44</v>
      </c>
      <c r="B127" s="1" t="s">
        <v>143</v>
      </c>
      <c r="C127" s="1">
        <v>2020</v>
      </c>
      <c r="D127" s="76" t="s">
        <v>411</v>
      </c>
      <c r="E127" s="1" t="s">
        <v>153</v>
      </c>
      <c r="F127" s="1" t="s">
        <v>154</v>
      </c>
      <c r="G127" s="1" t="s">
        <v>37</v>
      </c>
      <c r="H127" s="1" t="s">
        <v>82</v>
      </c>
      <c r="I127" s="1" t="s">
        <v>64</v>
      </c>
      <c r="J127" s="1" t="s">
        <v>40</v>
      </c>
      <c r="K127" s="1" t="s">
        <v>41</v>
      </c>
      <c r="L127" s="1">
        <v>3</v>
      </c>
      <c r="N127" s="1">
        <v>4</v>
      </c>
      <c r="O127" s="1">
        <v>0.45</v>
      </c>
      <c r="P127" s="1">
        <v>0.35</v>
      </c>
      <c r="Q127" s="7">
        <f t="shared" si="3"/>
        <v>0.4</v>
      </c>
      <c r="R127" s="1">
        <v>18</v>
      </c>
      <c r="S127" s="1">
        <v>123</v>
      </c>
      <c r="T127" s="2">
        <f t="shared" si="7"/>
        <v>27</v>
      </c>
      <c r="U127" s="1">
        <v>387</v>
      </c>
      <c r="V127" s="2">
        <f t="shared" si="5"/>
        <v>2612.25</v>
      </c>
      <c r="W127" s="1">
        <v>2</v>
      </c>
      <c r="X127" s="1" t="s">
        <v>51</v>
      </c>
      <c r="Y127" s="1" t="s">
        <v>67</v>
      </c>
      <c r="Z127" s="1" t="s">
        <v>101</v>
      </c>
      <c r="AA127" s="1" t="s">
        <v>52</v>
      </c>
      <c r="AB127" s="1" t="s">
        <v>145</v>
      </c>
    </row>
    <row r="128" spans="1:28" x14ac:dyDescent="0.15">
      <c r="A128" s="1" t="s">
        <v>44</v>
      </c>
      <c r="B128" s="1" t="s">
        <v>143</v>
      </c>
      <c r="C128" s="1">
        <v>2020</v>
      </c>
      <c r="D128" s="76" t="s">
        <v>411</v>
      </c>
      <c r="E128" s="1" t="s">
        <v>153</v>
      </c>
      <c r="F128" s="1" t="s">
        <v>154</v>
      </c>
      <c r="G128" s="1" t="s">
        <v>37</v>
      </c>
      <c r="H128" s="1" t="s">
        <v>82</v>
      </c>
      <c r="I128" s="1" t="s">
        <v>64</v>
      </c>
      <c r="J128" s="1" t="s">
        <v>40</v>
      </c>
      <c r="K128" s="1" t="s">
        <v>41</v>
      </c>
      <c r="L128" s="1">
        <v>1</v>
      </c>
      <c r="N128" s="1">
        <v>8</v>
      </c>
      <c r="O128" s="1">
        <v>0.65</v>
      </c>
      <c r="P128" s="1">
        <v>0.7</v>
      </c>
      <c r="Q128" s="7">
        <f t="shared" si="3"/>
        <v>0.67500000000000004</v>
      </c>
      <c r="R128" s="1">
        <v>16.2</v>
      </c>
      <c r="S128" s="1">
        <v>111</v>
      </c>
      <c r="T128" s="2">
        <f t="shared" si="7"/>
        <v>33</v>
      </c>
      <c r="U128" s="1">
        <v>779</v>
      </c>
      <c r="V128" s="2">
        <f t="shared" si="5"/>
        <v>3213.375</v>
      </c>
      <c r="W128" s="1">
        <v>2</v>
      </c>
      <c r="X128" s="1" t="s">
        <v>51</v>
      </c>
      <c r="Y128" s="1" t="s">
        <v>67</v>
      </c>
      <c r="Z128" s="1" t="s">
        <v>101</v>
      </c>
      <c r="AA128" s="1" t="s">
        <v>52</v>
      </c>
      <c r="AB128" s="1" t="s">
        <v>145</v>
      </c>
    </row>
    <row r="129" spans="1:28" x14ac:dyDescent="0.15">
      <c r="A129" s="1" t="s">
        <v>44</v>
      </c>
      <c r="B129" s="1" t="s">
        <v>143</v>
      </c>
      <c r="C129" s="1">
        <v>2020</v>
      </c>
      <c r="D129" s="76" t="s">
        <v>411</v>
      </c>
      <c r="E129" s="1" t="s">
        <v>153</v>
      </c>
      <c r="F129" s="1" t="s">
        <v>154</v>
      </c>
      <c r="G129" s="1" t="s">
        <v>37</v>
      </c>
      <c r="H129" s="1" t="s">
        <v>82</v>
      </c>
      <c r="I129" s="1" t="s">
        <v>64</v>
      </c>
      <c r="J129" s="1" t="s">
        <v>40</v>
      </c>
      <c r="K129" s="1" t="s">
        <v>41</v>
      </c>
      <c r="L129" s="1">
        <v>2</v>
      </c>
      <c r="N129" s="1">
        <v>8</v>
      </c>
      <c r="O129" s="1">
        <v>0.7</v>
      </c>
      <c r="P129" s="1">
        <v>0.65</v>
      </c>
      <c r="Q129" s="7">
        <f t="shared" si="3"/>
        <v>0.67500000000000004</v>
      </c>
      <c r="R129" s="1">
        <v>13.8</v>
      </c>
      <c r="S129" s="1">
        <v>110</v>
      </c>
      <c r="T129" s="2">
        <f t="shared" si="7"/>
        <v>33</v>
      </c>
      <c r="U129" s="1">
        <v>779</v>
      </c>
      <c r="V129" s="2">
        <f t="shared" si="5"/>
        <v>3213.375</v>
      </c>
      <c r="W129" s="1">
        <v>2</v>
      </c>
      <c r="X129" s="1" t="s">
        <v>51</v>
      </c>
      <c r="Y129" s="1" t="s">
        <v>67</v>
      </c>
      <c r="Z129" s="1" t="s">
        <v>101</v>
      </c>
      <c r="AA129" s="1" t="s">
        <v>52</v>
      </c>
      <c r="AB129" s="1" t="s">
        <v>145</v>
      </c>
    </row>
    <row r="130" spans="1:28" x14ac:dyDescent="0.15">
      <c r="A130" s="1" t="s">
        <v>44</v>
      </c>
      <c r="B130" s="1" t="s">
        <v>143</v>
      </c>
      <c r="C130" s="1">
        <v>2020</v>
      </c>
      <c r="D130" s="76" t="s">
        <v>411</v>
      </c>
      <c r="E130" s="1" t="s">
        <v>153</v>
      </c>
      <c r="F130" s="1" t="s">
        <v>154</v>
      </c>
      <c r="G130" s="1" t="s">
        <v>37</v>
      </c>
      <c r="H130" s="1" t="s">
        <v>82</v>
      </c>
      <c r="I130" s="1" t="s">
        <v>64</v>
      </c>
      <c r="J130" s="1" t="s">
        <v>40</v>
      </c>
      <c r="K130" s="1" t="s">
        <v>41</v>
      </c>
      <c r="L130" s="1">
        <v>3</v>
      </c>
      <c r="N130" s="1">
        <v>8</v>
      </c>
      <c r="O130" s="1">
        <v>0.85</v>
      </c>
      <c r="P130" s="1">
        <v>0.9</v>
      </c>
      <c r="Q130" s="7">
        <f t="shared" ref="Q130:Q154" si="8">IF(OR(O130="",P130=""),"",AVERAGE(O130,P130))</f>
        <v>0.875</v>
      </c>
      <c r="R130" s="1">
        <v>14.5</v>
      </c>
      <c r="S130" s="1">
        <v>109</v>
      </c>
      <c r="T130" s="2">
        <f t="shared" si="7"/>
        <v>33</v>
      </c>
      <c r="U130" s="1">
        <v>779</v>
      </c>
      <c r="V130" s="2">
        <f t="shared" ref="V130:V154" si="9">IF(OR(N130="",U130="",T130=""),"",U130/N130*T130)</f>
        <v>3213.375</v>
      </c>
      <c r="W130" s="1">
        <v>2</v>
      </c>
      <c r="X130" s="1" t="s">
        <v>51</v>
      </c>
      <c r="Y130" s="1" t="s">
        <v>67</v>
      </c>
      <c r="Z130" s="1" t="s">
        <v>101</v>
      </c>
      <c r="AA130" s="1" t="s">
        <v>52</v>
      </c>
      <c r="AB130" s="1" t="s">
        <v>145</v>
      </c>
    </row>
    <row r="131" spans="1:28" x14ac:dyDescent="0.15">
      <c r="A131" s="1" t="s">
        <v>44</v>
      </c>
      <c r="B131" s="1" t="s">
        <v>143</v>
      </c>
      <c r="C131" s="1">
        <v>2020</v>
      </c>
      <c r="D131" s="76" t="s">
        <v>411</v>
      </c>
      <c r="E131" s="1" t="s">
        <v>153</v>
      </c>
      <c r="F131" s="1" t="s">
        <v>154</v>
      </c>
      <c r="G131" s="1" t="s">
        <v>37</v>
      </c>
      <c r="H131" s="1" t="s">
        <v>63</v>
      </c>
      <c r="I131" s="1" t="s">
        <v>64</v>
      </c>
      <c r="J131" s="1" t="s">
        <v>40</v>
      </c>
      <c r="K131" s="1" t="s">
        <v>41</v>
      </c>
      <c r="L131" s="1">
        <v>1</v>
      </c>
      <c r="N131" s="1">
        <v>1</v>
      </c>
      <c r="O131" s="1">
        <v>1.1499999999999999</v>
      </c>
      <c r="P131" s="1">
        <v>1.3</v>
      </c>
      <c r="Q131" s="7">
        <f t="shared" si="8"/>
        <v>1.2250000000000001</v>
      </c>
      <c r="R131" s="1">
        <v>12.6</v>
      </c>
      <c r="S131" s="1">
        <v>130</v>
      </c>
      <c r="T131" s="2">
        <f t="shared" si="7"/>
        <v>25</v>
      </c>
      <c r="U131" s="1">
        <v>95</v>
      </c>
      <c r="V131" s="2">
        <f t="shared" si="9"/>
        <v>2375</v>
      </c>
      <c r="W131" s="1">
        <v>4</v>
      </c>
      <c r="X131" s="1" t="s">
        <v>51</v>
      </c>
      <c r="Y131" s="1" t="s">
        <v>67</v>
      </c>
      <c r="Z131" s="1" t="s">
        <v>101</v>
      </c>
      <c r="AA131" s="1" t="s">
        <v>52</v>
      </c>
      <c r="AB131" s="1" t="s">
        <v>145</v>
      </c>
    </row>
    <row r="132" spans="1:28" x14ac:dyDescent="0.15">
      <c r="A132" s="1" t="s">
        <v>44</v>
      </c>
      <c r="B132" s="1" t="s">
        <v>143</v>
      </c>
      <c r="C132" s="1">
        <v>2020</v>
      </c>
      <c r="D132" s="76" t="s">
        <v>411</v>
      </c>
      <c r="E132" s="1" t="s">
        <v>153</v>
      </c>
      <c r="F132" s="1" t="s">
        <v>154</v>
      </c>
      <c r="G132" s="1" t="s">
        <v>37</v>
      </c>
      <c r="H132" s="1" t="s">
        <v>63</v>
      </c>
      <c r="I132" s="1" t="s">
        <v>64</v>
      </c>
      <c r="J132" s="1" t="s">
        <v>40</v>
      </c>
      <c r="K132" s="1" t="s">
        <v>41</v>
      </c>
      <c r="L132" s="1">
        <v>2</v>
      </c>
      <c r="N132" s="1">
        <v>1</v>
      </c>
      <c r="O132" s="1">
        <v>1.2</v>
      </c>
      <c r="P132" s="1">
        <v>1.1499999999999999</v>
      </c>
      <c r="Q132" s="7">
        <f t="shared" si="8"/>
        <v>1.1749999999999998</v>
      </c>
      <c r="R132" s="1">
        <v>13.8</v>
      </c>
      <c r="S132" s="1">
        <v>134</v>
      </c>
      <c r="T132" s="2">
        <f t="shared" si="7"/>
        <v>25</v>
      </c>
      <c r="U132" s="1">
        <v>95</v>
      </c>
      <c r="V132" s="2">
        <f t="shared" si="9"/>
        <v>2375</v>
      </c>
      <c r="W132" s="1">
        <v>4</v>
      </c>
      <c r="X132" s="1" t="s">
        <v>51</v>
      </c>
      <c r="Y132" s="1" t="s">
        <v>67</v>
      </c>
      <c r="Z132" s="1" t="s">
        <v>101</v>
      </c>
      <c r="AA132" s="1" t="s">
        <v>52</v>
      </c>
      <c r="AB132" s="1" t="s">
        <v>145</v>
      </c>
    </row>
    <row r="133" spans="1:28" x14ac:dyDescent="0.15">
      <c r="A133" s="1" t="s">
        <v>44</v>
      </c>
      <c r="B133" s="1" t="s">
        <v>143</v>
      </c>
      <c r="C133" s="1">
        <v>2020</v>
      </c>
      <c r="D133" s="76" t="s">
        <v>411</v>
      </c>
      <c r="E133" s="1" t="s">
        <v>153</v>
      </c>
      <c r="F133" s="1" t="s">
        <v>154</v>
      </c>
      <c r="G133" s="1" t="s">
        <v>37</v>
      </c>
      <c r="H133" s="1" t="s">
        <v>63</v>
      </c>
      <c r="I133" s="1" t="s">
        <v>64</v>
      </c>
      <c r="J133" s="1" t="s">
        <v>40</v>
      </c>
      <c r="K133" s="1" t="s">
        <v>41</v>
      </c>
      <c r="L133" s="1">
        <v>3</v>
      </c>
      <c r="N133" s="1">
        <v>1</v>
      </c>
      <c r="O133" s="1">
        <v>1</v>
      </c>
      <c r="P133" s="1">
        <v>1.3</v>
      </c>
      <c r="Q133" s="7">
        <f t="shared" si="8"/>
        <v>1.1499999999999999</v>
      </c>
      <c r="R133" s="1">
        <v>12.8</v>
      </c>
      <c r="S133" s="1">
        <v>133</v>
      </c>
      <c r="T133" s="2">
        <f t="shared" si="7"/>
        <v>25</v>
      </c>
      <c r="U133" s="1">
        <v>95</v>
      </c>
      <c r="V133" s="2">
        <f t="shared" si="9"/>
        <v>2375</v>
      </c>
      <c r="W133" s="1">
        <v>4</v>
      </c>
      <c r="X133" s="1" t="s">
        <v>51</v>
      </c>
      <c r="Y133" s="1" t="s">
        <v>67</v>
      </c>
      <c r="Z133" s="1" t="s">
        <v>101</v>
      </c>
      <c r="AA133" s="1" t="s">
        <v>52</v>
      </c>
      <c r="AB133" s="1" t="s">
        <v>145</v>
      </c>
    </row>
    <row r="134" spans="1:28" x14ac:dyDescent="0.15">
      <c r="A134" s="1" t="s">
        <v>44</v>
      </c>
      <c r="B134" s="1" t="s">
        <v>143</v>
      </c>
      <c r="C134" s="1">
        <v>2020</v>
      </c>
      <c r="D134" s="76" t="s">
        <v>411</v>
      </c>
      <c r="E134" s="1" t="s">
        <v>153</v>
      </c>
      <c r="F134" s="1" t="s">
        <v>154</v>
      </c>
      <c r="G134" s="1" t="s">
        <v>37</v>
      </c>
      <c r="H134" s="1" t="s">
        <v>63</v>
      </c>
      <c r="I134" s="1" t="s">
        <v>64</v>
      </c>
      <c r="J134" s="1" t="s">
        <v>40</v>
      </c>
      <c r="K134" s="1" t="s">
        <v>41</v>
      </c>
      <c r="L134" s="1">
        <v>1</v>
      </c>
      <c r="N134" s="1">
        <v>5</v>
      </c>
      <c r="O134" s="1">
        <v>0.65</v>
      </c>
      <c r="P134" s="1">
        <v>0.75</v>
      </c>
      <c r="Q134" s="7">
        <f t="shared" si="8"/>
        <v>0.7</v>
      </c>
      <c r="R134" s="1">
        <v>14.8</v>
      </c>
      <c r="S134" s="1">
        <v>97</v>
      </c>
      <c r="T134" s="2">
        <f t="shared" si="7"/>
        <v>36</v>
      </c>
      <c r="U134" s="1">
        <v>297</v>
      </c>
      <c r="V134" s="2">
        <f t="shared" si="9"/>
        <v>2138.4</v>
      </c>
      <c r="W134" s="1">
        <v>3</v>
      </c>
      <c r="X134" s="1" t="s">
        <v>51</v>
      </c>
      <c r="Y134" s="1" t="s">
        <v>67</v>
      </c>
      <c r="Z134" s="1" t="s">
        <v>101</v>
      </c>
      <c r="AA134" s="1" t="s">
        <v>52</v>
      </c>
      <c r="AB134" s="1" t="s">
        <v>145</v>
      </c>
    </row>
    <row r="135" spans="1:28" x14ac:dyDescent="0.15">
      <c r="A135" s="1" t="s">
        <v>44</v>
      </c>
      <c r="B135" s="1" t="s">
        <v>143</v>
      </c>
      <c r="C135" s="1">
        <v>2020</v>
      </c>
      <c r="D135" s="76" t="s">
        <v>411</v>
      </c>
      <c r="E135" s="1" t="s">
        <v>153</v>
      </c>
      <c r="F135" s="1" t="s">
        <v>154</v>
      </c>
      <c r="G135" s="1" t="s">
        <v>37</v>
      </c>
      <c r="H135" s="1" t="s">
        <v>63</v>
      </c>
      <c r="I135" s="1" t="s">
        <v>64</v>
      </c>
      <c r="J135" s="1" t="s">
        <v>40</v>
      </c>
      <c r="K135" s="1" t="s">
        <v>41</v>
      </c>
      <c r="L135" s="1">
        <v>2</v>
      </c>
      <c r="N135" s="1">
        <v>5</v>
      </c>
      <c r="O135" s="1">
        <v>0.7</v>
      </c>
      <c r="P135" s="1">
        <v>0.85</v>
      </c>
      <c r="Q135" s="7">
        <f t="shared" si="8"/>
        <v>0.77499999999999991</v>
      </c>
      <c r="R135" s="1">
        <v>15.4</v>
      </c>
      <c r="S135" s="1">
        <v>95</v>
      </c>
      <c r="T135" s="2">
        <f t="shared" si="7"/>
        <v>36</v>
      </c>
      <c r="U135" s="1">
        <v>297</v>
      </c>
      <c r="V135" s="2">
        <f t="shared" si="9"/>
        <v>2138.4</v>
      </c>
      <c r="W135" s="1">
        <v>2</v>
      </c>
      <c r="X135" s="1" t="s">
        <v>51</v>
      </c>
      <c r="Y135" s="1" t="s">
        <v>67</v>
      </c>
      <c r="Z135" s="1" t="s">
        <v>101</v>
      </c>
      <c r="AA135" s="1" t="s">
        <v>52</v>
      </c>
      <c r="AB135" s="1" t="s">
        <v>145</v>
      </c>
    </row>
    <row r="136" spans="1:28" x14ac:dyDescent="0.15">
      <c r="A136" s="1" t="s">
        <v>44</v>
      </c>
      <c r="B136" s="1" t="s">
        <v>143</v>
      </c>
      <c r="C136" s="1">
        <v>2020</v>
      </c>
      <c r="D136" s="76" t="s">
        <v>411</v>
      </c>
      <c r="E136" s="1" t="s">
        <v>153</v>
      </c>
      <c r="F136" s="1" t="s">
        <v>154</v>
      </c>
      <c r="G136" s="1" t="s">
        <v>37</v>
      </c>
      <c r="H136" s="1" t="s">
        <v>63</v>
      </c>
      <c r="I136" s="1" t="s">
        <v>64</v>
      </c>
      <c r="J136" s="1" t="s">
        <v>40</v>
      </c>
      <c r="K136" s="1" t="s">
        <v>41</v>
      </c>
      <c r="L136" s="1">
        <v>3</v>
      </c>
      <c r="N136" s="1">
        <v>5</v>
      </c>
      <c r="O136" s="1">
        <v>0.8</v>
      </c>
      <c r="P136" s="1">
        <v>0.9</v>
      </c>
      <c r="Q136" s="7">
        <f t="shared" si="8"/>
        <v>0.85000000000000009</v>
      </c>
      <c r="R136" s="1">
        <v>15.2</v>
      </c>
      <c r="S136" s="1">
        <v>101</v>
      </c>
      <c r="T136" s="2">
        <f t="shared" si="7"/>
        <v>33</v>
      </c>
      <c r="U136" s="1">
        <v>297</v>
      </c>
      <c r="V136" s="2">
        <f t="shared" si="9"/>
        <v>1960.2</v>
      </c>
      <c r="W136" s="1">
        <v>2</v>
      </c>
      <c r="X136" s="1" t="s">
        <v>51</v>
      </c>
      <c r="Y136" s="1" t="s">
        <v>67</v>
      </c>
      <c r="Z136" s="1" t="s">
        <v>101</v>
      </c>
      <c r="AA136" s="1" t="s">
        <v>52</v>
      </c>
      <c r="AB136" s="1" t="s">
        <v>145</v>
      </c>
    </row>
    <row r="137" spans="1:28" x14ac:dyDescent="0.15">
      <c r="A137" s="1" t="s">
        <v>44</v>
      </c>
      <c r="B137" s="1" t="s">
        <v>143</v>
      </c>
      <c r="C137" s="1">
        <v>2020</v>
      </c>
      <c r="D137" s="76" t="s">
        <v>411</v>
      </c>
      <c r="E137" s="1" t="s">
        <v>153</v>
      </c>
      <c r="F137" s="1" t="s">
        <v>154</v>
      </c>
      <c r="G137" s="1" t="s">
        <v>37</v>
      </c>
      <c r="H137" s="1" t="s">
        <v>63</v>
      </c>
      <c r="I137" s="1" t="s">
        <v>64</v>
      </c>
      <c r="J137" s="1" t="s">
        <v>40</v>
      </c>
      <c r="K137" s="1" t="s">
        <v>41</v>
      </c>
      <c r="L137" s="1">
        <v>1</v>
      </c>
      <c r="N137" s="1">
        <v>8</v>
      </c>
      <c r="O137" s="1">
        <v>0.95</v>
      </c>
      <c r="P137" s="1">
        <v>1.1499999999999999</v>
      </c>
      <c r="Q137" s="7">
        <f t="shared" si="8"/>
        <v>1.0499999999999998</v>
      </c>
      <c r="R137" s="1">
        <v>12.9</v>
      </c>
      <c r="S137" s="1">
        <v>106</v>
      </c>
      <c r="T137" s="2">
        <f t="shared" si="7"/>
        <v>33</v>
      </c>
      <c r="U137" s="1">
        <v>497</v>
      </c>
      <c r="V137" s="2">
        <f t="shared" si="9"/>
        <v>2050.125</v>
      </c>
      <c r="W137" s="1">
        <v>4</v>
      </c>
      <c r="X137" s="1" t="s">
        <v>51</v>
      </c>
      <c r="Y137" s="1" t="s">
        <v>67</v>
      </c>
      <c r="Z137" s="1" t="s">
        <v>101</v>
      </c>
      <c r="AA137" s="1" t="s">
        <v>52</v>
      </c>
      <c r="AB137" s="1" t="s">
        <v>145</v>
      </c>
    </row>
    <row r="138" spans="1:28" x14ac:dyDescent="0.15">
      <c r="A138" s="1" t="s">
        <v>44</v>
      </c>
      <c r="B138" s="1" t="s">
        <v>143</v>
      </c>
      <c r="C138" s="1">
        <v>2020</v>
      </c>
      <c r="D138" s="76" t="s">
        <v>411</v>
      </c>
      <c r="E138" s="1" t="s">
        <v>153</v>
      </c>
      <c r="F138" s="1" t="s">
        <v>154</v>
      </c>
      <c r="G138" s="1" t="s">
        <v>37</v>
      </c>
      <c r="H138" s="1" t="s">
        <v>63</v>
      </c>
      <c r="I138" s="1" t="s">
        <v>64</v>
      </c>
      <c r="J138" s="1" t="s">
        <v>40</v>
      </c>
      <c r="K138" s="1" t="s">
        <v>41</v>
      </c>
      <c r="L138" s="1">
        <v>2</v>
      </c>
      <c r="N138" s="1">
        <v>8</v>
      </c>
      <c r="O138" s="1">
        <v>0.85</v>
      </c>
      <c r="P138" s="1">
        <v>1</v>
      </c>
      <c r="Q138" s="7">
        <f t="shared" si="8"/>
        <v>0.92500000000000004</v>
      </c>
      <c r="R138" s="1">
        <v>13.8</v>
      </c>
      <c r="S138" s="1">
        <v>102</v>
      </c>
      <c r="T138" s="2">
        <f t="shared" si="7"/>
        <v>33</v>
      </c>
      <c r="U138" s="1">
        <v>497</v>
      </c>
      <c r="V138" s="2">
        <f t="shared" si="9"/>
        <v>2050.125</v>
      </c>
      <c r="W138" s="1">
        <v>4</v>
      </c>
      <c r="X138" s="1" t="s">
        <v>51</v>
      </c>
      <c r="Y138" s="1" t="s">
        <v>67</v>
      </c>
      <c r="Z138" s="1" t="s">
        <v>101</v>
      </c>
      <c r="AA138" s="1" t="s">
        <v>52</v>
      </c>
      <c r="AB138" s="1" t="s">
        <v>145</v>
      </c>
    </row>
    <row r="139" spans="1:28" x14ac:dyDescent="0.15">
      <c r="A139" s="1" t="s">
        <v>44</v>
      </c>
      <c r="B139" s="1" t="s">
        <v>143</v>
      </c>
      <c r="C139" s="1">
        <v>2020</v>
      </c>
      <c r="D139" s="76" t="s">
        <v>411</v>
      </c>
      <c r="E139" s="1" t="s">
        <v>153</v>
      </c>
      <c r="F139" s="1" t="s">
        <v>154</v>
      </c>
      <c r="G139" s="1" t="s">
        <v>37</v>
      </c>
      <c r="H139" s="1" t="s">
        <v>63</v>
      </c>
      <c r="I139" s="1" t="s">
        <v>64</v>
      </c>
      <c r="J139" s="1" t="s">
        <v>40</v>
      </c>
      <c r="K139" s="1" t="s">
        <v>41</v>
      </c>
      <c r="L139" s="1">
        <v>3</v>
      </c>
      <c r="N139" s="1">
        <v>8</v>
      </c>
      <c r="O139" s="1">
        <v>0.95</v>
      </c>
      <c r="P139" s="1">
        <v>0.95</v>
      </c>
      <c r="Q139" s="7">
        <f t="shared" si="8"/>
        <v>0.95</v>
      </c>
      <c r="R139" s="1">
        <v>14.7</v>
      </c>
      <c r="S139" s="1">
        <v>104</v>
      </c>
      <c r="T139" s="2">
        <f t="shared" si="7"/>
        <v>33</v>
      </c>
      <c r="U139" s="1">
        <v>497</v>
      </c>
      <c r="V139" s="2">
        <f t="shared" si="9"/>
        <v>2050.125</v>
      </c>
      <c r="W139" s="1">
        <v>4</v>
      </c>
      <c r="X139" s="1" t="s">
        <v>51</v>
      </c>
      <c r="Y139" s="1" t="s">
        <v>67</v>
      </c>
      <c r="Z139" s="1" t="s">
        <v>101</v>
      </c>
      <c r="AA139" s="1" t="s">
        <v>52</v>
      </c>
      <c r="AB139" s="1" t="s">
        <v>145</v>
      </c>
    </row>
    <row r="140" spans="1:28" x14ac:dyDescent="0.15">
      <c r="A140" s="1" t="s">
        <v>44</v>
      </c>
      <c r="B140" s="1" t="s">
        <v>143</v>
      </c>
      <c r="C140" s="1">
        <v>2020</v>
      </c>
      <c r="D140" s="76" t="s">
        <v>411</v>
      </c>
      <c r="E140" s="1" t="s">
        <v>81</v>
      </c>
      <c r="F140" s="1" t="s">
        <v>156</v>
      </c>
      <c r="G140" s="1" t="s">
        <v>37</v>
      </c>
      <c r="H140" s="1" t="s">
        <v>82</v>
      </c>
      <c r="I140" s="1" t="s">
        <v>64</v>
      </c>
      <c r="J140" s="1" t="s">
        <v>40</v>
      </c>
      <c r="K140" s="1" t="s">
        <v>41</v>
      </c>
      <c r="L140" s="1">
        <v>1</v>
      </c>
      <c r="N140" s="1">
        <v>1</v>
      </c>
      <c r="O140" s="1">
        <v>0.35</v>
      </c>
      <c r="P140" s="1">
        <v>0.45</v>
      </c>
      <c r="Q140" s="7">
        <f t="shared" si="8"/>
        <v>0.4</v>
      </c>
      <c r="R140" s="1">
        <v>14.3</v>
      </c>
      <c r="S140" s="1">
        <v>132</v>
      </c>
      <c r="T140" s="2">
        <f t="shared" si="7"/>
        <v>25</v>
      </c>
      <c r="U140" s="1">
        <v>127</v>
      </c>
      <c r="V140" s="2">
        <f t="shared" si="9"/>
        <v>3175</v>
      </c>
      <c r="W140" s="1">
        <v>6</v>
      </c>
      <c r="X140" s="1" t="s">
        <v>51</v>
      </c>
      <c r="Y140" s="1" t="s">
        <v>67</v>
      </c>
      <c r="Z140" s="1" t="s">
        <v>101</v>
      </c>
      <c r="AA140" s="1" t="s">
        <v>74</v>
      </c>
      <c r="AB140" s="1" t="s">
        <v>145</v>
      </c>
    </row>
    <row r="141" spans="1:28" x14ac:dyDescent="0.15">
      <c r="A141" s="1" t="s">
        <v>44</v>
      </c>
      <c r="B141" s="1" t="s">
        <v>143</v>
      </c>
      <c r="C141" s="1">
        <v>2020</v>
      </c>
      <c r="D141" s="76" t="s">
        <v>411</v>
      </c>
      <c r="E141" s="1" t="s">
        <v>81</v>
      </c>
      <c r="F141" s="1" t="s">
        <v>156</v>
      </c>
      <c r="G141" s="1" t="s">
        <v>37</v>
      </c>
      <c r="H141" s="1" t="s">
        <v>82</v>
      </c>
      <c r="I141" s="1" t="s">
        <v>64</v>
      </c>
      <c r="J141" s="1" t="s">
        <v>40</v>
      </c>
      <c r="K141" s="1" t="s">
        <v>41</v>
      </c>
      <c r="L141" s="1">
        <v>2</v>
      </c>
      <c r="N141" s="1">
        <v>1</v>
      </c>
      <c r="O141" s="1">
        <v>0.45</v>
      </c>
      <c r="P141" s="1">
        <v>0.5</v>
      </c>
      <c r="Q141" s="7">
        <f t="shared" si="8"/>
        <v>0.47499999999999998</v>
      </c>
      <c r="R141" s="1">
        <v>15.2</v>
      </c>
      <c r="S141" s="1">
        <v>132</v>
      </c>
      <c r="T141" s="2">
        <f t="shared" si="7"/>
        <v>25</v>
      </c>
      <c r="U141" s="1">
        <v>127</v>
      </c>
      <c r="V141" s="2">
        <f t="shared" si="9"/>
        <v>3175</v>
      </c>
      <c r="W141" s="1">
        <v>6</v>
      </c>
      <c r="X141" s="1" t="s">
        <v>51</v>
      </c>
      <c r="Y141" s="1" t="s">
        <v>67</v>
      </c>
      <c r="Z141" s="1" t="s">
        <v>101</v>
      </c>
      <c r="AA141" s="1" t="s">
        <v>74</v>
      </c>
      <c r="AB141" s="1" t="s">
        <v>145</v>
      </c>
    </row>
    <row r="142" spans="1:28" x14ac:dyDescent="0.15">
      <c r="A142" s="1" t="s">
        <v>44</v>
      </c>
      <c r="B142" s="1" t="s">
        <v>143</v>
      </c>
      <c r="C142" s="1">
        <v>2020</v>
      </c>
      <c r="D142" s="76" t="s">
        <v>411</v>
      </c>
      <c r="E142" s="1" t="s">
        <v>81</v>
      </c>
      <c r="F142" s="1" t="s">
        <v>156</v>
      </c>
      <c r="G142" s="1" t="s">
        <v>37</v>
      </c>
      <c r="H142" s="1" t="s">
        <v>82</v>
      </c>
      <c r="I142" s="1" t="s">
        <v>64</v>
      </c>
      <c r="J142" s="1" t="s">
        <v>40</v>
      </c>
      <c r="K142" s="1" t="s">
        <v>41</v>
      </c>
      <c r="L142" s="1">
        <v>3</v>
      </c>
      <c r="N142" s="1">
        <v>1</v>
      </c>
      <c r="O142" s="1">
        <v>0.3</v>
      </c>
      <c r="P142" s="1">
        <v>0.35</v>
      </c>
      <c r="Q142" s="7">
        <f t="shared" si="8"/>
        <v>0.32499999999999996</v>
      </c>
      <c r="R142" s="1">
        <v>17</v>
      </c>
      <c r="S142" s="1">
        <v>134</v>
      </c>
      <c r="T142" s="2">
        <f t="shared" si="7"/>
        <v>25</v>
      </c>
      <c r="U142" s="1">
        <v>127</v>
      </c>
      <c r="V142" s="2">
        <f t="shared" si="9"/>
        <v>3175</v>
      </c>
      <c r="W142" s="1">
        <v>6</v>
      </c>
      <c r="X142" s="1" t="s">
        <v>51</v>
      </c>
      <c r="Y142" s="1" t="s">
        <v>67</v>
      </c>
      <c r="Z142" s="1" t="s">
        <v>101</v>
      </c>
      <c r="AA142" s="1" t="s">
        <v>74</v>
      </c>
      <c r="AB142" s="1" t="s">
        <v>145</v>
      </c>
    </row>
    <row r="143" spans="1:28" x14ac:dyDescent="0.15">
      <c r="A143" s="1" t="s">
        <v>44</v>
      </c>
      <c r="B143" s="1" t="s">
        <v>143</v>
      </c>
      <c r="C143" s="1">
        <v>2020</v>
      </c>
      <c r="D143" s="76" t="s">
        <v>411</v>
      </c>
      <c r="E143" s="1" t="s">
        <v>81</v>
      </c>
      <c r="F143" s="1" t="s">
        <v>156</v>
      </c>
      <c r="G143" s="1" t="s">
        <v>37</v>
      </c>
      <c r="H143" s="1" t="s">
        <v>82</v>
      </c>
      <c r="I143" s="1" t="s">
        <v>64</v>
      </c>
      <c r="J143" s="1" t="s">
        <v>40</v>
      </c>
      <c r="K143" s="1" t="s">
        <v>41</v>
      </c>
      <c r="L143" s="1">
        <v>1</v>
      </c>
      <c r="N143" s="1">
        <v>4</v>
      </c>
      <c r="O143" s="1">
        <v>0.65</v>
      </c>
      <c r="P143" s="1">
        <v>0.7</v>
      </c>
      <c r="Q143" s="7">
        <f t="shared" si="8"/>
        <v>0.67500000000000004</v>
      </c>
      <c r="R143" s="1">
        <v>15.2</v>
      </c>
      <c r="S143" s="1">
        <v>122</v>
      </c>
      <c r="T143" s="2">
        <f t="shared" si="7"/>
        <v>27</v>
      </c>
      <c r="U143" s="144">
        <v>397</v>
      </c>
      <c r="V143" s="2">
        <f t="shared" si="9"/>
        <v>2679.75</v>
      </c>
      <c r="W143" s="1">
        <v>2</v>
      </c>
      <c r="X143" s="1" t="s">
        <v>51</v>
      </c>
      <c r="Y143" s="1" t="s">
        <v>67</v>
      </c>
      <c r="Z143" s="1" t="s">
        <v>101</v>
      </c>
      <c r="AA143" s="1" t="s">
        <v>74</v>
      </c>
      <c r="AB143" s="1" t="s">
        <v>145</v>
      </c>
    </row>
    <row r="144" spans="1:28" x14ac:dyDescent="0.15">
      <c r="A144" s="1" t="s">
        <v>44</v>
      </c>
      <c r="B144" s="1" t="s">
        <v>143</v>
      </c>
      <c r="C144" s="1">
        <v>2020</v>
      </c>
      <c r="D144" s="76" t="s">
        <v>411</v>
      </c>
      <c r="E144" s="1" t="s">
        <v>81</v>
      </c>
      <c r="F144" s="1" t="s">
        <v>156</v>
      </c>
      <c r="G144" s="1" t="s">
        <v>37</v>
      </c>
      <c r="H144" s="1" t="s">
        <v>82</v>
      </c>
      <c r="I144" s="1" t="s">
        <v>64</v>
      </c>
      <c r="J144" s="1" t="s">
        <v>40</v>
      </c>
      <c r="K144" s="1" t="s">
        <v>41</v>
      </c>
      <c r="L144" s="1">
        <v>2</v>
      </c>
      <c r="N144" s="1">
        <v>4</v>
      </c>
      <c r="O144" s="1">
        <v>0.5</v>
      </c>
      <c r="P144" s="1">
        <v>0.55000000000000004</v>
      </c>
      <c r="Q144" s="7">
        <f t="shared" si="8"/>
        <v>0.52500000000000002</v>
      </c>
      <c r="R144" s="1">
        <v>14.9</v>
      </c>
      <c r="S144" s="1">
        <v>124</v>
      </c>
      <c r="T144" s="2">
        <f t="shared" ref="T144:T154" si="10">IF(H144="","",IF(OR(H144="GREEN",H144="GK"),IF(S144&gt;=$AX$2,VLOOKUP(S144,$AX$2:$AY$10,2,1),""),IF(S144&gt;=$AZ$2,VLOOKUP(S144,$AZ$2:$BA$10,2,1),"")))</f>
        <v>27</v>
      </c>
      <c r="U144" s="144">
        <v>397</v>
      </c>
      <c r="V144" s="2">
        <f t="shared" si="9"/>
        <v>2679.75</v>
      </c>
      <c r="W144" s="1">
        <v>2</v>
      </c>
      <c r="X144" s="1" t="s">
        <v>51</v>
      </c>
      <c r="Y144" s="1" t="s">
        <v>67</v>
      </c>
      <c r="Z144" s="1" t="s">
        <v>101</v>
      </c>
      <c r="AA144" s="1" t="s">
        <v>74</v>
      </c>
      <c r="AB144" s="1" t="s">
        <v>145</v>
      </c>
    </row>
    <row r="145" spans="1:28" x14ac:dyDescent="0.15">
      <c r="A145" s="1" t="s">
        <v>44</v>
      </c>
      <c r="B145" s="1" t="s">
        <v>143</v>
      </c>
      <c r="C145" s="1">
        <v>2020</v>
      </c>
      <c r="D145" s="76" t="s">
        <v>411</v>
      </c>
      <c r="E145" s="1" t="s">
        <v>81</v>
      </c>
      <c r="F145" s="1" t="s">
        <v>156</v>
      </c>
      <c r="G145" s="1" t="s">
        <v>37</v>
      </c>
      <c r="H145" s="1" t="s">
        <v>82</v>
      </c>
      <c r="I145" s="1" t="s">
        <v>64</v>
      </c>
      <c r="J145" s="1" t="s">
        <v>40</v>
      </c>
      <c r="K145" s="1" t="s">
        <v>41</v>
      </c>
      <c r="L145" s="1">
        <v>3</v>
      </c>
      <c r="N145" s="1">
        <v>4</v>
      </c>
      <c r="O145" s="1">
        <v>0.75</v>
      </c>
      <c r="P145" s="1">
        <v>0.85</v>
      </c>
      <c r="Q145" s="7">
        <f t="shared" si="8"/>
        <v>0.8</v>
      </c>
      <c r="R145" s="1">
        <v>13.4</v>
      </c>
      <c r="S145" s="1">
        <v>126</v>
      </c>
      <c r="T145" s="2">
        <f t="shared" si="10"/>
        <v>27</v>
      </c>
      <c r="U145" s="144">
        <v>397</v>
      </c>
      <c r="V145" s="2">
        <f t="shared" si="9"/>
        <v>2679.75</v>
      </c>
      <c r="W145" s="1">
        <v>2</v>
      </c>
      <c r="X145" s="1" t="s">
        <v>51</v>
      </c>
      <c r="Y145" s="1" t="s">
        <v>67</v>
      </c>
      <c r="Z145" s="1" t="s">
        <v>101</v>
      </c>
      <c r="AA145" s="1" t="s">
        <v>74</v>
      </c>
      <c r="AB145" s="1" t="s">
        <v>145</v>
      </c>
    </row>
    <row r="146" spans="1:28" x14ac:dyDescent="0.15">
      <c r="A146" s="1" t="s">
        <v>44</v>
      </c>
      <c r="B146" s="1" t="s">
        <v>143</v>
      </c>
      <c r="C146" s="1">
        <v>2020</v>
      </c>
      <c r="D146" s="76" t="s">
        <v>411</v>
      </c>
      <c r="E146" s="1" t="s">
        <v>81</v>
      </c>
      <c r="F146" s="1" t="s">
        <v>156</v>
      </c>
      <c r="G146" s="1" t="s">
        <v>37</v>
      </c>
      <c r="H146" s="1" t="s">
        <v>63</v>
      </c>
      <c r="I146" s="1" t="s">
        <v>64</v>
      </c>
      <c r="J146" s="1" t="s">
        <v>40</v>
      </c>
      <c r="K146" s="1" t="s">
        <v>41</v>
      </c>
      <c r="L146" s="1">
        <v>1</v>
      </c>
      <c r="N146" s="1">
        <v>1</v>
      </c>
      <c r="O146" s="1">
        <v>1</v>
      </c>
      <c r="P146" s="1">
        <v>1.1499999999999999</v>
      </c>
      <c r="Q146" s="7">
        <f t="shared" si="8"/>
        <v>1.075</v>
      </c>
      <c r="R146" s="1">
        <v>14.2</v>
      </c>
      <c r="S146" s="1">
        <v>130</v>
      </c>
      <c r="T146" s="2">
        <f t="shared" si="10"/>
        <v>25</v>
      </c>
      <c r="U146" s="144">
        <v>127</v>
      </c>
      <c r="V146" s="2">
        <f t="shared" si="9"/>
        <v>3175</v>
      </c>
      <c r="W146" s="1">
        <v>4</v>
      </c>
      <c r="X146" s="1" t="s">
        <v>51</v>
      </c>
      <c r="Y146" s="1" t="s">
        <v>67</v>
      </c>
      <c r="Z146" s="1" t="s">
        <v>101</v>
      </c>
      <c r="AA146" s="1" t="s">
        <v>74</v>
      </c>
      <c r="AB146" s="1" t="s">
        <v>145</v>
      </c>
    </row>
    <row r="147" spans="1:28" x14ac:dyDescent="0.15">
      <c r="A147" s="1" t="s">
        <v>44</v>
      </c>
      <c r="B147" s="1" t="s">
        <v>143</v>
      </c>
      <c r="C147" s="1">
        <v>2020</v>
      </c>
      <c r="D147" s="76" t="s">
        <v>411</v>
      </c>
      <c r="E147" s="1" t="s">
        <v>81</v>
      </c>
      <c r="F147" s="1" t="s">
        <v>156</v>
      </c>
      <c r="G147" s="1" t="s">
        <v>37</v>
      </c>
      <c r="H147" s="1" t="s">
        <v>63</v>
      </c>
      <c r="I147" s="1" t="s">
        <v>64</v>
      </c>
      <c r="J147" s="1" t="s">
        <v>40</v>
      </c>
      <c r="K147" s="1" t="s">
        <v>41</v>
      </c>
      <c r="L147" s="1">
        <v>2</v>
      </c>
      <c r="N147" s="1">
        <v>1</v>
      </c>
      <c r="O147" s="1">
        <v>0.95</v>
      </c>
      <c r="P147" s="1">
        <v>1</v>
      </c>
      <c r="Q147" s="7">
        <f t="shared" si="8"/>
        <v>0.97499999999999998</v>
      </c>
      <c r="R147" s="1">
        <v>10.4</v>
      </c>
      <c r="S147" s="1">
        <v>130</v>
      </c>
      <c r="T147" s="2">
        <f t="shared" si="10"/>
        <v>25</v>
      </c>
      <c r="U147" s="144">
        <v>127</v>
      </c>
      <c r="V147" s="2">
        <f t="shared" si="9"/>
        <v>3175</v>
      </c>
      <c r="W147" s="1">
        <v>4</v>
      </c>
      <c r="X147" s="1" t="s">
        <v>51</v>
      </c>
      <c r="Y147" s="1" t="s">
        <v>67</v>
      </c>
      <c r="Z147" s="1" t="s">
        <v>101</v>
      </c>
      <c r="AA147" s="1" t="s">
        <v>74</v>
      </c>
      <c r="AB147" s="1" t="s">
        <v>145</v>
      </c>
    </row>
    <row r="148" spans="1:28" x14ac:dyDescent="0.15">
      <c r="A148" s="1" t="s">
        <v>44</v>
      </c>
      <c r="B148" s="1" t="s">
        <v>143</v>
      </c>
      <c r="C148" s="1">
        <v>2020</v>
      </c>
      <c r="D148" s="76" t="s">
        <v>411</v>
      </c>
      <c r="E148" s="1" t="s">
        <v>81</v>
      </c>
      <c r="F148" s="1" t="s">
        <v>156</v>
      </c>
      <c r="G148" s="1" t="s">
        <v>37</v>
      </c>
      <c r="H148" s="1" t="s">
        <v>63</v>
      </c>
      <c r="I148" s="1" t="s">
        <v>64</v>
      </c>
      <c r="J148" s="1" t="s">
        <v>40</v>
      </c>
      <c r="K148" s="1" t="s">
        <v>41</v>
      </c>
      <c r="L148" s="1">
        <v>3</v>
      </c>
      <c r="N148" s="1">
        <v>1</v>
      </c>
      <c r="O148" s="1">
        <v>1.2</v>
      </c>
      <c r="P148" s="1">
        <v>1.1000000000000001</v>
      </c>
      <c r="Q148" s="7">
        <f t="shared" si="8"/>
        <v>1.1499999999999999</v>
      </c>
      <c r="R148" s="1">
        <v>11.5</v>
      </c>
      <c r="S148" s="1">
        <v>132</v>
      </c>
      <c r="T148" s="2">
        <f t="shared" si="10"/>
        <v>25</v>
      </c>
      <c r="U148" s="144">
        <v>127</v>
      </c>
      <c r="V148" s="2">
        <f t="shared" si="9"/>
        <v>3175</v>
      </c>
      <c r="W148" s="1">
        <v>4</v>
      </c>
      <c r="X148" s="1" t="s">
        <v>51</v>
      </c>
      <c r="Y148" s="1" t="s">
        <v>67</v>
      </c>
      <c r="Z148" s="1" t="s">
        <v>101</v>
      </c>
      <c r="AA148" s="1" t="s">
        <v>74</v>
      </c>
      <c r="AB148" s="1" t="s">
        <v>145</v>
      </c>
    </row>
    <row r="149" spans="1:28" x14ac:dyDescent="0.15">
      <c r="A149" s="1" t="s">
        <v>44</v>
      </c>
      <c r="B149" s="1" t="s">
        <v>143</v>
      </c>
      <c r="C149" s="1">
        <v>2020</v>
      </c>
      <c r="D149" s="76" t="s">
        <v>411</v>
      </c>
      <c r="E149" s="1" t="s">
        <v>81</v>
      </c>
      <c r="F149" s="1" t="s">
        <v>156</v>
      </c>
      <c r="G149" s="1" t="s">
        <v>37</v>
      </c>
      <c r="H149" s="1" t="s">
        <v>63</v>
      </c>
      <c r="I149" s="1" t="s">
        <v>64</v>
      </c>
      <c r="J149" s="1" t="s">
        <v>40</v>
      </c>
      <c r="K149" s="1" t="s">
        <v>41</v>
      </c>
      <c r="L149" s="1">
        <v>1</v>
      </c>
      <c r="N149" s="1">
        <v>4</v>
      </c>
      <c r="O149" s="1">
        <v>0.85</v>
      </c>
      <c r="P149" s="1">
        <v>0.7</v>
      </c>
      <c r="Q149" s="7">
        <f t="shared" si="8"/>
        <v>0.77499999999999991</v>
      </c>
      <c r="R149" s="1">
        <v>13.4</v>
      </c>
      <c r="S149" s="1">
        <v>117</v>
      </c>
      <c r="T149" s="2">
        <f t="shared" si="10"/>
        <v>30</v>
      </c>
      <c r="U149" s="144">
        <v>297</v>
      </c>
      <c r="V149" s="2">
        <f t="shared" si="9"/>
        <v>2227.5</v>
      </c>
      <c r="W149" s="1">
        <v>1</v>
      </c>
      <c r="X149" s="1" t="s">
        <v>51</v>
      </c>
      <c r="Y149" s="1" t="s">
        <v>67</v>
      </c>
      <c r="Z149" s="1" t="s">
        <v>101</v>
      </c>
      <c r="AA149" s="1" t="s">
        <v>74</v>
      </c>
      <c r="AB149" s="1" t="s">
        <v>145</v>
      </c>
    </row>
    <row r="150" spans="1:28" x14ac:dyDescent="0.15">
      <c r="A150" s="1" t="s">
        <v>44</v>
      </c>
      <c r="B150" s="1" t="s">
        <v>143</v>
      </c>
      <c r="C150" s="1">
        <v>2020</v>
      </c>
      <c r="D150" s="76" t="s">
        <v>411</v>
      </c>
      <c r="E150" s="1" t="s">
        <v>81</v>
      </c>
      <c r="F150" s="1" t="s">
        <v>156</v>
      </c>
      <c r="G150" s="1" t="s">
        <v>37</v>
      </c>
      <c r="H150" s="1" t="s">
        <v>63</v>
      </c>
      <c r="I150" s="1" t="s">
        <v>64</v>
      </c>
      <c r="J150" s="1" t="s">
        <v>40</v>
      </c>
      <c r="K150" s="1" t="s">
        <v>41</v>
      </c>
      <c r="L150" s="1">
        <v>2</v>
      </c>
      <c r="N150" s="1">
        <v>4</v>
      </c>
      <c r="O150" s="1">
        <v>0.65</v>
      </c>
      <c r="P150" s="1">
        <v>0.7</v>
      </c>
      <c r="Q150" s="7">
        <f t="shared" si="8"/>
        <v>0.67500000000000004</v>
      </c>
      <c r="R150" s="1">
        <v>14.2</v>
      </c>
      <c r="S150" s="1">
        <v>121</v>
      </c>
      <c r="T150" s="2">
        <f t="shared" si="10"/>
        <v>27</v>
      </c>
      <c r="U150" s="144">
        <v>297</v>
      </c>
      <c r="V150" s="2">
        <f t="shared" si="9"/>
        <v>2004.75</v>
      </c>
      <c r="W150" s="1">
        <v>1</v>
      </c>
      <c r="X150" s="1" t="s">
        <v>51</v>
      </c>
      <c r="Y150" s="1" t="s">
        <v>67</v>
      </c>
      <c r="Z150" s="1" t="s">
        <v>101</v>
      </c>
      <c r="AA150" s="1" t="s">
        <v>74</v>
      </c>
      <c r="AB150" s="1" t="s">
        <v>145</v>
      </c>
    </row>
    <row r="151" spans="1:28" x14ac:dyDescent="0.15">
      <c r="A151" s="1" t="s">
        <v>44</v>
      </c>
      <c r="B151" s="1" t="s">
        <v>143</v>
      </c>
      <c r="C151" s="1">
        <v>2020</v>
      </c>
      <c r="D151" s="76" t="s">
        <v>411</v>
      </c>
      <c r="E151" s="1" t="s">
        <v>81</v>
      </c>
      <c r="F151" s="1" t="s">
        <v>156</v>
      </c>
      <c r="G151" s="1" t="s">
        <v>37</v>
      </c>
      <c r="H151" s="1" t="s">
        <v>63</v>
      </c>
      <c r="I151" s="1" t="s">
        <v>64</v>
      </c>
      <c r="J151" s="1" t="s">
        <v>40</v>
      </c>
      <c r="K151" s="1" t="s">
        <v>41</v>
      </c>
      <c r="L151" s="1">
        <v>3</v>
      </c>
      <c r="N151" s="1">
        <v>4</v>
      </c>
      <c r="O151" s="1">
        <v>0.7</v>
      </c>
      <c r="P151" s="1">
        <v>0.65</v>
      </c>
      <c r="Q151" s="7">
        <f t="shared" si="8"/>
        <v>0.67500000000000004</v>
      </c>
      <c r="R151" s="1">
        <v>13.8</v>
      </c>
      <c r="S151" s="1">
        <v>115</v>
      </c>
      <c r="T151" s="2">
        <f t="shared" si="10"/>
        <v>30</v>
      </c>
      <c r="U151" s="144">
        <v>297</v>
      </c>
      <c r="V151" s="2">
        <f t="shared" si="9"/>
        <v>2227.5</v>
      </c>
      <c r="W151" s="1">
        <v>1</v>
      </c>
      <c r="X151" s="1" t="s">
        <v>51</v>
      </c>
      <c r="Y151" s="1" t="s">
        <v>67</v>
      </c>
      <c r="Z151" s="1" t="s">
        <v>101</v>
      </c>
      <c r="AA151" s="1" t="s">
        <v>74</v>
      </c>
      <c r="AB151" s="1" t="s">
        <v>145</v>
      </c>
    </row>
    <row r="152" spans="1:28" x14ac:dyDescent="0.15">
      <c r="A152" s="1" t="s">
        <v>44</v>
      </c>
      <c r="B152" s="1" t="s">
        <v>143</v>
      </c>
      <c r="C152" s="1">
        <v>2020</v>
      </c>
      <c r="D152" s="76" t="s">
        <v>411</v>
      </c>
      <c r="E152" s="1" t="s">
        <v>81</v>
      </c>
      <c r="F152" s="1" t="s">
        <v>156</v>
      </c>
      <c r="G152" s="1" t="s">
        <v>37</v>
      </c>
      <c r="H152" s="1" t="s">
        <v>63</v>
      </c>
      <c r="I152" s="1" t="s">
        <v>64</v>
      </c>
      <c r="J152" s="1" t="s">
        <v>40</v>
      </c>
      <c r="K152" s="1" t="s">
        <v>41</v>
      </c>
      <c r="L152" s="1">
        <v>1</v>
      </c>
      <c r="N152" s="1">
        <v>6</v>
      </c>
      <c r="O152" s="1">
        <v>0.35</v>
      </c>
      <c r="P152" s="1">
        <v>0.35</v>
      </c>
      <c r="Q152" s="7">
        <f t="shared" si="8"/>
        <v>0.35</v>
      </c>
      <c r="R152" s="1">
        <v>15.4</v>
      </c>
      <c r="S152" s="1">
        <v>120</v>
      </c>
      <c r="T152" s="2">
        <f t="shared" si="10"/>
        <v>30</v>
      </c>
      <c r="U152" s="144">
        <v>447</v>
      </c>
      <c r="V152" s="2">
        <f t="shared" si="9"/>
        <v>2235</v>
      </c>
      <c r="W152" s="1">
        <v>3</v>
      </c>
      <c r="X152" s="1" t="s">
        <v>51</v>
      </c>
      <c r="Y152" s="1" t="s">
        <v>67</v>
      </c>
      <c r="Z152" s="1" t="s">
        <v>101</v>
      </c>
      <c r="AA152" s="1" t="s">
        <v>74</v>
      </c>
      <c r="AB152" s="1" t="s">
        <v>145</v>
      </c>
    </row>
    <row r="153" spans="1:28" x14ac:dyDescent="0.15">
      <c r="A153" s="1" t="s">
        <v>44</v>
      </c>
      <c r="B153" s="1" t="s">
        <v>143</v>
      </c>
      <c r="C153" s="1">
        <v>2020</v>
      </c>
      <c r="D153" s="76" t="s">
        <v>411</v>
      </c>
      <c r="E153" s="1" t="s">
        <v>81</v>
      </c>
      <c r="F153" s="1" t="s">
        <v>156</v>
      </c>
      <c r="G153" s="1" t="s">
        <v>37</v>
      </c>
      <c r="H153" s="1" t="s">
        <v>63</v>
      </c>
      <c r="I153" s="1" t="s">
        <v>64</v>
      </c>
      <c r="J153" s="1" t="s">
        <v>40</v>
      </c>
      <c r="K153" s="1" t="s">
        <v>41</v>
      </c>
      <c r="L153" s="1">
        <v>2</v>
      </c>
      <c r="N153" s="1">
        <v>6</v>
      </c>
      <c r="O153" s="1">
        <v>0.45</v>
      </c>
      <c r="P153" s="1">
        <v>0.4</v>
      </c>
      <c r="Q153" s="7">
        <f t="shared" si="8"/>
        <v>0.42500000000000004</v>
      </c>
      <c r="R153" s="1">
        <v>14.6</v>
      </c>
      <c r="S153" s="1">
        <v>113</v>
      </c>
      <c r="T153" s="2">
        <f t="shared" si="10"/>
        <v>30</v>
      </c>
      <c r="U153" s="144">
        <v>447</v>
      </c>
      <c r="V153" s="2">
        <f t="shared" si="9"/>
        <v>2235</v>
      </c>
      <c r="W153" s="1">
        <v>3</v>
      </c>
      <c r="X153" s="1" t="s">
        <v>51</v>
      </c>
      <c r="Y153" s="1" t="s">
        <v>67</v>
      </c>
      <c r="Z153" s="1" t="s">
        <v>101</v>
      </c>
      <c r="AA153" s="1" t="s">
        <v>74</v>
      </c>
      <c r="AB153" s="1" t="s">
        <v>145</v>
      </c>
    </row>
    <row r="154" spans="1:28" x14ac:dyDescent="0.15">
      <c r="A154" s="1" t="s">
        <v>44</v>
      </c>
      <c r="B154" s="1" t="s">
        <v>143</v>
      </c>
      <c r="C154" s="1">
        <v>2020</v>
      </c>
      <c r="D154" s="76" t="s">
        <v>411</v>
      </c>
      <c r="E154" s="1" t="s">
        <v>81</v>
      </c>
      <c r="F154" s="1" t="s">
        <v>156</v>
      </c>
      <c r="G154" s="1" t="s">
        <v>37</v>
      </c>
      <c r="H154" s="1" t="s">
        <v>63</v>
      </c>
      <c r="I154" s="1" t="s">
        <v>64</v>
      </c>
      <c r="J154" s="1" t="s">
        <v>40</v>
      </c>
      <c r="K154" s="1" t="s">
        <v>41</v>
      </c>
      <c r="L154" s="1">
        <v>3</v>
      </c>
      <c r="N154" s="1">
        <v>6</v>
      </c>
      <c r="O154" s="1">
        <v>0.3</v>
      </c>
      <c r="P154" s="1">
        <v>0.35</v>
      </c>
      <c r="Q154" s="7">
        <f t="shared" si="8"/>
        <v>0.32499999999999996</v>
      </c>
      <c r="R154" s="1">
        <v>16.2</v>
      </c>
      <c r="S154" s="1">
        <v>114</v>
      </c>
      <c r="T154" s="2">
        <f t="shared" si="10"/>
        <v>30</v>
      </c>
      <c r="U154" s="144">
        <v>447</v>
      </c>
      <c r="V154" s="2">
        <f t="shared" si="9"/>
        <v>2235</v>
      </c>
      <c r="W154" s="1">
        <v>3</v>
      </c>
      <c r="X154" s="1" t="s">
        <v>51</v>
      </c>
      <c r="Y154" s="1" t="s">
        <v>67</v>
      </c>
      <c r="Z154" s="1" t="s">
        <v>101</v>
      </c>
      <c r="AA154" s="1" t="s">
        <v>74</v>
      </c>
      <c r="AB154" s="1" t="s">
        <v>145</v>
      </c>
    </row>
  </sheetData>
  <autoFilter ref="A1:BA154" xr:uid="{00000000-0009-0000-0000-000001000000}"/>
  <phoneticPr fontId="13"/>
  <dataValidations count="20">
    <dataValidation type="decimal" allowBlank="1" showInputMessage="1" showErrorMessage="1" error="硬度を正しく入力して下さい。" sqref="O2:P347" xr:uid="{41D3A073-DC09-4BC2-96C7-92C2B289E38F}">
      <formula1>0</formula1>
      <formula2>7</formula2>
    </dataValidation>
    <dataValidation type="list" allowBlank="1" showInputMessage="1" showErrorMessage="1" sqref="G2:G347" xr:uid="{2EE9C1F6-5B1D-4B2B-BF54-83ACB5E3DCC7}">
      <formula1>$AJ$2:$AJ$4</formula1>
    </dataValidation>
    <dataValidation type="list" allowBlank="1" showInputMessage="1" showErrorMessage="1" sqref="E2:E154" xr:uid="{AE1D9857-0FDA-4E64-B274-2A6FAA008FB1}">
      <formula1>$AG$2:$AG$11</formula1>
    </dataValidation>
    <dataValidation type="list" allowBlank="1" showInputMessage="1" showErrorMessage="1" sqref="Y2:AA154" xr:uid="{5990B1C8-8A1A-4401-95A5-205BC42BC859}">
      <formula1>$AV$2:$AV$23</formula1>
    </dataValidation>
    <dataValidation type="list" allowBlank="1" showInputMessage="1" showErrorMessage="1" sqref="F2:F154" xr:uid="{616B67F9-95B3-460D-9146-CA16DD7F57D7}">
      <formula1>$AH$2:$AH$11</formula1>
    </dataValidation>
    <dataValidation type="list" allowBlank="1" showInputMessage="1" showErrorMessage="1" sqref="K2:K123" xr:uid="{6DC988F7-E505-4245-9441-BA33017F0291}">
      <formula1>$AR$2:$AR$26</formula1>
    </dataValidation>
    <dataValidation type="list" allowBlank="1" showInputMessage="1" showErrorMessage="1" sqref="J2:J154" xr:uid="{53D31BE8-8B22-4AED-A1CB-218F784274BE}">
      <formula1>$AP$2:$AP$27</formula1>
    </dataValidation>
    <dataValidation type="list" allowBlank="1" showInputMessage="1" showErrorMessage="1" sqref="X2:X347" xr:uid="{53DBBB8E-4B6E-4E27-B4B7-213111A704CB}">
      <formula1>$AT$2:$AT$3</formula1>
    </dataValidation>
    <dataValidation type="list" allowBlank="1" showInputMessage="1" showErrorMessage="1" sqref="H2:H1288" xr:uid="{831CCDB9-3D3E-489D-9A46-A5DB584B8B60}">
      <formula1>$AL$2:$AL$9</formula1>
    </dataValidation>
    <dataValidation type="list" allowBlank="1" showInputMessage="1" showErrorMessage="1" sqref="I2:I347" xr:uid="{0D50CC6F-B0A5-42E1-9B9A-903721AB68AD}">
      <formula1>$AN$5:$AN$6</formula1>
    </dataValidation>
    <dataValidation type="list" allowBlank="1" showInputMessage="1" showErrorMessage="1" sqref="A3:A154" xr:uid="{E4143DAA-7749-49E0-8016-E153BF52AA0E}">
      <formula1>$AE$2:$AE$19</formula1>
    </dataValidation>
    <dataValidation allowBlank="1" showInputMessage="1" showErrorMessage="1" sqref="B3:B70" xr:uid="{D27884BF-631A-45AB-8436-D3DCB26719FA}"/>
    <dataValidation type="list" allowBlank="1" showInputMessage="1" showErrorMessage="1" sqref="Y155:AA347" xr:uid="{58C4E292-E92B-4A4E-801E-1729968A002A}">
      <formula1>$AV$2:$AV$16</formula1>
    </dataValidation>
    <dataValidation type="list" allowBlank="1" showInputMessage="1" showErrorMessage="1" sqref="K155:K163" xr:uid="{5D5AFF47-6630-430C-866F-7FFD94FCD4FC}">
      <formula1>$AR$2:$AR$23</formula1>
    </dataValidation>
    <dataValidation type="list" allowBlank="1" showInputMessage="1" showErrorMessage="1" sqref="J155:J347" xr:uid="{114D109F-8AFC-4970-B2F1-8476991514E7}">
      <formula1>$AP$2:$AP$19</formula1>
    </dataValidation>
    <dataValidation type="list" allowBlank="1" showInputMessage="1" showErrorMessage="1" sqref="F155:F347" xr:uid="{5E24A467-F2A9-4E65-89BA-D516B1F52E18}">
      <formula1>$AH$2:$AH$9</formula1>
    </dataValidation>
    <dataValidation type="list" allowBlank="1" showInputMessage="1" showErrorMessage="1" sqref="E155:E347" xr:uid="{CC470535-B998-44C7-93A6-EDBD30178CA9}">
      <formula1>$AG$2:$AG$10</formula1>
    </dataValidation>
    <dataValidation type="list" allowBlank="1" showInputMessage="1" showErrorMessage="1" sqref="A155:A347" xr:uid="{DEB4F77C-07E3-4E3B-A5B4-63F1D072C09F}">
      <formula1>$AE$2:$AE$16</formula1>
    </dataValidation>
    <dataValidation type="list" allowBlank="1" showInputMessage="1" showErrorMessage="1" sqref="K124:K154" xr:uid="{A0614765-89A2-474C-A973-A9015579E6CF}">
      <formula1>$AR$2:$AR$25</formula1>
    </dataValidation>
    <dataValidation type="list" allowBlank="1" showInputMessage="1" showErrorMessage="1" sqref="K164:K347" xr:uid="{96E0E0D9-784B-4EA5-B429-8A6AA3750765}">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AC8C-469D-487D-9DEA-D79C16E15D44}">
  <dimension ref="A1:BA130"/>
  <sheetViews>
    <sheetView zoomScale="85" zoomScaleNormal="85" workbookViewId="0"/>
  </sheetViews>
  <sheetFormatPr defaultColWidth="9" defaultRowHeight="13.5" x14ac:dyDescent="0.15"/>
  <cols>
    <col min="1" max="3" width="9" style="1"/>
    <col min="4" max="4" width="10.5" style="1" customWidth="1"/>
    <col min="5" max="13" width="9" style="1"/>
    <col min="14" max="14" width="9.5" style="1" customWidth="1"/>
    <col min="15" max="16" width="9" style="1"/>
    <col min="17" max="17" width="9" style="2"/>
    <col min="18" max="19" width="9" style="1"/>
    <col min="20" max="20" width="9" style="2"/>
    <col min="21" max="21" width="9" style="1"/>
    <col min="22" max="22" width="9" style="2"/>
    <col min="23" max="32" width="9" style="1"/>
    <col min="33" max="33" width="15.875" style="1" customWidth="1"/>
    <col min="34" max="34" width="11.375" style="1" customWidth="1"/>
    <col min="35" max="259" width="9" style="1"/>
    <col min="260" max="260" width="10.5" style="1" customWidth="1"/>
    <col min="261" max="269" width="9" style="1"/>
    <col min="270" max="270" width="9.5" style="1" customWidth="1"/>
    <col min="271" max="288" width="9" style="1"/>
    <col min="289" max="289" width="15.875" style="1" customWidth="1"/>
    <col min="290" max="290" width="11.375" style="1" customWidth="1"/>
    <col min="291" max="515" width="9" style="1"/>
    <col min="516" max="516" width="10.5" style="1" customWidth="1"/>
    <col min="517" max="525" width="9" style="1"/>
    <col min="526" max="526" width="9.5" style="1" customWidth="1"/>
    <col min="527" max="544" width="9" style="1"/>
    <col min="545" max="545" width="15.875" style="1" customWidth="1"/>
    <col min="546" max="546" width="11.375" style="1" customWidth="1"/>
    <col min="547" max="771" width="9" style="1"/>
    <col min="772" max="772" width="10.5" style="1" customWidth="1"/>
    <col min="773" max="781" width="9" style="1"/>
    <col min="782" max="782" width="9.5" style="1" customWidth="1"/>
    <col min="783" max="800" width="9" style="1"/>
    <col min="801" max="801" width="15.875" style="1" customWidth="1"/>
    <col min="802" max="802" width="11.375" style="1" customWidth="1"/>
    <col min="803" max="1027" width="9" style="1"/>
    <col min="1028" max="1028" width="10.5" style="1" customWidth="1"/>
    <col min="1029" max="1037" width="9" style="1"/>
    <col min="1038" max="1038" width="9.5" style="1" customWidth="1"/>
    <col min="1039" max="1056" width="9" style="1"/>
    <col min="1057" max="1057" width="15.875" style="1" customWidth="1"/>
    <col min="1058" max="1058" width="11.375" style="1" customWidth="1"/>
    <col min="1059" max="1283" width="9" style="1"/>
    <col min="1284" max="1284" width="10.5" style="1" customWidth="1"/>
    <col min="1285" max="1293" width="9" style="1"/>
    <col min="1294" max="1294" width="9.5" style="1" customWidth="1"/>
    <col min="1295" max="1312" width="9" style="1"/>
    <col min="1313" max="1313" width="15.875" style="1" customWidth="1"/>
    <col min="1314" max="1314" width="11.375" style="1" customWidth="1"/>
    <col min="1315" max="1539" width="9" style="1"/>
    <col min="1540" max="1540" width="10.5" style="1" customWidth="1"/>
    <col min="1541" max="1549" width="9" style="1"/>
    <col min="1550" max="1550" width="9.5" style="1" customWidth="1"/>
    <col min="1551" max="1568" width="9" style="1"/>
    <col min="1569" max="1569" width="15.875" style="1" customWidth="1"/>
    <col min="1570" max="1570" width="11.375" style="1" customWidth="1"/>
    <col min="1571" max="1795" width="9" style="1"/>
    <col min="1796" max="1796" width="10.5" style="1" customWidth="1"/>
    <col min="1797" max="1805" width="9" style="1"/>
    <col min="1806" max="1806" width="9.5" style="1" customWidth="1"/>
    <col min="1807" max="1824" width="9" style="1"/>
    <col min="1825" max="1825" width="15.875" style="1" customWidth="1"/>
    <col min="1826" max="1826" width="11.375" style="1" customWidth="1"/>
    <col min="1827" max="2051" width="9" style="1"/>
    <col min="2052" max="2052" width="10.5" style="1" customWidth="1"/>
    <col min="2053" max="2061" width="9" style="1"/>
    <col min="2062" max="2062" width="9.5" style="1" customWidth="1"/>
    <col min="2063" max="2080" width="9" style="1"/>
    <col min="2081" max="2081" width="15.875" style="1" customWidth="1"/>
    <col min="2082" max="2082" width="11.375" style="1" customWidth="1"/>
    <col min="2083" max="2307" width="9" style="1"/>
    <col min="2308" max="2308" width="10.5" style="1" customWidth="1"/>
    <col min="2309" max="2317" width="9" style="1"/>
    <col min="2318" max="2318" width="9.5" style="1" customWidth="1"/>
    <col min="2319" max="2336" width="9" style="1"/>
    <col min="2337" max="2337" width="15.875" style="1" customWidth="1"/>
    <col min="2338" max="2338" width="11.375" style="1" customWidth="1"/>
    <col min="2339" max="2563" width="9" style="1"/>
    <col min="2564" max="2564" width="10.5" style="1" customWidth="1"/>
    <col min="2565" max="2573" width="9" style="1"/>
    <col min="2574" max="2574" width="9.5" style="1" customWidth="1"/>
    <col min="2575" max="2592" width="9" style="1"/>
    <col min="2593" max="2593" width="15.875" style="1" customWidth="1"/>
    <col min="2594" max="2594" width="11.375" style="1" customWidth="1"/>
    <col min="2595" max="2819" width="9" style="1"/>
    <col min="2820" max="2820" width="10.5" style="1" customWidth="1"/>
    <col min="2821" max="2829" width="9" style="1"/>
    <col min="2830" max="2830" width="9.5" style="1" customWidth="1"/>
    <col min="2831" max="2848" width="9" style="1"/>
    <col min="2849" max="2849" width="15.875" style="1" customWidth="1"/>
    <col min="2850" max="2850" width="11.375" style="1" customWidth="1"/>
    <col min="2851" max="3075" width="9" style="1"/>
    <col min="3076" max="3076" width="10.5" style="1" customWidth="1"/>
    <col min="3077" max="3085" width="9" style="1"/>
    <col min="3086" max="3086" width="9.5" style="1" customWidth="1"/>
    <col min="3087" max="3104" width="9" style="1"/>
    <col min="3105" max="3105" width="15.875" style="1" customWidth="1"/>
    <col min="3106" max="3106" width="11.375" style="1" customWidth="1"/>
    <col min="3107" max="3331" width="9" style="1"/>
    <col min="3332" max="3332" width="10.5" style="1" customWidth="1"/>
    <col min="3333" max="3341" width="9" style="1"/>
    <col min="3342" max="3342" width="9.5" style="1" customWidth="1"/>
    <col min="3343" max="3360" width="9" style="1"/>
    <col min="3361" max="3361" width="15.875" style="1" customWidth="1"/>
    <col min="3362" max="3362" width="11.375" style="1" customWidth="1"/>
    <col min="3363" max="3587" width="9" style="1"/>
    <col min="3588" max="3588" width="10.5" style="1" customWidth="1"/>
    <col min="3589" max="3597" width="9" style="1"/>
    <col min="3598" max="3598" width="9.5" style="1" customWidth="1"/>
    <col min="3599" max="3616" width="9" style="1"/>
    <col min="3617" max="3617" width="15.875" style="1" customWidth="1"/>
    <col min="3618" max="3618" width="11.375" style="1" customWidth="1"/>
    <col min="3619" max="3843" width="9" style="1"/>
    <col min="3844" max="3844" width="10.5" style="1" customWidth="1"/>
    <col min="3845" max="3853" width="9" style="1"/>
    <col min="3854" max="3854" width="9.5" style="1" customWidth="1"/>
    <col min="3855" max="3872" width="9" style="1"/>
    <col min="3873" max="3873" width="15.875" style="1" customWidth="1"/>
    <col min="3874" max="3874" width="11.375" style="1" customWidth="1"/>
    <col min="3875" max="4099" width="9" style="1"/>
    <col min="4100" max="4100" width="10.5" style="1" customWidth="1"/>
    <col min="4101" max="4109" width="9" style="1"/>
    <col min="4110" max="4110" width="9.5" style="1" customWidth="1"/>
    <col min="4111" max="4128" width="9" style="1"/>
    <col min="4129" max="4129" width="15.875" style="1" customWidth="1"/>
    <col min="4130" max="4130" width="11.375" style="1" customWidth="1"/>
    <col min="4131" max="4355" width="9" style="1"/>
    <col min="4356" max="4356" width="10.5" style="1" customWidth="1"/>
    <col min="4357" max="4365" width="9" style="1"/>
    <col min="4366" max="4366" width="9.5" style="1" customWidth="1"/>
    <col min="4367" max="4384" width="9" style="1"/>
    <col min="4385" max="4385" width="15.875" style="1" customWidth="1"/>
    <col min="4386" max="4386" width="11.375" style="1" customWidth="1"/>
    <col min="4387" max="4611" width="9" style="1"/>
    <col min="4612" max="4612" width="10.5" style="1" customWidth="1"/>
    <col min="4613" max="4621" width="9" style="1"/>
    <col min="4622" max="4622" width="9.5" style="1" customWidth="1"/>
    <col min="4623" max="4640" width="9" style="1"/>
    <col min="4641" max="4641" width="15.875" style="1" customWidth="1"/>
    <col min="4642" max="4642" width="11.375" style="1" customWidth="1"/>
    <col min="4643" max="4867" width="9" style="1"/>
    <col min="4868" max="4868" width="10.5" style="1" customWidth="1"/>
    <col min="4869" max="4877" width="9" style="1"/>
    <col min="4878" max="4878" width="9.5" style="1" customWidth="1"/>
    <col min="4879" max="4896" width="9" style="1"/>
    <col min="4897" max="4897" width="15.875" style="1" customWidth="1"/>
    <col min="4898" max="4898" width="11.375" style="1" customWidth="1"/>
    <col min="4899" max="5123" width="9" style="1"/>
    <col min="5124" max="5124" width="10.5" style="1" customWidth="1"/>
    <col min="5125" max="5133" width="9" style="1"/>
    <col min="5134" max="5134" width="9.5" style="1" customWidth="1"/>
    <col min="5135" max="5152" width="9" style="1"/>
    <col min="5153" max="5153" width="15.875" style="1" customWidth="1"/>
    <col min="5154" max="5154" width="11.375" style="1" customWidth="1"/>
    <col min="5155" max="5379" width="9" style="1"/>
    <col min="5380" max="5380" width="10.5" style="1" customWidth="1"/>
    <col min="5381" max="5389" width="9" style="1"/>
    <col min="5390" max="5390" width="9.5" style="1" customWidth="1"/>
    <col min="5391" max="5408" width="9" style="1"/>
    <col min="5409" max="5409" width="15.875" style="1" customWidth="1"/>
    <col min="5410" max="5410" width="11.375" style="1" customWidth="1"/>
    <col min="5411" max="5635" width="9" style="1"/>
    <col min="5636" max="5636" width="10.5" style="1" customWidth="1"/>
    <col min="5637" max="5645" width="9" style="1"/>
    <col min="5646" max="5646" width="9.5" style="1" customWidth="1"/>
    <col min="5647" max="5664" width="9" style="1"/>
    <col min="5665" max="5665" width="15.875" style="1" customWidth="1"/>
    <col min="5666" max="5666" width="11.375" style="1" customWidth="1"/>
    <col min="5667" max="5891" width="9" style="1"/>
    <col min="5892" max="5892" width="10.5" style="1" customWidth="1"/>
    <col min="5893" max="5901" width="9" style="1"/>
    <col min="5902" max="5902" width="9.5" style="1" customWidth="1"/>
    <col min="5903" max="5920" width="9" style="1"/>
    <col min="5921" max="5921" width="15.875" style="1" customWidth="1"/>
    <col min="5922" max="5922" width="11.375" style="1" customWidth="1"/>
    <col min="5923" max="6147" width="9" style="1"/>
    <col min="6148" max="6148" width="10.5" style="1" customWidth="1"/>
    <col min="6149" max="6157" width="9" style="1"/>
    <col min="6158" max="6158" width="9.5" style="1" customWidth="1"/>
    <col min="6159" max="6176" width="9" style="1"/>
    <col min="6177" max="6177" width="15.875" style="1" customWidth="1"/>
    <col min="6178" max="6178" width="11.375" style="1" customWidth="1"/>
    <col min="6179" max="6403" width="9" style="1"/>
    <col min="6404" max="6404" width="10.5" style="1" customWidth="1"/>
    <col min="6405" max="6413" width="9" style="1"/>
    <col min="6414" max="6414" width="9.5" style="1" customWidth="1"/>
    <col min="6415" max="6432" width="9" style="1"/>
    <col min="6433" max="6433" width="15.875" style="1" customWidth="1"/>
    <col min="6434" max="6434" width="11.375" style="1" customWidth="1"/>
    <col min="6435" max="6659" width="9" style="1"/>
    <col min="6660" max="6660" width="10.5" style="1" customWidth="1"/>
    <col min="6661" max="6669" width="9" style="1"/>
    <col min="6670" max="6670" width="9.5" style="1" customWidth="1"/>
    <col min="6671" max="6688" width="9" style="1"/>
    <col min="6689" max="6689" width="15.875" style="1" customWidth="1"/>
    <col min="6690" max="6690" width="11.375" style="1" customWidth="1"/>
    <col min="6691" max="6915" width="9" style="1"/>
    <col min="6916" max="6916" width="10.5" style="1" customWidth="1"/>
    <col min="6917" max="6925" width="9" style="1"/>
    <col min="6926" max="6926" width="9.5" style="1" customWidth="1"/>
    <col min="6927" max="6944" width="9" style="1"/>
    <col min="6945" max="6945" width="15.875" style="1" customWidth="1"/>
    <col min="6946" max="6946" width="11.375" style="1" customWidth="1"/>
    <col min="6947" max="7171" width="9" style="1"/>
    <col min="7172" max="7172" width="10.5" style="1" customWidth="1"/>
    <col min="7173" max="7181" width="9" style="1"/>
    <col min="7182" max="7182" width="9.5" style="1" customWidth="1"/>
    <col min="7183" max="7200" width="9" style="1"/>
    <col min="7201" max="7201" width="15.875" style="1" customWidth="1"/>
    <col min="7202" max="7202" width="11.375" style="1" customWidth="1"/>
    <col min="7203" max="7427" width="9" style="1"/>
    <col min="7428" max="7428" width="10.5" style="1" customWidth="1"/>
    <col min="7429" max="7437" width="9" style="1"/>
    <col min="7438" max="7438" width="9.5" style="1" customWidth="1"/>
    <col min="7439" max="7456" width="9" style="1"/>
    <col min="7457" max="7457" width="15.875" style="1" customWidth="1"/>
    <col min="7458" max="7458" width="11.375" style="1" customWidth="1"/>
    <col min="7459" max="7683" width="9" style="1"/>
    <col min="7684" max="7684" width="10.5" style="1" customWidth="1"/>
    <col min="7685" max="7693" width="9" style="1"/>
    <col min="7694" max="7694" width="9.5" style="1" customWidth="1"/>
    <col min="7695" max="7712" width="9" style="1"/>
    <col min="7713" max="7713" width="15.875" style="1" customWidth="1"/>
    <col min="7714" max="7714" width="11.375" style="1" customWidth="1"/>
    <col min="7715" max="7939" width="9" style="1"/>
    <col min="7940" max="7940" width="10.5" style="1" customWidth="1"/>
    <col min="7941" max="7949" width="9" style="1"/>
    <col min="7950" max="7950" width="9.5" style="1" customWidth="1"/>
    <col min="7951" max="7968" width="9" style="1"/>
    <col min="7969" max="7969" width="15.875" style="1" customWidth="1"/>
    <col min="7970" max="7970" width="11.375" style="1" customWidth="1"/>
    <col min="7971" max="8195" width="9" style="1"/>
    <col min="8196" max="8196" width="10.5" style="1" customWidth="1"/>
    <col min="8197" max="8205" width="9" style="1"/>
    <col min="8206" max="8206" width="9.5" style="1" customWidth="1"/>
    <col min="8207" max="8224" width="9" style="1"/>
    <col min="8225" max="8225" width="15.875" style="1" customWidth="1"/>
    <col min="8226" max="8226" width="11.375" style="1" customWidth="1"/>
    <col min="8227" max="8451" width="9" style="1"/>
    <col min="8452" max="8452" width="10.5" style="1" customWidth="1"/>
    <col min="8453" max="8461" width="9" style="1"/>
    <col min="8462" max="8462" width="9.5" style="1" customWidth="1"/>
    <col min="8463" max="8480" width="9" style="1"/>
    <col min="8481" max="8481" width="15.875" style="1" customWidth="1"/>
    <col min="8482" max="8482" width="11.375" style="1" customWidth="1"/>
    <col min="8483" max="8707" width="9" style="1"/>
    <col min="8708" max="8708" width="10.5" style="1" customWidth="1"/>
    <col min="8709" max="8717" width="9" style="1"/>
    <col min="8718" max="8718" width="9.5" style="1" customWidth="1"/>
    <col min="8719" max="8736" width="9" style="1"/>
    <col min="8737" max="8737" width="15.875" style="1" customWidth="1"/>
    <col min="8738" max="8738" width="11.375" style="1" customWidth="1"/>
    <col min="8739" max="8963" width="9" style="1"/>
    <col min="8964" max="8964" width="10.5" style="1" customWidth="1"/>
    <col min="8965" max="8973" width="9" style="1"/>
    <col min="8974" max="8974" width="9.5" style="1" customWidth="1"/>
    <col min="8975" max="8992" width="9" style="1"/>
    <col min="8993" max="8993" width="15.875" style="1" customWidth="1"/>
    <col min="8994" max="8994" width="11.375" style="1" customWidth="1"/>
    <col min="8995" max="9219" width="9" style="1"/>
    <col min="9220" max="9220" width="10.5" style="1" customWidth="1"/>
    <col min="9221" max="9229" width="9" style="1"/>
    <col min="9230" max="9230" width="9.5" style="1" customWidth="1"/>
    <col min="9231" max="9248" width="9" style="1"/>
    <col min="9249" max="9249" width="15.875" style="1" customWidth="1"/>
    <col min="9250" max="9250" width="11.375" style="1" customWidth="1"/>
    <col min="9251" max="9475" width="9" style="1"/>
    <col min="9476" max="9476" width="10.5" style="1" customWidth="1"/>
    <col min="9477" max="9485" width="9" style="1"/>
    <col min="9486" max="9486" width="9.5" style="1" customWidth="1"/>
    <col min="9487" max="9504" width="9" style="1"/>
    <col min="9505" max="9505" width="15.875" style="1" customWidth="1"/>
    <col min="9506" max="9506" width="11.375" style="1" customWidth="1"/>
    <col min="9507" max="9731" width="9" style="1"/>
    <col min="9732" max="9732" width="10.5" style="1" customWidth="1"/>
    <col min="9733" max="9741" width="9" style="1"/>
    <col min="9742" max="9742" width="9.5" style="1" customWidth="1"/>
    <col min="9743" max="9760" width="9" style="1"/>
    <col min="9761" max="9761" width="15.875" style="1" customWidth="1"/>
    <col min="9762" max="9762" width="11.375" style="1" customWidth="1"/>
    <col min="9763" max="9987" width="9" style="1"/>
    <col min="9988" max="9988" width="10.5" style="1" customWidth="1"/>
    <col min="9989" max="9997" width="9" style="1"/>
    <col min="9998" max="9998" width="9.5" style="1" customWidth="1"/>
    <col min="9999" max="10016" width="9" style="1"/>
    <col min="10017" max="10017" width="15.875" style="1" customWidth="1"/>
    <col min="10018" max="10018" width="11.375" style="1" customWidth="1"/>
    <col min="10019" max="10243" width="9" style="1"/>
    <col min="10244" max="10244" width="10.5" style="1" customWidth="1"/>
    <col min="10245" max="10253" width="9" style="1"/>
    <col min="10254" max="10254" width="9.5" style="1" customWidth="1"/>
    <col min="10255" max="10272" width="9" style="1"/>
    <col min="10273" max="10273" width="15.875" style="1" customWidth="1"/>
    <col min="10274" max="10274" width="11.375" style="1" customWidth="1"/>
    <col min="10275" max="10499" width="9" style="1"/>
    <col min="10500" max="10500" width="10.5" style="1" customWidth="1"/>
    <col min="10501" max="10509" width="9" style="1"/>
    <col min="10510" max="10510" width="9.5" style="1" customWidth="1"/>
    <col min="10511" max="10528" width="9" style="1"/>
    <col min="10529" max="10529" width="15.875" style="1" customWidth="1"/>
    <col min="10530" max="10530" width="11.375" style="1" customWidth="1"/>
    <col min="10531" max="10755" width="9" style="1"/>
    <col min="10756" max="10756" width="10.5" style="1" customWidth="1"/>
    <col min="10757" max="10765" width="9" style="1"/>
    <col min="10766" max="10766" width="9.5" style="1" customWidth="1"/>
    <col min="10767" max="10784" width="9" style="1"/>
    <col min="10785" max="10785" width="15.875" style="1" customWidth="1"/>
    <col min="10786" max="10786" width="11.375" style="1" customWidth="1"/>
    <col min="10787" max="11011" width="9" style="1"/>
    <col min="11012" max="11012" width="10.5" style="1" customWidth="1"/>
    <col min="11013" max="11021" width="9" style="1"/>
    <col min="11022" max="11022" width="9.5" style="1" customWidth="1"/>
    <col min="11023" max="11040" width="9" style="1"/>
    <col min="11041" max="11041" width="15.875" style="1" customWidth="1"/>
    <col min="11042" max="11042" width="11.375" style="1" customWidth="1"/>
    <col min="11043" max="11267" width="9" style="1"/>
    <col min="11268" max="11268" width="10.5" style="1" customWidth="1"/>
    <col min="11269" max="11277" width="9" style="1"/>
    <col min="11278" max="11278" width="9.5" style="1" customWidth="1"/>
    <col min="11279" max="11296" width="9" style="1"/>
    <col min="11297" max="11297" width="15.875" style="1" customWidth="1"/>
    <col min="11298" max="11298" width="11.375" style="1" customWidth="1"/>
    <col min="11299" max="11523" width="9" style="1"/>
    <col min="11524" max="11524" width="10.5" style="1" customWidth="1"/>
    <col min="11525" max="11533" width="9" style="1"/>
    <col min="11534" max="11534" width="9.5" style="1" customWidth="1"/>
    <col min="11535" max="11552" width="9" style="1"/>
    <col min="11553" max="11553" width="15.875" style="1" customWidth="1"/>
    <col min="11554" max="11554" width="11.375" style="1" customWidth="1"/>
    <col min="11555" max="11779" width="9" style="1"/>
    <col min="11780" max="11780" width="10.5" style="1" customWidth="1"/>
    <col min="11781" max="11789" width="9" style="1"/>
    <col min="11790" max="11790" width="9.5" style="1" customWidth="1"/>
    <col min="11791" max="11808" width="9" style="1"/>
    <col min="11809" max="11809" width="15.875" style="1" customWidth="1"/>
    <col min="11810" max="11810" width="11.375" style="1" customWidth="1"/>
    <col min="11811" max="12035" width="9" style="1"/>
    <col min="12036" max="12036" width="10.5" style="1" customWidth="1"/>
    <col min="12037" max="12045" width="9" style="1"/>
    <col min="12046" max="12046" width="9.5" style="1" customWidth="1"/>
    <col min="12047" max="12064" width="9" style="1"/>
    <col min="12065" max="12065" width="15.875" style="1" customWidth="1"/>
    <col min="12066" max="12066" width="11.375" style="1" customWidth="1"/>
    <col min="12067" max="12291" width="9" style="1"/>
    <col min="12292" max="12292" width="10.5" style="1" customWidth="1"/>
    <col min="12293" max="12301" width="9" style="1"/>
    <col min="12302" max="12302" width="9.5" style="1" customWidth="1"/>
    <col min="12303" max="12320" width="9" style="1"/>
    <col min="12321" max="12321" width="15.875" style="1" customWidth="1"/>
    <col min="12322" max="12322" width="11.375" style="1" customWidth="1"/>
    <col min="12323" max="12547" width="9" style="1"/>
    <col min="12548" max="12548" width="10.5" style="1" customWidth="1"/>
    <col min="12549" max="12557" width="9" style="1"/>
    <col min="12558" max="12558" width="9.5" style="1" customWidth="1"/>
    <col min="12559" max="12576" width="9" style="1"/>
    <col min="12577" max="12577" width="15.875" style="1" customWidth="1"/>
    <col min="12578" max="12578" width="11.375" style="1" customWidth="1"/>
    <col min="12579" max="12803" width="9" style="1"/>
    <col min="12804" max="12804" width="10.5" style="1" customWidth="1"/>
    <col min="12805" max="12813" width="9" style="1"/>
    <col min="12814" max="12814" width="9.5" style="1" customWidth="1"/>
    <col min="12815" max="12832" width="9" style="1"/>
    <col min="12833" max="12833" width="15.875" style="1" customWidth="1"/>
    <col min="12834" max="12834" width="11.375" style="1" customWidth="1"/>
    <col min="12835" max="13059" width="9" style="1"/>
    <col min="13060" max="13060" width="10.5" style="1" customWidth="1"/>
    <col min="13061" max="13069" width="9" style="1"/>
    <col min="13070" max="13070" width="9.5" style="1" customWidth="1"/>
    <col min="13071" max="13088" width="9" style="1"/>
    <col min="13089" max="13089" width="15.875" style="1" customWidth="1"/>
    <col min="13090" max="13090" width="11.375" style="1" customWidth="1"/>
    <col min="13091" max="13315" width="9" style="1"/>
    <col min="13316" max="13316" width="10.5" style="1" customWidth="1"/>
    <col min="13317" max="13325" width="9" style="1"/>
    <col min="13326" max="13326" width="9.5" style="1" customWidth="1"/>
    <col min="13327" max="13344" width="9" style="1"/>
    <col min="13345" max="13345" width="15.875" style="1" customWidth="1"/>
    <col min="13346" max="13346" width="11.375" style="1" customWidth="1"/>
    <col min="13347" max="13571" width="9" style="1"/>
    <col min="13572" max="13572" width="10.5" style="1" customWidth="1"/>
    <col min="13573" max="13581" width="9" style="1"/>
    <col min="13582" max="13582" width="9.5" style="1" customWidth="1"/>
    <col min="13583" max="13600" width="9" style="1"/>
    <col min="13601" max="13601" width="15.875" style="1" customWidth="1"/>
    <col min="13602" max="13602" width="11.375" style="1" customWidth="1"/>
    <col min="13603" max="13827" width="9" style="1"/>
    <col min="13828" max="13828" width="10.5" style="1" customWidth="1"/>
    <col min="13829" max="13837" width="9" style="1"/>
    <col min="13838" max="13838" width="9.5" style="1" customWidth="1"/>
    <col min="13839" max="13856" width="9" style="1"/>
    <col min="13857" max="13857" width="15.875" style="1" customWidth="1"/>
    <col min="13858" max="13858" width="11.375" style="1" customWidth="1"/>
    <col min="13859" max="14083" width="9" style="1"/>
    <col min="14084" max="14084" width="10.5" style="1" customWidth="1"/>
    <col min="14085" max="14093" width="9" style="1"/>
    <col min="14094" max="14094" width="9.5" style="1" customWidth="1"/>
    <col min="14095" max="14112" width="9" style="1"/>
    <col min="14113" max="14113" width="15.875" style="1" customWidth="1"/>
    <col min="14114" max="14114" width="11.375" style="1" customWidth="1"/>
    <col min="14115" max="14339" width="9" style="1"/>
    <col min="14340" max="14340" width="10.5" style="1" customWidth="1"/>
    <col min="14341" max="14349" width="9" style="1"/>
    <col min="14350" max="14350" width="9.5" style="1" customWidth="1"/>
    <col min="14351" max="14368" width="9" style="1"/>
    <col min="14369" max="14369" width="15.875" style="1" customWidth="1"/>
    <col min="14370" max="14370" width="11.375" style="1" customWidth="1"/>
    <col min="14371" max="14595" width="9" style="1"/>
    <col min="14596" max="14596" width="10.5" style="1" customWidth="1"/>
    <col min="14597" max="14605" width="9" style="1"/>
    <col min="14606" max="14606" width="9.5" style="1" customWidth="1"/>
    <col min="14607" max="14624" width="9" style="1"/>
    <col min="14625" max="14625" width="15.875" style="1" customWidth="1"/>
    <col min="14626" max="14626" width="11.375" style="1" customWidth="1"/>
    <col min="14627" max="14851" width="9" style="1"/>
    <col min="14852" max="14852" width="10.5" style="1" customWidth="1"/>
    <col min="14853" max="14861" width="9" style="1"/>
    <col min="14862" max="14862" width="9.5" style="1" customWidth="1"/>
    <col min="14863" max="14880" width="9" style="1"/>
    <col min="14881" max="14881" width="15.875" style="1" customWidth="1"/>
    <col min="14882" max="14882" width="11.375" style="1" customWidth="1"/>
    <col min="14883" max="15107" width="9" style="1"/>
    <col min="15108" max="15108" width="10.5" style="1" customWidth="1"/>
    <col min="15109" max="15117" width="9" style="1"/>
    <col min="15118" max="15118" width="9.5" style="1" customWidth="1"/>
    <col min="15119" max="15136" width="9" style="1"/>
    <col min="15137" max="15137" width="15.875" style="1" customWidth="1"/>
    <col min="15138" max="15138" width="11.375" style="1" customWidth="1"/>
    <col min="15139" max="15363" width="9" style="1"/>
    <col min="15364" max="15364" width="10.5" style="1" customWidth="1"/>
    <col min="15365" max="15373" width="9" style="1"/>
    <col min="15374" max="15374" width="9.5" style="1" customWidth="1"/>
    <col min="15375" max="15392" width="9" style="1"/>
    <col min="15393" max="15393" width="15.875" style="1" customWidth="1"/>
    <col min="15394" max="15394" width="11.375" style="1" customWidth="1"/>
    <col min="15395" max="15619" width="9" style="1"/>
    <col min="15620" max="15620" width="10.5" style="1" customWidth="1"/>
    <col min="15621" max="15629" width="9" style="1"/>
    <col min="15630" max="15630" width="9.5" style="1" customWidth="1"/>
    <col min="15631" max="15648" width="9" style="1"/>
    <col min="15649" max="15649" width="15.875" style="1" customWidth="1"/>
    <col min="15650" max="15650" width="11.375" style="1" customWidth="1"/>
    <col min="15651" max="15875" width="9" style="1"/>
    <col min="15876" max="15876" width="10.5" style="1" customWidth="1"/>
    <col min="15877" max="15885" width="9" style="1"/>
    <col min="15886" max="15886" width="9.5" style="1" customWidth="1"/>
    <col min="15887" max="15904" width="9" style="1"/>
    <col min="15905" max="15905" width="15.875" style="1" customWidth="1"/>
    <col min="15906" max="15906" width="11.375" style="1" customWidth="1"/>
    <col min="15907" max="16131" width="9" style="1"/>
    <col min="16132" max="16132" width="10.5" style="1" customWidth="1"/>
    <col min="16133" max="16141" width="9" style="1"/>
    <col min="16142" max="16142" width="9.5" style="1" customWidth="1"/>
    <col min="16143" max="16160" width="9" style="1"/>
    <col min="16161" max="16161" width="15.875" style="1" customWidth="1"/>
    <col min="16162" max="16162" width="11.375" style="1" customWidth="1"/>
    <col min="16163" max="16384" width="9" style="1"/>
  </cols>
  <sheetData>
    <row r="1" spans="1:53" ht="45" x14ac:dyDescent="0.15">
      <c r="A1" s="63" t="s">
        <v>0</v>
      </c>
      <c r="B1" s="70" t="s">
        <v>1</v>
      </c>
      <c r="C1" s="70" t="s">
        <v>2</v>
      </c>
      <c r="D1" s="71" t="s">
        <v>3</v>
      </c>
      <c r="E1" s="64" t="s">
        <v>4</v>
      </c>
      <c r="F1" s="64" t="s">
        <v>5</v>
      </c>
      <c r="G1" s="64" t="s">
        <v>6</v>
      </c>
      <c r="H1" s="64" t="s">
        <v>7</v>
      </c>
      <c r="I1" s="64" t="s">
        <v>8</v>
      </c>
      <c r="J1" s="64" t="s">
        <v>9</v>
      </c>
      <c r="K1" s="64" t="s">
        <v>10</v>
      </c>
      <c r="L1" s="71" t="s">
        <v>11</v>
      </c>
      <c r="M1" s="71" t="s">
        <v>12</v>
      </c>
      <c r="N1" s="71" t="s">
        <v>13</v>
      </c>
      <c r="O1" s="71" t="s">
        <v>14</v>
      </c>
      <c r="P1" s="71" t="s">
        <v>15</v>
      </c>
      <c r="Q1" s="5" t="s">
        <v>16</v>
      </c>
      <c r="R1" s="71" t="s">
        <v>17</v>
      </c>
      <c r="S1" s="71" t="s">
        <v>18</v>
      </c>
      <c r="T1" s="5" t="s">
        <v>19</v>
      </c>
      <c r="U1" s="72" t="s">
        <v>20</v>
      </c>
      <c r="V1" s="6" t="s">
        <v>21</v>
      </c>
      <c r="W1" s="71" t="s">
        <v>22</v>
      </c>
      <c r="X1" s="64" t="s">
        <v>23</v>
      </c>
      <c r="Y1" s="64" t="s">
        <v>24</v>
      </c>
      <c r="Z1" s="64" t="s">
        <v>25</v>
      </c>
      <c r="AA1" s="65" t="s">
        <v>26</v>
      </c>
      <c r="AB1" s="73" t="s">
        <v>27</v>
      </c>
      <c r="AE1" s="74" t="s">
        <v>0</v>
      </c>
      <c r="AF1" s="75"/>
      <c r="AG1" s="74" t="s">
        <v>4</v>
      </c>
      <c r="AH1" s="74" t="s">
        <v>5</v>
      </c>
      <c r="AI1" s="75"/>
      <c r="AJ1" s="74" t="s">
        <v>6</v>
      </c>
      <c r="AK1" s="75"/>
      <c r="AL1" s="11" t="s">
        <v>7</v>
      </c>
      <c r="AM1" s="75"/>
      <c r="AN1" s="11" t="s">
        <v>8</v>
      </c>
      <c r="AO1" s="75"/>
      <c r="AP1" s="11" t="s">
        <v>28</v>
      </c>
      <c r="AQ1" s="75"/>
      <c r="AR1" s="11" t="s">
        <v>10</v>
      </c>
      <c r="AS1" s="75"/>
      <c r="AT1" s="18" t="s">
        <v>29</v>
      </c>
      <c r="AU1" s="75"/>
      <c r="AV1" s="11" t="s">
        <v>30</v>
      </c>
      <c r="AX1" s="20" t="s">
        <v>31</v>
      </c>
      <c r="AY1" s="21" t="s">
        <v>32</v>
      </c>
      <c r="AZ1" s="21" t="s">
        <v>33</v>
      </c>
      <c r="BA1" s="22" t="s">
        <v>34</v>
      </c>
    </row>
    <row r="2" spans="1:53" x14ac:dyDescent="0.15">
      <c r="A2" s="1" t="s">
        <v>68</v>
      </c>
      <c r="B2" s="1" t="s">
        <v>143</v>
      </c>
      <c r="C2" s="1">
        <v>2020</v>
      </c>
      <c r="D2" s="80" t="s">
        <v>298</v>
      </c>
      <c r="E2" s="1" t="s">
        <v>168</v>
      </c>
      <c r="F2" s="1" t="s">
        <v>164</v>
      </c>
      <c r="G2" s="1" t="s">
        <v>46</v>
      </c>
      <c r="H2" s="1" t="s">
        <v>82</v>
      </c>
      <c r="I2" s="1" t="s">
        <v>71</v>
      </c>
      <c r="J2" s="1" t="s">
        <v>40</v>
      </c>
      <c r="K2" s="1" t="s">
        <v>41</v>
      </c>
      <c r="L2" s="1">
        <v>1</v>
      </c>
      <c r="N2" s="1">
        <v>1</v>
      </c>
      <c r="O2" s="1">
        <v>0.7</v>
      </c>
      <c r="P2" s="1">
        <v>0.8</v>
      </c>
      <c r="Q2" s="7">
        <f>IF(OR(O2="",P2=""),"",AVERAGE(O2,P2))</f>
        <v>0.75</v>
      </c>
      <c r="R2" s="1">
        <v>15.4</v>
      </c>
      <c r="S2" s="1">
        <v>127</v>
      </c>
      <c r="T2" s="2">
        <f t="shared" ref="T2:T65" si="0">IF(H2="","",IF(OR(H2="GREEN",H2="GK"),IF(S2&gt;=$AX$2,VLOOKUP(S2,$AX$2:$AY$10,2,1),""),IF(S2&gt;=$AZ$2,VLOOKUP(S2,$AZ$2:$BA$10,2,1),"")))</f>
        <v>27</v>
      </c>
      <c r="U2" s="1">
        <v>159</v>
      </c>
      <c r="V2" s="2">
        <f>IF(OR(N2="",U2="",T2=""),"",U2/N2*T2)</f>
        <v>4293</v>
      </c>
      <c r="W2" s="1">
        <v>8</v>
      </c>
      <c r="X2" s="1" t="s">
        <v>42</v>
      </c>
      <c r="Y2" s="1" t="s">
        <v>67</v>
      </c>
      <c r="Z2" s="1" t="s">
        <v>96</v>
      </c>
      <c r="AA2" s="1" t="s">
        <v>85</v>
      </c>
      <c r="AB2" s="1" t="s">
        <v>145</v>
      </c>
      <c r="AE2" s="77" t="s">
        <v>35</v>
      </c>
      <c r="AG2" s="12" t="s">
        <v>157</v>
      </c>
      <c r="AH2" s="81" t="s">
        <v>158</v>
      </c>
      <c r="AJ2" s="19" t="s">
        <v>37</v>
      </c>
      <c r="AL2" s="19" t="s">
        <v>38</v>
      </c>
      <c r="AN2" s="19" t="s">
        <v>39</v>
      </c>
      <c r="AP2" s="19" t="s">
        <v>40</v>
      </c>
      <c r="AR2" s="19" t="s">
        <v>41</v>
      </c>
      <c r="AT2" s="19" t="s">
        <v>42</v>
      </c>
      <c r="AV2" s="19" t="s">
        <v>43</v>
      </c>
      <c r="AX2" s="40">
        <v>1</v>
      </c>
      <c r="AY2" s="41">
        <v>50</v>
      </c>
      <c r="AZ2" s="41">
        <v>1</v>
      </c>
      <c r="BA2" s="42">
        <v>50</v>
      </c>
    </row>
    <row r="3" spans="1:53" x14ac:dyDescent="0.15">
      <c r="A3" s="1" t="s">
        <v>68</v>
      </c>
      <c r="B3" s="1" t="s">
        <v>143</v>
      </c>
      <c r="C3" s="1">
        <v>2020</v>
      </c>
      <c r="D3" s="80" t="s">
        <v>298</v>
      </c>
      <c r="E3" s="1" t="s">
        <v>168</v>
      </c>
      <c r="F3" s="1" t="s">
        <v>164</v>
      </c>
      <c r="G3" s="1" t="s">
        <v>46</v>
      </c>
      <c r="H3" s="1" t="s">
        <v>82</v>
      </c>
      <c r="I3" s="1" t="s">
        <v>71</v>
      </c>
      <c r="J3" s="1" t="s">
        <v>40</v>
      </c>
      <c r="K3" s="1" t="s">
        <v>41</v>
      </c>
      <c r="L3" s="1">
        <v>2</v>
      </c>
      <c r="N3" s="1">
        <v>1</v>
      </c>
      <c r="O3" s="1">
        <v>0.85</v>
      </c>
      <c r="P3" s="1">
        <v>0.75</v>
      </c>
      <c r="Q3" s="7">
        <f t="shared" ref="Q3:Q66" si="1">IF(OR(O3="",P3=""),"",AVERAGE(O3,P3))</f>
        <v>0.8</v>
      </c>
      <c r="R3" s="1">
        <v>15.6</v>
      </c>
      <c r="S3" s="1">
        <v>118</v>
      </c>
      <c r="T3" s="2">
        <f t="shared" si="0"/>
        <v>30</v>
      </c>
      <c r="U3" s="1">
        <v>159</v>
      </c>
      <c r="V3" s="2">
        <f t="shared" ref="V3:V66" si="2">IF(OR(N3="",U3="",T3=""),"",U3/N3*T3)</f>
        <v>4770</v>
      </c>
      <c r="W3" s="1">
        <v>8</v>
      </c>
      <c r="X3" s="1" t="s">
        <v>42</v>
      </c>
      <c r="Y3" s="1" t="s">
        <v>67</v>
      </c>
      <c r="Z3" s="1" t="s">
        <v>96</v>
      </c>
      <c r="AA3" s="1" t="s">
        <v>85</v>
      </c>
      <c r="AB3" s="1" t="s">
        <v>145</v>
      </c>
      <c r="AE3" s="9" t="s">
        <v>44</v>
      </c>
      <c r="AG3" s="12" t="s">
        <v>159</v>
      </c>
      <c r="AH3" s="81" t="s">
        <v>160</v>
      </c>
      <c r="AJ3" s="12" t="s">
        <v>46</v>
      </c>
      <c r="AL3" s="12" t="s">
        <v>47</v>
      </c>
      <c r="AN3" s="12" t="s">
        <v>48</v>
      </c>
      <c r="AP3" s="12" t="s">
        <v>49</v>
      </c>
      <c r="AR3" s="12" t="s">
        <v>50</v>
      </c>
      <c r="AT3" s="12" t="s">
        <v>51</v>
      </c>
      <c r="AV3" s="12" t="s">
        <v>52</v>
      </c>
      <c r="AX3" s="23">
        <v>72</v>
      </c>
      <c r="AY3" s="24">
        <v>46</v>
      </c>
      <c r="AZ3" s="24">
        <v>71</v>
      </c>
      <c r="BA3" s="25">
        <v>42</v>
      </c>
    </row>
    <row r="4" spans="1:53" x14ac:dyDescent="0.15">
      <c r="A4" s="1" t="s">
        <v>68</v>
      </c>
      <c r="B4" s="1" t="s">
        <v>143</v>
      </c>
      <c r="C4" s="1">
        <v>2020</v>
      </c>
      <c r="D4" s="80" t="s">
        <v>298</v>
      </c>
      <c r="E4" s="1" t="s">
        <v>168</v>
      </c>
      <c r="F4" s="1" t="s">
        <v>164</v>
      </c>
      <c r="G4" s="1" t="s">
        <v>46</v>
      </c>
      <c r="H4" s="1" t="s">
        <v>82</v>
      </c>
      <c r="I4" s="1" t="s">
        <v>71</v>
      </c>
      <c r="J4" s="1" t="s">
        <v>40</v>
      </c>
      <c r="K4" s="1" t="s">
        <v>41</v>
      </c>
      <c r="L4" s="1">
        <v>3</v>
      </c>
      <c r="N4" s="1">
        <v>1</v>
      </c>
      <c r="O4" s="1">
        <v>0.65</v>
      </c>
      <c r="P4" s="1">
        <v>0.7</v>
      </c>
      <c r="Q4" s="7">
        <f t="shared" si="1"/>
        <v>0.67500000000000004</v>
      </c>
      <c r="R4" s="1">
        <v>16.3</v>
      </c>
      <c r="S4" s="1">
        <v>117</v>
      </c>
      <c r="T4" s="2">
        <f t="shared" si="0"/>
        <v>30</v>
      </c>
      <c r="U4" s="1">
        <v>159</v>
      </c>
      <c r="V4" s="2">
        <f t="shared" si="2"/>
        <v>4770</v>
      </c>
      <c r="W4" s="1">
        <v>8</v>
      </c>
      <c r="X4" s="1" t="s">
        <v>42</v>
      </c>
      <c r="Y4" s="1" t="s">
        <v>67</v>
      </c>
      <c r="Z4" s="1" t="s">
        <v>96</v>
      </c>
      <c r="AA4" s="1" t="s">
        <v>85</v>
      </c>
      <c r="AB4" s="1" t="s">
        <v>145</v>
      </c>
      <c r="AE4" s="9" t="s">
        <v>53</v>
      </c>
      <c r="AG4" s="12" t="s">
        <v>161</v>
      </c>
      <c r="AH4" s="81" t="s">
        <v>162</v>
      </c>
      <c r="AJ4" s="13" t="s">
        <v>55</v>
      </c>
      <c r="AL4" s="13" t="s">
        <v>56</v>
      </c>
      <c r="AN4" s="14" t="s">
        <v>57</v>
      </c>
      <c r="AP4" s="12" t="s">
        <v>58</v>
      </c>
      <c r="AR4" s="12" t="s">
        <v>59</v>
      </c>
      <c r="AT4" s="14"/>
      <c r="AV4" s="12" t="s">
        <v>60</v>
      </c>
      <c r="AX4" s="23">
        <v>75</v>
      </c>
      <c r="AY4" s="24">
        <v>42</v>
      </c>
      <c r="AZ4" s="24">
        <v>76</v>
      </c>
      <c r="BA4" s="25">
        <v>39</v>
      </c>
    </row>
    <row r="5" spans="1:53" x14ac:dyDescent="0.15">
      <c r="A5" s="1" t="s">
        <v>68</v>
      </c>
      <c r="B5" s="1" t="s">
        <v>143</v>
      </c>
      <c r="C5" s="1">
        <v>2020</v>
      </c>
      <c r="D5" s="80" t="s">
        <v>298</v>
      </c>
      <c r="E5" s="1" t="s">
        <v>168</v>
      </c>
      <c r="F5" s="1" t="s">
        <v>164</v>
      </c>
      <c r="G5" s="1" t="s">
        <v>46</v>
      </c>
      <c r="H5" s="1" t="s">
        <v>82</v>
      </c>
      <c r="I5" s="1" t="s">
        <v>71</v>
      </c>
      <c r="J5" s="1" t="s">
        <v>40</v>
      </c>
      <c r="K5" s="1" t="s">
        <v>41</v>
      </c>
      <c r="L5" s="1">
        <v>1</v>
      </c>
      <c r="N5" s="1">
        <v>4</v>
      </c>
      <c r="O5" s="1">
        <v>0.55000000000000004</v>
      </c>
      <c r="P5" s="1">
        <v>0.55000000000000004</v>
      </c>
      <c r="Q5" s="7">
        <f t="shared" si="1"/>
        <v>0.55000000000000004</v>
      </c>
      <c r="R5" s="1">
        <v>16.7</v>
      </c>
      <c r="S5" s="1">
        <v>103</v>
      </c>
      <c r="T5" s="2">
        <f t="shared" si="0"/>
        <v>33</v>
      </c>
      <c r="U5" s="1">
        <v>599</v>
      </c>
      <c r="V5" s="2">
        <f t="shared" si="2"/>
        <v>4941.75</v>
      </c>
      <c r="W5" s="1">
        <v>4</v>
      </c>
      <c r="X5" s="1" t="s">
        <v>42</v>
      </c>
      <c r="Y5" s="1" t="s">
        <v>67</v>
      </c>
      <c r="Z5" s="1" t="s">
        <v>96</v>
      </c>
      <c r="AA5" s="1" t="s">
        <v>85</v>
      </c>
      <c r="AB5" s="1" t="s">
        <v>145</v>
      </c>
      <c r="AE5" s="9" t="s">
        <v>61</v>
      </c>
      <c r="AG5" s="12" t="s">
        <v>163</v>
      </c>
      <c r="AH5" s="81" t="s">
        <v>164</v>
      </c>
      <c r="AJ5" s="14"/>
      <c r="AL5" s="43" t="s">
        <v>63</v>
      </c>
      <c r="AN5" s="43" t="s">
        <v>64</v>
      </c>
      <c r="AP5" s="12" t="s">
        <v>65</v>
      </c>
      <c r="AR5" s="12" t="s">
        <v>66</v>
      </c>
      <c r="AV5" s="12" t="s">
        <v>67</v>
      </c>
      <c r="AX5" s="23">
        <v>84</v>
      </c>
      <c r="AY5" s="24">
        <v>39</v>
      </c>
      <c r="AZ5" s="24">
        <v>84</v>
      </c>
      <c r="BA5" s="25">
        <v>36</v>
      </c>
    </row>
    <row r="6" spans="1:53" x14ac:dyDescent="0.15">
      <c r="A6" s="1" t="s">
        <v>68</v>
      </c>
      <c r="B6" s="1" t="s">
        <v>143</v>
      </c>
      <c r="C6" s="1">
        <v>2020</v>
      </c>
      <c r="D6" s="80" t="s">
        <v>298</v>
      </c>
      <c r="E6" s="1" t="s">
        <v>168</v>
      </c>
      <c r="F6" s="1" t="s">
        <v>164</v>
      </c>
      <c r="G6" s="1" t="s">
        <v>46</v>
      </c>
      <c r="H6" s="1" t="s">
        <v>82</v>
      </c>
      <c r="I6" s="1" t="s">
        <v>71</v>
      </c>
      <c r="J6" s="1" t="s">
        <v>40</v>
      </c>
      <c r="K6" s="1" t="s">
        <v>41</v>
      </c>
      <c r="L6" s="1">
        <v>2</v>
      </c>
      <c r="N6" s="1">
        <v>4</v>
      </c>
      <c r="O6" s="1">
        <v>0.65</v>
      </c>
      <c r="P6" s="1">
        <v>0.7</v>
      </c>
      <c r="Q6" s="7">
        <f t="shared" si="1"/>
        <v>0.67500000000000004</v>
      </c>
      <c r="R6" s="1">
        <v>17</v>
      </c>
      <c r="S6" s="1">
        <v>105</v>
      </c>
      <c r="T6" s="2">
        <f t="shared" si="0"/>
        <v>33</v>
      </c>
      <c r="U6" s="1">
        <v>599</v>
      </c>
      <c r="V6" s="2">
        <f t="shared" si="2"/>
        <v>4941.75</v>
      </c>
      <c r="W6" s="1">
        <v>4</v>
      </c>
      <c r="X6" s="1" t="s">
        <v>42</v>
      </c>
      <c r="Y6" s="1" t="s">
        <v>67</v>
      </c>
      <c r="Z6" s="1" t="s">
        <v>96</v>
      </c>
      <c r="AA6" s="1" t="s">
        <v>85</v>
      </c>
      <c r="AB6" s="1" t="s">
        <v>145</v>
      </c>
      <c r="AE6" s="9" t="s">
        <v>68</v>
      </c>
      <c r="AG6" s="12" t="s">
        <v>165</v>
      </c>
      <c r="AH6" s="81" t="s">
        <v>164</v>
      </c>
      <c r="AL6" s="43" t="s">
        <v>70</v>
      </c>
      <c r="AN6" s="43" t="s">
        <v>71</v>
      </c>
      <c r="AP6" s="12" t="s">
        <v>72</v>
      </c>
      <c r="AR6" s="12" t="s">
        <v>73</v>
      </c>
      <c r="AV6" s="12" t="s">
        <v>74</v>
      </c>
      <c r="AX6" s="23">
        <v>97</v>
      </c>
      <c r="AY6" s="24">
        <v>36</v>
      </c>
      <c r="AZ6" s="24">
        <v>99</v>
      </c>
      <c r="BA6" s="25">
        <v>33</v>
      </c>
    </row>
    <row r="7" spans="1:53" x14ac:dyDescent="0.15">
      <c r="A7" s="1" t="s">
        <v>68</v>
      </c>
      <c r="B7" s="1" t="s">
        <v>143</v>
      </c>
      <c r="C7" s="1">
        <v>2020</v>
      </c>
      <c r="D7" s="80" t="s">
        <v>298</v>
      </c>
      <c r="E7" s="1" t="s">
        <v>168</v>
      </c>
      <c r="F7" s="1" t="s">
        <v>164</v>
      </c>
      <c r="G7" s="1" t="s">
        <v>46</v>
      </c>
      <c r="H7" s="1" t="s">
        <v>82</v>
      </c>
      <c r="I7" s="1" t="s">
        <v>71</v>
      </c>
      <c r="J7" s="1" t="s">
        <v>40</v>
      </c>
      <c r="K7" s="1" t="s">
        <v>41</v>
      </c>
      <c r="L7" s="1">
        <v>3</v>
      </c>
      <c r="N7" s="1">
        <v>4</v>
      </c>
      <c r="O7" s="1">
        <v>0.75</v>
      </c>
      <c r="P7" s="1">
        <v>0.8</v>
      </c>
      <c r="Q7" s="7">
        <f t="shared" si="1"/>
        <v>0.77500000000000002</v>
      </c>
      <c r="R7" s="1">
        <v>16.600000000000001</v>
      </c>
      <c r="S7" s="1">
        <v>104</v>
      </c>
      <c r="T7" s="2">
        <f t="shared" si="0"/>
        <v>33</v>
      </c>
      <c r="U7" s="1">
        <v>599</v>
      </c>
      <c r="V7" s="2">
        <f t="shared" si="2"/>
        <v>4941.75</v>
      </c>
      <c r="W7" s="1">
        <v>4</v>
      </c>
      <c r="X7" s="1" t="s">
        <v>42</v>
      </c>
      <c r="Y7" s="1" t="s">
        <v>67</v>
      </c>
      <c r="Z7" s="1" t="s">
        <v>96</v>
      </c>
      <c r="AA7" s="1" t="s">
        <v>85</v>
      </c>
      <c r="AB7" s="1" t="s">
        <v>145</v>
      </c>
      <c r="AE7" s="9" t="s">
        <v>75</v>
      </c>
      <c r="AG7" s="12" t="s">
        <v>54</v>
      </c>
      <c r="AH7" s="81" t="s">
        <v>166</v>
      </c>
      <c r="AL7" s="39" t="s">
        <v>77</v>
      </c>
      <c r="AP7" s="12" t="s">
        <v>78</v>
      </c>
      <c r="AR7" s="12" t="s">
        <v>79</v>
      </c>
      <c r="AV7" s="12" t="s">
        <v>80</v>
      </c>
      <c r="AX7" s="23">
        <v>109</v>
      </c>
      <c r="AY7" s="24">
        <v>33</v>
      </c>
      <c r="AZ7" s="24">
        <v>113</v>
      </c>
      <c r="BA7" s="25">
        <v>30</v>
      </c>
    </row>
    <row r="8" spans="1:53" x14ac:dyDescent="0.15">
      <c r="A8" s="1" t="s">
        <v>68</v>
      </c>
      <c r="B8" s="1" t="s">
        <v>143</v>
      </c>
      <c r="C8" s="1">
        <v>2020</v>
      </c>
      <c r="D8" s="80" t="s">
        <v>298</v>
      </c>
      <c r="E8" s="1" t="s">
        <v>168</v>
      </c>
      <c r="F8" s="1" t="s">
        <v>164</v>
      </c>
      <c r="G8" s="1" t="s">
        <v>46</v>
      </c>
      <c r="H8" s="1" t="s">
        <v>82</v>
      </c>
      <c r="I8" s="1" t="s">
        <v>71</v>
      </c>
      <c r="J8" s="1" t="s">
        <v>40</v>
      </c>
      <c r="K8" s="1" t="s">
        <v>41</v>
      </c>
      <c r="L8" s="1">
        <v>1</v>
      </c>
      <c r="N8" s="1">
        <v>8</v>
      </c>
      <c r="O8" s="1">
        <v>0.7</v>
      </c>
      <c r="P8" s="1">
        <v>0.7</v>
      </c>
      <c r="Q8" s="7">
        <f t="shared" si="1"/>
        <v>0.7</v>
      </c>
      <c r="R8" s="1">
        <v>13.9</v>
      </c>
      <c r="S8" s="1">
        <v>95</v>
      </c>
      <c r="T8" s="2">
        <f t="shared" si="0"/>
        <v>36</v>
      </c>
      <c r="U8" s="1">
        <v>999</v>
      </c>
      <c r="V8" s="2">
        <f t="shared" si="2"/>
        <v>4495.5</v>
      </c>
      <c r="W8" s="1">
        <v>8</v>
      </c>
      <c r="X8" s="1" t="s">
        <v>42</v>
      </c>
      <c r="Y8" s="1" t="s">
        <v>67</v>
      </c>
      <c r="Z8" s="1" t="s">
        <v>96</v>
      </c>
      <c r="AA8" s="1" t="s">
        <v>85</v>
      </c>
      <c r="AB8" s="1" t="s">
        <v>145</v>
      </c>
      <c r="AE8" s="9" t="s">
        <v>73</v>
      </c>
      <c r="AG8" s="12" t="s">
        <v>167</v>
      </c>
      <c r="AH8" s="81" t="s">
        <v>166</v>
      </c>
      <c r="AL8" s="39" t="s">
        <v>82</v>
      </c>
      <c r="AP8" s="12" t="s">
        <v>83</v>
      </c>
      <c r="AR8" s="12" t="s">
        <v>84</v>
      </c>
      <c r="AV8" s="12" t="s">
        <v>85</v>
      </c>
      <c r="AX8" s="23">
        <v>119</v>
      </c>
      <c r="AY8" s="24">
        <v>30</v>
      </c>
      <c r="AZ8" s="24">
        <v>121</v>
      </c>
      <c r="BA8" s="25">
        <v>27</v>
      </c>
    </row>
    <row r="9" spans="1:53" x14ac:dyDescent="0.15">
      <c r="A9" s="1" t="s">
        <v>68</v>
      </c>
      <c r="B9" s="1" t="s">
        <v>143</v>
      </c>
      <c r="C9" s="1">
        <v>2020</v>
      </c>
      <c r="D9" s="80" t="s">
        <v>298</v>
      </c>
      <c r="E9" s="1" t="s">
        <v>168</v>
      </c>
      <c r="F9" s="1" t="s">
        <v>164</v>
      </c>
      <c r="G9" s="1" t="s">
        <v>46</v>
      </c>
      <c r="H9" s="1" t="s">
        <v>82</v>
      </c>
      <c r="I9" s="1" t="s">
        <v>71</v>
      </c>
      <c r="J9" s="1" t="s">
        <v>40</v>
      </c>
      <c r="K9" s="1" t="s">
        <v>41</v>
      </c>
      <c r="L9" s="1">
        <v>2</v>
      </c>
      <c r="N9" s="1">
        <v>8</v>
      </c>
      <c r="O9" s="1">
        <v>0.75</v>
      </c>
      <c r="P9" s="1">
        <v>0.75</v>
      </c>
      <c r="Q9" s="7">
        <f t="shared" si="1"/>
        <v>0.75</v>
      </c>
      <c r="R9" s="1">
        <v>12.8</v>
      </c>
      <c r="S9" s="1">
        <v>100</v>
      </c>
      <c r="T9" s="2">
        <f t="shared" si="0"/>
        <v>33</v>
      </c>
      <c r="U9" s="1">
        <v>999</v>
      </c>
      <c r="V9" s="2">
        <f t="shared" si="2"/>
        <v>4120.875</v>
      </c>
      <c r="W9" s="1">
        <v>8</v>
      </c>
      <c r="X9" s="1" t="s">
        <v>42</v>
      </c>
      <c r="Y9" s="1" t="s">
        <v>67</v>
      </c>
      <c r="Z9" s="1" t="s">
        <v>96</v>
      </c>
      <c r="AA9" s="1" t="s">
        <v>85</v>
      </c>
      <c r="AB9" s="1" t="s">
        <v>145</v>
      </c>
      <c r="AE9" s="9" t="s">
        <v>86</v>
      </c>
      <c r="AG9" s="12" t="s">
        <v>168</v>
      </c>
      <c r="AH9" s="12" t="s">
        <v>160</v>
      </c>
      <c r="AL9" s="43" t="s">
        <v>88</v>
      </c>
      <c r="AP9" s="12" t="s">
        <v>89</v>
      </c>
      <c r="AR9" s="12" t="s">
        <v>90</v>
      </c>
      <c r="AV9" s="12" t="s">
        <v>91</v>
      </c>
      <c r="AX9" s="23">
        <v>128</v>
      </c>
      <c r="AY9" s="24">
        <v>27</v>
      </c>
      <c r="AZ9" s="24">
        <v>129</v>
      </c>
      <c r="BA9" s="25">
        <v>25</v>
      </c>
    </row>
    <row r="10" spans="1:53" x14ac:dyDescent="0.15">
      <c r="A10" s="1" t="s">
        <v>68</v>
      </c>
      <c r="B10" s="1" t="s">
        <v>143</v>
      </c>
      <c r="C10" s="1">
        <v>2020</v>
      </c>
      <c r="D10" s="80" t="s">
        <v>298</v>
      </c>
      <c r="E10" s="1" t="s">
        <v>168</v>
      </c>
      <c r="F10" s="1" t="s">
        <v>164</v>
      </c>
      <c r="G10" s="1" t="s">
        <v>46</v>
      </c>
      <c r="H10" s="1" t="s">
        <v>82</v>
      </c>
      <c r="I10" s="1" t="s">
        <v>71</v>
      </c>
      <c r="J10" s="1" t="s">
        <v>40</v>
      </c>
      <c r="K10" s="1" t="s">
        <v>41</v>
      </c>
      <c r="L10" s="1">
        <v>3</v>
      </c>
      <c r="N10" s="1">
        <v>8</v>
      </c>
      <c r="O10" s="1">
        <v>0.6</v>
      </c>
      <c r="P10" s="1">
        <v>0.55000000000000004</v>
      </c>
      <c r="Q10" s="7">
        <f t="shared" si="1"/>
        <v>0.57499999999999996</v>
      </c>
      <c r="R10" s="1">
        <v>15.3</v>
      </c>
      <c r="S10" s="1">
        <v>93</v>
      </c>
      <c r="T10" s="2">
        <f t="shared" si="0"/>
        <v>36</v>
      </c>
      <c r="U10" s="1">
        <v>999</v>
      </c>
      <c r="V10" s="2">
        <f t="shared" si="2"/>
        <v>4495.5</v>
      </c>
      <c r="W10" s="1">
        <v>8</v>
      </c>
      <c r="X10" s="1" t="s">
        <v>42</v>
      </c>
      <c r="Y10" s="1" t="s">
        <v>67</v>
      </c>
      <c r="Z10" s="1" t="s">
        <v>96</v>
      </c>
      <c r="AA10" s="1" t="s">
        <v>85</v>
      </c>
      <c r="AB10" s="1" t="s">
        <v>145</v>
      </c>
      <c r="AE10" s="9" t="s">
        <v>92</v>
      </c>
      <c r="AG10" s="12" t="s">
        <v>54</v>
      </c>
      <c r="AH10" s="81" t="s">
        <v>164</v>
      </c>
      <c r="AL10" s="39"/>
      <c r="AP10" s="12" t="s">
        <v>94</v>
      </c>
      <c r="AR10" s="12" t="s">
        <v>95</v>
      </c>
      <c r="AV10" s="12" t="s">
        <v>96</v>
      </c>
      <c r="AX10" s="23">
        <v>138</v>
      </c>
      <c r="AY10" s="24">
        <v>25</v>
      </c>
      <c r="AZ10" s="24">
        <v>138</v>
      </c>
      <c r="BA10" s="25">
        <v>22</v>
      </c>
    </row>
    <row r="11" spans="1:53" x14ac:dyDescent="0.15">
      <c r="A11" s="1" t="s">
        <v>68</v>
      </c>
      <c r="B11" s="1" t="s">
        <v>143</v>
      </c>
      <c r="C11" s="1">
        <v>2020</v>
      </c>
      <c r="D11" s="80" t="s">
        <v>298</v>
      </c>
      <c r="E11" s="1" t="s">
        <v>159</v>
      </c>
      <c r="F11" s="1" t="s">
        <v>160</v>
      </c>
      <c r="G11" s="1" t="s">
        <v>37</v>
      </c>
      <c r="H11" s="1" t="s">
        <v>63</v>
      </c>
      <c r="I11" s="1" t="s">
        <v>64</v>
      </c>
      <c r="J11" s="1" t="s">
        <v>40</v>
      </c>
      <c r="K11" s="1" t="s">
        <v>41</v>
      </c>
      <c r="L11" s="1">
        <v>1</v>
      </c>
      <c r="N11" s="1">
        <v>1</v>
      </c>
      <c r="O11" s="1">
        <v>0.7</v>
      </c>
      <c r="P11" s="1">
        <v>0.65</v>
      </c>
      <c r="Q11" s="7">
        <f t="shared" si="1"/>
        <v>0.67500000000000004</v>
      </c>
      <c r="R11" s="1">
        <v>15.7</v>
      </c>
      <c r="S11" s="1">
        <v>135</v>
      </c>
      <c r="T11" s="2">
        <f t="shared" si="0"/>
        <v>25</v>
      </c>
      <c r="U11" s="1">
        <v>98</v>
      </c>
      <c r="V11" s="2">
        <f t="shared" si="2"/>
        <v>2450</v>
      </c>
      <c r="W11" s="1">
        <v>2</v>
      </c>
      <c r="X11" s="1" t="s">
        <v>51</v>
      </c>
      <c r="Y11" s="1" t="s">
        <v>67</v>
      </c>
      <c r="Z11" s="1" t="s">
        <v>52</v>
      </c>
      <c r="AA11" s="1" t="s">
        <v>122</v>
      </c>
      <c r="AB11" s="1" t="s">
        <v>145</v>
      </c>
      <c r="AE11" s="9" t="s">
        <v>97</v>
      </c>
      <c r="AG11" s="12" t="s">
        <v>165</v>
      </c>
      <c r="AH11" s="81" t="s">
        <v>164</v>
      </c>
      <c r="AJ11" s="39"/>
      <c r="AP11" s="12" t="s">
        <v>99</v>
      </c>
      <c r="AR11" s="12" t="s">
        <v>100</v>
      </c>
      <c r="AV11" s="12" t="s">
        <v>101</v>
      </c>
    </row>
    <row r="12" spans="1:53" x14ac:dyDescent="0.15">
      <c r="A12" s="1" t="s">
        <v>68</v>
      </c>
      <c r="B12" s="1" t="s">
        <v>143</v>
      </c>
      <c r="C12" s="1">
        <v>2020</v>
      </c>
      <c r="D12" s="80" t="s">
        <v>298</v>
      </c>
      <c r="E12" s="1" t="s">
        <v>159</v>
      </c>
      <c r="F12" s="1" t="s">
        <v>160</v>
      </c>
      <c r="G12" s="1" t="s">
        <v>37</v>
      </c>
      <c r="H12" s="1" t="s">
        <v>63</v>
      </c>
      <c r="I12" s="1" t="s">
        <v>64</v>
      </c>
      <c r="J12" s="1" t="s">
        <v>40</v>
      </c>
      <c r="K12" s="1" t="s">
        <v>41</v>
      </c>
      <c r="L12" s="1">
        <v>2</v>
      </c>
      <c r="N12" s="1">
        <v>1</v>
      </c>
      <c r="O12" s="1">
        <v>0.75</v>
      </c>
      <c r="P12" s="1">
        <v>0.75</v>
      </c>
      <c r="Q12" s="7">
        <f t="shared" si="1"/>
        <v>0.75</v>
      </c>
      <c r="R12" s="1">
        <v>13.6</v>
      </c>
      <c r="S12" s="1">
        <v>129</v>
      </c>
      <c r="T12" s="2">
        <f t="shared" si="0"/>
        <v>25</v>
      </c>
      <c r="U12" s="1">
        <v>98</v>
      </c>
      <c r="V12" s="2">
        <f t="shared" si="2"/>
        <v>2450</v>
      </c>
      <c r="W12" s="1">
        <v>2</v>
      </c>
      <c r="X12" s="1" t="s">
        <v>51</v>
      </c>
      <c r="Y12" s="1" t="s">
        <v>67</v>
      </c>
      <c r="Z12" s="1" t="s">
        <v>52</v>
      </c>
      <c r="AA12" s="1" t="s">
        <v>122</v>
      </c>
      <c r="AB12" s="1" t="s">
        <v>145</v>
      </c>
      <c r="AE12" s="9" t="s">
        <v>102</v>
      </c>
      <c r="AG12" s="12" t="s">
        <v>159</v>
      </c>
      <c r="AH12" s="81" t="s">
        <v>164</v>
      </c>
      <c r="AJ12" s="39"/>
      <c r="AP12" s="12" t="s">
        <v>103</v>
      </c>
      <c r="AR12" s="12" t="s">
        <v>104</v>
      </c>
      <c r="AV12" s="12" t="s">
        <v>105</v>
      </c>
    </row>
    <row r="13" spans="1:53" x14ac:dyDescent="0.15">
      <c r="A13" s="1" t="s">
        <v>68</v>
      </c>
      <c r="B13" s="1" t="s">
        <v>143</v>
      </c>
      <c r="C13" s="1">
        <v>2020</v>
      </c>
      <c r="D13" s="80" t="s">
        <v>298</v>
      </c>
      <c r="E13" s="1" t="s">
        <v>159</v>
      </c>
      <c r="F13" s="1" t="s">
        <v>160</v>
      </c>
      <c r="G13" s="1" t="s">
        <v>37</v>
      </c>
      <c r="H13" s="1" t="s">
        <v>63</v>
      </c>
      <c r="I13" s="1" t="s">
        <v>64</v>
      </c>
      <c r="J13" s="1" t="s">
        <v>40</v>
      </c>
      <c r="K13" s="1" t="s">
        <v>41</v>
      </c>
      <c r="L13" s="1">
        <v>3</v>
      </c>
      <c r="N13" s="1">
        <v>1</v>
      </c>
      <c r="O13" s="1">
        <v>0.5</v>
      </c>
      <c r="P13" s="1">
        <v>0.5</v>
      </c>
      <c r="Q13" s="7">
        <f t="shared" si="1"/>
        <v>0.5</v>
      </c>
      <c r="R13" s="1">
        <v>13.9</v>
      </c>
      <c r="S13" s="1">
        <v>123</v>
      </c>
      <c r="T13" s="2">
        <f t="shared" si="0"/>
        <v>27</v>
      </c>
      <c r="U13" s="1">
        <v>98</v>
      </c>
      <c r="V13" s="2">
        <f t="shared" si="2"/>
        <v>2646</v>
      </c>
      <c r="W13" s="1">
        <v>2</v>
      </c>
      <c r="X13" s="1" t="s">
        <v>51</v>
      </c>
      <c r="Y13" s="1" t="s">
        <v>67</v>
      </c>
      <c r="Z13" s="1" t="s">
        <v>52</v>
      </c>
      <c r="AA13" s="1" t="s">
        <v>122</v>
      </c>
      <c r="AB13" s="1" t="s">
        <v>145</v>
      </c>
      <c r="AE13" s="9" t="s">
        <v>106</v>
      </c>
      <c r="AP13" s="12" t="s">
        <v>107</v>
      </c>
      <c r="AR13" s="12" t="s">
        <v>92</v>
      </c>
      <c r="AV13" s="12" t="s">
        <v>108</v>
      </c>
    </row>
    <row r="14" spans="1:53" x14ac:dyDescent="0.15">
      <c r="A14" s="1" t="s">
        <v>68</v>
      </c>
      <c r="B14" s="1" t="s">
        <v>143</v>
      </c>
      <c r="C14" s="1">
        <v>2020</v>
      </c>
      <c r="D14" s="80" t="s">
        <v>298</v>
      </c>
      <c r="E14" s="1" t="s">
        <v>159</v>
      </c>
      <c r="F14" s="1" t="s">
        <v>160</v>
      </c>
      <c r="G14" s="1" t="s">
        <v>37</v>
      </c>
      <c r="H14" s="1" t="s">
        <v>63</v>
      </c>
      <c r="I14" s="1" t="s">
        <v>64</v>
      </c>
      <c r="J14" s="1" t="s">
        <v>40</v>
      </c>
      <c r="K14" s="1" t="s">
        <v>41</v>
      </c>
      <c r="L14" s="1">
        <v>1</v>
      </c>
      <c r="N14" s="1">
        <v>6</v>
      </c>
      <c r="O14" s="1">
        <v>0.6</v>
      </c>
      <c r="P14" s="1">
        <v>0.6</v>
      </c>
      <c r="Q14" s="7">
        <f t="shared" si="1"/>
        <v>0.6</v>
      </c>
      <c r="R14" s="1">
        <v>12.4</v>
      </c>
      <c r="S14" s="1">
        <v>106</v>
      </c>
      <c r="T14" s="2">
        <f t="shared" si="0"/>
        <v>33</v>
      </c>
      <c r="U14" s="1">
        <v>398</v>
      </c>
      <c r="V14" s="2">
        <f t="shared" si="2"/>
        <v>2189</v>
      </c>
      <c r="W14" s="1">
        <v>8</v>
      </c>
      <c r="X14" s="1" t="s">
        <v>51</v>
      </c>
      <c r="Y14" s="1" t="s">
        <v>67</v>
      </c>
      <c r="Z14" s="1" t="s">
        <v>52</v>
      </c>
      <c r="AA14" s="1" t="s">
        <v>122</v>
      </c>
      <c r="AB14" s="1" t="s">
        <v>145</v>
      </c>
      <c r="AE14" s="9" t="s">
        <v>109</v>
      </c>
      <c r="AP14" s="12" t="s">
        <v>110</v>
      </c>
      <c r="AR14" s="12" t="s">
        <v>111</v>
      </c>
      <c r="AV14" s="12" t="s">
        <v>112</v>
      </c>
    </row>
    <row r="15" spans="1:53" x14ac:dyDescent="0.15">
      <c r="A15" s="1" t="s">
        <v>68</v>
      </c>
      <c r="B15" s="1" t="s">
        <v>143</v>
      </c>
      <c r="C15" s="1">
        <v>2020</v>
      </c>
      <c r="D15" s="80" t="s">
        <v>298</v>
      </c>
      <c r="E15" s="1" t="s">
        <v>159</v>
      </c>
      <c r="F15" s="1" t="s">
        <v>160</v>
      </c>
      <c r="G15" s="1" t="s">
        <v>37</v>
      </c>
      <c r="H15" s="1" t="s">
        <v>63</v>
      </c>
      <c r="I15" s="1" t="s">
        <v>64</v>
      </c>
      <c r="J15" s="1" t="s">
        <v>40</v>
      </c>
      <c r="K15" s="1" t="s">
        <v>41</v>
      </c>
      <c r="L15" s="1">
        <v>2</v>
      </c>
      <c r="N15" s="1">
        <v>6</v>
      </c>
      <c r="O15" s="1">
        <v>0.6</v>
      </c>
      <c r="P15" s="1">
        <v>0.6</v>
      </c>
      <c r="Q15" s="7">
        <f t="shared" si="1"/>
        <v>0.6</v>
      </c>
      <c r="R15" s="1">
        <v>12.3</v>
      </c>
      <c r="S15" s="1">
        <v>100</v>
      </c>
      <c r="T15" s="2">
        <f t="shared" si="0"/>
        <v>33</v>
      </c>
      <c r="U15" s="1">
        <v>398</v>
      </c>
      <c r="V15" s="2">
        <f t="shared" si="2"/>
        <v>2189</v>
      </c>
      <c r="W15" s="1">
        <v>8</v>
      </c>
      <c r="X15" s="1" t="s">
        <v>51</v>
      </c>
      <c r="Y15" s="1" t="s">
        <v>67</v>
      </c>
      <c r="Z15" s="1" t="s">
        <v>52</v>
      </c>
      <c r="AA15" s="1" t="s">
        <v>122</v>
      </c>
      <c r="AB15" s="1" t="s">
        <v>145</v>
      </c>
      <c r="AE15" s="9" t="s">
        <v>113</v>
      </c>
      <c r="AP15" s="12" t="s">
        <v>114</v>
      </c>
      <c r="AR15" s="12" t="s">
        <v>115</v>
      </c>
      <c r="AV15" s="12" t="s">
        <v>116</v>
      </c>
    </row>
    <row r="16" spans="1:53" x14ac:dyDescent="0.15">
      <c r="A16" s="1" t="s">
        <v>68</v>
      </c>
      <c r="B16" s="1" t="s">
        <v>143</v>
      </c>
      <c r="C16" s="1">
        <v>2020</v>
      </c>
      <c r="D16" s="80" t="s">
        <v>298</v>
      </c>
      <c r="E16" s="1" t="s">
        <v>159</v>
      </c>
      <c r="F16" s="1" t="s">
        <v>160</v>
      </c>
      <c r="G16" s="1" t="s">
        <v>37</v>
      </c>
      <c r="H16" s="1" t="s">
        <v>63</v>
      </c>
      <c r="I16" s="1" t="s">
        <v>64</v>
      </c>
      <c r="J16" s="1" t="s">
        <v>40</v>
      </c>
      <c r="K16" s="1" t="s">
        <v>41</v>
      </c>
      <c r="L16" s="1">
        <v>3</v>
      </c>
      <c r="N16" s="1">
        <v>6</v>
      </c>
      <c r="O16" s="1">
        <v>0.75</v>
      </c>
      <c r="P16" s="1">
        <v>0.6</v>
      </c>
      <c r="Q16" s="7">
        <f t="shared" si="1"/>
        <v>0.67500000000000004</v>
      </c>
      <c r="R16" s="1">
        <v>13</v>
      </c>
      <c r="S16" s="1">
        <v>92</v>
      </c>
      <c r="T16" s="2">
        <f t="shared" si="0"/>
        <v>36</v>
      </c>
      <c r="U16" s="1">
        <v>398</v>
      </c>
      <c r="V16" s="2">
        <f t="shared" si="2"/>
        <v>2388</v>
      </c>
      <c r="W16" s="1">
        <v>8</v>
      </c>
      <c r="X16" s="1" t="s">
        <v>51</v>
      </c>
      <c r="Y16" s="1" t="s">
        <v>67</v>
      </c>
      <c r="Z16" s="1" t="s">
        <v>52</v>
      </c>
      <c r="AA16" s="1" t="s">
        <v>122</v>
      </c>
      <c r="AB16" s="1" t="s">
        <v>145</v>
      </c>
      <c r="AE16" s="9" t="s">
        <v>117</v>
      </c>
      <c r="AP16" s="12" t="s">
        <v>115</v>
      </c>
      <c r="AR16" s="12" t="s">
        <v>118</v>
      </c>
      <c r="AV16" s="12" t="s">
        <v>119</v>
      </c>
    </row>
    <row r="17" spans="1:48" x14ac:dyDescent="0.15">
      <c r="A17" s="1" t="s">
        <v>68</v>
      </c>
      <c r="B17" s="1" t="s">
        <v>143</v>
      </c>
      <c r="C17" s="1">
        <v>2020</v>
      </c>
      <c r="D17" s="80" t="s">
        <v>298</v>
      </c>
      <c r="E17" s="1" t="s">
        <v>159</v>
      </c>
      <c r="F17" s="1" t="s">
        <v>160</v>
      </c>
      <c r="G17" s="1" t="s">
        <v>37</v>
      </c>
      <c r="H17" s="1" t="s">
        <v>82</v>
      </c>
      <c r="I17" s="1" t="s">
        <v>64</v>
      </c>
      <c r="J17" s="1" t="s">
        <v>40</v>
      </c>
      <c r="K17" s="1" t="s">
        <v>41</v>
      </c>
      <c r="L17" s="1">
        <v>1</v>
      </c>
      <c r="N17" s="1">
        <v>1</v>
      </c>
      <c r="O17" s="1">
        <v>0.8</v>
      </c>
      <c r="P17" s="1">
        <v>0.9</v>
      </c>
      <c r="Q17" s="7">
        <f t="shared" si="1"/>
        <v>0.85000000000000009</v>
      </c>
      <c r="R17" s="1">
        <v>17.399999999999999</v>
      </c>
      <c r="S17" s="1">
        <v>141</v>
      </c>
      <c r="T17" s="2">
        <f t="shared" si="0"/>
        <v>22</v>
      </c>
      <c r="U17" s="1">
        <v>98</v>
      </c>
      <c r="V17" s="2">
        <f t="shared" si="2"/>
        <v>2156</v>
      </c>
      <c r="W17" s="1">
        <v>15</v>
      </c>
      <c r="X17" s="1" t="s">
        <v>51</v>
      </c>
      <c r="Y17" s="1" t="s">
        <v>67</v>
      </c>
      <c r="Z17" s="1" t="s">
        <v>52</v>
      </c>
      <c r="AA17" s="1" t="s">
        <v>122</v>
      </c>
      <c r="AB17" s="1" t="s">
        <v>145</v>
      </c>
      <c r="AE17" s="9" t="s">
        <v>120</v>
      </c>
      <c r="AP17" s="13" t="s">
        <v>121</v>
      </c>
      <c r="AR17" s="12" t="s">
        <v>109</v>
      </c>
      <c r="AV17" s="12" t="s">
        <v>122</v>
      </c>
    </row>
    <row r="18" spans="1:48" x14ac:dyDescent="0.15">
      <c r="A18" s="1" t="s">
        <v>68</v>
      </c>
      <c r="B18" s="1" t="s">
        <v>143</v>
      </c>
      <c r="C18" s="1">
        <v>2020</v>
      </c>
      <c r="D18" s="80" t="s">
        <v>298</v>
      </c>
      <c r="E18" s="1" t="s">
        <v>159</v>
      </c>
      <c r="F18" s="1" t="s">
        <v>160</v>
      </c>
      <c r="G18" s="1" t="s">
        <v>37</v>
      </c>
      <c r="H18" s="1" t="s">
        <v>82</v>
      </c>
      <c r="I18" s="1" t="s">
        <v>64</v>
      </c>
      <c r="J18" s="1" t="s">
        <v>40</v>
      </c>
      <c r="K18" s="1" t="s">
        <v>41</v>
      </c>
      <c r="L18" s="1">
        <v>2</v>
      </c>
      <c r="N18" s="1">
        <v>1</v>
      </c>
      <c r="O18" s="1">
        <v>0.6</v>
      </c>
      <c r="P18" s="1">
        <v>0.6</v>
      </c>
      <c r="Q18" s="7">
        <f t="shared" si="1"/>
        <v>0.6</v>
      </c>
      <c r="R18" s="1">
        <v>16.399999999999999</v>
      </c>
      <c r="S18" s="1">
        <v>145</v>
      </c>
      <c r="T18" s="2">
        <f t="shared" si="0"/>
        <v>22</v>
      </c>
      <c r="U18" s="1">
        <v>98</v>
      </c>
      <c r="V18" s="2">
        <f t="shared" si="2"/>
        <v>2156</v>
      </c>
      <c r="W18" s="1">
        <v>15</v>
      </c>
      <c r="X18" s="1" t="s">
        <v>51</v>
      </c>
      <c r="Y18" s="1" t="s">
        <v>67</v>
      </c>
      <c r="Z18" s="1" t="s">
        <v>52</v>
      </c>
      <c r="AA18" s="1" t="s">
        <v>122</v>
      </c>
      <c r="AB18" s="1" t="s">
        <v>145</v>
      </c>
      <c r="AE18" s="9" t="s">
        <v>100</v>
      </c>
      <c r="AP18" s="13" t="s">
        <v>123</v>
      </c>
      <c r="AR18" s="12" t="s">
        <v>124</v>
      </c>
      <c r="AV18" s="12" t="s">
        <v>125</v>
      </c>
    </row>
    <row r="19" spans="1:48" x14ac:dyDescent="0.15">
      <c r="A19" s="1" t="s">
        <v>68</v>
      </c>
      <c r="B19" s="1" t="s">
        <v>143</v>
      </c>
      <c r="C19" s="1">
        <v>2020</v>
      </c>
      <c r="D19" s="80" t="s">
        <v>298</v>
      </c>
      <c r="E19" s="1" t="s">
        <v>159</v>
      </c>
      <c r="F19" s="1" t="s">
        <v>160</v>
      </c>
      <c r="G19" s="1" t="s">
        <v>37</v>
      </c>
      <c r="H19" s="1" t="s">
        <v>82</v>
      </c>
      <c r="I19" s="1" t="s">
        <v>64</v>
      </c>
      <c r="J19" s="1" t="s">
        <v>40</v>
      </c>
      <c r="K19" s="1" t="s">
        <v>412</v>
      </c>
      <c r="L19" s="1">
        <v>3</v>
      </c>
      <c r="N19" s="1">
        <v>1</v>
      </c>
      <c r="O19" s="1">
        <v>0.65</v>
      </c>
      <c r="P19" s="1">
        <v>0.65</v>
      </c>
      <c r="Q19" s="7">
        <f t="shared" si="1"/>
        <v>0.65</v>
      </c>
      <c r="R19" s="1">
        <v>15.8</v>
      </c>
      <c r="S19" s="1">
        <v>137</v>
      </c>
      <c r="T19" s="2">
        <f t="shared" si="0"/>
        <v>25</v>
      </c>
      <c r="U19" s="1">
        <v>98</v>
      </c>
      <c r="V19" s="2">
        <f t="shared" si="2"/>
        <v>2450</v>
      </c>
      <c r="W19" s="1">
        <v>15</v>
      </c>
      <c r="X19" s="1" t="s">
        <v>51</v>
      </c>
      <c r="Y19" s="1" t="s">
        <v>67</v>
      </c>
      <c r="Z19" s="1" t="s">
        <v>52</v>
      </c>
      <c r="AA19" s="1" t="s">
        <v>122</v>
      </c>
      <c r="AB19" s="1" t="s">
        <v>145</v>
      </c>
      <c r="AE19" s="10" t="s">
        <v>90</v>
      </c>
      <c r="AP19" s="13" t="s">
        <v>126</v>
      </c>
      <c r="AR19" s="12" t="s">
        <v>127</v>
      </c>
      <c r="AV19" s="12" t="s">
        <v>128</v>
      </c>
    </row>
    <row r="20" spans="1:48" x14ac:dyDescent="0.15">
      <c r="A20" s="1" t="s">
        <v>68</v>
      </c>
      <c r="B20" s="1" t="s">
        <v>143</v>
      </c>
      <c r="C20" s="1">
        <v>2020</v>
      </c>
      <c r="D20" s="80" t="s">
        <v>298</v>
      </c>
      <c r="E20" s="1" t="s">
        <v>159</v>
      </c>
      <c r="F20" s="1" t="s">
        <v>160</v>
      </c>
      <c r="G20" s="1" t="s">
        <v>37</v>
      </c>
      <c r="H20" s="1" t="s">
        <v>82</v>
      </c>
      <c r="I20" s="1" t="s">
        <v>64</v>
      </c>
      <c r="J20" s="1" t="s">
        <v>40</v>
      </c>
      <c r="K20" s="1" t="s">
        <v>41</v>
      </c>
      <c r="L20" s="1">
        <v>1</v>
      </c>
      <c r="N20" s="1">
        <v>5</v>
      </c>
      <c r="O20" s="1">
        <v>0.65</v>
      </c>
      <c r="P20" s="1">
        <v>0.65</v>
      </c>
      <c r="Q20" s="7">
        <f t="shared" si="1"/>
        <v>0.65</v>
      </c>
      <c r="R20" s="1">
        <v>16.100000000000001</v>
      </c>
      <c r="S20" s="1">
        <v>108</v>
      </c>
      <c r="T20" s="2">
        <f t="shared" si="0"/>
        <v>33</v>
      </c>
      <c r="U20" s="1">
        <v>398</v>
      </c>
      <c r="V20" s="2">
        <f t="shared" si="2"/>
        <v>2626.7999999999997</v>
      </c>
      <c r="W20" s="1">
        <v>4</v>
      </c>
      <c r="X20" s="1" t="s">
        <v>51</v>
      </c>
      <c r="Y20" s="1" t="s">
        <v>67</v>
      </c>
      <c r="Z20" s="1" t="s">
        <v>52</v>
      </c>
      <c r="AA20" s="1" t="s">
        <v>122</v>
      </c>
      <c r="AB20" s="1" t="s">
        <v>145</v>
      </c>
      <c r="AP20" s="13" t="s">
        <v>129</v>
      </c>
      <c r="AR20" s="12" t="s">
        <v>130</v>
      </c>
      <c r="AV20" s="13" t="s">
        <v>131</v>
      </c>
    </row>
    <row r="21" spans="1:48" x14ac:dyDescent="0.15">
      <c r="A21" s="1" t="s">
        <v>68</v>
      </c>
      <c r="B21" s="1" t="s">
        <v>143</v>
      </c>
      <c r="C21" s="1">
        <v>2020</v>
      </c>
      <c r="D21" s="80" t="s">
        <v>298</v>
      </c>
      <c r="E21" s="1" t="s">
        <v>159</v>
      </c>
      <c r="F21" s="1" t="s">
        <v>160</v>
      </c>
      <c r="G21" s="1" t="s">
        <v>37</v>
      </c>
      <c r="H21" s="1" t="s">
        <v>82</v>
      </c>
      <c r="I21" s="1" t="s">
        <v>64</v>
      </c>
      <c r="J21" s="1" t="s">
        <v>40</v>
      </c>
      <c r="K21" s="1" t="s">
        <v>41</v>
      </c>
      <c r="L21" s="1">
        <v>2</v>
      </c>
      <c r="N21" s="1">
        <v>5</v>
      </c>
      <c r="O21" s="1">
        <v>0.55000000000000004</v>
      </c>
      <c r="P21" s="1">
        <v>0.55000000000000004</v>
      </c>
      <c r="Q21" s="7">
        <f t="shared" si="1"/>
        <v>0.55000000000000004</v>
      </c>
      <c r="R21" s="1">
        <v>15.2</v>
      </c>
      <c r="S21" s="1">
        <v>117</v>
      </c>
      <c r="T21" s="2">
        <f t="shared" si="0"/>
        <v>30</v>
      </c>
      <c r="U21" s="1">
        <v>398</v>
      </c>
      <c r="V21" s="2">
        <f t="shared" si="2"/>
        <v>2388</v>
      </c>
      <c r="W21" s="1">
        <v>4</v>
      </c>
      <c r="X21" s="1" t="s">
        <v>51</v>
      </c>
      <c r="Y21" s="1" t="s">
        <v>67</v>
      </c>
      <c r="Z21" s="1" t="s">
        <v>52</v>
      </c>
      <c r="AA21" s="1" t="s">
        <v>122</v>
      </c>
      <c r="AB21" s="1" t="s">
        <v>145</v>
      </c>
      <c r="AP21" s="13" t="s">
        <v>132</v>
      </c>
      <c r="AR21" s="12" t="s">
        <v>97</v>
      </c>
      <c r="AV21" s="14" t="s">
        <v>133</v>
      </c>
    </row>
    <row r="22" spans="1:48" x14ac:dyDescent="0.15">
      <c r="A22" s="1" t="s">
        <v>68</v>
      </c>
      <c r="B22" s="1" t="s">
        <v>143</v>
      </c>
      <c r="C22" s="1">
        <v>2020</v>
      </c>
      <c r="D22" s="80" t="s">
        <v>298</v>
      </c>
      <c r="E22" s="1" t="s">
        <v>159</v>
      </c>
      <c r="F22" s="1" t="s">
        <v>160</v>
      </c>
      <c r="G22" s="1" t="s">
        <v>37</v>
      </c>
      <c r="H22" s="1" t="s">
        <v>82</v>
      </c>
      <c r="I22" s="1" t="s">
        <v>64</v>
      </c>
      <c r="J22" s="1" t="s">
        <v>40</v>
      </c>
      <c r="K22" s="1" t="s">
        <v>41</v>
      </c>
      <c r="L22" s="1">
        <v>3</v>
      </c>
      <c r="N22" s="1">
        <v>5</v>
      </c>
      <c r="O22" s="1">
        <v>0.65</v>
      </c>
      <c r="P22" s="1">
        <v>0.65</v>
      </c>
      <c r="Q22" s="7">
        <f t="shared" si="1"/>
        <v>0.65</v>
      </c>
      <c r="R22" s="1">
        <v>14.5</v>
      </c>
      <c r="S22" s="1">
        <v>114</v>
      </c>
      <c r="T22" s="2">
        <f t="shared" si="0"/>
        <v>30</v>
      </c>
      <c r="U22" s="1">
        <v>398</v>
      </c>
      <c r="V22" s="2">
        <f t="shared" si="2"/>
        <v>2388</v>
      </c>
      <c r="W22" s="1">
        <v>4</v>
      </c>
      <c r="X22" s="1" t="s">
        <v>51</v>
      </c>
      <c r="Y22" s="1" t="s">
        <v>67</v>
      </c>
      <c r="Z22" s="1" t="s">
        <v>52</v>
      </c>
      <c r="AA22" s="1" t="s">
        <v>122</v>
      </c>
      <c r="AB22" s="1" t="s">
        <v>145</v>
      </c>
      <c r="AP22" s="13" t="s">
        <v>134</v>
      </c>
      <c r="AR22" s="12" t="s">
        <v>135</v>
      </c>
    </row>
    <row r="23" spans="1:48" x14ac:dyDescent="0.15">
      <c r="A23" s="1" t="s">
        <v>68</v>
      </c>
      <c r="B23" s="1" t="s">
        <v>143</v>
      </c>
      <c r="C23" s="1">
        <v>2020</v>
      </c>
      <c r="D23" s="80" t="s">
        <v>298</v>
      </c>
      <c r="E23" s="1" t="s">
        <v>54</v>
      </c>
      <c r="F23" s="1" t="s">
        <v>164</v>
      </c>
      <c r="G23" s="1" t="s">
        <v>37</v>
      </c>
      <c r="H23" s="1" t="s">
        <v>63</v>
      </c>
      <c r="I23" s="1" t="s">
        <v>64</v>
      </c>
      <c r="J23" s="1" t="s">
        <v>40</v>
      </c>
      <c r="K23" s="1" t="s">
        <v>41</v>
      </c>
      <c r="L23" s="1">
        <v>1</v>
      </c>
      <c r="N23" s="1">
        <v>1</v>
      </c>
      <c r="O23" s="1">
        <v>0.95</v>
      </c>
      <c r="P23" s="1">
        <v>1</v>
      </c>
      <c r="Q23" s="7">
        <f t="shared" si="1"/>
        <v>0.97499999999999998</v>
      </c>
      <c r="R23" s="1">
        <v>14.4</v>
      </c>
      <c r="S23" s="1">
        <v>115</v>
      </c>
      <c r="T23" s="2">
        <f t="shared" si="0"/>
        <v>30</v>
      </c>
      <c r="U23" s="1">
        <v>128</v>
      </c>
      <c r="V23" s="2">
        <f t="shared" si="2"/>
        <v>3840</v>
      </c>
      <c r="W23" s="1">
        <v>4</v>
      </c>
      <c r="X23" s="1" t="s">
        <v>51</v>
      </c>
      <c r="Y23" s="1" t="s">
        <v>112</v>
      </c>
      <c r="Z23" s="1" t="s">
        <v>67</v>
      </c>
      <c r="AA23" s="1" t="s">
        <v>52</v>
      </c>
      <c r="AB23" s="1" t="s">
        <v>145</v>
      </c>
      <c r="AP23" s="13" t="s">
        <v>136</v>
      </c>
      <c r="AR23" s="12" t="s">
        <v>75</v>
      </c>
    </row>
    <row r="24" spans="1:48" x14ac:dyDescent="0.15">
      <c r="A24" s="1" t="s">
        <v>68</v>
      </c>
      <c r="B24" s="1" t="s">
        <v>143</v>
      </c>
      <c r="C24" s="1">
        <v>2020</v>
      </c>
      <c r="D24" s="80" t="s">
        <v>298</v>
      </c>
      <c r="E24" s="1" t="s">
        <v>54</v>
      </c>
      <c r="F24" s="1" t="s">
        <v>164</v>
      </c>
      <c r="G24" s="1" t="s">
        <v>37</v>
      </c>
      <c r="H24" s="1" t="s">
        <v>63</v>
      </c>
      <c r="I24" s="1" t="s">
        <v>64</v>
      </c>
      <c r="J24" s="1" t="s">
        <v>40</v>
      </c>
      <c r="K24" s="1" t="s">
        <v>41</v>
      </c>
      <c r="L24" s="1">
        <v>2</v>
      </c>
      <c r="N24" s="1">
        <v>1</v>
      </c>
      <c r="O24" s="1">
        <v>0.85</v>
      </c>
      <c r="P24" s="1">
        <v>0.9</v>
      </c>
      <c r="Q24" s="7">
        <f t="shared" si="1"/>
        <v>0.875</v>
      </c>
      <c r="R24" s="1">
        <v>12.2</v>
      </c>
      <c r="S24" s="1">
        <v>106</v>
      </c>
      <c r="T24" s="2">
        <f t="shared" si="0"/>
        <v>33</v>
      </c>
      <c r="U24" s="1">
        <v>128</v>
      </c>
      <c r="V24" s="2">
        <f t="shared" si="2"/>
        <v>4224</v>
      </c>
      <c r="W24" s="1">
        <v>4</v>
      </c>
      <c r="X24" s="1" t="s">
        <v>51</v>
      </c>
      <c r="Y24" s="1" t="s">
        <v>112</v>
      </c>
      <c r="Z24" s="1" t="s">
        <v>67</v>
      </c>
      <c r="AA24" s="1" t="s">
        <v>52</v>
      </c>
      <c r="AB24" s="1" t="s">
        <v>145</v>
      </c>
      <c r="AP24" s="13" t="s">
        <v>137</v>
      </c>
      <c r="AR24" s="12" t="s">
        <v>138</v>
      </c>
    </row>
    <row r="25" spans="1:48" x14ac:dyDescent="0.15">
      <c r="A25" s="1" t="s">
        <v>68</v>
      </c>
      <c r="B25" s="1" t="s">
        <v>143</v>
      </c>
      <c r="C25" s="1">
        <v>2020</v>
      </c>
      <c r="D25" s="80" t="s">
        <v>298</v>
      </c>
      <c r="E25" s="1" t="s">
        <v>54</v>
      </c>
      <c r="F25" s="1" t="s">
        <v>164</v>
      </c>
      <c r="G25" s="1" t="s">
        <v>37</v>
      </c>
      <c r="H25" s="1" t="s">
        <v>63</v>
      </c>
      <c r="I25" s="1" t="s">
        <v>64</v>
      </c>
      <c r="J25" s="1" t="s">
        <v>40</v>
      </c>
      <c r="K25" s="1" t="s">
        <v>41</v>
      </c>
      <c r="L25" s="1">
        <v>3</v>
      </c>
      <c r="N25" s="1">
        <v>1</v>
      </c>
      <c r="O25" s="1">
        <v>0.75</v>
      </c>
      <c r="P25" s="1">
        <v>0.75</v>
      </c>
      <c r="Q25" s="7">
        <f t="shared" si="1"/>
        <v>0.75</v>
      </c>
      <c r="R25" s="1">
        <v>13.6</v>
      </c>
      <c r="S25" s="1">
        <v>114</v>
      </c>
      <c r="T25" s="2">
        <f t="shared" si="0"/>
        <v>30</v>
      </c>
      <c r="U25" s="1">
        <v>128</v>
      </c>
      <c r="V25" s="2">
        <f t="shared" si="2"/>
        <v>3840</v>
      </c>
      <c r="W25" s="1">
        <v>4</v>
      </c>
      <c r="X25" s="1" t="s">
        <v>51</v>
      </c>
      <c r="Y25" s="1" t="s">
        <v>112</v>
      </c>
      <c r="Z25" s="1" t="s">
        <v>67</v>
      </c>
      <c r="AA25" s="1" t="s">
        <v>52</v>
      </c>
      <c r="AB25" s="1" t="s">
        <v>145</v>
      </c>
      <c r="AP25" s="13" t="s">
        <v>139</v>
      </c>
      <c r="AR25" s="13" t="s">
        <v>61</v>
      </c>
    </row>
    <row r="26" spans="1:48" x14ac:dyDescent="0.15">
      <c r="A26" s="1" t="s">
        <v>68</v>
      </c>
      <c r="B26" s="1" t="s">
        <v>143</v>
      </c>
      <c r="C26" s="1">
        <v>2020</v>
      </c>
      <c r="D26" s="80" t="s">
        <v>298</v>
      </c>
      <c r="E26" s="1" t="s">
        <v>54</v>
      </c>
      <c r="F26" s="1" t="s">
        <v>164</v>
      </c>
      <c r="G26" s="1" t="s">
        <v>37</v>
      </c>
      <c r="H26" s="1" t="s">
        <v>63</v>
      </c>
      <c r="I26" s="1" t="s">
        <v>64</v>
      </c>
      <c r="J26" s="1" t="s">
        <v>40</v>
      </c>
      <c r="K26" s="1" t="s">
        <v>41</v>
      </c>
      <c r="L26" s="1">
        <v>1</v>
      </c>
      <c r="N26" s="1">
        <v>5</v>
      </c>
      <c r="O26" s="1">
        <v>0.65</v>
      </c>
      <c r="P26" s="1">
        <v>0.7</v>
      </c>
      <c r="Q26" s="7">
        <f t="shared" si="1"/>
        <v>0.67500000000000004</v>
      </c>
      <c r="R26" s="1">
        <v>14.6</v>
      </c>
      <c r="S26" s="1">
        <v>86</v>
      </c>
      <c r="T26" s="2">
        <f t="shared" si="0"/>
        <v>36</v>
      </c>
      <c r="U26" s="1">
        <v>298</v>
      </c>
      <c r="V26" s="2">
        <f t="shared" si="2"/>
        <v>2145.6</v>
      </c>
      <c r="W26" s="1">
        <v>2</v>
      </c>
      <c r="X26" s="1" t="s">
        <v>51</v>
      </c>
      <c r="Y26" s="1" t="s">
        <v>112</v>
      </c>
      <c r="Z26" s="1" t="s">
        <v>67</v>
      </c>
      <c r="AA26" s="1" t="s">
        <v>52</v>
      </c>
      <c r="AB26" s="1" t="s">
        <v>145</v>
      </c>
      <c r="AP26" s="13" t="s">
        <v>140</v>
      </c>
      <c r="AR26" s="1" t="s">
        <v>141</v>
      </c>
    </row>
    <row r="27" spans="1:48" x14ac:dyDescent="0.15">
      <c r="A27" s="1" t="s">
        <v>68</v>
      </c>
      <c r="B27" s="1" t="s">
        <v>143</v>
      </c>
      <c r="C27" s="1">
        <v>2020</v>
      </c>
      <c r="D27" s="80" t="s">
        <v>298</v>
      </c>
      <c r="E27" s="1" t="s">
        <v>54</v>
      </c>
      <c r="F27" s="1" t="s">
        <v>164</v>
      </c>
      <c r="G27" s="1" t="s">
        <v>37</v>
      </c>
      <c r="H27" s="1" t="s">
        <v>63</v>
      </c>
      <c r="I27" s="1" t="s">
        <v>64</v>
      </c>
      <c r="J27" s="1" t="s">
        <v>40</v>
      </c>
      <c r="K27" s="1" t="s">
        <v>41</v>
      </c>
      <c r="L27" s="1">
        <v>2</v>
      </c>
      <c r="N27" s="1">
        <v>5</v>
      </c>
      <c r="O27" s="1">
        <v>0.65</v>
      </c>
      <c r="P27" s="1">
        <v>0.7</v>
      </c>
      <c r="Q27" s="7">
        <f t="shared" si="1"/>
        <v>0.67500000000000004</v>
      </c>
      <c r="R27" s="1">
        <v>14</v>
      </c>
      <c r="S27" s="1">
        <v>89</v>
      </c>
      <c r="T27" s="2">
        <f t="shared" si="0"/>
        <v>36</v>
      </c>
      <c r="U27" s="1">
        <v>298</v>
      </c>
      <c r="V27" s="2">
        <f t="shared" si="2"/>
        <v>2145.6</v>
      </c>
      <c r="W27" s="1">
        <v>2</v>
      </c>
      <c r="X27" s="1" t="s">
        <v>51</v>
      </c>
      <c r="Y27" s="1" t="s">
        <v>112</v>
      </c>
      <c r="Z27" s="1" t="s">
        <v>67</v>
      </c>
      <c r="AA27" s="1" t="s">
        <v>52</v>
      </c>
      <c r="AB27" s="1" t="s">
        <v>145</v>
      </c>
      <c r="AP27" s="13" t="s">
        <v>142</v>
      </c>
    </row>
    <row r="28" spans="1:48" x14ac:dyDescent="0.15">
      <c r="A28" s="1" t="s">
        <v>68</v>
      </c>
      <c r="B28" s="1" t="s">
        <v>143</v>
      </c>
      <c r="C28" s="1">
        <v>2020</v>
      </c>
      <c r="D28" s="80" t="s">
        <v>298</v>
      </c>
      <c r="E28" s="1" t="s">
        <v>54</v>
      </c>
      <c r="F28" s="1" t="s">
        <v>164</v>
      </c>
      <c r="G28" s="1" t="s">
        <v>37</v>
      </c>
      <c r="H28" s="1" t="s">
        <v>63</v>
      </c>
      <c r="I28" s="1" t="s">
        <v>64</v>
      </c>
      <c r="J28" s="1" t="s">
        <v>415</v>
      </c>
      <c r="K28" s="1" t="s">
        <v>41</v>
      </c>
      <c r="L28" s="1">
        <v>3</v>
      </c>
      <c r="N28" s="1">
        <v>5</v>
      </c>
      <c r="O28" s="1">
        <v>0.55000000000000004</v>
      </c>
      <c r="P28" s="1">
        <v>0.55000000000000004</v>
      </c>
      <c r="Q28" s="7">
        <f t="shared" si="1"/>
        <v>0.55000000000000004</v>
      </c>
      <c r="R28" s="1">
        <v>13.9</v>
      </c>
      <c r="S28" s="1">
        <v>88</v>
      </c>
      <c r="T28" s="2">
        <f t="shared" si="0"/>
        <v>36</v>
      </c>
      <c r="U28" s="1">
        <v>298</v>
      </c>
      <c r="V28" s="2">
        <f t="shared" si="2"/>
        <v>2145.6</v>
      </c>
      <c r="W28" s="1">
        <v>2</v>
      </c>
      <c r="X28" s="1" t="s">
        <v>51</v>
      </c>
      <c r="Y28" s="1" t="s">
        <v>112</v>
      </c>
      <c r="Z28" s="1" t="s">
        <v>67</v>
      </c>
      <c r="AA28" s="1" t="s">
        <v>52</v>
      </c>
      <c r="AB28" s="1" t="s">
        <v>145</v>
      </c>
    </row>
    <row r="29" spans="1:48" x14ac:dyDescent="0.15">
      <c r="A29" s="1" t="s">
        <v>68</v>
      </c>
      <c r="B29" s="1" t="s">
        <v>143</v>
      </c>
      <c r="C29" s="1">
        <v>2020</v>
      </c>
      <c r="D29" s="80" t="s">
        <v>298</v>
      </c>
      <c r="E29" s="1" t="s">
        <v>54</v>
      </c>
      <c r="F29" s="1" t="s">
        <v>164</v>
      </c>
      <c r="G29" s="1" t="s">
        <v>37</v>
      </c>
      <c r="H29" s="1" t="s">
        <v>82</v>
      </c>
      <c r="I29" s="1" t="s">
        <v>64</v>
      </c>
      <c r="J29" s="1" t="s">
        <v>40</v>
      </c>
      <c r="K29" s="1" t="s">
        <v>41</v>
      </c>
      <c r="L29" s="1">
        <v>1</v>
      </c>
      <c r="N29" s="1">
        <v>1</v>
      </c>
      <c r="O29" s="1">
        <v>0.8</v>
      </c>
      <c r="P29" s="1">
        <v>0.7</v>
      </c>
      <c r="Q29" s="7">
        <f t="shared" si="1"/>
        <v>0.75</v>
      </c>
      <c r="R29" s="1">
        <v>15.9</v>
      </c>
      <c r="S29" s="1">
        <v>103</v>
      </c>
      <c r="T29" s="2">
        <f t="shared" si="0"/>
        <v>33</v>
      </c>
      <c r="U29" s="1">
        <v>128</v>
      </c>
      <c r="V29" s="2">
        <f t="shared" si="2"/>
        <v>4224</v>
      </c>
      <c r="W29" s="1">
        <v>4</v>
      </c>
      <c r="X29" s="1" t="s">
        <v>51</v>
      </c>
      <c r="Y29" s="1" t="s">
        <v>112</v>
      </c>
      <c r="Z29" s="1" t="s">
        <v>67</v>
      </c>
      <c r="AA29" s="1" t="s">
        <v>52</v>
      </c>
      <c r="AB29" s="1" t="s">
        <v>145</v>
      </c>
    </row>
    <row r="30" spans="1:48" x14ac:dyDescent="0.15">
      <c r="A30" s="1" t="s">
        <v>68</v>
      </c>
      <c r="B30" s="1" t="s">
        <v>143</v>
      </c>
      <c r="C30" s="1">
        <v>2020</v>
      </c>
      <c r="D30" s="80" t="s">
        <v>298</v>
      </c>
      <c r="E30" s="1" t="s">
        <v>54</v>
      </c>
      <c r="F30" s="1" t="s">
        <v>164</v>
      </c>
      <c r="G30" s="1" t="s">
        <v>37</v>
      </c>
      <c r="H30" s="1" t="s">
        <v>82</v>
      </c>
      <c r="I30" s="1" t="s">
        <v>64</v>
      </c>
      <c r="J30" s="1" t="s">
        <v>40</v>
      </c>
      <c r="K30" s="1" t="s">
        <v>41</v>
      </c>
      <c r="L30" s="1">
        <v>2</v>
      </c>
      <c r="N30" s="1">
        <v>1</v>
      </c>
      <c r="O30" s="1">
        <v>0.8</v>
      </c>
      <c r="P30" s="1">
        <v>0.6</v>
      </c>
      <c r="Q30" s="7">
        <f t="shared" si="1"/>
        <v>0.7</v>
      </c>
      <c r="R30" s="1">
        <v>15.9</v>
      </c>
      <c r="S30" s="1">
        <v>111</v>
      </c>
      <c r="T30" s="2">
        <f t="shared" si="0"/>
        <v>33</v>
      </c>
      <c r="U30" s="1">
        <v>128</v>
      </c>
      <c r="V30" s="2">
        <f t="shared" si="2"/>
        <v>4224</v>
      </c>
      <c r="W30" s="1">
        <v>4</v>
      </c>
      <c r="X30" s="1" t="s">
        <v>51</v>
      </c>
      <c r="Y30" s="1" t="s">
        <v>112</v>
      </c>
      <c r="Z30" s="1" t="s">
        <v>67</v>
      </c>
      <c r="AA30" s="1" t="s">
        <v>52</v>
      </c>
      <c r="AB30" s="1" t="s">
        <v>145</v>
      </c>
    </row>
    <row r="31" spans="1:48" x14ac:dyDescent="0.15">
      <c r="A31" s="1" t="s">
        <v>68</v>
      </c>
      <c r="B31" s="1" t="s">
        <v>143</v>
      </c>
      <c r="C31" s="1">
        <v>2020</v>
      </c>
      <c r="D31" s="80" t="s">
        <v>298</v>
      </c>
      <c r="E31" s="1" t="s">
        <v>54</v>
      </c>
      <c r="F31" s="1" t="s">
        <v>164</v>
      </c>
      <c r="G31" s="1" t="s">
        <v>37</v>
      </c>
      <c r="H31" s="1" t="s">
        <v>82</v>
      </c>
      <c r="I31" s="1" t="s">
        <v>64</v>
      </c>
      <c r="J31" s="1" t="s">
        <v>40</v>
      </c>
      <c r="K31" s="1" t="s">
        <v>41</v>
      </c>
      <c r="L31" s="1">
        <v>3</v>
      </c>
      <c r="N31" s="1">
        <v>1</v>
      </c>
      <c r="O31" s="1">
        <v>0.7</v>
      </c>
      <c r="P31" s="1">
        <v>0.65</v>
      </c>
      <c r="Q31" s="7">
        <f t="shared" si="1"/>
        <v>0.67500000000000004</v>
      </c>
      <c r="R31" s="1">
        <v>15.9</v>
      </c>
      <c r="S31" s="1">
        <v>107</v>
      </c>
      <c r="T31" s="2">
        <f t="shared" si="0"/>
        <v>33</v>
      </c>
      <c r="U31" s="1">
        <v>128</v>
      </c>
      <c r="V31" s="2">
        <f t="shared" si="2"/>
        <v>4224</v>
      </c>
      <c r="W31" s="1">
        <v>4</v>
      </c>
      <c r="X31" s="1" t="s">
        <v>51</v>
      </c>
      <c r="Y31" s="1" t="s">
        <v>112</v>
      </c>
      <c r="Z31" s="1" t="s">
        <v>67</v>
      </c>
      <c r="AA31" s="1" t="s">
        <v>52</v>
      </c>
      <c r="AB31" s="1" t="s">
        <v>145</v>
      </c>
    </row>
    <row r="32" spans="1:48" x14ac:dyDescent="0.15">
      <c r="A32" s="1" t="s">
        <v>68</v>
      </c>
      <c r="B32" s="1" t="s">
        <v>143</v>
      </c>
      <c r="C32" s="1">
        <v>2020</v>
      </c>
      <c r="D32" s="80" t="s">
        <v>298</v>
      </c>
      <c r="E32" s="1" t="s">
        <v>54</v>
      </c>
      <c r="F32" s="1" t="s">
        <v>164</v>
      </c>
      <c r="G32" s="1" t="s">
        <v>37</v>
      </c>
      <c r="H32" s="1" t="s">
        <v>82</v>
      </c>
      <c r="I32" s="1" t="s">
        <v>64</v>
      </c>
      <c r="J32" s="1" t="s">
        <v>40</v>
      </c>
      <c r="K32" s="1" t="s">
        <v>41</v>
      </c>
      <c r="L32" s="1">
        <v>1</v>
      </c>
      <c r="N32" s="1">
        <v>4</v>
      </c>
      <c r="O32" s="1">
        <v>0.5</v>
      </c>
      <c r="P32" s="1">
        <v>0.5</v>
      </c>
      <c r="Q32" s="7">
        <f t="shared" si="1"/>
        <v>0.5</v>
      </c>
      <c r="R32" s="1">
        <v>16</v>
      </c>
      <c r="S32" s="1">
        <v>97</v>
      </c>
      <c r="T32" s="2">
        <f t="shared" si="0"/>
        <v>36</v>
      </c>
      <c r="U32" s="1">
        <v>498</v>
      </c>
      <c r="V32" s="2">
        <f t="shared" si="2"/>
        <v>4482</v>
      </c>
      <c r="W32" s="1">
        <v>2</v>
      </c>
      <c r="X32" s="1" t="s">
        <v>51</v>
      </c>
      <c r="Y32" s="1" t="s">
        <v>112</v>
      </c>
      <c r="Z32" s="1" t="s">
        <v>67</v>
      </c>
      <c r="AA32" s="1" t="s">
        <v>52</v>
      </c>
      <c r="AB32" s="1" t="s">
        <v>145</v>
      </c>
    </row>
    <row r="33" spans="1:28" x14ac:dyDescent="0.15">
      <c r="A33" s="1" t="s">
        <v>68</v>
      </c>
      <c r="B33" s="1" t="s">
        <v>143</v>
      </c>
      <c r="C33" s="1">
        <v>2020</v>
      </c>
      <c r="D33" s="80" t="s">
        <v>298</v>
      </c>
      <c r="E33" s="1" t="s">
        <v>54</v>
      </c>
      <c r="F33" s="1" t="s">
        <v>164</v>
      </c>
      <c r="G33" s="1" t="s">
        <v>37</v>
      </c>
      <c r="H33" s="1" t="s">
        <v>82</v>
      </c>
      <c r="I33" s="1" t="s">
        <v>64</v>
      </c>
      <c r="J33" s="1" t="s">
        <v>40</v>
      </c>
      <c r="K33" s="1" t="s">
        <v>41</v>
      </c>
      <c r="L33" s="1">
        <v>2</v>
      </c>
      <c r="N33" s="1">
        <v>4</v>
      </c>
      <c r="O33" s="1">
        <v>0.7</v>
      </c>
      <c r="P33" s="1">
        <v>0.7</v>
      </c>
      <c r="Q33" s="7">
        <f t="shared" si="1"/>
        <v>0.7</v>
      </c>
      <c r="R33" s="1">
        <v>15.8</v>
      </c>
      <c r="S33" s="1">
        <v>94</v>
      </c>
      <c r="T33" s="2">
        <f t="shared" si="0"/>
        <v>36</v>
      </c>
      <c r="U33" s="1">
        <v>498</v>
      </c>
      <c r="V33" s="2">
        <f t="shared" si="2"/>
        <v>4482</v>
      </c>
      <c r="W33" s="1">
        <v>2</v>
      </c>
      <c r="X33" s="1" t="s">
        <v>51</v>
      </c>
      <c r="Y33" s="1" t="s">
        <v>112</v>
      </c>
      <c r="Z33" s="1" t="s">
        <v>67</v>
      </c>
      <c r="AA33" s="1" t="s">
        <v>52</v>
      </c>
      <c r="AB33" s="1" t="s">
        <v>145</v>
      </c>
    </row>
    <row r="34" spans="1:28" x14ac:dyDescent="0.15">
      <c r="A34" s="1" t="s">
        <v>68</v>
      </c>
      <c r="B34" s="1" t="s">
        <v>143</v>
      </c>
      <c r="C34" s="1">
        <v>2020</v>
      </c>
      <c r="D34" s="80" t="s">
        <v>298</v>
      </c>
      <c r="E34" s="1" t="s">
        <v>54</v>
      </c>
      <c r="F34" s="1" t="s">
        <v>164</v>
      </c>
      <c r="G34" s="1" t="s">
        <v>37</v>
      </c>
      <c r="H34" s="1" t="s">
        <v>82</v>
      </c>
      <c r="I34" s="1" t="s">
        <v>64</v>
      </c>
      <c r="J34" s="1" t="s">
        <v>40</v>
      </c>
      <c r="K34" s="1" t="s">
        <v>41</v>
      </c>
      <c r="L34" s="1">
        <v>3</v>
      </c>
      <c r="N34" s="1">
        <v>4</v>
      </c>
      <c r="O34" s="1">
        <v>0.65</v>
      </c>
      <c r="P34" s="1">
        <v>0.7</v>
      </c>
      <c r="Q34" s="7">
        <f t="shared" si="1"/>
        <v>0.67500000000000004</v>
      </c>
      <c r="R34" s="1">
        <v>15.3</v>
      </c>
      <c r="S34" s="1">
        <v>96</v>
      </c>
      <c r="T34" s="2">
        <f t="shared" si="0"/>
        <v>36</v>
      </c>
      <c r="U34" s="1">
        <v>498</v>
      </c>
      <c r="V34" s="2">
        <f t="shared" si="2"/>
        <v>4482</v>
      </c>
      <c r="W34" s="1">
        <v>2</v>
      </c>
      <c r="X34" s="1" t="s">
        <v>51</v>
      </c>
      <c r="Y34" s="1" t="s">
        <v>112</v>
      </c>
      <c r="Z34" s="1" t="s">
        <v>67</v>
      </c>
      <c r="AA34" s="1" t="s">
        <v>52</v>
      </c>
      <c r="AB34" s="1" t="s">
        <v>145</v>
      </c>
    </row>
    <row r="35" spans="1:28" x14ac:dyDescent="0.15">
      <c r="A35" s="1" t="s">
        <v>68</v>
      </c>
      <c r="B35" s="1" t="s">
        <v>143</v>
      </c>
      <c r="C35" s="1">
        <v>2020</v>
      </c>
      <c r="D35" s="80" t="s">
        <v>298</v>
      </c>
      <c r="E35" s="1" t="s">
        <v>161</v>
      </c>
      <c r="F35" s="1" t="s">
        <v>162</v>
      </c>
      <c r="G35" s="1" t="s">
        <v>37</v>
      </c>
      <c r="H35" s="1" t="s">
        <v>63</v>
      </c>
      <c r="I35" s="1" t="s">
        <v>64</v>
      </c>
      <c r="J35" s="1" t="s">
        <v>40</v>
      </c>
      <c r="K35" s="1" t="s">
        <v>41</v>
      </c>
      <c r="L35" s="1">
        <v>1</v>
      </c>
      <c r="N35" s="1">
        <v>1</v>
      </c>
      <c r="O35" s="1">
        <v>0.8</v>
      </c>
      <c r="P35" s="1">
        <v>0.9</v>
      </c>
      <c r="Q35" s="7">
        <f t="shared" si="1"/>
        <v>0.85000000000000009</v>
      </c>
      <c r="R35" s="1">
        <v>13.6</v>
      </c>
      <c r="S35" s="1">
        <v>120</v>
      </c>
      <c r="T35" s="2">
        <f t="shared" si="0"/>
        <v>30</v>
      </c>
      <c r="U35" s="1">
        <v>98</v>
      </c>
      <c r="V35" s="2">
        <f t="shared" si="2"/>
        <v>2940</v>
      </c>
      <c r="W35" s="1">
        <v>4</v>
      </c>
      <c r="X35" s="1" t="s">
        <v>51</v>
      </c>
      <c r="Y35" s="1" t="s">
        <v>67</v>
      </c>
      <c r="Z35" s="1" t="s">
        <v>85</v>
      </c>
      <c r="AA35" s="1" t="s">
        <v>52</v>
      </c>
      <c r="AB35" s="1" t="s">
        <v>145</v>
      </c>
    </row>
    <row r="36" spans="1:28" x14ac:dyDescent="0.15">
      <c r="A36" s="1" t="s">
        <v>68</v>
      </c>
      <c r="B36" s="1" t="s">
        <v>143</v>
      </c>
      <c r="C36" s="1">
        <v>2020</v>
      </c>
      <c r="D36" s="80" t="s">
        <v>298</v>
      </c>
      <c r="E36" s="1" t="s">
        <v>161</v>
      </c>
      <c r="F36" s="1" t="s">
        <v>162</v>
      </c>
      <c r="G36" s="1" t="s">
        <v>37</v>
      </c>
      <c r="H36" s="1" t="s">
        <v>63</v>
      </c>
      <c r="I36" s="1" t="s">
        <v>64</v>
      </c>
      <c r="J36" s="1" t="s">
        <v>40</v>
      </c>
      <c r="K36" s="1" t="s">
        <v>41</v>
      </c>
      <c r="L36" s="1">
        <v>2</v>
      </c>
      <c r="N36" s="1">
        <v>1</v>
      </c>
      <c r="O36" s="1">
        <v>1</v>
      </c>
      <c r="P36" s="1">
        <v>1.05</v>
      </c>
      <c r="Q36" s="7">
        <f t="shared" si="1"/>
        <v>1.0249999999999999</v>
      </c>
      <c r="R36" s="1">
        <v>12.2</v>
      </c>
      <c r="S36" s="1">
        <v>117</v>
      </c>
      <c r="T36" s="2">
        <f t="shared" si="0"/>
        <v>30</v>
      </c>
      <c r="U36" s="1">
        <v>98</v>
      </c>
      <c r="V36" s="2">
        <f t="shared" si="2"/>
        <v>2940</v>
      </c>
      <c r="W36" s="1">
        <v>4</v>
      </c>
      <c r="X36" s="1" t="s">
        <v>51</v>
      </c>
      <c r="Y36" s="1" t="s">
        <v>67</v>
      </c>
      <c r="Z36" s="1" t="s">
        <v>85</v>
      </c>
      <c r="AA36" s="1" t="s">
        <v>52</v>
      </c>
      <c r="AB36" s="1" t="s">
        <v>145</v>
      </c>
    </row>
    <row r="37" spans="1:28" x14ac:dyDescent="0.15">
      <c r="A37" s="1" t="s">
        <v>68</v>
      </c>
      <c r="B37" s="1" t="s">
        <v>143</v>
      </c>
      <c r="C37" s="1">
        <v>2020</v>
      </c>
      <c r="D37" s="80" t="s">
        <v>298</v>
      </c>
      <c r="E37" s="1" t="s">
        <v>161</v>
      </c>
      <c r="F37" s="1" t="s">
        <v>162</v>
      </c>
      <c r="G37" s="1" t="s">
        <v>37</v>
      </c>
      <c r="H37" s="1" t="s">
        <v>63</v>
      </c>
      <c r="I37" s="1" t="s">
        <v>64</v>
      </c>
      <c r="J37" s="1" t="s">
        <v>40</v>
      </c>
      <c r="K37" s="1" t="s">
        <v>41</v>
      </c>
      <c r="L37" s="1">
        <v>3</v>
      </c>
      <c r="N37" s="1">
        <v>1</v>
      </c>
      <c r="O37" s="1">
        <v>1</v>
      </c>
      <c r="P37" s="1">
        <v>0.95</v>
      </c>
      <c r="Q37" s="7">
        <f t="shared" si="1"/>
        <v>0.97499999999999998</v>
      </c>
      <c r="R37" s="1">
        <v>11.7</v>
      </c>
      <c r="S37" s="1">
        <v>111</v>
      </c>
      <c r="T37" s="2">
        <f t="shared" si="0"/>
        <v>33</v>
      </c>
      <c r="U37" s="1">
        <v>98</v>
      </c>
      <c r="V37" s="2">
        <f t="shared" si="2"/>
        <v>3234</v>
      </c>
      <c r="W37" s="1">
        <v>4</v>
      </c>
      <c r="X37" s="1" t="s">
        <v>51</v>
      </c>
      <c r="Y37" s="1" t="s">
        <v>67</v>
      </c>
      <c r="Z37" s="1" t="s">
        <v>85</v>
      </c>
      <c r="AA37" s="1" t="s">
        <v>52</v>
      </c>
      <c r="AB37" s="1" t="s">
        <v>145</v>
      </c>
    </row>
    <row r="38" spans="1:28" x14ac:dyDescent="0.15">
      <c r="A38" s="1" t="s">
        <v>68</v>
      </c>
      <c r="B38" s="1" t="s">
        <v>143</v>
      </c>
      <c r="C38" s="1">
        <v>2020</v>
      </c>
      <c r="D38" s="80" t="s">
        <v>298</v>
      </c>
      <c r="E38" s="1" t="s">
        <v>161</v>
      </c>
      <c r="F38" s="1" t="s">
        <v>162</v>
      </c>
      <c r="G38" s="1" t="s">
        <v>37</v>
      </c>
      <c r="H38" s="1" t="s">
        <v>63</v>
      </c>
      <c r="I38" s="1" t="s">
        <v>64</v>
      </c>
      <c r="J38" s="1" t="s">
        <v>40</v>
      </c>
      <c r="K38" s="1" t="s">
        <v>41</v>
      </c>
      <c r="L38" s="1">
        <v>1</v>
      </c>
      <c r="N38" s="1">
        <v>5</v>
      </c>
      <c r="O38" s="1">
        <v>0.65</v>
      </c>
      <c r="P38" s="1">
        <v>0.75</v>
      </c>
      <c r="Q38" s="7">
        <f t="shared" si="1"/>
        <v>0.7</v>
      </c>
      <c r="R38" s="1">
        <v>14.1</v>
      </c>
      <c r="S38" s="1">
        <v>87</v>
      </c>
      <c r="T38" s="2">
        <f t="shared" si="0"/>
        <v>36</v>
      </c>
      <c r="U38" s="1">
        <v>398</v>
      </c>
      <c r="V38" s="2">
        <f t="shared" si="2"/>
        <v>2865.6</v>
      </c>
      <c r="W38" s="1">
        <v>2</v>
      </c>
      <c r="X38" s="1" t="s">
        <v>51</v>
      </c>
      <c r="Y38" s="1" t="s">
        <v>67</v>
      </c>
      <c r="Z38" s="1" t="s">
        <v>85</v>
      </c>
      <c r="AA38" s="1" t="s">
        <v>52</v>
      </c>
      <c r="AB38" s="1" t="s">
        <v>145</v>
      </c>
    </row>
    <row r="39" spans="1:28" x14ac:dyDescent="0.15">
      <c r="A39" s="1" t="s">
        <v>68</v>
      </c>
      <c r="B39" s="1" t="s">
        <v>143</v>
      </c>
      <c r="C39" s="1">
        <v>2020</v>
      </c>
      <c r="D39" s="80" t="s">
        <v>298</v>
      </c>
      <c r="E39" s="1" t="s">
        <v>161</v>
      </c>
      <c r="F39" s="1" t="s">
        <v>162</v>
      </c>
      <c r="G39" s="1" t="s">
        <v>37</v>
      </c>
      <c r="H39" s="1" t="s">
        <v>63</v>
      </c>
      <c r="I39" s="1" t="s">
        <v>64</v>
      </c>
      <c r="J39" s="1" t="s">
        <v>40</v>
      </c>
      <c r="K39" s="1" t="s">
        <v>41</v>
      </c>
      <c r="L39" s="1">
        <v>2</v>
      </c>
      <c r="N39" s="1">
        <v>5</v>
      </c>
      <c r="O39" s="1">
        <v>0.75</v>
      </c>
      <c r="P39" s="1">
        <v>0.75</v>
      </c>
      <c r="Q39" s="7">
        <f t="shared" si="1"/>
        <v>0.75</v>
      </c>
      <c r="R39" s="1">
        <v>15.4</v>
      </c>
      <c r="S39" s="1">
        <v>87</v>
      </c>
      <c r="T39" s="2">
        <f t="shared" si="0"/>
        <v>36</v>
      </c>
      <c r="U39" s="1">
        <v>398</v>
      </c>
      <c r="V39" s="2">
        <f t="shared" si="2"/>
        <v>2865.6</v>
      </c>
      <c r="W39" s="1">
        <v>2</v>
      </c>
      <c r="X39" s="1" t="s">
        <v>51</v>
      </c>
      <c r="Y39" s="1" t="s">
        <v>67</v>
      </c>
      <c r="Z39" s="1" t="s">
        <v>85</v>
      </c>
      <c r="AA39" s="1" t="s">
        <v>52</v>
      </c>
      <c r="AB39" s="1" t="s">
        <v>145</v>
      </c>
    </row>
    <row r="40" spans="1:28" x14ac:dyDescent="0.15">
      <c r="A40" s="1" t="s">
        <v>68</v>
      </c>
      <c r="B40" s="1" t="s">
        <v>143</v>
      </c>
      <c r="C40" s="1">
        <v>2020</v>
      </c>
      <c r="D40" s="80" t="s">
        <v>298</v>
      </c>
      <c r="E40" s="1" t="s">
        <v>161</v>
      </c>
      <c r="F40" s="1" t="s">
        <v>162</v>
      </c>
      <c r="G40" s="1" t="s">
        <v>37</v>
      </c>
      <c r="H40" s="1" t="s">
        <v>63</v>
      </c>
      <c r="I40" s="1" t="s">
        <v>64</v>
      </c>
      <c r="J40" s="1" t="s">
        <v>40</v>
      </c>
      <c r="K40" s="1" t="s">
        <v>41</v>
      </c>
      <c r="L40" s="1">
        <v>3</v>
      </c>
      <c r="N40" s="1">
        <v>5</v>
      </c>
      <c r="O40" s="1">
        <v>0.7</v>
      </c>
      <c r="P40" s="1">
        <v>0.7</v>
      </c>
      <c r="Q40" s="7">
        <f t="shared" si="1"/>
        <v>0.7</v>
      </c>
      <c r="R40" s="1">
        <v>15.4</v>
      </c>
      <c r="S40" s="1">
        <v>85</v>
      </c>
      <c r="T40" s="2">
        <f t="shared" si="0"/>
        <v>36</v>
      </c>
      <c r="U40" s="1">
        <v>398</v>
      </c>
      <c r="V40" s="2">
        <f t="shared" si="2"/>
        <v>2865.6</v>
      </c>
      <c r="W40" s="1">
        <v>2</v>
      </c>
      <c r="X40" s="1" t="s">
        <v>51</v>
      </c>
      <c r="Y40" s="1" t="s">
        <v>67</v>
      </c>
      <c r="Z40" s="1" t="s">
        <v>85</v>
      </c>
      <c r="AA40" s="1" t="s">
        <v>52</v>
      </c>
      <c r="AB40" s="1" t="s">
        <v>145</v>
      </c>
    </row>
    <row r="41" spans="1:28" x14ac:dyDescent="0.15">
      <c r="A41" s="1" t="s">
        <v>68</v>
      </c>
      <c r="B41" s="1" t="s">
        <v>143</v>
      </c>
      <c r="C41" s="1">
        <v>2020</v>
      </c>
      <c r="D41" s="80" t="s">
        <v>298</v>
      </c>
      <c r="E41" s="1" t="s">
        <v>161</v>
      </c>
      <c r="F41" s="1" t="s">
        <v>162</v>
      </c>
      <c r="G41" s="1" t="s">
        <v>37</v>
      </c>
      <c r="H41" s="1" t="s">
        <v>82</v>
      </c>
      <c r="I41" s="1" t="s">
        <v>64</v>
      </c>
      <c r="J41" s="1" t="s">
        <v>40</v>
      </c>
      <c r="K41" s="1" t="s">
        <v>41</v>
      </c>
      <c r="L41" s="1">
        <v>1</v>
      </c>
      <c r="N41" s="1">
        <v>1</v>
      </c>
      <c r="O41" s="1">
        <v>1</v>
      </c>
      <c r="P41" s="1">
        <v>1.1000000000000001</v>
      </c>
      <c r="Q41" s="7">
        <f t="shared" si="1"/>
        <v>1.05</v>
      </c>
      <c r="R41" s="1">
        <v>15.3</v>
      </c>
      <c r="S41" s="1">
        <v>120</v>
      </c>
      <c r="T41" s="2">
        <f t="shared" si="0"/>
        <v>30</v>
      </c>
      <c r="U41" s="1">
        <v>128</v>
      </c>
      <c r="V41" s="2">
        <f t="shared" si="2"/>
        <v>3840</v>
      </c>
      <c r="W41" s="1">
        <v>4</v>
      </c>
      <c r="X41" s="1" t="s">
        <v>51</v>
      </c>
      <c r="Y41" s="1" t="s">
        <v>67</v>
      </c>
      <c r="Z41" s="1" t="s">
        <v>85</v>
      </c>
      <c r="AA41" s="1" t="s">
        <v>52</v>
      </c>
      <c r="AB41" s="1" t="s">
        <v>145</v>
      </c>
    </row>
    <row r="42" spans="1:28" x14ac:dyDescent="0.15">
      <c r="A42" s="1" t="s">
        <v>68</v>
      </c>
      <c r="B42" s="1" t="s">
        <v>143</v>
      </c>
      <c r="C42" s="1">
        <v>2020</v>
      </c>
      <c r="D42" s="80" t="s">
        <v>298</v>
      </c>
      <c r="E42" s="1" t="s">
        <v>161</v>
      </c>
      <c r="F42" s="1" t="s">
        <v>162</v>
      </c>
      <c r="G42" s="1" t="s">
        <v>37</v>
      </c>
      <c r="H42" s="1" t="s">
        <v>82</v>
      </c>
      <c r="I42" s="1" t="s">
        <v>64</v>
      </c>
      <c r="J42" s="1" t="s">
        <v>40</v>
      </c>
      <c r="K42" s="1" t="s">
        <v>41</v>
      </c>
      <c r="L42" s="1">
        <v>2</v>
      </c>
      <c r="N42" s="1">
        <v>1</v>
      </c>
      <c r="O42" s="1">
        <v>0.85</v>
      </c>
      <c r="P42" s="1">
        <v>0.85</v>
      </c>
      <c r="Q42" s="7">
        <f t="shared" si="1"/>
        <v>0.85</v>
      </c>
      <c r="R42" s="1">
        <v>15</v>
      </c>
      <c r="S42" s="1">
        <v>121</v>
      </c>
      <c r="T42" s="2">
        <f t="shared" si="0"/>
        <v>27</v>
      </c>
      <c r="U42" s="1">
        <v>128</v>
      </c>
      <c r="V42" s="2">
        <f t="shared" si="2"/>
        <v>3456</v>
      </c>
      <c r="W42" s="1">
        <v>4</v>
      </c>
      <c r="X42" s="1" t="s">
        <v>51</v>
      </c>
      <c r="Y42" s="1" t="s">
        <v>67</v>
      </c>
      <c r="Z42" s="1" t="s">
        <v>85</v>
      </c>
      <c r="AA42" s="1" t="s">
        <v>52</v>
      </c>
      <c r="AB42" s="1" t="s">
        <v>145</v>
      </c>
    </row>
    <row r="43" spans="1:28" x14ac:dyDescent="0.15">
      <c r="A43" s="1" t="s">
        <v>68</v>
      </c>
      <c r="B43" s="1" t="s">
        <v>143</v>
      </c>
      <c r="C43" s="1">
        <v>2020</v>
      </c>
      <c r="D43" s="80" t="s">
        <v>298</v>
      </c>
      <c r="E43" s="1" t="s">
        <v>161</v>
      </c>
      <c r="F43" s="1" t="s">
        <v>162</v>
      </c>
      <c r="G43" s="1" t="s">
        <v>37</v>
      </c>
      <c r="H43" s="1" t="s">
        <v>82</v>
      </c>
      <c r="I43" s="1" t="s">
        <v>64</v>
      </c>
      <c r="J43" s="1" t="s">
        <v>40</v>
      </c>
      <c r="K43" s="1" t="s">
        <v>41</v>
      </c>
      <c r="L43" s="1">
        <v>3</v>
      </c>
      <c r="N43" s="1">
        <v>1</v>
      </c>
      <c r="O43" s="1">
        <v>0.65</v>
      </c>
      <c r="P43" s="1">
        <v>0.75</v>
      </c>
      <c r="Q43" s="7">
        <f t="shared" si="1"/>
        <v>0.7</v>
      </c>
      <c r="R43" s="1">
        <v>14.9</v>
      </c>
      <c r="S43" s="1">
        <v>124</v>
      </c>
      <c r="T43" s="2">
        <f t="shared" si="0"/>
        <v>27</v>
      </c>
      <c r="U43" s="1">
        <v>128</v>
      </c>
      <c r="V43" s="2">
        <f t="shared" si="2"/>
        <v>3456</v>
      </c>
      <c r="W43" s="1">
        <v>4</v>
      </c>
      <c r="X43" s="1" t="s">
        <v>51</v>
      </c>
      <c r="Y43" s="1" t="s">
        <v>67</v>
      </c>
      <c r="Z43" s="1" t="s">
        <v>85</v>
      </c>
      <c r="AA43" s="1" t="s">
        <v>52</v>
      </c>
      <c r="AB43" s="1" t="s">
        <v>145</v>
      </c>
    </row>
    <row r="44" spans="1:28" x14ac:dyDescent="0.15">
      <c r="A44" s="1" t="s">
        <v>68</v>
      </c>
      <c r="B44" s="1" t="s">
        <v>143</v>
      </c>
      <c r="C44" s="1">
        <v>2020</v>
      </c>
      <c r="D44" s="80" t="s">
        <v>298</v>
      </c>
      <c r="E44" s="1" t="s">
        <v>161</v>
      </c>
      <c r="F44" s="1" t="s">
        <v>162</v>
      </c>
      <c r="G44" s="1" t="s">
        <v>37</v>
      </c>
      <c r="H44" s="1" t="s">
        <v>82</v>
      </c>
      <c r="I44" s="1" t="s">
        <v>64</v>
      </c>
      <c r="J44" s="1" t="s">
        <v>40</v>
      </c>
      <c r="K44" s="1" t="s">
        <v>41</v>
      </c>
      <c r="L44" s="1">
        <v>1</v>
      </c>
      <c r="N44" s="1">
        <v>5</v>
      </c>
      <c r="O44" s="1">
        <v>0.6</v>
      </c>
      <c r="P44" s="1">
        <v>0.6</v>
      </c>
      <c r="Q44" s="7">
        <f t="shared" si="1"/>
        <v>0.6</v>
      </c>
      <c r="R44" s="1">
        <v>17</v>
      </c>
      <c r="S44" s="1">
        <v>111</v>
      </c>
      <c r="T44" s="2">
        <f t="shared" si="0"/>
        <v>33</v>
      </c>
      <c r="U44" s="1">
        <v>598</v>
      </c>
      <c r="V44" s="2">
        <f t="shared" si="2"/>
        <v>3946.7999999999997</v>
      </c>
      <c r="W44" s="1">
        <v>2</v>
      </c>
      <c r="X44" s="1" t="s">
        <v>51</v>
      </c>
      <c r="Y44" s="1" t="s">
        <v>67</v>
      </c>
      <c r="Z44" s="1" t="s">
        <v>85</v>
      </c>
      <c r="AA44" s="1" t="s">
        <v>52</v>
      </c>
      <c r="AB44" s="1" t="s">
        <v>145</v>
      </c>
    </row>
    <row r="45" spans="1:28" x14ac:dyDescent="0.15">
      <c r="A45" s="1" t="s">
        <v>68</v>
      </c>
      <c r="B45" s="1" t="s">
        <v>143</v>
      </c>
      <c r="C45" s="1">
        <v>2020</v>
      </c>
      <c r="D45" s="80" t="s">
        <v>298</v>
      </c>
      <c r="E45" s="1" t="s">
        <v>161</v>
      </c>
      <c r="F45" s="1" t="s">
        <v>162</v>
      </c>
      <c r="G45" s="1" t="s">
        <v>37</v>
      </c>
      <c r="H45" s="1" t="s">
        <v>82</v>
      </c>
      <c r="I45" s="1" t="s">
        <v>64</v>
      </c>
      <c r="J45" s="1" t="s">
        <v>40</v>
      </c>
      <c r="K45" s="1" t="s">
        <v>41</v>
      </c>
      <c r="L45" s="1">
        <v>2</v>
      </c>
      <c r="N45" s="1">
        <v>5</v>
      </c>
      <c r="O45" s="1">
        <v>0.6</v>
      </c>
      <c r="P45" s="1">
        <v>0.6</v>
      </c>
      <c r="Q45" s="7">
        <f t="shared" si="1"/>
        <v>0.6</v>
      </c>
      <c r="R45" s="1">
        <v>17</v>
      </c>
      <c r="S45" s="1">
        <v>112</v>
      </c>
      <c r="T45" s="2">
        <f t="shared" si="0"/>
        <v>33</v>
      </c>
      <c r="U45" s="1">
        <v>598</v>
      </c>
      <c r="V45" s="2">
        <f t="shared" si="2"/>
        <v>3946.7999999999997</v>
      </c>
      <c r="W45" s="1">
        <v>2</v>
      </c>
      <c r="X45" s="1" t="s">
        <v>51</v>
      </c>
      <c r="Y45" s="1" t="s">
        <v>67</v>
      </c>
      <c r="Z45" s="1" t="s">
        <v>85</v>
      </c>
      <c r="AA45" s="1" t="s">
        <v>52</v>
      </c>
      <c r="AB45" s="1" t="s">
        <v>145</v>
      </c>
    </row>
    <row r="46" spans="1:28" x14ac:dyDescent="0.15">
      <c r="A46" s="1" t="s">
        <v>68</v>
      </c>
      <c r="B46" s="1" t="s">
        <v>143</v>
      </c>
      <c r="C46" s="1">
        <v>2020</v>
      </c>
      <c r="D46" s="80" t="s">
        <v>298</v>
      </c>
      <c r="E46" s="1" t="s">
        <v>161</v>
      </c>
      <c r="F46" s="1" t="s">
        <v>162</v>
      </c>
      <c r="G46" s="1" t="s">
        <v>37</v>
      </c>
      <c r="H46" s="1" t="s">
        <v>82</v>
      </c>
      <c r="I46" s="1" t="s">
        <v>64</v>
      </c>
      <c r="J46" s="1" t="s">
        <v>40</v>
      </c>
      <c r="K46" s="1" t="s">
        <v>41</v>
      </c>
      <c r="L46" s="1">
        <v>3</v>
      </c>
      <c r="N46" s="1">
        <v>5</v>
      </c>
      <c r="O46" s="1">
        <v>0.75</v>
      </c>
      <c r="P46" s="1">
        <v>0.75</v>
      </c>
      <c r="Q46" s="7">
        <f t="shared" si="1"/>
        <v>0.75</v>
      </c>
      <c r="R46" s="1">
        <v>16.399999999999999</v>
      </c>
      <c r="S46" s="1">
        <v>96</v>
      </c>
      <c r="T46" s="2">
        <f t="shared" si="0"/>
        <v>36</v>
      </c>
      <c r="U46" s="1">
        <v>598</v>
      </c>
      <c r="V46" s="2">
        <f t="shared" si="2"/>
        <v>4305.5999999999995</v>
      </c>
      <c r="W46" s="1">
        <v>2</v>
      </c>
      <c r="X46" s="1" t="s">
        <v>51</v>
      </c>
      <c r="Y46" s="1" t="s">
        <v>67</v>
      </c>
      <c r="Z46" s="1" t="s">
        <v>85</v>
      </c>
      <c r="AA46" s="1" t="s">
        <v>52</v>
      </c>
      <c r="AB46" s="1" t="s">
        <v>145</v>
      </c>
    </row>
    <row r="47" spans="1:28" x14ac:dyDescent="0.15">
      <c r="A47" s="1" t="s">
        <v>68</v>
      </c>
      <c r="B47" s="1" t="s">
        <v>143</v>
      </c>
      <c r="C47" s="1">
        <v>2020</v>
      </c>
      <c r="D47" s="80" t="s">
        <v>298</v>
      </c>
      <c r="E47" s="1" t="s">
        <v>163</v>
      </c>
      <c r="F47" s="1" t="s">
        <v>164</v>
      </c>
      <c r="G47" s="1" t="s">
        <v>46</v>
      </c>
      <c r="H47" s="1" t="s">
        <v>63</v>
      </c>
      <c r="I47" s="1" t="s">
        <v>64</v>
      </c>
      <c r="J47" s="1" t="s">
        <v>40</v>
      </c>
      <c r="K47" s="1" t="s">
        <v>41</v>
      </c>
      <c r="L47" s="1">
        <v>1</v>
      </c>
      <c r="N47" s="1">
        <v>1</v>
      </c>
      <c r="O47" s="1">
        <v>0.75</v>
      </c>
      <c r="P47" s="1">
        <v>0.75</v>
      </c>
      <c r="Q47" s="7">
        <f t="shared" si="1"/>
        <v>0.75</v>
      </c>
      <c r="R47" s="1">
        <v>13.6</v>
      </c>
      <c r="S47" s="1">
        <v>126</v>
      </c>
      <c r="T47" s="2">
        <f t="shared" si="0"/>
        <v>27</v>
      </c>
      <c r="U47" s="1">
        <v>98</v>
      </c>
      <c r="V47" s="2">
        <f t="shared" si="2"/>
        <v>2646</v>
      </c>
      <c r="W47" s="1">
        <v>2</v>
      </c>
      <c r="X47" s="1" t="s">
        <v>42</v>
      </c>
      <c r="Y47" s="1" t="s">
        <v>67</v>
      </c>
      <c r="Z47" s="1" t="s">
        <v>112</v>
      </c>
      <c r="AA47" s="1" t="s">
        <v>52</v>
      </c>
      <c r="AB47" s="1" t="s">
        <v>145</v>
      </c>
    </row>
    <row r="48" spans="1:28" x14ac:dyDescent="0.15">
      <c r="A48" s="1" t="s">
        <v>68</v>
      </c>
      <c r="B48" s="1" t="s">
        <v>143</v>
      </c>
      <c r="C48" s="1">
        <v>2020</v>
      </c>
      <c r="D48" s="80" t="s">
        <v>298</v>
      </c>
      <c r="E48" s="1" t="s">
        <v>163</v>
      </c>
      <c r="F48" s="1" t="s">
        <v>164</v>
      </c>
      <c r="G48" s="1" t="s">
        <v>46</v>
      </c>
      <c r="H48" s="1" t="s">
        <v>63</v>
      </c>
      <c r="I48" s="1" t="s">
        <v>64</v>
      </c>
      <c r="J48" s="1" t="s">
        <v>40</v>
      </c>
      <c r="K48" s="1" t="s">
        <v>41</v>
      </c>
      <c r="L48" s="1">
        <v>2</v>
      </c>
      <c r="N48" s="1">
        <v>1</v>
      </c>
      <c r="O48" s="1">
        <v>0.9</v>
      </c>
      <c r="P48" s="1">
        <v>1</v>
      </c>
      <c r="Q48" s="7">
        <f t="shared" si="1"/>
        <v>0.95</v>
      </c>
      <c r="R48" s="1">
        <v>14.5</v>
      </c>
      <c r="S48" s="1">
        <v>130</v>
      </c>
      <c r="T48" s="2">
        <f t="shared" si="0"/>
        <v>25</v>
      </c>
      <c r="U48" s="1">
        <v>98</v>
      </c>
      <c r="V48" s="2">
        <f t="shared" si="2"/>
        <v>2450</v>
      </c>
      <c r="W48" s="1">
        <v>2</v>
      </c>
      <c r="X48" s="1" t="s">
        <v>42</v>
      </c>
      <c r="Y48" s="1" t="s">
        <v>67</v>
      </c>
      <c r="Z48" s="1" t="s">
        <v>112</v>
      </c>
      <c r="AA48" s="1" t="s">
        <v>52</v>
      </c>
      <c r="AB48" s="1" t="s">
        <v>145</v>
      </c>
    </row>
    <row r="49" spans="1:28" x14ac:dyDescent="0.15">
      <c r="A49" s="1" t="s">
        <v>68</v>
      </c>
      <c r="B49" s="1" t="s">
        <v>143</v>
      </c>
      <c r="C49" s="1">
        <v>2020</v>
      </c>
      <c r="D49" s="80" t="s">
        <v>298</v>
      </c>
      <c r="E49" s="1" t="s">
        <v>163</v>
      </c>
      <c r="F49" s="1" t="s">
        <v>164</v>
      </c>
      <c r="G49" s="1" t="s">
        <v>46</v>
      </c>
      <c r="H49" s="1" t="s">
        <v>63</v>
      </c>
      <c r="I49" s="1" t="s">
        <v>64</v>
      </c>
      <c r="J49" s="1" t="s">
        <v>40</v>
      </c>
      <c r="K49" s="1" t="s">
        <v>41</v>
      </c>
      <c r="L49" s="1">
        <v>3</v>
      </c>
      <c r="N49" s="1">
        <v>1</v>
      </c>
      <c r="O49" s="1">
        <v>0.85</v>
      </c>
      <c r="P49" s="1">
        <v>0.75</v>
      </c>
      <c r="Q49" s="7">
        <f t="shared" si="1"/>
        <v>0.8</v>
      </c>
      <c r="R49" s="1">
        <v>13.8</v>
      </c>
      <c r="S49" s="1">
        <v>129</v>
      </c>
      <c r="T49" s="2">
        <f t="shared" si="0"/>
        <v>25</v>
      </c>
      <c r="U49" s="1">
        <v>98</v>
      </c>
      <c r="V49" s="2">
        <f t="shared" si="2"/>
        <v>2450</v>
      </c>
      <c r="W49" s="1">
        <v>2</v>
      </c>
      <c r="X49" s="1" t="s">
        <v>42</v>
      </c>
      <c r="Y49" s="1" t="s">
        <v>67</v>
      </c>
      <c r="Z49" s="1" t="s">
        <v>112</v>
      </c>
      <c r="AA49" s="1" t="s">
        <v>52</v>
      </c>
      <c r="AB49" s="1" t="s">
        <v>145</v>
      </c>
    </row>
    <row r="50" spans="1:28" x14ac:dyDescent="0.15">
      <c r="A50" s="1" t="s">
        <v>68</v>
      </c>
      <c r="B50" s="1" t="s">
        <v>143</v>
      </c>
      <c r="C50" s="1">
        <v>2020</v>
      </c>
      <c r="D50" s="80" t="s">
        <v>298</v>
      </c>
      <c r="E50" s="1" t="s">
        <v>163</v>
      </c>
      <c r="F50" s="1" t="s">
        <v>164</v>
      </c>
      <c r="G50" s="1" t="s">
        <v>46</v>
      </c>
      <c r="H50" s="1" t="s">
        <v>63</v>
      </c>
      <c r="I50" s="1" t="s">
        <v>64</v>
      </c>
      <c r="J50" s="1" t="s">
        <v>40</v>
      </c>
      <c r="K50" s="1" t="s">
        <v>41</v>
      </c>
      <c r="L50" s="1">
        <v>1</v>
      </c>
      <c r="N50" s="1">
        <v>5</v>
      </c>
      <c r="O50" s="1">
        <v>0.85</v>
      </c>
      <c r="P50" s="1">
        <v>0.8</v>
      </c>
      <c r="Q50" s="2">
        <f t="shared" si="1"/>
        <v>0.82499999999999996</v>
      </c>
      <c r="R50" s="1">
        <v>14.6</v>
      </c>
      <c r="S50" s="1">
        <v>88</v>
      </c>
      <c r="T50" s="2">
        <f t="shared" si="0"/>
        <v>36</v>
      </c>
      <c r="U50" s="1">
        <v>357</v>
      </c>
      <c r="V50" s="2">
        <f t="shared" si="2"/>
        <v>2570.4</v>
      </c>
      <c r="W50" s="1">
        <v>2</v>
      </c>
      <c r="X50" s="1" t="s">
        <v>42</v>
      </c>
      <c r="Y50" s="1" t="s">
        <v>67</v>
      </c>
      <c r="Z50" s="1" t="s">
        <v>112</v>
      </c>
      <c r="AA50" s="1" t="s">
        <v>52</v>
      </c>
      <c r="AB50" s="1" t="s">
        <v>145</v>
      </c>
    </row>
    <row r="51" spans="1:28" x14ac:dyDescent="0.15">
      <c r="A51" s="1" t="s">
        <v>68</v>
      </c>
      <c r="B51" s="1" t="s">
        <v>143</v>
      </c>
      <c r="C51" s="1">
        <v>2020</v>
      </c>
      <c r="D51" s="80" t="s">
        <v>298</v>
      </c>
      <c r="E51" s="1" t="s">
        <v>163</v>
      </c>
      <c r="F51" s="1" t="s">
        <v>164</v>
      </c>
      <c r="G51" s="1" t="s">
        <v>46</v>
      </c>
      <c r="H51" s="1" t="s">
        <v>63</v>
      </c>
      <c r="I51" s="1" t="s">
        <v>64</v>
      </c>
      <c r="J51" s="1" t="s">
        <v>40</v>
      </c>
      <c r="K51" s="1" t="s">
        <v>41</v>
      </c>
      <c r="L51" s="1">
        <v>2</v>
      </c>
      <c r="N51" s="1">
        <v>5</v>
      </c>
      <c r="O51" s="1">
        <v>0.75</v>
      </c>
      <c r="P51" s="1">
        <v>0.8</v>
      </c>
      <c r="Q51" s="2">
        <f t="shared" si="1"/>
        <v>0.77500000000000002</v>
      </c>
      <c r="R51" s="1">
        <v>11.9</v>
      </c>
      <c r="S51" s="1">
        <v>84</v>
      </c>
      <c r="T51" s="2">
        <f t="shared" si="0"/>
        <v>36</v>
      </c>
      <c r="U51" s="1">
        <v>357</v>
      </c>
      <c r="V51" s="2">
        <f t="shared" si="2"/>
        <v>2570.4</v>
      </c>
      <c r="W51" s="1">
        <v>2</v>
      </c>
      <c r="X51" s="1" t="s">
        <v>42</v>
      </c>
      <c r="Y51" s="1" t="s">
        <v>67</v>
      </c>
      <c r="Z51" s="1" t="s">
        <v>112</v>
      </c>
      <c r="AA51" s="1" t="s">
        <v>52</v>
      </c>
      <c r="AB51" s="1" t="s">
        <v>145</v>
      </c>
    </row>
    <row r="52" spans="1:28" x14ac:dyDescent="0.15">
      <c r="A52" s="1" t="s">
        <v>68</v>
      </c>
      <c r="B52" s="1" t="s">
        <v>143</v>
      </c>
      <c r="C52" s="1">
        <v>2020</v>
      </c>
      <c r="D52" s="80" t="s">
        <v>298</v>
      </c>
      <c r="E52" s="1" t="s">
        <v>163</v>
      </c>
      <c r="F52" s="1" t="s">
        <v>164</v>
      </c>
      <c r="G52" s="1" t="s">
        <v>46</v>
      </c>
      <c r="H52" s="1" t="s">
        <v>63</v>
      </c>
      <c r="I52" s="1" t="s">
        <v>64</v>
      </c>
      <c r="J52" s="1" t="s">
        <v>40</v>
      </c>
      <c r="K52" s="1" t="s">
        <v>41</v>
      </c>
      <c r="L52" s="1">
        <v>3</v>
      </c>
      <c r="N52" s="1">
        <v>5</v>
      </c>
      <c r="O52" s="1">
        <v>0.75</v>
      </c>
      <c r="P52" s="1">
        <v>0.75</v>
      </c>
      <c r="Q52" s="2">
        <f t="shared" si="1"/>
        <v>0.75</v>
      </c>
      <c r="R52" s="1">
        <v>13.1</v>
      </c>
      <c r="S52" s="1">
        <v>85</v>
      </c>
      <c r="T52" s="2">
        <f t="shared" si="0"/>
        <v>36</v>
      </c>
      <c r="U52" s="1">
        <v>357</v>
      </c>
      <c r="V52" s="2">
        <f t="shared" si="2"/>
        <v>2570.4</v>
      </c>
      <c r="W52" s="1">
        <v>2</v>
      </c>
      <c r="X52" s="1" t="s">
        <v>42</v>
      </c>
      <c r="Y52" s="1" t="s">
        <v>67</v>
      </c>
      <c r="Z52" s="1" t="s">
        <v>112</v>
      </c>
      <c r="AA52" s="1" t="s">
        <v>52</v>
      </c>
      <c r="AB52" s="1" t="s">
        <v>145</v>
      </c>
    </row>
    <row r="53" spans="1:28" x14ac:dyDescent="0.15">
      <c r="A53" s="1" t="s">
        <v>68</v>
      </c>
      <c r="B53" s="1" t="s">
        <v>143</v>
      </c>
      <c r="C53" s="1">
        <v>2020</v>
      </c>
      <c r="D53" s="80" t="s">
        <v>298</v>
      </c>
      <c r="E53" s="1" t="s">
        <v>163</v>
      </c>
      <c r="F53" s="1" t="s">
        <v>164</v>
      </c>
      <c r="G53" s="1" t="s">
        <v>46</v>
      </c>
      <c r="H53" s="1" t="s">
        <v>63</v>
      </c>
      <c r="I53" s="1" t="s">
        <v>64</v>
      </c>
      <c r="J53" s="1" t="s">
        <v>40</v>
      </c>
      <c r="K53" s="1" t="s">
        <v>41</v>
      </c>
      <c r="L53" s="1">
        <v>1</v>
      </c>
      <c r="N53" s="1">
        <v>10</v>
      </c>
      <c r="O53" s="1">
        <v>1</v>
      </c>
      <c r="P53" s="1">
        <v>1.05</v>
      </c>
      <c r="Q53" s="2">
        <f t="shared" si="1"/>
        <v>1.0249999999999999</v>
      </c>
      <c r="R53" s="1">
        <v>16.5</v>
      </c>
      <c r="S53" s="1">
        <v>79</v>
      </c>
      <c r="T53" s="2">
        <f t="shared" si="0"/>
        <v>39</v>
      </c>
      <c r="U53" s="1">
        <v>497</v>
      </c>
      <c r="V53" s="2">
        <f t="shared" si="2"/>
        <v>1938.3000000000002</v>
      </c>
      <c r="W53" s="1">
        <v>2</v>
      </c>
      <c r="X53" s="1" t="s">
        <v>42</v>
      </c>
      <c r="Y53" s="1" t="s">
        <v>67</v>
      </c>
      <c r="Z53" s="1" t="s">
        <v>112</v>
      </c>
      <c r="AA53" s="1" t="s">
        <v>52</v>
      </c>
      <c r="AB53" s="1" t="s">
        <v>145</v>
      </c>
    </row>
    <row r="54" spans="1:28" x14ac:dyDescent="0.15">
      <c r="A54" s="1" t="s">
        <v>68</v>
      </c>
      <c r="B54" s="1" t="s">
        <v>143</v>
      </c>
      <c r="C54" s="1">
        <v>2020</v>
      </c>
      <c r="D54" s="80" t="s">
        <v>298</v>
      </c>
      <c r="E54" s="1" t="s">
        <v>163</v>
      </c>
      <c r="F54" s="1" t="s">
        <v>164</v>
      </c>
      <c r="G54" s="1" t="s">
        <v>46</v>
      </c>
      <c r="H54" s="1" t="s">
        <v>63</v>
      </c>
      <c r="I54" s="1" t="s">
        <v>64</v>
      </c>
      <c r="J54" s="1" t="s">
        <v>40</v>
      </c>
      <c r="K54" s="1" t="s">
        <v>41</v>
      </c>
      <c r="L54" s="1">
        <v>2</v>
      </c>
      <c r="N54" s="1">
        <v>10</v>
      </c>
      <c r="O54" s="1">
        <v>1.05</v>
      </c>
      <c r="P54" s="1">
        <v>1.1000000000000001</v>
      </c>
      <c r="Q54" s="2">
        <f t="shared" si="1"/>
        <v>1.0750000000000002</v>
      </c>
      <c r="R54" s="1">
        <v>15.2</v>
      </c>
      <c r="S54" s="1">
        <v>74</v>
      </c>
      <c r="T54" s="2">
        <f t="shared" si="0"/>
        <v>42</v>
      </c>
      <c r="U54" s="1">
        <v>497</v>
      </c>
      <c r="V54" s="2">
        <f t="shared" si="2"/>
        <v>2087.4</v>
      </c>
      <c r="W54" s="1">
        <v>2</v>
      </c>
      <c r="X54" s="1" t="s">
        <v>42</v>
      </c>
      <c r="Y54" s="1" t="s">
        <v>67</v>
      </c>
      <c r="Z54" s="1" t="s">
        <v>112</v>
      </c>
      <c r="AA54" s="1" t="s">
        <v>52</v>
      </c>
      <c r="AB54" s="1" t="s">
        <v>145</v>
      </c>
    </row>
    <row r="55" spans="1:28" x14ac:dyDescent="0.15">
      <c r="A55" s="1" t="s">
        <v>68</v>
      </c>
      <c r="B55" s="1" t="s">
        <v>143</v>
      </c>
      <c r="C55" s="1">
        <v>2020</v>
      </c>
      <c r="D55" s="80" t="s">
        <v>298</v>
      </c>
      <c r="E55" s="1" t="s">
        <v>163</v>
      </c>
      <c r="F55" s="1" t="s">
        <v>164</v>
      </c>
      <c r="G55" s="1" t="s">
        <v>46</v>
      </c>
      <c r="H55" s="1" t="s">
        <v>63</v>
      </c>
      <c r="I55" s="1" t="s">
        <v>64</v>
      </c>
      <c r="J55" s="1" t="s">
        <v>40</v>
      </c>
      <c r="K55" s="1" t="s">
        <v>41</v>
      </c>
      <c r="L55" s="1">
        <v>3</v>
      </c>
      <c r="N55" s="1">
        <v>10</v>
      </c>
      <c r="O55" s="1">
        <v>0.75</v>
      </c>
      <c r="P55" s="1">
        <v>0.7</v>
      </c>
      <c r="Q55" s="2">
        <f t="shared" si="1"/>
        <v>0.72499999999999998</v>
      </c>
      <c r="R55" s="1">
        <v>12.2</v>
      </c>
      <c r="S55" s="1">
        <v>75</v>
      </c>
      <c r="T55" s="2">
        <f t="shared" si="0"/>
        <v>42</v>
      </c>
      <c r="U55" s="1">
        <v>497</v>
      </c>
      <c r="V55" s="2">
        <f t="shared" si="2"/>
        <v>2087.4</v>
      </c>
      <c r="W55" s="1">
        <v>2</v>
      </c>
      <c r="X55" s="1" t="s">
        <v>42</v>
      </c>
      <c r="Y55" s="1" t="s">
        <v>67</v>
      </c>
      <c r="Z55" s="1" t="s">
        <v>112</v>
      </c>
      <c r="AA55" s="1" t="s">
        <v>52</v>
      </c>
      <c r="AB55" s="1" t="s">
        <v>145</v>
      </c>
    </row>
    <row r="56" spans="1:28" x14ac:dyDescent="0.15">
      <c r="A56" s="1" t="s">
        <v>68</v>
      </c>
      <c r="B56" s="1" t="s">
        <v>143</v>
      </c>
      <c r="C56" s="1">
        <v>2020</v>
      </c>
      <c r="D56" s="80" t="s">
        <v>298</v>
      </c>
      <c r="E56" s="1" t="s">
        <v>163</v>
      </c>
      <c r="F56" s="1" t="s">
        <v>164</v>
      </c>
      <c r="G56" s="1" t="s">
        <v>46</v>
      </c>
      <c r="H56" s="1" t="s">
        <v>82</v>
      </c>
      <c r="I56" s="1" t="s">
        <v>64</v>
      </c>
      <c r="J56" s="1" t="s">
        <v>40</v>
      </c>
      <c r="K56" s="1" t="s">
        <v>41</v>
      </c>
      <c r="L56" s="1">
        <v>1</v>
      </c>
      <c r="N56" s="1">
        <v>1</v>
      </c>
      <c r="O56" s="1">
        <v>0.95</v>
      </c>
      <c r="P56" s="1">
        <v>0.95</v>
      </c>
      <c r="Q56" s="2">
        <f t="shared" si="1"/>
        <v>0.95</v>
      </c>
      <c r="R56" s="1">
        <v>15</v>
      </c>
      <c r="S56" s="1">
        <v>136</v>
      </c>
      <c r="T56" s="2">
        <f t="shared" si="0"/>
        <v>25</v>
      </c>
      <c r="U56" s="1">
        <v>98</v>
      </c>
      <c r="V56" s="2">
        <f t="shared" si="2"/>
        <v>2450</v>
      </c>
      <c r="W56" s="1">
        <v>4</v>
      </c>
      <c r="X56" s="1" t="s">
        <v>42</v>
      </c>
      <c r="Y56" s="1" t="s">
        <v>67</v>
      </c>
      <c r="Z56" s="1" t="s">
        <v>112</v>
      </c>
      <c r="AA56" s="1" t="s">
        <v>52</v>
      </c>
      <c r="AB56" s="1" t="s">
        <v>145</v>
      </c>
    </row>
    <row r="57" spans="1:28" x14ac:dyDescent="0.15">
      <c r="A57" s="1" t="s">
        <v>68</v>
      </c>
      <c r="B57" s="1" t="s">
        <v>143</v>
      </c>
      <c r="C57" s="1">
        <v>2020</v>
      </c>
      <c r="D57" s="80" t="s">
        <v>298</v>
      </c>
      <c r="E57" s="1" t="s">
        <v>163</v>
      </c>
      <c r="F57" s="1" t="s">
        <v>164</v>
      </c>
      <c r="G57" s="1" t="s">
        <v>46</v>
      </c>
      <c r="H57" s="1" t="s">
        <v>82</v>
      </c>
      <c r="I57" s="1" t="s">
        <v>64</v>
      </c>
      <c r="J57" s="1" t="s">
        <v>40</v>
      </c>
      <c r="K57" s="1" t="s">
        <v>41</v>
      </c>
      <c r="L57" s="1">
        <v>2</v>
      </c>
      <c r="N57" s="1">
        <v>1</v>
      </c>
      <c r="O57" s="1">
        <v>0.85</v>
      </c>
      <c r="P57" s="1">
        <v>0.85</v>
      </c>
      <c r="Q57" s="2">
        <f t="shared" si="1"/>
        <v>0.85</v>
      </c>
      <c r="R57" s="1">
        <v>15.6</v>
      </c>
      <c r="S57" s="1">
        <v>132</v>
      </c>
      <c r="T57" s="2">
        <f t="shared" si="0"/>
        <v>25</v>
      </c>
      <c r="U57" s="1">
        <v>98</v>
      </c>
      <c r="V57" s="2">
        <f t="shared" si="2"/>
        <v>2450</v>
      </c>
      <c r="W57" s="1">
        <v>4</v>
      </c>
      <c r="X57" s="1" t="s">
        <v>42</v>
      </c>
      <c r="Y57" s="1" t="s">
        <v>67</v>
      </c>
      <c r="Z57" s="1" t="s">
        <v>112</v>
      </c>
      <c r="AA57" s="1" t="s">
        <v>52</v>
      </c>
      <c r="AB57" s="1" t="s">
        <v>145</v>
      </c>
    </row>
    <row r="58" spans="1:28" x14ac:dyDescent="0.15">
      <c r="A58" s="1" t="s">
        <v>68</v>
      </c>
      <c r="B58" s="1" t="s">
        <v>143</v>
      </c>
      <c r="C58" s="1">
        <v>2020</v>
      </c>
      <c r="D58" s="80" t="s">
        <v>298</v>
      </c>
      <c r="E58" s="1" t="s">
        <v>163</v>
      </c>
      <c r="F58" s="1" t="s">
        <v>164</v>
      </c>
      <c r="G58" s="1" t="s">
        <v>46</v>
      </c>
      <c r="H58" s="1" t="s">
        <v>82</v>
      </c>
      <c r="I58" s="1" t="s">
        <v>64</v>
      </c>
      <c r="J58" s="1" t="s">
        <v>40</v>
      </c>
      <c r="K58" s="1" t="s">
        <v>41</v>
      </c>
      <c r="L58" s="1">
        <v>3</v>
      </c>
      <c r="N58" s="1">
        <v>1</v>
      </c>
      <c r="O58" s="1">
        <v>0.85</v>
      </c>
      <c r="P58" s="1">
        <v>0.8</v>
      </c>
      <c r="Q58" s="2">
        <f t="shared" si="1"/>
        <v>0.82499999999999996</v>
      </c>
      <c r="R58" s="1">
        <v>14.9</v>
      </c>
      <c r="S58" s="1">
        <v>129</v>
      </c>
      <c r="T58" s="2">
        <f t="shared" si="0"/>
        <v>25</v>
      </c>
      <c r="U58" s="1">
        <v>98</v>
      </c>
      <c r="V58" s="2">
        <f t="shared" si="2"/>
        <v>2450</v>
      </c>
      <c r="W58" s="1">
        <v>4</v>
      </c>
      <c r="X58" s="1" t="s">
        <v>42</v>
      </c>
      <c r="Y58" s="1" t="s">
        <v>67</v>
      </c>
      <c r="Z58" s="1" t="s">
        <v>112</v>
      </c>
      <c r="AA58" s="1" t="s">
        <v>52</v>
      </c>
      <c r="AB58" s="1" t="s">
        <v>145</v>
      </c>
    </row>
    <row r="59" spans="1:28" x14ac:dyDescent="0.15">
      <c r="A59" s="1" t="s">
        <v>68</v>
      </c>
      <c r="B59" s="1" t="s">
        <v>143</v>
      </c>
      <c r="C59" s="1">
        <v>2020</v>
      </c>
      <c r="D59" s="80" t="s">
        <v>298</v>
      </c>
      <c r="E59" s="1" t="s">
        <v>163</v>
      </c>
      <c r="F59" s="1" t="s">
        <v>164</v>
      </c>
      <c r="G59" s="1" t="s">
        <v>46</v>
      </c>
      <c r="H59" s="1" t="s">
        <v>82</v>
      </c>
      <c r="I59" s="1" t="s">
        <v>64</v>
      </c>
      <c r="J59" s="1" t="s">
        <v>40</v>
      </c>
      <c r="K59" s="1" t="s">
        <v>41</v>
      </c>
      <c r="L59" s="1">
        <v>1</v>
      </c>
      <c r="N59" s="1">
        <v>4</v>
      </c>
      <c r="O59" s="1">
        <v>0.6</v>
      </c>
      <c r="P59" s="1">
        <v>0.6</v>
      </c>
      <c r="Q59" s="2">
        <f t="shared" si="1"/>
        <v>0.6</v>
      </c>
      <c r="R59" s="1">
        <v>16.5</v>
      </c>
      <c r="S59" s="1">
        <v>86</v>
      </c>
      <c r="T59" s="2">
        <f t="shared" si="0"/>
        <v>36</v>
      </c>
      <c r="U59" s="1">
        <v>397</v>
      </c>
      <c r="V59" s="2">
        <f t="shared" si="2"/>
        <v>3573</v>
      </c>
      <c r="W59" s="1">
        <v>2</v>
      </c>
      <c r="X59" s="1" t="s">
        <v>42</v>
      </c>
      <c r="Y59" s="1" t="s">
        <v>67</v>
      </c>
      <c r="Z59" s="1" t="s">
        <v>112</v>
      </c>
      <c r="AA59" s="1" t="s">
        <v>52</v>
      </c>
      <c r="AB59" s="1" t="s">
        <v>145</v>
      </c>
    </row>
    <row r="60" spans="1:28" x14ac:dyDescent="0.15">
      <c r="A60" s="1" t="s">
        <v>68</v>
      </c>
      <c r="B60" s="1" t="s">
        <v>143</v>
      </c>
      <c r="C60" s="1">
        <v>2020</v>
      </c>
      <c r="D60" s="80" t="s">
        <v>298</v>
      </c>
      <c r="E60" s="1" t="s">
        <v>163</v>
      </c>
      <c r="F60" s="1" t="s">
        <v>164</v>
      </c>
      <c r="G60" s="1" t="s">
        <v>46</v>
      </c>
      <c r="H60" s="1" t="s">
        <v>82</v>
      </c>
      <c r="I60" s="1" t="s">
        <v>64</v>
      </c>
      <c r="J60" s="1" t="s">
        <v>40</v>
      </c>
      <c r="K60" s="1" t="s">
        <v>41</v>
      </c>
      <c r="L60" s="1">
        <v>2</v>
      </c>
      <c r="N60" s="1">
        <v>4</v>
      </c>
      <c r="O60" s="1">
        <v>0.8</v>
      </c>
      <c r="P60" s="1">
        <v>0.75</v>
      </c>
      <c r="Q60" s="2">
        <f t="shared" si="1"/>
        <v>0.77500000000000002</v>
      </c>
      <c r="R60" s="1">
        <v>16.399999999999999</v>
      </c>
      <c r="S60" s="1">
        <v>82</v>
      </c>
      <c r="T60" s="2">
        <f t="shared" si="0"/>
        <v>39</v>
      </c>
      <c r="U60" s="1">
        <v>397</v>
      </c>
      <c r="V60" s="2">
        <f t="shared" si="2"/>
        <v>3870.75</v>
      </c>
      <c r="W60" s="1">
        <v>2</v>
      </c>
      <c r="X60" s="1" t="s">
        <v>42</v>
      </c>
      <c r="Y60" s="1" t="s">
        <v>67</v>
      </c>
      <c r="Z60" s="1" t="s">
        <v>112</v>
      </c>
      <c r="AA60" s="1" t="s">
        <v>52</v>
      </c>
      <c r="AB60" s="1" t="s">
        <v>145</v>
      </c>
    </row>
    <row r="61" spans="1:28" x14ac:dyDescent="0.15">
      <c r="A61" s="1" t="s">
        <v>68</v>
      </c>
      <c r="B61" s="1" t="s">
        <v>143</v>
      </c>
      <c r="C61" s="1">
        <v>2020</v>
      </c>
      <c r="D61" s="80" t="s">
        <v>298</v>
      </c>
      <c r="E61" s="1" t="s">
        <v>163</v>
      </c>
      <c r="F61" s="1" t="s">
        <v>164</v>
      </c>
      <c r="G61" s="1" t="s">
        <v>46</v>
      </c>
      <c r="H61" s="1" t="s">
        <v>82</v>
      </c>
      <c r="I61" s="1" t="s">
        <v>64</v>
      </c>
      <c r="J61" s="1" t="s">
        <v>40</v>
      </c>
      <c r="K61" s="1" t="s">
        <v>41</v>
      </c>
      <c r="L61" s="1">
        <v>3</v>
      </c>
      <c r="N61" s="1">
        <v>4</v>
      </c>
      <c r="O61" s="1">
        <v>0.7</v>
      </c>
      <c r="P61" s="1">
        <v>0.75</v>
      </c>
      <c r="Q61" s="2">
        <f t="shared" si="1"/>
        <v>0.72499999999999998</v>
      </c>
      <c r="R61" s="1">
        <v>16.7</v>
      </c>
      <c r="S61" s="1">
        <v>87</v>
      </c>
      <c r="T61" s="2">
        <f t="shared" si="0"/>
        <v>36</v>
      </c>
      <c r="U61" s="1">
        <v>397</v>
      </c>
      <c r="V61" s="2">
        <f t="shared" si="2"/>
        <v>3573</v>
      </c>
      <c r="W61" s="1">
        <v>2</v>
      </c>
      <c r="X61" s="1" t="s">
        <v>42</v>
      </c>
      <c r="Y61" s="1" t="s">
        <v>67</v>
      </c>
      <c r="Z61" s="1" t="s">
        <v>112</v>
      </c>
      <c r="AA61" s="1" t="s">
        <v>52</v>
      </c>
      <c r="AB61" s="1" t="s">
        <v>145</v>
      </c>
    </row>
    <row r="62" spans="1:28" x14ac:dyDescent="0.15">
      <c r="A62" s="1" t="s">
        <v>68</v>
      </c>
      <c r="B62" s="1" t="s">
        <v>143</v>
      </c>
      <c r="C62" s="1">
        <v>2020</v>
      </c>
      <c r="D62" s="80" t="s">
        <v>298</v>
      </c>
      <c r="E62" s="1" t="s">
        <v>163</v>
      </c>
      <c r="F62" s="1" t="s">
        <v>164</v>
      </c>
      <c r="G62" s="1" t="s">
        <v>46</v>
      </c>
      <c r="H62" s="1" t="s">
        <v>82</v>
      </c>
      <c r="I62" s="1" t="s">
        <v>64</v>
      </c>
      <c r="J62" s="1" t="s">
        <v>40</v>
      </c>
      <c r="K62" s="1" t="s">
        <v>41</v>
      </c>
      <c r="L62" s="1">
        <v>1</v>
      </c>
      <c r="N62" s="1">
        <v>8</v>
      </c>
      <c r="O62" s="1">
        <v>0.6</v>
      </c>
      <c r="P62" s="1">
        <v>0.6</v>
      </c>
      <c r="Q62" s="2">
        <f t="shared" si="1"/>
        <v>0.6</v>
      </c>
      <c r="R62" s="1">
        <v>15.2</v>
      </c>
      <c r="S62" s="1">
        <v>103</v>
      </c>
      <c r="T62" s="2">
        <f t="shared" si="0"/>
        <v>33</v>
      </c>
      <c r="U62" s="1">
        <v>597</v>
      </c>
      <c r="V62" s="2">
        <f t="shared" si="2"/>
        <v>2462.625</v>
      </c>
      <c r="W62" s="1">
        <v>2</v>
      </c>
      <c r="X62" s="1" t="s">
        <v>42</v>
      </c>
      <c r="Y62" s="1" t="s">
        <v>67</v>
      </c>
      <c r="Z62" s="1" t="s">
        <v>112</v>
      </c>
      <c r="AA62" s="1" t="s">
        <v>52</v>
      </c>
      <c r="AB62" s="1" t="s">
        <v>145</v>
      </c>
    </row>
    <row r="63" spans="1:28" x14ac:dyDescent="0.15">
      <c r="A63" s="1" t="s">
        <v>68</v>
      </c>
      <c r="B63" s="1" t="s">
        <v>143</v>
      </c>
      <c r="C63" s="1">
        <v>2020</v>
      </c>
      <c r="D63" s="80" t="s">
        <v>298</v>
      </c>
      <c r="E63" s="1" t="s">
        <v>163</v>
      </c>
      <c r="F63" s="1" t="s">
        <v>164</v>
      </c>
      <c r="G63" s="1" t="s">
        <v>46</v>
      </c>
      <c r="H63" s="1" t="s">
        <v>82</v>
      </c>
      <c r="I63" s="1" t="s">
        <v>64</v>
      </c>
      <c r="J63" s="1" t="s">
        <v>40</v>
      </c>
      <c r="K63" s="1" t="s">
        <v>41</v>
      </c>
      <c r="L63" s="1">
        <v>2</v>
      </c>
      <c r="N63" s="1">
        <v>8</v>
      </c>
      <c r="O63" s="1">
        <v>0.6</v>
      </c>
      <c r="P63" s="1">
        <v>0.65</v>
      </c>
      <c r="Q63" s="2">
        <f t="shared" si="1"/>
        <v>0.625</v>
      </c>
      <c r="R63" s="1">
        <v>14.4</v>
      </c>
      <c r="S63" s="1">
        <v>94</v>
      </c>
      <c r="T63" s="2">
        <f t="shared" si="0"/>
        <v>36</v>
      </c>
      <c r="U63" s="1">
        <v>597</v>
      </c>
      <c r="V63" s="2">
        <f t="shared" si="2"/>
        <v>2686.5</v>
      </c>
      <c r="W63" s="1">
        <v>2</v>
      </c>
      <c r="X63" s="1" t="s">
        <v>42</v>
      </c>
      <c r="Y63" s="1" t="s">
        <v>67</v>
      </c>
      <c r="Z63" s="1" t="s">
        <v>112</v>
      </c>
      <c r="AA63" s="1" t="s">
        <v>52</v>
      </c>
      <c r="AB63" s="1" t="s">
        <v>145</v>
      </c>
    </row>
    <row r="64" spans="1:28" x14ac:dyDescent="0.15">
      <c r="A64" s="1" t="s">
        <v>68</v>
      </c>
      <c r="B64" s="1" t="s">
        <v>143</v>
      </c>
      <c r="C64" s="1">
        <v>2020</v>
      </c>
      <c r="D64" s="80" t="s">
        <v>298</v>
      </c>
      <c r="E64" s="1" t="s">
        <v>163</v>
      </c>
      <c r="F64" s="1" t="s">
        <v>164</v>
      </c>
      <c r="G64" s="1" t="s">
        <v>46</v>
      </c>
      <c r="H64" s="1" t="s">
        <v>82</v>
      </c>
      <c r="I64" s="1" t="s">
        <v>64</v>
      </c>
      <c r="J64" s="1" t="s">
        <v>40</v>
      </c>
      <c r="K64" s="1" t="s">
        <v>41</v>
      </c>
      <c r="L64" s="1">
        <v>3</v>
      </c>
      <c r="N64" s="1">
        <v>8</v>
      </c>
      <c r="O64" s="1">
        <v>0.7</v>
      </c>
      <c r="P64" s="1">
        <v>0.7</v>
      </c>
      <c r="Q64" s="2">
        <f t="shared" si="1"/>
        <v>0.7</v>
      </c>
      <c r="R64" s="1">
        <v>14.7</v>
      </c>
      <c r="S64" s="1">
        <v>95</v>
      </c>
      <c r="T64" s="2">
        <f t="shared" si="0"/>
        <v>36</v>
      </c>
      <c r="U64" s="1">
        <v>597</v>
      </c>
      <c r="V64" s="2">
        <f t="shared" si="2"/>
        <v>2686.5</v>
      </c>
      <c r="W64" s="1">
        <v>2</v>
      </c>
      <c r="X64" s="1" t="s">
        <v>42</v>
      </c>
      <c r="Y64" s="1" t="s">
        <v>67</v>
      </c>
      <c r="Z64" s="1" t="s">
        <v>112</v>
      </c>
      <c r="AA64" s="1" t="s">
        <v>52</v>
      </c>
      <c r="AB64" s="1" t="s">
        <v>145</v>
      </c>
    </row>
    <row r="65" spans="1:28" x14ac:dyDescent="0.15">
      <c r="A65" s="1" t="s">
        <v>68</v>
      </c>
      <c r="B65" s="1" t="s">
        <v>143</v>
      </c>
      <c r="C65" s="1">
        <v>2020</v>
      </c>
      <c r="D65" s="80" t="s">
        <v>298</v>
      </c>
      <c r="E65" s="1" t="s">
        <v>54</v>
      </c>
      <c r="F65" s="1" t="s">
        <v>166</v>
      </c>
      <c r="G65" s="1" t="s">
        <v>37</v>
      </c>
      <c r="H65" s="1" t="s">
        <v>63</v>
      </c>
      <c r="I65" s="1" t="s">
        <v>64</v>
      </c>
      <c r="J65" s="1" t="s">
        <v>40</v>
      </c>
      <c r="K65" s="1" t="s">
        <v>41</v>
      </c>
      <c r="L65" s="1">
        <v>1</v>
      </c>
      <c r="N65" s="1">
        <v>1</v>
      </c>
      <c r="O65" s="1">
        <v>0.7</v>
      </c>
      <c r="P65" s="1">
        <v>0.75</v>
      </c>
      <c r="Q65" s="2">
        <f t="shared" si="1"/>
        <v>0.72499999999999998</v>
      </c>
      <c r="R65" s="1">
        <v>14.6</v>
      </c>
      <c r="S65" s="1">
        <v>105</v>
      </c>
      <c r="T65" s="2">
        <f t="shared" si="0"/>
        <v>33</v>
      </c>
      <c r="U65" s="1">
        <v>98</v>
      </c>
      <c r="V65" s="2">
        <f t="shared" si="2"/>
        <v>3234</v>
      </c>
      <c r="W65" s="1">
        <v>2</v>
      </c>
      <c r="X65" s="1" t="s">
        <v>51</v>
      </c>
      <c r="Y65" s="1" t="s">
        <v>112</v>
      </c>
      <c r="Z65" s="1" t="s">
        <v>67</v>
      </c>
      <c r="AA65" s="1" t="s">
        <v>52</v>
      </c>
      <c r="AB65" s="1" t="s">
        <v>145</v>
      </c>
    </row>
    <row r="66" spans="1:28" x14ac:dyDescent="0.15">
      <c r="A66" s="1" t="s">
        <v>68</v>
      </c>
      <c r="B66" s="1" t="s">
        <v>143</v>
      </c>
      <c r="C66" s="1">
        <v>2020</v>
      </c>
      <c r="D66" s="80" t="s">
        <v>298</v>
      </c>
      <c r="E66" s="1" t="s">
        <v>54</v>
      </c>
      <c r="F66" s="1" t="s">
        <v>166</v>
      </c>
      <c r="G66" s="1" t="s">
        <v>37</v>
      </c>
      <c r="H66" s="1" t="s">
        <v>63</v>
      </c>
      <c r="I66" s="1" t="s">
        <v>64</v>
      </c>
      <c r="J66" s="1" t="s">
        <v>40</v>
      </c>
      <c r="K66" s="1" t="s">
        <v>41</v>
      </c>
      <c r="L66" s="1">
        <v>2</v>
      </c>
      <c r="N66" s="1">
        <v>1</v>
      </c>
      <c r="O66" s="1">
        <v>0.75</v>
      </c>
      <c r="P66" s="1">
        <v>0.7</v>
      </c>
      <c r="Q66" s="2">
        <f t="shared" si="1"/>
        <v>0.72499999999999998</v>
      </c>
      <c r="R66" s="1">
        <v>12.3</v>
      </c>
      <c r="S66" s="1">
        <v>112</v>
      </c>
      <c r="T66" s="2">
        <f t="shared" ref="T66:T129" si="3">IF(H66="","",IF(OR(H66="GREEN",H66="GK"),IF(S66&gt;=$AX$2,VLOOKUP(S66,$AX$2:$AY$10,2,1),""),IF(S66&gt;=$AZ$2,VLOOKUP(S66,$AZ$2:$BA$10,2,1),"")))</f>
        <v>33</v>
      </c>
      <c r="U66" s="1">
        <v>98</v>
      </c>
      <c r="V66" s="2">
        <f t="shared" si="2"/>
        <v>3234</v>
      </c>
      <c r="W66" s="1">
        <v>2</v>
      </c>
      <c r="X66" s="1" t="s">
        <v>51</v>
      </c>
      <c r="Y66" s="1" t="s">
        <v>112</v>
      </c>
      <c r="Z66" s="1" t="s">
        <v>67</v>
      </c>
      <c r="AA66" s="1" t="s">
        <v>52</v>
      </c>
      <c r="AB66" s="1" t="s">
        <v>145</v>
      </c>
    </row>
    <row r="67" spans="1:28" x14ac:dyDescent="0.15">
      <c r="A67" s="1" t="s">
        <v>68</v>
      </c>
      <c r="B67" s="1" t="s">
        <v>143</v>
      </c>
      <c r="C67" s="1">
        <v>2020</v>
      </c>
      <c r="D67" s="80" t="s">
        <v>298</v>
      </c>
      <c r="E67" s="1" t="s">
        <v>54</v>
      </c>
      <c r="F67" s="1" t="s">
        <v>166</v>
      </c>
      <c r="G67" s="1" t="s">
        <v>37</v>
      </c>
      <c r="H67" s="1" t="s">
        <v>63</v>
      </c>
      <c r="I67" s="1" t="s">
        <v>64</v>
      </c>
      <c r="J67" s="1" t="s">
        <v>40</v>
      </c>
      <c r="K67" s="1" t="s">
        <v>41</v>
      </c>
      <c r="L67" s="1">
        <v>3</v>
      </c>
      <c r="N67" s="1">
        <v>1</v>
      </c>
      <c r="O67" s="1">
        <v>1</v>
      </c>
      <c r="P67" s="1">
        <v>1</v>
      </c>
      <c r="Q67" s="2">
        <f t="shared" ref="Q67:Q130" si="4">IF(OR(O67="",P67=""),"",AVERAGE(O67,P67))</f>
        <v>1</v>
      </c>
      <c r="R67" s="1">
        <v>14</v>
      </c>
      <c r="S67" s="1">
        <v>105</v>
      </c>
      <c r="T67" s="2">
        <f t="shared" si="3"/>
        <v>33</v>
      </c>
      <c r="U67" s="1">
        <v>98</v>
      </c>
      <c r="V67" s="2">
        <f t="shared" ref="V67:V130" si="5">IF(OR(N67="",U67="",T67=""),"",U67/N67*T67)</f>
        <v>3234</v>
      </c>
      <c r="W67" s="1">
        <v>2</v>
      </c>
      <c r="X67" s="1" t="s">
        <v>51</v>
      </c>
      <c r="Y67" s="1" t="s">
        <v>112</v>
      </c>
      <c r="Z67" s="1" t="s">
        <v>67</v>
      </c>
      <c r="AA67" s="1" t="s">
        <v>52</v>
      </c>
      <c r="AB67" s="1" t="s">
        <v>145</v>
      </c>
    </row>
    <row r="68" spans="1:28" x14ac:dyDescent="0.15">
      <c r="A68" s="1" t="s">
        <v>68</v>
      </c>
      <c r="B68" s="1" t="s">
        <v>143</v>
      </c>
      <c r="C68" s="1">
        <v>2020</v>
      </c>
      <c r="D68" s="80" t="s">
        <v>298</v>
      </c>
      <c r="E68" s="1" t="s">
        <v>54</v>
      </c>
      <c r="F68" s="1" t="s">
        <v>166</v>
      </c>
      <c r="G68" s="1" t="s">
        <v>37</v>
      </c>
      <c r="H68" s="1" t="s">
        <v>63</v>
      </c>
      <c r="I68" s="1" t="s">
        <v>64</v>
      </c>
      <c r="J68" s="1" t="s">
        <v>40</v>
      </c>
      <c r="K68" s="1" t="s">
        <v>41</v>
      </c>
      <c r="L68" s="1">
        <v>1</v>
      </c>
      <c r="N68" s="1">
        <v>5</v>
      </c>
      <c r="O68" s="1">
        <v>0.6</v>
      </c>
      <c r="P68" s="1">
        <v>0.6</v>
      </c>
      <c r="Q68" s="2">
        <f t="shared" si="4"/>
        <v>0.6</v>
      </c>
      <c r="R68" s="1">
        <v>16.5</v>
      </c>
      <c r="S68" s="1">
        <v>89</v>
      </c>
      <c r="T68" s="2">
        <f t="shared" si="3"/>
        <v>36</v>
      </c>
      <c r="U68" s="1">
        <v>398</v>
      </c>
      <c r="V68" s="2">
        <f t="shared" si="5"/>
        <v>2865.6</v>
      </c>
      <c r="W68" s="1">
        <v>2</v>
      </c>
      <c r="X68" s="1" t="s">
        <v>51</v>
      </c>
      <c r="Y68" s="1" t="s">
        <v>112</v>
      </c>
      <c r="Z68" s="1" t="s">
        <v>67</v>
      </c>
      <c r="AA68" s="1" t="s">
        <v>52</v>
      </c>
      <c r="AB68" s="1" t="s">
        <v>145</v>
      </c>
    </row>
    <row r="69" spans="1:28" x14ac:dyDescent="0.15">
      <c r="A69" s="1" t="s">
        <v>68</v>
      </c>
      <c r="B69" s="1" t="s">
        <v>143</v>
      </c>
      <c r="C69" s="1">
        <v>2020</v>
      </c>
      <c r="D69" s="80" t="s">
        <v>298</v>
      </c>
      <c r="E69" s="1" t="s">
        <v>54</v>
      </c>
      <c r="F69" s="1" t="s">
        <v>166</v>
      </c>
      <c r="G69" s="1" t="s">
        <v>37</v>
      </c>
      <c r="H69" s="1" t="s">
        <v>63</v>
      </c>
      <c r="I69" s="1" t="s">
        <v>64</v>
      </c>
      <c r="J69" s="1" t="s">
        <v>40</v>
      </c>
      <c r="K69" s="1" t="s">
        <v>41</v>
      </c>
      <c r="L69" s="1">
        <v>2</v>
      </c>
      <c r="N69" s="1">
        <v>5</v>
      </c>
      <c r="O69" s="1">
        <v>0.7</v>
      </c>
      <c r="P69" s="1">
        <v>0.75</v>
      </c>
      <c r="Q69" s="2">
        <f t="shared" si="4"/>
        <v>0.72499999999999998</v>
      </c>
      <c r="R69" s="1">
        <v>15.1</v>
      </c>
      <c r="S69" s="1">
        <v>85</v>
      </c>
      <c r="T69" s="2">
        <f t="shared" si="3"/>
        <v>36</v>
      </c>
      <c r="U69" s="1">
        <v>398</v>
      </c>
      <c r="V69" s="2">
        <f t="shared" si="5"/>
        <v>2865.6</v>
      </c>
      <c r="W69" s="1">
        <v>2</v>
      </c>
      <c r="X69" s="1" t="s">
        <v>51</v>
      </c>
      <c r="Y69" s="1" t="s">
        <v>112</v>
      </c>
      <c r="Z69" s="1" t="s">
        <v>67</v>
      </c>
      <c r="AA69" s="1" t="s">
        <v>52</v>
      </c>
      <c r="AB69" s="1" t="s">
        <v>145</v>
      </c>
    </row>
    <row r="70" spans="1:28" x14ac:dyDescent="0.15">
      <c r="A70" s="1" t="s">
        <v>68</v>
      </c>
      <c r="B70" s="1" t="s">
        <v>143</v>
      </c>
      <c r="C70" s="1">
        <v>2020</v>
      </c>
      <c r="D70" s="80" t="s">
        <v>298</v>
      </c>
      <c r="E70" s="1" t="s">
        <v>54</v>
      </c>
      <c r="F70" s="1" t="s">
        <v>166</v>
      </c>
      <c r="G70" s="1" t="s">
        <v>37</v>
      </c>
      <c r="H70" s="1" t="s">
        <v>63</v>
      </c>
      <c r="I70" s="1" t="s">
        <v>64</v>
      </c>
      <c r="J70" s="1" t="s">
        <v>40</v>
      </c>
      <c r="K70" s="1" t="s">
        <v>41</v>
      </c>
      <c r="L70" s="1">
        <v>3</v>
      </c>
      <c r="N70" s="1">
        <v>5</v>
      </c>
      <c r="O70" s="1">
        <v>0.7</v>
      </c>
      <c r="P70" s="1">
        <v>0.7</v>
      </c>
      <c r="Q70" s="2">
        <f t="shared" si="4"/>
        <v>0.7</v>
      </c>
      <c r="R70" s="1">
        <v>13.1</v>
      </c>
      <c r="S70" s="1">
        <v>80</v>
      </c>
      <c r="T70" s="2">
        <f t="shared" si="3"/>
        <v>39</v>
      </c>
      <c r="U70" s="1">
        <v>398</v>
      </c>
      <c r="V70" s="2">
        <f t="shared" si="5"/>
        <v>3104.3999999999996</v>
      </c>
      <c r="W70" s="1">
        <v>2</v>
      </c>
      <c r="X70" s="1" t="s">
        <v>51</v>
      </c>
      <c r="Y70" s="1" t="s">
        <v>112</v>
      </c>
      <c r="Z70" s="1" t="s">
        <v>67</v>
      </c>
      <c r="AA70" s="1" t="s">
        <v>52</v>
      </c>
      <c r="AB70" s="1" t="s">
        <v>145</v>
      </c>
    </row>
    <row r="71" spans="1:28" x14ac:dyDescent="0.15">
      <c r="A71" s="1" t="s">
        <v>68</v>
      </c>
      <c r="B71" s="1" t="s">
        <v>143</v>
      </c>
      <c r="C71" s="1">
        <v>2020</v>
      </c>
      <c r="D71" s="80" t="s">
        <v>298</v>
      </c>
      <c r="E71" s="1" t="s">
        <v>54</v>
      </c>
      <c r="F71" s="1" t="s">
        <v>166</v>
      </c>
      <c r="G71" s="1" t="s">
        <v>37</v>
      </c>
      <c r="H71" s="1" t="s">
        <v>82</v>
      </c>
      <c r="I71" s="1" t="s">
        <v>64</v>
      </c>
      <c r="J71" s="1" t="s">
        <v>40</v>
      </c>
      <c r="K71" s="1" t="s">
        <v>41</v>
      </c>
      <c r="L71" s="1">
        <v>1</v>
      </c>
      <c r="N71" s="1">
        <v>1</v>
      </c>
      <c r="O71" s="1">
        <v>0.75</v>
      </c>
      <c r="P71" s="1">
        <v>0.7</v>
      </c>
      <c r="Q71" s="2">
        <f t="shared" si="4"/>
        <v>0.72499999999999998</v>
      </c>
      <c r="R71" s="1">
        <v>16.2</v>
      </c>
      <c r="S71" s="1">
        <v>105</v>
      </c>
      <c r="T71" s="2">
        <f t="shared" si="3"/>
        <v>33</v>
      </c>
      <c r="U71" s="1">
        <v>98</v>
      </c>
      <c r="V71" s="2">
        <f t="shared" si="5"/>
        <v>3234</v>
      </c>
      <c r="W71" s="1">
        <v>1</v>
      </c>
      <c r="X71" s="1" t="s">
        <v>51</v>
      </c>
      <c r="Y71" s="1" t="s">
        <v>112</v>
      </c>
      <c r="Z71" s="1" t="s">
        <v>67</v>
      </c>
      <c r="AA71" s="1" t="s">
        <v>52</v>
      </c>
      <c r="AB71" s="1" t="s">
        <v>145</v>
      </c>
    </row>
    <row r="72" spans="1:28" x14ac:dyDescent="0.15">
      <c r="A72" s="1" t="s">
        <v>68</v>
      </c>
      <c r="B72" s="1" t="s">
        <v>143</v>
      </c>
      <c r="C72" s="1">
        <v>2020</v>
      </c>
      <c r="D72" s="80" t="s">
        <v>298</v>
      </c>
      <c r="E72" s="1" t="s">
        <v>54</v>
      </c>
      <c r="F72" s="1" t="s">
        <v>166</v>
      </c>
      <c r="G72" s="1" t="s">
        <v>37</v>
      </c>
      <c r="H72" s="1" t="s">
        <v>82</v>
      </c>
      <c r="I72" s="1" t="s">
        <v>64</v>
      </c>
      <c r="J72" s="1" t="s">
        <v>40</v>
      </c>
      <c r="K72" s="1" t="s">
        <v>41</v>
      </c>
      <c r="L72" s="1">
        <v>2</v>
      </c>
      <c r="N72" s="1">
        <v>1</v>
      </c>
      <c r="O72" s="1">
        <v>0.7</v>
      </c>
      <c r="P72" s="1">
        <v>0.7</v>
      </c>
      <c r="Q72" s="2">
        <f t="shared" si="4"/>
        <v>0.7</v>
      </c>
      <c r="R72" s="1">
        <v>16.100000000000001</v>
      </c>
      <c r="S72" s="1">
        <v>107</v>
      </c>
      <c r="T72" s="2">
        <f t="shared" si="3"/>
        <v>33</v>
      </c>
      <c r="U72" s="1">
        <v>98</v>
      </c>
      <c r="V72" s="2">
        <f t="shared" si="5"/>
        <v>3234</v>
      </c>
      <c r="W72" s="1">
        <v>1</v>
      </c>
      <c r="X72" s="1" t="s">
        <v>51</v>
      </c>
      <c r="Y72" s="1" t="s">
        <v>112</v>
      </c>
      <c r="Z72" s="1" t="s">
        <v>67</v>
      </c>
      <c r="AA72" s="1" t="s">
        <v>52</v>
      </c>
      <c r="AB72" s="1" t="s">
        <v>145</v>
      </c>
    </row>
    <row r="73" spans="1:28" x14ac:dyDescent="0.15">
      <c r="A73" s="1" t="s">
        <v>68</v>
      </c>
      <c r="B73" s="1" t="s">
        <v>143</v>
      </c>
      <c r="C73" s="1">
        <v>2020</v>
      </c>
      <c r="D73" s="80" t="s">
        <v>298</v>
      </c>
      <c r="E73" s="1" t="s">
        <v>54</v>
      </c>
      <c r="F73" s="1" t="s">
        <v>166</v>
      </c>
      <c r="G73" s="1" t="s">
        <v>37</v>
      </c>
      <c r="H73" s="1" t="s">
        <v>82</v>
      </c>
      <c r="I73" s="1" t="s">
        <v>64</v>
      </c>
      <c r="J73" s="1" t="s">
        <v>40</v>
      </c>
      <c r="K73" s="1" t="s">
        <v>41</v>
      </c>
      <c r="L73" s="1">
        <v>3</v>
      </c>
      <c r="N73" s="1">
        <v>1</v>
      </c>
      <c r="O73" s="1">
        <v>0.75</v>
      </c>
      <c r="P73" s="1">
        <v>0.7</v>
      </c>
      <c r="Q73" s="2">
        <f t="shared" si="4"/>
        <v>0.72499999999999998</v>
      </c>
      <c r="R73" s="1">
        <v>17</v>
      </c>
      <c r="S73" s="1">
        <v>115</v>
      </c>
      <c r="T73" s="2">
        <f t="shared" si="3"/>
        <v>30</v>
      </c>
      <c r="U73" s="1">
        <v>98</v>
      </c>
      <c r="V73" s="2">
        <f t="shared" si="5"/>
        <v>2940</v>
      </c>
      <c r="W73" s="1">
        <v>1</v>
      </c>
      <c r="X73" s="1" t="s">
        <v>51</v>
      </c>
      <c r="Y73" s="1" t="s">
        <v>112</v>
      </c>
      <c r="Z73" s="1" t="s">
        <v>67</v>
      </c>
      <c r="AA73" s="1" t="s">
        <v>52</v>
      </c>
      <c r="AB73" s="1" t="s">
        <v>145</v>
      </c>
    </row>
    <row r="74" spans="1:28" x14ac:dyDescent="0.15">
      <c r="A74" s="1" t="s">
        <v>68</v>
      </c>
      <c r="B74" s="1" t="s">
        <v>143</v>
      </c>
      <c r="C74" s="1">
        <v>2020</v>
      </c>
      <c r="D74" s="80" t="s">
        <v>298</v>
      </c>
      <c r="E74" s="1" t="s">
        <v>167</v>
      </c>
      <c r="F74" s="1" t="s">
        <v>166</v>
      </c>
      <c r="G74" s="1" t="s">
        <v>46</v>
      </c>
      <c r="H74" s="1" t="s">
        <v>38</v>
      </c>
      <c r="I74" s="1" t="s">
        <v>64</v>
      </c>
      <c r="J74" s="1" t="s">
        <v>72</v>
      </c>
      <c r="K74" s="1" t="s">
        <v>66</v>
      </c>
      <c r="L74" s="1">
        <v>1</v>
      </c>
      <c r="N74" s="1">
        <v>1</v>
      </c>
      <c r="O74" s="1">
        <v>0.7</v>
      </c>
      <c r="P74" s="1">
        <v>0.75</v>
      </c>
      <c r="Q74" s="2">
        <f t="shared" si="4"/>
        <v>0.72499999999999998</v>
      </c>
      <c r="R74" s="1">
        <v>13.3</v>
      </c>
      <c r="S74" s="1">
        <v>131</v>
      </c>
      <c r="T74" s="2">
        <f t="shared" si="3"/>
        <v>25</v>
      </c>
      <c r="U74" s="1">
        <v>146</v>
      </c>
      <c r="V74" s="2">
        <f t="shared" si="5"/>
        <v>3650</v>
      </c>
      <c r="W74" s="1">
        <v>1</v>
      </c>
      <c r="X74" s="1" t="s">
        <v>42</v>
      </c>
      <c r="Y74" s="1" t="s">
        <v>43</v>
      </c>
      <c r="Z74" s="1" t="s">
        <v>101</v>
      </c>
      <c r="AA74" s="1" t="s">
        <v>122</v>
      </c>
      <c r="AB74" s="1" t="s">
        <v>145</v>
      </c>
    </row>
    <row r="75" spans="1:28" x14ac:dyDescent="0.15">
      <c r="A75" s="1" t="s">
        <v>68</v>
      </c>
      <c r="B75" s="1" t="s">
        <v>143</v>
      </c>
      <c r="C75" s="1">
        <v>2020</v>
      </c>
      <c r="D75" s="80" t="s">
        <v>298</v>
      </c>
      <c r="E75" s="1" t="s">
        <v>167</v>
      </c>
      <c r="F75" s="1" t="s">
        <v>166</v>
      </c>
      <c r="G75" s="1" t="s">
        <v>46</v>
      </c>
      <c r="H75" s="1" t="s">
        <v>38</v>
      </c>
      <c r="I75" s="1" t="s">
        <v>64</v>
      </c>
      <c r="J75" s="1" t="s">
        <v>72</v>
      </c>
      <c r="K75" s="1" t="s">
        <v>66</v>
      </c>
      <c r="L75" s="1">
        <v>2</v>
      </c>
      <c r="N75" s="1">
        <v>1</v>
      </c>
      <c r="O75" s="1">
        <v>0.6</v>
      </c>
      <c r="P75" s="1">
        <v>0.6</v>
      </c>
      <c r="Q75" s="2">
        <f t="shared" si="4"/>
        <v>0.6</v>
      </c>
      <c r="R75" s="1">
        <v>13.4</v>
      </c>
      <c r="S75" s="1">
        <v>132</v>
      </c>
      <c r="T75" s="2">
        <f t="shared" si="3"/>
        <v>25</v>
      </c>
      <c r="U75" s="1">
        <v>146</v>
      </c>
      <c r="V75" s="2">
        <f t="shared" si="5"/>
        <v>3650</v>
      </c>
      <c r="W75" s="1">
        <v>1</v>
      </c>
      <c r="X75" s="1" t="s">
        <v>42</v>
      </c>
      <c r="Y75" s="1" t="s">
        <v>43</v>
      </c>
      <c r="Z75" s="1" t="s">
        <v>101</v>
      </c>
      <c r="AA75" s="1" t="s">
        <v>122</v>
      </c>
      <c r="AB75" s="1" t="s">
        <v>145</v>
      </c>
    </row>
    <row r="76" spans="1:28" x14ac:dyDescent="0.15">
      <c r="A76" s="1" t="s">
        <v>68</v>
      </c>
      <c r="B76" s="1" t="s">
        <v>143</v>
      </c>
      <c r="C76" s="1">
        <v>2020</v>
      </c>
      <c r="D76" s="80" t="s">
        <v>298</v>
      </c>
      <c r="E76" s="1" t="s">
        <v>167</v>
      </c>
      <c r="F76" s="1" t="s">
        <v>166</v>
      </c>
      <c r="G76" s="1" t="s">
        <v>46</v>
      </c>
      <c r="H76" s="1" t="s">
        <v>38</v>
      </c>
      <c r="I76" s="1" t="s">
        <v>64</v>
      </c>
      <c r="J76" s="1" t="s">
        <v>72</v>
      </c>
      <c r="K76" s="1" t="s">
        <v>66</v>
      </c>
      <c r="L76" s="1">
        <v>3</v>
      </c>
      <c r="N76" s="1">
        <v>1</v>
      </c>
      <c r="O76" s="1">
        <v>1</v>
      </c>
      <c r="P76" s="1">
        <v>0.9</v>
      </c>
      <c r="Q76" s="2">
        <f t="shared" si="4"/>
        <v>0.95</v>
      </c>
      <c r="R76" s="1">
        <v>12.5</v>
      </c>
      <c r="S76" s="1">
        <v>127</v>
      </c>
      <c r="T76" s="2">
        <f t="shared" si="3"/>
        <v>27</v>
      </c>
      <c r="U76" s="1">
        <v>146</v>
      </c>
      <c r="V76" s="2">
        <f t="shared" si="5"/>
        <v>3942</v>
      </c>
      <c r="W76" s="1">
        <v>1</v>
      </c>
      <c r="X76" s="1" t="s">
        <v>42</v>
      </c>
      <c r="Y76" s="1" t="s">
        <v>43</v>
      </c>
      <c r="Z76" s="1" t="s">
        <v>101</v>
      </c>
      <c r="AA76" s="1" t="s">
        <v>122</v>
      </c>
      <c r="AB76" s="1" t="s">
        <v>145</v>
      </c>
    </row>
    <row r="77" spans="1:28" x14ac:dyDescent="0.15">
      <c r="A77" s="1" t="s">
        <v>68</v>
      </c>
      <c r="B77" s="1" t="s">
        <v>143</v>
      </c>
      <c r="C77" s="1">
        <v>2020</v>
      </c>
      <c r="D77" s="80" t="s">
        <v>298</v>
      </c>
      <c r="E77" s="1" t="s">
        <v>167</v>
      </c>
      <c r="F77" s="1" t="s">
        <v>166</v>
      </c>
      <c r="G77" s="1" t="s">
        <v>46</v>
      </c>
      <c r="H77" s="1" t="s">
        <v>63</v>
      </c>
      <c r="I77" s="1" t="s">
        <v>64</v>
      </c>
      <c r="J77" s="1" t="s">
        <v>40</v>
      </c>
      <c r="K77" s="1" t="s">
        <v>41</v>
      </c>
      <c r="L77" s="1">
        <v>1</v>
      </c>
      <c r="N77" s="1">
        <v>3</v>
      </c>
      <c r="O77" s="1">
        <v>1</v>
      </c>
      <c r="P77" s="1">
        <v>1</v>
      </c>
      <c r="Q77" s="2">
        <f t="shared" si="4"/>
        <v>1</v>
      </c>
      <c r="R77" s="1">
        <v>14.2</v>
      </c>
      <c r="S77" s="1">
        <v>83</v>
      </c>
      <c r="T77" s="2">
        <f t="shared" si="3"/>
        <v>39</v>
      </c>
      <c r="U77" s="1">
        <v>276</v>
      </c>
      <c r="V77" s="2">
        <f t="shared" si="5"/>
        <v>3588</v>
      </c>
      <c r="W77" s="1">
        <v>1</v>
      </c>
      <c r="X77" s="1" t="s">
        <v>51</v>
      </c>
      <c r="Y77" s="1" t="s">
        <v>43</v>
      </c>
      <c r="Z77" s="1" t="s">
        <v>101</v>
      </c>
      <c r="AA77" s="1" t="s">
        <v>122</v>
      </c>
      <c r="AB77" s="1" t="s">
        <v>145</v>
      </c>
    </row>
    <row r="78" spans="1:28" x14ac:dyDescent="0.15">
      <c r="A78" s="1" t="s">
        <v>68</v>
      </c>
      <c r="B78" s="1" t="s">
        <v>143</v>
      </c>
      <c r="C78" s="1">
        <v>2020</v>
      </c>
      <c r="D78" s="80" t="s">
        <v>298</v>
      </c>
      <c r="E78" s="1" t="s">
        <v>167</v>
      </c>
      <c r="F78" s="1" t="s">
        <v>166</v>
      </c>
      <c r="G78" s="1" t="s">
        <v>46</v>
      </c>
      <c r="H78" s="1" t="s">
        <v>63</v>
      </c>
      <c r="I78" s="1" t="s">
        <v>64</v>
      </c>
      <c r="J78" s="1" t="s">
        <v>40</v>
      </c>
      <c r="K78" s="1" t="s">
        <v>41</v>
      </c>
      <c r="L78" s="1">
        <v>2</v>
      </c>
      <c r="N78" s="1">
        <v>3</v>
      </c>
      <c r="O78" s="1">
        <v>1</v>
      </c>
      <c r="P78" s="1">
        <v>1.05</v>
      </c>
      <c r="Q78" s="2">
        <f t="shared" si="4"/>
        <v>1.0249999999999999</v>
      </c>
      <c r="R78" s="1">
        <v>14.7</v>
      </c>
      <c r="S78" s="1">
        <v>90</v>
      </c>
      <c r="T78" s="2">
        <f t="shared" si="3"/>
        <v>36</v>
      </c>
      <c r="U78" s="1">
        <v>276</v>
      </c>
      <c r="V78" s="2">
        <f t="shared" si="5"/>
        <v>3312</v>
      </c>
      <c r="W78" s="1">
        <v>1</v>
      </c>
      <c r="X78" s="1" t="s">
        <v>51</v>
      </c>
      <c r="Y78" s="1" t="s">
        <v>43</v>
      </c>
      <c r="Z78" s="1" t="s">
        <v>101</v>
      </c>
      <c r="AA78" s="1" t="s">
        <v>122</v>
      </c>
      <c r="AB78" s="1" t="s">
        <v>145</v>
      </c>
    </row>
    <row r="79" spans="1:28" x14ac:dyDescent="0.15">
      <c r="A79" s="1" t="s">
        <v>68</v>
      </c>
      <c r="B79" s="1" t="s">
        <v>143</v>
      </c>
      <c r="C79" s="1">
        <v>2020</v>
      </c>
      <c r="D79" s="80" t="s">
        <v>298</v>
      </c>
      <c r="E79" s="1" t="s">
        <v>167</v>
      </c>
      <c r="F79" s="1" t="s">
        <v>166</v>
      </c>
      <c r="G79" s="1" t="s">
        <v>46</v>
      </c>
      <c r="H79" s="1" t="s">
        <v>63</v>
      </c>
      <c r="I79" s="1" t="s">
        <v>64</v>
      </c>
      <c r="J79" s="1" t="s">
        <v>40</v>
      </c>
      <c r="K79" s="1" t="s">
        <v>41</v>
      </c>
      <c r="L79" s="1">
        <v>3</v>
      </c>
      <c r="N79" s="1">
        <v>3</v>
      </c>
      <c r="O79" s="1">
        <v>0.8</v>
      </c>
      <c r="P79" s="1">
        <v>0.8</v>
      </c>
      <c r="Q79" s="2">
        <f t="shared" si="4"/>
        <v>0.8</v>
      </c>
      <c r="R79" s="1">
        <v>12.8</v>
      </c>
      <c r="S79" s="1">
        <v>81</v>
      </c>
      <c r="T79" s="2">
        <f t="shared" si="3"/>
        <v>39</v>
      </c>
      <c r="U79" s="1">
        <v>276</v>
      </c>
      <c r="V79" s="2">
        <f t="shared" si="5"/>
        <v>3588</v>
      </c>
      <c r="W79" s="1">
        <v>1</v>
      </c>
      <c r="X79" s="1" t="s">
        <v>51</v>
      </c>
      <c r="Y79" s="1" t="s">
        <v>43</v>
      </c>
      <c r="Z79" s="1" t="s">
        <v>101</v>
      </c>
      <c r="AA79" s="1" t="s">
        <v>122</v>
      </c>
      <c r="AB79" s="1" t="s">
        <v>145</v>
      </c>
    </row>
    <row r="80" spans="1:28" x14ac:dyDescent="0.15">
      <c r="A80" s="1" t="s">
        <v>68</v>
      </c>
      <c r="B80" s="1" t="s">
        <v>143</v>
      </c>
      <c r="C80" s="1">
        <v>2020</v>
      </c>
      <c r="D80" s="80" t="s">
        <v>298</v>
      </c>
      <c r="E80" s="1" t="s">
        <v>167</v>
      </c>
      <c r="F80" s="1" t="s">
        <v>166</v>
      </c>
      <c r="G80" s="1" t="s">
        <v>46</v>
      </c>
      <c r="H80" s="1" t="s">
        <v>82</v>
      </c>
      <c r="I80" s="1" t="s">
        <v>64</v>
      </c>
      <c r="J80" s="1" t="s">
        <v>40</v>
      </c>
      <c r="K80" s="1" t="s">
        <v>41</v>
      </c>
      <c r="L80" s="1">
        <v>1</v>
      </c>
      <c r="N80" s="1">
        <v>1</v>
      </c>
      <c r="O80" s="1">
        <v>0.65</v>
      </c>
      <c r="P80" s="1">
        <v>0.7</v>
      </c>
      <c r="Q80" s="2">
        <f t="shared" si="4"/>
        <v>0.67500000000000004</v>
      </c>
      <c r="R80" s="1">
        <v>17.7</v>
      </c>
      <c r="S80" s="1">
        <v>119</v>
      </c>
      <c r="T80" s="2">
        <f t="shared" si="3"/>
        <v>30</v>
      </c>
      <c r="U80" s="1">
        <v>146</v>
      </c>
      <c r="V80" s="2">
        <f t="shared" si="5"/>
        <v>4380</v>
      </c>
      <c r="W80" s="1">
        <v>1</v>
      </c>
      <c r="X80" s="1" t="s">
        <v>51</v>
      </c>
      <c r="Y80" s="1" t="s">
        <v>43</v>
      </c>
      <c r="Z80" s="1" t="s">
        <v>101</v>
      </c>
      <c r="AA80" s="1" t="s">
        <v>122</v>
      </c>
      <c r="AB80" s="1" t="s">
        <v>145</v>
      </c>
    </row>
    <row r="81" spans="1:28" x14ac:dyDescent="0.15">
      <c r="A81" s="1" t="s">
        <v>68</v>
      </c>
      <c r="B81" s="1" t="s">
        <v>143</v>
      </c>
      <c r="C81" s="1">
        <v>2020</v>
      </c>
      <c r="D81" s="80" t="s">
        <v>298</v>
      </c>
      <c r="E81" s="1" t="s">
        <v>167</v>
      </c>
      <c r="F81" s="1" t="s">
        <v>166</v>
      </c>
      <c r="G81" s="1" t="s">
        <v>46</v>
      </c>
      <c r="H81" s="1" t="s">
        <v>82</v>
      </c>
      <c r="I81" s="1" t="s">
        <v>64</v>
      </c>
      <c r="J81" s="1" t="s">
        <v>40</v>
      </c>
      <c r="K81" s="1" t="s">
        <v>41</v>
      </c>
      <c r="L81" s="1">
        <v>2</v>
      </c>
      <c r="N81" s="1">
        <v>1</v>
      </c>
      <c r="O81" s="1">
        <v>0.5</v>
      </c>
      <c r="P81" s="1">
        <v>0.5</v>
      </c>
      <c r="Q81" s="2">
        <f t="shared" si="4"/>
        <v>0.5</v>
      </c>
      <c r="R81" s="1">
        <v>18.8</v>
      </c>
      <c r="S81" s="1">
        <v>117</v>
      </c>
      <c r="T81" s="2">
        <f t="shared" si="3"/>
        <v>30</v>
      </c>
      <c r="U81" s="1">
        <v>146</v>
      </c>
      <c r="V81" s="2">
        <f t="shared" si="5"/>
        <v>4380</v>
      </c>
      <c r="W81" s="1">
        <v>1</v>
      </c>
      <c r="X81" s="1" t="s">
        <v>51</v>
      </c>
      <c r="Y81" s="1" t="s">
        <v>43</v>
      </c>
      <c r="Z81" s="1" t="s">
        <v>101</v>
      </c>
      <c r="AA81" s="1" t="s">
        <v>122</v>
      </c>
      <c r="AB81" s="1" t="s">
        <v>145</v>
      </c>
    </row>
    <row r="82" spans="1:28" x14ac:dyDescent="0.15">
      <c r="A82" s="1" t="s">
        <v>68</v>
      </c>
      <c r="B82" s="1" t="s">
        <v>143</v>
      </c>
      <c r="C82" s="1">
        <v>2020</v>
      </c>
      <c r="D82" s="80" t="s">
        <v>298</v>
      </c>
      <c r="E82" s="1" t="s">
        <v>167</v>
      </c>
      <c r="F82" s="1" t="s">
        <v>166</v>
      </c>
      <c r="G82" s="1" t="s">
        <v>46</v>
      </c>
      <c r="H82" s="1" t="s">
        <v>82</v>
      </c>
      <c r="I82" s="1" t="s">
        <v>64</v>
      </c>
      <c r="J82" s="1" t="s">
        <v>40</v>
      </c>
      <c r="K82" s="1" t="s">
        <v>41</v>
      </c>
      <c r="L82" s="1">
        <v>3</v>
      </c>
      <c r="N82" s="1">
        <v>1</v>
      </c>
      <c r="O82" s="1">
        <v>0.5</v>
      </c>
      <c r="P82" s="1">
        <v>0.55000000000000004</v>
      </c>
      <c r="Q82" s="2">
        <f t="shared" si="4"/>
        <v>0.52500000000000002</v>
      </c>
      <c r="R82" s="1">
        <v>15.7</v>
      </c>
      <c r="S82" s="1">
        <v>122</v>
      </c>
      <c r="T82" s="2">
        <f t="shared" si="3"/>
        <v>27</v>
      </c>
      <c r="U82" s="1">
        <v>146</v>
      </c>
      <c r="V82" s="2">
        <f t="shared" si="5"/>
        <v>3942</v>
      </c>
      <c r="W82" s="1">
        <v>1</v>
      </c>
      <c r="X82" s="1" t="s">
        <v>51</v>
      </c>
      <c r="Y82" s="1" t="s">
        <v>43</v>
      </c>
      <c r="Z82" s="1" t="s">
        <v>101</v>
      </c>
      <c r="AA82" s="1" t="s">
        <v>122</v>
      </c>
      <c r="AB82" s="1" t="s">
        <v>145</v>
      </c>
    </row>
    <row r="83" spans="1:28" x14ac:dyDescent="0.15">
      <c r="A83" s="1" t="s">
        <v>68</v>
      </c>
      <c r="B83" s="1" t="s">
        <v>143</v>
      </c>
      <c r="C83" s="1">
        <v>2020</v>
      </c>
      <c r="D83" s="80" t="s">
        <v>298</v>
      </c>
      <c r="E83" s="1" t="s">
        <v>167</v>
      </c>
      <c r="F83" s="1" t="s">
        <v>166</v>
      </c>
      <c r="G83" s="1" t="s">
        <v>46</v>
      </c>
      <c r="H83" s="1" t="s">
        <v>82</v>
      </c>
      <c r="I83" s="1" t="s">
        <v>64</v>
      </c>
      <c r="J83" s="1" t="s">
        <v>40</v>
      </c>
      <c r="K83" s="1" t="s">
        <v>41</v>
      </c>
      <c r="L83" s="1">
        <v>1</v>
      </c>
      <c r="N83" s="1">
        <v>3</v>
      </c>
      <c r="O83" s="1">
        <v>0.8</v>
      </c>
      <c r="P83" s="1">
        <v>0.8</v>
      </c>
      <c r="Q83" s="2">
        <f t="shared" si="4"/>
        <v>0.8</v>
      </c>
      <c r="R83" s="1">
        <v>17.8</v>
      </c>
      <c r="S83" s="1">
        <v>105</v>
      </c>
      <c r="T83" s="2">
        <f t="shared" si="3"/>
        <v>33</v>
      </c>
      <c r="U83" s="1">
        <v>368</v>
      </c>
      <c r="V83" s="2">
        <f t="shared" si="5"/>
        <v>4048</v>
      </c>
      <c r="W83" s="1">
        <v>1</v>
      </c>
      <c r="X83" s="1" t="s">
        <v>42</v>
      </c>
      <c r="Y83" s="1" t="s">
        <v>43</v>
      </c>
      <c r="Z83" s="1" t="s">
        <v>101</v>
      </c>
      <c r="AA83" s="1" t="s">
        <v>122</v>
      </c>
      <c r="AB83" s="1" t="s">
        <v>145</v>
      </c>
    </row>
    <row r="84" spans="1:28" x14ac:dyDescent="0.15">
      <c r="A84" s="1" t="s">
        <v>68</v>
      </c>
      <c r="B84" s="1" t="s">
        <v>143</v>
      </c>
      <c r="C84" s="1">
        <v>2020</v>
      </c>
      <c r="D84" s="80" t="s">
        <v>298</v>
      </c>
      <c r="E84" s="1" t="s">
        <v>167</v>
      </c>
      <c r="F84" s="1" t="s">
        <v>166</v>
      </c>
      <c r="G84" s="1" t="s">
        <v>46</v>
      </c>
      <c r="H84" s="1" t="s">
        <v>82</v>
      </c>
      <c r="I84" s="1" t="s">
        <v>64</v>
      </c>
      <c r="J84" s="1" t="s">
        <v>40</v>
      </c>
      <c r="K84" s="1" t="s">
        <v>41</v>
      </c>
      <c r="L84" s="1">
        <v>2</v>
      </c>
      <c r="N84" s="1">
        <v>3</v>
      </c>
      <c r="O84" s="1">
        <v>0.5</v>
      </c>
      <c r="P84" s="1">
        <v>0.5</v>
      </c>
      <c r="Q84" s="2">
        <f t="shared" si="4"/>
        <v>0.5</v>
      </c>
      <c r="R84" s="1">
        <v>15.7</v>
      </c>
      <c r="S84" s="1">
        <v>92</v>
      </c>
      <c r="T84" s="2">
        <f t="shared" si="3"/>
        <v>36</v>
      </c>
      <c r="U84" s="1">
        <v>368</v>
      </c>
      <c r="V84" s="2">
        <f t="shared" si="5"/>
        <v>4416</v>
      </c>
      <c r="W84" s="1">
        <v>1</v>
      </c>
      <c r="X84" s="1" t="s">
        <v>42</v>
      </c>
      <c r="Y84" s="1" t="s">
        <v>43</v>
      </c>
      <c r="Z84" s="1" t="s">
        <v>101</v>
      </c>
      <c r="AA84" s="1" t="s">
        <v>122</v>
      </c>
      <c r="AB84" s="1" t="s">
        <v>145</v>
      </c>
    </row>
    <row r="85" spans="1:28" x14ac:dyDescent="0.15">
      <c r="A85" s="1" t="s">
        <v>68</v>
      </c>
      <c r="B85" s="1" t="s">
        <v>143</v>
      </c>
      <c r="C85" s="1">
        <v>2020</v>
      </c>
      <c r="D85" s="80" t="s">
        <v>298</v>
      </c>
      <c r="E85" s="1" t="s">
        <v>167</v>
      </c>
      <c r="F85" s="1" t="s">
        <v>166</v>
      </c>
      <c r="G85" s="1" t="s">
        <v>46</v>
      </c>
      <c r="H85" s="1" t="s">
        <v>82</v>
      </c>
      <c r="I85" s="1" t="s">
        <v>64</v>
      </c>
      <c r="J85" s="1" t="s">
        <v>40</v>
      </c>
      <c r="K85" s="1" t="s">
        <v>41</v>
      </c>
      <c r="L85" s="1">
        <v>3</v>
      </c>
      <c r="N85" s="1">
        <v>3</v>
      </c>
      <c r="O85" s="1">
        <v>0.65</v>
      </c>
      <c r="P85" s="1">
        <v>0.65</v>
      </c>
      <c r="Q85" s="2">
        <f t="shared" si="4"/>
        <v>0.65</v>
      </c>
      <c r="R85" s="1">
        <v>14.7</v>
      </c>
      <c r="S85" s="1">
        <v>92</v>
      </c>
      <c r="T85" s="2">
        <f t="shared" si="3"/>
        <v>36</v>
      </c>
      <c r="U85" s="1">
        <v>368</v>
      </c>
      <c r="V85" s="2">
        <f t="shared" si="5"/>
        <v>4416</v>
      </c>
      <c r="W85" s="1">
        <v>1</v>
      </c>
      <c r="X85" s="1" t="s">
        <v>42</v>
      </c>
      <c r="Y85" s="1" t="s">
        <v>43</v>
      </c>
      <c r="Z85" s="1" t="s">
        <v>101</v>
      </c>
      <c r="AA85" s="1" t="s">
        <v>122</v>
      </c>
      <c r="AB85" s="1" t="s">
        <v>145</v>
      </c>
    </row>
    <row r="86" spans="1:28" x14ac:dyDescent="0.15">
      <c r="A86" s="1" t="s">
        <v>68</v>
      </c>
      <c r="B86" s="1" t="s">
        <v>143</v>
      </c>
      <c r="C86" s="1">
        <v>2020</v>
      </c>
      <c r="D86" s="80" t="s">
        <v>298</v>
      </c>
      <c r="E86" s="1" t="s">
        <v>157</v>
      </c>
      <c r="F86" s="1" t="s">
        <v>158</v>
      </c>
      <c r="G86" s="1" t="s">
        <v>46</v>
      </c>
      <c r="H86" s="1" t="s">
        <v>63</v>
      </c>
      <c r="I86" s="1" t="s">
        <v>64</v>
      </c>
      <c r="J86" s="1" t="s">
        <v>40</v>
      </c>
      <c r="K86" s="1" t="s">
        <v>41</v>
      </c>
      <c r="L86" s="1">
        <v>1</v>
      </c>
      <c r="N86" s="1">
        <v>4</v>
      </c>
      <c r="O86" s="1">
        <v>1</v>
      </c>
      <c r="P86" s="1">
        <v>1.05</v>
      </c>
      <c r="Q86" s="2">
        <f t="shared" si="4"/>
        <v>1.0249999999999999</v>
      </c>
      <c r="R86" s="1">
        <v>13.8</v>
      </c>
      <c r="S86" s="1">
        <v>99</v>
      </c>
      <c r="T86" s="2">
        <f t="shared" si="3"/>
        <v>33</v>
      </c>
      <c r="U86" s="1">
        <v>357</v>
      </c>
      <c r="V86" s="2">
        <f t="shared" si="5"/>
        <v>2945.25</v>
      </c>
      <c r="W86" s="1">
        <v>1</v>
      </c>
      <c r="X86" s="1" t="s">
        <v>42</v>
      </c>
      <c r="Y86" s="1" t="s">
        <v>67</v>
      </c>
      <c r="Z86" s="1" t="s">
        <v>85</v>
      </c>
      <c r="AA86" s="1" t="s">
        <v>52</v>
      </c>
      <c r="AB86" s="1" t="s">
        <v>145</v>
      </c>
    </row>
    <row r="87" spans="1:28" x14ac:dyDescent="0.15">
      <c r="A87" s="1" t="s">
        <v>68</v>
      </c>
      <c r="B87" s="1" t="s">
        <v>143</v>
      </c>
      <c r="C87" s="1">
        <v>2020</v>
      </c>
      <c r="D87" s="80" t="s">
        <v>298</v>
      </c>
      <c r="E87" s="1" t="s">
        <v>157</v>
      </c>
      <c r="F87" s="1" t="s">
        <v>158</v>
      </c>
      <c r="G87" s="1" t="s">
        <v>46</v>
      </c>
      <c r="H87" s="1" t="s">
        <v>63</v>
      </c>
      <c r="I87" s="1" t="s">
        <v>64</v>
      </c>
      <c r="J87" s="1" t="s">
        <v>40</v>
      </c>
      <c r="K87" s="1" t="s">
        <v>41</v>
      </c>
      <c r="L87" s="1">
        <v>2</v>
      </c>
      <c r="N87" s="1">
        <v>4</v>
      </c>
      <c r="O87" s="1">
        <v>0.75</v>
      </c>
      <c r="P87" s="1">
        <v>0.8</v>
      </c>
      <c r="Q87" s="2">
        <f t="shared" si="4"/>
        <v>0.77500000000000002</v>
      </c>
      <c r="R87" s="1">
        <v>11.4</v>
      </c>
      <c r="S87" s="1">
        <v>94</v>
      </c>
      <c r="T87" s="2">
        <f t="shared" si="3"/>
        <v>36</v>
      </c>
      <c r="U87" s="1">
        <v>357</v>
      </c>
      <c r="V87" s="2">
        <f t="shared" si="5"/>
        <v>3213</v>
      </c>
      <c r="W87" s="1">
        <v>1</v>
      </c>
      <c r="X87" s="1" t="s">
        <v>42</v>
      </c>
      <c r="Y87" s="1" t="s">
        <v>67</v>
      </c>
      <c r="Z87" s="1" t="s">
        <v>85</v>
      </c>
      <c r="AA87" s="1" t="s">
        <v>52</v>
      </c>
      <c r="AB87" s="1" t="s">
        <v>145</v>
      </c>
    </row>
    <row r="88" spans="1:28" x14ac:dyDescent="0.15">
      <c r="A88" s="1" t="s">
        <v>68</v>
      </c>
      <c r="B88" s="1" t="s">
        <v>143</v>
      </c>
      <c r="C88" s="1">
        <v>2020</v>
      </c>
      <c r="D88" s="80" t="s">
        <v>298</v>
      </c>
      <c r="E88" s="1" t="s">
        <v>157</v>
      </c>
      <c r="F88" s="1" t="s">
        <v>158</v>
      </c>
      <c r="G88" s="1" t="s">
        <v>46</v>
      </c>
      <c r="H88" s="1" t="s">
        <v>63</v>
      </c>
      <c r="I88" s="1" t="s">
        <v>64</v>
      </c>
      <c r="J88" s="1" t="s">
        <v>40</v>
      </c>
      <c r="K88" s="1" t="s">
        <v>41</v>
      </c>
      <c r="L88" s="1">
        <v>3</v>
      </c>
      <c r="N88" s="1">
        <v>4</v>
      </c>
      <c r="O88" s="1">
        <v>0.8</v>
      </c>
      <c r="P88" s="1">
        <v>0.8</v>
      </c>
      <c r="Q88" s="2">
        <f t="shared" si="4"/>
        <v>0.8</v>
      </c>
      <c r="R88" s="1">
        <v>11.8</v>
      </c>
      <c r="S88" s="1">
        <v>100</v>
      </c>
      <c r="T88" s="2">
        <f t="shared" si="3"/>
        <v>33</v>
      </c>
      <c r="U88" s="1">
        <v>357</v>
      </c>
      <c r="V88" s="2">
        <f t="shared" si="5"/>
        <v>2945.25</v>
      </c>
      <c r="W88" s="1">
        <v>1</v>
      </c>
      <c r="X88" s="1" t="s">
        <v>42</v>
      </c>
      <c r="Y88" s="1" t="s">
        <v>67</v>
      </c>
      <c r="Z88" s="1" t="s">
        <v>85</v>
      </c>
      <c r="AA88" s="1" t="s">
        <v>52</v>
      </c>
      <c r="AB88" s="1" t="s">
        <v>145</v>
      </c>
    </row>
    <row r="89" spans="1:28" x14ac:dyDescent="0.15">
      <c r="A89" s="1" t="s">
        <v>68</v>
      </c>
      <c r="B89" s="1" t="s">
        <v>143</v>
      </c>
      <c r="C89" s="1">
        <v>2020</v>
      </c>
      <c r="D89" s="80" t="s">
        <v>298</v>
      </c>
      <c r="E89" s="1" t="s">
        <v>157</v>
      </c>
      <c r="F89" s="1" t="s">
        <v>158</v>
      </c>
      <c r="G89" s="1" t="s">
        <v>46</v>
      </c>
      <c r="H89" s="1" t="s">
        <v>63</v>
      </c>
      <c r="I89" s="1" t="s">
        <v>64</v>
      </c>
      <c r="J89" s="1" t="s">
        <v>40</v>
      </c>
      <c r="K89" s="1" t="s">
        <v>41</v>
      </c>
      <c r="L89" s="1">
        <v>1</v>
      </c>
      <c r="N89" s="1">
        <v>8</v>
      </c>
      <c r="O89" s="1">
        <v>1.1499999999999999</v>
      </c>
      <c r="P89" s="1">
        <v>1</v>
      </c>
      <c r="Q89" s="2">
        <f t="shared" si="4"/>
        <v>1.075</v>
      </c>
      <c r="R89" s="1">
        <v>13.6</v>
      </c>
      <c r="S89" s="1">
        <v>73</v>
      </c>
      <c r="T89" s="2">
        <f t="shared" si="3"/>
        <v>42</v>
      </c>
      <c r="U89" s="1">
        <v>497</v>
      </c>
      <c r="V89" s="2">
        <f t="shared" si="5"/>
        <v>2609.25</v>
      </c>
      <c r="W89" s="1">
        <v>1</v>
      </c>
      <c r="X89" s="1" t="s">
        <v>42</v>
      </c>
      <c r="Y89" s="1" t="s">
        <v>67</v>
      </c>
      <c r="Z89" s="1" t="s">
        <v>85</v>
      </c>
      <c r="AA89" s="1" t="s">
        <v>52</v>
      </c>
      <c r="AB89" s="1" t="s">
        <v>145</v>
      </c>
    </row>
    <row r="90" spans="1:28" x14ac:dyDescent="0.15">
      <c r="A90" s="1" t="s">
        <v>68</v>
      </c>
      <c r="B90" s="1" t="s">
        <v>143</v>
      </c>
      <c r="C90" s="1">
        <v>2020</v>
      </c>
      <c r="D90" s="80" t="s">
        <v>298</v>
      </c>
      <c r="E90" s="1" t="s">
        <v>157</v>
      </c>
      <c r="F90" s="1" t="s">
        <v>158</v>
      </c>
      <c r="G90" s="1" t="s">
        <v>46</v>
      </c>
      <c r="H90" s="1" t="s">
        <v>63</v>
      </c>
      <c r="I90" s="1" t="s">
        <v>64</v>
      </c>
      <c r="J90" s="1" t="s">
        <v>40</v>
      </c>
      <c r="K90" s="1" t="s">
        <v>41</v>
      </c>
      <c r="L90" s="1">
        <v>2</v>
      </c>
      <c r="N90" s="1">
        <v>8</v>
      </c>
      <c r="O90" s="1">
        <v>1.2</v>
      </c>
      <c r="P90" s="1">
        <v>1.2</v>
      </c>
      <c r="Q90" s="2">
        <f t="shared" si="4"/>
        <v>1.2</v>
      </c>
      <c r="R90" s="1">
        <v>15.8</v>
      </c>
      <c r="S90" s="1">
        <v>78</v>
      </c>
      <c r="T90" s="2">
        <f t="shared" si="3"/>
        <v>39</v>
      </c>
      <c r="U90" s="1">
        <v>497</v>
      </c>
      <c r="V90" s="2">
        <f t="shared" si="5"/>
        <v>2422.875</v>
      </c>
      <c r="W90" s="1">
        <v>1</v>
      </c>
      <c r="X90" s="1" t="s">
        <v>42</v>
      </c>
      <c r="Y90" s="1" t="s">
        <v>67</v>
      </c>
      <c r="Z90" s="1" t="s">
        <v>85</v>
      </c>
      <c r="AA90" s="1" t="s">
        <v>52</v>
      </c>
      <c r="AB90" s="1" t="s">
        <v>145</v>
      </c>
    </row>
    <row r="91" spans="1:28" x14ac:dyDescent="0.15">
      <c r="A91" s="1" t="s">
        <v>68</v>
      </c>
      <c r="B91" s="1" t="s">
        <v>143</v>
      </c>
      <c r="C91" s="1">
        <v>2020</v>
      </c>
      <c r="D91" s="80" t="s">
        <v>298</v>
      </c>
      <c r="E91" s="1" t="s">
        <v>157</v>
      </c>
      <c r="F91" s="1" t="s">
        <v>158</v>
      </c>
      <c r="G91" s="1" t="s">
        <v>46</v>
      </c>
      <c r="H91" s="1" t="s">
        <v>63</v>
      </c>
      <c r="I91" s="1" t="s">
        <v>64</v>
      </c>
      <c r="J91" s="1" t="s">
        <v>40</v>
      </c>
      <c r="K91" s="1" t="s">
        <v>41</v>
      </c>
      <c r="L91" s="1">
        <v>3</v>
      </c>
      <c r="N91" s="1">
        <v>8</v>
      </c>
      <c r="O91" s="1">
        <v>1.1000000000000001</v>
      </c>
      <c r="P91" s="1">
        <v>1.1499999999999999</v>
      </c>
      <c r="Q91" s="2">
        <f t="shared" si="4"/>
        <v>1.125</v>
      </c>
      <c r="R91" s="1">
        <v>16.7</v>
      </c>
      <c r="S91" s="1">
        <v>80</v>
      </c>
      <c r="T91" s="2">
        <f t="shared" si="3"/>
        <v>39</v>
      </c>
      <c r="U91" s="1">
        <v>497</v>
      </c>
      <c r="V91" s="2">
        <f t="shared" si="5"/>
        <v>2422.875</v>
      </c>
      <c r="W91" s="1">
        <v>1</v>
      </c>
      <c r="X91" s="1" t="s">
        <v>42</v>
      </c>
      <c r="Y91" s="1" t="s">
        <v>67</v>
      </c>
      <c r="Z91" s="1" t="s">
        <v>85</v>
      </c>
      <c r="AA91" s="1" t="s">
        <v>52</v>
      </c>
      <c r="AB91" s="1" t="s">
        <v>145</v>
      </c>
    </row>
    <row r="92" spans="1:28" x14ac:dyDescent="0.15">
      <c r="A92" s="1" t="s">
        <v>68</v>
      </c>
      <c r="B92" s="1" t="s">
        <v>143</v>
      </c>
      <c r="C92" s="1">
        <v>2020</v>
      </c>
      <c r="D92" s="80" t="s">
        <v>298</v>
      </c>
      <c r="E92" s="1" t="s">
        <v>157</v>
      </c>
      <c r="F92" s="1" t="s">
        <v>158</v>
      </c>
      <c r="G92" s="1" t="s">
        <v>46</v>
      </c>
      <c r="H92" s="1" t="s">
        <v>82</v>
      </c>
      <c r="I92" s="1" t="s">
        <v>64</v>
      </c>
      <c r="J92" s="1" t="s">
        <v>40</v>
      </c>
      <c r="K92" s="1" t="s">
        <v>41</v>
      </c>
      <c r="L92" s="1">
        <v>1</v>
      </c>
      <c r="N92" s="1">
        <v>1</v>
      </c>
      <c r="O92" s="1">
        <v>0.7</v>
      </c>
      <c r="P92" s="1">
        <v>0.75</v>
      </c>
      <c r="Q92" s="2">
        <f t="shared" si="4"/>
        <v>0.72499999999999998</v>
      </c>
      <c r="R92" s="1">
        <v>17</v>
      </c>
      <c r="S92" s="1">
        <v>125</v>
      </c>
      <c r="T92" s="2">
        <f t="shared" si="3"/>
        <v>27</v>
      </c>
      <c r="U92" s="1">
        <v>97</v>
      </c>
      <c r="V92" s="2">
        <f t="shared" si="5"/>
        <v>2619</v>
      </c>
      <c r="W92" s="1">
        <v>1</v>
      </c>
      <c r="X92" s="1" t="s">
        <v>42</v>
      </c>
      <c r="Y92" s="1" t="s">
        <v>67</v>
      </c>
      <c r="Z92" s="1" t="s">
        <v>85</v>
      </c>
      <c r="AA92" s="1" t="s">
        <v>52</v>
      </c>
      <c r="AB92" s="1" t="s">
        <v>145</v>
      </c>
    </row>
    <row r="93" spans="1:28" x14ac:dyDescent="0.15">
      <c r="A93" s="1" t="s">
        <v>68</v>
      </c>
      <c r="B93" s="1" t="s">
        <v>143</v>
      </c>
      <c r="C93" s="1">
        <v>2020</v>
      </c>
      <c r="D93" s="80" t="s">
        <v>298</v>
      </c>
      <c r="E93" s="1" t="s">
        <v>157</v>
      </c>
      <c r="F93" s="1" t="s">
        <v>158</v>
      </c>
      <c r="G93" s="1" t="s">
        <v>46</v>
      </c>
      <c r="H93" s="1" t="s">
        <v>82</v>
      </c>
      <c r="I93" s="1" t="s">
        <v>64</v>
      </c>
      <c r="J93" s="1" t="s">
        <v>40</v>
      </c>
      <c r="K93" s="1" t="s">
        <v>41</v>
      </c>
      <c r="L93" s="1">
        <v>2</v>
      </c>
      <c r="N93" s="1">
        <v>1</v>
      </c>
      <c r="O93" s="1">
        <v>0.75</v>
      </c>
      <c r="P93" s="1">
        <v>0.75</v>
      </c>
      <c r="Q93" s="2">
        <f t="shared" si="4"/>
        <v>0.75</v>
      </c>
      <c r="R93" s="1">
        <v>14.9</v>
      </c>
      <c r="S93" s="1">
        <v>129</v>
      </c>
      <c r="T93" s="2">
        <f t="shared" si="3"/>
        <v>25</v>
      </c>
      <c r="U93" s="1">
        <v>97</v>
      </c>
      <c r="V93" s="2">
        <f t="shared" si="5"/>
        <v>2425</v>
      </c>
      <c r="W93" s="1">
        <v>1</v>
      </c>
      <c r="X93" s="1" t="s">
        <v>42</v>
      </c>
      <c r="Y93" s="1" t="s">
        <v>67</v>
      </c>
      <c r="Z93" s="1" t="s">
        <v>85</v>
      </c>
      <c r="AA93" s="1" t="s">
        <v>52</v>
      </c>
      <c r="AB93" s="1" t="s">
        <v>145</v>
      </c>
    </row>
    <row r="94" spans="1:28" x14ac:dyDescent="0.15">
      <c r="A94" s="1" t="s">
        <v>68</v>
      </c>
      <c r="B94" s="1" t="s">
        <v>143</v>
      </c>
      <c r="C94" s="1">
        <v>2020</v>
      </c>
      <c r="D94" s="80" t="s">
        <v>298</v>
      </c>
      <c r="E94" s="1" t="s">
        <v>157</v>
      </c>
      <c r="F94" s="1" t="s">
        <v>158</v>
      </c>
      <c r="G94" s="1" t="s">
        <v>46</v>
      </c>
      <c r="H94" s="1" t="s">
        <v>82</v>
      </c>
      <c r="I94" s="1" t="s">
        <v>64</v>
      </c>
      <c r="J94" s="1" t="s">
        <v>40</v>
      </c>
      <c r="K94" s="1" t="s">
        <v>41</v>
      </c>
      <c r="L94" s="1">
        <v>3</v>
      </c>
      <c r="N94" s="1">
        <v>1</v>
      </c>
      <c r="O94" s="1">
        <v>0.7</v>
      </c>
      <c r="P94" s="1">
        <v>0.7</v>
      </c>
      <c r="Q94" s="2">
        <f t="shared" si="4"/>
        <v>0.7</v>
      </c>
      <c r="R94" s="1">
        <v>15.9</v>
      </c>
      <c r="S94" s="1">
        <v>127</v>
      </c>
      <c r="T94" s="2">
        <f t="shared" si="3"/>
        <v>27</v>
      </c>
      <c r="U94" s="1">
        <v>97</v>
      </c>
      <c r="V94" s="2">
        <f t="shared" si="5"/>
        <v>2619</v>
      </c>
      <c r="W94" s="1">
        <v>1</v>
      </c>
      <c r="X94" s="1" t="s">
        <v>42</v>
      </c>
      <c r="Y94" s="1" t="s">
        <v>67</v>
      </c>
      <c r="Z94" s="1" t="s">
        <v>85</v>
      </c>
      <c r="AA94" s="1" t="s">
        <v>52</v>
      </c>
      <c r="AB94" s="1" t="s">
        <v>145</v>
      </c>
    </row>
    <row r="95" spans="1:28" x14ac:dyDescent="0.15">
      <c r="A95" s="1" t="s">
        <v>68</v>
      </c>
      <c r="B95" s="1" t="s">
        <v>143</v>
      </c>
      <c r="C95" s="1">
        <v>2020</v>
      </c>
      <c r="D95" s="80" t="s">
        <v>298</v>
      </c>
      <c r="E95" s="1" t="s">
        <v>157</v>
      </c>
      <c r="F95" s="1" t="s">
        <v>158</v>
      </c>
      <c r="G95" s="1" t="s">
        <v>46</v>
      </c>
      <c r="H95" s="1" t="s">
        <v>82</v>
      </c>
      <c r="I95" s="1" t="s">
        <v>64</v>
      </c>
      <c r="J95" s="1" t="s">
        <v>40</v>
      </c>
      <c r="K95" s="1" t="s">
        <v>41</v>
      </c>
      <c r="L95" s="1">
        <v>1</v>
      </c>
      <c r="N95" s="1">
        <v>4</v>
      </c>
      <c r="O95" s="1">
        <v>0.7</v>
      </c>
      <c r="P95" s="1">
        <v>0.75</v>
      </c>
      <c r="Q95" s="2">
        <f t="shared" si="4"/>
        <v>0.72499999999999998</v>
      </c>
      <c r="R95" s="1">
        <v>14.9</v>
      </c>
      <c r="S95" s="1">
        <v>102</v>
      </c>
      <c r="T95" s="2">
        <f t="shared" si="3"/>
        <v>33</v>
      </c>
      <c r="U95" s="1">
        <v>397</v>
      </c>
      <c r="V95" s="2">
        <f t="shared" si="5"/>
        <v>3275.25</v>
      </c>
      <c r="W95" s="1">
        <v>1</v>
      </c>
      <c r="X95" s="1" t="s">
        <v>42</v>
      </c>
      <c r="Y95" s="1" t="s">
        <v>67</v>
      </c>
      <c r="Z95" s="1" t="s">
        <v>85</v>
      </c>
      <c r="AA95" s="1" t="s">
        <v>52</v>
      </c>
      <c r="AB95" s="1" t="s">
        <v>145</v>
      </c>
    </row>
    <row r="96" spans="1:28" x14ac:dyDescent="0.15">
      <c r="A96" s="1" t="s">
        <v>68</v>
      </c>
      <c r="B96" s="1" t="s">
        <v>143</v>
      </c>
      <c r="C96" s="1">
        <v>2020</v>
      </c>
      <c r="D96" s="80" t="s">
        <v>298</v>
      </c>
      <c r="E96" s="1" t="s">
        <v>157</v>
      </c>
      <c r="F96" s="1" t="s">
        <v>158</v>
      </c>
      <c r="G96" s="1" t="s">
        <v>46</v>
      </c>
      <c r="H96" s="1" t="s">
        <v>82</v>
      </c>
      <c r="I96" s="1" t="s">
        <v>64</v>
      </c>
      <c r="J96" s="1" t="s">
        <v>40</v>
      </c>
      <c r="K96" s="1" t="s">
        <v>41</v>
      </c>
      <c r="L96" s="1">
        <v>2</v>
      </c>
      <c r="N96" s="1">
        <v>4</v>
      </c>
      <c r="O96" s="1">
        <v>0.65</v>
      </c>
      <c r="P96" s="1">
        <v>0.6</v>
      </c>
      <c r="Q96" s="2">
        <f t="shared" si="4"/>
        <v>0.625</v>
      </c>
      <c r="R96" s="1">
        <v>15.3</v>
      </c>
      <c r="S96" s="1">
        <v>99</v>
      </c>
      <c r="T96" s="2">
        <f t="shared" si="3"/>
        <v>33</v>
      </c>
      <c r="U96" s="1">
        <v>397</v>
      </c>
      <c r="V96" s="2">
        <f t="shared" si="5"/>
        <v>3275.25</v>
      </c>
      <c r="W96" s="1">
        <v>1</v>
      </c>
      <c r="X96" s="1" t="s">
        <v>42</v>
      </c>
      <c r="Y96" s="1" t="s">
        <v>67</v>
      </c>
      <c r="Z96" s="1" t="s">
        <v>85</v>
      </c>
      <c r="AA96" s="1" t="s">
        <v>52</v>
      </c>
      <c r="AB96" s="1" t="s">
        <v>145</v>
      </c>
    </row>
    <row r="97" spans="1:28" x14ac:dyDescent="0.15">
      <c r="A97" s="1" t="s">
        <v>68</v>
      </c>
      <c r="B97" s="1" t="s">
        <v>143</v>
      </c>
      <c r="C97" s="1">
        <v>2020</v>
      </c>
      <c r="D97" s="80" t="s">
        <v>298</v>
      </c>
      <c r="E97" s="1" t="s">
        <v>157</v>
      </c>
      <c r="F97" s="1" t="s">
        <v>158</v>
      </c>
      <c r="G97" s="1" t="s">
        <v>46</v>
      </c>
      <c r="H97" s="1" t="s">
        <v>82</v>
      </c>
      <c r="I97" s="1" t="s">
        <v>64</v>
      </c>
      <c r="J97" s="1" t="s">
        <v>40</v>
      </c>
      <c r="K97" s="1" t="s">
        <v>41</v>
      </c>
      <c r="L97" s="1">
        <v>3</v>
      </c>
      <c r="N97" s="1">
        <v>4</v>
      </c>
      <c r="O97" s="1">
        <v>0.8</v>
      </c>
      <c r="P97" s="1">
        <v>0.8</v>
      </c>
      <c r="Q97" s="2">
        <f t="shared" si="4"/>
        <v>0.8</v>
      </c>
      <c r="R97" s="1">
        <v>14</v>
      </c>
      <c r="S97" s="1">
        <v>94</v>
      </c>
      <c r="T97" s="2">
        <f t="shared" si="3"/>
        <v>36</v>
      </c>
      <c r="U97" s="1">
        <v>397</v>
      </c>
      <c r="V97" s="2">
        <f t="shared" si="5"/>
        <v>3573</v>
      </c>
      <c r="W97" s="1">
        <v>1</v>
      </c>
      <c r="X97" s="1" t="s">
        <v>42</v>
      </c>
      <c r="Y97" s="1" t="s">
        <v>67</v>
      </c>
      <c r="Z97" s="1" t="s">
        <v>85</v>
      </c>
      <c r="AA97" s="1" t="s">
        <v>52</v>
      </c>
      <c r="AB97" s="1" t="s">
        <v>145</v>
      </c>
    </row>
    <row r="98" spans="1:28" x14ac:dyDescent="0.15">
      <c r="A98" s="1" t="s">
        <v>68</v>
      </c>
      <c r="B98" s="1" t="s">
        <v>143</v>
      </c>
      <c r="C98" s="1">
        <v>2020</v>
      </c>
      <c r="D98" s="80" t="s">
        <v>298</v>
      </c>
      <c r="E98" s="1" t="s">
        <v>157</v>
      </c>
      <c r="F98" s="1" t="s">
        <v>158</v>
      </c>
      <c r="G98" s="1" t="s">
        <v>46</v>
      </c>
      <c r="H98" s="1" t="s">
        <v>82</v>
      </c>
      <c r="I98" s="1" t="s">
        <v>64</v>
      </c>
      <c r="J98" s="1" t="s">
        <v>40</v>
      </c>
      <c r="K98" s="1" t="s">
        <v>41</v>
      </c>
      <c r="L98" s="1">
        <v>1</v>
      </c>
      <c r="N98" s="1">
        <v>8</v>
      </c>
      <c r="O98" s="1">
        <v>0.75</v>
      </c>
      <c r="P98" s="1">
        <v>0.75</v>
      </c>
      <c r="Q98" s="2">
        <f t="shared" si="4"/>
        <v>0.75</v>
      </c>
      <c r="R98" s="1">
        <v>18.100000000000001</v>
      </c>
      <c r="S98" s="1">
        <v>98</v>
      </c>
      <c r="T98" s="2">
        <f t="shared" si="3"/>
        <v>36</v>
      </c>
      <c r="U98" s="1">
        <v>597</v>
      </c>
      <c r="V98" s="2">
        <f t="shared" si="5"/>
        <v>2686.5</v>
      </c>
      <c r="W98" s="1">
        <v>1</v>
      </c>
      <c r="X98" s="1" t="s">
        <v>42</v>
      </c>
      <c r="Y98" s="1" t="s">
        <v>67</v>
      </c>
      <c r="Z98" s="1" t="s">
        <v>85</v>
      </c>
      <c r="AA98" s="1" t="s">
        <v>52</v>
      </c>
      <c r="AB98" s="1" t="s">
        <v>145</v>
      </c>
    </row>
    <row r="99" spans="1:28" x14ac:dyDescent="0.15">
      <c r="A99" s="1" t="s">
        <v>68</v>
      </c>
      <c r="B99" s="1" t="s">
        <v>143</v>
      </c>
      <c r="C99" s="1">
        <v>2020</v>
      </c>
      <c r="D99" s="80" t="s">
        <v>298</v>
      </c>
      <c r="E99" s="1" t="s">
        <v>157</v>
      </c>
      <c r="F99" s="1" t="s">
        <v>158</v>
      </c>
      <c r="G99" s="1" t="s">
        <v>46</v>
      </c>
      <c r="H99" s="1" t="s">
        <v>82</v>
      </c>
      <c r="I99" s="1" t="s">
        <v>64</v>
      </c>
      <c r="J99" s="1" t="s">
        <v>40</v>
      </c>
      <c r="K99" s="1" t="s">
        <v>41</v>
      </c>
      <c r="L99" s="1">
        <v>2</v>
      </c>
      <c r="N99" s="1">
        <v>8</v>
      </c>
      <c r="O99" s="1">
        <v>0.65</v>
      </c>
      <c r="P99" s="1">
        <v>0.65</v>
      </c>
      <c r="Q99" s="2">
        <f t="shared" si="4"/>
        <v>0.65</v>
      </c>
      <c r="R99" s="1">
        <v>18.2</v>
      </c>
      <c r="S99" s="1">
        <v>105</v>
      </c>
      <c r="T99" s="2">
        <f t="shared" si="3"/>
        <v>33</v>
      </c>
      <c r="U99" s="1">
        <v>597</v>
      </c>
      <c r="V99" s="2">
        <f t="shared" si="5"/>
        <v>2462.625</v>
      </c>
      <c r="W99" s="1">
        <v>1</v>
      </c>
      <c r="X99" s="1" t="s">
        <v>42</v>
      </c>
      <c r="Y99" s="1" t="s">
        <v>67</v>
      </c>
      <c r="Z99" s="1" t="s">
        <v>85</v>
      </c>
      <c r="AA99" s="1" t="s">
        <v>52</v>
      </c>
      <c r="AB99" s="1" t="s">
        <v>145</v>
      </c>
    </row>
    <row r="100" spans="1:28" x14ac:dyDescent="0.15">
      <c r="A100" s="1" t="s">
        <v>68</v>
      </c>
      <c r="B100" s="1" t="s">
        <v>143</v>
      </c>
      <c r="C100" s="1">
        <v>2020</v>
      </c>
      <c r="D100" s="80" t="s">
        <v>298</v>
      </c>
      <c r="E100" s="1" t="s">
        <v>157</v>
      </c>
      <c r="F100" s="1" t="s">
        <v>158</v>
      </c>
      <c r="G100" s="1" t="s">
        <v>46</v>
      </c>
      <c r="H100" s="1" t="s">
        <v>82</v>
      </c>
      <c r="I100" s="1" t="s">
        <v>64</v>
      </c>
      <c r="J100" s="1" t="s">
        <v>40</v>
      </c>
      <c r="K100" s="1" t="s">
        <v>41</v>
      </c>
      <c r="L100" s="1">
        <v>3</v>
      </c>
      <c r="N100" s="1">
        <v>8</v>
      </c>
      <c r="O100" s="1">
        <v>0.65</v>
      </c>
      <c r="P100" s="1">
        <v>0.75</v>
      </c>
      <c r="Q100" s="2">
        <f t="shared" si="4"/>
        <v>0.7</v>
      </c>
      <c r="R100" s="1">
        <v>18.399999999999999</v>
      </c>
      <c r="S100" s="1">
        <v>103</v>
      </c>
      <c r="T100" s="2">
        <f t="shared" si="3"/>
        <v>33</v>
      </c>
      <c r="U100" s="1">
        <v>597</v>
      </c>
      <c r="V100" s="2">
        <f t="shared" si="5"/>
        <v>2462.625</v>
      </c>
      <c r="W100" s="1">
        <v>1</v>
      </c>
      <c r="X100" s="1" t="s">
        <v>42</v>
      </c>
      <c r="Y100" s="1" t="s">
        <v>67</v>
      </c>
      <c r="Z100" s="1" t="s">
        <v>85</v>
      </c>
      <c r="AA100" s="1" t="s">
        <v>52</v>
      </c>
      <c r="AB100" s="1" t="s">
        <v>145</v>
      </c>
    </row>
    <row r="101" spans="1:28" x14ac:dyDescent="0.15">
      <c r="A101" s="1" t="s">
        <v>68</v>
      </c>
      <c r="B101" s="1" t="s">
        <v>143</v>
      </c>
      <c r="C101" s="1">
        <v>2020</v>
      </c>
      <c r="D101" s="80" t="s">
        <v>298</v>
      </c>
      <c r="E101" s="1" t="s">
        <v>159</v>
      </c>
      <c r="F101" s="1" t="s">
        <v>164</v>
      </c>
      <c r="G101" s="1" t="s">
        <v>37</v>
      </c>
      <c r="H101" s="1" t="s">
        <v>63</v>
      </c>
      <c r="I101" s="1" t="s">
        <v>64</v>
      </c>
      <c r="J101" s="1" t="s">
        <v>40</v>
      </c>
      <c r="K101" s="1" t="s">
        <v>41</v>
      </c>
      <c r="L101" s="1">
        <v>1</v>
      </c>
      <c r="N101" s="1">
        <v>1</v>
      </c>
      <c r="O101" s="1">
        <v>0.7</v>
      </c>
      <c r="P101" s="1">
        <v>0.75</v>
      </c>
      <c r="Q101" s="2">
        <f t="shared" si="4"/>
        <v>0.72499999999999998</v>
      </c>
      <c r="R101" s="1">
        <v>14.4</v>
      </c>
      <c r="S101" s="1">
        <v>126</v>
      </c>
      <c r="T101" s="2">
        <f t="shared" si="3"/>
        <v>27</v>
      </c>
      <c r="U101" s="1">
        <v>138</v>
      </c>
      <c r="V101" s="2">
        <f t="shared" si="5"/>
        <v>3726</v>
      </c>
      <c r="W101" s="1">
        <v>4</v>
      </c>
      <c r="X101" s="1" t="s">
        <v>51</v>
      </c>
      <c r="Y101" s="1" t="s">
        <v>67</v>
      </c>
      <c r="Z101" s="1" t="s">
        <v>43</v>
      </c>
      <c r="AA101" s="1" t="s">
        <v>101</v>
      </c>
      <c r="AB101" s="1" t="s">
        <v>145</v>
      </c>
    </row>
    <row r="102" spans="1:28" x14ac:dyDescent="0.15">
      <c r="A102" s="1" t="s">
        <v>68</v>
      </c>
      <c r="B102" s="1" t="s">
        <v>143</v>
      </c>
      <c r="C102" s="1">
        <v>2020</v>
      </c>
      <c r="D102" s="80" t="s">
        <v>298</v>
      </c>
      <c r="E102" s="1" t="s">
        <v>159</v>
      </c>
      <c r="F102" s="1" t="s">
        <v>164</v>
      </c>
      <c r="G102" s="1" t="s">
        <v>37</v>
      </c>
      <c r="H102" s="1" t="s">
        <v>63</v>
      </c>
      <c r="I102" s="1" t="s">
        <v>64</v>
      </c>
      <c r="J102" s="1" t="s">
        <v>40</v>
      </c>
      <c r="K102" s="1" t="s">
        <v>41</v>
      </c>
      <c r="L102" s="1">
        <v>2</v>
      </c>
      <c r="N102" s="1">
        <v>1</v>
      </c>
      <c r="O102" s="1">
        <v>0.75</v>
      </c>
      <c r="P102" s="1">
        <v>0.75</v>
      </c>
      <c r="Q102" s="2">
        <f t="shared" si="4"/>
        <v>0.75</v>
      </c>
      <c r="R102" s="1">
        <v>14.4</v>
      </c>
      <c r="S102" s="1">
        <v>125</v>
      </c>
      <c r="T102" s="2">
        <f t="shared" si="3"/>
        <v>27</v>
      </c>
      <c r="U102" s="1">
        <v>138</v>
      </c>
      <c r="V102" s="2">
        <f t="shared" si="5"/>
        <v>3726</v>
      </c>
      <c r="W102" s="1">
        <v>4</v>
      </c>
      <c r="X102" s="1" t="s">
        <v>51</v>
      </c>
      <c r="Y102" s="1" t="s">
        <v>67</v>
      </c>
      <c r="Z102" s="1" t="s">
        <v>43</v>
      </c>
      <c r="AA102" s="1" t="s">
        <v>101</v>
      </c>
      <c r="AB102" s="1" t="s">
        <v>145</v>
      </c>
    </row>
    <row r="103" spans="1:28" x14ac:dyDescent="0.15">
      <c r="A103" s="1" t="s">
        <v>68</v>
      </c>
      <c r="B103" s="1" t="s">
        <v>143</v>
      </c>
      <c r="C103" s="1">
        <v>2020</v>
      </c>
      <c r="D103" s="80" t="s">
        <v>298</v>
      </c>
      <c r="E103" s="1" t="s">
        <v>159</v>
      </c>
      <c r="F103" s="1" t="s">
        <v>164</v>
      </c>
      <c r="G103" s="1" t="s">
        <v>37</v>
      </c>
      <c r="H103" s="1" t="s">
        <v>63</v>
      </c>
      <c r="I103" s="1" t="s">
        <v>64</v>
      </c>
      <c r="J103" s="1" t="s">
        <v>40</v>
      </c>
      <c r="K103" s="1" t="s">
        <v>41</v>
      </c>
      <c r="L103" s="1">
        <v>3</v>
      </c>
      <c r="N103" s="1">
        <v>1</v>
      </c>
      <c r="O103" s="1">
        <v>0.8</v>
      </c>
      <c r="P103" s="1">
        <v>0.75</v>
      </c>
      <c r="Q103" s="2">
        <f t="shared" si="4"/>
        <v>0.77500000000000002</v>
      </c>
      <c r="R103" s="1">
        <v>14.3</v>
      </c>
      <c r="S103" s="1">
        <v>128</v>
      </c>
      <c r="T103" s="2">
        <f t="shared" si="3"/>
        <v>27</v>
      </c>
      <c r="U103" s="1">
        <v>138</v>
      </c>
      <c r="V103" s="2">
        <f t="shared" si="5"/>
        <v>3726</v>
      </c>
      <c r="W103" s="1">
        <v>4</v>
      </c>
      <c r="X103" s="1" t="s">
        <v>51</v>
      </c>
      <c r="Y103" s="1" t="s">
        <v>67</v>
      </c>
      <c r="Z103" s="1" t="s">
        <v>43</v>
      </c>
      <c r="AA103" s="1" t="s">
        <v>101</v>
      </c>
      <c r="AB103" s="1" t="s">
        <v>145</v>
      </c>
    </row>
    <row r="104" spans="1:28" x14ac:dyDescent="0.15">
      <c r="A104" s="1" t="s">
        <v>68</v>
      </c>
      <c r="B104" s="1" t="s">
        <v>143</v>
      </c>
      <c r="C104" s="1">
        <v>2020</v>
      </c>
      <c r="D104" s="80" t="s">
        <v>298</v>
      </c>
      <c r="E104" s="1" t="s">
        <v>159</v>
      </c>
      <c r="F104" s="1" t="s">
        <v>164</v>
      </c>
      <c r="G104" s="1" t="s">
        <v>37</v>
      </c>
      <c r="H104" s="1" t="s">
        <v>63</v>
      </c>
      <c r="I104" s="1" t="s">
        <v>64</v>
      </c>
      <c r="J104" s="1" t="s">
        <v>40</v>
      </c>
      <c r="K104" s="1" t="s">
        <v>41</v>
      </c>
      <c r="L104" s="1">
        <v>1</v>
      </c>
      <c r="N104" s="1">
        <v>6</v>
      </c>
      <c r="O104" s="1">
        <v>0.7</v>
      </c>
      <c r="P104" s="1">
        <v>0.75</v>
      </c>
      <c r="Q104" s="2">
        <f t="shared" si="4"/>
        <v>0.72499999999999998</v>
      </c>
      <c r="R104" s="1">
        <v>13.3</v>
      </c>
      <c r="S104" s="1">
        <v>96</v>
      </c>
      <c r="T104" s="2">
        <f t="shared" si="3"/>
        <v>36</v>
      </c>
      <c r="U104" s="1">
        <v>398</v>
      </c>
      <c r="V104" s="2">
        <f t="shared" si="5"/>
        <v>2388</v>
      </c>
      <c r="W104" s="1">
        <v>2</v>
      </c>
      <c r="X104" s="1" t="s">
        <v>51</v>
      </c>
      <c r="Y104" s="1" t="s">
        <v>67</v>
      </c>
      <c r="Z104" s="1" t="s">
        <v>43</v>
      </c>
      <c r="AA104" s="1" t="s">
        <v>101</v>
      </c>
      <c r="AB104" s="1" t="s">
        <v>145</v>
      </c>
    </row>
    <row r="105" spans="1:28" x14ac:dyDescent="0.15">
      <c r="A105" s="1" t="s">
        <v>68</v>
      </c>
      <c r="B105" s="1" t="s">
        <v>143</v>
      </c>
      <c r="C105" s="1">
        <v>2020</v>
      </c>
      <c r="D105" s="80" t="s">
        <v>298</v>
      </c>
      <c r="E105" s="1" t="s">
        <v>159</v>
      </c>
      <c r="F105" s="1" t="s">
        <v>164</v>
      </c>
      <c r="G105" s="1" t="s">
        <v>37</v>
      </c>
      <c r="H105" s="1" t="s">
        <v>63</v>
      </c>
      <c r="I105" s="1" t="s">
        <v>64</v>
      </c>
      <c r="J105" s="1" t="s">
        <v>40</v>
      </c>
      <c r="K105" s="1" t="s">
        <v>41</v>
      </c>
      <c r="L105" s="1">
        <v>2</v>
      </c>
      <c r="N105" s="1">
        <v>6</v>
      </c>
      <c r="O105" s="1">
        <v>0.85</v>
      </c>
      <c r="P105" s="1">
        <v>0.85</v>
      </c>
      <c r="Q105" s="2">
        <f t="shared" si="4"/>
        <v>0.85</v>
      </c>
      <c r="R105" s="1">
        <v>13.9</v>
      </c>
      <c r="S105" s="1">
        <v>102</v>
      </c>
      <c r="T105" s="2">
        <f t="shared" si="3"/>
        <v>33</v>
      </c>
      <c r="U105" s="1">
        <v>398</v>
      </c>
      <c r="V105" s="2">
        <f t="shared" si="5"/>
        <v>2189</v>
      </c>
      <c r="W105" s="1">
        <v>2</v>
      </c>
      <c r="X105" s="1" t="s">
        <v>51</v>
      </c>
      <c r="Y105" s="1" t="s">
        <v>67</v>
      </c>
      <c r="Z105" s="1" t="s">
        <v>43</v>
      </c>
      <c r="AA105" s="1" t="s">
        <v>101</v>
      </c>
      <c r="AB105" s="1" t="s">
        <v>145</v>
      </c>
    </row>
    <row r="106" spans="1:28" x14ac:dyDescent="0.15">
      <c r="A106" s="1" t="s">
        <v>68</v>
      </c>
      <c r="B106" s="1" t="s">
        <v>143</v>
      </c>
      <c r="C106" s="1">
        <v>2020</v>
      </c>
      <c r="D106" s="80" t="s">
        <v>298</v>
      </c>
      <c r="E106" s="1" t="s">
        <v>159</v>
      </c>
      <c r="F106" s="1" t="s">
        <v>164</v>
      </c>
      <c r="G106" s="1" t="s">
        <v>37</v>
      </c>
      <c r="H106" s="1" t="s">
        <v>63</v>
      </c>
      <c r="I106" s="1" t="s">
        <v>64</v>
      </c>
      <c r="J106" s="1" t="s">
        <v>40</v>
      </c>
      <c r="K106" s="1" t="s">
        <v>41</v>
      </c>
      <c r="L106" s="1">
        <v>3</v>
      </c>
      <c r="N106" s="1">
        <v>6</v>
      </c>
      <c r="O106" s="1">
        <v>0.9</v>
      </c>
      <c r="P106" s="1">
        <v>0.95</v>
      </c>
      <c r="Q106" s="2">
        <f t="shared" si="4"/>
        <v>0.92500000000000004</v>
      </c>
      <c r="R106" s="1">
        <v>14.8</v>
      </c>
      <c r="S106" s="1">
        <v>94</v>
      </c>
      <c r="T106" s="2">
        <f t="shared" si="3"/>
        <v>36</v>
      </c>
      <c r="U106" s="1">
        <v>398</v>
      </c>
      <c r="V106" s="2">
        <f t="shared" si="5"/>
        <v>2388</v>
      </c>
      <c r="W106" s="1">
        <v>2</v>
      </c>
      <c r="X106" s="1" t="s">
        <v>51</v>
      </c>
      <c r="Y106" s="1" t="s">
        <v>67</v>
      </c>
      <c r="Z106" s="1" t="s">
        <v>43</v>
      </c>
      <c r="AA106" s="1" t="s">
        <v>101</v>
      </c>
      <c r="AB106" s="1" t="s">
        <v>145</v>
      </c>
    </row>
    <row r="107" spans="1:28" x14ac:dyDescent="0.15">
      <c r="A107" s="1" t="s">
        <v>68</v>
      </c>
      <c r="B107" s="1" t="s">
        <v>143</v>
      </c>
      <c r="C107" s="1">
        <v>2020</v>
      </c>
      <c r="D107" s="80" t="s">
        <v>298</v>
      </c>
      <c r="E107" s="1" t="s">
        <v>159</v>
      </c>
      <c r="F107" s="1" t="s">
        <v>164</v>
      </c>
      <c r="G107" s="1" t="s">
        <v>37</v>
      </c>
      <c r="H107" s="1" t="s">
        <v>82</v>
      </c>
      <c r="I107" s="1" t="s">
        <v>64</v>
      </c>
      <c r="J107" s="1" t="s">
        <v>40</v>
      </c>
      <c r="K107" s="1" t="s">
        <v>41</v>
      </c>
      <c r="L107" s="1">
        <v>1</v>
      </c>
      <c r="N107" s="1">
        <v>1</v>
      </c>
      <c r="O107" s="1">
        <v>0.75</v>
      </c>
      <c r="P107" s="1">
        <v>0.75</v>
      </c>
      <c r="Q107" s="2">
        <f t="shared" si="4"/>
        <v>0.75</v>
      </c>
      <c r="R107" s="1">
        <v>17.2</v>
      </c>
      <c r="S107" s="1">
        <v>148</v>
      </c>
      <c r="T107" s="2">
        <f t="shared" si="3"/>
        <v>22</v>
      </c>
      <c r="U107" s="1">
        <v>138</v>
      </c>
      <c r="V107" s="2">
        <f t="shared" si="5"/>
        <v>3036</v>
      </c>
      <c r="W107" s="1">
        <v>8</v>
      </c>
      <c r="X107" s="1" t="s">
        <v>51</v>
      </c>
      <c r="Y107" s="1" t="s">
        <v>67</v>
      </c>
      <c r="Z107" s="1" t="s">
        <v>43</v>
      </c>
      <c r="AA107" s="1" t="s">
        <v>101</v>
      </c>
      <c r="AB107" s="1" t="s">
        <v>145</v>
      </c>
    </row>
    <row r="108" spans="1:28" x14ac:dyDescent="0.15">
      <c r="A108" s="1" t="s">
        <v>68</v>
      </c>
      <c r="B108" s="1" t="s">
        <v>143</v>
      </c>
      <c r="C108" s="1">
        <v>2020</v>
      </c>
      <c r="D108" s="80" t="s">
        <v>298</v>
      </c>
      <c r="E108" s="1" t="s">
        <v>159</v>
      </c>
      <c r="F108" s="1" t="s">
        <v>164</v>
      </c>
      <c r="G108" s="1" t="s">
        <v>37</v>
      </c>
      <c r="H108" s="1" t="s">
        <v>82</v>
      </c>
      <c r="I108" s="1" t="s">
        <v>64</v>
      </c>
      <c r="J108" s="1" t="s">
        <v>40</v>
      </c>
      <c r="K108" s="1" t="s">
        <v>41</v>
      </c>
      <c r="L108" s="1">
        <v>2</v>
      </c>
      <c r="N108" s="1">
        <v>1</v>
      </c>
      <c r="O108" s="1">
        <v>0.65</v>
      </c>
      <c r="P108" s="1">
        <v>0.6</v>
      </c>
      <c r="Q108" s="2">
        <f t="shared" si="4"/>
        <v>0.625</v>
      </c>
      <c r="R108" s="1">
        <v>15.3</v>
      </c>
      <c r="S108" s="1">
        <v>138</v>
      </c>
      <c r="T108" s="2">
        <f t="shared" si="3"/>
        <v>22</v>
      </c>
      <c r="U108" s="1">
        <v>138</v>
      </c>
      <c r="V108" s="2">
        <f t="shared" si="5"/>
        <v>3036</v>
      </c>
      <c r="W108" s="1">
        <v>8</v>
      </c>
      <c r="X108" s="1" t="s">
        <v>51</v>
      </c>
      <c r="Y108" s="1" t="s">
        <v>67</v>
      </c>
      <c r="Z108" s="1" t="s">
        <v>43</v>
      </c>
      <c r="AA108" s="1" t="s">
        <v>101</v>
      </c>
      <c r="AB108" s="1" t="s">
        <v>145</v>
      </c>
    </row>
    <row r="109" spans="1:28" x14ac:dyDescent="0.15">
      <c r="A109" s="1" t="s">
        <v>68</v>
      </c>
      <c r="B109" s="1" t="s">
        <v>143</v>
      </c>
      <c r="C109" s="1">
        <v>2020</v>
      </c>
      <c r="D109" s="80" t="s">
        <v>298</v>
      </c>
      <c r="E109" s="1" t="s">
        <v>159</v>
      </c>
      <c r="F109" s="1" t="s">
        <v>164</v>
      </c>
      <c r="G109" s="1" t="s">
        <v>37</v>
      </c>
      <c r="H109" s="1" t="s">
        <v>82</v>
      </c>
      <c r="I109" s="1" t="s">
        <v>64</v>
      </c>
      <c r="J109" s="1" t="s">
        <v>40</v>
      </c>
      <c r="K109" s="1" t="s">
        <v>41</v>
      </c>
      <c r="L109" s="1">
        <v>3</v>
      </c>
      <c r="N109" s="1">
        <v>1</v>
      </c>
      <c r="O109" s="1">
        <v>0.55000000000000004</v>
      </c>
      <c r="P109" s="1">
        <v>0.5</v>
      </c>
      <c r="Q109" s="2">
        <f t="shared" si="4"/>
        <v>0.52500000000000002</v>
      </c>
      <c r="R109" s="1">
        <v>16.5</v>
      </c>
      <c r="S109" s="1">
        <v>140</v>
      </c>
      <c r="T109" s="2">
        <f t="shared" si="3"/>
        <v>22</v>
      </c>
      <c r="U109" s="1">
        <v>138</v>
      </c>
      <c r="V109" s="2">
        <f t="shared" si="5"/>
        <v>3036</v>
      </c>
      <c r="W109" s="1">
        <v>8</v>
      </c>
      <c r="X109" s="1" t="s">
        <v>51</v>
      </c>
      <c r="Y109" s="1" t="s">
        <v>67</v>
      </c>
      <c r="Z109" s="1" t="s">
        <v>43</v>
      </c>
      <c r="AA109" s="1" t="s">
        <v>101</v>
      </c>
      <c r="AB109" s="1" t="s">
        <v>145</v>
      </c>
    </row>
    <row r="110" spans="1:28" x14ac:dyDescent="0.15">
      <c r="A110" s="1" t="s">
        <v>68</v>
      </c>
      <c r="B110" s="1" t="s">
        <v>143</v>
      </c>
      <c r="C110" s="1">
        <v>2020</v>
      </c>
      <c r="D110" s="80" t="s">
        <v>298</v>
      </c>
      <c r="E110" s="1" t="s">
        <v>159</v>
      </c>
      <c r="F110" s="1" t="s">
        <v>164</v>
      </c>
      <c r="G110" s="1" t="s">
        <v>37</v>
      </c>
      <c r="H110" s="1" t="s">
        <v>82</v>
      </c>
      <c r="I110" s="1" t="s">
        <v>64</v>
      </c>
      <c r="J110" s="1" t="s">
        <v>40</v>
      </c>
      <c r="K110" s="1" t="s">
        <v>41</v>
      </c>
      <c r="L110" s="1">
        <v>1</v>
      </c>
      <c r="N110" s="1">
        <v>5</v>
      </c>
      <c r="O110" s="1">
        <v>0.55000000000000004</v>
      </c>
      <c r="P110" s="1">
        <v>0.5</v>
      </c>
      <c r="Q110" s="2">
        <f t="shared" si="4"/>
        <v>0.52500000000000002</v>
      </c>
      <c r="R110" s="1">
        <v>16.399999999999999</v>
      </c>
      <c r="S110" s="1">
        <v>108</v>
      </c>
      <c r="T110" s="2">
        <f t="shared" si="3"/>
        <v>33</v>
      </c>
      <c r="U110" s="1">
        <v>398</v>
      </c>
      <c r="V110" s="2">
        <f t="shared" si="5"/>
        <v>2626.7999999999997</v>
      </c>
      <c r="W110" s="1">
        <v>2</v>
      </c>
      <c r="X110" s="1" t="s">
        <v>51</v>
      </c>
      <c r="Y110" s="1" t="s">
        <v>67</v>
      </c>
      <c r="Z110" s="1" t="s">
        <v>43</v>
      </c>
      <c r="AA110" s="1" t="s">
        <v>101</v>
      </c>
      <c r="AB110" s="1" t="s">
        <v>145</v>
      </c>
    </row>
    <row r="111" spans="1:28" x14ac:dyDescent="0.15">
      <c r="A111" s="1" t="s">
        <v>68</v>
      </c>
      <c r="B111" s="1" t="s">
        <v>143</v>
      </c>
      <c r="C111" s="1">
        <v>2020</v>
      </c>
      <c r="D111" s="80" t="s">
        <v>298</v>
      </c>
      <c r="E111" s="1" t="s">
        <v>159</v>
      </c>
      <c r="F111" s="1" t="s">
        <v>164</v>
      </c>
      <c r="G111" s="1" t="s">
        <v>37</v>
      </c>
      <c r="H111" s="1" t="s">
        <v>82</v>
      </c>
      <c r="I111" s="1" t="s">
        <v>64</v>
      </c>
      <c r="J111" s="1" t="s">
        <v>40</v>
      </c>
      <c r="K111" s="1" t="s">
        <v>41</v>
      </c>
      <c r="L111" s="1">
        <v>2</v>
      </c>
      <c r="N111" s="1">
        <v>5</v>
      </c>
      <c r="O111" s="1">
        <v>0.6</v>
      </c>
      <c r="P111" s="1">
        <v>0.65</v>
      </c>
      <c r="Q111" s="2">
        <f t="shared" si="4"/>
        <v>0.625</v>
      </c>
      <c r="R111" s="1">
        <v>17.2</v>
      </c>
      <c r="S111" s="1">
        <v>105</v>
      </c>
      <c r="T111" s="2">
        <f t="shared" si="3"/>
        <v>33</v>
      </c>
      <c r="U111" s="1">
        <v>398</v>
      </c>
      <c r="V111" s="2">
        <f t="shared" si="5"/>
        <v>2626.7999999999997</v>
      </c>
      <c r="W111" s="1">
        <v>2</v>
      </c>
      <c r="X111" s="1" t="s">
        <v>51</v>
      </c>
      <c r="Y111" s="1" t="s">
        <v>67</v>
      </c>
      <c r="Z111" s="1" t="s">
        <v>43</v>
      </c>
      <c r="AA111" s="1" t="s">
        <v>101</v>
      </c>
      <c r="AB111" s="1" t="s">
        <v>145</v>
      </c>
    </row>
    <row r="112" spans="1:28" x14ac:dyDescent="0.15">
      <c r="A112" s="1" t="s">
        <v>68</v>
      </c>
      <c r="B112" s="1" t="s">
        <v>143</v>
      </c>
      <c r="C112" s="1">
        <v>2020</v>
      </c>
      <c r="D112" s="80" t="s">
        <v>298</v>
      </c>
      <c r="E112" s="1" t="s">
        <v>159</v>
      </c>
      <c r="F112" s="1" t="s">
        <v>164</v>
      </c>
      <c r="G112" s="1" t="s">
        <v>37</v>
      </c>
      <c r="H112" s="1" t="s">
        <v>82</v>
      </c>
      <c r="I112" s="1" t="s">
        <v>64</v>
      </c>
      <c r="J112" s="1" t="s">
        <v>40</v>
      </c>
      <c r="K112" s="1" t="s">
        <v>41</v>
      </c>
      <c r="L112" s="1">
        <v>3</v>
      </c>
      <c r="N112" s="1">
        <v>5</v>
      </c>
      <c r="O112" s="1">
        <v>0.5</v>
      </c>
      <c r="P112" s="1">
        <v>0.5</v>
      </c>
      <c r="Q112" s="2">
        <f t="shared" si="4"/>
        <v>0.5</v>
      </c>
      <c r="R112" s="1">
        <v>12.7</v>
      </c>
      <c r="S112" s="1">
        <v>105</v>
      </c>
      <c r="T112" s="2">
        <f t="shared" si="3"/>
        <v>33</v>
      </c>
      <c r="U112" s="1">
        <v>398</v>
      </c>
      <c r="V112" s="2">
        <f t="shared" si="5"/>
        <v>2626.7999999999997</v>
      </c>
      <c r="W112" s="1">
        <v>2</v>
      </c>
      <c r="X112" s="1" t="s">
        <v>51</v>
      </c>
      <c r="Y112" s="1" t="s">
        <v>67</v>
      </c>
      <c r="Z112" s="1" t="s">
        <v>43</v>
      </c>
      <c r="AA112" s="1" t="s">
        <v>101</v>
      </c>
      <c r="AB112" s="1" t="s">
        <v>145</v>
      </c>
    </row>
    <row r="113" spans="1:28" x14ac:dyDescent="0.15">
      <c r="A113" s="1" t="s">
        <v>68</v>
      </c>
      <c r="B113" s="1" t="s">
        <v>143</v>
      </c>
      <c r="C113" s="1">
        <v>2020</v>
      </c>
      <c r="D113" s="80" t="s">
        <v>298</v>
      </c>
      <c r="E113" s="1" t="s">
        <v>165</v>
      </c>
      <c r="F113" s="1" t="s">
        <v>164</v>
      </c>
      <c r="G113" s="1" t="s">
        <v>37</v>
      </c>
      <c r="H113" s="1" t="s">
        <v>63</v>
      </c>
      <c r="I113" s="1" t="s">
        <v>64</v>
      </c>
      <c r="J113" s="1" t="s">
        <v>40</v>
      </c>
      <c r="K113" s="1" t="s">
        <v>41</v>
      </c>
      <c r="L113" s="1">
        <v>1</v>
      </c>
      <c r="N113" s="1">
        <v>1</v>
      </c>
      <c r="O113" s="1">
        <v>1</v>
      </c>
      <c r="P113" s="1">
        <v>0.95</v>
      </c>
      <c r="Q113" s="2">
        <f t="shared" si="4"/>
        <v>0.97499999999999998</v>
      </c>
      <c r="R113" s="1">
        <v>12.7</v>
      </c>
      <c r="S113" s="1">
        <v>134</v>
      </c>
      <c r="T113" s="2">
        <f t="shared" si="3"/>
        <v>25</v>
      </c>
      <c r="U113" s="1">
        <v>128</v>
      </c>
      <c r="V113" s="2">
        <f t="shared" si="5"/>
        <v>3200</v>
      </c>
      <c r="W113" s="1">
        <v>15</v>
      </c>
      <c r="X113" s="1" t="s">
        <v>51</v>
      </c>
      <c r="Y113" s="1" t="s">
        <v>67</v>
      </c>
      <c r="Z113" s="1" t="s">
        <v>85</v>
      </c>
      <c r="AA113" s="1" t="s">
        <v>122</v>
      </c>
      <c r="AB113" s="1" t="s">
        <v>145</v>
      </c>
    </row>
    <row r="114" spans="1:28" x14ac:dyDescent="0.15">
      <c r="A114" s="1" t="s">
        <v>68</v>
      </c>
      <c r="B114" s="1" t="s">
        <v>143</v>
      </c>
      <c r="C114" s="1">
        <v>2020</v>
      </c>
      <c r="D114" s="80" t="s">
        <v>298</v>
      </c>
      <c r="E114" s="1" t="s">
        <v>165</v>
      </c>
      <c r="F114" s="1" t="s">
        <v>164</v>
      </c>
      <c r="G114" s="1" t="s">
        <v>37</v>
      </c>
      <c r="H114" s="1" t="s">
        <v>63</v>
      </c>
      <c r="I114" s="1" t="s">
        <v>64</v>
      </c>
      <c r="J114" s="1" t="s">
        <v>40</v>
      </c>
      <c r="K114" s="1" t="s">
        <v>41</v>
      </c>
      <c r="L114" s="1">
        <v>2</v>
      </c>
      <c r="N114" s="1">
        <v>1</v>
      </c>
      <c r="O114" s="1">
        <v>0.7</v>
      </c>
      <c r="P114" s="1">
        <v>0.75</v>
      </c>
      <c r="Q114" s="2">
        <f t="shared" si="4"/>
        <v>0.72499999999999998</v>
      </c>
      <c r="R114" s="1">
        <v>11.9</v>
      </c>
      <c r="S114" s="1">
        <v>131</v>
      </c>
      <c r="T114" s="2">
        <f t="shared" si="3"/>
        <v>25</v>
      </c>
      <c r="U114" s="1">
        <v>128</v>
      </c>
      <c r="V114" s="2">
        <f t="shared" si="5"/>
        <v>3200</v>
      </c>
      <c r="W114" s="1">
        <v>15</v>
      </c>
      <c r="X114" s="1" t="s">
        <v>51</v>
      </c>
      <c r="Y114" s="1" t="s">
        <v>67</v>
      </c>
      <c r="Z114" s="1" t="s">
        <v>85</v>
      </c>
      <c r="AA114" s="1" t="s">
        <v>122</v>
      </c>
      <c r="AB114" s="1" t="s">
        <v>145</v>
      </c>
    </row>
    <row r="115" spans="1:28" x14ac:dyDescent="0.15">
      <c r="A115" s="1" t="s">
        <v>68</v>
      </c>
      <c r="B115" s="1" t="s">
        <v>143</v>
      </c>
      <c r="C115" s="1">
        <v>2020</v>
      </c>
      <c r="D115" s="80" t="s">
        <v>298</v>
      </c>
      <c r="E115" s="1" t="s">
        <v>165</v>
      </c>
      <c r="F115" s="1" t="s">
        <v>164</v>
      </c>
      <c r="G115" s="1" t="s">
        <v>37</v>
      </c>
      <c r="H115" s="1" t="s">
        <v>63</v>
      </c>
      <c r="I115" s="1" t="s">
        <v>64</v>
      </c>
      <c r="J115" s="1" t="s">
        <v>40</v>
      </c>
      <c r="K115" s="1" t="s">
        <v>41</v>
      </c>
      <c r="L115" s="1">
        <v>3</v>
      </c>
      <c r="N115" s="1">
        <v>1</v>
      </c>
      <c r="O115" s="1">
        <v>0.65</v>
      </c>
      <c r="P115" s="1">
        <v>0.7</v>
      </c>
      <c r="Q115" s="2">
        <f t="shared" si="4"/>
        <v>0.67500000000000004</v>
      </c>
      <c r="R115" s="1">
        <v>14.9</v>
      </c>
      <c r="S115" s="1">
        <v>127</v>
      </c>
      <c r="T115" s="2">
        <f t="shared" si="3"/>
        <v>27</v>
      </c>
      <c r="U115" s="1">
        <v>128</v>
      </c>
      <c r="V115" s="2">
        <f t="shared" si="5"/>
        <v>3456</v>
      </c>
      <c r="W115" s="1">
        <v>15</v>
      </c>
      <c r="X115" s="1" t="s">
        <v>51</v>
      </c>
      <c r="Y115" s="1" t="s">
        <v>67</v>
      </c>
      <c r="Z115" s="1" t="s">
        <v>85</v>
      </c>
      <c r="AA115" s="1" t="s">
        <v>122</v>
      </c>
      <c r="AB115" s="1" t="s">
        <v>145</v>
      </c>
    </row>
    <row r="116" spans="1:28" x14ac:dyDescent="0.15">
      <c r="A116" s="1" t="s">
        <v>68</v>
      </c>
      <c r="B116" s="1" t="s">
        <v>143</v>
      </c>
      <c r="C116" s="1">
        <v>2020</v>
      </c>
      <c r="D116" s="80" t="s">
        <v>298</v>
      </c>
      <c r="E116" s="1" t="s">
        <v>165</v>
      </c>
      <c r="F116" s="1" t="s">
        <v>164</v>
      </c>
      <c r="G116" s="1" t="s">
        <v>37</v>
      </c>
      <c r="H116" s="1" t="s">
        <v>63</v>
      </c>
      <c r="I116" s="1" t="s">
        <v>64</v>
      </c>
      <c r="J116" s="1" t="s">
        <v>40</v>
      </c>
      <c r="K116" s="1" t="s">
        <v>41</v>
      </c>
      <c r="L116" s="1">
        <v>1</v>
      </c>
      <c r="N116" s="1">
        <v>5</v>
      </c>
      <c r="O116" s="1">
        <v>0.75</v>
      </c>
      <c r="P116" s="1">
        <v>0.75</v>
      </c>
      <c r="Q116" s="2">
        <f t="shared" si="4"/>
        <v>0.75</v>
      </c>
      <c r="R116" s="1">
        <v>15.7</v>
      </c>
      <c r="S116" s="1">
        <v>102</v>
      </c>
      <c r="T116" s="2">
        <f t="shared" si="3"/>
        <v>33</v>
      </c>
      <c r="U116" s="1">
        <v>398</v>
      </c>
      <c r="V116" s="2">
        <f t="shared" si="5"/>
        <v>2626.7999999999997</v>
      </c>
      <c r="W116" s="1">
        <v>12</v>
      </c>
      <c r="X116" s="1" t="s">
        <v>51</v>
      </c>
      <c r="Y116" s="1" t="s">
        <v>67</v>
      </c>
      <c r="Z116" s="1" t="s">
        <v>85</v>
      </c>
      <c r="AA116" s="1" t="s">
        <v>122</v>
      </c>
      <c r="AB116" s="1" t="s">
        <v>145</v>
      </c>
    </row>
    <row r="117" spans="1:28" x14ac:dyDescent="0.15">
      <c r="A117" s="1" t="s">
        <v>68</v>
      </c>
      <c r="B117" s="1" t="s">
        <v>143</v>
      </c>
      <c r="C117" s="1">
        <v>2020</v>
      </c>
      <c r="D117" s="80" t="s">
        <v>298</v>
      </c>
      <c r="E117" s="1" t="s">
        <v>165</v>
      </c>
      <c r="F117" s="1" t="s">
        <v>164</v>
      </c>
      <c r="G117" s="1" t="s">
        <v>37</v>
      </c>
      <c r="H117" s="1" t="s">
        <v>63</v>
      </c>
      <c r="I117" s="1" t="s">
        <v>64</v>
      </c>
      <c r="J117" s="1" t="s">
        <v>40</v>
      </c>
      <c r="K117" s="1" t="s">
        <v>41</v>
      </c>
      <c r="L117" s="1">
        <v>2</v>
      </c>
      <c r="N117" s="1">
        <v>5</v>
      </c>
      <c r="O117" s="1">
        <v>1.1499999999999999</v>
      </c>
      <c r="P117" s="1">
        <v>1</v>
      </c>
      <c r="Q117" s="2">
        <f t="shared" si="4"/>
        <v>1.075</v>
      </c>
      <c r="R117" s="1">
        <v>13.8</v>
      </c>
      <c r="S117" s="1">
        <v>101</v>
      </c>
      <c r="T117" s="2">
        <f t="shared" si="3"/>
        <v>33</v>
      </c>
      <c r="U117" s="1">
        <v>398</v>
      </c>
      <c r="V117" s="2">
        <f t="shared" si="5"/>
        <v>2626.7999999999997</v>
      </c>
      <c r="W117" s="1">
        <v>12</v>
      </c>
      <c r="X117" s="1" t="s">
        <v>51</v>
      </c>
      <c r="Y117" s="1" t="s">
        <v>67</v>
      </c>
      <c r="Z117" s="1" t="s">
        <v>85</v>
      </c>
      <c r="AA117" s="1" t="s">
        <v>122</v>
      </c>
      <c r="AB117" s="1" t="s">
        <v>145</v>
      </c>
    </row>
    <row r="118" spans="1:28" x14ac:dyDescent="0.15">
      <c r="A118" s="1" t="s">
        <v>68</v>
      </c>
      <c r="B118" s="1" t="s">
        <v>143</v>
      </c>
      <c r="C118" s="1">
        <v>2020</v>
      </c>
      <c r="D118" s="80" t="s">
        <v>298</v>
      </c>
      <c r="E118" s="1" t="s">
        <v>165</v>
      </c>
      <c r="F118" s="1" t="s">
        <v>164</v>
      </c>
      <c r="G118" s="1" t="s">
        <v>37</v>
      </c>
      <c r="H118" s="1" t="s">
        <v>63</v>
      </c>
      <c r="I118" s="1" t="s">
        <v>64</v>
      </c>
      <c r="J118" s="1" t="s">
        <v>40</v>
      </c>
      <c r="K118" s="1" t="s">
        <v>41</v>
      </c>
      <c r="L118" s="1">
        <v>3</v>
      </c>
      <c r="N118" s="1">
        <v>5</v>
      </c>
      <c r="O118" s="1">
        <v>0.8</v>
      </c>
      <c r="P118" s="1">
        <v>0.85</v>
      </c>
      <c r="Q118" s="2">
        <f t="shared" si="4"/>
        <v>0.82499999999999996</v>
      </c>
      <c r="R118" s="1">
        <v>13.1</v>
      </c>
      <c r="S118" s="1">
        <v>83</v>
      </c>
      <c r="T118" s="2">
        <f t="shared" si="3"/>
        <v>39</v>
      </c>
      <c r="U118" s="1">
        <v>398</v>
      </c>
      <c r="V118" s="2">
        <f t="shared" si="5"/>
        <v>3104.3999999999996</v>
      </c>
      <c r="W118" s="1">
        <v>12</v>
      </c>
      <c r="X118" s="1" t="s">
        <v>51</v>
      </c>
      <c r="Y118" s="1" t="s">
        <v>67</v>
      </c>
      <c r="Z118" s="1" t="s">
        <v>85</v>
      </c>
      <c r="AA118" s="1" t="s">
        <v>122</v>
      </c>
      <c r="AB118" s="1" t="s">
        <v>145</v>
      </c>
    </row>
    <row r="119" spans="1:28" x14ac:dyDescent="0.15">
      <c r="A119" s="1" t="s">
        <v>68</v>
      </c>
      <c r="B119" s="1" t="s">
        <v>143</v>
      </c>
      <c r="C119" s="1">
        <v>2020</v>
      </c>
      <c r="D119" s="80" t="s">
        <v>298</v>
      </c>
      <c r="E119" s="1" t="s">
        <v>165</v>
      </c>
      <c r="F119" s="1" t="s">
        <v>164</v>
      </c>
      <c r="G119" s="1" t="s">
        <v>37</v>
      </c>
      <c r="H119" s="1" t="s">
        <v>63</v>
      </c>
      <c r="I119" s="1" t="s">
        <v>64</v>
      </c>
      <c r="J119" s="1" t="s">
        <v>40</v>
      </c>
      <c r="K119" s="1" t="s">
        <v>41</v>
      </c>
      <c r="L119" s="1">
        <v>1</v>
      </c>
      <c r="N119" s="1">
        <v>10</v>
      </c>
      <c r="O119" s="1">
        <v>0.8</v>
      </c>
      <c r="P119" s="1">
        <v>0.8</v>
      </c>
      <c r="Q119" s="2">
        <f t="shared" si="4"/>
        <v>0.8</v>
      </c>
      <c r="R119" s="1">
        <v>14.7</v>
      </c>
      <c r="S119" s="1">
        <v>96</v>
      </c>
      <c r="T119" s="2">
        <f t="shared" si="3"/>
        <v>36</v>
      </c>
      <c r="U119" s="1">
        <v>598</v>
      </c>
      <c r="V119" s="2">
        <f t="shared" si="5"/>
        <v>2152.7999999999997</v>
      </c>
      <c r="W119" s="1">
        <v>12</v>
      </c>
      <c r="X119" s="1" t="s">
        <v>51</v>
      </c>
      <c r="Y119" s="1" t="s">
        <v>67</v>
      </c>
      <c r="Z119" s="1" t="s">
        <v>85</v>
      </c>
      <c r="AA119" s="1" t="s">
        <v>122</v>
      </c>
      <c r="AB119" s="1" t="s">
        <v>145</v>
      </c>
    </row>
    <row r="120" spans="1:28" x14ac:dyDescent="0.15">
      <c r="A120" s="1" t="s">
        <v>68</v>
      </c>
      <c r="B120" s="1" t="s">
        <v>143</v>
      </c>
      <c r="C120" s="1">
        <v>2020</v>
      </c>
      <c r="D120" s="80" t="s">
        <v>298</v>
      </c>
      <c r="E120" s="1" t="s">
        <v>165</v>
      </c>
      <c r="F120" s="1" t="s">
        <v>164</v>
      </c>
      <c r="G120" s="1" t="s">
        <v>37</v>
      </c>
      <c r="H120" s="1" t="s">
        <v>63</v>
      </c>
      <c r="I120" s="1" t="s">
        <v>64</v>
      </c>
      <c r="J120" s="1" t="s">
        <v>40</v>
      </c>
      <c r="K120" s="1" t="s">
        <v>41</v>
      </c>
      <c r="L120" s="1">
        <v>2</v>
      </c>
      <c r="N120" s="1">
        <v>10</v>
      </c>
      <c r="O120" s="1">
        <v>0.55000000000000004</v>
      </c>
      <c r="P120" s="1">
        <v>0.7</v>
      </c>
      <c r="Q120" s="2">
        <f t="shared" si="4"/>
        <v>0.625</v>
      </c>
      <c r="R120" s="1">
        <v>14.3</v>
      </c>
      <c r="S120" s="1">
        <v>101</v>
      </c>
      <c r="T120" s="2">
        <f t="shared" si="3"/>
        <v>33</v>
      </c>
      <c r="U120" s="1">
        <v>598</v>
      </c>
      <c r="V120" s="2">
        <f t="shared" si="5"/>
        <v>1973.3999999999999</v>
      </c>
      <c r="W120" s="1">
        <v>12</v>
      </c>
      <c r="X120" s="1" t="s">
        <v>51</v>
      </c>
      <c r="Y120" s="1" t="s">
        <v>67</v>
      </c>
      <c r="Z120" s="1" t="s">
        <v>85</v>
      </c>
      <c r="AA120" s="1" t="s">
        <v>122</v>
      </c>
      <c r="AB120" s="1" t="s">
        <v>145</v>
      </c>
    </row>
    <row r="121" spans="1:28" x14ac:dyDescent="0.15">
      <c r="A121" s="1" t="s">
        <v>68</v>
      </c>
      <c r="B121" s="1" t="s">
        <v>143</v>
      </c>
      <c r="C121" s="1">
        <v>2020</v>
      </c>
      <c r="D121" s="80" t="s">
        <v>298</v>
      </c>
      <c r="E121" s="1" t="s">
        <v>165</v>
      </c>
      <c r="F121" s="1" t="s">
        <v>164</v>
      </c>
      <c r="G121" s="1" t="s">
        <v>37</v>
      </c>
      <c r="H121" s="1" t="s">
        <v>63</v>
      </c>
      <c r="I121" s="1" t="s">
        <v>64</v>
      </c>
      <c r="J121" s="1" t="s">
        <v>40</v>
      </c>
      <c r="K121" s="1" t="s">
        <v>41</v>
      </c>
      <c r="L121" s="1">
        <v>3</v>
      </c>
      <c r="N121" s="1">
        <v>10</v>
      </c>
      <c r="O121" s="1">
        <v>0.75</v>
      </c>
      <c r="P121" s="1">
        <v>0.75</v>
      </c>
      <c r="Q121" s="2">
        <f t="shared" si="4"/>
        <v>0.75</v>
      </c>
      <c r="R121" s="1">
        <v>14.1</v>
      </c>
      <c r="S121" s="1">
        <v>103</v>
      </c>
      <c r="T121" s="2">
        <f t="shared" si="3"/>
        <v>33</v>
      </c>
      <c r="U121" s="1">
        <v>598</v>
      </c>
      <c r="V121" s="2">
        <f t="shared" si="5"/>
        <v>1973.3999999999999</v>
      </c>
      <c r="W121" s="1">
        <v>12</v>
      </c>
      <c r="X121" s="1" t="s">
        <v>51</v>
      </c>
      <c r="Y121" s="1" t="s">
        <v>67</v>
      </c>
      <c r="Z121" s="1" t="s">
        <v>85</v>
      </c>
      <c r="AA121" s="1" t="s">
        <v>122</v>
      </c>
      <c r="AB121" s="1" t="s">
        <v>145</v>
      </c>
    </row>
    <row r="122" spans="1:28" x14ac:dyDescent="0.15">
      <c r="A122" s="1" t="s">
        <v>68</v>
      </c>
      <c r="B122" s="1" t="s">
        <v>143</v>
      </c>
      <c r="C122" s="1">
        <v>2020</v>
      </c>
      <c r="D122" s="80" t="s">
        <v>298</v>
      </c>
      <c r="E122" s="1" t="s">
        <v>165</v>
      </c>
      <c r="F122" s="1" t="s">
        <v>164</v>
      </c>
      <c r="G122" s="1" t="s">
        <v>37</v>
      </c>
      <c r="H122" s="1" t="s">
        <v>82</v>
      </c>
      <c r="I122" s="1" t="s">
        <v>64</v>
      </c>
      <c r="J122" s="1" t="s">
        <v>40</v>
      </c>
      <c r="K122" s="1" t="s">
        <v>41</v>
      </c>
      <c r="L122" s="1">
        <v>1</v>
      </c>
      <c r="N122" s="1">
        <v>1</v>
      </c>
      <c r="O122" s="1">
        <v>0.75</v>
      </c>
      <c r="P122" s="1">
        <v>0.85</v>
      </c>
      <c r="Q122" s="2">
        <f t="shared" si="4"/>
        <v>0.8</v>
      </c>
      <c r="R122" s="1">
        <v>15.5</v>
      </c>
      <c r="S122" s="1">
        <v>146</v>
      </c>
      <c r="T122" s="2">
        <f t="shared" si="3"/>
        <v>22</v>
      </c>
      <c r="U122" s="1">
        <v>138</v>
      </c>
      <c r="V122" s="2">
        <f t="shared" si="5"/>
        <v>3036</v>
      </c>
      <c r="W122" s="1">
        <v>19</v>
      </c>
      <c r="X122" s="1" t="s">
        <v>51</v>
      </c>
      <c r="Y122" s="1" t="s">
        <v>67</v>
      </c>
      <c r="Z122" s="1" t="s">
        <v>85</v>
      </c>
      <c r="AA122" s="1" t="s">
        <v>122</v>
      </c>
      <c r="AB122" s="1" t="s">
        <v>145</v>
      </c>
    </row>
    <row r="123" spans="1:28" x14ac:dyDescent="0.15">
      <c r="A123" s="1" t="s">
        <v>68</v>
      </c>
      <c r="B123" s="1" t="s">
        <v>143</v>
      </c>
      <c r="C123" s="1">
        <v>2020</v>
      </c>
      <c r="D123" s="80" t="s">
        <v>298</v>
      </c>
      <c r="E123" s="1" t="s">
        <v>165</v>
      </c>
      <c r="F123" s="1" t="s">
        <v>164</v>
      </c>
      <c r="G123" s="1" t="s">
        <v>37</v>
      </c>
      <c r="H123" s="1" t="s">
        <v>82</v>
      </c>
      <c r="I123" s="1" t="s">
        <v>64</v>
      </c>
      <c r="J123" s="1" t="s">
        <v>40</v>
      </c>
      <c r="K123" s="1" t="s">
        <v>41</v>
      </c>
      <c r="L123" s="1">
        <v>2</v>
      </c>
      <c r="N123" s="1">
        <v>1</v>
      </c>
      <c r="O123" s="1">
        <v>0.7</v>
      </c>
      <c r="P123" s="1">
        <v>0.7</v>
      </c>
      <c r="Q123" s="2">
        <f t="shared" si="4"/>
        <v>0.7</v>
      </c>
      <c r="R123" s="1">
        <v>16.5</v>
      </c>
      <c r="S123" s="1">
        <v>136</v>
      </c>
      <c r="T123" s="2">
        <f t="shared" si="3"/>
        <v>25</v>
      </c>
      <c r="U123" s="1">
        <v>138</v>
      </c>
      <c r="V123" s="2">
        <f t="shared" si="5"/>
        <v>3450</v>
      </c>
      <c r="W123" s="1">
        <v>19</v>
      </c>
      <c r="X123" s="1" t="s">
        <v>51</v>
      </c>
      <c r="Y123" s="1" t="s">
        <v>67</v>
      </c>
      <c r="Z123" s="1" t="s">
        <v>85</v>
      </c>
      <c r="AA123" s="1" t="s">
        <v>122</v>
      </c>
      <c r="AB123" s="1" t="s">
        <v>145</v>
      </c>
    </row>
    <row r="124" spans="1:28" x14ac:dyDescent="0.15">
      <c r="A124" s="1" t="s">
        <v>68</v>
      </c>
      <c r="B124" s="1" t="s">
        <v>143</v>
      </c>
      <c r="C124" s="1">
        <v>2020</v>
      </c>
      <c r="D124" s="80" t="s">
        <v>298</v>
      </c>
      <c r="E124" s="1" t="s">
        <v>165</v>
      </c>
      <c r="F124" s="1" t="s">
        <v>164</v>
      </c>
      <c r="G124" s="1" t="s">
        <v>37</v>
      </c>
      <c r="H124" s="1" t="s">
        <v>82</v>
      </c>
      <c r="I124" s="1" t="s">
        <v>64</v>
      </c>
      <c r="J124" s="1" t="s">
        <v>40</v>
      </c>
      <c r="K124" s="1" t="s">
        <v>41</v>
      </c>
      <c r="L124" s="1">
        <v>3</v>
      </c>
      <c r="N124" s="1">
        <v>1</v>
      </c>
      <c r="O124" s="1">
        <v>0.7</v>
      </c>
      <c r="P124" s="1">
        <v>0.7</v>
      </c>
      <c r="Q124" s="2">
        <f t="shared" si="4"/>
        <v>0.7</v>
      </c>
      <c r="R124" s="1">
        <v>13.6</v>
      </c>
      <c r="S124" s="1">
        <v>134</v>
      </c>
      <c r="T124" s="2">
        <f t="shared" si="3"/>
        <v>25</v>
      </c>
      <c r="U124" s="1">
        <v>138</v>
      </c>
      <c r="V124" s="2">
        <f t="shared" si="5"/>
        <v>3450</v>
      </c>
      <c r="W124" s="1">
        <v>19</v>
      </c>
      <c r="X124" s="1" t="s">
        <v>51</v>
      </c>
      <c r="Y124" s="1" t="s">
        <v>67</v>
      </c>
      <c r="Z124" s="1" t="s">
        <v>85</v>
      </c>
      <c r="AA124" s="1" t="s">
        <v>122</v>
      </c>
      <c r="AB124" s="1" t="s">
        <v>145</v>
      </c>
    </row>
    <row r="125" spans="1:28" x14ac:dyDescent="0.15">
      <c r="A125" s="1" t="s">
        <v>68</v>
      </c>
      <c r="B125" s="1" t="s">
        <v>143</v>
      </c>
      <c r="C125" s="1">
        <v>2020</v>
      </c>
      <c r="D125" s="80" t="s">
        <v>298</v>
      </c>
      <c r="E125" s="1" t="s">
        <v>165</v>
      </c>
      <c r="F125" s="1" t="s">
        <v>164</v>
      </c>
      <c r="G125" s="1" t="s">
        <v>37</v>
      </c>
      <c r="H125" s="1" t="s">
        <v>82</v>
      </c>
      <c r="I125" s="1" t="s">
        <v>64</v>
      </c>
      <c r="J125" s="1" t="s">
        <v>40</v>
      </c>
      <c r="K125" s="1" t="s">
        <v>41</v>
      </c>
      <c r="L125" s="1">
        <v>1</v>
      </c>
      <c r="N125" s="1">
        <v>5</v>
      </c>
      <c r="O125" s="1">
        <v>0.75</v>
      </c>
      <c r="P125" s="1">
        <v>0.75</v>
      </c>
      <c r="Q125" s="2">
        <f t="shared" si="4"/>
        <v>0.75</v>
      </c>
      <c r="R125" s="1">
        <v>17.2</v>
      </c>
      <c r="S125" s="1">
        <v>112</v>
      </c>
      <c r="T125" s="2">
        <f t="shared" si="3"/>
        <v>33</v>
      </c>
      <c r="U125" s="1">
        <v>598</v>
      </c>
      <c r="V125" s="2">
        <f t="shared" si="5"/>
        <v>3946.7999999999997</v>
      </c>
      <c r="W125" s="1">
        <v>12</v>
      </c>
      <c r="X125" s="1" t="s">
        <v>51</v>
      </c>
      <c r="Y125" s="1" t="s">
        <v>67</v>
      </c>
      <c r="Z125" s="1" t="s">
        <v>85</v>
      </c>
      <c r="AA125" s="1" t="s">
        <v>122</v>
      </c>
      <c r="AB125" s="1" t="s">
        <v>145</v>
      </c>
    </row>
    <row r="126" spans="1:28" x14ac:dyDescent="0.15">
      <c r="A126" s="1" t="s">
        <v>68</v>
      </c>
      <c r="B126" s="1" t="s">
        <v>143</v>
      </c>
      <c r="C126" s="1">
        <v>2020</v>
      </c>
      <c r="D126" s="80" t="s">
        <v>298</v>
      </c>
      <c r="E126" s="1" t="s">
        <v>165</v>
      </c>
      <c r="F126" s="1" t="s">
        <v>164</v>
      </c>
      <c r="G126" s="1" t="s">
        <v>37</v>
      </c>
      <c r="H126" s="1" t="s">
        <v>82</v>
      </c>
      <c r="I126" s="1" t="s">
        <v>64</v>
      </c>
      <c r="J126" s="1" t="s">
        <v>40</v>
      </c>
      <c r="K126" s="1" t="s">
        <v>41</v>
      </c>
      <c r="L126" s="1">
        <v>2</v>
      </c>
      <c r="N126" s="1">
        <v>5</v>
      </c>
      <c r="O126" s="1">
        <v>0.65</v>
      </c>
      <c r="P126" s="1">
        <v>0.65</v>
      </c>
      <c r="Q126" s="2">
        <f t="shared" si="4"/>
        <v>0.65</v>
      </c>
      <c r="R126" s="1">
        <v>17.399999999999999</v>
      </c>
      <c r="S126" s="1">
        <v>93</v>
      </c>
      <c r="T126" s="2">
        <f t="shared" si="3"/>
        <v>36</v>
      </c>
      <c r="U126" s="1">
        <v>598</v>
      </c>
      <c r="V126" s="2">
        <f t="shared" si="5"/>
        <v>4305.5999999999995</v>
      </c>
      <c r="W126" s="1">
        <v>12</v>
      </c>
      <c r="X126" s="1" t="s">
        <v>51</v>
      </c>
      <c r="Y126" s="1" t="s">
        <v>67</v>
      </c>
      <c r="Z126" s="1" t="s">
        <v>85</v>
      </c>
      <c r="AA126" s="1" t="s">
        <v>122</v>
      </c>
      <c r="AB126" s="1" t="s">
        <v>145</v>
      </c>
    </row>
    <row r="127" spans="1:28" x14ac:dyDescent="0.15">
      <c r="A127" s="1" t="s">
        <v>68</v>
      </c>
      <c r="B127" s="1" t="s">
        <v>143</v>
      </c>
      <c r="C127" s="1">
        <v>2020</v>
      </c>
      <c r="D127" s="80" t="s">
        <v>298</v>
      </c>
      <c r="E127" s="1" t="s">
        <v>165</v>
      </c>
      <c r="F127" s="1" t="s">
        <v>164</v>
      </c>
      <c r="G127" s="1" t="s">
        <v>37</v>
      </c>
      <c r="H127" s="1" t="s">
        <v>82</v>
      </c>
      <c r="I127" s="1" t="s">
        <v>64</v>
      </c>
      <c r="J127" s="1" t="s">
        <v>40</v>
      </c>
      <c r="K127" s="1" t="s">
        <v>41</v>
      </c>
      <c r="L127" s="1">
        <v>3</v>
      </c>
      <c r="N127" s="1">
        <v>5</v>
      </c>
      <c r="O127" s="1">
        <v>0.7</v>
      </c>
      <c r="P127" s="1">
        <v>0.75</v>
      </c>
      <c r="Q127" s="2">
        <f t="shared" si="4"/>
        <v>0.72499999999999998</v>
      </c>
      <c r="R127" s="1">
        <v>15.5</v>
      </c>
      <c r="S127" s="1">
        <v>114</v>
      </c>
      <c r="T127" s="2">
        <f t="shared" si="3"/>
        <v>30</v>
      </c>
      <c r="U127" s="1">
        <v>598</v>
      </c>
      <c r="V127" s="2">
        <f t="shared" si="5"/>
        <v>3588</v>
      </c>
      <c r="W127" s="1">
        <v>12</v>
      </c>
      <c r="X127" s="1" t="s">
        <v>51</v>
      </c>
      <c r="Y127" s="1" t="s">
        <v>67</v>
      </c>
      <c r="Z127" s="1" t="s">
        <v>85</v>
      </c>
      <c r="AA127" s="1" t="s">
        <v>122</v>
      </c>
      <c r="AB127" s="1" t="s">
        <v>145</v>
      </c>
    </row>
    <row r="128" spans="1:28" x14ac:dyDescent="0.15">
      <c r="A128" s="1" t="s">
        <v>68</v>
      </c>
      <c r="B128" s="1" t="s">
        <v>143</v>
      </c>
      <c r="C128" s="1">
        <v>2020</v>
      </c>
      <c r="D128" s="80" t="s">
        <v>298</v>
      </c>
      <c r="E128" s="1" t="s">
        <v>165</v>
      </c>
      <c r="F128" s="1" t="s">
        <v>164</v>
      </c>
      <c r="G128" s="1" t="s">
        <v>37</v>
      </c>
      <c r="H128" s="1" t="s">
        <v>82</v>
      </c>
      <c r="I128" s="1" t="s">
        <v>64</v>
      </c>
      <c r="J128" s="1" t="s">
        <v>40</v>
      </c>
      <c r="K128" s="1" t="s">
        <v>41</v>
      </c>
      <c r="L128" s="1">
        <v>1</v>
      </c>
      <c r="N128" s="1">
        <v>7</v>
      </c>
      <c r="O128" s="1">
        <v>0.75</v>
      </c>
      <c r="P128" s="1">
        <v>0.75</v>
      </c>
      <c r="Q128" s="2">
        <f t="shared" si="4"/>
        <v>0.75</v>
      </c>
      <c r="R128" s="1">
        <v>15.2</v>
      </c>
      <c r="S128" s="1">
        <v>151</v>
      </c>
      <c r="T128" s="2">
        <f t="shared" si="3"/>
        <v>22</v>
      </c>
      <c r="U128" s="1">
        <v>1000</v>
      </c>
      <c r="V128" s="2">
        <f t="shared" si="5"/>
        <v>3142.8571428571431</v>
      </c>
      <c r="W128" s="1">
        <v>12</v>
      </c>
      <c r="X128" s="1" t="s">
        <v>51</v>
      </c>
      <c r="Y128" s="1" t="s">
        <v>67</v>
      </c>
      <c r="Z128" s="1" t="s">
        <v>85</v>
      </c>
      <c r="AA128" s="1" t="s">
        <v>122</v>
      </c>
      <c r="AB128" s="1" t="s">
        <v>145</v>
      </c>
    </row>
    <row r="129" spans="1:28" x14ac:dyDescent="0.15">
      <c r="A129" s="1" t="s">
        <v>68</v>
      </c>
      <c r="B129" s="1" t="s">
        <v>143</v>
      </c>
      <c r="C129" s="1">
        <v>2020</v>
      </c>
      <c r="D129" s="80" t="s">
        <v>298</v>
      </c>
      <c r="E129" s="1" t="s">
        <v>165</v>
      </c>
      <c r="F129" s="1" t="s">
        <v>164</v>
      </c>
      <c r="G129" s="1" t="s">
        <v>37</v>
      </c>
      <c r="H129" s="1" t="s">
        <v>82</v>
      </c>
      <c r="I129" s="1" t="s">
        <v>64</v>
      </c>
      <c r="J129" s="1" t="s">
        <v>40</v>
      </c>
      <c r="K129" s="1" t="s">
        <v>41</v>
      </c>
      <c r="L129" s="1">
        <v>2</v>
      </c>
      <c r="N129" s="1">
        <v>7</v>
      </c>
      <c r="O129" s="1">
        <v>0.75</v>
      </c>
      <c r="P129" s="1">
        <v>0.8</v>
      </c>
      <c r="Q129" s="2">
        <f t="shared" si="4"/>
        <v>0.77500000000000002</v>
      </c>
      <c r="R129" s="1">
        <v>15.5</v>
      </c>
      <c r="S129" s="1">
        <v>154</v>
      </c>
      <c r="T129" s="2">
        <f t="shared" si="3"/>
        <v>22</v>
      </c>
      <c r="U129" s="1">
        <v>1000</v>
      </c>
      <c r="V129" s="2">
        <f t="shared" si="5"/>
        <v>3142.8571428571431</v>
      </c>
      <c r="W129" s="1">
        <v>12</v>
      </c>
      <c r="X129" s="1" t="s">
        <v>51</v>
      </c>
      <c r="Y129" s="1" t="s">
        <v>67</v>
      </c>
      <c r="Z129" s="1" t="s">
        <v>85</v>
      </c>
      <c r="AA129" s="1" t="s">
        <v>122</v>
      </c>
      <c r="AB129" s="1" t="s">
        <v>145</v>
      </c>
    </row>
    <row r="130" spans="1:28" x14ac:dyDescent="0.15">
      <c r="A130" s="1" t="s">
        <v>68</v>
      </c>
      <c r="B130" s="1" t="s">
        <v>143</v>
      </c>
      <c r="C130" s="1">
        <v>2020</v>
      </c>
      <c r="D130" s="80" t="s">
        <v>298</v>
      </c>
      <c r="E130" s="1" t="s">
        <v>165</v>
      </c>
      <c r="F130" s="1" t="s">
        <v>164</v>
      </c>
      <c r="G130" s="1" t="s">
        <v>37</v>
      </c>
      <c r="H130" s="1" t="s">
        <v>82</v>
      </c>
      <c r="I130" s="1" t="s">
        <v>64</v>
      </c>
      <c r="J130" s="1" t="s">
        <v>40</v>
      </c>
      <c r="K130" s="1" t="s">
        <v>41</v>
      </c>
      <c r="L130" s="1">
        <v>3</v>
      </c>
      <c r="N130" s="1">
        <v>7</v>
      </c>
      <c r="O130" s="1">
        <v>0.75</v>
      </c>
      <c r="P130" s="1">
        <v>0.75</v>
      </c>
      <c r="Q130" s="2">
        <f t="shared" si="4"/>
        <v>0.75</v>
      </c>
      <c r="R130" s="1">
        <v>13.8</v>
      </c>
      <c r="S130" s="1">
        <v>154</v>
      </c>
      <c r="T130" s="2">
        <f t="shared" ref="T130" si="6">IF(H130="","",IF(OR(H130="GREEN",H130="GK"),IF(S130&gt;=$AX$2,VLOOKUP(S130,$AX$2:$AY$10,2,1),""),IF(S130&gt;=$AZ$2,VLOOKUP(S130,$AZ$2:$BA$10,2,1),"")))</f>
        <v>22</v>
      </c>
      <c r="U130" s="1">
        <v>1000</v>
      </c>
      <c r="V130" s="2">
        <f t="shared" si="5"/>
        <v>3142.8571428571431</v>
      </c>
      <c r="W130" s="1">
        <v>12</v>
      </c>
      <c r="X130" s="1" t="s">
        <v>51</v>
      </c>
      <c r="Y130" s="1" t="s">
        <v>67</v>
      </c>
      <c r="Z130" s="1" t="s">
        <v>85</v>
      </c>
      <c r="AA130" s="1" t="s">
        <v>122</v>
      </c>
      <c r="AB130" s="1" t="s">
        <v>145</v>
      </c>
    </row>
  </sheetData>
  <autoFilter ref="A1:BA130" xr:uid="{00000000-0009-0000-0000-000002000000}"/>
  <phoneticPr fontId="1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3F48C7A3-F888-42C1-BDE6-DD849C462045}">
      <formula1>0</formula1>
      <formula2>7</formula2>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7D7C990C-09EC-475C-98A4-B0580FEBA5EA}">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9DFFEA9D-BA14-4BF3-A564-A6F5B19051B4}">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A1B9F9DE-F475-435D-A50A-28AD1F5669BB}">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0E65F5D8-C0A7-45A8-B1A1-A596E960BEAC}">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45AAEBDF-943D-4FD4-9BAB-7F6DA7EA249B}">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E0B51FB2-0155-4024-BCA9-C94441450DE8}">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8B60712A-1C2F-4128-B9F7-BC42165D149F}">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51968BD9-A1AC-46CE-9F48-DE922076C8D8}">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7F4B17C-7BF1-4516-9850-F38C751A026F}">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B4DF9580-FCF2-422C-8142-E2D96D7DB822}">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BE96BE64-4950-471E-A0CE-1A95A13332F9}"/>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BE65B3E9-1D7A-4EF2-B8C7-F3E61F5DB2EE}">
      <formula1>$AE$2:$AE$19</formula1>
    </dataValidation>
    <dataValidation type="list" allowBlank="1" showInputMessage="1" showErrorMessage="1" sqref="H2:H1254" xr:uid="{2E1A0D9A-9C5F-4FA9-B8B0-5B49AF3035A3}">
      <formula1>$AL$2:$AL$9</formula1>
    </dataValidation>
    <dataValidation type="list" allowBlank="1" showInputMessage="1" showErrorMessage="1" sqref="J2:J133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08689062-EE98-406E-931B-9BEA1A9D96E5}">
      <formula1>$AP$2:$AP$27</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C80F566C-C9C9-45F7-BD97-CD19C25DECB3}">
      <formula1>$AV$2:$AV$21</formula1>
    </dataValidation>
    <dataValidation type="list" allowBlank="1" showInputMessage="1" showErrorMessage="1" sqref="K2:K450" xr:uid="{E4933172-FC32-44DF-86A2-4CC4D1005E7F}">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24D7A7AE-4757-41A1-88B2-605C8D52B5C0}">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1D6C1969-B939-4452-8F5A-00FF29B9E947}">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4B38-869A-45B2-BAC2-7EE57E172555}">
  <dimension ref="A1:BA170"/>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49"/>
    <col min="4" max="4" width="10.5" style="49" customWidth="1"/>
    <col min="5" max="9" width="9" style="49"/>
    <col min="10" max="11" width="9" style="1"/>
    <col min="12" max="16" width="9" style="49"/>
    <col min="17" max="17" width="9" style="50"/>
    <col min="18" max="18" width="9" style="49"/>
    <col min="19" max="19" width="9.5" style="49" customWidth="1"/>
    <col min="20" max="20" width="9" style="50"/>
    <col min="21" max="21" width="9" style="49"/>
    <col min="22" max="22" width="9" style="50"/>
    <col min="23" max="23" width="10.5" style="49" customWidth="1"/>
    <col min="24" max="32" width="9" style="49"/>
    <col min="33" max="33" width="19.625" style="49" customWidth="1"/>
    <col min="34" max="34" width="9.375" style="49" customWidth="1"/>
    <col min="35" max="259" width="9" style="49"/>
    <col min="260" max="260" width="10.5" style="49" customWidth="1"/>
    <col min="261" max="274" width="9" style="49"/>
    <col min="275" max="275" width="9.5" style="49" customWidth="1"/>
    <col min="276" max="278" width="9" style="49"/>
    <col min="279" max="279" width="10.5" style="49" customWidth="1"/>
    <col min="280" max="515" width="9" style="49"/>
    <col min="516" max="516" width="10.5" style="49" customWidth="1"/>
    <col min="517" max="530" width="9" style="49"/>
    <col min="531" max="531" width="9.5" style="49" customWidth="1"/>
    <col min="532" max="534" width="9" style="49"/>
    <col min="535" max="535" width="10.5" style="49" customWidth="1"/>
    <col min="536" max="771" width="9" style="49"/>
    <col min="772" max="772" width="10.5" style="49" customWidth="1"/>
    <col min="773" max="786" width="9" style="49"/>
    <col min="787" max="787" width="9.5" style="49" customWidth="1"/>
    <col min="788" max="790" width="9" style="49"/>
    <col min="791" max="791" width="10.5" style="49" customWidth="1"/>
    <col min="792" max="1027" width="9" style="49"/>
    <col min="1028" max="1028" width="10.5" style="49" customWidth="1"/>
    <col min="1029" max="1042" width="9" style="49"/>
    <col min="1043" max="1043" width="9.5" style="49" customWidth="1"/>
    <col min="1044" max="1046" width="9" style="49"/>
    <col min="1047" max="1047" width="10.5" style="49" customWidth="1"/>
    <col min="1048" max="1283" width="9" style="49"/>
    <col min="1284" max="1284" width="10.5" style="49" customWidth="1"/>
    <col min="1285" max="1298" width="9" style="49"/>
    <col min="1299" max="1299" width="9.5" style="49" customWidth="1"/>
    <col min="1300" max="1302" width="9" style="49"/>
    <col min="1303" max="1303" width="10.5" style="49" customWidth="1"/>
    <col min="1304" max="1539" width="9" style="49"/>
    <col min="1540" max="1540" width="10.5" style="49" customWidth="1"/>
    <col min="1541" max="1554" width="9" style="49"/>
    <col min="1555" max="1555" width="9.5" style="49" customWidth="1"/>
    <col min="1556" max="1558" width="9" style="49"/>
    <col min="1559" max="1559" width="10.5" style="49" customWidth="1"/>
    <col min="1560" max="1795" width="9" style="49"/>
    <col min="1796" max="1796" width="10.5" style="49" customWidth="1"/>
    <col min="1797" max="1810" width="9" style="49"/>
    <col min="1811" max="1811" width="9.5" style="49" customWidth="1"/>
    <col min="1812" max="1814" width="9" style="49"/>
    <col min="1815" max="1815" width="10.5" style="49" customWidth="1"/>
    <col min="1816" max="2051" width="9" style="49"/>
    <col min="2052" max="2052" width="10.5" style="49" customWidth="1"/>
    <col min="2053" max="2066" width="9" style="49"/>
    <col min="2067" max="2067" width="9.5" style="49" customWidth="1"/>
    <col min="2068" max="2070" width="9" style="49"/>
    <col min="2071" max="2071" width="10.5" style="49" customWidth="1"/>
    <col min="2072" max="2307" width="9" style="49"/>
    <col min="2308" max="2308" width="10.5" style="49" customWidth="1"/>
    <col min="2309" max="2322" width="9" style="49"/>
    <col min="2323" max="2323" width="9.5" style="49" customWidth="1"/>
    <col min="2324" max="2326" width="9" style="49"/>
    <col min="2327" max="2327" width="10.5" style="49" customWidth="1"/>
    <col min="2328" max="2563" width="9" style="49"/>
    <col min="2564" max="2564" width="10.5" style="49" customWidth="1"/>
    <col min="2565" max="2578" width="9" style="49"/>
    <col min="2579" max="2579" width="9.5" style="49" customWidth="1"/>
    <col min="2580" max="2582" width="9" style="49"/>
    <col min="2583" max="2583" width="10.5" style="49" customWidth="1"/>
    <col min="2584" max="2819" width="9" style="49"/>
    <col min="2820" max="2820" width="10.5" style="49" customWidth="1"/>
    <col min="2821" max="2834" width="9" style="49"/>
    <col min="2835" max="2835" width="9.5" style="49" customWidth="1"/>
    <col min="2836" max="2838" width="9" style="49"/>
    <col min="2839" max="2839" width="10.5" style="49" customWidth="1"/>
    <col min="2840" max="3075" width="9" style="49"/>
    <col min="3076" max="3076" width="10.5" style="49" customWidth="1"/>
    <col min="3077" max="3090" width="9" style="49"/>
    <col min="3091" max="3091" width="9.5" style="49" customWidth="1"/>
    <col min="3092" max="3094" width="9" style="49"/>
    <col min="3095" max="3095" width="10.5" style="49" customWidth="1"/>
    <col min="3096" max="3331" width="9" style="49"/>
    <col min="3332" max="3332" width="10.5" style="49" customWidth="1"/>
    <col min="3333" max="3346" width="9" style="49"/>
    <col min="3347" max="3347" width="9.5" style="49" customWidth="1"/>
    <col min="3348" max="3350" width="9" style="49"/>
    <col min="3351" max="3351" width="10.5" style="49" customWidth="1"/>
    <col min="3352" max="3587" width="9" style="49"/>
    <col min="3588" max="3588" width="10.5" style="49" customWidth="1"/>
    <col min="3589" max="3602" width="9" style="49"/>
    <col min="3603" max="3603" width="9.5" style="49" customWidth="1"/>
    <col min="3604" max="3606" width="9" style="49"/>
    <col min="3607" max="3607" width="10.5" style="49" customWidth="1"/>
    <col min="3608" max="3843" width="9" style="49"/>
    <col min="3844" max="3844" width="10.5" style="49" customWidth="1"/>
    <col min="3845" max="3858" width="9" style="49"/>
    <col min="3859" max="3859" width="9.5" style="49" customWidth="1"/>
    <col min="3860" max="3862" width="9" style="49"/>
    <col min="3863" max="3863" width="10.5" style="49" customWidth="1"/>
    <col min="3864" max="4099" width="9" style="49"/>
    <col min="4100" max="4100" width="10.5" style="49" customWidth="1"/>
    <col min="4101" max="4114" width="9" style="49"/>
    <col min="4115" max="4115" width="9.5" style="49" customWidth="1"/>
    <col min="4116" max="4118" width="9" style="49"/>
    <col min="4119" max="4119" width="10.5" style="49" customWidth="1"/>
    <col min="4120" max="4355" width="9" style="49"/>
    <col min="4356" max="4356" width="10.5" style="49" customWidth="1"/>
    <col min="4357" max="4370" width="9" style="49"/>
    <col min="4371" max="4371" width="9.5" style="49" customWidth="1"/>
    <col min="4372" max="4374" width="9" style="49"/>
    <col min="4375" max="4375" width="10.5" style="49" customWidth="1"/>
    <col min="4376" max="4611" width="9" style="49"/>
    <col min="4612" max="4612" width="10.5" style="49" customWidth="1"/>
    <col min="4613" max="4626" width="9" style="49"/>
    <col min="4627" max="4627" width="9.5" style="49" customWidth="1"/>
    <col min="4628" max="4630" width="9" style="49"/>
    <col min="4631" max="4631" width="10.5" style="49" customWidth="1"/>
    <col min="4632" max="4867" width="9" style="49"/>
    <col min="4868" max="4868" width="10.5" style="49" customWidth="1"/>
    <col min="4869" max="4882" width="9" style="49"/>
    <col min="4883" max="4883" width="9.5" style="49" customWidth="1"/>
    <col min="4884" max="4886" width="9" style="49"/>
    <col min="4887" max="4887" width="10.5" style="49" customWidth="1"/>
    <col min="4888" max="5123" width="9" style="49"/>
    <col min="5124" max="5124" width="10.5" style="49" customWidth="1"/>
    <col min="5125" max="5138" width="9" style="49"/>
    <col min="5139" max="5139" width="9.5" style="49" customWidth="1"/>
    <col min="5140" max="5142" width="9" style="49"/>
    <col min="5143" max="5143" width="10.5" style="49" customWidth="1"/>
    <col min="5144" max="5379" width="9" style="49"/>
    <col min="5380" max="5380" width="10.5" style="49" customWidth="1"/>
    <col min="5381" max="5394" width="9" style="49"/>
    <col min="5395" max="5395" width="9.5" style="49" customWidth="1"/>
    <col min="5396" max="5398" width="9" style="49"/>
    <col min="5399" max="5399" width="10.5" style="49" customWidth="1"/>
    <col min="5400" max="5635" width="9" style="49"/>
    <col min="5636" max="5636" width="10.5" style="49" customWidth="1"/>
    <col min="5637" max="5650" width="9" style="49"/>
    <col min="5651" max="5651" width="9.5" style="49" customWidth="1"/>
    <col min="5652" max="5654" width="9" style="49"/>
    <col min="5655" max="5655" width="10.5" style="49" customWidth="1"/>
    <col min="5656" max="5891" width="9" style="49"/>
    <col min="5892" max="5892" width="10.5" style="49" customWidth="1"/>
    <col min="5893" max="5906" width="9" style="49"/>
    <col min="5907" max="5907" width="9.5" style="49" customWidth="1"/>
    <col min="5908" max="5910" width="9" style="49"/>
    <col min="5911" max="5911" width="10.5" style="49" customWidth="1"/>
    <col min="5912" max="6147" width="9" style="49"/>
    <col min="6148" max="6148" width="10.5" style="49" customWidth="1"/>
    <col min="6149" max="6162" width="9" style="49"/>
    <col min="6163" max="6163" width="9.5" style="49" customWidth="1"/>
    <col min="6164" max="6166" width="9" style="49"/>
    <col min="6167" max="6167" width="10.5" style="49" customWidth="1"/>
    <col min="6168" max="6403" width="9" style="49"/>
    <col min="6404" max="6404" width="10.5" style="49" customWidth="1"/>
    <col min="6405" max="6418" width="9" style="49"/>
    <col min="6419" max="6419" width="9.5" style="49" customWidth="1"/>
    <col min="6420" max="6422" width="9" style="49"/>
    <col min="6423" max="6423" width="10.5" style="49" customWidth="1"/>
    <col min="6424" max="6659" width="9" style="49"/>
    <col min="6660" max="6660" width="10.5" style="49" customWidth="1"/>
    <col min="6661" max="6674" width="9" style="49"/>
    <col min="6675" max="6675" width="9.5" style="49" customWidth="1"/>
    <col min="6676" max="6678" width="9" style="49"/>
    <col min="6679" max="6679" width="10.5" style="49" customWidth="1"/>
    <col min="6680" max="6915" width="9" style="49"/>
    <col min="6916" max="6916" width="10.5" style="49" customWidth="1"/>
    <col min="6917" max="6930" width="9" style="49"/>
    <col min="6931" max="6931" width="9.5" style="49" customWidth="1"/>
    <col min="6932" max="6934" width="9" style="49"/>
    <col min="6935" max="6935" width="10.5" style="49" customWidth="1"/>
    <col min="6936" max="7171" width="9" style="49"/>
    <col min="7172" max="7172" width="10.5" style="49" customWidth="1"/>
    <col min="7173" max="7186" width="9" style="49"/>
    <col min="7187" max="7187" width="9.5" style="49" customWidth="1"/>
    <col min="7188" max="7190" width="9" style="49"/>
    <col min="7191" max="7191" width="10.5" style="49" customWidth="1"/>
    <col min="7192" max="7427" width="9" style="49"/>
    <col min="7428" max="7428" width="10.5" style="49" customWidth="1"/>
    <col min="7429" max="7442" width="9" style="49"/>
    <col min="7443" max="7443" width="9.5" style="49" customWidth="1"/>
    <col min="7444" max="7446" width="9" style="49"/>
    <col min="7447" max="7447" width="10.5" style="49" customWidth="1"/>
    <col min="7448" max="7683" width="9" style="49"/>
    <col min="7684" max="7684" width="10.5" style="49" customWidth="1"/>
    <col min="7685" max="7698" width="9" style="49"/>
    <col min="7699" max="7699" width="9.5" style="49" customWidth="1"/>
    <col min="7700" max="7702" width="9" style="49"/>
    <col min="7703" max="7703" width="10.5" style="49" customWidth="1"/>
    <col min="7704" max="7939" width="9" style="49"/>
    <col min="7940" max="7940" width="10.5" style="49" customWidth="1"/>
    <col min="7941" max="7954" width="9" style="49"/>
    <col min="7955" max="7955" width="9.5" style="49" customWidth="1"/>
    <col min="7956" max="7958" width="9" style="49"/>
    <col min="7959" max="7959" width="10.5" style="49" customWidth="1"/>
    <col min="7960" max="8195" width="9" style="49"/>
    <col min="8196" max="8196" width="10.5" style="49" customWidth="1"/>
    <col min="8197" max="8210" width="9" style="49"/>
    <col min="8211" max="8211" width="9.5" style="49" customWidth="1"/>
    <col min="8212" max="8214" width="9" style="49"/>
    <col min="8215" max="8215" width="10.5" style="49" customWidth="1"/>
    <col min="8216" max="8451" width="9" style="49"/>
    <col min="8452" max="8452" width="10.5" style="49" customWidth="1"/>
    <col min="8453" max="8466" width="9" style="49"/>
    <col min="8467" max="8467" width="9.5" style="49" customWidth="1"/>
    <col min="8468" max="8470" width="9" style="49"/>
    <col min="8471" max="8471" width="10.5" style="49" customWidth="1"/>
    <col min="8472" max="8707" width="9" style="49"/>
    <col min="8708" max="8708" width="10.5" style="49" customWidth="1"/>
    <col min="8709" max="8722" width="9" style="49"/>
    <col min="8723" max="8723" width="9.5" style="49" customWidth="1"/>
    <col min="8724" max="8726" width="9" style="49"/>
    <col min="8727" max="8727" width="10.5" style="49" customWidth="1"/>
    <col min="8728" max="8963" width="9" style="49"/>
    <col min="8964" max="8964" width="10.5" style="49" customWidth="1"/>
    <col min="8965" max="8978" width="9" style="49"/>
    <col min="8979" max="8979" width="9.5" style="49" customWidth="1"/>
    <col min="8980" max="8982" width="9" style="49"/>
    <col min="8983" max="8983" width="10.5" style="49" customWidth="1"/>
    <col min="8984" max="9219" width="9" style="49"/>
    <col min="9220" max="9220" width="10.5" style="49" customWidth="1"/>
    <col min="9221" max="9234" width="9" style="49"/>
    <col min="9235" max="9235" width="9.5" style="49" customWidth="1"/>
    <col min="9236" max="9238" width="9" style="49"/>
    <col min="9239" max="9239" width="10.5" style="49" customWidth="1"/>
    <col min="9240" max="9475" width="9" style="49"/>
    <col min="9476" max="9476" width="10.5" style="49" customWidth="1"/>
    <col min="9477" max="9490" width="9" style="49"/>
    <col min="9491" max="9491" width="9.5" style="49" customWidth="1"/>
    <col min="9492" max="9494" width="9" style="49"/>
    <col min="9495" max="9495" width="10.5" style="49" customWidth="1"/>
    <col min="9496" max="9731" width="9" style="49"/>
    <col min="9732" max="9732" width="10.5" style="49" customWidth="1"/>
    <col min="9733" max="9746" width="9" style="49"/>
    <col min="9747" max="9747" width="9.5" style="49" customWidth="1"/>
    <col min="9748" max="9750" width="9" style="49"/>
    <col min="9751" max="9751" width="10.5" style="49" customWidth="1"/>
    <col min="9752" max="9987" width="9" style="49"/>
    <col min="9988" max="9988" width="10.5" style="49" customWidth="1"/>
    <col min="9989" max="10002" width="9" style="49"/>
    <col min="10003" max="10003" width="9.5" style="49" customWidth="1"/>
    <col min="10004" max="10006" width="9" style="49"/>
    <col min="10007" max="10007" width="10.5" style="49" customWidth="1"/>
    <col min="10008" max="10243" width="9" style="49"/>
    <col min="10244" max="10244" width="10.5" style="49" customWidth="1"/>
    <col min="10245" max="10258" width="9" style="49"/>
    <col min="10259" max="10259" width="9.5" style="49" customWidth="1"/>
    <col min="10260" max="10262" width="9" style="49"/>
    <col min="10263" max="10263" width="10.5" style="49" customWidth="1"/>
    <col min="10264" max="10499" width="9" style="49"/>
    <col min="10500" max="10500" width="10.5" style="49" customWidth="1"/>
    <col min="10501" max="10514" width="9" style="49"/>
    <col min="10515" max="10515" width="9.5" style="49" customWidth="1"/>
    <col min="10516" max="10518" width="9" style="49"/>
    <col min="10519" max="10519" width="10.5" style="49" customWidth="1"/>
    <col min="10520" max="10755" width="9" style="49"/>
    <col min="10756" max="10756" width="10.5" style="49" customWidth="1"/>
    <col min="10757" max="10770" width="9" style="49"/>
    <col min="10771" max="10771" width="9.5" style="49" customWidth="1"/>
    <col min="10772" max="10774" width="9" style="49"/>
    <col min="10775" max="10775" width="10.5" style="49" customWidth="1"/>
    <col min="10776" max="11011" width="9" style="49"/>
    <col min="11012" max="11012" width="10.5" style="49" customWidth="1"/>
    <col min="11013" max="11026" width="9" style="49"/>
    <col min="11027" max="11027" width="9.5" style="49" customWidth="1"/>
    <col min="11028" max="11030" width="9" style="49"/>
    <col min="11031" max="11031" width="10.5" style="49" customWidth="1"/>
    <col min="11032" max="11267" width="9" style="49"/>
    <col min="11268" max="11268" width="10.5" style="49" customWidth="1"/>
    <col min="11269" max="11282" width="9" style="49"/>
    <col min="11283" max="11283" width="9.5" style="49" customWidth="1"/>
    <col min="11284" max="11286" width="9" style="49"/>
    <col min="11287" max="11287" width="10.5" style="49" customWidth="1"/>
    <col min="11288" max="11523" width="9" style="49"/>
    <col min="11524" max="11524" width="10.5" style="49" customWidth="1"/>
    <col min="11525" max="11538" width="9" style="49"/>
    <col min="11539" max="11539" width="9.5" style="49" customWidth="1"/>
    <col min="11540" max="11542" width="9" style="49"/>
    <col min="11543" max="11543" width="10.5" style="49" customWidth="1"/>
    <col min="11544" max="11779" width="9" style="49"/>
    <col min="11780" max="11780" width="10.5" style="49" customWidth="1"/>
    <col min="11781" max="11794" width="9" style="49"/>
    <col min="11795" max="11795" width="9.5" style="49" customWidth="1"/>
    <col min="11796" max="11798" width="9" style="49"/>
    <col min="11799" max="11799" width="10.5" style="49" customWidth="1"/>
    <col min="11800" max="12035" width="9" style="49"/>
    <col min="12036" max="12036" width="10.5" style="49" customWidth="1"/>
    <col min="12037" max="12050" width="9" style="49"/>
    <col min="12051" max="12051" width="9.5" style="49" customWidth="1"/>
    <col min="12052" max="12054" width="9" style="49"/>
    <col min="12055" max="12055" width="10.5" style="49" customWidth="1"/>
    <col min="12056" max="12291" width="9" style="49"/>
    <col min="12292" max="12292" width="10.5" style="49" customWidth="1"/>
    <col min="12293" max="12306" width="9" style="49"/>
    <col min="12307" max="12307" width="9.5" style="49" customWidth="1"/>
    <col min="12308" max="12310" width="9" style="49"/>
    <col min="12311" max="12311" width="10.5" style="49" customWidth="1"/>
    <col min="12312" max="12547" width="9" style="49"/>
    <col min="12548" max="12548" width="10.5" style="49" customWidth="1"/>
    <col min="12549" max="12562" width="9" style="49"/>
    <col min="12563" max="12563" width="9.5" style="49" customWidth="1"/>
    <col min="12564" max="12566" width="9" style="49"/>
    <col min="12567" max="12567" width="10.5" style="49" customWidth="1"/>
    <col min="12568" max="12803" width="9" style="49"/>
    <col min="12804" max="12804" width="10.5" style="49" customWidth="1"/>
    <col min="12805" max="12818" width="9" style="49"/>
    <col min="12819" max="12819" width="9.5" style="49" customWidth="1"/>
    <col min="12820" max="12822" width="9" style="49"/>
    <col min="12823" max="12823" width="10.5" style="49" customWidth="1"/>
    <col min="12824" max="13059" width="9" style="49"/>
    <col min="13060" max="13060" width="10.5" style="49" customWidth="1"/>
    <col min="13061" max="13074" width="9" style="49"/>
    <col min="13075" max="13075" width="9.5" style="49" customWidth="1"/>
    <col min="13076" max="13078" width="9" style="49"/>
    <col min="13079" max="13079" width="10.5" style="49" customWidth="1"/>
    <col min="13080" max="13315" width="9" style="49"/>
    <col min="13316" max="13316" width="10.5" style="49" customWidth="1"/>
    <col min="13317" max="13330" width="9" style="49"/>
    <col min="13331" max="13331" width="9.5" style="49" customWidth="1"/>
    <col min="13332" max="13334" width="9" style="49"/>
    <col min="13335" max="13335" width="10.5" style="49" customWidth="1"/>
    <col min="13336" max="13571" width="9" style="49"/>
    <col min="13572" max="13572" width="10.5" style="49" customWidth="1"/>
    <col min="13573" max="13586" width="9" style="49"/>
    <col min="13587" max="13587" width="9.5" style="49" customWidth="1"/>
    <col min="13588" max="13590" width="9" style="49"/>
    <col min="13591" max="13591" width="10.5" style="49" customWidth="1"/>
    <col min="13592" max="13827" width="9" style="49"/>
    <col min="13828" max="13828" width="10.5" style="49" customWidth="1"/>
    <col min="13829" max="13842" width="9" style="49"/>
    <col min="13843" max="13843" width="9.5" style="49" customWidth="1"/>
    <col min="13844" max="13846" width="9" style="49"/>
    <col min="13847" max="13847" width="10.5" style="49" customWidth="1"/>
    <col min="13848" max="14083" width="9" style="49"/>
    <col min="14084" max="14084" width="10.5" style="49" customWidth="1"/>
    <col min="14085" max="14098" width="9" style="49"/>
    <col min="14099" max="14099" width="9.5" style="49" customWidth="1"/>
    <col min="14100" max="14102" width="9" style="49"/>
    <col min="14103" max="14103" width="10.5" style="49" customWidth="1"/>
    <col min="14104" max="14339" width="9" style="49"/>
    <col min="14340" max="14340" width="10.5" style="49" customWidth="1"/>
    <col min="14341" max="14354" width="9" style="49"/>
    <col min="14355" max="14355" width="9.5" style="49" customWidth="1"/>
    <col min="14356" max="14358" width="9" style="49"/>
    <col min="14359" max="14359" width="10.5" style="49" customWidth="1"/>
    <col min="14360" max="14595" width="9" style="49"/>
    <col min="14596" max="14596" width="10.5" style="49" customWidth="1"/>
    <col min="14597" max="14610" width="9" style="49"/>
    <col min="14611" max="14611" width="9.5" style="49" customWidth="1"/>
    <col min="14612" max="14614" width="9" style="49"/>
    <col min="14615" max="14615" width="10.5" style="49" customWidth="1"/>
    <col min="14616" max="14851" width="9" style="49"/>
    <col min="14852" max="14852" width="10.5" style="49" customWidth="1"/>
    <col min="14853" max="14866" width="9" style="49"/>
    <col min="14867" max="14867" width="9.5" style="49" customWidth="1"/>
    <col min="14868" max="14870" width="9" style="49"/>
    <col min="14871" max="14871" width="10.5" style="49" customWidth="1"/>
    <col min="14872" max="15107" width="9" style="49"/>
    <col min="15108" max="15108" width="10.5" style="49" customWidth="1"/>
    <col min="15109" max="15122" width="9" style="49"/>
    <col min="15123" max="15123" width="9.5" style="49" customWidth="1"/>
    <col min="15124" max="15126" width="9" style="49"/>
    <col min="15127" max="15127" width="10.5" style="49" customWidth="1"/>
    <col min="15128" max="15363" width="9" style="49"/>
    <col min="15364" max="15364" width="10.5" style="49" customWidth="1"/>
    <col min="15365" max="15378" width="9" style="49"/>
    <col min="15379" max="15379" width="9.5" style="49" customWidth="1"/>
    <col min="15380" max="15382" width="9" style="49"/>
    <col min="15383" max="15383" width="10.5" style="49" customWidth="1"/>
    <col min="15384" max="15619" width="9" style="49"/>
    <col min="15620" max="15620" width="10.5" style="49" customWidth="1"/>
    <col min="15621" max="15634" width="9" style="49"/>
    <col min="15635" max="15635" width="9.5" style="49" customWidth="1"/>
    <col min="15636" max="15638" width="9" style="49"/>
    <col min="15639" max="15639" width="10.5" style="49" customWidth="1"/>
    <col min="15640" max="15875" width="9" style="49"/>
    <col min="15876" max="15876" width="10.5" style="49" customWidth="1"/>
    <col min="15877" max="15890" width="9" style="49"/>
    <col min="15891" max="15891" width="9.5" style="49" customWidth="1"/>
    <col min="15892" max="15894" width="9" style="49"/>
    <col min="15895" max="15895" width="10.5" style="49" customWidth="1"/>
    <col min="15896" max="16131" width="9" style="49"/>
    <col min="16132" max="16132" width="10.5" style="49" customWidth="1"/>
    <col min="16133" max="16146" width="9" style="49"/>
    <col min="16147" max="16147" width="9.5" style="49" customWidth="1"/>
    <col min="16148" max="16150" width="9" style="49"/>
    <col min="16151" max="16151" width="10.5" style="49" customWidth="1"/>
    <col min="16152" max="16384" width="9" style="49"/>
  </cols>
  <sheetData>
    <row r="1" spans="1:53" ht="45" x14ac:dyDescent="0.15">
      <c r="A1" s="51" t="s">
        <v>0</v>
      </c>
      <c r="B1" s="82" t="s">
        <v>1</v>
      </c>
      <c r="C1" s="82" t="s">
        <v>2</v>
      </c>
      <c r="D1" s="83" t="s">
        <v>3</v>
      </c>
      <c r="E1" s="52" t="s">
        <v>4</v>
      </c>
      <c r="F1" s="52" t="s">
        <v>5</v>
      </c>
      <c r="G1" s="52" t="s">
        <v>6</v>
      </c>
      <c r="H1" s="52" t="s">
        <v>7</v>
      </c>
      <c r="I1" s="52" t="s">
        <v>8</v>
      </c>
      <c r="J1" s="4" t="s">
        <v>9</v>
      </c>
      <c r="K1" s="4" t="s">
        <v>10</v>
      </c>
      <c r="L1" s="83" t="s">
        <v>11</v>
      </c>
      <c r="M1" s="83" t="s">
        <v>12</v>
      </c>
      <c r="N1" s="83" t="s">
        <v>13</v>
      </c>
      <c r="O1" s="83" t="s">
        <v>14</v>
      </c>
      <c r="P1" s="83" t="s">
        <v>15</v>
      </c>
      <c r="Q1" s="53" t="s">
        <v>16</v>
      </c>
      <c r="R1" s="83" t="s">
        <v>17</v>
      </c>
      <c r="S1" s="83" t="s">
        <v>18</v>
      </c>
      <c r="T1" s="53" t="s">
        <v>19</v>
      </c>
      <c r="U1" s="84" t="s">
        <v>20</v>
      </c>
      <c r="V1" s="54" t="s">
        <v>21</v>
      </c>
      <c r="W1" s="83" t="s">
        <v>22</v>
      </c>
      <c r="X1" s="52" t="s">
        <v>23</v>
      </c>
      <c r="Y1" s="52" t="s">
        <v>24</v>
      </c>
      <c r="Z1" s="52" t="s">
        <v>25</v>
      </c>
      <c r="AA1" s="55" t="s">
        <v>26</v>
      </c>
      <c r="AB1" s="85" t="s">
        <v>27</v>
      </c>
      <c r="AE1" s="86" t="s">
        <v>0</v>
      </c>
      <c r="AF1" s="87"/>
      <c r="AG1" s="86" t="s">
        <v>4</v>
      </c>
      <c r="AH1" s="86" t="s">
        <v>5</v>
      </c>
      <c r="AI1" s="87"/>
      <c r="AJ1" s="86" t="s">
        <v>6</v>
      </c>
      <c r="AK1" s="87"/>
      <c r="AL1" s="58" t="s">
        <v>7</v>
      </c>
      <c r="AM1" s="87"/>
      <c r="AN1" s="58" t="s">
        <v>8</v>
      </c>
      <c r="AO1" s="87"/>
      <c r="AP1" s="58" t="s">
        <v>28</v>
      </c>
      <c r="AQ1" s="87"/>
      <c r="AR1" s="58" t="s">
        <v>10</v>
      </c>
      <c r="AS1" s="87"/>
      <c r="AT1" s="59" t="s">
        <v>29</v>
      </c>
      <c r="AU1" s="87"/>
      <c r="AV1" s="58" t="s">
        <v>30</v>
      </c>
      <c r="AX1" s="60" t="s">
        <v>31</v>
      </c>
      <c r="AY1" s="61" t="s">
        <v>32</v>
      </c>
      <c r="AZ1" s="61" t="s">
        <v>33</v>
      </c>
      <c r="BA1" s="62" t="s">
        <v>34</v>
      </c>
    </row>
    <row r="2" spans="1:53" x14ac:dyDescent="0.15">
      <c r="A2" s="49" t="s">
        <v>61</v>
      </c>
      <c r="B2" s="49" t="s">
        <v>143</v>
      </c>
      <c r="C2" s="49">
        <v>2020</v>
      </c>
      <c r="D2" s="88" t="s">
        <v>414</v>
      </c>
      <c r="E2" s="49" t="s">
        <v>183</v>
      </c>
      <c r="F2" s="49" t="s">
        <v>182</v>
      </c>
      <c r="G2" s="49" t="s">
        <v>46</v>
      </c>
      <c r="H2" s="49" t="s">
        <v>63</v>
      </c>
      <c r="I2" s="49" t="s">
        <v>64</v>
      </c>
      <c r="J2" s="1" t="s">
        <v>40</v>
      </c>
      <c r="K2" s="1" t="s">
        <v>41</v>
      </c>
      <c r="L2" s="49">
        <v>1</v>
      </c>
      <c r="N2" s="49">
        <v>1</v>
      </c>
      <c r="O2" s="49">
        <v>1.05</v>
      </c>
      <c r="P2" s="49">
        <v>1</v>
      </c>
      <c r="Q2" s="89">
        <f t="shared" ref="Q2:Q65" si="0">IF(OR(O2="",P2=""),"",AVERAGE(O2,P2))</f>
        <v>1.0249999999999999</v>
      </c>
      <c r="R2" s="49">
        <v>13.7</v>
      </c>
      <c r="S2" s="49">
        <v>124</v>
      </c>
      <c r="T2" s="50">
        <f t="shared" ref="T2:T65" si="1">IF(H2="","",IF(OR(H2="GREEN",H2="GK"),IF(S2&gt;=$AX$2,VLOOKUP(S2,$AX$2:$AY$12,2,1),""),IF(S2&gt;=$AZ$2,VLOOKUP(S2,$AZ$2:$BA$12,2,1),"")))</f>
        <v>27</v>
      </c>
      <c r="U2" s="49">
        <v>98</v>
      </c>
      <c r="V2" s="90">
        <f t="shared" ref="V2:V65" si="2">IF(OR(N2="",U2="",T2=""),"",U2/N2*T2)</f>
        <v>2646</v>
      </c>
      <c r="W2" s="49">
        <v>11</v>
      </c>
      <c r="X2" s="49" t="s">
        <v>51</v>
      </c>
      <c r="Y2" s="49" t="s">
        <v>67</v>
      </c>
      <c r="Z2" s="49" t="s">
        <v>101</v>
      </c>
      <c r="AA2" s="49" t="s">
        <v>128</v>
      </c>
      <c r="AB2" s="49" t="s">
        <v>145</v>
      </c>
      <c r="AE2" s="91" t="s">
        <v>35</v>
      </c>
      <c r="AG2" s="92" t="s">
        <v>81</v>
      </c>
      <c r="AH2" s="92" t="s">
        <v>169</v>
      </c>
      <c r="AJ2" s="92" t="s">
        <v>37</v>
      </c>
      <c r="AL2" s="93" t="s">
        <v>38</v>
      </c>
      <c r="AN2" s="92" t="s">
        <v>39</v>
      </c>
      <c r="AP2" s="92" t="s">
        <v>40</v>
      </c>
      <c r="AR2" s="92" t="s">
        <v>41</v>
      </c>
      <c r="AT2" s="92" t="s">
        <v>42</v>
      </c>
      <c r="AV2" s="92" t="s">
        <v>43</v>
      </c>
      <c r="AX2" s="94">
        <v>1</v>
      </c>
      <c r="AY2" s="95">
        <v>50</v>
      </c>
      <c r="AZ2" s="95">
        <v>1</v>
      </c>
      <c r="BA2" s="96">
        <v>50</v>
      </c>
    </row>
    <row r="3" spans="1:53" x14ac:dyDescent="0.15">
      <c r="A3" s="49" t="s">
        <v>61</v>
      </c>
      <c r="B3" s="49" t="s">
        <v>143</v>
      </c>
      <c r="C3" s="49">
        <v>2020</v>
      </c>
      <c r="D3" s="88" t="s">
        <v>414</v>
      </c>
      <c r="E3" s="49" t="s">
        <v>183</v>
      </c>
      <c r="F3" s="49" t="s">
        <v>182</v>
      </c>
      <c r="G3" s="49" t="s">
        <v>46</v>
      </c>
      <c r="H3" s="49" t="s">
        <v>63</v>
      </c>
      <c r="I3" s="49" t="s">
        <v>64</v>
      </c>
      <c r="J3" s="1" t="s">
        <v>40</v>
      </c>
      <c r="K3" s="1" t="s">
        <v>41</v>
      </c>
      <c r="L3" s="49">
        <v>2</v>
      </c>
      <c r="N3" s="49">
        <v>1</v>
      </c>
      <c r="O3" s="49">
        <v>1</v>
      </c>
      <c r="P3" s="49">
        <v>1.1000000000000001</v>
      </c>
      <c r="Q3" s="89">
        <f t="shared" si="0"/>
        <v>1.05</v>
      </c>
      <c r="R3" s="49">
        <v>13.5</v>
      </c>
      <c r="S3" s="49">
        <v>122</v>
      </c>
      <c r="T3" s="50">
        <f t="shared" si="1"/>
        <v>27</v>
      </c>
      <c r="U3" s="49">
        <v>98</v>
      </c>
      <c r="V3" s="90">
        <f t="shared" si="2"/>
        <v>2646</v>
      </c>
      <c r="W3" s="49">
        <v>11</v>
      </c>
      <c r="X3" s="49" t="s">
        <v>51</v>
      </c>
      <c r="Y3" s="49" t="s">
        <v>67</v>
      </c>
      <c r="Z3" s="49" t="s">
        <v>101</v>
      </c>
      <c r="AA3" s="49" t="s">
        <v>128</v>
      </c>
      <c r="AB3" s="49" t="s">
        <v>145</v>
      </c>
      <c r="AE3" s="56" t="s">
        <v>44</v>
      </c>
      <c r="AG3" s="92" t="s">
        <v>170</v>
      </c>
      <c r="AH3" s="92" t="s">
        <v>171</v>
      </c>
      <c r="AJ3" s="97" t="s">
        <v>46</v>
      </c>
      <c r="AL3" s="97" t="s">
        <v>47</v>
      </c>
      <c r="AN3" s="97" t="s">
        <v>48</v>
      </c>
      <c r="AP3" s="97" t="s">
        <v>49</v>
      </c>
      <c r="AR3" s="97" t="s">
        <v>50</v>
      </c>
      <c r="AT3" s="97" t="s">
        <v>51</v>
      </c>
      <c r="AV3" s="97" t="s">
        <v>52</v>
      </c>
      <c r="AX3" s="98">
        <v>72</v>
      </c>
      <c r="AY3" s="99">
        <v>46</v>
      </c>
      <c r="AZ3" s="99">
        <v>71</v>
      </c>
      <c r="BA3" s="100">
        <v>42</v>
      </c>
    </row>
    <row r="4" spans="1:53" x14ac:dyDescent="0.15">
      <c r="A4" s="49" t="s">
        <v>61</v>
      </c>
      <c r="B4" s="49" t="s">
        <v>143</v>
      </c>
      <c r="C4" s="49">
        <v>2020</v>
      </c>
      <c r="D4" s="88" t="s">
        <v>414</v>
      </c>
      <c r="E4" s="49" t="s">
        <v>183</v>
      </c>
      <c r="F4" s="49" t="s">
        <v>182</v>
      </c>
      <c r="G4" s="49" t="s">
        <v>46</v>
      </c>
      <c r="H4" s="49" t="s">
        <v>63</v>
      </c>
      <c r="I4" s="49" t="s">
        <v>64</v>
      </c>
      <c r="J4" s="1" t="s">
        <v>40</v>
      </c>
      <c r="K4" s="1" t="s">
        <v>41</v>
      </c>
      <c r="L4" s="49">
        <v>3</v>
      </c>
      <c r="N4" s="49">
        <v>1</v>
      </c>
      <c r="O4" s="49">
        <v>0.95</v>
      </c>
      <c r="P4" s="49">
        <v>0.9</v>
      </c>
      <c r="Q4" s="89">
        <f t="shared" si="0"/>
        <v>0.92500000000000004</v>
      </c>
      <c r="R4" s="49">
        <v>14.8</v>
      </c>
      <c r="S4" s="49">
        <v>128</v>
      </c>
      <c r="T4" s="50">
        <f t="shared" si="1"/>
        <v>27</v>
      </c>
      <c r="U4" s="49">
        <v>98</v>
      </c>
      <c r="V4" s="90">
        <f t="shared" si="2"/>
        <v>2646</v>
      </c>
      <c r="W4" s="49">
        <v>11</v>
      </c>
      <c r="X4" s="49" t="s">
        <v>51</v>
      </c>
      <c r="Y4" s="49" t="s">
        <v>67</v>
      </c>
      <c r="Z4" s="49" t="s">
        <v>101</v>
      </c>
      <c r="AA4" s="49" t="s">
        <v>128</v>
      </c>
      <c r="AB4" s="49" t="s">
        <v>145</v>
      </c>
      <c r="AE4" s="56" t="s">
        <v>53</v>
      </c>
      <c r="AG4" s="92" t="s">
        <v>172</v>
      </c>
      <c r="AH4" s="92" t="s">
        <v>173</v>
      </c>
      <c r="AJ4" s="101" t="s">
        <v>55</v>
      </c>
      <c r="AL4" s="97" t="s">
        <v>56</v>
      </c>
      <c r="AN4" s="102" t="s">
        <v>57</v>
      </c>
      <c r="AP4" s="97" t="s">
        <v>58</v>
      </c>
      <c r="AR4" s="97" t="s">
        <v>59</v>
      </c>
      <c r="AT4" s="102"/>
      <c r="AV4" s="97" t="s">
        <v>60</v>
      </c>
      <c r="AX4" s="98">
        <v>75</v>
      </c>
      <c r="AY4" s="99">
        <v>42</v>
      </c>
      <c r="AZ4" s="99">
        <v>76</v>
      </c>
      <c r="BA4" s="100">
        <v>39</v>
      </c>
    </row>
    <row r="5" spans="1:53" x14ac:dyDescent="0.15">
      <c r="A5" s="49" t="s">
        <v>61</v>
      </c>
      <c r="B5" s="49" t="s">
        <v>143</v>
      </c>
      <c r="C5" s="49">
        <v>2020</v>
      </c>
      <c r="D5" s="88" t="s">
        <v>414</v>
      </c>
      <c r="E5" s="49" t="s">
        <v>183</v>
      </c>
      <c r="F5" s="49" t="s">
        <v>182</v>
      </c>
      <c r="G5" s="49" t="s">
        <v>46</v>
      </c>
      <c r="H5" s="49" t="s">
        <v>63</v>
      </c>
      <c r="I5" s="49" t="s">
        <v>64</v>
      </c>
      <c r="J5" s="1" t="s">
        <v>40</v>
      </c>
      <c r="K5" s="1" t="s">
        <v>41</v>
      </c>
      <c r="L5" s="49">
        <v>1</v>
      </c>
      <c r="N5" s="49">
        <v>2</v>
      </c>
      <c r="O5" s="49">
        <v>1.35</v>
      </c>
      <c r="P5" s="49">
        <v>1.4</v>
      </c>
      <c r="Q5" s="89">
        <f t="shared" si="0"/>
        <v>1.375</v>
      </c>
      <c r="R5" s="49">
        <v>14.7</v>
      </c>
      <c r="S5" s="49">
        <v>144</v>
      </c>
      <c r="T5" s="50">
        <f t="shared" si="1"/>
        <v>22</v>
      </c>
      <c r="U5" s="49">
        <v>398</v>
      </c>
      <c r="V5" s="90">
        <f t="shared" si="2"/>
        <v>4378</v>
      </c>
      <c r="W5" s="49">
        <v>11</v>
      </c>
      <c r="X5" s="49" t="s">
        <v>42</v>
      </c>
      <c r="Y5" s="49" t="s">
        <v>67</v>
      </c>
      <c r="Z5" s="49" t="s">
        <v>101</v>
      </c>
      <c r="AA5" s="49" t="s">
        <v>128</v>
      </c>
      <c r="AB5" s="49" t="s">
        <v>145</v>
      </c>
      <c r="AE5" s="56" t="s">
        <v>61</v>
      </c>
      <c r="AG5" s="92" t="s">
        <v>174</v>
      </c>
      <c r="AH5" s="92" t="s">
        <v>175</v>
      </c>
      <c r="AJ5" s="102"/>
      <c r="AL5" s="97" t="s">
        <v>63</v>
      </c>
      <c r="AN5" s="103" t="s">
        <v>64</v>
      </c>
      <c r="AP5" s="97" t="s">
        <v>65</v>
      </c>
      <c r="AR5" s="97" t="s">
        <v>66</v>
      </c>
      <c r="AV5" s="97" t="s">
        <v>67</v>
      </c>
      <c r="AX5" s="98">
        <v>84</v>
      </c>
      <c r="AY5" s="99">
        <v>39</v>
      </c>
      <c r="AZ5" s="99">
        <v>84</v>
      </c>
      <c r="BA5" s="100">
        <v>36</v>
      </c>
    </row>
    <row r="6" spans="1:53" x14ac:dyDescent="0.15">
      <c r="A6" s="49" t="s">
        <v>61</v>
      </c>
      <c r="B6" s="49" t="s">
        <v>143</v>
      </c>
      <c r="C6" s="49">
        <v>2020</v>
      </c>
      <c r="D6" s="88" t="s">
        <v>414</v>
      </c>
      <c r="E6" s="49" t="s">
        <v>183</v>
      </c>
      <c r="F6" s="49" t="s">
        <v>182</v>
      </c>
      <c r="G6" s="49" t="s">
        <v>46</v>
      </c>
      <c r="H6" s="49" t="s">
        <v>63</v>
      </c>
      <c r="I6" s="49" t="s">
        <v>64</v>
      </c>
      <c r="J6" s="1" t="s">
        <v>40</v>
      </c>
      <c r="K6" s="1" t="s">
        <v>41</v>
      </c>
      <c r="L6" s="49">
        <v>2</v>
      </c>
      <c r="N6" s="49">
        <v>2</v>
      </c>
      <c r="O6" s="49">
        <v>1.25</v>
      </c>
      <c r="P6" s="49">
        <v>1.2</v>
      </c>
      <c r="Q6" s="89">
        <f t="shared" si="0"/>
        <v>1.2250000000000001</v>
      </c>
      <c r="R6" s="49">
        <v>15.9</v>
      </c>
      <c r="S6" s="49">
        <v>148</v>
      </c>
      <c r="T6" s="50">
        <f t="shared" si="1"/>
        <v>22</v>
      </c>
      <c r="U6" s="49">
        <v>398</v>
      </c>
      <c r="V6" s="90">
        <f t="shared" si="2"/>
        <v>4378</v>
      </c>
      <c r="W6" s="49">
        <v>11</v>
      </c>
      <c r="X6" s="49" t="s">
        <v>42</v>
      </c>
      <c r="Y6" s="49" t="s">
        <v>67</v>
      </c>
      <c r="Z6" s="49" t="s">
        <v>101</v>
      </c>
      <c r="AA6" s="49" t="s">
        <v>128</v>
      </c>
      <c r="AB6" s="49" t="s">
        <v>145</v>
      </c>
      <c r="AE6" s="56" t="s">
        <v>68</v>
      </c>
      <c r="AG6" s="92" t="s">
        <v>176</v>
      </c>
      <c r="AH6" s="92" t="s">
        <v>177</v>
      </c>
      <c r="AL6" s="97" t="s">
        <v>70</v>
      </c>
      <c r="AN6" s="103" t="s">
        <v>71</v>
      </c>
      <c r="AP6" s="97" t="s">
        <v>72</v>
      </c>
      <c r="AR6" s="97" t="s">
        <v>73</v>
      </c>
      <c r="AV6" s="97" t="s">
        <v>74</v>
      </c>
      <c r="AX6" s="98">
        <v>97</v>
      </c>
      <c r="AY6" s="99">
        <v>36</v>
      </c>
      <c r="AZ6" s="99">
        <v>99</v>
      </c>
      <c r="BA6" s="100">
        <v>33</v>
      </c>
    </row>
    <row r="7" spans="1:53" x14ac:dyDescent="0.15">
      <c r="A7" s="49" t="s">
        <v>61</v>
      </c>
      <c r="B7" s="49" t="s">
        <v>143</v>
      </c>
      <c r="C7" s="49">
        <v>2020</v>
      </c>
      <c r="D7" s="88" t="s">
        <v>414</v>
      </c>
      <c r="E7" s="49" t="s">
        <v>183</v>
      </c>
      <c r="F7" s="49" t="s">
        <v>182</v>
      </c>
      <c r="G7" s="49" t="s">
        <v>46</v>
      </c>
      <c r="H7" s="49" t="s">
        <v>63</v>
      </c>
      <c r="I7" s="49" t="s">
        <v>64</v>
      </c>
      <c r="J7" s="1" t="s">
        <v>40</v>
      </c>
      <c r="K7" s="1" t="s">
        <v>41</v>
      </c>
      <c r="L7" s="49">
        <v>3</v>
      </c>
      <c r="N7" s="49">
        <v>2</v>
      </c>
      <c r="O7" s="49">
        <v>1.1499999999999999</v>
      </c>
      <c r="P7" s="49">
        <v>1.35</v>
      </c>
      <c r="Q7" s="89">
        <f t="shared" si="0"/>
        <v>1.25</v>
      </c>
      <c r="R7" s="49">
        <v>15.5</v>
      </c>
      <c r="S7" s="49">
        <v>146</v>
      </c>
      <c r="T7" s="50">
        <f t="shared" si="1"/>
        <v>22</v>
      </c>
      <c r="U7" s="49">
        <v>398</v>
      </c>
      <c r="V7" s="90">
        <f t="shared" si="2"/>
        <v>4378</v>
      </c>
      <c r="W7" s="49">
        <v>11</v>
      </c>
      <c r="X7" s="49" t="s">
        <v>42</v>
      </c>
      <c r="Y7" s="49" t="s">
        <v>67</v>
      </c>
      <c r="Z7" s="49" t="s">
        <v>101</v>
      </c>
      <c r="AA7" s="49" t="s">
        <v>128</v>
      </c>
      <c r="AB7" s="49" t="s">
        <v>145</v>
      </c>
      <c r="AE7" s="56" t="s">
        <v>75</v>
      </c>
      <c r="AG7" s="92" t="s">
        <v>178</v>
      </c>
      <c r="AH7" s="92" t="s">
        <v>169</v>
      </c>
      <c r="AL7" s="97" t="s">
        <v>77</v>
      </c>
      <c r="AP7" s="97" t="s">
        <v>78</v>
      </c>
      <c r="AR7" s="97" t="s">
        <v>79</v>
      </c>
      <c r="AV7" s="97" t="s">
        <v>80</v>
      </c>
      <c r="AX7" s="98">
        <v>109</v>
      </c>
      <c r="AY7" s="99">
        <v>33</v>
      </c>
      <c r="AZ7" s="99">
        <v>113</v>
      </c>
      <c r="BA7" s="100">
        <v>30</v>
      </c>
    </row>
    <row r="8" spans="1:53" x14ac:dyDescent="0.15">
      <c r="A8" s="49" t="s">
        <v>61</v>
      </c>
      <c r="B8" s="49" t="s">
        <v>143</v>
      </c>
      <c r="C8" s="49">
        <v>2020</v>
      </c>
      <c r="D8" s="88" t="s">
        <v>414</v>
      </c>
      <c r="E8" s="49" t="s">
        <v>183</v>
      </c>
      <c r="F8" s="49" t="s">
        <v>182</v>
      </c>
      <c r="G8" s="49" t="s">
        <v>46</v>
      </c>
      <c r="H8" s="49" t="s">
        <v>63</v>
      </c>
      <c r="I8" s="49" t="s">
        <v>64</v>
      </c>
      <c r="J8" s="1" t="s">
        <v>40</v>
      </c>
      <c r="K8" s="1" t="s">
        <v>41</v>
      </c>
      <c r="L8" s="49">
        <v>1</v>
      </c>
      <c r="N8" s="49">
        <v>5</v>
      </c>
      <c r="O8" s="49">
        <v>0.8</v>
      </c>
      <c r="P8" s="49">
        <v>0.75</v>
      </c>
      <c r="Q8" s="89">
        <f t="shared" si="0"/>
        <v>0.77500000000000002</v>
      </c>
      <c r="R8" s="49">
        <v>15.4</v>
      </c>
      <c r="S8" s="49">
        <v>83</v>
      </c>
      <c r="T8" s="50">
        <f t="shared" si="1"/>
        <v>39</v>
      </c>
      <c r="U8" s="49">
        <v>398</v>
      </c>
      <c r="V8" s="90">
        <f t="shared" si="2"/>
        <v>3104.3999999999996</v>
      </c>
      <c r="W8" s="49">
        <v>11</v>
      </c>
      <c r="X8" s="49" t="s">
        <v>42</v>
      </c>
      <c r="Y8" s="49" t="s">
        <v>67</v>
      </c>
      <c r="Z8" s="49" t="s">
        <v>101</v>
      </c>
      <c r="AA8" s="49" t="s">
        <v>128</v>
      </c>
      <c r="AB8" s="49" t="s">
        <v>145</v>
      </c>
      <c r="AE8" s="56" t="s">
        <v>73</v>
      </c>
      <c r="AG8" s="92" t="s">
        <v>179</v>
      </c>
      <c r="AH8" s="92" t="s">
        <v>180</v>
      </c>
      <c r="AL8" s="97" t="s">
        <v>82</v>
      </c>
      <c r="AP8" s="97" t="s">
        <v>83</v>
      </c>
      <c r="AR8" s="97" t="s">
        <v>84</v>
      </c>
      <c r="AV8" s="97" t="s">
        <v>85</v>
      </c>
      <c r="AX8" s="98">
        <v>119</v>
      </c>
      <c r="AY8" s="99">
        <v>30</v>
      </c>
      <c r="AZ8" s="99">
        <v>121</v>
      </c>
      <c r="BA8" s="100">
        <v>27</v>
      </c>
    </row>
    <row r="9" spans="1:53" x14ac:dyDescent="0.15">
      <c r="A9" s="49" t="s">
        <v>61</v>
      </c>
      <c r="B9" s="49" t="s">
        <v>143</v>
      </c>
      <c r="C9" s="49">
        <v>2020</v>
      </c>
      <c r="D9" s="88" t="s">
        <v>414</v>
      </c>
      <c r="E9" s="49" t="s">
        <v>183</v>
      </c>
      <c r="F9" s="49" t="s">
        <v>182</v>
      </c>
      <c r="G9" s="49" t="s">
        <v>46</v>
      </c>
      <c r="H9" s="49" t="s">
        <v>63</v>
      </c>
      <c r="I9" s="49" t="s">
        <v>64</v>
      </c>
      <c r="J9" s="1" t="s">
        <v>40</v>
      </c>
      <c r="K9" s="1" t="s">
        <v>41</v>
      </c>
      <c r="L9" s="49">
        <v>2</v>
      </c>
      <c r="N9" s="49">
        <v>5</v>
      </c>
      <c r="O9" s="49">
        <v>0.7</v>
      </c>
      <c r="P9" s="49">
        <v>0.8</v>
      </c>
      <c r="Q9" s="89">
        <f t="shared" si="0"/>
        <v>0.75</v>
      </c>
      <c r="R9" s="49">
        <v>15.6</v>
      </c>
      <c r="S9" s="49">
        <v>84</v>
      </c>
      <c r="T9" s="50">
        <f t="shared" si="1"/>
        <v>36</v>
      </c>
      <c r="U9" s="49">
        <v>398</v>
      </c>
      <c r="V9" s="90">
        <f t="shared" si="2"/>
        <v>2865.6</v>
      </c>
      <c r="W9" s="49">
        <v>11</v>
      </c>
      <c r="X9" s="49" t="s">
        <v>42</v>
      </c>
      <c r="Y9" s="49" t="s">
        <v>67</v>
      </c>
      <c r="Z9" s="49" t="s">
        <v>101</v>
      </c>
      <c r="AA9" s="49" t="s">
        <v>128</v>
      </c>
      <c r="AB9" s="49" t="s">
        <v>145</v>
      </c>
      <c r="AE9" s="56" t="s">
        <v>86</v>
      </c>
      <c r="AG9" s="92" t="s">
        <v>181</v>
      </c>
      <c r="AH9" s="92" t="s">
        <v>182</v>
      </c>
      <c r="AL9" s="12" t="s">
        <v>88</v>
      </c>
      <c r="AP9" s="97" t="s">
        <v>89</v>
      </c>
      <c r="AR9" s="97" t="s">
        <v>90</v>
      </c>
      <c r="AV9" s="97" t="s">
        <v>91</v>
      </c>
      <c r="AX9" s="98">
        <v>128</v>
      </c>
      <c r="AY9" s="99">
        <v>27</v>
      </c>
      <c r="AZ9" s="99">
        <v>129</v>
      </c>
      <c r="BA9" s="100">
        <v>25</v>
      </c>
    </row>
    <row r="10" spans="1:53" x14ac:dyDescent="0.15">
      <c r="A10" s="49" t="s">
        <v>61</v>
      </c>
      <c r="B10" s="49" t="s">
        <v>143</v>
      </c>
      <c r="C10" s="49">
        <v>2020</v>
      </c>
      <c r="D10" s="88" t="s">
        <v>414</v>
      </c>
      <c r="E10" s="49" t="s">
        <v>183</v>
      </c>
      <c r="F10" s="49" t="s">
        <v>182</v>
      </c>
      <c r="G10" s="49" t="s">
        <v>46</v>
      </c>
      <c r="H10" s="49" t="s">
        <v>63</v>
      </c>
      <c r="I10" s="49" t="s">
        <v>64</v>
      </c>
      <c r="J10" s="1" t="s">
        <v>40</v>
      </c>
      <c r="K10" s="1" t="s">
        <v>41</v>
      </c>
      <c r="L10" s="49">
        <v>3</v>
      </c>
      <c r="N10" s="49">
        <v>5</v>
      </c>
      <c r="O10" s="49">
        <v>0.85</v>
      </c>
      <c r="P10" s="49">
        <v>0.65</v>
      </c>
      <c r="Q10" s="89">
        <f t="shared" si="0"/>
        <v>0.75</v>
      </c>
      <c r="R10" s="49">
        <v>16.3</v>
      </c>
      <c r="S10" s="49">
        <v>93</v>
      </c>
      <c r="T10" s="50">
        <f t="shared" si="1"/>
        <v>36</v>
      </c>
      <c r="U10" s="49">
        <v>398</v>
      </c>
      <c r="V10" s="90">
        <f t="shared" si="2"/>
        <v>2865.6</v>
      </c>
      <c r="W10" s="49">
        <v>11</v>
      </c>
      <c r="X10" s="49" t="s">
        <v>42</v>
      </c>
      <c r="Y10" s="49" t="s">
        <v>67</v>
      </c>
      <c r="Z10" s="49" t="s">
        <v>101</v>
      </c>
      <c r="AA10" s="49" t="s">
        <v>128</v>
      </c>
      <c r="AB10" s="49" t="s">
        <v>145</v>
      </c>
      <c r="AE10" s="56" t="s">
        <v>92</v>
      </c>
      <c r="AG10" s="92" t="s">
        <v>183</v>
      </c>
      <c r="AH10" s="97" t="s">
        <v>182</v>
      </c>
      <c r="AP10" s="97" t="s">
        <v>94</v>
      </c>
      <c r="AR10" s="97" t="s">
        <v>95</v>
      </c>
      <c r="AV10" s="97" t="s">
        <v>96</v>
      </c>
      <c r="AX10" s="98">
        <v>138</v>
      </c>
      <c r="AY10" s="99">
        <v>25</v>
      </c>
      <c r="AZ10" s="99">
        <v>138</v>
      </c>
      <c r="BA10" s="100">
        <v>22</v>
      </c>
    </row>
    <row r="11" spans="1:53" x14ac:dyDescent="0.15">
      <c r="A11" s="49" t="s">
        <v>61</v>
      </c>
      <c r="B11" s="49" t="s">
        <v>143</v>
      </c>
      <c r="C11" s="49">
        <v>2020</v>
      </c>
      <c r="D11" s="88" t="s">
        <v>414</v>
      </c>
      <c r="E11" s="49" t="s">
        <v>183</v>
      </c>
      <c r="F11" s="49" t="s">
        <v>182</v>
      </c>
      <c r="G11" s="49" t="s">
        <v>46</v>
      </c>
      <c r="H11" s="49" t="s">
        <v>82</v>
      </c>
      <c r="I11" s="49" t="s">
        <v>64</v>
      </c>
      <c r="J11" s="1" t="s">
        <v>40</v>
      </c>
      <c r="K11" s="1" t="s">
        <v>41</v>
      </c>
      <c r="L11" s="49">
        <v>1</v>
      </c>
      <c r="N11" s="49">
        <v>1</v>
      </c>
      <c r="O11" s="49">
        <v>0.75</v>
      </c>
      <c r="P11" s="49">
        <v>0.75</v>
      </c>
      <c r="Q11" s="89">
        <f t="shared" si="0"/>
        <v>0.75</v>
      </c>
      <c r="R11" s="49">
        <v>17.2</v>
      </c>
      <c r="S11" s="49">
        <v>148</v>
      </c>
      <c r="T11" s="50">
        <f t="shared" si="1"/>
        <v>22</v>
      </c>
      <c r="U11" s="49">
        <v>98</v>
      </c>
      <c r="V11" s="90">
        <f t="shared" si="2"/>
        <v>2156</v>
      </c>
      <c r="W11" s="49">
        <v>11</v>
      </c>
      <c r="X11" s="49" t="s">
        <v>51</v>
      </c>
      <c r="Y11" s="49" t="s">
        <v>67</v>
      </c>
      <c r="Z11" s="49" t="s">
        <v>101</v>
      </c>
      <c r="AA11" s="49" t="s">
        <v>128</v>
      </c>
      <c r="AB11" s="49" t="s">
        <v>145</v>
      </c>
      <c r="AE11" s="56" t="s">
        <v>97</v>
      </c>
      <c r="AG11" s="92" t="s">
        <v>45</v>
      </c>
      <c r="AH11" s="97" t="s">
        <v>184</v>
      </c>
      <c r="AP11" s="97" t="s">
        <v>99</v>
      </c>
      <c r="AR11" s="97" t="s">
        <v>100</v>
      </c>
      <c r="AV11" s="97" t="s">
        <v>101</v>
      </c>
      <c r="AX11" s="98">
        <v>151</v>
      </c>
      <c r="AY11" s="99">
        <v>22</v>
      </c>
      <c r="AZ11" s="99">
        <v>152</v>
      </c>
      <c r="BA11" s="100">
        <v>18</v>
      </c>
    </row>
    <row r="12" spans="1:53" x14ac:dyDescent="0.15">
      <c r="A12" s="49" t="s">
        <v>61</v>
      </c>
      <c r="B12" s="49" t="s">
        <v>143</v>
      </c>
      <c r="C12" s="49">
        <v>2020</v>
      </c>
      <c r="D12" s="88" t="s">
        <v>414</v>
      </c>
      <c r="E12" s="49" t="s">
        <v>183</v>
      </c>
      <c r="F12" s="49" t="s">
        <v>182</v>
      </c>
      <c r="G12" s="49" t="s">
        <v>46</v>
      </c>
      <c r="H12" s="49" t="s">
        <v>82</v>
      </c>
      <c r="I12" s="49" t="s">
        <v>64</v>
      </c>
      <c r="J12" s="1" t="s">
        <v>40</v>
      </c>
      <c r="K12" s="1" t="s">
        <v>41</v>
      </c>
      <c r="L12" s="49">
        <v>2</v>
      </c>
      <c r="N12" s="49">
        <v>1</v>
      </c>
      <c r="O12" s="49">
        <v>0.8</v>
      </c>
      <c r="P12" s="49">
        <v>0.8</v>
      </c>
      <c r="Q12" s="89">
        <f t="shared" si="0"/>
        <v>0.8</v>
      </c>
      <c r="R12" s="49">
        <v>17.5</v>
      </c>
      <c r="S12" s="49">
        <v>150</v>
      </c>
      <c r="T12" s="50">
        <f t="shared" si="1"/>
        <v>22</v>
      </c>
      <c r="U12" s="49">
        <v>98</v>
      </c>
      <c r="V12" s="90">
        <f t="shared" si="2"/>
        <v>2156</v>
      </c>
      <c r="W12" s="49">
        <v>11</v>
      </c>
      <c r="X12" s="49" t="s">
        <v>51</v>
      </c>
      <c r="Y12" s="49" t="s">
        <v>67</v>
      </c>
      <c r="Z12" s="49" t="s">
        <v>101</v>
      </c>
      <c r="AA12" s="49" t="s">
        <v>128</v>
      </c>
      <c r="AB12" s="49" t="s">
        <v>145</v>
      </c>
      <c r="AE12" s="56" t="s">
        <v>102</v>
      </c>
      <c r="AG12" s="97"/>
      <c r="AH12" s="97"/>
      <c r="AP12" s="97" t="s">
        <v>103</v>
      </c>
      <c r="AR12" s="97" t="s">
        <v>104</v>
      </c>
      <c r="AV12" s="97" t="s">
        <v>105</v>
      </c>
      <c r="AX12" s="104">
        <v>180</v>
      </c>
      <c r="AY12" s="105">
        <v>18</v>
      </c>
      <c r="AZ12" s="105">
        <v>181</v>
      </c>
      <c r="BA12" s="106">
        <v>16</v>
      </c>
    </row>
    <row r="13" spans="1:53" x14ac:dyDescent="0.15">
      <c r="A13" s="49" t="s">
        <v>61</v>
      </c>
      <c r="B13" s="49" t="s">
        <v>143</v>
      </c>
      <c r="C13" s="49">
        <v>2020</v>
      </c>
      <c r="D13" s="88" t="s">
        <v>414</v>
      </c>
      <c r="E13" s="49" t="s">
        <v>183</v>
      </c>
      <c r="F13" s="49" t="s">
        <v>182</v>
      </c>
      <c r="G13" s="49" t="s">
        <v>46</v>
      </c>
      <c r="H13" s="49" t="s">
        <v>82</v>
      </c>
      <c r="I13" s="49" t="s">
        <v>64</v>
      </c>
      <c r="J13" s="1" t="s">
        <v>40</v>
      </c>
      <c r="K13" s="1" t="s">
        <v>41</v>
      </c>
      <c r="L13" s="49">
        <v>3</v>
      </c>
      <c r="N13" s="49">
        <v>1</v>
      </c>
      <c r="O13" s="49">
        <v>0.7</v>
      </c>
      <c r="P13" s="49">
        <v>0.65</v>
      </c>
      <c r="Q13" s="89">
        <f t="shared" si="0"/>
        <v>0.67500000000000004</v>
      </c>
      <c r="R13" s="49">
        <v>18.100000000000001</v>
      </c>
      <c r="S13" s="49">
        <v>150</v>
      </c>
      <c r="T13" s="50">
        <f t="shared" si="1"/>
        <v>22</v>
      </c>
      <c r="U13" s="49">
        <v>98</v>
      </c>
      <c r="V13" s="90">
        <f t="shared" si="2"/>
        <v>2156</v>
      </c>
      <c r="W13" s="49">
        <v>11</v>
      </c>
      <c r="X13" s="49" t="s">
        <v>51</v>
      </c>
      <c r="Y13" s="49" t="s">
        <v>67</v>
      </c>
      <c r="Z13" s="49" t="s">
        <v>101</v>
      </c>
      <c r="AA13" s="49" t="s">
        <v>128</v>
      </c>
      <c r="AB13" s="49" t="s">
        <v>145</v>
      </c>
      <c r="AE13" s="56" t="s">
        <v>106</v>
      </c>
      <c r="AG13" s="97"/>
      <c r="AH13" s="97"/>
      <c r="AP13" s="97" t="s">
        <v>107</v>
      </c>
      <c r="AR13" s="97" t="s">
        <v>92</v>
      </c>
      <c r="AV13" s="97" t="s">
        <v>108</v>
      </c>
    </row>
    <row r="14" spans="1:53" x14ac:dyDescent="0.15">
      <c r="A14" s="49" t="s">
        <v>61</v>
      </c>
      <c r="B14" s="49" t="s">
        <v>143</v>
      </c>
      <c r="C14" s="49">
        <v>2020</v>
      </c>
      <c r="D14" s="88" t="s">
        <v>414</v>
      </c>
      <c r="E14" s="49" t="s">
        <v>183</v>
      </c>
      <c r="F14" s="49" t="s">
        <v>182</v>
      </c>
      <c r="G14" s="49" t="s">
        <v>46</v>
      </c>
      <c r="H14" s="49" t="s">
        <v>82</v>
      </c>
      <c r="I14" s="49" t="s">
        <v>64</v>
      </c>
      <c r="J14" s="1" t="s">
        <v>40</v>
      </c>
      <c r="K14" s="1" t="s">
        <v>41</v>
      </c>
      <c r="L14" s="49">
        <v>1</v>
      </c>
      <c r="N14" s="49">
        <v>4</v>
      </c>
      <c r="O14" s="49">
        <v>0.8</v>
      </c>
      <c r="P14" s="49">
        <v>0.8</v>
      </c>
      <c r="Q14" s="89">
        <f t="shared" si="0"/>
        <v>0.8</v>
      </c>
      <c r="R14" s="49">
        <v>18.399999999999999</v>
      </c>
      <c r="S14" s="49">
        <v>104</v>
      </c>
      <c r="T14" s="50">
        <f t="shared" si="1"/>
        <v>33</v>
      </c>
      <c r="U14" s="49">
        <v>498</v>
      </c>
      <c r="V14" s="90">
        <f t="shared" si="2"/>
        <v>4108.5</v>
      </c>
      <c r="W14" s="49">
        <v>11</v>
      </c>
      <c r="X14" s="49" t="s">
        <v>51</v>
      </c>
      <c r="Y14" s="49" t="s">
        <v>67</v>
      </c>
      <c r="Z14" s="49" t="s">
        <v>101</v>
      </c>
      <c r="AA14" s="49" t="s">
        <v>128</v>
      </c>
      <c r="AB14" s="49" t="s">
        <v>145</v>
      </c>
      <c r="AE14" s="56" t="s">
        <v>109</v>
      </c>
      <c r="AG14" s="97"/>
      <c r="AH14" s="97"/>
      <c r="AP14" s="97" t="s">
        <v>110</v>
      </c>
      <c r="AR14" s="97" t="s">
        <v>111</v>
      </c>
      <c r="AV14" s="97" t="s">
        <v>112</v>
      </c>
    </row>
    <row r="15" spans="1:53" x14ac:dyDescent="0.15">
      <c r="A15" s="49" t="s">
        <v>61</v>
      </c>
      <c r="B15" s="49" t="s">
        <v>143</v>
      </c>
      <c r="C15" s="49">
        <v>2020</v>
      </c>
      <c r="D15" s="88" t="s">
        <v>414</v>
      </c>
      <c r="E15" s="49" t="s">
        <v>183</v>
      </c>
      <c r="F15" s="49" t="s">
        <v>182</v>
      </c>
      <c r="G15" s="49" t="s">
        <v>46</v>
      </c>
      <c r="H15" s="49" t="s">
        <v>82</v>
      </c>
      <c r="I15" s="49" t="s">
        <v>64</v>
      </c>
      <c r="J15" s="1" t="s">
        <v>40</v>
      </c>
      <c r="K15" s="1" t="s">
        <v>41</v>
      </c>
      <c r="L15" s="49">
        <v>2</v>
      </c>
      <c r="N15" s="49">
        <v>4</v>
      </c>
      <c r="O15" s="49">
        <v>0.8</v>
      </c>
      <c r="P15" s="49">
        <v>0.95</v>
      </c>
      <c r="Q15" s="89">
        <f t="shared" si="0"/>
        <v>0.875</v>
      </c>
      <c r="R15" s="49">
        <v>18.3</v>
      </c>
      <c r="S15" s="49">
        <v>94</v>
      </c>
      <c r="T15" s="50">
        <f t="shared" si="1"/>
        <v>36</v>
      </c>
      <c r="U15" s="49">
        <v>498</v>
      </c>
      <c r="V15" s="90">
        <f t="shared" si="2"/>
        <v>4482</v>
      </c>
      <c r="W15" s="49">
        <v>11</v>
      </c>
      <c r="X15" s="49" t="s">
        <v>51</v>
      </c>
      <c r="Y15" s="49" t="s">
        <v>67</v>
      </c>
      <c r="Z15" s="49" t="s">
        <v>101</v>
      </c>
      <c r="AA15" s="49" t="s">
        <v>128</v>
      </c>
      <c r="AB15" s="49" t="s">
        <v>145</v>
      </c>
      <c r="AE15" s="56" t="s">
        <v>113</v>
      </c>
      <c r="AG15" s="97"/>
      <c r="AH15" s="97"/>
      <c r="AP15" s="97" t="s">
        <v>114</v>
      </c>
      <c r="AR15" s="97" t="s">
        <v>115</v>
      </c>
      <c r="AV15" s="97" t="s">
        <v>116</v>
      </c>
    </row>
    <row r="16" spans="1:53" x14ac:dyDescent="0.15">
      <c r="A16" s="49" t="s">
        <v>61</v>
      </c>
      <c r="B16" s="49" t="s">
        <v>143</v>
      </c>
      <c r="C16" s="49">
        <v>2020</v>
      </c>
      <c r="D16" s="88" t="s">
        <v>414</v>
      </c>
      <c r="E16" s="49" t="s">
        <v>183</v>
      </c>
      <c r="F16" s="49" t="s">
        <v>182</v>
      </c>
      <c r="G16" s="49" t="s">
        <v>46</v>
      </c>
      <c r="H16" s="49" t="s">
        <v>82</v>
      </c>
      <c r="I16" s="49" t="s">
        <v>64</v>
      </c>
      <c r="J16" s="1" t="s">
        <v>40</v>
      </c>
      <c r="K16" s="1" t="s">
        <v>41</v>
      </c>
      <c r="L16" s="49">
        <v>3</v>
      </c>
      <c r="N16" s="49">
        <v>4</v>
      </c>
      <c r="O16" s="49">
        <v>0.75</v>
      </c>
      <c r="P16" s="49">
        <v>0.85</v>
      </c>
      <c r="Q16" s="89">
        <f t="shared" si="0"/>
        <v>0.8</v>
      </c>
      <c r="R16" s="49">
        <v>17.8</v>
      </c>
      <c r="S16" s="49">
        <v>102</v>
      </c>
      <c r="T16" s="50">
        <f t="shared" si="1"/>
        <v>33</v>
      </c>
      <c r="U16" s="49">
        <v>498</v>
      </c>
      <c r="V16" s="90">
        <f t="shared" si="2"/>
        <v>4108.5</v>
      </c>
      <c r="W16" s="49">
        <v>11</v>
      </c>
      <c r="X16" s="49" t="s">
        <v>51</v>
      </c>
      <c r="Y16" s="49" t="s">
        <v>67</v>
      </c>
      <c r="Z16" s="49" t="s">
        <v>101</v>
      </c>
      <c r="AA16" s="49" t="s">
        <v>128</v>
      </c>
      <c r="AB16" s="49" t="s">
        <v>145</v>
      </c>
      <c r="AE16" s="56" t="s">
        <v>117</v>
      </c>
      <c r="AG16" s="102"/>
      <c r="AH16" s="102"/>
      <c r="AP16" s="97" t="s">
        <v>115</v>
      </c>
      <c r="AR16" s="97" t="s">
        <v>118</v>
      </c>
      <c r="AV16" s="97" t="s">
        <v>119</v>
      </c>
    </row>
    <row r="17" spans="1:48" x14ac:dyDescent="0.15">
      <c r="A17" s="49" t="s">
        <v>61</v>
      </c>
      <c r="B17" s="49" t="s">
        <v>143</v>
      </c>
      <c r="C17" s="49">
        <v>2020</v>
      </c>
      <c r="D17" s="88" t="s">
        <v>414</v>
      </c>
      <c r="E17" s="49" t="s">
        <v>170</v>
      </c>
      <c r="F17" s="49" t="s">
        <v>171</v>
      </c>
      <c r="G17" s="49" t="s">
        <v>37</v>
      </c>
      <c r="H17" s="49" t="s">
        <v>63</v>
      </c>
      <c r="I17" s="49" t="s">
        <v>64</v>
      </c>
      <c r="J17" s="1" t="s">
        <v>40</v>
      </c>
      <c r="K17" s="1" t="s">
        <v>41</v>
      </c>
      <c r="L17" s="49">
        <v>1</v>
      </c>
      <c r="N17" s="49">
        <v>1</v>
      </c>
      <c r="O17" s="49">
        <v>0.75</v>
      </c>
      <c r="P17" s="49">
        <v>0.75</v>
      </c>
      <c r="Q17" s="89">
        <f t="shared" si="0"/>
        <v>0.75</v>
      </c>
      <c r="R17" s="49">
        <v>15.6</v>
      </c>
      <c r="S17" s="49">
        <v>142</v>
      </c>
      <c r="T17" s="50">
        <f t="shared" si="1"/>
        <v>22</v>
      </c>
      <c r="U17" s="49">
        <v>158</v>
      </c>
      <c r="V17" s="90">
        <f t="shared" si="2"/>
        <v>3476</v>
      </c>
      <c r="W17" s="49">
        <v>8</v>
      </c>
      <c r="X17" s="49" t="s">
        <v>51</v>
      </c>
      <c r="Y17" s="49" t="s">
        <v>67</v>
      </c>
      <c r="Z17" s="49" t="s">
        <v>101</v>
      </c>
      <c r="AA17" s="49" t="s">
        <v>52</v>
      </c>
      <c r="AB17" s="49" t="s">
        <v>145</v>
      </c>
      <c r="AE17" s="56" t="s">
        <v>120</v>
      </c>
      <c r="AP17" s="101" t="s">
        <v>121</v>
      </c>
      <c r="AR17" s="97" t="s">
        <v>109</v>
      </c>
      <c r="AV17" s="97" t="s">
        <v>122</v>
      </c>
    </row>
    <row r="18" spans="1:48" x14ac:dyDescent="0.15">
      <c r="A18" s="49" t="s">
        <v>61</v>
      </c>
      <c r="B18" s="49" t="s">
        <v>143</v>
      </c>
      <c r="C18" s="49">
        <v>2020</v>
      </c>
      <c r="D18" s="88" t="s">
        <v>414</v>
      </c>
      <c r="E18" s="49" t="s">
        <v>170</v>
      </c>
      <c r="F18" s="49" t="s">
        <v>171</v>
      </c>
      <c r="G18" s="49" t="s">
        <v>37</v>
      </c>
      <c r="H18" s="49" t="s">
        <v>63</v>
      </c>
      <c r="I18" s="49" t="s">
        <v>64</v>
      </c>
      <c r="J18" s="1" t="s">
        <v>40</v>
      </c>
      <c r="K18" s="1" t="s">
        <v>41</v>
      </c>
      <c r="L18" s="49">
        <v>2</v>
      </c>
      <c r="N18" s="49">
        <v>1</v>
      </c>
      <c r="O18" s="49">
        <v>0.8</v>
      </c>
      <c r="P18" s="49">
        <v>0.8</v>
      </c>
      <c r="Q18" s="89">
        <f t="shared" si="0"/>
        <v>0.8</v>
      </c>
      <c r="R18" s="49">
        <v>15.9</v>
      </c>
      <c r="S18" s="49">
        <v>146</v>
      </c>
      <c r="T18" s="50">
        <f t="shared" si="1"/>
        <v>22</v>
      </c>
      <c r="U18" s="49">
        <v>158</v>
      </c>
      <c r="V18" s="90">
        <f t="shared" si="2"/>
        <v>3476</v>
      </c>
      <c r="W18" s="49">
        <v>8</v>
      </c>
      <c r="X18" s="49" t="s">
        <v>51</v>
      </c>
      <c r="Y18" s="49" t="s">
        <v>67</v>
      </c>
      <c r="Z18" s="49" t="s">
        <v>101</v>
      </c>
      <c r="AA18" s="49" t="s">
        <v>52</v>
      </c>
      <c r="AB18" s="49" t="s">
        <v>145</v>
      </c>
      <c r="AE18" s="56" t="s">
        <v>100</v>
      </c>
      <c r="AP18" s="101" t="s">
        <v>123</v>
      </c>
      <c r="AR18" s="97" t="s">
        <v>124</v>
      </c>
      <c r="AV18" s="97" t="s">
        <v>125</v>
      </c>
    </row>
    <row r="19" spans="1:48" x14ac:dyDescent="0.15">
      <c r="A19" s="49" t="s">
        <v>61</v>
      </c>
      <c r="B19" s="49" t="s">
        <v>143</v>
      </c>
      <c r="C19" s="49">
        <v>2020</v>
      </c>
      <c r="D19" s="88" t="s">
        <v>414</v>
      </c>
      <c r="E19" s="49" t="s">
        <v>170</v>
      </c>
      <c r="F19" s="49" t="s">
        <v>171</v>
      </c>
      <c r="G19" s="49" t="s">
        <v>37</v>
      </c>
      <c r="H19" s="49" t="s">
        <v>63</v>
      </c>
      <c r="I19" s="49" t="s">
        <v>64</v>
      </c>
      <c r="J19" s="1" t="s">
        <v>40</v>
      </c>
      <c r="K19" s="1" t="s">
        <v>41</v>
      </c>
      <c r="L19" s="49">
        <v>3</v>
      </c>
      <c r="N19" s="49">
        <v>1</v>
      </c>
      <c r="O19" s="49">
        <v>0.7</v>
      </c>
      <c r="P19" s="49">
        <v>0.75</v>
      </c>
      <c r="Q19" s="89">
        <f t="shared" si="0"/>
        <v>0.72499999999999998</v>
      </c>
      <c r="R19" s="49">
        <v>16.3</v>
      </c>
      <c r="S19" s="49">
        <v>148</v>
      </c>
      <c r="T19" s="50">
        <f t="shared" si="1"/>
        <v>22</v>
      </c>
      <c r="U19" s="49">
        <v>158</v>
      </c>
      <c r="V19" s="90">
        <f t="shared" si="2"/>
        <v>3476</v>
      </c>
      <c r="W19" s="49">
        <v>8</v>
      </c>
      <c r="X19" s="49" t="s">
        <v>51</v>
      </c>
      <c r="Y19" s="49" t="s">
        <v>67</v>
      </c>
      <c r="Z19" s="49" t="s">
        <v>101</v>
      </c>
      <c r="AA19" s="49" t="s">
        <v>52</v>
      </c>
      <c r="AB19" s="49" t="s">
        <v>145</v>
      </c>
      <c r="AE19" s="57" t="s">
        <v>90</v>
      </c>
      <c r="AP19" s="101" t="s">
        <v>126</v>
      </c>
      <c r="AR19" s="97" t="s">
        <v>127</v>
      </c>
      <c r="AV19" s="97" t="s">
        <v>128</v>
      </c>
    </row>
    <row r="20" spans="1:48" x14ac:dyDescent="0.15">
      <c r="A20" s="49" t="s">
        <v>61</v>
      </c>
      <c r="B20" s="49" t="s">
        <v>143</v>
      </c>
      <c r="C20" s="49">
        <v>2020</v>
      </c>
      <c r="D20" s="88" t="s">
        <v>414</v>
      </c>
      <c r="E20" s="49" t="s">
        <v>170</v>
      </c>
      <c r="F20" s="49" t="s">
        <v>171</v>
      </c>
      <c r="G20" s="49" t="s">
        <v>37</v>
      </c>
      <c r="H20" s="49" t="s">
        <v>63</v>
      </c>
      <c r="I20" s="49" t="s">
        <v>64</v>
      </c>
      <c r="J20" s="1" t="s">
        <v>40</v>
      </c>
      <c r="K20" s="1" t="s">
        <v>41</v>
      </c>
      <c r="L20" s="49">
        <v>1</v>
      </c>
      <c r="N20" s="49">
        <v>4</v>
      </c>
      <c r="O20" s="49">
        <v>0.7</v>
      </c>
      <c r="P20" s="49">
        <v>0.7</v>
      </c>
      <c r="Q20" s="89">
        <f t="shared" si="0"/>
        <v>0.7</v>
      </c>
      <c r="R20" s="49">
        <v>15.8</v>
      </c>
      <c r="S20" s="49">
        <v>104</v>
      </c>
      <c r="T20" s="50">
        <f t="shared" si="1"/>
        <v>33</v>
      </c>
      <c r="U20" s="49">
        <v>498</v>
      </c>
      <c r="V20" s="90">
        <f t="shared" si="2"/>
        <v>4108.5</v>
      </c>
      <c r="W20" s="49">
        <v>8</v>
      </c>
      <c r="X20" s="49" t="s">
        <v>51</v>
      </c>
      <c r="Y20" s="49" t="s">
        <v>67</v>
      </c>
      <c r="Z20" s="49" t="s">
        <v>101</v>
      </c>
      <c r="AA20" s="49" t="s">
        <v>52</v>
      </c>
      <c r="AB20" s="49" t="s">
        <v>145</v>
      </c>
      <c r="AE20" s="57"/>
      <c r="AP20" s="101" t="s">
        <v>129</v>
      </c>
      <c r="AR20" s="97" t="s">
        <v>130</v>
      </c>
      <c r="AV20" s="101" t="s">
        <v>131</v>
      </c>
    </row>
    <row r="21" spans="1:48" x14ac:dyDescent="0.15">
      <c r="A21" s="49" t="s">
        <v>61</v>
      </c>
      <c r="B21" s="49" t="s">
        <v>143</v>
      </c>
      <c r="C21" s="49">
        <v>2020</v>
      </c>
      <c r="D21" s="88" t="s">
        <v>414</v>
      </c>
      <c r="E21" s="49" t="s">
        <v>170</v>
      </c>
      <c r="F21" s="49" t="s">
        <v>171</v>
      </c>
      <c r="G21" s="49" t="s">
        <v>37</v>
      </c>
      <c r="H21" s="49" t="s">
        <v>63</v>
      </c>
      <c r="I21" s="49" t="s">
        <v>64</v>
      </c>
      <c r="J21" s="1" t="s">
        <v>40</v>
      </c>
      <c r="K21" s="1" t="s">
        <v>41</v>
      </c>
      <c r="L21" s="49">
        <v>2</v>
      </c>
      <c r="N21" s="49">
        <v>4</v>
      </c>
      <c r="O21" s="49">
        <v>0.65</v>
      </c>
      <c r="P21" s="49">
        <v>0.8</v>
      </c>
      <c r="Q21" s="89">
        <f t="shared" si="0"/>
        <v>0.72500000000000009</v>
      </c>
      <c r="R21" s="49">
        <v>15.6</v>
      </c>
      <c r="S21" s="49">
        <v>97</v>
      </c>
      <c r="T21" s="50">
        <f t="shared" si="1"/>
        <v>36</v>
      </c>
      <c r="U21" s="49">
        <v>498</v>
      </c>
      <c r="V21" s="90">
        <f t="shared" si="2"/>
        <v>4482</v>
      </c>
      <c r="W21" s="49">
        <v>8</v>
      </c>
      <c r="X21" s="49" t="s">
        <v>51</v>
      </c>
      <c r="Y21" s="49" t="s">
        <v>67</v>
      </c>
      <c r="Z21" s="49" t="s">
        <v>101</v>
      </c>
      <c r="AA21" s="49" t="s">
        <v>52</v>
      </c>
      <c r="AB21" s="49" t="s">
        <v>145</v>
      </c>
      <c r="AE21" s="102"/>
      <c r="AP21" s="101" t="s">
        <v>132</v>
      </c>
      <c r="AR21" s="97" t="s">
        <v>97</v>
      </c>
      <c r="AV21" s="101" t="s">
        <v>133</v>
      </c>
    </row>
    <row r="22" spans="1:48" x14ac:dyDescent="0.15">
      <c r="A22" s="49" t="s">
        <v>61</v>
      </c>
      <c r="B22" s="49" t="s">
        <v>143</v>
      </c>
      <c r="C22" s="49">
        <v>2020</v>
      </c>
      <c r="D22" s="88" t="s">
        <v>414</v>
      </c>
      <c r="E22" s="49" t="s">
        <v>170</v>
      </c>
      <c r="F22" s="49" t="s">
        <v>171</v>
      </c>
      <c r="G22" s="49" t="s">
        <v>37</v>
      </c>
      <c r="H22" s="49" t="s">
        <v>63</v>
      </c>
      <c r="I22" s="49" t="s">
        <v>64</v>
      </c>
      <c r="J22" s="1" t="s">
        <v>40</v>
      </c>
      <c r="K22" s="1" t="s">
        <v>41</v>
      </c>
      <c r="L22" s="49">
        <v>3</v>
      </c>
      <c r="N22" s="49">
        <v>4</v>
      </c>
      <c r="O22" s="49">
        <v>0.8</v>
      </c>
      <c r="P22" s="49">
        <v>0.75</v>
      </c>
      <c r="Q22" s="89">
        <f t="shared" si="0"/>
        <v>0.77500000000000002</v>
      </c>
      <c r="R22" s="49">
        <v>16.100000000000001</v>
      </c>
      <c r="S22" s="49">
        <v>110</v>
      </c>
      <c r="T22" s="50">
        <f t="shared" si="1"/>
        <v>33</v>
      </c>
      <c r="U22" s="49">
        <v>498</v>
      </c>
      <c r="V22" s="90">
        <f t="shared" si="2"/>
        <v>4108.5</v>
      </c>
      <c r="W22" s="49">
        <v>8</v>
      </c>
      <c r="X22" s="49" t="s">
        <v>51</v>
      </c>
      <c r="Y22" s="49" t="s">
        <v>67</v>
      </c>
      <c r="Z22" s="49" t="s">
        <v>101</v>
      </c>
      <c r="AA22" s="49" t="s">
        <v>52</v>
      </c>
      <c r="AB22" s="49" t="s">
        <v>145</v>
      </c>
      <c r="AP22" s="101" t="s">
        <v>134</v>
      </c>
      <c r="AR22" s="97" t="s">
        <v>135</v>
      </c>
      <c r="AV22" s="101"/>
    </row>
    <row r="23" spans="1:48" x14ac:dyDescent="0.15">
      <c r="A23" s="49" t="s">
        <v>61</v>
      </c>
      <c r="B23" s="49" t="s">
        <v>143</v>
      </c>
      <c r="C23" s="49">
        <v>2020</v>
      </c>
      <c r="D23" s="88" t="s">
        <v>414</v>
      </c>
      <c r="E23" s="49" t="s">
        <v>170</v>
      </c>
      <c r="F23" s="49" t="s">
        <v>171</v>
      </c>
      <c r="G23" s="49" t="s">
        <v>37</v>
      </c>
      <c r="H23" s="49" t="s">
        <v>82</v>
      </c>
      <c r="I23" s="49" t="s">
        <v>64</v>
      </c>
      <c r="J23" s="1" t="s">
        <v>40</v>
      </c>
      <c r="K23" s="1" t="s">
        <v>41</v>
      </c>
      <c r="L23" s="49">
        <v>1</v>
      </c>
      <c r="N23" s="49">
        <v>1</v>
      </c>
      <c r="O23" s="49">
        <v>0.75</v>
      </c>
      <c r="P23" s="49">
        <v>0.75</v>
      </c>
      <c r="Q23" s="89">
        <f t="shared" si="0"/>
        <v>0.75</v>
      </c>
      <c r="R23" s="49">
        <v>17.5</v>
      </c>
      <c r="S23" s="49">
        <v>150</v>
      </c>
      <c r="T23" s="50">
        <f t="shared" si="1"/>
        <v>22</v>
      </c>
      <c r="U23" s="49">
        <v>158</v>
      </c>
      <c r="V23" s="90">
        <f t="shared" si="2"/>
        <v>3476</v>
      </c>
      <c r="W23" s="49">
        <v>8</v>
      </c>
      <c r="X23" s="49" t="s">
        <v>51</v>
      </c>
      <c r="Y23" s="49" t="s">
        <v>67</v>
      </c>
      <c r="Z23" s="49" t="s">
        <v>101</v>
      </c>
      <c r="AA23" s="49" t="s">
        <v>52</v>
      </c>
      <c r="AB23" s="49" t="s">
        <v>145</v>
      </c>
      <c r="AP23" s="101" t="s">
        <v>136</v>
      </c>
      <c r="AR23" s="97" t="s">
        <v>75</v>
      </c>
    </row>
    <row r="24" spans="1:48" x14ac:dyDescent="0.15">
      <c r="A24" s="49" t="s">
        <v>61</v>
      </c>
      <c r="B24" s="49" t="s">
        <v>143</v>
      </c>
      <c r="C24" s="49">
        <v>2020</v>
      </c>
      <c r="D24" s="88" t="s">
        <v>414</v>
      </c>
      <c r="E24" s="49" t="s">
        <v>170</v>
      </c>
      <c r="F24" s="49" t="s">
        <v>171</v>
      </c>
      <c r="G24" s="49" t="s">
        <v>37</v>
      </c>
      <c r="H24" s="49" t="s">
        <v>82</v>
      </c>
      <c r="I24" s="49" t="s">
        <v>64</v>
      </c>
      <c r="J24" s="1" t="s">
        <v>40</v>
      </c>
      <c r="K24" s="1" t="s">
        <v>41</v>
      </c>
      <c r="L24" s="49">
        <v>2</v>
      </c>
      <c r="N24" s="49">
        <v>1</v>
      </c>
      <c r="O24" s="49">
        <v>0.9</v>
      </c>
      <c r="P24" s="49">
        <v>0.8</v>
      </c>
      <c r="Q24" s="89">
        <f t="shared" si="0"/>
        <v>0.85000000000000009</v>
      </c>
      <c r="R24" s="49">
        <v>16.7</v>
      </c>
      <c r="S24" s="49">
        <v>148</v>
      </c>
      <c r="T24" s="50">
        <f t="shared" si="1"/>
        <v>22</v>
      </c>
      <c r="U24" s="49">
        <v>158</v>
      </c>
      <c r="V24" s="90">
        <f t="shared" si="2"/>
        <v>3476</v>
      </c>
      <c r="W24" s="49">
        <v>8</v>
      </c>
      <c r="X24" s="49" t="s">
        <v>51</v>
      </c>
      <c r="Y24" s="49" t="s">
        <v>67</v>
      </c>
      <c r="Z24" s="49" t="s">
        <v>101</v>
      </c>
      <c r="AA24" s="49" t="s">
        <v>52</v>
      </c>
      <c r="AB24" s="49" t="s">
        <v>145</v>
      </c>
      <c r="AP24" s="101" t="s">
        <v>137</v>
      </c>
      <c r="AR24" s="97" t="s">
        <v>138</v>
      </c>
    </row>
    <row r="25" spans="1:48" x14ac:dyDescent="0.15">
      <c r="A25" s="49" t="s">
        <v>61</v>
      </c>
      <c r="B25" s="49" t="s">
        <v>143</v>
      </c>
      <c r="C25" s="49">
        <v>2020</v>
      </c>
      <c r="D25" s="88" t="s">
        <v>414</v>
      </c>
      <c r="E25" s="49" t="s">
        <v>170</v>
      </c>
      <c r="F25" s="49" t="s">
        <v>171</v>
      </c>
      <c r="G25" s="49" t="s">
        <v>37</v>
      </c>
      <c r="H25" s="49" t="s">
        <v>82</v>
      </c>
      <c r="I25" s="49" t="s">
        <v>64</v>
      </c>
      <c r="J25" s="1" t="s">
        <v>40</v>
      </c>
      <c r="K25" s="1" t="s">
        <v>41</v>
      </c>
      <c r="L25" s="49">
        <v>3</v>
      </c>
      <c r="N25" s="49">
        <v>1</v>
      </c>
      <c r="O25" s="49">
        <v>0.85</v>
      </c>
      <c r="P25" s="49">
        <v>0.9</v>
      </c>
      <c r="Q25" s="89">
        <f t="shared" si="0"/>
        <v>0.875</v>
      </c>
      <c r="R25" s="49">
        <v>16.5</v>
      </c>
      <c r="S25" s="49">
        <v>152</v>
      </c>
      <c r="T25" s="50">
        <f t="shared" si="1"/>
        <v>18</v>
      </c>
      <c r="U25" s="49">
        <v>158</v>
      </c>
      <c r="V25" s="90">
        <f t="shared" si="2"/>
        <v>2844</v>
      </c>
      <c r="W25" s="49">
        <v>8</v>
      </c>
      <c r="X25" s="49" t="s">
        <v>51</v>
      </c>
      <c r="Y25" s="49" t="s">
        <v>67</v>
      </c>
      <c r="Z25" s="49" t="s">
        <v>101</v>
      </c>
      <c r="AA25" s="49" t="s">
        <v>52</v>
      </c>
      <c r="AB25" s="49" t="s">
        <v>145</v>
      </c>
      <c r="AP25" s="101" t="s">
        <v>139</v>
      </c>
      <c r="AR25" s="101" t="s">
        <v>61</v>
      </c>
    </row>
    <row r="26" spans="1:48" x14ac:dyDescent="0.15">
      <c r="A26" s="49" t="s">
        <v>61</v>
      </c>
      <c r="B26" s="49" t="s">
        <v>143</v>
      </c>
      <c r="C26" s="49">
        <v>2020</v>
      </c>
      <c r="D26" s="88" t="s">
        <v>414</v>
      </c>
      <c r="E26" s="49" t="s">
        <v>170</v>
      </c>
      <c r="F26" s="49" t="s">
        <v>171</v>
      </c>
      <c r="G26" s="49" t="s">
        <v>37</v>
      </c>
      <c r="H26" s="49" t="s">
        <v>82</v>
      </c>
      <c r="I26" s="49" t="s">
        <v>64</v>
      </c>
      <c r="J26" s="1" t="s">
        <v>40</v>
      </c>
      <c r="K26" s="1" t="s">
        <v>41</v>
      </c>
      <c r="L26" s="49">
        <v>1</v>
      </c>
      <c r="N26" s="49">
        <v>4</v>
      </c>
      <c r="O26" s="49">
        <v>0.25</v>
      </c>
      <c r="P26" s="49">
        <v>0.75</v>
      </c>
      <c r="Q26" s="89">
        <f t="shared" si="0"/>
        <v>0.5</v>
      </c>
      <c r="R26" s="49">
        <v>16.8</v>
      </c>
      <c r="S26" s="49">
        <v>112</v>
      </c>
      <c r="T26" s="50">
        <f t="shared" si="1"/>
        <v>33</v>
      </c>
      <c r="U26" s="49">
        <v>498</v>
      </c>
      <c r="V26" s="90">
        <f t="shared" si="2"/>
        <v>4108.5</v>
      </c>
      <c r="W26" s="49">
        <v>8</v>
      </c>
      <c r="X26" s="49" t="s">
        <v>51</v>
      </c>
      <c r="Y26" s="49" t="s">
        <v>67</v>
      </c>
      <c r="Z26" s="49" t="s">
        <v>101</v>
      </c>
      <c r="AA26" s="49" t="s">
        <v>52</v>
      </c>
      <c r="AB26" s="49" t="s">
        <v>145</v>
      </c>
      <c r="AP26" s="101" t="s">
        <v>140</v>
      </c>
      <c r="AR26" s="49" t="s">
        <v>141</v>
      </c>
    </row>
    <row r="27" spans="1:48" x14ac:dyDescent="0.15">
      <c r="A27" s="49" t="s">
        <v>61</v>
      </c>
      <c r="B27" s="49" t="s">
        <v>143</v>
      </c>
      <c r="C27" s="49">
        <v>2020</v>
      </c>
      <c r="D27" s="88" t="s">
        <v>414</v>
      </c>
      <c r="E27" s="49" t="s">
        <v>170</v>
      </c>
      <c r="F27" s="49" t="s">
        <v>171</v>
      </c>
      <c r="G27" s="49" t="s">
        <v>37</v>
      </c>
      <c r="H27" s="49" t="s">
        <v>82</v>
      </c>
      <c r="I27" s="49" t="s">
        <v>64</v>
      </c>
      <c r="J27" s="1" t="s">
        <v>40</v>
      </c>
      <c r="K27" s="1" t="s">
        <v>41</v>
      </c>
      <c r="L27" s="49">
        <v>2</v>
      </c>
      <c r="N27" s="49">
        <v>4</v>
      </c>
      <c r="O27" s="49">
        <v>0.65</v>
      </c>
      <c r="P27" s="49">
        <v>0.65</v>
      </c>
      <c r="Q27" s="89">
        <f t="shared" si="0"/>
        <v>0.65</v>
      </c>
      <c r="R27" s="49">
        <v>16.5</v>
      </c>
      <c r="S27" s="49">
        <v>112</v>
      </c>
      <c r="T27" s="50">
        <f t="shared" si="1"/>
        <v>33</v>
      </c>
      <c r="U27" s="49">
        <v>498</v>
      </c>
      <c r="V27" s="90">
        <f t="shared" si="2"/>
        <v>4108.5</v>
      </c>
      <c r="W27" s="49">
        <v>8</v>
      </c>
      <c r="X27" s="49" t="s">
        <v>51</v>
      </c>
      <c r="Y27" s="49" t="s">
        <v>67</v>
      </c>
      <c r="Z27" s="49" t="s">
        <v>101</v>
      </c>
      <c r="AA27" s="49" t="s">
        <v>52</v>
      </c>
      <c r="AB27" s="49" t="s">
        <v>145</v>
      </c>
      <c r="AP27" s="13" t="s">
        <v>142</v>
      </c>
      <c r="AQ27" s="1"/>
      <c r="AR27" s="12" t="s">
        <v>201</v>
      </c>
    </row>
    <row r="28" spans="1:48" x14ac:dyDescent="0.15">
      <c r="A28" s="49" t="s">
        <v>61</v>
      </c>
      <c r="B28" s="49" t="s">
        <v>143</v>
      </c>
      <c r="C28" s="49">
        <v>2020</v>
      </c>
      <c r="D28" s="88" t="s">
        <v>414</v>
      </c>
      <c r="E28" s="49" t="s">
        <v>170</v>
      </c>
      <c r="F28" s="49" t="s">
        <v>171</v>
      </c>
      <c r="G28" s="49" t="s">
        <v>37</v>
      </c>
      <c r="H28" s="49" t="s">
        <v>82</v>
      </c>
      <c r="I28" s="49" t="s">
        <v>64</v>
      </c>
      <c r="J28" s="1" t="s">
        <v>40</v>
      </c>
      <c r="K28" s="1" t="s">
        <v>41</v>
      </c>
      <c r="L28" s="49">
        <v>3</v>
      </c>
      <c r="N28" s="49">
        <v>4</v>
      </c>
      <c r="O28" s="49">
        <v>0.7</v>
      </c>
      <c r="P28" s="49">
        <v>0.65</v>
      </c>
      <c r="Q28" s="89">
        <f t="shared" si="0"/>
        <v>0.67500000000000004</v>
      </c>
      <c r="R28" s="49">
        <v>17.2</v>
      </c>
      <c r="S28" s="49">
        <v>116</v>
      </c>
      <c r="T28" s="50">
        <f t="shared" si="1"/>
        <v>30</v>
      </c>
      <c r="U28" s="49">
        <v>498</v>
      </c>
      <c r="V28" s="90">
        <f t="shared" si="2"/>
        <v>3735</v>
      </c>
      <c r="W28" s="49">
        <v>8</v>
      </c>
      <c r="X28" s="49" t="s">
        <v>51</v>
      </c>
      <c r="Y28" s="49" t="s">
        <v>67</v>
      </c>
      <c r="Z28" s="49" t="s">
        <v>101</v>
      </c>
      <c r="AA28" s="49" t="s">
        <v>52</v>
      </c>
      <c r="AB28" s="49" t="s">
        <v>145</v>
      </c>
      <c r="AP28" s="13" t="s">
        <v>299</v>
      </c>
      <c r="AQ28" s="1"/>
      <c r="AR28" s="12" t="s">
        <v>300</v>
      </c>
    </row>
    <row r="29" spans="1:48" x14ac:dyDescent="0.15">
      <c r="A29" s="49" t="s">
        <v>61</v>
      </c>
      <c r="B29" s="49" t="s">
        <v>143</v>
      </c>
      <c r="C29" s="49">
        <v>2020</v>
      </c>
      <c r="D29" s="88" t="s">
        <v>414</v>
      </c>
      <c r="E29" s="49" t="s">
        <v>45</v>
      </c>
      <c r="F29" s="49" t="s">
        <v>184</v>
      </c>
      <c r="G29" s="49" t="s">
        <v>37</v>
      </c>
      <c r="H29" s="49" t="s">
        <v>63</v>
      </c>
      <c r="I29" s="49" t="s">
        <v>64</v>
      </c>
      <c r="J29" s="1" t="s">
        <v>40</v>
      </c>
      <c r="K29" s="1" t="s">
        <v>41</v>
      </c>
      <c r="L29" s="49">
        <v>1</v>
      </c>
      <c r="N29" s="49">
        <v>1</v>
      </c>
      <c r="O29" s="49">
        <v>0.55000000000000004</v>
      </c>
      <c r="P29" s="49">
        <v>0.5</v>
      </c>
      <c r="Q29" s="89">
        <f t="shared" si="0"/>
        <v>0.52500000000000002</v>
      </c>
      <c r="R29" s="49">
        <v>14</v>
      </c>
      <c r="S29" s="49">
        <v>110</v>
      </c>
      <c r="T29" s="50">
        <f t="shared" si="1"/>
        <v>33</v>
      </c>
      <c r="U29" s="49">
        <v>98</v>
      </c>
      <c r="V29" s="90">
        <f t="shared" si="2"/>
        <v>3234</v>
      </c>
      <c r="W29" s="49">
        <v>40</v>
      </c>
      <c r="X29" s="49" t="s">
        <v>51</v>
      </c>
      <c r="Y29" s="49" t="s">
        <v>67</v>
      </c>
      <c r="Z29" s="49" t="s">
        <v>101</v>
      </c>
      <c r="AA29" s="49" t="s">
        <v>128</v>
      </c>
      <c r="AB29" s="49" t="s">
        <v>145</v>
      </c>
      <c r="AP29" s="13" t="s">
        <v>301</v>
      </c>
      <c r="AQ29" s="1"/>
      <c r="AR29" s="14"/>
    </row>
    <row r="30" spans="1:48" x14ac:dyDescent="0.15">
      <c r="A30" s="49" t="s">
        <v>61</v>
      </c>
      <c r="B30" s="49" t="s">
        <v>143</v>
      </c>
      <c r="C30" s="49">
        <v>2020</v>
      </c>
      <c r="D30" s="88" t="s">
        <v>414</v>
      </c>
      <c r="E30" s="49" t="s">
        <v>45</v>
      </c>
      <c r="F30" s="49" t="s">
        <v>184</v>
      </c>
      <c r="G30" s="49" t="s">
        <v>37</v>
      </c>
      <c r="H30" s="49" t="s">
        <v>63</v>
      </c>
      <c r="I30" s="49" t="s">
        <v>64</v>
      </c>
      <c r="J30" s="1" t="s">
        <v>40</v>
      </c>
      <c r="K30" s="1" t="s">
        <v>41</v>
      </c>
      <c r="L30" s="49">
        <v>2</v>
      </c>
      <c r="N30" s="49">
        <v>1</v>
      </c>
      <c r="O30" s="49">
        <v>0.6</v>
      </c>
      <c r="P30" s="49">
        <v>0.6</v>
      </c>
      <c r="Q30" s="89">
        <f t="shared" si="0"/>
        <v>0.6</v>
      </c>
      <c r="R30" s="49">
        <v>14.5</v>
      </c>
      <c r="S30" s="49">
        <v>112</v>
      </c>
      <c r="T30" s="50">
        <f t="shared" si="1"/>
        <v>33</v>
      </c>
      <c r="U30" s="49">
        <v>98</v>
      </c>
      <c r="V30" s="90">
        <f t="shared" si="2"/>
        <v>3234</v>
      </c>
      <c r="W30" s="49">
        <v>40</v>
      </c>
      <c r="X30" s="49" t="s">
        <v>51</v>
      </c>
      <c r="Y30" s="49" t="s">
        <v>67</v>
      </c>
      <c r="Z30" s="49" t="s">
        <v>101</v>
      </c>
      <c r="AA30" s="49" t="s">
        <v>128</v>
      </c>
      <c r="AB30" s="49" t="s">
        <v>145</v>
      </c>
    </row>
    <row r="31" spans="1:48" x14ac:dyDescent="0.15">
      <c r="A31" s="49" t="s">
        <v>61</v>
      </c>
      <c r="B31" s="49" t="s">
        <v>143</v>
      </c>
      <c r="C31" s="49">
        <v>2020</v>
      </c>
      <c r="D31" s="88" t="s">
        <v>414</v>
      </c>
      <c r="E31" s="49" t="s">
        <v>45</v>
      </c>
      <c r="F31" s="49" t="s">
        <v>184</v>
      </c>
      <c r="G31" s="49" t="s">
        <v>37</v>
      </c>
      <c r="H31" s="49" t="s">
        <v>63</v>
      </c>
      <c r="I31" s="49" t="s">
        <v>64</v>
      </c>
      <c r="J31" s="1" t="s">
        <v>40</v>
      </c>
      <c r="K31" s="1" t="s">
        <v>41</v>
      </c>
      <c r="L31" s="49">
        <v>3</v>
      </c>
      <c r="N31" s="49">
        <v>1</v>
      </c>
      <c r="O31" s="49">
        <v>0.65</v>
      </c>
      <c r="P31" s="49">
        <v>0.55000000000000004</v>
      </c>
      <c r="Q31" s="89">
        <f t="shared" si="0"/>
        <v>0.60000000000000009</v>
      </c>
      <c r="R31" s="49">
        <v>14.7</v>
      </c>
      <c r="S31" s="49">
        <v>114</v>
      </c>
      <c r="T31" s="50">
        <f t="shared" si="1"/>
        <v>30</v>
      </c>
      <c r="U31" s="49">
        <v>98</v>
      </c>
      <c r="V31" s="90">
        <f t="shared" si="2"/>
        <v>2940</v>
      </c>
      <c r="W31" s="49">
        <v>40</v>
      </c>
      <c r="X31" s="49" t="s">
        <v>51</v>
      </c>
      <c r="Y31" s="49" t="s">
        <v>67</v>
      </c>
      <c r="Z31" s="49" t="s">
        <v>101</v>
      </c>
      <c r="AA31" s="49" t="s">
        <v>128</v>
      </c>
      <c r="AB31" s="49" t="s">
        <v>145</v>
      </c>
    </row>
    <row r="32" spans="1:48" x14ac:dyDescent="0.15">
      <c r="A32" s="49" t="s">
        <v>61</v>
      </c>
      <c r="B32" s="49" t="s">
        <v>143</v>
      </c>
      <c r="C32" s="49">
        <v>2020</v>
      </c>
      <c r="D32" s="88" t="s">
        <v>414</v>
      </c>
      <c r="E32" s="49" t="s">
        <v>45</v>
      </c>
      <c r="F32" s="49" t="s">
        <v>184</v>
      </c>
      <c r="G32" s="49" t="s">
        <v>37</v>
      </c>
      <c r="H32" s="49" t="s">
        <v>63</v>
      </c>
      <c r="I32" s="49" t="s">
        <v>64</v>
      </c>
      <c r="J32" s="1" t="s">
        <v>40</v>
      </c>
      <c r="K32" s="1" t="s">
        <v>41</v>
      </c>
      <c r="L32" s="49">
        <v>1</v>
      </c>
      <c r="N32" s="49">
        <v>4</v>
      </c>
      <c r="O32" s="49">
        <v>1.05</v>
      </c>
      <c r="P32" s="49">
        <v>1.1000000000000001</v>
      </c>
      <c r="Q32" s="89">
        <f t="shared" si="0"/>
        <v>1.0750000000000002</v>
      </c>
      <c r="R32" s="49">
        <v>15.5</v>
      </c>
      <c r="S32" s="49">
        <v>93</v>
      </c>
      <c r="T32" s="50">
        <f t="shared" si="1"/>
        <v>36</v>
      </c>
      <c r="U32" s="49">
        <v>398</v>
      </c>
      <c r="V32" s="90">
        <f t="shared" si="2"/>
        <v>3582</v>
      </c>
      <c r="W32" s="49">
        <v>40</v>
      </c>
      <c r="X32" s="49" t="s">
        <v>51</v>
      </c>
      <c r="Y32" s="49" t="s">
        <v>67</v>
      </c>
      <c r="Z32" s="49" t="s">
        <v>101</v>
      </c>
      <c r="AA32" s="49" t="s">
        <v>128</v>
      </c>
      <c r="AB32" s="49" t="s">
        <v>145</v>
      </c>
    </row>
    <row r="33" spans="1:28" x14ac:dyDescent="0.15">
      <c r="A33" s="49" t="s">
        <v>61</v>
      </c>
      <c r="B33" s="49" t="s">
        <v>143</v>
      </c>
      <c r="C33" s="49">
        <v>2020</v>
      </c>
      <c r="D33" s="88" t="s">
        <v>414</v>
      </c>
      <c r="E33" s="49" t="s">
        <v>45</v>
      </c>
      <c r="F33" s="49" t="s">
        <v>184</v>
      </c>
      <c r="G33" s="49" t="s">
        <v>37</v>
      </c>
      <c r="H33" s="49" t="s">
        <v>63</v>
      </c>
      <c r="I33" s="49" t="s">
        <v>64</v>
      </c>
      <c r="J33" s="1" t="s">
        <v>40</v>
      </c>
      <c r="K33" s="1" t="s">
        <v>41</v>
      </c>
      <c r="L33" s="49">
        <v>2</v>
      </c>
      <c r="N33" s="49">
        <v>4</v>
      </c>
      <c r="O33" s="49">
        <v>1</v>
      </c>
      <c r="P33" s="49">
        <v>1.05</v>
      </c>
      <c r="Q33" s="89">
        <f t="shared" si="0"/>
        <v>1.0249999999999999</v>
      </c>
      <c r="R33" s="49">
        <v>16</v>
      </c>
      <c r="S33" s="49">
        <v>95</v>
      </c>
      <c r="T33" s="50">
        <f t="shared" si="1"/>
        <v>36</v>
      </c>
      <c r="U33" s="49">
        <v>398</v>
      </c>
      <c r="V33" s="90">
        <f t="shared" si="2"/>
        <v>3582</v>
      </c>
      <c r="W33" s="49">
        <v>40</v>
      </c>
      <c r="X33" s="49" t="s">
        <v>51</v>
      </c>
      <c r="Y33" s="49" t="s">
        <v>67</v>
      </c>
      <c r="Z33" s="49" t="s">
        <v>101</v>
      </c>
      <c r="AA33" s="49" t="s">
        <v>128</v>
      </c>
      <c r="AB33" s="49" t="s">
        <v>145</v>
      </c>
    </row>
    <row r="34" spans="1:28" x14ac:dyDescent="0.15">
      <c r="A34" s="49" t="s">
        <v>61</v>
      </c>
      <c r="B34" s="49" t="s">
        <v>143</v>
      </c>
      <c r="C34" s="49">
        <v>2020</v>
      </c>
      <c r="D34" s="88" t="s">
        <v>414</v>
      </c>
      <c r="E34" s="49" t="s">
        <v>45</v>
      </c>
      <c r="F34" s="49" t="s">
        <v>184</v>
      </c>
      <c r="G34" s="49" t="s">
        <v>37</v>
      </c>
      <c r="H34" s="49" t="s">
        <v>63</v>
      </c>
      <c r="I34" s="49" t="s">
        <v>64</v>
      </c>
      <c r="J34" s="1" t="s">
        <v>40</v>
      </c>
      <c r="K34" s="1" t="s">
        <v>41</v>
      </c>
      <c r="L34" s="49">
        <v>3</v>
      </c>
      <c r="N34" s="49">
        <v>4</v>
      </c>
      <c r="O34" s="49">
        <v>0.95</v>
      </c>
      <c r="P34" s="49">
        <v>1.1000000000000001</v>
      </c>
      <c r="Q34" s="89">
        <f t="shared" si="0"/>
        <v>1.0249999999999999</v>
      </c>
      <c r="R34" s="49">
        <v>15.8</v>
      </c>
      <c r="S34" s="49">
        <v>94</v>
      </c>
      <c r="T34" s="50">
        <f t="shared" si="1"/>
        <v>36</v>
      </c>
      <c r="U34" s="49">
        <v>398</v>
      </c>
      <c r="V34" s="90">
        <f t="shared" si="2"/>
        <v>3582</v>
      </c>
      <c r="W34" s="49">
        <v>40</v>
      </c>
      <c r="X34" s="49" t="s">
        <v>51</v>
      </c>
      <c r="Y34" s="49" t="s">
        <v>67</v>
      </c>
      <c r="Z34" s="49" t="s">
        <v>101</v>
      </c>
      <c r="AA34" s="49" t="s">
        <v>128</v>
      </c>
      <c r="AB34" s="49" t="s">
        <v>145</v>
      </c>
    </row>
    <row r="35" spans="1:28" x14ac:dyDescent="0.15">
      <c r="A35" s="49" t="s">
        <v>61</v>
      </c>
      <c r="B35" s="49" t="s">
        <v>143</v>
      </c>
      <c r="C35" s="49">
        <v>2020</v>
      </c>
      <c r="D35" s="88" t="s">
        <v>414</v>
      </c>
      <c r="E35" s="49" t="s">
        <v>45</v>
      </c>
      <c r="F35" s="49" t="s">
        <v>184</v>
      </c>
      <c r="G35" s="49" t="s">
        <v>37</v>
      </c>
      <c r="H35" s="49" t="s">
        <v>63</v>
      </c>
      <c r="I35" s="49" t="s">
        <v>64</v>
      </c>
      <c r="J35" s="1" t="s">
        <v>40</v>
      </c>
      <c r="K35" s="1" t="s">
        <v>41</v>
      </c>
      <c r="L35" s="49">
        <v>1</v>
      </c>
      <c r="N35" s="49">
        <v>8</v>
      </c>
      <c r="O35" s="49">
        <v>0.9</v>
      </c>
      <c r="P35" s="49">
        <v>1.05</v>
      </c>
      <c r="Q35" s="89">
        <f t="shared" si="0"/>
        <v>0.97500000000000009</v>
      </c>
      <c r="R35" s="49">
        <v>12.9</v>
      </c>
      <c r="S35" s="49">
        <v>81</v>
      </c>
      <c r="T35" s="50">
        <f t="shared" si="1"/>
        <v>39</v>
      </c>
      <c r="U35" s="49">
        <v>398</v>
      </c>
      <c r="V35" s="90">
        <f t="shared" si="2"/>
        <v>1940.25</v>
      </c>
      <c r="W35" s="49">
        <v>40</v>
      </c>
      <c r="X35" s="49" t="s">
        <v>51</v>
      </c>
      <c r="Y35" s="49" t="s">
        <v>67</v>
      </c>
      <c r="Z35" s="49" t="s">
        <v>101</v>
      </c>
      <c r="AA35" s="49" t="s">
        <v>128</v>
      </c>
      <c r="AB35" s="49" t="s">
        <v>145</v>
      </c>
    </row>
    <row r="36" spans="1:28" x14ac:dyDescent="0.15">
      <c r="A36" s="49" t="s">
        <v>61</v>
      </c>
      <c r="B36" s="49" t="s">
        <v>143</v>
      </c>
      <c r="C36" s="49">
        <v>2020</v>
      </c>
      <c r="D36" s="88" t="s">
        <v>414</v>
      </c>
      <c r="E36" s="49" t="s">
        <v>45</v>
      </c>
      <c r="F36" s="49" t="s">
        <v>184</v>
      </c>
      <c r="G36" s="49" t="s">
        <v>37</v>
      </c>
      <c r="H36" s="49" t="s">
        <v>63</v>
      </c>
      <c r="I36" s="49" t="s">
        <v>64</v>
      </c>
      <c r="J36" s="1" t="s">
        <v>40</v>
      </c>
      <c r="K36" s="1" t="s">
        <v>41</v>
      </c>
      <c r="L36" s="49">
        <v>2</v>
      </c>
      <c r="N36" s="49">
        <v>8</v>
      </c>
      <c r="O36" s="49">
        <v>1</v>
      </c>
      <c r="P36" s="49">
        <v>0.85</v>
      </c>
      <c r="Q36" s="89">
        <f t="shared" si="0"/>
        <v>0.92500000000000004</v>
      </c>
      <c r="R36" s="49">
        <v>12.8</v>
      </c>
      <c r="S36" s="49">
        <v>75</v>
      </c>
      <c r="T36" s="50">
        <f t="shared" si="1"/>
        <v>42</v>
      </c>
      <c r="U36" s="49">
        <v>398</v>
      </c>
      <c r="V36" s="90">
        <f t="shared" si="2"/>
        <v>2089.5</v>
      </c>
      <c r="W36" s="49">
        <v>40</v>
      </c>
      <c r="X36" s="49" t="s">
        <v>51</v>
      </c>
      <c r="Y36" s="49" t="s">
        <v>67</v>
      </c>
      <c r="Z36" s="49" t="s">
        <v>101</v>
      </c>
      <c r="AA36" s="49" t="s">
        <v>128</v>
      </c>
      <c r="AB36" s="49" t="s">
        <v>145</v>
      </c>
    </row>
    <row r="37" spans="1:28" x14ac:dyDescent="0.15">
      <c r="A37" s="49" t="s">
        <v>61</v>
      </c>
      <c r="B37" s="49" t="s">
        <v>143</v>
      </c>
      <c r="C37" s="49">
        <v>2020</v>
      </c>
      <c r="D37" s="88" t="s">
        <v>414</v>
      </c>
      <c r="E37" s="49" t="s">
        <v>45</v>
      </c>
      <c r="F37" s="49" t="s">
        <v>184</v>
      </c>
      <c r="G37" s="49" t="s">
        <v>37</v>
      </c>
      <c r="H37" s="49" t="s">
        <v>63</v>
      </c>
      <c r="I37" s="49" t="s">
        <v>64</v>
      </c>
      <c r="J37" s="1" t="s">
        <v>40</v>
      </c>
      <c r="K37" s="1" t="s">
        <v>41</v>
      </c>
      <c r="L37" s="49">
        <v>3</v>
      </c>
      <c r="N37" s="49">
        <v>8</v>
      </c>
      <c r="O37" s="49">
        <v>0.95</v>
      </c>
      <c r="P37" s="49">
        <v>1</v>
      </c>
      <c r="Q37" s="89">
        <f t="shared" si="0"/>
        <v>0.97499999999999998</v>
      </c>
      <c r="R37" s="49">
        <v>13.3</v>
      </c>
      <c r="S37" s="49">
        <v>84</v>
      </c>
      <c r="T37" s="50">
        <f t="shared" si="1"/>
        <v>36</v>
      </c>
      <c r="U37" s="49">
        <v>398</v>
      </c>
      <c r="V37" s="90">
        <f t="shared" si="2"/>
        <v>1791</v>
      </c>
      <c r="W37" s="49">
        <v>40</v>
      </c>
      <c r="X37" s="49" t="s">
        <v>51</v>
      </c>
      <c r="Y37" s="49" t="s">
        <v>67</v>
      </c>
      <c r="Z37" s="49" t="s">
        <v>101</v>
      </c>
      <c r="AA37" s="49" t="s">
        <v>128</v>
      </c>
      <c r="AB37" s="49" t="s">
        <v>145</v>
      </c>
    </row>
    <row r="38" spans="1:28" x14ac:dyDescent="0.15">
      <c r="A38" s="49" t="s">
        <v>61</v>
      </c>
      <c r="B38" s="49" t="s">
        <v>143</v>
      </c>
      <c r="C38" s="49">
        <v>2020</v>
      </c>
      <c r="D38" s="88" t="s">
        <v>414</v>
      </c>
      <c r="E38" s="49" t="s">
        <v>45</v>
      </c>
      <c r="F38" s="49" t="s">
        <v>184</v>
      </c>
      <c r="G38" s="49" t="s">
        <v>37</v>
      </c>
      <c r="H38" s="49" t="s">
        <v>82</v>
      </c>
      <c r="I38" s="49" t="s">
        <v>64</v>
      </c>
      <c r="J38" s="1" t="s">
        <v>40</v>
      </c>
      <c r="K38" s="1" t="s">
        <v>41</v>
      </c>
      <c r="L38" s="49">
        <v>1</v>
      </c>
      <c r="N38" s="49">
        <v>3</v>
      </c>
      <c r="O38" s="49">
        <v>0.85</v>
      </c>
      <c r="P38" s="49">
        <v>0.8</v>
      </c>
      <c r="Q38" s="89">
        <f t="shared" si="0"/>
        <v>0.82499999999999996</v>
      </c>
      <c r="R38" s="49">
        <v>17.2</v>
      </c>
      <c r="S38" s="49">
        <v>138</v>
      </c>
      <c r="T38" s="50">
        <f t="shared" si="1"/>
        <v>22</v>
      </c>
      <c r="U38" s="49">
        <v>380</v>
      </c>
      <c r="V38" s="90">
        <f t="shared" si="2"/>
        <v>2786.666666666667</v>
      </c>
      <c r="W38" s="49">
        <v>40</v>
      </c>
      <c r="X38" s="49" t="s">
        <v>51</v>
      </c>
      <c r="Y38" s="49" t="s">
        <v>67</v>
      </c>
      <c r="Z38" s="49" t="s">
        <v>101</v>
      </c>
      <c r="AA38" s="49" t="s">
        <v>128</v>
      </c>
      <c r="AB38" s="49" t="s">
        <v>145</v>
      </c>
    </row>
    <row r="39" spans="1:28" x14ac:dyDescent="0.15">
      <c r="A39" s="49" t="s">
        <v>61</v>
      </c>
      <c r="B39" s="49" t="s">
        <v>143</v>
      </c>
      <c r="C39" s="49">
        <v>2020</v>
      </c>
      <c r="D39" s="88" t="s">
        <v>414</v>
      </c>
      <c r="E39" s="49" t="s">
        <v>45</v>
      </c>
      <c r="F39" s="49" t="s">
        <v>184</v>
      </c>
      <c r="G39" s="49" t="s">
        <v>37</v>
      </c>
      <c r="H39" s="49" t="s">
        <v>82</v>
      </c>
      <c r="I39" s="49" t="s">
        <v>64</v>
      </c>
      <c r="J39" s="1" t="s">
        <v>40</v>
      </c>
      <c r="K39" s="1" t="s">
        <v>41</v>
      </c>
      <c r="L39" s="49">
        <v>2</v>
      </c>
      <c r="N39" s="49">
        <v>3</v>
      </c>
      <c r="O39" s="49">
        <v>1</v>
      </c>
      <c r="P39" s="49">
        <v>0.85</v>
      </c>
      <c r="Q39" s="89">
        <f t="shared" si="0"/>
        <v>0.92500000000000004</v>
      </c>
      <c r="R39" s="49">
        <v>16.5</v>
      </c>
      <c r="S39" s="49">
        <v>138</v>
      </c>
      <c r="T39" s="50">
        <f t="shared" si="1"/>
        <v>22</v>
      </c>
      <c r="U39" s="49">
        <v>380</v>
      </c>
      <c r="V39" s="90">
        <f t="shared" si="2"/>
        <v>2786.666666666667</v>
      </c>
      <c r="W39" s="49">
        <v>40</v>
      </c>
      <c r="X39" s="49" t="s">
        <v>51</v>
      </c>
      <c r="Y39" s="49" t="s">
        <v>67</v>
      </c>
      <c r="Z39" s="49" t="s">
        <v>101</v>
      </c>
      <c r="AA39" s="49" t="s">
        <v>128</v>
      </c>
      <c r="AB39" s="49" t="s">
        <v>145</v>
      </c>
    </row>
    <row r="40" spans="1:28" x14ac:dyDescent="0.15">
      <c r="A40" s="49" t="s">
        <v>61</v>
      </c>
      <c r="B40" s="49" t="s">
        <v>143</v>
      </c>
      <c r="C40" s="49">
        <v>2020</v>
      </c>
      <c r="D40" s="88" t="s">
        <v>414</v>
      </c>
      <c r="E40" s="49" t="s">
        <v>45</v>
      </c>
      <c r="F40" s="49" t="s">
        <v>413</v>
      </c>
      <c r="G40" s="49" t="s">
        <v>37</v>
      </c>
      <c r="H40" s="49" t="s">
        <v>82</v>
      </c>
      <c r="I40" s="49" t="s">
        <v>64</v>
      </c>
      <c r="J40" s="1" t="s">
        <v>40</v>
      </c>
      <c r="K40" s="1" t="s">
        <v>41</v>
      </c>
      <c r="L40" s="49">
        <v>3</v>
      </c>
      <c r="N40" s="49">
        <v>3</v>
      </c>
      <c r="O40" s="49">
        <v>0.95</v>
      </c>
      <c r="P40" s="49">
        <v>0.9</v>
      </c>
      <c r="Q40" s="89">
        <f t="shared" si="0"/>
        <v>0.92500000000000004</v>
      </c>
      <c r="R40" s="49">
        <v>16.399999999999999</v>
      </c>
      <c r="S40" s="49">
        <v>136</v>
      </c>
      <c r="T40" s="50">
        <f t="shared" si="1"/>
        <v>25</v>
      </c>
      <c r="U40" s="49">
        <v>380</v>
      </c>
      <c r="V40" s="90">
        <f t="shared" si="2"/>
        <v>3166.666666666667</v>
      </c>
      <c r="W40" s="49">
        <v>40</v>
      </c>
      <c r="X40" s="49" t="s">
        <v>51</v>
      </c>
      <c r="Y40" s="49" t="s">
        <v>67</v>
      </c>
      <c r="Z40" s="49" t="s">
        <v>101</v>
      </c>
      <c r="AA40" s="49" t="s">
        <v>128</v>
      </c>
      <c r="AB40" s="49" t="s">
        <v>145</v>
      </c>
    </row>
    <row r="41" spans="1:28" x14ac:dyDescent="0.15">
      <c r="A41" s="49" t="s">
        <v>61</v>
      </c>
      <c r="B41" s="49" t="s">
        <v>143</v>
      </c>
      <c r="C41" s="49">
        <v>2020</v>
      </c>
      <c r="D41" s="88" t="s">
        <v>414</v>
      </c>
      <c r="E41" s="49" t="s">
        <v>45</v>
      </c>
      <c r="F41" s="49" t="s">
        <v>184</v>
      </c>
      <c r="G41" s="49" t="s">
        <v>37</v>
      </c>
      <c r="H41" s="49" t="s">
        <v>82</v>
      </c>
      <c r="I41" s="49" t="s">
        <v>64</v>
      </c>
      <c r="J41" s="1" t="s">
        <v>40</v>
      </c>
      <c r="K41" s="1" t="s">
        <v>41</v>
      </c>
      <c r="L41" s="49">
        <v>1</v>
      </c>
      <c r="N41" s="49">
        <v>4</v>
      </c>
      <c r="O41" s="49">
        <v>0.7</v>
      </c>
      <c r="P41" s="49">
        <v>0.7</v>
      </c>
      <c r="Q41" s="89">
        <f t="shared" si="0"/>
        <v>0.7</v>
      </c>
      <c r="R41" s="49">
        <v>16.899999999999999</v>
      </c>
      <c r="S41" s="49">
        <v>104</v>
      </c>
      <c r="T41" s="50">
        <f t="shared" si="1"/>
        <v>33</v>
      </c>
      <c r="U41" s="49">
        <v>450</v>
      </c>
      <c r="V41" s="90">
        <f t="shared" si="2"/>
        <v>3712.5</v>
      </c>
      <c r="W41" s="49">
        <v>40</v>
      </c>
      <c r="X41" s="49" t="s">
        <v>51</v>
      </c>
      <c r="Y41" s="49" t="s">
        <v>67</v>
      </c>
      <c r="Z41" s="49" t="s">
        <v>101</v>
      </c>
      <c r="AA41" s="49" t="s">
        <v>128</v>
      </c>
      <c r="AB41" s="49" t="s">
        <v>145</v>
      </c>
    </row>
    <row r="42" spans="1:28" x14ac:dyDescent="0.15">
      <c r="A42" s="49" t="s">
        <v>61</v>
      </c>
      <c r="B42" s="49" t="s">
        <v>143</v>
      </c>
      <c r="C42" s="49">
        <v>2020</v>
      </c>
      <c r="D42" s="88" t="s">
        <v>414</v>
      </c>
      <c r="E42" s="49" t="s">
        <v>45</v>
      </c>
      <c r="F42" s="49" t="s">
        <v>184</v>
      </c>
      <c r="G42" s="49" t="s">
        <v>37</v>
      </c>
      <c r="H42" s="49" t="s">
        <v>82</v>
      </c>
      <c r="I42" s="49" t="s">
        <v>64</v>
      </c>
      <c r="J42" s="1" t="s">
        <v>40</v>
      </c>
      <c r="K42" s="1" t="s">
        <v>41</v>
      </c>
      <c r="L42" s="49">
        <v>2</v>
      </c>
      <c r="N42" s="49">
        <v>4</v>
      </c>
      <c r="O42" s="49">
        <v>0.75</v>
      </c>
      <c r="P42" s="49">
        <v>0.65</v>
      </c>
      <c r="Q42" s="89">
        <f t="shared" si="0"/>
        <v>0.7</v>
      </c>
      <c r="R42" s="49">
        <v>17.5</v>
      </c>
      <c r="S42" s="49">
        <v>106</v>
      </c>
      <c r="T42" s="50">
        <f t="shared" si="1"/>
        <v>33</v>
      </c>
      <c r="U42" s="49">
        <v>450</v>
      </c>
      <c r="V42" s="90">
        <f t="shared" si="2"/>
        <v>3712.5</v>
      </c>
      <c r="W42" s="49">
        <v>40</v>
      </c>
      <c r="X42" s="49" t="s">
        <v>51</v>
      </c>
      <c r="Y42" s="49" t="s">
        <v>67</v>
      </c>
      <c r="Z42" s="49" t="s">
        <v>101</v>
      </c>
      <c r="AA42" s="49" t="s">
        <v>128</v>
      </c>
      <c r="AB42" s="49" t="s">
        <v>145</v>
      </c>
    </row>
    <row r="43" spans="1:28" x14ac:dyDescent="0.15">
      <c r="A43" s="49" t="s">
        <v>61</v>
      </c>
      <c r="B43" s="49" t="s">
        <v>143</v>
      </c>
      <c r="C43" s="49">
        <v>2020</v>
      </c>
      <c r="D43" s="88" t="s">
        <v>414</v>
      </c>
      <c r="E43" s="49" t="s">
        <v>45</v>
      </c>
      <c r="F43" s="49" t="s">
        <v>184</v>
      </c>
      <c r="G43" s="49" t="s">
        <v>37</v>
      </c>
      <c r="H43" s="49" t="s">
        <v>82</v>
      </c>
      <c r="I43" s="49" t="s">
        <v>64</v>
      </c>
      <c r="J43" s="1" t="s">
        <v>40</v>
      </c>
      <c r="K43" s="1" t="s">
        <v>41</v>
      </c>
      <c r="L43" s="49">
        <v>3</v>
      </c>
      <c r="N43" s="49">
        <v>4</v>
      </c>
      <c r="O43" s="49">
        <v>0.65</v>
      </c>
      <c r="P43" s="49">
        <v>0.5</v>
      </c>
      <c r="Q43" s="89">
        <f t="shared" si="0"/>
        <v>0.57499999999999996</v>
      </c>
      <c r="R43" s="49">
        <v>17.399999999999999</v>
      </c>
      <c r="S43" s="49">
        <v>98</v>
      </c>
      <c r="T43" s="50">
        <f t="shared" si="1"/>
        <v>36</v>
      </c>
      <c r="U43" s="49">
        <v>450</v>
      </c>
      <c r="V43" s="90">
        <f t="shared" si="2"/>
        <v>4050</v>
      </c>
      <c r="W43" s="49">
        <v>40</v>
      </c>
      <c r="X43" s="49" t="s">
        <v>51</v>
      </c>
      <c r="Y43" s="49" t="s">
        <v>67</v>
      </c>
      <c r="Z43" s="49" t="s">
        <v>101</v>
      </c>
      <c r="AA43" s="49" t="s">
        <v>128</v>
      </c>
      <c r="AB43" s="49" t="s">
        <v>145</v>
      </c>
    </row>
    <row r="44" spans="1:28" x14ac:dyDescent="0.15">
      <c r="A44" s="49" t="s">
        <v>61</v>
      </c>
      <c r="B44" s="49" t="s">
        <v>143</v>
      </c>
      <c r="C44" s="49">
        <v>2020</v>
      </c>
      <c r="D44" s="88" t="s">
        <v>414</v>
      </c>
      <c r="E44" s="49" t="s">
        <v>45</v>
      </c>
      <c r="F44" s="49" t="s">
        <v>184</v>
      </c>
      <c r="G44" s="49" t="s">
        <v>37</v>
      </c>
      <c r="H44" s="49" t="s">
        <v>82</v>
      </c>
      <c r="I44" s="49" t="s">
        <v>64</v>
      </c>
      <c r="J44" s="1" t="s">
        <v>40</v>
      </c>
      <c r="K44" s="1" t="s">
        <v>41</v>
      </c>
      <c r="L44" s="49">
        <v>1</v>
      </c>
      <c r="N44" s="49">
        <v>6</v>
      </c>
      <c r="O44" s="49">
        <v>0.7</v>
      </c>
      <c r="P44" s="49">
        <v>0.75</v>
      </c>
      <c r="Q44" s="89">
        <f t="shared" si="0"/>
        <v>0.72499999999999998</v>
      </c>
      <c r="R44" s="49">
        <v>17.5</v>
      </c>
      <c r="S44" s="49">
        <v>154</v>
      </c>
      <c r="T44" s="50">
        <f t="shared" si="1"/>
        <v>18</v>
      </c>
      <c r="U44" s="49">
        <v>1000</v>
      </c>
      <c r="V44" s="90">
        <f t="shared" si="2"/>
        <v>3000</v>
      </c>
      <c r="W44" s="49">
        <v>40</v>
      </c>
      <c r="X44" s="49" t="s">
        <v>51</v>
      </c>
      <c r="Y44" s="49" t="s">
        <v>67</v>
      </c>
      <c r="Z44" s="49" t="s">
        <v>101</v>
      </c>
      <c r="AA44" s="49" t="s">
        <v>128</v>
      </c>
      <c r="AB44" s="49" t="s">
        <v>145</v>
      </c>
    </row>
    <row r="45" spans="1:28" x14ac:dyDescent="0.15">
      <c r="A45" s="49" t="s">
        <v>61</v>
      </c>
      <c r="B45" s="49" t="s">
        <v>143</v>
      </c>
      <c r="C45" s="49">
        <v>2020</v>
      </c>
      <c r="D45" s="88" t="s">
        <v>414</v>
      </c>
      <c r="E45" s="49" t="s">
        <v>45</v>
      </c>
      <c r="F45" s="49" t="s">
        <v>184</v>
      </c>
      <c r="G45" s="49" t="s">
        <v>37</v>
      </c>
      <c r="H45" s="49" t="s">
        <v>82</v>
      </c>
      <c r="I45" s="49" t="s">
        <v>64</v>
      </c>
      <c r="J45" s="1" t="s">
        <v>40</v>
      </c>
      <c r="K45" s="1" t="s">
        <v>41</v>
      </c>
      <c r="L45" s="49">
        <v>2</v>
      </c>
      <c r="N45" s="49">
        <v>6</v>
      </c>
      <c r="O45" s="49">
        <v>0.8</v>
      </c>
      <c r="P45" s="49">
        <v>0.65</v>
      </c>
      <c r="Q45" s="89">
        <f t="shared" si="0"/>
        <v>0.72500000000000009</v>
      </c>
      <c r="R45" s="49">
        <v>17.2</v>
      </c>
      <c r="S45" s="49">
        <v>154</v>
      </c>
      <c r="T45" s="50">
        <f t="shared" si="1"/>
        <v>18</v>
      </c>
      <c r="U45" s="49">
        <v>1000</v>
      </c>
      <c r="V45" s="90">
        <f t="shared" si="2"/>
        <v>3000</v>
      </c>
      <c r="W45" s="49">
        <v>40</v>
      </c>
      <c r="X45" s="49" t="s">
        <v>51</v>
      </c>
      <c r="Y45" s="49" t="s">
        <v>67</v>
      </c>
      <c r="Z45" s="49" t="s">
        <v>101</v>
      </c>
      <c r="AA45" s="49" t="s">
        <v>128</v>
      </c>
      <c r="AB45" s="49" t="s">
        <v>145</v>
      </c>
    </row>
    <row r="46" spans="1:28" x14ac:dyDescent="0.15">
      <c r="A46" s="49" t="s">
        <v>61</v>
      </c>
      <c r="B46" s="49" t="s">
        <v>143</v>
      </c>
      <c r="C46" s="49">
        <v>2020</v>
      </c>
      <c r="D46" s="88" t="s">
        <v>414</v>
      </c>
      <c r="E46" s="49" t="s">
        <v>45</v>
      </c>
      <c r="F46" s="49" t="s">
        <v>184</v>
      </c>
      <c r="G46" s="49" t="s">
        <v>37</v>
      </c>
      <c r="H46" s="49" t="s">
        <v>82</v>
      </c>
      <c r="I46" s="49" t="s">
        <v>64</v>
      </c>
      <c r="J46" s="1" t="s">
        <v>40</v>
      </c>
      <c r="K46" s="1" t="s">
        <v>41</v>
      </c>
      <c r="L46" s="49">
        <v>3</v>
      </c>
      <c r="N46" s="49">
        <v>6</v>
      </c>
      <c r="O46" s="49">
        <v>0.7</v>
      </c>
      <c r="P46" s="49">
        <v>0.7</v>
      </c>
      <c r="Q46" s="89">
        <f t="shared" si="0"/>
        <v>0.7</v>
      </c>
      <c r="R46" s="49">
        <v>18.3</v>
      </c>
      <c r="S46" s="49">
        <v>168</v>
      </c>
      <c r="T46" s="50">
        <f t="shared" si="1"/>
        <v>18</v>
      </c>
      <c r="U46" s="49">
        <v>1000</v>
      </c>
      <c r="V46" s="90">
        <f t="shared" si="2"/>
        <v>3000</v>
      </c>
      <c r="W46" s="49">
        <v>40</v>
      </c>
      <c r="X46" s="49" t="s">
        <v>51</v>
      </c>
      <c r="Y46" s="49" t="s">
        <v>67</v>
      </c>
      <c r="Z46" s="49" t="s">
        <v>101</v>
      </c>
      <c r="AA46" s="49" t="s">
        <v>128</v>
      </c>
      <c r="AB46" s="49" t="s">
        <v>145</v>
      </c>
    </row>
    <row r="47" spans="1:28" x14ac:dyDescent="0.15">
      <c r="A47" s="49" t="s">
        <v>61</v>
      </c>
      <c r="B47" s="49" t="s">
        <v>143</v>
      </c>
      <c r="C47" s="49">
        <v>2020</v>
      </c>
      <c r="D47" s="88" t="s">
        <v>414</v>
      </c>
      <c r="E47" s="49" t="s">
        <v>174</v>
      </c>
      <c r="F47" s="49" t="s">
        <v>175</v>
      </c>
      <c r="G47" s="49" t="s">
        <v>37</v>
      </c>
      <c r="H47" s="49" t="s">
        <v>63</v>
      </c>
      <c r="I47" s="49" t="s">
        <v>64</v>
      </c>
      <c r="J47" s="1" t="s">
        <v>40</v>
      </c>
      <c r="K47" s="1" t="s">
        <v>41</v>
      </c>
      <c r="L47" s="49">
        <v>1</v>
      </c>
      <c r="N47" s="49">
        <v>1</v>
      </c>
      <c r="O47" s="49">
        <v>0.95</v>
      </c>
      <c r="P47" s="49">
        <v>0.9</v>
      </c>
      <c r="Q47" s="89">
        <f t="shared" si="0"/>
        <v>0.92500000000000004</v>
      </c>
      <c r="R47" s="49">
        <v>16.399999999999999</v>
      </c>
      <c r="S47" s="49">
        <v>136</v>
      </c>
      <c r="T47" s="50">
        <f t="shared" si="1"/>
        <v>25</v>
      </c>
      <c r="U47" s="49">
        <v>128</v>
      </c>
      <c r="V47" s="90">
        <f t="shared" si="2"/>
        <v>3200</v>
      </c>
      <c r="W47" s="49">
        <v>26</v>
      </c>
      <c r="X47" s="49" t="s">
        <v>51</v>
      </c>
      <c r="Y47" s="49" t="s">
        <v>67</v>
      </c>
      <c r="Z47" s="49" t="s">
        <v>101</v>
      </c>
      <c r="AA47" s="49" t="s">
        <v>128</v>
      </c>
      <c r="AB47" s="49" t="s">
        <v>145</v>
      </c>
    </row>
    <row r="48" spans="1:28" x14ac:dyDescent="0.15">
      <c r="A48" s="49" t="s">
        <v>61</v>
      </c>
      <c r="B48" s="49" t="s">
        <v>143</v>
      </c>
      <c r="C48" s="49">
        <v>2020</v>
      </c>
      <c r="D48" s="88" t="s">
        <v>414</v>
      </c>
      <c r="E48" s="49" t="s">
        <v>174</v>
      </c>
      <c r="F48" s="49" t="s">
        <v>175</v>
      </c>
      <c r="G48" s="49" t="s">
        <v>37</v>
      </c>
      <c r="H48" s="49" t="s">
        <v>63</v>
      </c>
      <c r="I48" s="49" t="s">
        <v>64</v>
      </c>
      <c r="J48" s="1" t="s">
        <v>40</v>
      </c>
      <c r="K48" s="1" t="s">
        <v>41</v>
      </c>
      <c r="L48" s="49">
        <v>2</v>
      </c>
      <c r="N48" s="49">
        <v>1</v>
      </c>
      <c r="O48" s="49">
        <v>0.95</v>
      </c>
      <c r="P48" s="49">
        <v>1</v>
      </c>
      <c r="Q48" s="89">
        <f t="shared" si="0"/>
        <v>0.97499999999999998</v>
      </c>
      <c r="R48" s="49">
        <v>14.3</v>
      </c>
      <c r="S48" s="49">
        <v>128</v>
      </c>
      <c r="T48" s="50">
        <f t="shared" si="1"/>
        <v>27</v>
      </c>
      <c r="U48" s="49">
        <v>128</v>
      </c>
      <c r="V48" s="90">
        <f t="shared" si="2"/>
        <v>3456</v>
      </c>
      <c r="W48" s="49">
        <v>26</v>
      </c>
      <c r="X48" s="49" t="s">
        <v>51</v>
      </c>
      <c r="Y48" s="49" t="s">
        <v>67</v>
      </c>
      <c r="Z48" s="49" t="s">
        <v>101</v>
      </c>
      <c r="AA48" s="49" t="s">
        <v>128</v>
      </c>
      <c r="AB48" s="49" t="s">
        <v>145</v>
      </c>
    </row>
    <row r="49" spans="1:28" x14ac:dyDescent="0.15">
      <c r="A49" s="49" t="s">
        <v>61</v>
      </c>
      <c r="B49" s="49" t="s">
        <v>143</v>
      </c>
      <c r="C49" s="49">
        <v>2020</v>
      </c>
      <c r="D49" s="88" t="s">
        <v>414</v>
      </c>
      <c r="E49" s="49" t="s">
        <v>174</v>
      </c>
      <c r="F49" s="49" t="s">
        <v>175</v>
      </c>
      <c r="G49" s="49" t="s">
        <v>37</v>
      </c>
      <c r="H49" s="49" t="s">
        <v>63</v>
      </c>
      <c r="I49" s="49" t="s">
        <v>64</v>
      </c>
      <c r="J49" s="1" t="s">
        <v>40</v>
      </c>
      <c r="K49" s="1" t="s">
        <v>41</v>
      </c>
      <c r="L49" s="49">
        <v>3</v>
      </c>
      <c r="N49" s="49">
        <v>1</v>
      </c>
      <c r="O49" s="49">
        <v>0.9</v>
      </c>
      <c r="P49" s="49">
        <v>0.9</v>
      </c>
      <c r="Q49" s="89">
        <f t="shared" si="0"/>
        <v>0.9</v>
      </c>
      <c r="R49" s="49">
        <v>15.8</v>
      </c>
      <c r="S49" s="49">
        <v>128</v>
      </c>
      <c r="T49" s="50">
        <f t="shared" si="1"/>
        <v>27</v>
      </c>
      <c r="U49" s="49">
        <v>128</v>
      </c>
      <c r="V49" s="90">
        <f t="shared" si="2"/>
        <v>3456</v>
      </c>
      <c r="W49" s="49">
        <v>26</v>
      </c>
      <c r="X49" s="49" t="s">
        <v>51</v>
      </c>
      <c r="Y49" s="49" t="s">
        <v>67</v>
      </c>
      <c r="Z49" s="49" t="s">
        <v>101</v>
      </c>
      <c r="AA49" s="49" t="s">
        <v>128</v>
      </c>
      <c r="AB49" s="49" t="s">
        <v>145</v>
      </c>
    </row>
    <row r="50" spans="1:28" x14ac:dyDescent="0.15">
      <c r="A50" s="49" t="s">
        <v>61</v>
      </c>
      <c r="B50" s="49" t="s">
        <v>143</v>
      </c>
      <c r="C50" s="49">
        <v>2020</v>
      </c>
      <c r="D50" s="88" t="s">
        <v>414</v>
      </c>
      <c r="E50" s="49" t="s">
        <v>174</v>
      </c>
      <c r="F50" s="49" t="s">
        <v>175</v>
      </c>
      <c r="G50" s="49" t="s">
        <v>37</v>
      </c>
      <c r="H50" s="49" t="s">
        <v>63</v>
      </c>
      <c r="I50" s="49" t="s">
        <v>64</v>
      </c>
      <c r="J50" s="1" t="s">
        <v>40</v>
      </c>
      <c r="K50" s="1" t="s">
        <v>41</v>
      </c>
      <c r="L50" s="49">
        <v>1</v>
      </c>
      <c r="N50" s="49">
        <v>5</v>
      </c>
      <c r="O50" s="49">
        <v>1</v>
      </c>
      <c r="P50" s="49">
        <v>0.95</v>
      </c>
      <c r="Q50" s="89">
        <f t="shared" si="0"/>
        <v>0.97499999999999998</v>
      </c>
      <c r="R50" s="49">
        <v>17.2</v>
      </c>
      <c r="S50" s="49">
        <v>93</v>
      </c>
      <c r="T50" s="50">
        <f t="shared" si="1"/>
        <v>36</v>
      </c>
      <c r="U50" s="49">
        <v>398</v>
      </c>
      <c r="V50" s="90">
        <f t="shared" si="2"/>
        <v>2865.6</v>
      </c>
      <c r="W50" s="49">
        <v>26</v>
      </c>
      <c r="X50" s="49" t="s">
        <v>51</v>
      </c>
      <c r="Y50" s="49" t="s">
        <v>67</v>
      </c>
      <c r="Z50" s="49" t="s">
        <v>101</v>
      </c>
      <c r="AA50" s="49" t="s">
        <v>128</v>
      </c>
      <c r="AB50" s="49" t="s">
        <v>145</v>
      </c>
    </row>
    <row r="51" spans="1:28" x14ac:dyDescent="0.15">
      <c r="A51" s="49" t="s">
        <v>61</v>
      </c>
      <c r="B51" s="49" t="s">
        <v>143</v>
      </c>
      <c r="C51" s="49">
        <v>2020</v>
      </c>
      <c r="D51" s="88" t="s">
        <v>414</v>
      </c>
      <c r="E51" s="49" t="s">
        <v>174</v>
      </c>
      <c r="F51" s="49" t="s">
        <v>175</v>
      </c>
      <c r="G51" s="49" t="s">
        <v>37</v>
      </c>
      <c r="H51" s="49" t="s">
        <v>63</v>
      </c>
      <c r="I51" s="49" t="s">
        <v>64</v>
      </c>
      <c r="J51" s="1" t="s">
        <v>40</v>
      </c>
      <c r="K51" s="1" t="s">
        <v>41</v>
      </c>
      <c r="L51" s="49">
        <v>2</v>
      </c>
      <c r="N51" s="49">
        <v>5</v>
      </c>
      <c r="O51" s="49">
        <v>0.85</v>
      </c>
      <c r="P51" s="49">
        <v>0.9</v>
      </c>
      <c r="Q51" s="89">
        <f t="shared" si="0"/>
        <v>0.875</v>
      </c>
      <c r="R51" s="49">
        <v>17.7</v>
      </c>
      <c r="S51" s="49">
        <v>94</v>
      </c>
      <c r="T51" s="50">
        <f t="shared" si="1"/>
        <v>36</v>
      </c>
      <c r="U51" s="49">
        <v>398</v>
      </c>
      <c r="V51" s="90">
        <f t="shared" si="2"/>
        <v>2865.6</v>
      </c>
      <c r="W51" s="49">
        <v>26</v>
      </c>
      <c r="X51" s="49" t="s">
        <v>51</v>
      </c>
      <c r="Y51" s="49" t="s">
        <v>67</v>
      </c>
      <c r="Z51" s="49" t="s">
        <v>101</v>
      </c>
      <c r="AA51" s="49" t="s">
        <v>128</v>
      </c>
      <c r="AB51" s="49" t="s">
        <v>145</v>
      </c>
    </row>
    <row r="52" spans="1:28" x14ac:dyDescent="0.15">
      <c r="A52" s="49" t="s">
        <v>61</v>
      </c>
      <c r="B52" s="49" t="s">
        <v>143</v>
      </c>
      <c r="C52" s="49">
        <v>2020</v>
      </c>
      <c r="D52" s="88" t="s">
        <v>414</v>
      </c>
      <c r="E52" s="49" t="s">
        <v>174</v>
      </c>
      <c r="F52" s="49" t="s">
        <v>175</v>
      </c>
      <c r="G52" s="49" t="s">
        <v>37</v>
      </c>
      <c r="H52" s="49" t="s">
        <v>63</v>
      </c>
      <c r="I52" s="49" t="s">
        <v>64</v>
      </c>
      <c r="J52" s="1" t="s">
        <v>40</v>
      </c>
      <c r="K52" s="1" t="s">
        <v>41</v>
      </c>
      <c r="L52" s="49">
        <v>3</v>
      </c>
      <c r="N52" s="49">
        <v>5</v>
      </c>
      <c r="O52" s="49">
        <v>0.95</v>
      </c>
      <c r="P52" s="49">
        <v>0.85</v>
      </c>
      <c r="Q52" s="89">
        <f t="shared" si="0"/>
        <v>0.89999999999999991</v>
      </c>
      <c r="R52" s="49">
        <v>17.5</v>
      </c>
      <c r="S52" s="49">
        <v>91</v>
      </c>
      <c r="T52" s="50">
        <f t="shared" si="1"/>
        <v>36</v>
      </c>
      <c r="U52" s="49">
        <v>398</v>
      </c>
      <c r="V52" s="90">
        <f t="shared" si="2"/>
        <v>2865.6</v>
      </c>
      <c r="W52" s="49">
        <v>26</v>
      </c>
      <c r="X52" s="49" t="s">
        <v>51</v>
      </c>
      <c r="Y52" s="49" t="s">
        <v>67</v>
      </c>
      <c r="Z52" s="49" t="s">
        <v>101</v>
      </c>
      <c r="AA52" s="49" t="s">
        <v>128</v>
      </c>
      <c r="AB52" s="49" t="s">
        <v>145</v>
      </c>
    </row>
    <row r="53" spans="1:28" x14ac:dyDescent="0.15">
      <c r="A53" s="49" t="s">
        <v>61</v>
      </c>
      <c r="B53" s="49" t="s">
        <v>143</v>
      </c>
      <c r="C53" s="49">
        <v>2020</v>
      </c>
      <c r="D53" s="88" t="s">
        <v>414</v>
      </c>
      <c r="E53" s="49" t="s">
        <v>174</v>
      </c>
      <c r="F53" s="49" t="s">
        <v>175</v>
      </c>
      <c r="G53" s="49" t="s">
        <v>37</v>
      </c>
      <c r="H53" s="49" t="s">
        <v>38</v>
      </c>
      <c r="I53" s="49" t="s">
        <v>64</v>
      </c>
      <c r="J53" s="1" t="s">
        <v>136</v>
      </c>
      <c r="K53" s="1" t="s">
        <v>73</v>
      </c>
      <c r="L53" s="49">
        <v>1</v>
      </c>
      <c r="N53" s="49">
        <v>4</v>
      </c>
      <c r="O53" s="49">
        <v>0.85</v>
      </c>
      <c r="P53" s="49">
        <v>0.85</v>
      </c>
      <c r="Q53" s="89">
        <f t="shared" si="0"/>
        <v>0.85</v>
      </c>
      <c r="R53" s="49">
        <v>13</v>
      </c>
      <c r="S53" s="49">
        <v>116</v>
      </c>
      <c r="T53" s="50">
        <f t="shared" si="1"/>
        <v>30</v>
      </c>
      <c r="U53" s="49">
        <v>398</v>
      </c>
      <c r="V53" s="90">
        <f t="shared" si="2"/>
        <v>2985</v>
      </c>
      <c r="W53" s="49">
        <v>26</v>
      </c>
      <c r="X53" s="49" t="s">
        <v>51</v>
      </c>
      <c r="Y53" s="49" t="s">
        <v>67</v>
      </c>
      <c r="Z53" s="49" t="s">
        <v>101</v>
      </c>
      <c r="AA53" s="49" t="s">
        <v>128</v>
      </c>
      <c r="AB53" s="49" t="s">
        <v>145</v>
      </c>
    </row>
    <row r="54" spans="1:28" x14ac:dyDescent="0.15">
      <c r="A54" s="49" t="s">
        <v>61</v>
      </c>
      <c r="B54" s="49" t="s">
        <v>143</v>
      </c>
      <c r="C54" s="49">
        <v>2020</v>
      </c>
      <c r="D54" s="88" t="s">
        <v>414</v>
      </c>
      <c r="E54" s="49" t="s">
        <v>174</v>
      </c>
      <c r="F54" s="49" t="s">
        <v>175</v>
      </c>
      <c r="G54" s="49" t="s">
        <v>37</v>
      </c>
      <c r="H54" s="49" t="s">
        <v>38</v>
      </c>
      <c r="I54" s="49" t="s">
        <v>64</v>
      </c>
      <c r="J54" s="1" t="s">
        <v>136</v>
      </c>
      <c r="K54" s="1" t="s">
        <v>73</v>
      </c>
      <c r="L54" s="49">
        <v>2</v>
      </c>
      <c r="N54" s="49">
        <v>4</v>
      </c>
      <c r="O54" s="49">
        <v>0.95</v>
      </c>
      <c r="P54" s="49">
        <v>0.85</v>
      </c>
      <c r="Q54" s="89">
        <f t="shared" si="0"/>
        <v>0.89999999999999991</v>
      </c>
      <c r="R54" s="49">
        <v>13.6</v>
      </c>
      <c r="S54" s="49">
        <v>120</v>
      </c>
      <c r="T54" s="50">
        <f t="shared" si="1"/>
        <v>30</v>
      </c>
      <c r="U54" s="49">
        <v>398</v>
      </c>
      <c r="V54" s="90">
        <f t="shared" si="2"/>
        <v>2985</v>
      </c>
      <c r="W54" s="49">
        <v>26</v>
      </c>
      <c r="X54" s="49" t="s">
        <v>51</v>
      </c>
      <c r="Y54" s="49" t="s">
        <v>67</v>
      </c>
      <c r="Z54" s="49" t="s">
        <v>101</v>
      </c>
      <c r="AA54" s="49" t="s">
        <v>128</v>
      </c>
      <c r="AB54" s="49" t="s">
        <v>145</v>
      </c>
    </row>
    <row r="55" spans="1:28" x14ac:dyDescent="0.15">
      <c r="A55" s="49" t="s">
        <v>61</v>
      </c>
      <c r="B55" s="49" t="s">
        <v>143</v>
      </c>
      <c r="C55" s="49">
        <v>2020</v>
      </c>
      <c r="D55" s="88" t="s">
        <v>414</v>
      </c>
      <c r="E55" s="49" t="s">
        <v>174</v>
      </c>
      <c r="F55" s="49" t="s">
        <v>175</v>
      </c>
      <c r="G55" s="49" t="s">
        <v>37</v>
      </c>
      <c r="H55" s="49" t="s">
        <v>38</v>
      </c>
      <c r="I55" s="49" t="s">
        <v>64</v>
      </c>
      <c r="J55" s="1" t="s">
        <v>136</v>
      </c>
      <c r="K55" s="1" t="s">
        <v>73</v>
      </c>
      <c r="L55" s="49">
        <v>3</v>
      </c>
      <c r="N55" s="49">
        <v>4</v>
      </c>
      <c r="O55" s="49">
        <v>1</v>
      </c>
      <c r="P55" s="49">
        <v>1</v>
      </c>
      <c r="Q55" s="89">
        <f t="shared" si="0"/>
        <v>1</v>
      </c>
      <c r="R55" s="49">
        <v>13.9</v>
      </c>
      <c r="S55" s="49">
        <v>108</v>
      </c>
      <c r="T55" s="50">
        <f t="shared" si="1"/>
        <v>33</v>
      </c>
      <c r="U55" s="49">
        <v>398</v>
      </c>
      <c r="V55" s="90">
        <f t="shared" si="2"/>
        <v>3283.5</v>
      </c>
      <c r="W55" s="49">
        <v>26</v>
      </c>
      <c r="X55" s="49" t="s">
        <v>51</v>
      </c>
      <c r="Y55" s="49" t="s">
        <v>67</v>
      </c>
      <c r="Z55" s="49" t="s">
        <v>101</v>
      </c>
      <c r="AA55" s="49" t="s">
        <v>128</v>
      </c>
      <c r="AB55" s="49" t="s">
        <v>145</v>
      </c>
    </row>
    <row r="56" spans="1:28" x14ac:dyDescent="0.15">
      <c r="A56" s="49" t="s">
        <v>61</v>
      </c>
      <c r="B56" s="49" t="s">
        <v>143</v>
      </c>
      <c r="C56" s="49">
        <v>2020</v>
      </c>
      <c r="D56" s="88" t="s">
        <v>414</v>
      </c>
      <c r="E56" s="49" t="s">
        <v>174</v>
      </c>
      <c r="F56" s="49" t="s">
        <v>175</v>
      </c>
      <c r="G56" s="49" t="s">
        <v>37</v>
      </c>
      <c r="H56" s="49" t="s">
        <v>82</v>
      </c>
      <c r="I56" s="49" t="s">
        <v>64</v>
      </c>
      <c r="J56" s="1" t="s">
        <v>40</v>
      </c>
      <c r="K56" s="1" t="s">
        <v>41</v>
      </c>
      <c r="L56" s="49">
        <v>1</v>
      </c>
      <c r="N56" s="49">
        <v>1</v>
      </c>
      <c r="O56" s="49">
        <v>0.95</v>
      </c>
      <c r="P56" s="49">
        <v>1</v>
      </c>
      <c r="Q56" s="89">
        <f t="shared" si="0"/>
        <v>0.97499999999999998</v>
      </c>
      <c r="R56" s="49">
        <v>14.5</v>
      </c>
      <c r="S56" s="49">
        <v>126</v>
      </c>
      <c r="T56" s="50">
        <f t="shared" si="1"/>
        <v>27</v>
      </c>
      <c r="U56" s="49">
        <v>128</v>
      </c>
      <c r="V56" s="90">
        <f t="shared" si="2"/>
        <v>3456</v>
      </c>
      <c r="W56" s="49">
        <v>26</v>
      </c>
      <c r="X56" s="49" t="s">
        <v>51</v>
      </c>
      <c r="Y56" s="49" t="s">
        <v>67</v>
      </c>
      <c r="Z56" s="49" t="s">
        <v>101</v>
      </c>
      <c r="AA56" s="49" t="s">
        <v>128</v>
      </c>
      <c r="AB56" s="49" t="s">
        <v>145</v>
      </c>
    </row>
    <row r="57" spans="1:28" x14ac:dyDescent="0.15">
      <c r="A57" s="49" t="s">
        <v>61</v>
      </c>
      <c r="B57" s="49" t="s">
        <v>143</v>
      </c>
      <c r="C57" s="49">
        <v>2020</v>
      </c>
      <c r="D57" s="88" t="s">
        <v>414</v>
      </c>
      <c r="E57" s="49" t="s">
        <v>174</v>
      </c>
      <c r="F57" s="49" t="s">
        <v>175</v>
      </c>
      <c r="G57" s="49" t="s">
        <v>37</v>
      </c>
      <c r="H57" s="49" t="s">
        <v>82</v>
      </c>
      <c r="I57" s="49" t="s">
        <v>64</v>
      </c>
      <c r="J57" s="1" t="s">
        <v>40</v>
      </c>
      <c r="K57" s="1" t="s">
        <v>41</v>
      </c>
      <c r="L57" s="49">
        <v>2</v>
      </c>
      <c r="N57" s="49">
        <v>1</v>
      </c>
      <c r="O57" s="49">
        <v>1.05</v>
      </c>
      <c r="P57" s="49">
        <v>0.95</v>
      </c>
      <c r="Q57" s="89">
        <f t="shared" si="0"/>
        <v>1</v>
      </c>
      <c r="R57" s="49">
        <v>13.6</v>
      </c>
      <c r="S57" s="49">
        <v>120</v>
      </c>
      <c r="T57" s="50">
        <f t="shared" si="1"/>
        <v>30</v>
      </c>
      <c r="U57" s="49">
        <v>128</v>
      </c>
      <c r="V57" s="90">
        <f t="shared" si="2"/>
        <v>3840</v>
      </c>
      <c r="W57" s="49">
        <v>26</v>
      </c>
      <c r="X57" s="49" t="s">
        <v>51</v>
      </c>
      <c r="Y57" s="49" t="s">
        <v>67</v>
      </c>
      <c r="Z57" s="49" t="s">
        <v>101</v>
      </c>
      <c r="AA57" s="49" t="s">
        <v>128</v>
      </c>
      <c r="AB57" s="49" t="s">
        <v>145</v>
      </c>
    </row>
    <row r="58" spans="1:28" x14ac:dyDescent="0.15">
      <c r="A58" s="49" t="s">
        <v>61</v>
      </c>
      <c r="B58" s="49" t="s">
        <v>143</v>
      </c>
      <c r="C58" s="49">
        <v>2020</v>
      </c>
      <c r="D58" s="88" t="s">
        <v>414</v>
      </c>
      <c r="E58" s="49" t="s">
        <v>174</v>
      </c>
      <c r="F58" s="49" t="s">
        <v>175</v>
      </c>
      <c r="G58" s="49" t="s">
        <v>37</v>
      </c>
      <c r="H58" s="49" t="s">
        <v>82</v>
      </c>
      <c r="I58" s="49" t="s">
        <v>64</v>
      </c>
      <c r="J58" s="1" t="s">
        <v>40</v>
      </c>
      <c r="K58" s="1" t="s">
        <v>41</v>
      </c>
      <c r="L58" s="49">
        <v>3</v>
      </c>
      <c r="N58" s="49">
        <v>1</v>
      </c>
      <c r="O58" s="49">
        <v>1</v>
      </c>
      <c r="P58" s="49">
        <v>1</v>
      </c>
      <c r="Q58" s="89">
        <f t="shared" si="0"/>
        <v>1</v>
      </c>
      <c r="R58" s="49">
        <v>13.8</v>
      </c>
      <c r="S58" s="49">
        <v>120</v>
      </c>
      <c r="T58" s="50">
        <f t="shared" si="1"/>
        <v>30</v>
      </c>
      <c r="U58" s="49">
        <v>128</v>
      </c>
      <c r="V58" s="90">
        <f t="shared" si="2"/>
        <v>3840</v>
      </c>
      <c r="W58" s="49">
        <v>26</v>
      </c>
      <c r="X58" s="49" t="s">
        <v>51</v>
      </c>
      <c r="Y58" s="49" t="s">
        <v>67</v>
      </c>
      <c r="Z58" s="49" t="s">
        <v>101</v>
      </c>
      <c r="AA58" s="49" t="s">
        <v>128</v>
      </c>
      <c r="AB58" s="49" t="s">
        <v>145</v>
      </c>
    </row>
    <row r="59" spans="1:28" x14ac:dyDescent="0.15">
      <c r="A59" s="49" t="s">
        <v>61</v>
      </c>
      <c r="B59" s="49" t="s">
        <v>143</v>
      </c>
      <c r="C59" s="49">
        <v>2020</v>
      </c>
      <c r="D59" s="88" t="s">
        <v>414</v>
      </c>
      <c r="E59" s="49" t="s">
        <v>174</v>
      </c>
      <c r="F59" s="49" t="s">
        <v>175</v>
      </c>
      <c r="G59" s="49" t="s">
        <v>37</v>
      </c>
      <c r="H59" s="49" t="s">
        <v>82</v>
      </c>
      <c r="I59" s="49" t="s">
        <v>64</v>
      </c>
      <c r="J59" s="1" t="s">
        <v>40</v>
      </c>
      <c r="K59" s="1" t="s">
        <v>41</v>
      </c>
      <c r="L59" s="49">
        <v>1</v>
      </c>
      <c r="N59" s="49">
        <v>5</v>
      </c>
      <c r="O59" s="49">
        <v>0.75</v>
      </c>
      <c r="P59" s="49">
        <v>0.85</v>
      </c>
      <c r="Q59" s="89">
        <f t="shared" si="0"/>
        <v>0.8</v>
      </c>
      <c r="R59" s="49">
        <v>13.4</v>
      </c>
      <c r="S59" s="49">
        <v>82</v>
      </c>
      <c r="T59" s="50">
        <f t="shared" si="1"/>
        <v>39</v>
      </c>
      <c r="U59" s="49">
        <v>498</v>
      </c>
      <c r="V59" s="90">
        <f t="shared" si="2"/>
        <v>3884.3999999999996</v>
      </c>
      <c r="W59" s="49">
        <v>26</v>
      </c>
      <c r="X59" s="49" t="s">
        <v>51</v>
      </c>
      <c r="Y59" s="49" t="s">
        <v>67</v>
      </c>
      <c r="Z59" s="49" t="s">
        <v>101</v>
      </c>
      <c r="AA59" s="49" t="s">
        <v>128</v>
      </c>
      <c r="AB59" s="49" t="s">
        <v>145</v>
      </c>
    </row>
    <row r="60" spans="1:28" x14ac:dyDescent="0.15">
      <c r="A60" s="49" t="s">
        <v>61</v>
      </c>
      <c r="B60" s="49" t="s">
        <v>143</v>
      </c>
      <c r="C60" s="49">
        <v>2020</v>
      </c>
      <c r="D60" s="88" t="s">
        <v>414</v>
      </c>
      <c r="E60" s="49" t="s">
        <v>174</v>
      </c>
      <c r="F60" s="49" t="s">
        <v>175</v>
      </c>
      <c r="G60" s="49" t="s">
        <v>37</v>
      </c>
      <c r="H60" s="49" t="s">
        <v>82</v>
      </c>
      <c r="I60" s="49" t="s">
        <v>64</v>
      </c>
      <c r="J60" s="1" t="s">
        <v>40</v>
      </c>
      <c r="K60" s="1" t="s">
        <v>41</v>
      </c>
      <c r="L60" s="49">
        <v>2</v>
      </c>
      <c r="N60" s="49">
        <v>5</v>
      </c>
      <c r="O60" s="49">
        <v>0.8</v>
      </c>
      <c r="P60" s="49">
        <v>0.7</v>
      </c>
      <c r="Q60" s="89">
        <f t="shared" si="0"/>
        <v>0.75</v>
      </c>
      <c r="R60" s="49">
        <v>14.5</v>
      </c>
      <c r="S60" s="49">
        <v>93</v>
      </c>
      <c r="T60" s="50">
        <f t="shared" si="1"/>
        <v>36</v>
      </c>
      <c r="U60" s="49">
        <v>498</v>
      </c>
      <c r="V60" s="90">
        <f t="shared" si="2"/>
        <v>3585.6</v>
      </c>
      <c r="W60" s="49">
        <v>26</v>
      </c>
      <c r="X60" s="49" t="s">
        <v>51</v>
      </c>
      <c r="Y60" s="49" t="s">
        <v>67</v>
      </c>
      <c r="Z60" s="49" t="s">
        <v>101</v>
      </c>
      <c r="AA60" s="49" t="s">
        <v>128</v>
      </c>
      <c r="AB60" s="49" t="s">
        <v>145</v>
      </c>
    </row>
    <row r="61" spans="1:28" x14ac:dyDescent="0.15">
      <c r="A61" s="49" t="s">
        <v>61</v>
      </c>
      <c r="B61" s="49" t="s">
        <v>143</v>
      </c>
      <c r="C61" s="49">
        <v>2020</v>
      </c>
      <c r="D61" s="88" t="s">
        <v>414</v>
      </c>
      <c r="E61" s="49" t="s">
        <v>174</v>
      </c>
      <c r="F61" s="49" t="s">
        <v>175</v>
      </c>
      <c r="G61" s="49" t="s">
        <v>37</v>
      </c>
      <c r="H61" s="49" t="s">
        <v>82</v>
      </c>
      <c r="I61" s="49" t="s">
        <v>64</v>
      </c>
      <c r="J61" s="1" t="s">
        <v>40</v>
      </c>
      <c r="K61" s="1" t="s">
        <v>41</v>
      </c>
      <c r="L61" s="49">
        <v>3</v>
      </c>
      <c r="N61" s="49">
        <v>5</v>
      </c>
      <c r="O61" s="49">
        <v>0.8</v>
      </c>
      <c r="P61" s="49">
        <v>0.8</v>
      </c>
      <c r="Q61" s="89">
        <f t="shared" si="0"/>
        <v>0.8</v>
      </c>
      <c r="R61" s="49">
        <v>14.1</v>
      </c>
      <c r="S61" s="49">
        <v>90</v>
      </c>
      <c r="T61" s="50">
        <f t="shared" si="1"/>
        <v>36</v>
      </c>
      <c r="U61" s="49">
        <v>498</v>
      </c>
      <c r="V61" s="90">
        <f t="shared" si="2"/>
        <v>3585.6</v>
      </c>
      <c r="W61" s="49">
        <v>26</v>
      </c>
      <c r="X61" s="49" t="s">
        <v>51</v>
      </c>
      <c r="Y61" s="49" t="s">
        <v>67</v>
      </c>
      <c r="Z61" s="49" t="s">
        <v>101</v>
      </c>
      <c r="AA61" s="49" t="s">
        <v>128</v>
      </c>
      <c r="AB61" s="49" t="s">
        <v>145</v>
      </c>
    </row>
    <row r="62" spans="1:28" x14ac:dyDescent="0.15">
      <c r="A62" s="49" t="s">
        <v>61</v>
      </c>
      <c r="B62" s="49" t="s">
        <v>143</v>
      </c>
      <c r="C62" s="49">
        <v>2020</v>
      </c>
      <c r="D62" s="88" t="s">
        <v>414</v>
      </c>
      <c r="E62" s="49" t="s">
        <v>174</v>
      </c>
      <c r="F62" s="49" t="s">
        <v>175</v>
      </c>
      <c r="G62" s="49" t="s">
        <v>37</v>
      </c>
      <c r="H62" s="49" t="s">
        <v>82</v>
      </c>
      <c r="I62" s="49" t="s">
        <v>64</v>
      </c>
      <c r="J62" s="1" t="s">
        <v>40</v>
      </c>
      <c r="K62" s="1" t="s">
        <v>41</v>
      </c>
      <c r="L62" s="49">
        <v>1</v>
      </c>
      <c r="N62" s="49">
        <v>8</v>
      </c>
      <c r="O62" s="49">
        <v>0.7</v>
      </c>
      <c r="P62" s="49">
        <v>0.8</v>
      </c>
      <c r="Q62" s="89">
        <f t="shared" si="0"/>
        <v>0.75</v>
      </c>
      <c r="R62" s="49">
        <v>17.7</v>
      </c>
      <c r="S62" s="49">
        <v>102</v>
      </c>
      <c r="T62" s="50">
        <f t="shared" si="1"/>
        <v>33</v>
      </c>
      <c r="U62" s="49">
        <v>498</v>
      </c>
      <c r="V62" s="90">
        <f t="shared" si="2"/>
        <v>2054.25</v>
      </c>
      <c r="W62" s="49">
        <v>26</v>
      </c>
      <c r="X62" s="49" t="s">
        <v>51</v>
      </c>
      <c r="Y62" s="49" t="s">
        <v>67</v>
      </c>
      <c r="Z62" s="49" t="s">
        <v>101</v>
      </c>
      <c r="AA62" s="49" t="s">
        <v>128</v>
      </c>
      <c r="AB62" s="49" t="s">
        <v>145</v>
      </c>
    </row>
    <row r="63" spans="1:28" x14ac:dyDescent="0.15">
      <c r="A63" s="49" t="s">
        <v>61</v>
      </c>
      <c r="B63" s="49" t="s">
        <v>143</v>
      </c>
      <c r="C63" s="49">
        <v>2020</v>
      </c>
      <c r="D63" s="88" t="s">
        <v>414</v>
      </c>
      <c r="E63" s="49" t="s">
        <v>174</v>
      </c>
      <c r="F63" s="49" t="s">
        <v>175</v>
      </c>
      <c r="G63" s="49" t="s">
        <v>37</v>
      </c>
      <c r="H63" s="49" t="s">
        <v>82</v>
      </c>
      <c r="I63" s="49" t="s">
        <v>64</v>
      </c>
      <c r="J63" s="1" t="s">
        <v>40</v>
      </c>
      <c r="K63" s="1" t="s">
        <v>41</v>
      </c>
      <c r="L63" s="49">
        <v>2</v>
      </c>
      <c r="N63" s="49">
        <v>8</v>
      </c>
      <c r="O63" s="49">
        <v>0.75</v>
      </c>
      <c r="P63" s="49">
        <v>0.65</v>
      </c>
      <c r="Q63" s="89">
        <f t="shared" si="0"/>
        <v>0.7</v>
      </c>
      <c r="R63" s="49">
        <v>17.3</v>
      </c>
      <c r="S63" s="49">
        <v>100</v>
      </c>
      <c r="T63" s="50">
        <f t="shared" si="1"/>
        <v>33</v>
      </c>
      <c r="U63" s="49">
        <v>498</v>
      </c>
      <c r="V63" s="90">
        <f t="shared" si="2"/>
        <v>2054.25</v>
      </c>
      <c r="W63" s="49">
        <v>26</v>
      </c>
      <c r="X63" s="49" t="s">
        <v>51</v>
      </c>
      <c r="Y63" s="49" t="s">
        <v>67</v>
      </c>
      <c r="Z63" s="49" t="s">
        <v>101</v>
      </c>
      <c r="AA63" s="49" t="s">
        <v>128</v>
      </c>
      <c r="AB63" s="49" t="s">
        <v>145</v>
      </c>
    </row>
    <row r="64" spans="1:28" x14ac:dyDescent="0.15">
      <c r="A64" s="49" t="s">
        <v>61</v>
      </c>
      <c r="B64" s="49" t="s">
        <v>143</v>
      </c>
      <c r="C64" s="49">
        <v>2020</v>
      </c>
      <c r="D64" s="88" t="s">
        <v>414</v>
      </c>
      <c r="E64" s="49" t="s">
        <v>174</v>
      </c>
      <c r="F64" s="49" t="s">
        <v>175</v>
      </c>
      <c r="G64" s="49" t="s">
        <v>37</v>
      </c>
      <c r="H64" s="49" t="s">
        <v>82</v>
      </c>
      <c r="I64" s="49" t="s">
        <v>64</v>
      </c>
      <c r="J64" s="1" t="s">
        <v>40</v>
      </c>
      <c r="K64" s="1" t="s">
        <v>41</v>
      </c>
      <c r="L64" s="49">
        <v>3</v>
      </c>
      <c r="N64" s="49">
        <v>8</v>
      </c>
      <c r="O64" s="49">
        <v>0.7</v>
      </c>
      <c r="P64" s="49">
        <v>0.7</v>
      </c>
      <c r="Q64" s="89">
        <f t="shared" si="0"/>
        <v>0.7</v>
      </c>
      <c r="R64" s="49">
        <v>17.600000000000001</v>
      </c>
      <c r="S64" s="49">
        <v>97</v>
      </c>
      <c r="T64" s="50">
        <f t="shared" si="1"/>
        <v>36</v>
      </c>
      <c r="U64" s="49">
        <v>498</v>
      </c>
      <c r="V64" s="90">
        <f t="shared" si="2"/>
        <v>2241</v>
      </c>
      <c r="W64" s="49">
        <v>26</v>
      </c>
      <c r="X64" s="49" t="s">
        <v>51</v>
      </c>
      <c r="Y64" s="49" t="s">
        <v>67</v>
      </c>
      <c r="Z64" s="49" t="s">
        <v>101</v>
      </c>
      <c r="AA64" s="49" t="s">
        <v>128</v>
      </c>
      <c r="AB64" s="49" t="s">
        <v>145</v>
      </c>
    </row>
    <row r="65" spans="1:28" x14ac:dyDescent="0.15">
      <c r="A65" s="49" t="s">
        <v>61</v>
      </c>
      <c r="B65" s="49" t="s">
        <v>143</v>
      </c>
      <c r="C65" s="49">
        <v>2020</v>
      </c>
      <c r="D65" s="88" t="s">
        <v>414</v>
      </c>
      <c r="E65" s="49" t="s">
        <v>174</v>
      </c>
      <c r="F65" s="49" t="s">
        <v>175</v>
      </c>
      <c r="G65" s="49" t="s">
        <v>37</v>
      </c>
      <c r="H65" s="49" t="s">
        <v>82</v>
      </c>
      <c r="I65" s="49" t="s">
        <v>71</v>
      </c>
      <c r="J65" s="1" t="s">
        <v>40</v>
      </c>
      <c r="K65" s="1" t="s">
        <v>41</v>
      </c>
      <c r="L65" s="49">
        <v>1</v>
      </c>
      <c r="N65" s="49">
        <v>2</v>
      </c>
      <c r="O65" s="49">
        <v>0.8</v>
      </c>
      <c r="P65" s="49">
        <v>0.7</v>
      </c>
      <c r="Q65" s="89">
        <f t="shared" si="0"/>
        <v>0.75</v>
      </c>
      <c r="R65" s="49">
        <v>18.5</v>
      </c>
      <c r="S65" s="49">
        <v>148</v>
      </c>
      <c r="T65" s="50">
        <f t="shared" si="1"/>
        <v>22</v>
      </c>
      <c r="U65" s="49">
        <v>398</v>
      </c>
      <c r="V65" s="50">
        <f t="shared" si="2"/>
        <v>4378</v>
      </c>
      <c r="W65" s="49">
        <v>26</v>
      </c>
      <c r="X65" s="49" t="s">
        <v>51</v>
      </c>
      <c r="Y65" s="49" t="s">
        <v>67</v>
      </c>
      <c r="Z65" s="49" t="s">
        <v>101</v>
      </c>
      <c r="AA65" s="49" t="s">
        <v>128</v>
      </c>
      <c r="AB65" s="49" t="s">
        <v>145</v>
      </c>
    </row>
    <row r="66" spans="1:28" x14ac:dyDescent="0.15">
      <c r="A66" s="49" t="s">
        <v>61</v>
      </c>
      <c r="B66" s="49" t="s">
        <v>143</v>
      </c>
      <c r="C66" s="49">
        <v>2020</v>
      </c>
      <c r="D66" s="88" t="s">
        <v>414</v>
      </c>
      <c r="E66" s="49" t="s">
        <v>174</v>
      </c>
      <c r="F66" s="49" t="s">
        <v>175</v>
      </c>
      <c r="G66" s="49" t="s">
        <v>37</v>
      </c>
      <c r="H66" s="49" t="s">
        <v>82</v>
      </c>
      <c r="I66" s="49" t="s">
        <v>71</v>
      </c>
      <c r="J66" s="1" t="s">
        <v>40</v>
      </c>
      <c r="K66" s="1" t="s">
        <v>41</v>
      </c>
      <c r="L66" s="49">
        <v>2</v>
      </c>
      <c r="N66" s="49">
        <v>2</v>
      </c>
      <c r="O66" s="49">
        <v>0.75</v>
      </c>
      <c r="P66" s="49">
        <v>0.8</v>
      </c>
      <c r="Q66" s="89">
        <f t="shared" ref="Q66:Q129" si="3">IF(OR(O66="",P66=""),"",AVERAGE(O66,P66))</f>
        <v>0.77500000000000002</v>
      </c>
      <c r="R66" s="49">
        <v>18.100000000000001</v>
      </c>
      <c r="S66" s="49">
        <v>136</v>
      </c>
      <c r="T66" s="50">
        <f t="shared" ref="T66:T129" si="4">IF(H66="","",IF(OR(H66="GREEN",H66="GK"),IF(S66&gt;=$AX$2,VLOOKUP(S66,$AX$2:$AY$12,2,1),""),IF(S66&gt;=$AZ$2,VLOOKUP(S66,$AZ$2:$BA$12,2,1),"")))</f>
        <v>25</v>
      </c>
      <c r="U66" s="49">
        <v>398</v>
      </c>
      <c r="V66" s="50">
        <f t="shared" ref="V66:V129" si="5">IF(OR(N66="",U66="",T66=""),"",U66/N66*T66)</f>
        <v>4975</v>
      </c>
      <c r="W66" s="49">
        <v>26</v>
      </c>
      <c r="X66" s="49" t="s">
        <v>51</v>
      </c>
      <c r="Y66" s="49" t="s">
        <v>67</v>
      </c>
      <c r="Z66" s="49" t="s">
        <v>101</v>
      </c>
      <c r="AA66" s="49" t="s">
        <v>128</v>
      </c>
      <c r="AB66" s="49" t="s">
        <v>145</v>
      </c>
    </row>
    <row r="67" spans="1:28" x14ac:dyDescent="0.15">
      <c r="A67" s="49" t="s">
        <v>61</v>
      </c>
      <c r="B67" s="49" t="s">
        <v>143</v>
      </c>
      <c r="C67" s="49">
        <v>2020</v>
      </c>
      <c r="D67" s="88" t="s">
        <v>414</v>
      </c>
      <c r="E67" s="49" t="s">
        <v>174</v>
      </c>
      <c r="F67" s="49" t="s">
        <v>175</v>
      </c>
      <c r="G67" s="49" t="s">
        <v>37</v>
      </c>
      <c r="H67" s="49" t="s">
        <v>82</v>
      </c>
      <c r="I67" s="49" t="s">
        <v>71</v>
      </c>
      <c r="J67" s="1" t="s">
        <v>40</v>
      </c>
      <c r="K67" s="1" t="s">
        <v>41</v>
      </c>
      <c r="L67" s="49">
        <v>3</v>
      </c>
      <c r="N67" s="49">
        <v>2</v>
      </c>
      <c r="O67" s="49">
        <v>0.7</v>
      </c>
      <c r="P67" s="49">
        <v>0.8</v>
      </c>
      <c r="Q67" s="89">
        <f t="shared" si="3"/>
        <v>0.75</v>
      </c>
      <c r="R67" s="49">
        <v>17.8</v>
      </c>
      <c r="S67" s="49">
        <v>140</v>
      </c>
      <c r="T67" s="50">
        <f t="shared" si="4"/>
        <v>22</v>
      </c>
      <c r="U67" s="49">
        <v>398</v>
      </c>
      <c r="V67" s="50">
        <f t="shared" si="5"/>
        <v>4378</v>
      </c>
      <c r="W67" s="49">
        <v>26</v>
      </c>
      <c r="X67" s="49" t="s">
        <v>51</v>
      </c>
      <c r="Y67" s="49" t="s">
        <v>67</v>
      </c>
      <c r="Z67" s="49" t="s">
        <v>101</v>
      </c>
      <c r="AA67" s="49" t="s">
        <v>128</v>
      </c>
      <c r="AB67" s="49" t="s">
        <v>145</v>
      </c>
    </row>
    <row r="68" spans="1:28" x14ac:dyDescent="0.15">
      <c r="A68" s="49" t="s">
        <v>61</v>
      </c>
      <c r="B68" s="49" t="s">
        <v>143</v>
      </c>
      <c r="C68" s="49">
        <v>2020</v>
      </c>
      <c r="D68" s="88" t="s">
        <v>414</v>
      </c>
      <c r="E68" s="49" t="s">
        <v>174</v>
      </c>
      <c r="F68" s="49" t="s">
        <v>175</v>
      </c>
      <c r="G68" s="49" t="s">
        <v>37</v>
      </c>
      <c r="H68" s="49" t="s">
        <v>47</v>
      </c>
      <c r="I68" s="49" t="s">
        <v>64</v>
      </c>
      <c r="J68" s="1" t="s">
        <v>115</v>
      </c>
      <c r="K68" s="1" t="s">
        <v>50</v>
      </c>
      <c r="L68" s="49">
        <v>1</v>
      </c>
      <c r="N68" s="49">
        <v>5</v>
      </c>
      <c r="O68" s="49">
        <v>0.55000000000000004</v>
      </c>
      <c r="P68" s="49">
        <v>0.5</v>
      </c>
      <c r="Q68" s="89">
        <f t="shared" si="3"/>
        <v>0.52500000000000002</v>
      </c>
      <c r="R68" s="49">
        <v>15.3</v>
      </c>
      <c r="S68" s="49">
        <v>92</v>
      </c>
      <c r="T68" s="50">
        <f t="shared" si="4"/>
        <v>36</v>
      </c>
      <c r="U68" s="49">
        <v>298</v>
      </c>
      <c r="V68" s="50">
        <f t="shared" si="5"/>
        <v>2145.6</v>
      </c>
      <c r="W68" s="49">
        <v>26</v>
      </c>
      <c r="X68" s="49" t="s">
        <v>51</v>
      </c>
      <c r="Y68" s="49" t="s">
        <v>67</v>
      </c>
      <c r="Z68" s="49" t="s">
        <v>101</v>
      </c>
      <c r="AA68" s="49" t="s">
        <v>128</v>
      </c>
      <c r="AB68" s="49" t="s">
        <v>145</v>
      </c>
    </row>
    <row r="69" spans="1:28" x14ac:dyDescent="0.15">
      <c r="A69" s="49" t="s">
        <v>61</v>
      </c>
      <c r="B69" s="49" t="s">
        <v>143</v>
      </c>
      <c r="C69" s="49">
        <v>2020</v>
      </c>
      <c r="D69" s="88" t="s">
        <v>414</v>
      </c>
      <c r="E69" s="49" t="s">
        <v>174</v>
      </c>
      <c r="F69" s="49" t="s">
        <v>175</v>
      </c>
      <c r="G69" s="49" t="s">
        <v>37</v>
      </c>
      <c r="H69" s="49" t="s">
        <v>47</v>
      </c>
      <c r="I69" s="49" t="s">
        <v>64</v>
      </c>
      <c r="J69" s="1" t="s">
        <v>115</v>
      </c>
      <c r="K69" s="1" t="s">
        <v>50</v>
      </c>
      <c r="L69" s="49">
        <v>2</v>
      </c>
      <c r="N69" s="49">
        <v>5</v>
      </c>
      <c r="O69" s="49">
        <v>0.55000000000000004</v>
      </c>
      <c r="P69" s="49">
        <v>0.25</v>
      </c>
      <c r="Q69" s="89">
        <f t="shared" si="3"/>
        <v>0.4</v>
      </c>
      <c r="R69" s="49">
        <v>15.2</v>
      </c>
      <c r="S69" s="49">
        <v>79</v>
      </c>
      <c r="T69" s="50">
        <f t="shared" si="4"/>
        <v>39</v>
      </c>
      <c r="U69" s="49">
        <v>298</v>
      </c>
      <c r="V69" s="50">
        <f t="shared" si="5"/>
        <v>2324.4</v>
      </c>
      <c r="W69" s="49">
        <v>26</v>
      </c>
      <c r="X69" s="49" t="s">
        <v>51</v>
      </c>
      <c r="Y69" s="49" t="s">
        <v>67</v>
      </c>
      <c r="Z69" s="49" t="s">
        <v>101</v>
      </c>
      <c r="AA69" s="49" t="s">
        <v>128</v>
      </c>
      <c r="AB69" s="49" t="s">
        <v>145</v>
      </c>
    </row>
    <row r="70" spans="1:28" x14ac:dyDescent="0.15">
      <c r="A70" s="49" t="s">
        <v>61</v>
      </c>
      <c r="B70" s="49" t="s">
        <v>143</v>
      </c>
      <c r="C70" s="49">
        <v>2020</v>
      </c>
      <c r="D70" s="88" t="s">
        <v>414</v>
      </c>
      <c r="E70" s="49" t="s">
        <v>174</v>
      </c>
      <c r="F70" s="49" t="s">
        <v>175</v>
      </c>
      <c r="G70" s="49" t="s">
        <v>37</v>
      </c>
      <c r="H70" s="49" t="s">
        <v>47</v>
      </c>
      <c r="I70" s="49" t="s">
        <v>64</v>
      </c>
      <c r="J70" s="1" t="s">
        <v>115</v>
      </c>
      <c r="K70" s="1" t="s">
        <v>50</v>
      </c>
      <c r="L70" s="49">
        <v>3</v>
      </c>
      <c r="N70" s="49">
        <v>5</v>
      </c>
      <c r="O70" s="49">
        <v>0.75</v>
      </c>
      <c r="P70" s="49">
        <v>0.75</v>
      </c>
      <c r="Q70" s="89">
        <f t="shared" si="3"/>
        <v>0.75</v>
      </c>
      <c r="R70" s="49">
        <v>14.4</v>
      </c>
      <c r="S70" s="49">
        <v>88</v>
      </c>
      <c r="T70" s="50">
        <f t="shared" si="4"/>
        <v>36</v>
      </c>
      <c r="U70" s="49">
        <v>298</v>
      </c>
      <c r="V70" s="50">
        <f t="shared" si="5"/>
        <v>2145.6</v>
      </c>
      <c r="W70" s="49">
        <v>26</v>
      </c>
      <c r="X70" s="49" t="s">
        <v>51</v>
      </c>
      <c r="Y70" s="49" t="s">
        <v>67</v>
      </c>
      <c r="Z70" s="49" t="s">
        <v>101</v>
      </c>
      <c r="AA70" s="49" t="s">
        <v>128</v>
      </c>
      <c r="AB70" s="49" t="s">
        <v>145</v>
      </c>
    </row>
    <row r="71" spans="1:28" x14ac:dyDescent="0.15">
      <c r="A71" s="49" t="s">
        <v>61</v>
      </c>
      <c r="B71" s="49" t="s">
        <v>143</v>
      </c>
      <c r="C71" s="49">
        <v>2020</v>
      </c>
      <c r="D71" s="88" t="s">
        <v>414</v>
      </c>
      <c r="E71" s="49" t="s">
        <v>176</v>
      </c>
      <c r="F71" s="49" t="s">
        <v>177</v>
      </c>
      <c r="G71" s="49" t="s">
        <v>37</v>
      </c>
      <c r="H71" s="49" t="s">
        <v>63</v>
      </c>
      <c r="I71" s="49" t="s">
        <v>64</v>
      </c>
      <c r="J71" s="1" t="s">
        <v>40</v>
      </c>
      <c r="K71" s="1" t="s">
        <v>41</v>
      </c>
      <c r="L71" s="49">
        <v>1</v>
      </c>
      <c r="N71" s="49">
        <v>1</v>
      </c>
      <c r="O71" s="49">
        <v>1.1000000000000001</v>
      </c>
      <c r="P71" s="49">
        <v>1.1000000000000001</v>
      </c>
      <c r="Q71" s="89">
        <f t="shared" si="3"/>
        <v>1.1000000000000001</v>
      </c>
      <c r="R71" s="49">
        <v>15.5</v>
      </c>
      <c r="S71" s="49">
        <v>144</v>
      </c>
      <c r="T71" s="50">
        <f t="shared" si="4"/>
        <v>22</v>
      </c>
      <c r="U71" s="49">
        <v>128</v>
      </c>
      <c r="V71" s="50">
        <f t="shared" si="5"/>
        <v>2816</v>
      </c>
      <c r="W71" s="49">
        <v>11</v>
      </c>
      <c r="X71" s="49" t="s">
        <v>51</v>
      </c>
      <c r="Y71" s="49" t="s">
        <v>101</v>
      </c>
      <c r="Z71" s="49" t="s">
        <v>67</v>
      </c>
      <c r="AA71" s="49" t="s">
        <v>52</v>
      </c>
      <c r="AB71" s="49" t="s">
        <v>145</v>
      </c>
    </row>
    <row r="72" spans="1:28" x14ac:dyDescent="0.15">
      <c r="A72" s="49" t="s">
        <v>61</v>
      </c>
      <c r="B72" s="49" t="s">
        <v>143</v>
      </c>
      <c r="C72" s="49">
        <v>2020</v>
      </c>
      <c r="D72" s="88" t="s">
        <v>414</v>
      </c>
      <c r="E72" s="49" t="s">
        <v>176</v>
      </c>
      <c r="F72" s="49" t="s">
        <v>177</v>
      </c>
      <c r="G72" s="49" t="s">
        <v>37</v>
      </c>
      <c r="H72" s="49" t="s">
        <v>63</v>
      </c>
      <c r="I72" s="49" t="s">
        <v>64</v>
      </c>
      <c r="J72" s="1" t="s">
        <v>40</v>
      </c>
      <c r="K72" s="1" t="s">
        <v>41</v>
      </c>
      <c r="L72" s="49">
        <v>2</v>
      </c>
      <c r="N72" s="49">
        <v>1</v>
      </c>
      <c r="O72" s="49">
        <v>1.05</v>
      </c>
      <c r="P72" s="49">
        <v>1.1000000000000001</v>
      </c>
      <c r="Q72" s="89">
        <f t="shared" si="3"/>
        <v>1.0750000000000002</v>
      </c>
      <c r="R72" s="49">
        <v>15.7</v>
      </c>
      <c r="S72" s="49">
        <v>144</v>
      </c>
      <c r="T72" s="50">
        <f t="shared" si="4"/>
        <v>22</v>
      </c>
      <c r="U72" s="49">
        <v>128</v>
      </c>
      <c r="V72" s="50">
        <f t="shared" si="5"/>
        <v>2816</v>
      </c>
      <c r="W72" s="49">
        <v>11</v>
      </c>
      <c r="X72" s="49" t="s">
        <v>51</v>
      </c>
      <c r="Y72" s="49" t="s">
        <v>101</v>
      </c>
      <c r="Z72" s="49" t="s">
        <v>67</v>
      </c>
      <c r="AA72" s="49" t="s">
        <v>52</v>
      </c>
      <c r="AB72" s="49" t="s">
        <v>145</v>
      </c>
    </row>
    <row r="73" spans="1:28" x14ac:dyDescent="0.15">
      <c r="A73" s="49" t="s">
        <v>61</v>
      </c>
      <c r="B73" s="49" t="s">
        <v>143</v>
      </c>
      <c r="C73" s="49">
        <v>2020</v>
      </c>
      <c r="D73" s="88" t="s">
        <v>414</v>
      </c>
      <c r="E73" s="49" t="s">
        <v>176</v>
      </c>
      <c r="F73" s="49" t="s">
        <v>177</v>
      </c>
      <c r="G73" s="49" t="s">
        <v>37</v>
      </c>
      <c r="H73" s="49" t="s">
        <v>63</v>
      </c>
      <c r="I73" s="49" t="s">
        <v>64</v>
      </c>
      <c r="J73" s="1" t="s">
        <v>40</v>
      </c>
      <c r="K73" s="1" t="s">
        <v>41</v>
      </c>
      <c r="L73" s="49">
        <v>3</v>
      </c>
      <c r="N73" s="49">
        <v>1</v>
      </c>
      <c r="O73" s="49">
        <v>1</v>
      </c>
      <c r="P73" s="49">
        <v>1</v>
      </c>
      <c r="Q73" s="89">
        <f t="shared" si="3"/>
        <v>1</v>
      </c>
      <c r="R73" s="49">
        <v>16.3</v>
      </c>
      <c r="S73" s="49">
        <v>150</v>
      </c>
      <c r="T73" s="50">
        <f t="shared" si="4"/>
        <v>22</v>
      </c>
      <c r="U73" s="49">
        <v>128</v>
      </c>
      <c r="V73" s="50">
        <f t="shared" si="5"/>
        <v>2816</v>
      </c>
      <c r="W73" s="49">
        <v>11</v>
      </c>
      <c r="X73" s="49" t="s">
        <v>51</v>
      </c>
      <c r="Y73" s="49" t="s">
        <v>101</v>
      </c>
      <c r="Z73" s="49" t="s">
        <v>67</v>
      </c>
      <c r="AA73" s="49" t="s">
        <v>52</v>
      </c>
      <c r="AB73" s="49" t="s">
        <v>145</v>
      </c>
    </row>
    <row r="74" spans="1:28" x14ac:dyDescent="0.15">
      <c r="A74" s="49" t="s">
        <v>61</v>
      </c>
      <c r="B74" s="49" t="s">
        <v>143</v>
      </c>
      <c r="C74" s="49">
        <v>2020</v>
      </c>
      <c r="D74" s="88" t="s">
        <v>414</v>
      </c>
      <c r="E74" s="49" t="s">
        <v>176</v>
      </c>
      <c r="F74" s="49" t="s">
        <v>177</v>
      </c>
      <c r="G74" s="49" t="s">
        <v>37</v>
      </c>
      <c r="H74" s="49" t="s">
        <v>63</v>
      </c>
      <c r="I74" s="49" t="s">
        <v>64</v>
      </c>
      <c r="J74" s="1" t="s">
        <v>40</v>
      </c>
      <c r="K74" s="1" t="s">
        <v>41</v>
      </c>
      <c r="L74" s="49">
        <v>1</v>
      </c>
      <c r="N74" s="49">
        <v>4</v>
      </c>
      <c r="O74" s="49">
        <v>1.05</v>
      </c>
      <c r="P74" s="49">
        <v>1</v>
      </c>
      <c r="Q74" s="89">
        <f t="shared" si="3"/>
        <v>1.0249999999999999</v>
      </c>
      <c r="R74" s="49">
        <v>13.5</v>
      </c>
      <c r="S74" s="49">
        <v>102</v>
      </c>
      <c r="T74" s="50">
        <f t="shared" si="4"/>
        <v>33</v>
      </c>
      <c r="U74" s="49">
        <v>398</v>
      </c>
      <c r="V74" s="50">
        <f t="shared" si="5"/>
        <v>3283.5</v>
      </c>
      <c r="W74" s="49">
        <v>11</v>
      </c>
      <c r="X74" s="49" t="s">
        <v>51</v>
      </c>
      <c r="Y74" s="49" t="s">
        <v>101</v>
      </c>
      <c r="Z74" s="49" t="s">
        <v>67</v>
      </c>
      <c r="AA74" s="49" t="s">
        <v>52</v>
      </c>
      <c r="AB74" s="49" t="s">
        <v>145</v>
      </c>
    </row>
    <row r="75" spans="1:28" x14ac:dyDescent="0.15">
      <c r="A75" s="49" t="s">
        <v>61</v>
      </c>
      <c r="B75" s="49" t="s">
        <v>143</v>
      </c>
      <c r="C75" s="49">
        <v>2020</v>
      </c>
      <c r="D75" s="88" t="s">
        <v>414</v>
      </c>
      <c r="E75" s="49" t="s">
        <v>176</v>
      </c>
      <c r="F75" s="49" t="s">
        <v>177</v>
      </c>
      <c r="G75" s="49" t="s">
        <v>37</v>
      </c>
      <c r="H75" s="49" t="s">
        <v>63</v>
      </c>
      <c r="I75" s="49" t="s">
        <v>64</v>
      </c>
      <c r="J75" s="1" t="s">
        <v>40</v>
      </c>
      <c r="K75" s="1" t="s">
        <v>41</v>
      </c>
      <c r="L75" s="49">
        <v>2</v>
      </c>
      <c r="N75" s="49">
        <v>4</v>
      </c>
      <c r="O75" s="49">
        <v>0.9</v>
      </c>
      <c r="P75" s="49">
        <v>0.95</v>
      </c>
      <c r="Q75" s="89">
        <f t="shared" si="3"/>
        <v>0.92500000000000004</v>
      </c>
      <c r="R75" s="49">
        <v>14.4</v>
      </c>
      <c r="S75" s="49">
        <v>108</v>
      </c>
      <c r="T75" s="50">
        <f t="shared" si="4"/>
        <v>33</v>
      </c>
      <c r="U75" s="49">
        <v>398</v>
      </c>
      <c r="V75" s="50">
        <f t="shared" si="5"/>
        <v>3283.5</v>
      </c>
      <c r="W75" s="49">
        <v>11</v>
      </c>
      <c r="X75" s="49" t="s">
        <v>51</v>
      </c>
      <c r="Y75" s="49" t="s">
        <v>101</v>
      </c>
      <c r="Z75" s="49" t="s">
        <v>67</v>
      </c>
      <c r="AA75" s="49" t="s">
        <v>52</v>
      </c>
      <c r="AB75" s="49" t="s">
        <v>145</v>
      </c>
    </row>
    <row r="76" spans="1:28" x14ac:dyDescent="0.15">
      <c r="A76" s="49" t="s">
        <v>61</v>
      </c>
      <c r="B76" s="49" t="s">
        <v>143</v>
      </c>
      <c r="C76" s="49">
        <v>2020</v>
      </c>
      <c r="D76" s="88" t="s">
        <v>414</v>
      </c>
      <c r="E76" s="49" t="s">
        <v>176</v>
      </c>
      <c r="F76" s="49" t="s">
        <v>177</v>
      </c>
      <c r="G76" s="49" t="s">
        <v>37</v>
      </c>
      <c r="H76" s="49" t="s">
        <v>63</v>
      </c>
      <c r="I76" s="49" t="s">
        <v>64</v>
      </c>
      <c r="J76" s="1" t="s">
        <v>40</v>
      </c>
      <c r="K76" s="1" t="s">
        <v>41</v>
      </c>
      <c r="L76" s="49">
        <v>3</v>
      </c>
      <c r="N76" s="49">
        <v>4</v>
      </c>
      <c r="O76" s="49">
        <v>0.95</v>
      </c>
      <c r="P76" s="49">
        <v>1</v>
      </c>
      <c r="Q76" s="89">
        <f t="shared" si="3"/>
        <v>0.97499999999999998</v>
      </c>
      <c r="R76" s="49">
        <v>13.8</v>
      </c>
      <c r="S76" s="49">
        <v>100</v>
      </c>
      <c r="T76" s="50">
        <f t="shared" si="4"/>
        <v>33</v>
      </c>
      <c r="U76" s="49">
        <v>398</v>
      </c>
      <c r="V76" s="50">
        <f t="shared" si="5"/>
        <v>3283.5</v>
      </c>
      <c r="W76" s="49">
        <v>11</v>
      </c>
      <c r="X76" s="49" t="s">
        <v>51</v>
      </c>
      <c r="Y76" s="49" t="s">
        <v>101</v>
      </c>
      <c r="Z76" s="49" t="s">
        <v>67</v>
      </c>
      <c r="AA76" s="49" t="s">
        <v>52</v>
      </c>
      <c r="AB76" s="49" t="s">
        <v>145</v>
      </c>
    </row>
    <row r="77" spans="1:28" x14ac:dyDescent="0.15">
      <c r="A77" s="49" t="s">
        <v>61</v>
      </c>
      <c r="B77" s="49" t="s">
        <v>143</v>
      </c>
      <c r="C77" s="49">
        <v>2020</v>
      </c>
      <c r="D77" s="88" t="s">
        <v>414</v>
      </c>
      <c r="E77" s="49" t="s">
        <v>176</v>
      </c>
      <c r="F77" s="49" t="s">
        <v>177</v>
      </c>
      <c r="G77" s="49" t="s">
        <v>37</v>
      </c>
      <c r="H77" s="49" t="s">
        <v>82</v>
      </c>
      <c r="I77" s="49" t="s">
        <v>64</v>
      </c>
      <c r="J77" s="1" t="s">
        <v>40</v>
      </c>
      <c r="K77" s="1" t="s">
        <v>41</v>
      </c>
      <c r="L77" s="49">
        <v>1</v>
      </c>
      <c r="N77" s="49">
        <v>1</v>
      </c>
      <c r="O77" s="49">
        <v>0.65</v>
      </c>
      <c r="P77" s="49">
        <v>0.65</v>
      </c>
      <c r="Q77" s="89">
        <f t="shared" si="3"/>
        <v>0.65</v>
      </c>
      <c r="R77" s="49">
        <v>17.399999999999999</v>
      </c>
      <c r="S77" s="49">
        <v>130</v>
      </c>
      <c r="T77" s="50">
        <f t="shared" si="4"/>
        <v>25</v>
      </c>
      <c r="U77" s="49">
        <v>138</v>
      </c>
      <c r="V77" s="50">
        <f t="shared" si="5"/>
        <v>3450</v>
      </c>
      <c r="W77" s="49">
        <v>11</v>
      </c>
      <c r="X77" s="49" t="s">
        <v>51</v>
      </c>
      <c r="Y77" s="49" t="s">
        <v>101</v>
      </c>
      <c r="Z77" s="49" t="s">
        <v>67</v>
      </c>
      <c r="AA77" s="49" t="s">
        <v>52</v>
      </c>
      <c r="AB77" s="49" t="s">
        <v>145</v>
      </c>
    </row>
    <row r="78" spans="1:28" x14ac:dyDescent="0.15">
      <c r="A78" s="49" t="s">
        <v>61</v>
      </c>
      <c r="B78" s="49" t="s">
        <v>143</v>
      </c>
      <c r="C78" s="49">
        <v>2020</v>
      </c>
      <c r="D78" s="88" t="s">
        <v>414</v>
      </c>
      <c r="E78" s="49" t="s">
        <v>176</v>
      </c>
      <c r="F78" s="49" t="s">
        <v>177</v>
      </c>
      <c r="G78" s="49" t="s">
        <v>37</v>
      </c>
      <c r="H78" s="49" t="s">
        <v>82</v>
      </c>
      <c r="I78" s="49" t="s">
        <v>64</v>
      </c>
      <c r="J78" s="1" t="s">
        <v>40</v>
      </c>
      <c r="K78" s="1" t="s">
        <v>41</v>
      </c>
      <c r="L78" s="49">
        <v>2</v>
      </c>
      <c r="N78" s="49">
        <v>1</v>
      </c>
      <c r="O78" s="49">
        <v>0.7</v>
      </c>
      <c r="P78" s="49">
        <v>0.75</v>
      </c>
      <c r="Q78" s="89">
        <f t="shared" si="3"/>
        <v>0.72499999999999998</v>
      </c>
      <c r="R78" s="49">
        <v>16.8</v>
      </c>
      <c r="S78" s="49">
        <v>130</v>
      </c>
      <c r="T78" s="50">
        <f t="shared" si="4"/>
        <v>25</v>
      </c>
      <c r="U78" s="49">
        <v>138</v>
      </c>
      <c r="V78" s="50">
        <f t="shared" si="5"/>
        <v>3450</v>
      </c>
      <c r="W78" s="49">
        <v>11</v>
      </c>
      <c r="X78" s="49" t="s">
        <v>51</v>
      </c>
      <c r="Y78" s="49" t="s">
        <v>101</v>
      </c>
      <c r="Z78" s="49" t="s">
        <v>67</v>
      </c>
      <c r="AA78" s="49" t="s">
        <v>52</v>
      </c>
      <c r="AB78" s="49" t="s">
        <v>145</v>
      </c>
    </row>
    <row r="79" spans="1:28" x14ac:dyDescent="0.15">
      <c r="A79" s="49" t="s">
        <v>61</v>
      </c>
      <c r="B79" s="49" t="s">
        <v>143</v>
      </c>
      <c r="C79" s="49">
        <v>2020</v>
      </c>
      <c r="D79" s="88" t="s">
        <v>414</v>
      </c>
      <c r="E79" s="49" t="s">
        <v>176</v>
      </c>
      <c r="F79" s="49" t="s">
        <v>177</v>
      </c>
      <c r="G79" s="49" t="s">
        <v>37</v>
      </c>
      <c r="H79" s="49" t="s">
        <v>82</v>
      </c>
      <c r="I79" s="49" t="s">
        <v>64</v>
      </c>
      <c r="J79" s="1" t="s">
        <v>40</v>
      </c>
      <c r="K79" s="1" t="s">
        <v>41</v>
      </c>
      <c r="L79" s="49">
        <v>3</v>
      </c>
      <c r="N79" s="49">
        <v>1</v>
      </c>
      <c r="O79" s="49">
        <v>0.8</v>
      </c>
      <c r="P79" s="49">
        <v>0.75</v>
      </c>
      <c r="Q79" s="89">
        <f t="shared" si="3"/>
        <v>0.77500000000000002</v>
      </c>
      <c r="R79" s="49">
        <v>17.2</v>
      </c>
      <c r="S79" s="49">
        <v>136</v>
      </c>
      <c r="T79" s="50">
        <f t="shared" si="4"/>
        <v>25</v>
      </c>
      <c r="U79" s="49">
        <v>138</v>
      </c>
      <c r="V79" s="50">
        <f t="shared" si="5"/>
        <v>3450</v>
      </c>
      <c r="W79" s="49">
        <v>11</v>
      </c>
      <c r="X79" s="49" t="s">
        <v>51</v>
      </c>
      <c r="Y79" s="49" t="s">
        <v>101</v>
      </c>
      <c r="Z79" s="49" t="s">
        <v>67</v>
      </c>
      <c r="AA79" s="49" t="s">
        <v>52</v>
      </c>
      <c r="AB79" s="49" t="s">
        <v>145</v>
      </c>
    </row>
    <row r="80" spans="1:28" x14ac:dyDescent="0.15">
      <c r="A80" s="49" t="s">
        <v>61</v>
      </c>
      <c r="B80" s="49" t="s">
        <v>143</v>
      </c>
      <c r="C80" s="49">
        <v>2020</v>
      </c>
      <c r="D80" s="88" t="s">
        <v>414</v>
      </c>
      <c r="E80" s="49" t="s">
        <v>176</v>
      </c>
      <c r="F80" s="49" t="s">
        <v>177</v>
      </c>
      <c r="G80" s="49" t="s">
        <v>37</v>
      </c>
      <c r="H80" s="49" t="s">
        <v>82</v>
      </c>
      <c r="I80" s="49" t="s">
        <v>64</v>
      </c>
      <c r="J80" s="1" t="s">
        <v>40</v>
      </c>
      <c r="K80" s="1" t="s">
        <v>41</v>
      </c>
      <c r="L80" s="49">
        <v>1</v>
      </c>
      <c r="N80" s="49">
        <v>2</v>
      </c>
      <c r="O80" s="49">
        <v>0.6</v>
      </c>
      <c r="P80" s="49">
        <v>0.55000000000000004</v>
      </c>
      <c r="Q80" s="89">
        <f t="shared" si="3"/>
        <v>0.57499999999999996</v>
      </c>
      <c r="R80" s="49">
        <v>17.399999999999999</v>
      </c>
      <c r="S80" s="49">
        <v>150</v>
      </c>
      <c r="T80" s="50">
        <f t="shared" si="4"/>
        <v>22</v>
      </c>
      <c r="U80" s="49">
        <v>498</v>
      </c>
      <c r="V80" s="50">
        <f t="shared" si="5"/>
        <v>5478</v>
      </c>
      <c r="W80" s="49">
        <v>11</v>
      </c>
      <c r="X80" s="49" t="s">
        <v>51</v>
      </c>
      <c r="Y80" s="49" t="s">
        <v>101</v>
      </c>
      <c r="Z80" s="49" t="s">
        <v>67</v>
      </c>
      <c r="AA80" s="49" t="s">
        <v>52</v>
      </c>
      <c r="AB80" s="49" t="s">
        <v>145</v>
      </c>
    </row>
    <row r="81" spans="1:28" x14ac:dyDescent="0.15">
      <c r="A81" s="49" t="s">
        <v>61</v>
      </c>
      <c r="B81" s="49" t="s">
        <v>143</v>
      </c>
      <c r="C81" s="49">
        <v>2020</v>
      </c>
      <c r="D81" s="88" t="s">
        <v>414</v>
      </c>
      <c r="E81" s="49" t="s">
        <v>176</v>
      </c>
      <c r="F81" s="49" t="s">
        <v>177</v>
      </c>
      <c r="G81" s="49" t="s">
        <v>37</v>
      </c>
      <c r="H81" s="49" t="s">
        <v>82</v>
      </c>
      <c r="I81" s="49" t="s">
        <v>64</v>
      </c>
      <c r="J81" s="1" t="s">
        <v>40</v>
      </c>
      <c r="K81" s="1" t="s">
        <v>41</v>
      </c>
      <c r="L81" s="49">
        <v>2</v>
      </c>
      <c r="N81" s="49">
        <v>2</v>
      </c>
      <c r="O81" s="49">
        <v>0.7</v>
      </c>
      <c r="P81" s="49">
        <v>0.75</v>
      </c>
      <c r="Q81" s="89">
        <f t="shared" si="3"/>
        <v>0.72499999999999998</v>
      </c>
      <c r="R81" s="49">
        <v>18.5</v>
      </c>
      <c r="S81" s="49">
        <v>172</v>
      </c>
      <c r="T81" s="50">
        <f t="shared" si="4"/>
        <v>18</v>
      </c>
      <c r="U81" s="49">
        <v>498</v>
      </c>
      <c r="V81" s="50">
        <f t="shared" si="5"/>
        <v>4482</v>
      </c>
      <c r="W81" s="49">
        <v>11</v>
      </c>
      <c r="X81" s="49" t="s">
        <v>51</v>
      </c>
      <c r="Y81" s="49" t="s">
        <v>101</v>
      </c>
      <c r="Z81" s="49" t="s">
        <v>67</v>
      </c>
      <c r="AA81" s="49" t="s">
        <v>52</v>
      </c>
      <c r="AB81" s="49" t="s">
        <v>145</v>
      </c>
    </row>
    <row r="82" spans="1:28" x14ac:dyDescent="0.15">
      <c r="A82" s="49" t="s">
        <v>61</v>
      </c>
      <c r="B82" s="49" t="s">
        <v>143</v>
      </c>
      <c r="C82" s="49">
        <v>2020</v>
      </c>
      <c r="D82" s="88" t="s">
        <v>414</v>
      </c>
      <c r="E82" s="49" t="s">
        <v>176</v>
      </c>
      <c r="F82" s="49" t="s">
        <v>177</v>
      </c>
      <c r="G82" s="49" t="s">
        <v>37</v>
      </c>
      <c r="H82" s="49" t="s">
        <v>82</v>
      </c>
      <c r="I82" s="49" t="s">
        <v>64</v>
      </c>
      <c r="J82" s="1" t="s">
        <v>40</v>
      </c>
      <c r="K82" s="1" t="s">
        <v>41</v>
      </c>
      <c r="L82" s="49">
        <v>3</v>
      </c>
      <c r="N82" s="49">
        <v>2</v>
      </c>
      <c r="O82" s="49">
        <v>0.65</v>
      </c>
      <c r="P82" s="49">
        <v>0.65</v>
      </c>
      <c r="Q82" s="89">
        <f t="shared" si="3"/>
        <v>0.65</v>
      </c>
      <c r="R82" s="49">
        <v>18.100000000000001</v>
      </c>
      <c r="S82" s="49">
        <v>158</v>
      </c>
      <c r="T82" s="50">
        <f t="shared" si="4"/>
        <v>18</v>
      </c>
      <c r="U82" s="49">
        <v>498</v>
      </c>
      <c r="V82" s="50">
        <f t="shared" si="5"/>
        <v>4482</v>
      </c>
      <c r="W82" s="49">
        <v>11</v>
      </c>
      <c r="X82" s="49" t="s">
        <v>51</v>
      </c>
      <c r="Y82" s="49" t="s">
        <v>101</v>
      </c>
      <c r="Z82" s="49" t="s">
        <v>67</v>
      </c>
      <c r="AA82" s="49" t="s">
        <v>52</v>
      </c>
      <c r="AB82" s="49" t="s">
        <v>145</v>
      </c>
    </row>
    <row r="83" spans="1:28" x14ac:dyDescent="0.15">
      <c r="A83" s="49" t="s">
        <v>61</v>
      </c>
      <c r="B83" s="49" t="s">
        <v>143</v>
      </c>
      <c r="C83" s="49">
        <v>2020</v>
      </c>
      <c r="D83" s="88" t="s">
        <v>414</v>
      </c>
      <c r="E83" s="49" t="s">
        <v>176</v>
      </c>
      <c r="F83" s="49" t="s">
        <v>177</v>
      </c>
      <c r="G83" s="49" t="s">
        <v>37</v>
      </c>
      <c r="H83" s="49" t="s">
        <v>82</v>
      </c>
      <c r="I83" s="49" t="s">
        <v>64</v>
      </c>
      <c r="J83" s="1" t="s">
        <v>40</v>
      </c>
      <c r="K83" s="1" t="s">
        <v>41</v>
      </c>
      <c r="L83" s="49">
        <v>1</v>
      </c>
      <c r="N83" s="49">
        <v>4</v>
      </c>
      <c r="O83" s="49">
        <v>0.25</v>
      </c>
      <c r="P83" s="49">
        <v>0.5</v>
      </c>
      <c r="Q83" s="89">
        <f t="shared" si="3"/>
        <v>0.375</v>
      </c>
      <c r="R83" s="49">
        <v>12.2</v>
      </c>
      <c r="S83" s="49">
        <v>90</v>
      </c>
      <c r="T83" s="50">
        <f t="shared" si="4"/>
        <v>36</v>
      </c>
      <c r="U83" s="49">
        <v>498</v>
      </c>
      <c r="V83" s="50">
        <f t="shared" si="5"/>
        <v>4482</v>
      </c>
      <c r="W83" s="49">
        <v>11</v>
      </c>
      <c r="X83" s="49" t="s">
        <v>51</v>
      </c>
      <c r="Y83" s="49" t="s">
        <v>101</v>
      </c>
      <c r="Z83" s="49" t="s">
        <v>67</v>
      </c>
      <c r="AA83" s="49" t="s">
        <v>52</v>
      </c>
      <c r="AB83" s="49" t="s">
        <v>145</v>
      </c>
    </row>
    <row r="84" spans="1:28" x14ac:dyDescent="0.15">
      <c r="A84" s="49" t="s">
        <v>61</v>
      </c>
      <c r="B84" s="49" t="s">
        <v>143</v>
      </c>
      <c r="C84" s="49">
        <v>2020</v>
      </c>
      <c r="D84" s="88" t="s">
        <v>414</v>
      </c>
      <c r="E84" s="49" t="s">
        <v>176</v>
      </c>
      <c r="F84" s="49" t="s">
        <v>177</v>
      </c>
      <c r="G84" s="49" t="s">
        <v>37</v>
      </c>
      <c r="H84" s="49" t="s">
        <v>82</v>
      </c>
      <c r="I84" s="49" t="s">
        <v>64</v>
      </c>
      <c r="J84" s="1" t="s">
        <v>40</v>
      </c>
      <c r="K84" s="1" t="s">
        <v>41</v>
      </c>
      <c r="L84" s="49">
        <v>2</v>
      </c>
      <c r="N84" s="49">
        <v>4</v>
      </c>
      <c r="O84" s="49">
        <v>0.7</v>
      </c>
      <c r="P84" s="49">
        <v>0.6</v>
      </c>
      <c r="Q84" s="89">
        <f t="shared" si="3"/>
        <v>0.64999999999999991</v>
      </c>
      <c r="R84" s="49">
        <v>17.7</v>
      </c>
      <c r="S84" s="49">
        <v>106</v>
      </c>
      <c r="T84" s="50">
        <f t="shared" si="4"/>
        <v>33</v>
      </c>
      <c r="U84" s="49">
        <v>498</v>
      </c>
      <c r="V84" s="50">
        <f t="shared" si="5"/>
        <v>4108.5</v>
      </c>
      <c r="W84" s="49">
        <v>11</v>
      </c>
      <c r="X84" s="49" t="s">
        <v>51</v>
      </c>
      <c r="Y84" s="49" t="s">
        <v>101</v>
      </c>
      <c r="Z84" s="49" t="s">
        <v>67</v>
      </c>
      <c r="AA84" s="49" t="s">
        <v>52</v>
      </c>
      <c r="AB84" s="49" t="s">
        <v>145</v>
      </c>
    </row>
    <row r="85" spans="1:28" x14ac:dyDescent="0.15">
      <c r="A85" s="49" t="s">
        <v>61</v>
      </c>
      <c r="B85" s="49" t="s">
        <v>143</v>
      </c>
      <c r="C85" s="49">
        <v>2020</v>
      </c>
      <c r="D85" s="88" t="s">
        <v>414</v>
      </c>
      <c r="E85" s="49" t="s">
        <v>176</v>
      </c>
      <c r="F85" s="49" t="s">
        <v>177</v>
      </c>
      <c r="G85" s="49" t="s">
        <v>37</v>
      </c>
      <c r="H85" s="49" t="s">
        <v>82</v>
      </c>
      <c r="I85" s="49" t="s">
        <v>64</v>
      </c>
      <c r="J85" s="1" t="s">
        <v>40</v>
      </c>
      <c r="K85" s="1" t="s">
        <v>41</v>
      </c>
      <c r="L85" s="49">
        <v>3</v>
      </c>
      <c r="N85" s="49">
        <v>4</v>
      </c>
      <c r="O85" s="49">
        <v>0.65</v>
      </c>
      <c r="P85" s="49">
        <v>0.65</v>
      </c>
      <c r="Q85" s="89">
        <f t="shared" si="3"/>
        <v>0.65</v>
      </c>
      <c r="R85" s="49">
        <v>18.5</v>
      </c>
      <c r="S85" s="49">
        <v>94</v>
      </c>
      <c r="T85" s="50">
        <f t="shared" si="4"/>
        <v>36</v>
      </c>
      <c r="U85" s="49">
        <v>498</v>
      </c>
      <c r="V85" s="50">
        <f t="shared" si="5"/>
        <v>4482</v>
      </c>
      <c r="W85" s="49">
        <v>11</v>
      </c>
      <c r="X85" s="49" t="s">
        <v>51</v>
      </c>
      <c r="Y85" s="49" t="s">
        <v>101</v>
      </c>
      <c r="Z85" s="49" t="s">
        <v>67</v>
      </c>
      <c r="AA85" s="49" t="s">
        <v>52</v>
      </c>
      <c r="AB85" s="49" t="s">
        <v>145</v>
      </c>
    </row>
    <row r="86" spans="1:28" x14ac:dyDescent="0.15">
      <c r="A86" s="49" t="s">
        <v>61</v>
      </c>
      <c r="B86" s="49" t="s">
        <v>143</v>
      </c>
      <c r="C86" s="49">
        <v>2020</v>
      </c>
      <c r="D86" s="88" t="s">
        <v>414</v>
      </c>
      <c r="E86" s="49" t="s">
        <v>81</v>
      </c>
      <c r="F86" s="49" t="s">
        <v>169</v>
      </c>
      <c r="G86" s="49" t="s">
        <v>37</v>
      </c>
      <c r="H86" s="49" t="s">
        <v>63</v>
      </c>
      <c r="I86" s="49" t="s">
        <v>64</v>
      </c>
      <c r="J86" s="1" t="s">
        <v>40</v>
      </c>
      <c r="K86" s="1" t="s">
        <v>41</v>
      </c>
      <c r="L86" s="49">
        <v>1</v>
      </c>
      <c r="N86" s="49">
        <v>8</v>
      </c>
      <c r="O86" s="49">
        <v>0.75</v>
      </c>
      <c r="P86" s="49">
        <v>0.75</v>
      </c>
      <c r="Q86" s="89">
        <f t="shared" si="3"/>
        <v>0.75</v>
      </c>
      <c r="R86" s="49">
        <v>14.7</v>
      </c>
      <c r="S86" s="49">
        <v>82</v>
      </c>
      <c r="T86" s="50">
        <f t="shared" si="4"/>
        <v>39</v>
      </c>
      <c r="U86" s="49">
        <v>447</v>
      </c>
      <c r="V86" s="50">
        <f t="shared" si="5"/>
        <v>2179.125</v>
      </c>
      <c r="W86" s="49">
        <v>28</v>
      </c>
      <c r="X86" s="49" t="s">
        <v>51</v>
      </c>
      <c r="Y86" s="49" t="s">
        <v>67</v>
      </c>
      <c r="Z86" s="49" t="s">
        <v>43</v>
      </c>
      <c r="AA86" s="49" t="s">
        <v>128</v>
      </c>
      <c r="AB86" s="49" t="s">
        <v>145</v>
      </c>
    </row>
    <row r="87" spans="1:28" x14ac:dyDescent="0.15">
      <c r="A87" s="49" t="s">
        <v>61</v>
      </c>
      <c r="B87" s="49" t="s">
        <v>143</v>
      </c>
      <c r="C87" s="49">
        <v>2020</v>
      </c>
      <c r="D87" s="88" t="s">
        <v>414</v>
      </c>
      <c r="E87" s="49" t="s">
        <v>81</v>
      </c>
      <c r="F87" s="49" t="s">
        <v>169</v>
      </c>
      <c r="G87" s="49" t="s">
        <v>37</v>
      </c>
      <c r="H87" s="49" t="s">
        <v>63</v>
      </c>
      <c r="I87" s="49" t="s">
        <v>64</v>
      </c>
      <c r="J87" s="1" t="s">
        <v>40</v>
      </c>
      <c r="K87" s="1" t="s">
        <v>41</v>
      </c>
      <c r="L87" s="49">
        <v>2</v>
      </c>
      <c r="N87" s="49">
        <v>8</v>
      </c>
      <c r="O87" s="49">
        <v>0.7</v>
      </c>
      <c r="P87" s="49">
        <v>0.75</v>
      </c>
      <c r="Q87" s="89">
        <f t="shared" si="3"/>
        <v>0.72499999999999998</v>
      </c>
      <c r="R87" s="49">
        <v>13.5</v>
      </c>
      <c r="S87" s="49">
        <v>83</v>
      </c>
      <c r="T87" s="50">
        <f t="shared" si="4"/>
        <v>39</v>
      </c>
      <c r="U87" s="49">
        <v>447</v>
      </c>
      <c r="V87" s="50">
        <f t="shared" si="5"/>
        <v>2179.125</v>
      </c>
      <c r="W87" s="49">
        <v>28</v>
      </c>
      <c r="X87" s="49" t="s">
        <v>51</v>
      </c>
      <c r="Y87" s="49" t="s">
        <v>67</v>
      </c>
      <c r="Z87" s="49" t="s">
        <v>43</v>
      </c>
      <c r="AA87" s="49" t="s">
        <v>128</v>
      </c>
      <c r="AB87" s="49" t="s">
        <v>145</v>
      </c>
    </row>
    <row r="88" spans="1:28" x14ac:dyDescent="0.15">
      <c r="A88" s="49" t="s">
        <v>61</v>
      </c>
      <c r="B88" s="49" t="s">
        <v>143</v>
      </c>
      <c r="C88" s="49">
        <v>2020</v>
      </c>
      <c r="D88" s="88" t="s">
        <v>414</v>
      </c>
      <c r="E88" s="49" t="s">
        <v>81</v>
      </c>
      <c r="F88" s="49" t="s">
        <v>169</v>
      </c>
      <c r="G88" s="49" t="s">
        <v>37</v>
      </c>
      <c r="H88" s="49" t="s">
        <v>63</v>
      </c>
      <c r="I88" s="49" t="s">
        <v>64</v>
      </c>
      <c r="J88" s="1" t="s">
        <v>40</v>
      </c>
      <c r="K88" s="1" t="s">
        <v>41</v>
      </c>
      <c r="L88" s="49">
        <v>3</v>
      </c>
      <c r="N88" s="49">
        <v>8</v>
      </c>
      <c r="O88" s="49">
        <v>0.25</v>
      </c>
      <c r="P88" s="49">
        <v>0.25</v>
      </c>
      <c r="Q88" s="89">
        <f t="shared" si="3"/>
        <v>0.25</v>
      </c>
      <c r="R88" s="49">
        <v>12.9</v>
      </c>
      <c r="S88" s="49">
        <v>88</v>
      </c>
      <c r="T88" s="50">
        <f t="shared" si="4"/>
        <v>36</v>
      </c>
      <c r="U88" s="49">
        <v>447</v>
      </c>
      <c r="V88" s="50">
        <f t="shared" si="5"/>
        <v>2011.5</v>
      </c>
      <c r="W88" s="49">
        <v>28</v>
      </c>
      <c r="X88" s="49" t="s">
        <v>51</v>
      </c>
      <c r="Y88" s="49" t="s">
        <v>67</v>
      </c>
      <c r="Z88" s="49" t="s">
        <v>43</v>
      </c>
      <c r="AA88" s="49" t="s">
        <v>128</v>
      </c>
      <c r="AB88" s="49" t="s">
        <v>145</v>
      </c>
    </row>
    <row r="89" spans="1:28" x14ac:dyDescent="0.15">
      <c r="A89" s="49" t="s">
        <v>61</v>
      </c>
      <c r="B89" s="49" t="s">
        <v>143</v>
      </c>
      <c r="C89" s="49">
        <v>2020</v>
      </c>
      <c r="D89" s="88" t="s">
        <v>414</v>
      </c>
      <c r="E89" s="49" t="s">
        <v>81</v>
      </c>
      <c r="F89" s="49" t="s">
        <v>169</v>
      </c>
      <c r="G89" s="49" t="s">
        <v>37</v>
      </c>
      <c r="H89" s="49" t="s">
        <v>82</v>
      </c>
      <c r="I89" s="49" t="s">
        <v>64</v>
      </c>
      <c r="J89" s="1" t="s">
        <v>40</v>
      </c>
      <c r="K89" s="1" t="s">
        <v>41</v>
      </c>
      <c r="L89" s="49">
        <v>1</v>
      </c>
      <c r="N89" s="49">
        <v>1</v>
      </c>
      <c r="O89" s="49">
        <v>0.7</v>
      </c>
      <c r="P89" s="49">
        <v>0.75</v>
      </c>
      <c r="Q89" s="89">
        <f t="shared" si="3"/>
        <v>0.72499999999999998</v>
      </c>
      <c r="R89" s="49">
        <v>16.899999999999999</v>
      </c>
      <c r="S89" s="49">
        <v>130</v>
      </c>
      <c r="T89" s="50">
        <f t="shared" si="4"/>
        <v>25</v>
      </c>
      <c r="U89" s="49">
        <v>127</v>
      </c>
      <c r="V89" s="50">
        <f t="shared" si="5"/>
        <v>3175</v>
      </c>
      <c r="W89" s="49">
        <v>28</v>
      </c>
      <c r="X89" s="49" t="s">
        <v>51</v>
      </c>
      <c r="Y89" s="49" t="s">
        <v>67</v>
      </c>
      <c r="Z89" s="49" t="s">
        <v>43</v>
      </c>
      <c r="AA89" s="49" t="s">
        <v>128</v>
      </c>
      <c r="AB89" s="49" t="s">
        <v>145</v>
      </c>
    </row>
    <row r="90" spans="1:28" x14ac:dyDescent="0.15">
      <c r="A90" s="49" t="s">
        <v>61</v>
      </c>
      <c r="B90" s="49" t="s">
        <v>143</v>
      </c>
      <c r="C90" s="49">
        <v>2020</v>
      </c>
      <c r="D90" s="88" t="s">
        <v>414</v>
      </c>
      <c r="E90" s="49" t="s">
        <v>81</v>
      </c>
      <c r="F90" s="49" t="s">
        <v>169</v>
      </c>
      <c r="G90" s="49" t="s">
        <v>37</v>
      </c>
      <c r="H90" s="49" t="s">
        <v>82</v>
      </c>
      <c r="I90" s="49" t="s">
        <v>64</v>
      </c>
      <c r="J90" s="1" t="s">
        <v>40</v>
      </c>
      <c r="K90" s="1" t="s">
        <v>41</v>
      </c>
      <c r="L90" s="49">
        <v>2</v>
      </c>
      <c r="N90" s="49">
        <v>1</v>
      </c>
      <c r="O90" s="49">
        <v>0.85</v>
      </c>
      <c r="P90" s="49">
        <v>0.85</v>
      </c>
      <c r="Q90" s="89">
        <f t="shared" si="3"/>
        <v>0.85</v>
      </c>
      <c r="R90" s="49">
        <v>16.7</v>
      </c>
      <c r="S90" s="49">
        <v>134</v>
      </c>
      <c r="T90" s="50">
        <f t="shared" si="4"/>
        <v>25</v>
      </c>
      <c r="U90" s="49">
        <v>127</v>
      </c>
      <c r="V90" s="50">
        <f t="shared" si="5"/>
        <v>3175</v>
      </c>
      <c r="W90" s="49">
        <v>28</v>
      </c>
      <c r="X90" s="49" t="s">
        <v>51</v>
      </c>
      <c r="Y90" s="49" t="s">
        <v>67</v>
      </c>
      <c r="Z90" s="49" t="s">
        <v>43</v>
      </c>
      <c r="AA90" s="49" t="s">
        <v>128</v>
      </c>
      <c r="AB90" s="49" t="s">
        <v>145</v>
      </c>
    </row>
    <row r="91" spans="1:28" x14ac:dyDescent="0.15">
      <c r="A91" s="49" t="s">
        <v>61</v>
      </c>
      <c r="B91" s="49" t="s">
        <v>143</v>
      </c>
      <c r="C91" s="49">
        <v>2020</v>
      </c>
      <c r="D91" s="88" t="s">
        <v>414</v>
      </c>
      <c r="E91" s="49" t="s">
        <v>81</v>
      </c>
      <c r="F91" s="49" t="s">
        <v>169</v>
      </c>
      <c r="G91" s="49" t="s">
        <v>37</v>
      </c>
      <c r="H91" s="49" t="s">
        <v>82</v>
      </c>
      <c r="I91" s="49" t="s">
        <v>64</v>
      </c>
      <c r="J91" s="1" t="s">
        <v>40</v>
      </c>
      <c r="K91" s="1" t="s">
        <v>41</v>
      </c>
      <c r="L91" s="49">
        <v>3</v>
      </c>
      <c r="N91" s="49">
        <v>1</v>
      </c>
      <c r="O91" s="49">
        <v>0.85</v>
      </c>
      <c r="P91" s="49">
        <v>0.75</v>
      </c>
      <c r="Q91" s="89">
        <f t="shared" si="3"/>
        <v>0.8</v>
      </c>
      <c r="R91" s="49">
        <v>16.5</v>
      </c>
      <c r="S91" s="49">
        <v>126</v>
      </c>
      <c r="T91" s="50">
        <f t="shared" si="4"/>
        <v>27</v>
      </c>
      <c r="U91" s="49">
        <v>127</v>
      </c>
      <c r="V91" s="50">
        <f t="shared" si="5"/>
        <v>3429</v>
      </c>
      <c r="W91" s="49">
        <v>28</v>
      </c>
      <c r="X91" s="49" t="s">
        <v>51</v>
      </c>
      <c r="Y91" s="49" t="s">
        <v>67</v>
      </c>
      <c r="Z91" s="49" t="s">
        <v>43</v>
      </c>
      <c r="AA91" s="49" t="s">
        <v>128</v>
      </c>
      <c r="AB91" s="49" t="s">
        <v>145</v>
      </c>
    </row>
    <row r="92" spans="1:28" x14ac:dyDescent="0.15">
      <c r="A92" s="49" t="s">
        <v>61</v>
      </c>
      <c r="B92" s="49" t="s">
        <v>143</v>
      </c>
      <c r="C92" s="49">
        <v>2020</v>
      </c>
      <c r="D92" s="88" t="s">
        <v>414</v>
      </c>
      <c r="E92" s="49" t="s">
        <v>81</v>
      </c>
      <c r="F92" s="49" t="s">
        <v>169</v>
      </c>
      <c r="G92" s="49" t="s">
        <v>37</v>
      </c>
      <c r="H92" s="49" t="s">
        <v>82</v>
      </c>
      <c r="I92" s="49" t="s">
        <v>64</v>
      </c>
      <c r="J92" s="1" t="s">
        <v>40</v>
      </c>
      <c r="K92" s="1" t="s">
        <v>41</v>
      </c>
      <c r="L92" s="49">
        <v>1</v>
      </c>
      <c r="N92" s="49">
        <v>4</v>
      </c>
      <c r="O92" s="49">
        <v>0.75</v>
      </c>
      <c r="P92" s="49">
        <v>0.75</v>
      </c>
      <c r="Q92" s="89">
        <f t="shared" si="3"/>
        <v>0.75</v>
      </c>
      <c r="R92" s="49">
        <v>15.7</v>
      </c>
      <c r="S92" s="49">
        <v>86</v>
      </c>
      <c r="T92" s="50">
        <f t="shared" si="4"/>
        <v>36</v>
      </c>
      <c r="U92" s="49">
        <v>447</v>
      </c>
      <c r="V92" s="50">
        <f t="shared" si="5"/>
        <v>4023</v>
      </c>
      <c r="W92" s="49">
        <v>28</v>
      </c>
      <c r="X92" s="49" t="s">
        <v>51</v>
      </c>
      <c r="Y92" s="49" t="s">
        <v>67</v>
      </c>
      <c r="Z92" s="49" t="s">
        <v>43</v>
      </c>
      <c r="AA92" s="49" t="s">
        <v>128</v>
      </c>
      <c r="AB92" s="49" t="s">
        <v>145</v>
      </c>
    </row>
    <row r="93" spans="1:28" x14ac:dyDescent="0.15">
      <c r="A93" s="49" t="s">
        <v>61</v>
      </c>
      <c r="B93" s="49" t="s">
        <v>143</v>
      </c>
      <c r="C93" s="49">
        <v>2020</v>
      </c>
      <c r="D93" s="88" t="s">
        <v>414</v>
      </c>
      <c r="E93" s="49" t="s">
        <v>81</v>
      </c>
      <c r="F93" s="49" t="s">
        <v>169</v>
      </c>
      <c r="G93" s="49" t="s">
        <v>37</v>
      </c>
      <c r="H93" s="49" t="s">
        <v>82</v>
      </c>
      <c r="I93" s="49" t="s">
        <v>64</v>
      </c>
      <c r="J93" s="1" t="s">
        <v>40</v>
      </c>
      <c r="K93" s="1" t="s">
        <v>41</v>
      </c>
      <c r="L93" s="49">
        <v>2</v>
      </c>
      <c r="N93" s="49">
        <v>4</v>
      </c>
      <c r="O93" s="49">
        <v>0.8</v>
      </c>
      <c r="P93" s="49">
        <v>0.7</v>
      </c>
      <c r="Q93" s="89">
        <f t="shared" si="3"/>
        <v>0.75</v>
      </c>
      <c r="R93" s="49">
        <v>16</v>
      </c>
      <c r="S93" s="49">
        <v>87</v>
      </c>
      <c r="T93" s="50">
        <f t="shared" si="4"/>
        <v>36</v>
      </c>
      <c r="U93" s="49">
        <v>447</v>
      </c>
      <c r="V93" s="50">
        <f t="shared" si="5"/>
        <v>4023</v>
      </c>
      <c r="W93" s="49">
        <v>28</v>
      </c>
      <c r="X93" s="49" t="s">
        <v>51</v>
      </c>
      <c r="Y93" s="49" t="s">
        <v>67</v>
      </c>
      <c r="Z93" s="49" t="s">
        <v>43</v>
      </c>
      <c r="AA93" s="49" t="s">
        <v>128</v>
      </c>
      <c r="AB93" s="49" t="s">
        <v>145</v>
      </c>
    </row>
    <row r="94" spans="1:28" x14ac:dyDescent="0.15">
      <c r="A94" s="49" t="s">
        <v>61</v>
      </c>
      <c r="B94" s="49" t="s">
        <v>143</v>
      </c>
      <c r="C94" s="49">
        <v>2020</v>
      </c>
      <c r="D94" s="88" t="s">
        <v>414</v>
      </c>
      <c r="E94" s="49" t="s">
        <v>81</v>
      </c>
      <c r="F94" s="49" t="s">
        <v>169</v>
      </c>
      <c r="G94" s="49" t="s">
        <v>37</v>
      </c>
      <c r="H94" s="49" t="s">
        <v>82</v>
      </c>
      <c r="I94" s="49" t="s">
        <v>64</v>
      </c>
      <c r="J94" s="1" t="s">
        <v>40</v>
      </c>
      <c r="K94" s="1" t="s">
        <v>41</v>
      </c>
      <c r="L94" s="49">
        <v>3</v>
      </c>
      <c r="N94" s="49">
        <v>4</v>
      </c>
      <c r="O94" s="49">
        <v>0.75</v>
      </c>
      <c r="P94" s="49">
        <v>0.7</v>
      </c>
      <c r="Q94" s="89">
        <f t="shared" si="3"/>
        <v>0.72499999999999998</v>
      </c>
      <c r="R94" s="49">
        <v>16.399999999999999</v>
      </c>
      <c r="S94" s="49">
        <v>93</v>
      </c>
      <c r="T94" s="50">
        <f t="shared" si="4"/>
        <v>36</v>
      </c>
      <c r="U94" s="49">
        <v>447</v>
      </c>
      <c r="V94" s="50">
        <f t="shared" si="5"/>
        <v>4023</v>
      </c>
      <c r="W94" s="49">
        <v>28</v>
      </c>
      <c r="X94" s="49" t="s">
        <v>51</v>
      </c>
      <c r="Y94" s="49" t="s">
        <v>67</v>
      </c>
      <c r="Z94" s="49" t="s">
        <v>43</v>
      </c>
      <c r="AA94" s="49" t="s">
        <v>128</v>
      </c>
      <c r="AB94" s="49" t="s">
        <v>145</v>
      </c>
    </row>
    <row r="95" spans="1:28" x14ac:dyDescent="0.15">
      <c r="A95" s="49" t="s">
        <v>61</v>
      </c>
      <c r="B95" s="49" t="s">
        <v>143</v>
      </c>
      <c r="C95" s="49">
        <v>2020</v>
      </c>
      <c r="D95" s="88" t="s">
        <v>414</v>
      </c>
      <c r="E95" s="49" t="s">
        <v>178</v>
      </c>
      <c r="F95" s="49" t="s">
        <v>169</v>
      </c>
      <c r="G95" s="49" t="s">
        <v>37</v>
      </c>
      <c r="H95" s="49" t="s">
        <v>63</v>
      </c>
      <c r="I95" s="49" t="s">
        <v>64</v>
      </c>
      <c r="J95" s="1" t="s">
        <v>40</v>
      </c>
      <c r="K95" s="1" t="s">
        <v>41</v>
      </c>
      <c r="L95" s="49">
        <v>1</v>
      </c>
      <c r="N95" s="49">
        <v>1</v>
      </c>
      <c r="O95" s="49">
        <v>1</v>
      </c>
      <c r="P95" s="49">
        <v>0.95</v>
      </c>
      <c r="Q95" s="89">
        <f t="shared" si="3"/>
        <v>0.97499999999999998</v>
      </c>
      <c r="R95" s="49">
        <v>16.899999999999999</v>
      </c>
      <c r="S95" s="49">
        <v>150</v>
      </c>
      <c r="T95" s="50">
        <f t="shared" si="4"/>
        <v>22</v>
      </c>
      <c r="U95" s="49">
        <v>128</v>
      </c>
      <c r="V95" s="50">
        <f t="shared" si="5"/>
        <v>2816</v>
      </c>
      <c r="W95" s="49">
        <v>16</v>
      </c>
      <c r="X95" s="49" t="s">
        <v>51</v>
      </c>
      <c r="Y95" s="49" t="s">
        <v>101</v>
      </c>
      <c r="Z95" s="49" t="s">
        <v>67</v>
      </c>
      <c r="AA95" s="49" t="s">
        <v>85</v>
      </c>
      <c r="AB95" s="49" t="s">
        <v>145</v>
      </c>
    </row>
    <row r="96" spans="1:28" x14ac:dyDescent="0.15">
      <c r="A96" s="49" t="s">
        <v>61</v>
      </c>
      <c r="B96" s="49" t="s">
        <v>143</v>
      </c>
      <c r="C96" s="49">
        <v>2020</v>
      </c>
      <c r="D96" s="88" t="s">
        <v>414</v>
      </c>
      <c r="E96" s="49" t="s">
        <v>178</v>
      </c>
      <c r="F96" s="49" t="s">
        <v>169</v>
      </c>
      <c r="G96" s="49" t="s">
        <v>37</v>
      </c>
      <c r="H96" s="49" t="s">
        <v>63</v>
      </c>
      <c r="I96" s="49" t="s">
        <v>64</v>
      </c>
      <c r="J96" s="1" t="s">
        <v>40</v>
      </c>
      <c r="K96" s="1" t="s">
        <v>41</v>
      </c>
      <c r="L96" s="49">
        <v>2</v>
      </c>
      <c r="N96" s="49">
        <v>1</v>
      </c>
      <c r="O96" s="49">
        <v>0.9</v>
      </c>
      <c r="P96" s="49">
        <v>1</v>
      </c>
      <c r="Q96" s="89">
        <f t="shared" si="3"/>
        <v>0.95</v>
      </c>
      <c r="R96" s="49">
        <v>15.9</v>
      </c>
      <c r="S96" s="49">
        <v>140</v>
      </c>
      <c r="T96" s="50">
        <f t="shared" si="4"/>
        <v>22</v>
      </c>
      <c r="U96" s="49">
        <v>128</v>
      </c>
      <c r="V96" s="50">
        <f t="shared" si="5"/>
        <v>2816</v>
      </c>
      <c r="W96" s="49">
        <v>16</v>
      </c>
      <c r="X96" s="49" t="s">
        <v>51</v>
      </c>
      <c r="Y96" s="49" t="s">
        <v>101</v>
      </c>
      <c r="Z96" s="49" t="s">
        <v>67</v>
      </c>
      <c r="AA96" s="49" t="s">
        <v>85</v>
      </c>
      <c r="AB96" s="49" t="s">
        <v>145</v>
      </c>
    </row>
    <row r="97" spans="1:28" x14ac:dyDescent="0.15">
      <c r="A97" s="49" t="s">
        <v>61</v>
      </c>
      <c r="B97" s="49" t="s">
        <v>143</v>
      </c>
      <c r="C97" s="49">
        <v>2020</v>
      </c>
      <c r="D97" s="88" t="s">
        <v>414</v>
      </c>
      <c r="E97" s="49" t="s">
        <v>178</v>
      </c>
      <c r="F97" s="49" t="s">
        <v>169</v>
      </c>
      <c r="G97" s="49" t="s">
        <v>37</v>
      </c>
      <c r="H97" s="49" t="s">
        <v>63</v>
      </c>
      <c r="I97" s="49" t="s">
        <v>64</v>
      </c>
      <c r="J97" s="1" t="s">
        <v>40</v>
      </c>
      <c r="K97" s="1" t="s">
        <v>41</v>
      </c>
      <c r="L97" s="49">
        <v>3</v>
      </c>
      <c r="N97" s="49">
        <v>1</v>
      </c>
      <c r="O97" s="49">
        <v>0.95</v>
      </c>
      <c r="P97" s="49">
        <v>0.85</v>
      </c>
      <c r="Q97" s="89">
        <f t="shared" si="3"/>
        <v>0.89999999999999991</v>
      </c>
      <c r="R97" s="49">
        <v>16.600000000000001</v>
      </c>
      <c r="S97" s="49">
        <v>144</v>
      </c>
      <c r="T97" s="50">
        <f t="shared" si="4"/>
        <v>22</v>
      </c>
      <c r="U97" s="49">
        <v>128</v>
      </c>
      <c r="V97" s="50">
        <f t="shared" si="5"/>
        <v>2816</v>
      </c>
      <c r="W97" s="49">
        <v>16</v>
      </c>
      <c r="X97" s="49" t="s">
        <v>51</v>
      </c>
      <c r="Y97" s="49" t="s">
        <v>101</v>
      </c>
      <c r="Z97" s="49" t="s">
        <v>67</v>
      </c>
      <c r="AA97" s="49" t="s">
        <v>85</v>
      </c>
      <c r="AB97" s="49" t="s">
        <v>145</v>
      </c>
    </row>
    <row r="98" spans="1:28" x14ac:dyDescent="0.15">
      <c r="A98" s="49" t="s">
        <v>61</v>
      </c>
      <c r="B98" s="49" t="s">
        <v>143</v>
      </c>
      <c r="C98" s="49">
        <v>2020</v>
      </c>
      <c r="D98" s="88" t="s">
        <v>414</v>
      </c>
      <c r="E98" s="49" t="s">
        <v>178</v>
      </c>
      <c r="F98" s="49" t="s">
        <v>169</v>
      </c>
      <c r="G98" s="49" t="s">
        <v>37</v>
      </c>
      <c r="H98" s="49" t="s">
        <v>77</v>
      </c>
      <c r="I98" s="49" t="s">
        <v>64</v>
      </c>
      <c r="J98" s="1" t="s">
        <v>40</v>
      </c>
      <c r="K98" s="1" t="s">
        <v>41</v>
      </c>
      <c r="L98" s="49">
        <v>1</v>
      </c>
      <c r="N98" s="49">
        <v>5</v>
      </c>
      <c r="O98" s="49">
        <v>0.8</v>
      </c>
      <c r="P98" s="49">
        <v>0.8</v>
      </c>
      <c r="Q98" s="89">
        <f t="shared" si="3"/>
        <v>0.8</v>
      </c>
      <c r="R98" s="49">
        <v>18.5</v>
      </c>
      <c r="S98" s="49">
        <v>91</v>
      </c>
      <c r="T98" s="50">
        <f t="shared" si="4"/>
        <v>36</v>
      </c>
      <c r="U98" s="49">
        <v>298</v>
      </c>
      <c r="V98" s="50">
        <f t="shared" si="5"/>
        <v>2145.6</v>
      </c>
      <c r="W98" s="49">
        <v>16</v>
      </c>
      <c r="X98" s="49" t="s">
        <v>51</v>
      </c>
      <c r="Y98" s="49" t="s">
        <v>101</v>
      </c>
      <c r="Z98" s="49" t="s">
        <v>67</v>
      </c>
      <c r="AA98" s="49" t="s">
        <v>85</v>
      </c>
      <c r="AB98" s="49" t="s">
        <v>145</v>
      </c>
    </row>
    <row r="99" spans="1:28" x14ac:dyDescent="0.15">
      <c r="A99" s="49" t="s">
        <v>61</v>
      </c>
      <c r="B99" s="49" t="s">
        <v>143</v>
      </c>
      <c r="C99" s="49">
        <v>2020</v>
      </c>
      <c r="D99" s="88" t="s">
        <v>414</v>
      </c>
      <c r="E99" s="49" t="s">
        <v>178</v>
      </c>
      <c r="F99" s="49" t="s">
        <v>169</v>
      </c>
      <c r="G99" s="49" t="s">
        <v>37</v>
      </c>
      <c r="H99" s="49" t="s">
        <v>77</v>
      </c>
      <c r="I99" s="49" t="s">
        <v>64</v>
      </c>
      <c r="J99" s="1" t="s">
        <v>40</v>
      </c>
      <c r="K99" s="1" t="s">
        <v>41</v>
      </c>
      <c r="L99" s="49">
        <v>2</v>
      </c>
      <c r="N99" s="49">
        <v>5</v>
      </c>
      <c r="O99" s="49">
        <v>0.85</v>
      </c>
      <c r="P99" s="49">
        <v>0.9</v>
      </c>
      <c r="Q99" s="89">
        <f t="shared" si="3"/>
        <v>0.875</v>
      </c>
      <c r="R99" s="49">
        <v>17.7</v>
      </c>
      <c r="S99" s="49">
        <v>82</v>
      </c>
      <c r="T99" s="50">
        <f t="shared" si="4"/>
        <v>39</v>
      </c>
      <c r="U99" s="49">
        <v>298</v>
      </c>
      <c r="V99" s="50">
        <f t="shared" si="5"/>
        <v>2324.4</v>
      </c>
      <c r="W99" s="49">
        <v>16</v>
      </c>
      <c r="X99" s="49" t="s">
        <v>51</v>
      </c>
      <c r="Y99" s="49" t="s">
        <v>101</v>
      </c>
      <c r="Z99" s="49" t="s">
        <v>67</v>
      </c>
      <c r="AA99" s="49" t="s">
        <v>85</v>
      </c>
      <c r="AB99" s="49" t="s">
        <v>145</v>
      </c>
    </row>
    <row r="100" spans="1:28" x14ac:dyDescent="0.15">
      <c r="A100" s="49" t="s">
        <v>61</v>
      </c>
      <c r="B100" s="49" t="s">
        <v>143</v>
      </c>
      <c r="C100" s="49">
        <v>2020</v>
      </c>
      <c r="D100" s="88" t="s">
        <v>414</v>
      </c>
      <c r="E100" s="49" t="s">
        <v>178</v>
      </c>
      <c r="F100" s="49" t="s">
        <v>169</v>
      </c>
      <c r="G100" s="49" t="s">
        <v>37</v>
      </c>
      <c r="H100" s="49" t="s">
        <v>77</v>
      </c>
      <c r="I100" s="49" t="s">
        <v>64</v>
      </c>
      <c r="J100" s="1" t="s">
        <v>40</v>
      </c>
      <c r="K100" s="1" t="s">
        <v>41</v>
      </c>
      <c r="L100" s="49">
        <v>3</v>
      </c>
      <c r="N100" s="49">
        <v>5</v>
      </c>
      <c r="O100" s="49">
        <v>0.9</v>
      </c>
      <c r="P100" s="49">
        <v>0.9</v>
      </c>
      <c r="Q100" s="89">
        <f t="shared" si="3"/>
        <v>0.9</v>
      </c>
      <c r="R100" s="49">
        <v>17.399999999999999</v>
      </c>
      <c r="S100" s="49">
        <v>79</v>
      </c>
      <c r="T100" s="50">
        <f t="shared" si="4"/>
        <v>39</v>
      </c>
      <c r="U100" s="49">
        <v>298</v>
      </c>
      <c r="V100" s="50">
        <f t="shared" si="5"/>
        <v>2324.4</v>
      </c>
      <c r="W100" s="49">
        <v>16</v>
      </c>
      <c r="X100" s="49" t="s">
        <v>51</v>
      </c>
      <c r="Y100" s="49" t="s">
        <v>101</v>
      </c>
      <c r="Z100" s="49" t="s">
        <v>67</v>
      </c>
      <c r="AA100" s="49" t="s">
        <v>85</v>
      </c>
      <c r="AB100" s="49" t="s">
        <v>145</v>
      </c>
    </row>
    <row r="101" spans="1:28" x14ac:dyDescent="0.15">
      <c r="A101" s="49" t="s">
        <v>61</v>
      </c>
      <c r="B101" s="49" t="s">
        <v>143</v>
      </c>
      <c r="C101" s="49">
        <v>2020</v>
      </c>
      <c r="D101" s="88" t="s">
        <v>414</v>
      </c>
      <c r="E101" s="49" t="s">
        <v>178</v>
      </c>
      <c r="F101" s="49" t="s">
        <v>169</v>
      </c>
      <c r="G101" s="49" t="s">
        <v>37</v>
      </c>
      <c r="H101" s="49" t="s">
        <v>63</v>
      </c>
      <c r="I101" s="49" t="s">
        <v>71</v>
      </c>
      <c r="J101" s="1" t="s">
        <v>40</v>
      </c>
      <c r="K101" s="1" t="s">
        <v>41</v>
      </c>
      <c r="L101" s="49">
        <v>1</v>
      </c>
      <c r="N101" s="49">
        <v>4</v>
      </c>
      <c r="O101" s="49">
        <v>0.75</v>
      </c>
      <c r="P101" s="49">
        <v>0.75</v>
      </c>
      <c r="Q101" s="89">
        <f t="shared" si="3"/>
        <v>0.75</v>
      </c>
      <c r="R101" s="49">
        <v>14.8</v>
      </c>
      <c r="S101" s="49">
        <v>104</v>
      </c>
      <c r="T101" s="50">
        <f t="shared" si="4"/>
        <v>33</v>
      </c>
      <c r="U101" s="49">
        <v>498</v>
      </c>
      <c r="V101" s="50">
        <f t="shared" si="5"/>
        <v>4108.5</v>
      </c>
      <c r="W101" s="49">
        <v>16</v>
      </c>
      <c r="X101" s="49" t="s">
        <v>51</v>
      </c>
      <c r="Y101" s="49" t="s">
        <v>101</v>
      </c>
      <c r="Z101" s="49" t="s">
        <v>67</v>
      </c>
      <c r="AA101" s="49" t="s">
        <v>85</v>
      </c>
      <c r="AB101" s="49" t="s">
        <v>145</v>
      </c>
    </row>
    <row r="102" spans="1:28" x14ac:dyDescent="0.15">
      <c r="A102" s="49" t="s">
        <v>61</v>
      </c>
      <c r="B102" s="49" t="s">
        <v>143</v>
      </c>
      <c r="C102" s="49">
        <v>2020</v>
      </c>
      <c r="D102" s="88" t="s">
        <v>414</v>
      </c>
      <c r="E102" s="49" t="s">
        <v>178</v>
      </c>
      <c r="F102" s="49" t="s">
        <v>169</v>
      </c>
      <c r="G102" s="49" t="s">
        <v>37</v>
      </c>
      <c r="H102" s="49" t="s">
        <v>63</v>
      </c>
      <c r="I102" s="49" t="s">
        <v>71</v>
      </c>
      <c r="J102" s="1" t="s">
        <v>40</v>
      </c>
      <c r="K102" s="1" t="s">
        <v>41</v>
      </c>
      <c r="L102" s="49">
        <v>2</v>
      </c>
      <c r="N102" s="49">
        <v>4</v>
      </c>
      <c r="O102" s="49">
        <v>0.85</v>
      </c>
      <c r="P102" s="49">
        <v>0.7</v>
      </c>
      <c r="Q102" s="89">
        <f t="shared" si="3"/>
        <v>0.77499999999999991</v>
      </c>
      <c r="R102" s="49">
        <v>15.2</v>
      </c>
      <c r="S102" s="49">
        <v>108</v>
      </c>
      <c r="T102" s="50">
        <f t="shared" si="4"/>
        <v>33</v>
      </c>
      <c r="U102" s="49">
        <v>498</v>
      </c>
      <c r="V102" s="50">
        <f t="shared" si="5"/>
        <v>4108.5</v>
      </c>
      <c r="W102" s="49">
        <v>16</v>
      </c>
      <c r="X102" s="49" t="s">
        <v>51</v>
      </c>
      <c r="Y102" s="49" t="s">
        <v>101</v>
      </c>
      <c r="Z102" s="49" t="s">
        <v>67</v>
      </c>
      <c r="AA102" s="49" t="s">
        <v>85</v>
      </c>
      <c r="AB102" s="49" t="s">
        <v>145</v>
      </c>
    </row>
    <row r="103" spans="1:28" x14ac:dyDescent="0.15">
      <c r="A103" s="49" t="s">
        <v>61</v>
      </c>
      <c r="B103" s="49" t="s">
        <v>143</v>
      </c>
      <c r="C103" s="49">
        <v>2020</v>
      </c>
      <c r="D103" s="88" t="s">
        <v>414</v>
      </c>
      <c r="E103" s="49" t="s">
        <v>178</v>
      </c>
      <c r="F103" s="49" t="s">
        <v>169</v>
      </c>
      <c r="G103" s="49" t="s">
        <v>37</v>
      </c>
      <c r="H103" s="49" t="s">
        <v>63</v>
      </c>
      <c r="I103" s="49" t="s">
        <v>71</v>
      </c>
      <c r="J103" s="1" t="s">
        <v>40</v>
      </c>
      <c r="K103" s="1" t="s">
        <v>41</v>
      </c>
      <c r="L103" s="49">
        <v>3</v>
      </c>
      <c r="N103" s="49">
        <v>4</v>
      </c>
      <c r="O103" s="49">
        <v>0.7</v>
      </c>
      <c r="P103" s="49">
        <v>0.8</v>
      </c>
      <c r="Q103" s="89">
        <f t="shared" si="3"/>
        <v>0.75</v>
      </c>
      <c r="R103" s="49">
        <v>14.5</v>
      </c>
      <c r="S103" s="49">
        <v>102</v>
      </c>
      <c r="T103" s="50">
        <f t="shared" si="4"/>
        <v>33</v>
      </c>
      <c r="U103" s="49">
        <v>498</v>
      </c>
      <c r="V103" s="50">
        <f t="shared" si="5"/>
        <v>4108.5</v>
      </c>
      <c r="W103" s="49">
        <v>16</v>
      </c>
      <c r="X103" s="49" t="s">
        <v>51</v>
      </c>
      <c r="Y103" s="49" t="s">
        <v>101</v>
      </c>
      <c r="Z103" s="49" t="s">
        <v>67</v>
      </c>
      <c r="AA103" s="49" t="s">
        <v>85</v>
      </c>
      <c r="AB103" s="49" t="s">
        <v>145</v>
      </c>
    </row>
    <row r="104" spans="1:28" x14ac:dyDescent="0.15">
      <c r="A104" s="49" t="s">
        <v>61</v>
      </c>
      <c r="B104" s="49" t="s">
        <v>143</v>
      </c>
      <c r="C104" s="49">
        <v>2020</v>
      </c>
      <c r="D104" s="88" t="s">
        <v>414</v>
      </c>
      <c r="E104" s="49" t="s">
        <v>178</v>
      </c>
      <c r="F104" s="49" t="s">
        <v>169</v>
      </c>
      <c r="G104" s="49" t="s">
        <v>37</v>
      </c>
      <c r="H104" s="49" t="s">
        <v>82</v>
      </c>
      <c r="I104" s="49" t="s">
        <v>64</v>
      </c>
      <c r="J104" s="1" t="s">
        <v>40</v>
      </c>
      <c r="K104" s="1" t="s">
        <v>41</v>
      </c>
      <c r="L104" s="49">
        <v>1</v>
      </c>
      <c r="N104" s="49">
        <v>1</v>
      </c>
      <c r="O104" s="49">
        <v>0.85</v>
      </c>
      <c r="P104" s="49">
        <v>0.8</v>
      </c>
      <c r="Q104" s="89">
        <f t="shared" si="3"/>
        <v>0.82499999999999996</v>
      </c>
      <c r="R104" s="49">
        <v>16.399999999999999</v>
      </c>
      <c r="S104" s="49">
        <v>148</v>
      </c>
      <c r="T104" s="50">
        <f t="shared" si="4"/>
        <v>22</v>
      </c>
      <c r="U104" s="49">
        <v>158</v>
      </c>
      <c r="V104" s="50">
        <f t="shared" si="5"/>
        <v>3476</v>
      </c>
      <c r="W104" s="49">
        <v>16</v>
      </c>
      <c r="X104" s="49" t="s">
        <v>51</v>
      </c>
      <c r="Y104" s="49" t="s">
        <v>101</v>
      </c>
      <c r="Z104" s="49" t="s">
        <v>67</v>
      </c>
      <c r="AA104" s="49" t="s">
        <v>85</v>
      </c>
      <c r="AB104" s="49" t="s">
        <v>145</v>
      </c>
    </row>
    <row r="105" spans="1:28" x14ac:dyDescent="0.15">
      <c r="A105" s="49" t="s">
        <v>61</v>
      </c>
      <c r="B105" s="49" t="s">
        <v>143</v>
      </c>
      <c r="C105" s="49">
        <v>2020</v>
      </c>
      <c r="D105" s="88" t="s">
        <v>414</v>
      </c>
      <c r="E105" s="49" t="s">
        <v>178</v>
      </c>
      <c r="F105" s="49" t="s">
        <v>169</v>
      </c>
      <c r="G105" s="49" t="s">
        <v>37</v>
      </c>
      <c r="H105" s="49" t="s">
        <v>82</v>
      </c>
      <c r="I105" s="49" t="s">
        <v>64</v>
      </c>
      <c r="J105" s="1" t="s">
        <v>40</v>
      </c>
      <c r="K105" s="1" t="s">
        <v>41</v>
      </c>
      <c r="L105" s="49">
        <v>2</v>
      </c>
      <c r="N105" s="49">
        <v>1</v>
      </c>
      <c r="O105" s="49">
        <v>0.95</v>
      </c>
      <c r="P105" s="49">
        <v>0.9</v>
      </c>
      <c r="Q105" s="89">
        <f t="shared" si="3"/>
        <v>0.92500000000000004</v>
      </c>
      <c r="R105" s="49">
        <v>15.6</v>
      </c>
      <c r="S105" s="49">
        <v>144</v>
      </c>
      <c r="T105" s="50">
        <f t="shared" si="4"/>
        <v>22</v>
      </c>
      <c r="U105" s="49">
        <v>158</v>
      </c>
      <c r="V105" s="50">
        <f t="shared" si="5"/>
        <v>3476</v>
      </c>
      <c r="W105" s="49">
        <v>16</v>
      </c>
      <c r="X105" s="49" t="s">
        <v>51</v>
      </c>
      <c r="Y105" s="49" t="s">
        <v>101</v>
      </c>
      <c r="Z105" s="49" t="s">
        <v>67</v>
      </c>
      <c r="AA105" s="49" t="s">
        <v>85</v>
      </c>
      <c r="AB105" s="49" t="s">
        <v>145</v>
      </c>
    </row>
    <row r="106" spans="1:28" x14ac:dyDescent="0.15">
      <c r="A106" s="49" t="s">
        <v>61</v>
      </c>
      <c r="B106" s="49" t="s">
        <v>143</v>
      </c>
      <c r="C106" s="49">
        <v>2020</v>
      </c>
      <c r="D106" s="88" t="s">
        <v>414</v>
      </c>
      <c r="E106" s="49" t="s">
        <v>178</v>
      </c>
      <c r="F106" s="49" t="s">
        <v>169</v>
      </c>
      <c r="G106" s="49" t="s">
        <v>37</v>
      </c>
      <c r="H106" s="49" t="s">
        <v>82</v>
      </c>
      <c r="I106" s="49" t="s">
        <v>64</v>
      </c>
      <c r="J106" s="1" t="s">
        <v>40</v>
      </c>
      <c r="K106" s="1" t="s">
        <v>41</v>
      </c>
      <c r="L106" s="49">
        <v>3</v>
      </c>
      <c r="N106" s="49">
        <v>1</v>
      </c>
      <c r="O106" s="49">
        <v>0.85</v>
      </c>
      <c r="P106" s="49">
        <v>0.9</v>
      </c>
      <c r="Q106" s="89">
        <f t="shared" si="3"/>
        <v>0.875</v>
      </c>
      <c r="R106" s="49">
        <v>15.8</v>
      </c>
      <c r="S106" s="49">
        <v>140</v>
      </c>
      <c r="T106" s="50">
        <f t="shared" si="4"/>
        <v>22</v>
      </c>
      <c r="U106" s="49">
        <v>158</v>
      </c>
      <c r="V106" s="50">
        <f t="shared" si="5"/>
        <v>3476</v>
      </c>
      <c r="W106" s="49">
        <v>16</v>
      </c>
      <c r="X106" s="49" t="s">
        <v>51</v>
      </c>
      <c r="Y106" s="49" t="s">
        <v>101</v>
      </c>
      <c r="Z106" s="49" t="s">
        <v>67</v>
      </c>
      <c r="AA106" s="49" t="s">
        <v>85</v>
      </c>
      <c r="AB106" s="49" t="s">
        <v>145</v>
      </c>
    </row>
    <row r="107" spans="1:28" x14ac:dyDescent="0.15">
      <c r="A107" s="49" t="s">
        <v>61</v>
      </c>
      <c r="B107" s="49" t="s">
        <v>143</v>
      </c>
      <c r="C107" s="49">
        <v>2020</v>
      </c>
      <c r="D107" s="88" t="s">
        <v>414</v>
      </c>
      <c r="E107" s="49" t="s">
        <v>178</v>
      </c>
      <c r="F107" s="49" t="s">
        <v>169</v>
      </c>
      <c r="G107" s="49" t="s">
        <v>37</v>
      </c>
      <c r="H107" s="49" t="s">
        <v>82</v>
      </c>
      <c r="I107" s="49" t="s">
        <v>64</v>
      </c>
      <c r="J107" s="1" t="s">
        <v>40</v>
      </c>
      <c r="K107" s="1" t="s">
        <v>41</v>
      </c>
      <c r="L107" s="49">
        <v>1</v>
      </c>
      <c r="N107" s="49">
        <v>4</v>
      </c>
      <c r="O107" s="49">
        <v>0.7</v>
      </c>
      <c r="P107" s="49">
        <v>0.65</v>
      </c>
      <c r="Q107" s="89">
        <f t="shared" si="3"/>
        <v>0.67500000000000004</v>
      </c>
      <c r="R107" s="49">
        <v>15.5</v>
      </c>
      <c r="S107" s="49">
        <v>97</v>
      </c>
      <c r="T107" s="50">
        <f t="shared" si="4"/>
        <v>36</v>
      </c>
      <c r="U107" s="49">
        <v>498</v>
      </c>
      <c r="V107" s="50">
        <f t="shared" si="5"/>
        <v>4482</v>
      </c>
      <c r="W107" s="49">
        <v>16</v>
      </c>
      <c r="X107" s="49" t="s">
        <v>51</v>
      </c>
      <c r="Y107" s="49" t="s">
        <v>101</v>
      </c>
      <c r="Z107" s="49" t="s">
        <v>67</v>
      </c>
      <c r="AA107" s="49" t="s">
        <v>85</v>
      </c>
      <c r="AB107" s="49" t="s">
        <v>145</v>
      </c>
    </row>
    <row r="108" spans="1:28" x14ac:dyDescent="0.15">
      <c r="A108" s="49" t="s">
        <v>61</v>
      </c>
      <c r="B108" s="49" t="s">
        <v>143</v>
      </c>
      <c r="C108" s="49">
        <v>2020</v>
      </c>
      <c r="D108" s="88" t="s">
        <v>414</v>
      </c>
      <c r="E108" s="49" t="s">
        <v>178</v>
      </c>
      <c r="F108" s="49" t="s">
        <v>169</v>
      </c>
      <c r="G108" s="49" t="s">
        <v>37</v>
      </c>
      <c r="H108" s="49" t="s">
        <v>82</v>
      </c>
      <c r="I108" s="49" t="s">
        <v>64</v>
      </c>
      <c r="J108" s="1" t="s">
        <v>40</v>
      </c>
      <c r="K108" s="1" t="s">
        <v>41</v>
      </c>
      <c r="L108" s="49">
        <v>2</v>
      </c>
      <c r="N108" s="49">
        <v>4</v>
      </c>
      <c r="O108" s="49">
        <v>0.7</v>
      </c>
      <c r="P108" s="49">
        <v>0.7</v>
      </c>
      <c r="Q108" s="89">
        <f t="shared" si="3"/>
        <v>0.7</v>
      </c>
      <c r="R108" s="49">
        <v>15.3</v>
      </c>
      <c r="S108" s="49">
        <v>97</v>
      </c>
      <c r="T108" s="50">
        <f t="shared" si="4"/>
        <v>36</v>
      </c>
      <c r="U108" s="49">
        <v>498</v>
      </c>
      <c r="V108" s="50">
        <f t="shared" si="5"/>
        <v>4482</v>
      </c>
      <c r="W108" s="49">
        <v>16</v>
      </c>
      <c r="X108" s="49" t="s">
        <v>51</v>
      </c>
      <c r="Y108" s="49" t="s">
        <v>101</v>
      </c>
      <c r="Z108" s="49" t="s">
        <v>67</v>
      </c>
      <c r="AA108" s="49" t="s">
        <v>85</v>
      </c>
      <c r="AB108" s="49" t="s">
        <v>145</v>
      </c>
    </row>
    <row r="109" spans="1:28" x14ac:dyDescent="0.15">
      <c r="A109" s="49" t="s">
        <v>61</v>
      </c>
      <c r="B109" s="49" t="s">
        <v>143</v>
      </c>
      <c r="C109" s="49">
        <v>2020</v>
      </c>
      <c r="D109" s="88" t="s">
        <v>414</v>
      </c>
      <c r="E109" s="49" t="s">
        <v>178</v>
      </c>
      <c r="F109" s="49" t="s">
        <v>169</v>
      </c>
      <c r="G109" s="49" t="s">
        <v>37</v>
      </c>
      <c r="H109" s="49" t="s">
        <v>82</v>
      </c>
      <c r="I109" s="49" t="s">
        <v>64</v>
      </c>
      <c r="J109" s="1" t="s">
        <v>40</v>
      </c>
      <c r="K109" s="1" t="s">
        <v>41</v>
      </c>
      <c r="L109" s="49">
        <v>3</v>
      </c>
      <c r="N109" s="49">
        <v>4</v>
      </c>
      <c r="O109" s="49">
        <v>0.75</v>
      </c>
      <c r="P109" s="49">
        <v>0.7</v>
      </c>
      <c r="Q109" s="89">
        <f t="shared" si="3"/>
        <v>0.72499999999999998</v>
      </c>
      <c r="R109" s="49">
        <v>15.9</v>
      </c>
      <c r="S109" s="49">
        <v>102</v>
      </c>
      <c r="T109" s="50">
        <f t="shared" si="4"/>
        <v>33</v>
      </c>
      <c r="U109" s="49">
        <v>498</v>
      </c>
      <c r="V109" s="50">
        <f t="shared" si="5"/>
        <v>4108.5</v>
      </c>
      <c r="W109" s="49">
        <v>16</v>
      </c>
      <c r="X109" s="49" t="s">
        <v>51</v>
      </c>
      <c r="Y109" s="49" t="s">
        <v>101</v>
      </c>
      <c r="Z109" s="49" t="s">
        <v>67</v>
      </c>
      <c r="AA109" s="49" t="s">
        <v>85</v>
      </c>
      <c r="AB109" s="49" t="s">
        <v>145</v>
      </c>
    </row>
    <row r="110" spans="1:28" x14ac:dyDescent="0.15">
      <c r="A110" s="49" t="s">
        <v>61</v>
      </c>
      <c r="B110" s="49" t="s">
        <v>143</v>
      </c>
      <c r="C110" s="49">
        <v>2020</v>
      </c>
      <c r="D110" s="88" t="s">
        <v>414</v>
      </c>
      <c r="E110" s="49" t="s">
        <v>178</v>
      </c>
      <c r="F110" s="49" t="s">
        <v>169</v>
      </c>
      <c r="G110" s="49" t="s">
        <v>37</v>
      </c>
      <c r="H110" s="49" t="s">
        <v>82</v>
      </c>
      <c r="I110" s="49" t="s">
        <v>64</v>
      </c>
      <c r="J110" s="1" t="s">
        <v>40</v>
      </c>
      <c r="K110" s="1" t="s">
        <v>41</v>
      </c>
      <c r="L110" s="49">
        <v>1</v>
      </c>
      <c r="N110" s="49">
        <v>3</v>
      </c>
      <c r="O110" s="49">
        <v>0.7</v>
      </c>
      <c r="P110" s="49">
        <v>0.75</v>
      </c>
      <c r="Q110" s="89">
        <f t="shared" si="3"/>
        <v>0.72499999999999998</v>
      </c>
      <c r="R110" s="49">
        <v>18.100000000000001</v>
      </c>
      <c r="S110" s="49">
        <v>126</v>
      </c>
      <c r="T110" s="50">
        <f t="shared" si="4"/>
        <v>27</v>
      </c>
      <c r="U110" s="49">
        <v>398</v>
      </c>
      <c r="V110" s="50">
        <f t="shared" si="5"/>
        <v>3581.9999999999995</v>
      </c>
      <c r="W110" s="49">
        <v>16</v>
      </c>
      <c r="X110" s="49" t="s">
        <v>51</v>
      </c>
      <c r="Y110" s="49" t="s">
        <v>101</v>
      </c>
      <c r="Z110" s="49" t="s">
        <v>67</v>
      </c>
      <c r="AA110" s="49" t="s">
        <v>85</v>
      </c>
      <c r="AB110" s="49" t="s">
        <v>145</v>
      </c>
    </row>
    <row r="111" spans="1:28" x14ac:dyDescent="0.15">
      <c r="A111" s="49" t="s">
        <v>61</v>
      </c>
      <c r="B111" s="49" t="s">
        <v>143</v>
      </c>
      <c r="C111" s="49">
        <v>2020</v>
      </c>
      <c r="D111" s="88" t="s">
        <v>414</v>
      </c>
      <c r="E111" s="49" t="s">
        <v>178</v>
      </c>
      <c r="F111" s="49" t="s">
        <v>169</v>
      </c>
      <c r="G111" s="49" t="s">
        <v>37</v>
      </c>
      <c r="H111" s="49" t="s">
        <v>82</v>
      </c>
      <c r="I111" s="49" t="s">
        <v>64</v>
      </c>
      <c r="J111" s="1" t="s">
        <v>40</v>
      </c>
      <c r="K111" s="1" t="s">
        <v>41</v>
      </c>
      <c r="L111" s="49">
        <v>2</v>
      </c>
      <c r="N111" s="49">
        <v>3</v>
      </c>
      <c r="O111" s="49">
        <v>0.75</v>
      </c>
      <c r="P111" s="49">
        <v>0.85</v>
      </c>
      <c r="Q111" s="89">
        <f t="shared" si="3"/>
        <v>0.8</v>
      </c>
      <c r="R111" s="49">
        <v>17.2</v>
      </c>
      <c r="S111" s="49">
        <v>120</v>
      </c>
      <c r="T111" s="50">
        <f t="shared" si="4"/>
        <v>30</v>
      </c>
      <c r="U111" s="49">
        <v>398</v>
      </c>
      <c r="V111" s="50">
        <f t="shared" si="5"/>
        <v>3979.9999999999995</v>
      </c>
      <c r="W111" s="49">
        <v>16</v>
      </c>
      <c r="X111" s="49" t="s">
        <v>51</v>
      </c>
      <c r="Y111" s="49" t="s">
        <v>101</v>
      </c>
      <c r="Z111" s="49" t="s">
        <v>67</v>
      </c>
      <c r="AA111" s="49" t="s">
        <v>85</v>
      </c>
      <c r="AB111" s="49" t="s">
        <v>145</v>
      </c>
    </row>
    <row r="112" spans="1:28" x14ac:dyDescent="0.15">
      <c r="A112" s="49" t="s">
        <v>61</v>
      </c>
      <c r="B112" s="49" t="s">
        <v>143</v>
      </c>
      <c r="C112" s="49">
        <v>2020</v>
      </c>
      <c r="D112" s="88" t="s">
        <v>414</v>
      </c>
      <c r="E112" s="49" t="s">
        <v>178</v>
      </c>
      <c r="F112" s="49" t="s">
        <v>169</v>
      </c>
      <c r="G112" s="49" t="s">
        <v>37</v>
      </c>
      <c r="H112" s="49" t="s">
        <v>82</v>
      </c>
      <c r="I112" s="49" t="s">
        <v>64</v>
      </c>
      <c r="J112" s="1" t="s">
        <v>40</v>
      </c>
      <c r="K112" s="1" t="s">
        <v>41</v>
      </c>
      <c r="L112" s="49">
        <v>3</v>
      </c>
      <c r="N112" s="49">
        <v>3</v>
      </c>
      <c r="O112" s="49">
        <v>0.85</v>
      </c>
      <c r="P112" s="49">
        <v>0.8</v>
      </c>
      <c r="Q112" s="89">
        <f t="shared" si="3"/>
        <v>0.82499999999999996</v>
      </c>
      <c r="R112" s="49">
        <v>17.399999999999999</v>
      </c>
      <c r="S112" s="49">
        <v>120</v>
      </c>
      <c r="T112" s="50">
        <f t="shared" si="4"/>
        <v>30</v>
      </c>
      <c r="U112" s="49">
        <v>398</v>
      </c>
      <c r="V112" s="50">
        <f t="shared" si="5"/>
        <v>3979.9999999999995</v>
      </c>
      <c r="W112" s="49">
        <v>16</v>
      </c>
      <c r="X112" s="49" t="s">
        <v>51</v>
      </c>
      <c r="Y112" s="49" t="s">
        <v>101</v>
      </c>
      <c r="Z112" s="49" t="s">
        <v>67</v>
      </c>
      <c r="AA112" s="49" t="s">
        <v>85</v>
      </c>
      <c r="AB112" s="49" t="s">
        <v>145</v>
      </c>
    </row>
    <row r="113" spans="1:28" x14ac:dyDescent="0.15">
      <c r="A113" s="49" t="s">
        <v>61</v>
      </c>
      <c r="B113" s="49" t="s">
        <v>143</v>
      </c>
      <c r="C113" s="49">
        <v>2020</v>
      </c>
      <c r="D113" s="88" t="s">
        <v>414</v>
      </c>
      <c r="E113" s="49" t="s">
        <v>178</v>
      </c>
      <c r="F113" s="49" t="s">
        <v>169</v>
      </c>
      <c r="G113" s="49" t="s">
        <v>37</v>
      </c>
      <c r="H113" s="49" t="s">
        <v>82</v>
      </c>
      <c r="I113" s="49" t="s">
        <v>71</v>
      </c>
      <c r="J113" s="1" t="s">
        <v>40</v>
      </c>
      <c r="K113" s="1" t="s">
        <v>41</v>
      </c>
      <c r="L113" s="49">
        <v>1</v>
      </c>
      <c r="N113" s="49">
        <v>4</v>
      </c>
      <c r="O113" s="49">
        <v>0.85</v>
      </c>
      <c r="P113" s="49">
        <v>0.8</v>
      </c>
      <c r="Q113" s="89">
        <f t="shared" si="3"/>
        <v>0.82499999999999996</v>
      </c>
      <c r="R113" s="49">
        <v>18</v>
      </c>
      <c r="S113" s="49">
        <v>126</v>
      </c>
      <c r="T113" s="50">
        <f t="shared" si="4"/>
        <v>27</v>
      </c>
      <c r="U113" s="49">
        <v>498</v>
      </c>
      <c r="V113" s="50">
        <f t="shared" si="5"/>
        <v>3361.5</v>
      </c>
      <c r="W113" s="49">
        <v>16</v>
      </c>
      <c r="X113" s="49" t="s">
        <v>51</v>
      </c>
      <c r="Y113" s="49" t="s">
        <v>101</v>
      </c>
      <c r="Z113" s="49" t="s">
        <v>67</v>
      </c>
      <c r="AA113" s="49" t="s">
        <v>85</v>
      </c>
      <c r="AB113" s="49" t="s">
        <v>145</v>
      </c>
    </row>
    <row r="114" spans="1:28" x14ac:dyDescent="0.15">
      <c r="A114" s="49" t="s">
        <v>61</v>
      </c>
      <c r="B114" s="49" t="s">
        <v>143</v>
      </c>
      <c r="C114" s="49">
        <v>2020</v>
      </c>
      <c r="D114" s="88" t="s">
        <v>414</v>
      </c>
      <c r="E114" s="49" t="s">
        <v>178</v>
      </c>
      <c r="F114" s="49" t="s">
        <v>169</v>
      </c>
      <c r="G114" s="49" t="s">
        <v>37</v>
      </c>
      <c r="H114" s="49" t="s">
        <v>82</v>
      </c>
      <c r="I114" s="49" t="s">
        <v>71</v>
      </c>
      <c r="J114" s="1" t="s">
        <v>40</v>
      </c>
      <c r="K114" s="1" t="s">
        <v>41</v>
      </c>
      <c r="L114" s="49">
        <v>2</v>
      </c>
      <c r="N114" s="49">
        <v>4</v>
      </c>
      <c r="O114" s="49">
        <v>0.9</v>
      </c>
      <c r="P114" s="49">
        <v>0.9</v>
      </c>
      <c r="Q114" s="89">
        <f t="shared" si="3"/>
        <v>0.9</v>
      </c>
      <c r="R114" s="49">
        <v>17.5</v>
      </c>
      <c r="S114" s="49">
        <v>104</v>
      </c>
      <c r="T114" s="50">
        <f t="shared" si="4"/>
        <v>33</v>
      </c>
      <c r="U114" s="49">
        <v>498</v>
      </c>
      <c r="V114" s="50">
        <f t="shared" si="5"/>
        <v>4108.5</v>
      </c>
      <c r="W114" s="49">
        <v>16</v>
      </c>
      <c r="X114" s="49" t="s">
        <v>51</v>
      </c>
      <c r="Y114" s="49" t="s">
        <v>101</v>
      </c>
      <c r="Z114" s="49" t="s">
        <v>67</v>
      </c>
      <c r="AA114" s="49" t="s">
        <v>85</v>
      </c>
      <c r="AB114" s="49" t="s">
        <v>145</v>
      </c>
    </row>
    <row r="115" spans="1:28" x14ac:dyDescent="0.15">
      <c r="A115" s="49" t="s">
        <v>61</v>
      </c>
      <c r="B115" s="49" t="s">
        <v>143</v>
      </c>
      <c r="C115" s="49">
        <v>2020</v>
      </c>
      <c r="D115" s="88" t="s">
        <v>414</v>
      </c>
      <c r="E115" s="49" t="s">
        <v>178</v>
      </c>
      <c r="F115" s="49" t="s">
        <v>169</v>
      </c>
      <c r="G115" s="49" t="s">
        <v>37</v>
      </c>
      <c r="H115" s="49" t="s">
        <v>82</v>
      </c>
      <c r="I115" s="49" t="s">
        <v>71</v>
      </c>
      <c r="J115" s="1" t="s">
        <v>40</v>
      </c>
      <c r="K115" s="1" t="s">
        <v>41</v>
      </c>
      <c r="L115" s="49">
        <v>3</v>
      </c>
      <c r="N115" s="49">
        <v>4</v>
      </c>
      <c r="O115" s="49">
        <v>0.95</v>
      </c>
      <c r="P115" s="49">
        <v>0.85</v>
      </c>
      <c r="Q115" s="89">
        <f t="shared" si="3"/>
        <v>0.89999999999999991</v>
      </c>
      <c r="R115" s="49">
        <v>17.399999999999999</v>
      </c>
      <c r="S115" s="49">
        <v>97</v>
      </c>
      <c r="T115" s="50">
        <f t="shared" si="4"/>
        <v>36</v>
      </c>
      <c r="U115" s="49">
        <v>498</v>
      </c>
      <c r="V115" s="50">
        <f t="shared" si="5"/>
        <v>4482</v>
      </c>
      <c r="W115" s="49">
        <v>16</v>
      </c>
      <c r="X115" s="49" t="s">
        <v>51</v>
      </c>
      <c r="Y115" s="49" t="s">
        <v>101</v>
      </c>
      <c r="Z115" s="49" t="s">
        <v>67</v>
      </c>
      <c r="AA115" s="49" t="s">
        <v>85</v>
      </c>
      <c r="AB115" s="49" t="s">
        <v>145</v>
      </c>
    </row>
    <row r="116" spans="1:28" x14ac:dyDescent="0.15">
      <c r="A116" s="49" t="s">
        <v>61</v>
      </c>
      <c r="B116" s="49" t="s">
        <v>143</v>
      </c>
      <c r="C116" s="49">
        <v>2020</v>
      </c>
      <c r="D116" s="88" t="s">
        <v>414</v>
      </c>
      <c r="E116" s="49" t="s">
        <v>172</v>
      </c>
      <c r="F116" s="49" t="s">
        <v>173</v>
      </c>
      <c r="G116" s="49" t="s">
        <v>46</v>
      </c>
      <c r="H116" s="49" t="s">
        <v>63</v>
      </c>
      <c r="I116" s="49" t="s">
        <v>64</v>
      </c>
      <c r="J116" s="1" t="s">
        <v>40</v>
      </c>
      <c r="K116" s="1" t="s">
        <v>41</v>
      </c>
      <c r="L116" s="49">
        <v>1</v>
      </c>
      <c r="N116" s="49">
        <v>1</v>
      </c>
      <c r="O116" s="49">
        <v>1.2</v>
      </c>
      <c r="P116" s="49">
        <v>1.1499999999999999</v>
      </c>
      <c r="Q116" s="89">
        <f t="shared" si="3"/>
        <v>1.1749999999999998</v>
      </c>
      <c r="R116" s="49">
        <v>15.6</v>
      </c>
      <c r="S116" s="49">
        <v>134</v>
      </c>
      <c r="T116" s="50">
        <f t="shared" si="4"/>
        <v>25</v>
      </c>
      <c r="U116" s="49">
        <v>128</v>
      </c>
      <c r="V116" s="50">
        <f t="shared" si="5"/>
        <v>3200</v>
      </c>
      <c r="W116" s="49">
        <v>12</v>
      </c>
      <c r="X116" s="49" t="s">
        <v>51</v>
      </c>
      <c r="Y116" s="49" t="s">
        <v>101</v>
      </c>
      <c r="Z116" s="49" t="s">
        <v>67</v>
      </c>
      <c r="AA116" s="49" t="s">
        <v>52</v>
      </c>
      <c r="AB116" s="49" t="s">
        <v>145</v>
      </c>
    </row>
    <row r="117" spans="1:28" x14ac:dyDescent="0.15">
      <c r="A117" s="49" t="s">
        <v>61</v>
      </c>
      <c r="B117" s="49" t="s">
        <v>143</v>
      </c>
      <c r="C117" s="49">
        <v>2020</v>
      </c>
      <c r="D117" s="88" t="s">
        <v>414</v>
      </c>
      <c r="E117" s="49" t="s">
        <v>172</v>
      </c>
      <c r="F117" s="49" t="s">
        <v>173</v>
      </c>
      <c r="G117" s="49" t="s">
        <v>46</v>
      </c>
      <c r="H117" s="49" t="s">
        <v>63</v>
      </c>
      <c r="I117" s="49" t="s">
        <v>64</v>
      </c>
      <c r="J117" s="1" t="s">
        <v>40</v>
      </c>
      <c r="K117" s="1" t="s">
        <v>41</v>
      </c>
      <c r="L117" s="49">
        <v>2</v>
      </c>
      <c r="N117" s="49">
        <v>1</v>
      </c>
      <c r="O117" s="49">
        <v>1.25</v>
      </c>
      <c r="P117" s="49">
        <v>1.3</v>
      </c>
      <c r="Q117" s="89">
        <f t="shared" si="3"/>
        <v>1.2749999999999999</v>
      </c>
      <c r="R117" s="49">
        <v>15.3</v>
      </c>
      <c r="S117" s="49">
        <v>132</v>
      </c>
      <c r="T117" s="50">
        <f t="shared" si="4"/>
        <v>25</v>
      </c>
      <c r="U117" s="49">
        <v>128</v>
      </c>
      <c r="V117" s="50">
        <f t="shared" si="5"/>
        <v>3200</v>
      </c>
      <c r="W117" s="49">
        <v>12</v>
      </c>
      <c r="X117" s="49" t="s">
        <v>51</v>
      </c>
      <c r="Y117" s="49" t="s">
        <v>101</v>
      </c>
      <c r="Z117" s="49" t="s">
        <v>67</v>
      </c>
      <c r="AA117" s="49" t="s">
        <v>52</v>
      </c>
      <c r="AB117" s="49" t="s">
        <v>145</v>
      </c>
    </row>
    <row r="118" spans="1:28" x14ac:dyDescent="0.15">
      <c r="A118" s="49" t="s">
        <v>61</v>
      </c>
      <c r="B118" s="49" t="s">
        <v>143</v>
      </c>
      <c r="C118" s="49">
        <v>2020</v>
      </c>
      <c r="D118" s="88" t="s">
        <v>414</v>
      </c>
      <c r="E118" s="49" t="s">
        <v>172</v>
      </c>
      <c r="F118" s="49" t="s">
        <v>173</v>
      </c>
      <c r="G118" s="49" t="s">
        <v>46</v>
      </c>
      <c r="H118" s="49" t="s">
        <v>63</v>
      </c>
      <c r="I118" s="49" t="s">
        <v>64</v>
      </c>
      <c r="J118" s="1" t="s">
        <v>40</v>
      </c>
      <c r="K118" s="1" t="s">
        <v>41</v>
      </c>
      <c r="L118" s="49">
        <v>3</v>
      </c>
      <c r="N118" s="49">
        <v>1</v>
      </c>
      <c r="O118" s="49">
        <v>1.3</v>
      </c>
      <c r="P118" s="49">
        <v>1.1499999999999999</v>
      </c>
      <c r="Q118" s="89">
        <f t="shared" si="3"/>
        <v>1.2250000000000001</v>
      </c>
      <c r="R118" s="49">
        <v>15.1</v>
      </c>
      <c r="S118" s="49">
        <v>126</v>
      </c>
      <c r="T118" s="50">
        <f t="shared" si="4"/>
        <v>27</v>
      </c>
      <c r="U118" s="49">
        <v>128</v>
      </c>
      <c r="V118" s="50">
        <f t="shared" si="5"/>
        <v>3456</v>
      </c>
      <c r="W118" s="49">
        <v>12</v>
      </c>
      <c r="X118" s="49" t="s">
        <v>51</v>
      </c>
      <c r="Y118" s="49" t="s">
        <v>101</v>
      </c>
      <c r="Z118" s="49" t="s">
        <v>67</v>
      </c>
      <c r="AA118" s="49" t="s">
        <v>52</v>
      </c>
      <c r="AB118" s="49" t="s">
        <v>145</v>
      </c>
    </row>
    <row r="119" spans="1:28" x14ac:dyDescent="0.15">
      <c r="A119" s="49" t="s">
        <v>61</v>
      </c>
      <c r="B119" s="49" t="s">
        <v>143</v>
      </c>
      <c r="C119" s="49">
        <v>2020</v>
      </c>
      <c r="D119" s="88" t="s">
        <v>414</v>
      </c>
      <c r="E119" s="49" t="s">
        <v>172</v>
      </c>
      <c r="F119" s="49" t="s">
        <v>173</v>
      </c>
      <c r="G119" s="49" t="s">
        <v>46</v>
      </c>
      <c r="H119" s="49" t="s">
        <v>63</v>
      </c>
      <c r="I119" s="49" t="s">
        <v>64</v>
      </c>
      <c r="J119" s="1" t="s">
        <v>40</v>
      </c>
      <c r="K119" s="1" t="s">
        <v>41</v>
      </c>
      <c r="L119" s="49">
        <v>1</v>
      </c>
      <c r="N119" s="49">
        <v>4</v>
      </c>
      <c r="O119" s="49">
        <v>1</v>
      </c>
      <c r="P119" s="49">
        <v>0.9</v>
      </c>
      <c r="Q119" s="89">
        <f t="shared" si="3"/>
        <v>0.95</v>
      </c>
      <c r="R119" s="49">
        <v>14.3</v>
      </c>
      <c r="S119" s="49">
        <v>93</v>
      </c>
      <c r="T119" s="50">
        <f t="shared" si="4"/>
        <v>36</v>
      </c>
      <c r="U119" s="49">
        <v>398</v>
      </c>
      <c r="V119" s="50">
        <f t="shared" si="5"/>
        <v>3582</v>
      </c>
      <c r="W119" s="49">
        <v>12</v>
      </c>
      <c r="X119" s="49" t="s">
        <v>51</v>
      </c>
      <c r="Y119" s="49" t="s">
        <v>101</v>
      </c>
      <c r="Z119" s="49" t="s">
        <v>67</v>
      </c>
      <c r="AA119" s="49" t="s">
        <v>52</v>
      </c>
      <c r="AB119" s="49" t="s">
        <v>145</v>
      </c>
    </row>
    <row r="120" spans="1:28" x14ac:dyDescent="0.15">
      <c r="A120" s="49" t="s">
        <v>61</v>
      </c>
      <c r="B120" s="49" t="s">
        <v>143</v>
      </c>
      <c r="C120" s="49">
        <v>2020</v>
      </c>
      <c r="D120" s="88" t="s">
        <v>414</v>
      </c>
      <c r="E120" s="49" t="s">
        <v>172</v>
      </c>
      <c r="F120" s="49" t="s">
        <v>173</v>
      </c>
      <c r="G120" s="49" t="s">
        <v>46</v>
      </c>
      <c r="H120" s="49" t="s">
        <v>63</v>
      </c>
      <c r="I120" s="49" t="s">
        <v>64</v>
      </c>
      <c r="J120" s="1" t="s">
        <v>40</v>
      </c>
      <c r="K120" s="1" t="s">
        <v>41</v>
      </c>
      <c r="L120" s="49">
        <v>2</v>
      </c>
      <c r="N120" s="49">
        <v>4</v>
      </c>
      <c r="O120" s="49">
        <v>0.25</v>
      </c>
      <c r="P120" s="49">
        <v>0.25</v>
      </c>
      <c r="Q120" s="89">
        <f t="shared" si="3"/>
        <v>0.25</v>
      </c>
      <c r="R120" s="49">
        <v>13.4</v>
      </c>
      <c r="S120" s="49">
        <v>97</v>
      </c>
      <c r="T120" s="50">
        <f t="shared" si="4"/>
        <v>36</v>
      </c>
      <c r="U120" s="49">
        <v>398</v>
      </c>
      <c r="V120" s="50">
        <f t="shared" si="5"/>
        <v>3582</v>
      </c>
      <c r="W120" s="49">
        <v>12</v>
      </c>
      <c r="X120" s="49" t="s">
        <v>51</v>
      </c>
      <c r="Y120" s="49" t="s">
        <v>101</v>
      </c>
      <c r="Z120" s="49" t="s">
        <v>67</v>
      </c>
      <c r="AA120" s="49" t="s">
        <v>52</v>
      </c>
      <c r="AB120" s="49" t="s">
        <v>145</v>
      </c>
    </row>
    <row r="121" spans="1:28" x14ac:dyDescent="0.15">
      <c r="A121" s="49" t="s">
        <v>61</v>
      </c>
      <c r="B121" s="49" t="s">
        <v>143</v>
      </c>
      <c r="C121" s="49">
        <v>2020</v>
      </c>
      <c r="D121" s="88" t="s">
        <v>414</v>
      </c>
      <c r="E121" s="49" t="s">
        <v>172</v>
      </c>
      <c r="F121" s="49" t="s">
        <v>173</v>
      </c>
      <c r="G121" s="49" t="s">
        <v>46</v>
      </c>
      <c r="H121" s="49" t="s">
        <v>63</v>
      </c>
      <c r="I121" s="49" t="s">
        <v>64</v>
      </c>
      <c r="J121" s="1" t="s">
        <v>40</v>
      </c>
      <c r="K121" s="1" t="s">
        <v>41</v>
      </c>
      <c r="L121" s="49">
        <v>3</v>
      </c>
      <c r="N121" s="49">
        <v>4</v>
      </c>
      <c r="O121" s="49">
        <v>0.85</v>
      </c>
      <c r="P121" s="49">
        <v>0.9</v>
      </c>
      <c r="Q121" s="89">
        <f t="shared" si="3"/>
        <v>0.875</v>
      </c>
      <c r="R121" s="49">
        <v>14.8</v>
      </c>
      <c r="S121" s="49">
        <v>100</v>
      </c>
      <c r="T121" s="50">
        <f t="shared" si="4"/>
        <v>33</v>
      </c>
      <c r="U121" s="49">
        <v>398</v>
      </c>
      <c r="V121" s="50">
        <f t="shared" si="5"/>
        <v>3283.5</v>
      </c>
      <c r="W121" s="49">
        <v>12</v>
      </c>
      <c r="X121" s="49" t="s">
        <v>51</v>
      </c>
      <c r="Y121" s="49" t="s">
        <v>101</v>
      </c>
      <c r="Z121" s="49" t="s">
        <v>67</v>
      </c>
      <c r="AA121" s="49" t="s">
        <v>52</v>
      </c>
      <c r="AB121" s="49" t="s">
        <v>145</v>
      </c>
    </row>
    <row r="122" spans="1:28" x14ac:dyDescent="0.15">
      <c r="A122" s="49" t="s">
        <v>61</v>
      </c>
      <c r="B122" s="49" t="s">
        <v>143</v>
      </c>
      <c r="C122" s="49">
        <v>2020</v>
      </c>
      <c r="D122" s="88" t="s">
        <v>414</v>
      </c>
      <c r="E122" s="49" t="s">
        <v>172</v>
      </c>
      <c r="F122" s="49" t="s">
        <v>173</v>
      </c>
      <c r="G122" s="49" t="s">
        <v>46</v>
      </c>
      <c r="H122" s="49" t="s">
        <v>82</v>
      </c>
      <c r="I122" s="49" t="s">
        <v>64</v>
      </c>
      <c r="J122" s="1" t="s">
        <v>40</v>
      </c>
      <c r="K122" s="1" t="s">
        <v>41</v>
      </c>
      <c r="L122" s="49">
        <v>1</v>
      </c>
      <c r="N122" s="49">
        <v>1</v>
      </c>
      <c r="O122" s="49">
        <v>0.75</v>
      </c>
      <c r="P122" s="49">
        <v>0.75</v>
      </c>
      <c r="Q122" s="89">
        <f t="shared" si="3"/>
        <v>0.75</v>
      </c>
      <c r="R122" s="49">
        <v>19.3</v>
      </c>
      <c r="S122" s="49">
        <v>132</v>
      </c>
      <c r="T122" s="50">
        <f t="shared" si="4"/>
        <v>25</v>
      </c>
      <c r="U122" s="49">
        <v>128</v>
      </c>
      <c r="V122" s="50">
        <f t="shared" si="5"/>
        <v>3200</v>
      </c>
      <c r="W122" s="49">
        <v>12</v>
      </c>
      <c r="X122" s="49" t="s">
        <v>51</v>
      </c>
      <c r="Y122" s="49" t="s">
        <v>101</v>
      </c>
      <c r="Z122" s="49" t="s">
        <v>67</v>
      </c>
      <c r="AA122" s="49" t="s">
        <v>52</v>
      </c>
      <c r="AB122" s="49" t="s">
        <v>145</v>
      </c>
    </row>
    <row r="123" spans="1:28" x14ac:dyDescent="0.15">
      <c r="A123" s="49" t="s">
        <v>61</v>
      </c>
      <c r="B123" s="49" t="s">
        <v>143</v>
      </c>
      <c r="C123" s="49">
        <v>2020</v>
      </c>
      <c r="D123" s="88" t="s">
        <v>414</v>
      </c>
      <c r="E123" s="49" t="s">
        <v>172</v>
      </c>
      <c r="F123" s="49" t="s">
        <v>173</v>
      </c>
      <c r="G123" s="49" t="s">
        <v>46</v>
      </c>
      <c r="H123" s="49" t="s">
        <v>82</v>
      </c>
      <c r="I123" s="49" t="s">
        <v>64</v>
      </c>
      <c r="J123" s="1" t="s">
        <v>40</v>
      </c>
      <c r="K123" s="1" t="s">
        <v>41</v>
      </c>
      <c r="L123" s="49">
        <v>2</v>
      </c>
      <c r="N123" s="49">
        <v>1</v>
      </c>
      <c r="O123" s="49">
        <v>0.8</v>
      </c>
      <c r="P123" s="49">
        <v>0.75</v>
      </c>
      <c r="Q123" s="89">
        <f t="shared" si="3"/>
        <v>0.77500000000000002</v>
      </c>
      <c r="R123" s="49">
        <v>19.600000000000001</v>
      </c>
      <c r="S123" s="49">
        <v>136</v>
      </c>
      <c r="T123" s="50">
        <f t="shared" si="4"/>
        <v>25</v>
      </c>
      <c r="U123" s="49">
        <v>128</v>
      </c>
      <c r="V123" s="50">
        <f t="shared" si="5"/>
        <v>3200</v>
      </c>
      <c r="W123" s="49">
        <v>12</v>
      </c>
      <c r="X123" s="49" t="s">
        <v>51</v>
      </c>
      <c r="Y123" s="49" t="s">
        <v>101</v>
      </c>
      <c r="Z123" s="49" t="s">
        <v>67</v>
      </c>
      <c r="AA123" s="49" t="s">
        <v>52</v>
      </c>
      <c r="AB123" s="49" t="s">
        <v>145</v>
      </c>
    </row>
    <row r="124" spans="1:28" x14ac:dyDescent="0.15">
      <c r="A124" s="49" t="s">
        <v>61</v>
      </c>
      <c r="B124" s="49" t="s">
        <v>143</v>
      </c>
      <c r="C124" s="49">
        <v>2020</v>
      </c>
      <c r="D124" s="88" t="s">
        <v>414</v>
      </c>
      <c r="E124" s="49" t="s">
        <v>172</v>
      </c>
      <c r="F124" s="49" t="s">
        <v>173</v>
      </c>
      <c r="G124" s="49" t="s">
        <v>46</v>
      </c>
      <c r="H124" s="49" t="s">
        <v>82</v>
      </c>
      <c r="I124" s="49" t="s">
        <v>64</v>
      </c>
      <c r="J124" s="1" t="s">
        <v>40</v>
      </c>
      <c r="K124" s="1" t="s">
        <v>41</v>
      </c>
      <c r="L124" s="49">
        <v>3</v>
      </c>
      <c r="N124" s="49">
        <v>1</v>
      </c>
      <c r="O124" s="49">
        <v>0.85</v>
      </c>
      <c r="P124" s="49">
        <v>0.8</v>
      </c>
      <c r="Q124" s="89">
        <f t="shared" si="3"/>
        <v>0.82499999999999996</v>
      </c>
      <c r="R124" s="49">
        <v>17.7</v>
      </c>
      <c r="S124" s="49">
        <v>134</v>
      </c>
      <c r="T124" s="50">
        <f t="shared" si="4"/>
        <v>25</v>
      </c>
      <c r="U124" s="49">
        <v>128</v>
      </c>
      <c r="V124" s="50">
        <f t="shared" si="5"/>
        <v>3200</v>
      </c>
      <c r="W124" s="49">
        <v>12</v>
      </c>
      <c r="X124" s="49" t="s">
        <v>51</v>
      </c>
      <c r="Y124" s="49" t="s">
        <v>101</v>
      </c>
      <c r="Z124" s="49" t="s">
        <v>67</v>
      </c>
      <c r="AA124" s="49" t="s">
        <v>52</v>
      </c>
      <c r="AB124" s="49" t="s">
        <v>145</v>
      </c>
    </row>
    <row r="125" spans="1:28" x14ac:dyDescent="0.15">
      <c r="A125" s="49" t="s">
        <v>61</v>
      </c>
      <c r="B125" s="49" t="s">
        <v>143</v>
      </c>
      <c r="C125" s="49">
        <v>2020</v>
      </c>
      <c r="D125" s="88" t="s">
        <v>414</v>
      </c>
      <c r="E125" s="49" t="s">
        <v>172</v>
      </c>
      <c r="F125" s="49" t="s">
        <v>173</v>
      </c>
      <c r="G125" s="49" t="s">
        <v>46</v>
      </c>
      <c r="H125" s="49" t="s">
        <v>82</v>
      </c>
      <c r="I125" s="49" t="s">
        <v>64</v>
      </c>
      <c r="J125" s="1" t="s">
        <v>40</v>
      </c>
      <c r="K125" s="1" t="s">
        <v>41</v>
      </c>
      <c r="L125" s="49">
        <v>1</v>
      </c>
      <c r="N125" s="49">
        <v>4</v>
      </c>
      <c r="O125" s="49">
        <v>0.65</v>
      </c>
      <c r="P125" s="49">
        <v>0.7</v>
      </c>
      <c r="Q125" s="89">
        <f t="shared" si="3"/>
        <v>0.67500000000000004</v>
      </c>
      <c r="R125" s="49">
        <v>17.3</v>
      </c>
      <c r="S125" s="49">
        <v>102</v>
      </c>
      <c r="T125" s="50">
        <f t="shared" si="4"/>
        <v>33</v>
      </c>
      <c r="U125" s="49">
        <v>398</v>
      </c>
      <c r="V125" s="50">
        <f t="shared" si="5"/>
        <v>3283.5</v>
      </c>
      <c r="W125" s="49">
        <v>12</v>
      </c>
      <c r="X125" s="49" t="s">
        <v>51</v>
      </c>
      <c r="Y125" s="49" t="s">
        <v>101</v>
      </c>
      <c r="Z125" s="49" t="s">
        <v>67</v>
      </c>
      <c r="AA125" s="49" t="s">
        <v>52</v>
      </c>
      <c r="AB125" s="49" t="s">
        <v>145</v>
      </c>
    </row>
    <row r="126" spans="1:28" x14ac:dyDescent="0.15">
      <c r="A126" s="49" t="s">
        <v>61</v>
      </c>
      <c r="B126" s="49" t="s">
        <v>143</v>
      </c>
      <c r="C126" s="49">
        <v>2020</v>
      </c>
      <c r="D126" s="88" t="s">
        <v>414</v>
      </c>
      <c r="E126" s="49" t="s">
        <v>172</v>
      </c>
      <c r="F126" s="49" t="s">
        <v>173</v>
      </c>
      <c r="G126" s="49" t="s">
        <v>46</v>
      </c>
      <c r="H126" s="49" t="s">
        <v>82</v>
      </c>
      <c r="I126" s="49" t="s">
        <v>64</v>
      </c>
      <c r="J126" s="1" t="s">
        <v>40</v>
      </c>
      <c r="K126" s="1" t="s">
        <v>41</v>
      </c>
      <c r="L126" s="49">
        <v>2</v>
      </c>
      <c r="N126" s="49">
        <v>4</v>
      </c>
      <c r="O126" s="49">
        <v>0.7</v>
      </c>
      <c r="P126" s="49">
        <v>0.6</v>
      </c>
      <c r="Q126" s="89">
        <f t="shared" si="3"/>
        <v>0.64999999999999991</v>
      </c>
      <c r="R126" s="49">
        <v>17.5</v>
      </c>
      <c r="S126" s="49">
        <v>96</v>
      </c>
      <c r="T126" s="50">
        <f t="shared" si="4"/>
        <v>36</v>
      </c>
      <c r="U126" s="49">
        <v>398</v>
      </c>
      <c r="V126" s="50">
        <f t="shared" si="5"/>
        <v>3582</v>
      </c>
      <c r="W126" s="49">
        <v>12</v>
      </c>
      <c r="X126" s="49" t="s">
        <v>51</v>
      </c>
      <c r="Y126" s="49" t="s">
        <v>101</v>
      </c>
      <c r="Z126" s="49" t="s">
        <v>67</v>
      </c>
      <c r="AA126" s="49" t="s">
        <v>52</v>
      </c>
      <c r="AB126" s="49" t="s">
        <v>145</v>
      </c>
    </row>
    <row r="127" spans="1:28" x14ac:dyDescent="0.15">
      <c r="A127" s="49" t="s">
        <v>61</v>
      </c>
      <c r="B127" s="49" t="s">
        <v>143</v>
      </c>
      <c r="C127" s="49">
        <v>2020</v>
      </c>
      <c r="D127" s="88" t="s">
        <v>414</v>
      </c>
      <c r="E127" s="49" t="s">
        <v>172</v>
      </c>
      <c r="F127" s="49" t="s">
        <v>173</v>
      </c>
      <c r="G127" s="49" t="s">
        <v>46</v>
      </c>
      <c r="H127" s="49" t="s">
        <v>82</v>
      </c>
      <c r="I127" s="49" t="s">
        <v>64</v>
      </c>
      <c r="J127" s="1" t="s">
        <v>40</v>
      </c>
      <c r="K127" s="1" t="s">
        <v>41</v>
      </c>
      <c r="L127" s="49">
        <v>3</v>
      </c>
      <c r="N127" s="49">
        <v>4</v>
      </c>
      <c r="O127" s="49">
        <v>0.75</v>
      </c>
      <c r="P127" s="49">
        <v>0.75</v>
      </c>
      <c r="Q127" s="89">
        <f t="shared" si="3"/>
        <v>0.75</v>
      </c>
      <c r="R127" s="49">
        <v>17.8</v>
      </c>
      <c r="S127" s="49">
        <v>114</v>
      </c>
      <c r="T127" s="50">
        <f t="shared" si="4"/>
        <v>30</v>
      </c>
      <c r="U127" s="49">
        <v>398</v>
      </c>
      <c r="V127" s="50">
        <f t="shared" si="5"/>
        <v>2985</v>
      </c>
      <c r="W127" s="49">
        <v>12</v>
      </c>
      <c r="X127" s="49" t="s">
        <v>51</v>
      </c>
      <c r="Y127" s="49" t="s">
        <v>101</v>
      </c>
      <c r="Z127" s="49" t="s">
        <v>67</v>
      </c>
      <c r="AA127" s="49" t="s">
        <v>52</v>
      </c>
      <c r="AB127" s="49" t="s">
        <v>145</v>
      </c>
    </row>
    <row r="128" spans="1:28" x14ac:dyDescent="0.15">
      <c r="A128" s="49" t="s">
        <v>61</v>
      </c>
      <c r="B128" s="49" t="s">
        <v>143</v>
      </c>
      <c r="C128" s="49">
        <v>2020</v>
      </c>
      <c r="D128" s="88" t="s">
        <v>414</v>
      </c>
      <c r="E128" s="49" t="s">
        <v>179</v>
      </c>
      <c r="F128" s="49" t="s">
        <v>180</v>
      </c>
      <c r="G128" s="49" t="s">
        <v>37</v>
      </c>
      <c r="H128" s="49" t="s">
        <v>63</v>
      </c>
      <c r="I128" s="49" t="s">
        <v>64</v>
      </c>
      <c r="J128" s="1" t="s">
        <v>40</v>
      </c>
      <c r="K128" s="1" t="s">
        <v>41</v>
      </c>
      <c r="L128" s="49">
        <v>1</v>
      </c>
      <c r="N128" s="49">
        <v>1</v>
      </c>
      <c r="O128" s="49">
        <v>1.1499999999999999</v>
      </c>
      <c r="P128" s="49">
        <v>1.25</v>
      </c>
      <c r="Q128" s="89">
        <f t="shared" si="3"/>
        <v>1.2</v>
      </c>
      <c r="R128" s="49">
        <v>15.8</v>
      </c>
      <c r="S128" s="49">
        <v>140</v>
      </c>
      <c r="T128" s="50">
        <f t="shared" si="4"/>
        <v>22</v>
      </c>
      <c r="U128" s="49">
        <v>128</v>
      </c>
      <c r="V128" s="50">
        <f t="shared" si="5"/>
        <v>2816</v>
      </c>
      <c r="W128" s="49">
        <v>10</v>
      </c>
      <c r="X128" s="49" t="s">
        <v>51</v>
      </c>
      <c r="Y128" s="49" t="s">
        <v>67</v>
      </c>
      <c r="Z128" s="49" t="s">
        <v>101</v>
      </c>
      <c r="AA128" s="49" t="s">
        <v>85</v>
      </c>
      <c r="AB128" s="49" t="s">
        <v>145</v>
      </c>
    </row>
    <row r="129" spans="1:28" x14ac:dyDescent="0.15">
      <c r="A129" s="49" t="s">
        <v>61</v>
      </c>
      <c r="B129" s="49" t="s">
        <v>143</v>
      </c>
      <c r="C129" s="49">
        <v>2020</v>
      </c>
      <c r="D129" s="88" t="s">
        <v>414</v>
      </c>
      <c r="E129" s="49" t="s">
        <v>179</v>
      </c>
      <c r="F129" s="49" t="s">
        <v>180</v>
      </c>
      <c r="G129" s="49" t="s">
        <v>37</v>
      </c>
      <c r="H129" s="49" t="s">
        <v>63</v>
      </c>
      <c r="I129" s="49" t="s">
        <v>64</v>
      </c>
      <c r="J129" s="1" t="s">
        <v>40</v>
      </c>
      <c r="K129" s="1" t="s">
        <v>41</v>
      </c>
      <c r="L129" s="49">
        <v>2</v>
      </c>
      <c r="N129" s="49">
        <v>1</v>
      </c>
      <c r="O129" s="49">
        <v>1.2</v>
      </c>
      <c r="P129" s="49">
        <v>1.4</v>
      </c>
      <c r="Q129" s="89">
        <f t="shared" si="3"/>
        <v>1.2999999999999998</v>
      </c>
      <c r="R129" s="49">
        <v>15.4</v>
      </c>
      <c r="S129" s="49">
        <v>136</v>
      </c>
      <c r="T129" s="50">
        <f t="shared" si="4"/>
        <v>25</v>
      </c>
      <c r="U129" s="49">
        <v>128</v>
      </c>
      <c r="V129" s="50">
        <f t="shared" si="5"/>
        <v>3200</v>
      </c>
      <c r="W129" s="49">
        <v>10</v>
      </c>
      <c r="X129" s="49" t="s">
        <v>51</v>
      </c>
      <c r="Y129" s="49" t="s">
        <v>67</v>
      </c>
      <c r="Z129" s="49" t="s">
        <v>101</v>
      </c>
      <c r="AA129" s="49" t="s">
        <v>85</v>
      </c>
      <c r="AB129" s="49" t="s">
        <v>145</v>
      </c>
    </row>
    <row r="130" spans="1:28" x14ac:dyDescent="0.15">
      <c r="A130" s="49" t="s">
        <v>61</v>
      </c>
      <c r="B130" s="49" t="s">
        <v>143</v>
      </c>
      <c r="C130" s="49">
        <v>2020</v>
      </c>
      <c r="D130" s="88" t="s">
        <v>414</v>
      </c>
      <c r="E130" s="49" t="s">
        <v>179</v>
      </c>
      <c r="F130" s="49" t="s">
        <v>180</v>
      </c>
      <c r="G130" s="49" t="s">
        <v>37</v>
      </c>
      <c r="H130" s="49" t="s">
        <v>63</v>
      </c>
      <c r="I130" s="49" t="s">
        <v>64</v>
      </c>
      <c r="J130" s="1" t="s">
        <v>40</v>
      </c>
      <c r="K130" s="1" t="s">
        <v>41</v>
      </c>
      <c r="L130" s="49">
        <v>3</v>
      </c>
      <c r="N130" s="49">
        <v>1</v>
      </c>
      <c r="O130" s="49">
        <v>1.3</v>
      </c>
      <c r="P130" s="49">
        <v>1.35</v>
      </c>
      <c r="Q130" s="89">
        <f t="shared" ref="Q130:Q169" si="6">IF(OR(O130="",P130=""),"",AVERAGE(O130,P130))</f>
        <v>1.3250000000000002</v>
      </c>
      <c r="R130" s="49">
        <v>14.8</v>
      </c>
      <c r="S130" s="49">
        <v>136</v>
      </c>
      <c r="T130" s="50">
        <f t="shared" ref="T130:T170" si="7">IF(H130="","",IF(OR(H130="GREEN",H130="GK"),IF(S130&gt;=$AX$2,VLOOKUP(S130,$AX$2:$AY$12,2,1),""),IF(S130&gt;=$AZ$2,VLOOKUP(S130,$AZ$2:$BA$12,2,1),"")))</f>
        <v>25</v>
      </c>
      <c r="U130" s="49">
        <v>128</v>
      </c>
      <c r="V130" s="50">
        <f t="shared" ref="V130:V166" si="8">IF(OR(N130="",U130="",T130=""),"",U130/N130*T130)</f>
        <v>3200</v>
      </c>
      <c r="W130" s="49">
        <v>10</v>
      </c>
      <c r="X130" s="49" t="s">
        <v>51</v>
      </c>
      <c r="Y130" s="49" t="s">
        <v>67</v>
      </c>
      <c r="Z130" s="49" t="s">
        <v>101</v>
      </c>
      <c r="AA130" s="49" t="s">
        <v>85</v>
      </c>
      <c r="AB130" s="49" t="s">
        <v>145</v>
      </c>
    </row>
    <row r="131" spans="1:28" x14ac:dyDescent="0.15">
      <c r="A131" s="49" t="s">
        <v>61</v>
      </c>
      <c r="B131" s="49" t="s">
        <v>143</v>
      </c>
      <c r="C131" s="49">
        <v>2020</v>
      </c>
      <c r="D131" s="88" t="s">
        <v>414</v>
      </c>
      <c r="E131" s="49" t="s">
        <v>179</v>
      </c>
      <c r="F131" s="49" t="s">
        <v>180</v>
      </c>
      <c r="G131" s="49" t="s">
        <v>37</v>
      </c>
      <c r="H131" s="49" t="s">
        <v>63</v>
      </c>
      <c r="I131" s="49" t="s">
        <v>64</v>
      </c>
      <c r="J131" s="1" t="s">
        <v>40</v>
      </c>
      <c r="K131" s="1" t="s">
        <v>41</v>
      </c>
      <c r="L131" s="49">
        <v>1</v>
      </c>
      <c r="N131" s="49">
        <v>4</v>
      </c>
      <c r="O131" s="49">
        <v>1</v>
      </c>
      <c r="P131" s="49">
        <v>0.95</v>
      </c>
      <c r="Q131" s="89">
        <f t="shared" si="6"/>
        <v>0.97499999999999998</v>
      </c>
      <c r="R131" s="49">
        <v>14.1</v>
      </c>
      <c r="S131" s="49">
        <v>95</v>
      </c>
      <c r="T131" s="50">
        <f t="shared" si="7"/>
        <v>36</v>
      </c>
      <c r="U131" s="49">
        <v>398</v>
      </c>
      <c r="V131" s="50">
        <f t="shared" si="8"/>
        <v>3582</v>
      </c>
      <c r="W131" s="49">
        <v>10</v>
      </c>
      <c r="X131" s="49" t="s">
        <v>51</v>
      </c>
      <c r="Y131" s="49" t="s">
        <v>67</v>
      </c>
      <c r="Z131" s="49" t="s">
        <v>101</v>
      </c>
      <c r="AA131" s="49" t="s">
        <v>85</v>
      </c>
      <c r="AB131" s="49" t="s">
        <v>145</v>
      </c>
    </row>
    <row r="132" spans="1:28" x14ac:dyDescent="0.15">
      <c r="A132" s="49" t="s">
        <v>61</v>
      </c>
      <c r="B132" s="49" t="s">
        <v>143</v>
      </c>
      <c r="C132" s="49">
        <v>2020</v>
      </c>
      <c r="D132" s="88" t="s">
        <v>414</v>
      </c>
      <c r="E132" s="49" t="s">
        <v>179</v>
      </c>
      <c r="F132" s="49" t="s">
        <v>180</v>
      </c>
      <c r="G132" s="49" t="s">
        <v>37</v>
      </c>
      <c r="H132" s="49" t="s">
        <v>63</v>
      </c>
      <c r="I132" s="49" t="s">
        <v>64</v>
      </c>
      <c r="J132" s="1" t="s">
        <v>40</v>
      </c>
      <c r="K132" s="1" t="s">
        <v>41</v>
      </c>
      <c r="L132" s="49">
        <v>2</v>
      </c>
      <c r="N132" s="49">
        <v>4</v>
      </c>
      <c r="O132" s="49">
        <v>0.9</v>
      </c>
      <c r="P132" s="49">
        <v>1.1000000000000001</v>
      </c>
      <c r="Q132" s="89">
        <f t="shared" si="6"/>
        <v>1</v>
      </c>
      <c r="R132" s="49">
        <v>14.6</v>
      </c>
      <c r="S132" s="49">
        <v>97</v>
      </c>
      <c r="T132" s="50">
        <f t="shared" si="7"/>
        <v>36</v>
      </c>
      <c r="U132" s="49">
        <v>398</v>
      </c>
      <c r="V132" s="50">
        <f t="shared" si="8"/>
        <v>3582</v>
      </c>
      <c r="W132" s="49">
        <v>10</v>
      </c>
      <c r="X132" s="49" t="s">
        <v>51</v>
      </c>
      <c r="Y132" s="49" t="s">
        <v>67</v>
      </c>
      <c r="Z132" s="49" t="s">
        <v>101</v>
      </c>
      <c r="AA132" s="49" t="s">
        <v>85</v>
      </c>
      <c r="AB132" s="49" t="s">
        <v>145</v>
      </c>
    </row>
    <row r="133" spans="1:28" x14ac:dyDescent="0.15">
      <c r="A133" s="49" t="s">
        <v>61</v>
      </c>
      <c r="B133" s="49" t="s">
        <v>143</v>
      </c>
      <c r="C133" s="49">
        <v>2020</v>
      </c>
      <c r="D133" s="88" t="s">
        <v>414</v>
      </c>
      <c r="E133" s="49" t="s">
        <v>179</v>
      </c>
      <c r="F133" s="49" t="s">
        <v>180</v>
      </c>
      <c r="G133" s="49" t="s">
        <v>37</v>
      </c>
      <c r="H133" s="49" t="s">
        <v>63</v>
      </c>
      <c r="I133" s="49" t="s">
        <v>64</v>
      </c>
      <c r="J133" s="1" t="s">
        <v>40</v>
      </c>
      <c r="K133" s="1" t="s">
        <v>41</v>
      </c>
      <c r="L133" s="49">
        <v>3</v>
      </c>
      <c r="N133" s="49">
        <v>4</v>
      </c>
      <c r="O133" s="49">
        <v>0.9</v>
      </c>
      <c r="P133" s="49">
        <v>0.95</v>
      </c>
      <c r="Q133" s="89">
        <f t="shared" si="6"/>
        <v>0.92500000000000004</v>
      </c>
      <c r="R133" s="49">
        <v>15.5</v>
      </c>
      <c r="S133" s="49">
        <v>100</v>
      </c>
      <c r="T133" s="50">
        <f t="shared" si="7"/>
        <v>33</v>
      </c>
      <c r="U133" s="49">
        <v>398</v>
      </c>
      <c r="V133" s="50">
        <f t="shared" si="8"/>
        <v>3283.5</v>
      </c>
      <c r="W133" s="49">
        <v>10</v>
      </c>
      <c r="X133" s="49" t="s">
        <v>51</v>
      </c>
      <c r="Y133" s="49" t="s">
        <v>67</v>
      </c>
      <c r="Z133" s="49" t="s">
        <v>101</v>
      </c>
      <c r="AA133" s="49" t="s">
        <v>85</v>
      </c>
      <c r="AB133" s="49" t="s">
        <v>145</v>
      </c>
    </row>
    <row r="134" spans="1:28" x14ac:dyDescent="0.15">
      <c r="A134" s="49" t="s">
        <v>61</v>
      </c>
      <c r="B134" s="49" t="s">
        <v>143</v>
      </c>
      <c r="C134" s="49">
        <v>2020</v>
      </c>
      <c r="D134" s="88" t="s">
        <v>414</v>
      </c>
      <c r="E134" s="49" t="s">
        <v>179</v>
      </c>
      <c r="F134" s="49" t="s">
        <v>180</v>
      </c>
      <c r="G134" s="49" t="s">
        <v>37</v>
      </c>
      <c r="H134" s="49" t="s">
        <v>63</v>
      </c>
      <c r="I134" s="49" t="s">
        <v>64</v>
      </c>
      <c r="J134" s="1" t="s">
        <v>40</v>
      </c>
      <c r="K134" s="1" t="s">
        <v>41</v>
      </c>
      <c r="L134" s="49">
        <v>1</v>
      </c>
      <c r="N134" s="49">
        <v>8</v>
      </c>
      <c r="O134" s="49">
        <v>0.25</v>
      </c>
      <c r="P134" s="49">
        <v>0.25</v>
      </c>
      <c r="Q134" s="89">
        <f t="shared" si="6"/>
        <v>0.25</v>
      </c>
      <c r="R134" s="49">
        <v>16.899999999999999</v>
      </c>
      <c r="S134" s="49">
        <v>93</v>
      </c>
      <c r="T134" s="50">
        <f t="shared" si="7"/>
        <v>36</v>
      </c>
      <c r="U134" s="49">
        <v>598</v>
      </c>
      <c r="V134" s="50">
        <f t="shared" si="8"/>
        <v>2691</v>
      </c>
      <c r="W134" s="49">
        <v>10</v>
      </c>
      <c r="X134" s="49" t="s">
        <v>51</v>
      </c>
      <c r="Y134" s="49" t="s">
        <v>67</v>
      </c>
      <c r="Z134" s="49" t="s">
        <v>101</v>
      </c>
      <c r="AA134" s="49" t="s">
        <v>85</v>
      </c>
      <c r="AB134" s="49" t="s">
        <v>145</v>
      </c>
    </row>
    <row r="135" spans="1:28" x14ac:dyDescent="0.15">
      <c r="A135" s="49" t="s">
        <v>61</v>
      </c>
      <c r="B135" s="49" t="s">
        <v>143</v>
      </c>
      <c r="C135" s="49">
        <v>2020</v>
      </c>
      <c r="D135" s="88" t="s">
        <v>414</v>
      </c>
      <c r="E135" s="49" t="s">
        <v>179</v>
      </c>
      <c r="F135" s="49" t="s">
        <v>180</v>
      </c>
      <c r="G135" s="49" t="s">
        <v>37</v>
      </c>
      <c r="H135" s="49" t="s">
        <v>63</v>
      </c>
      <c r="I135" s="49" t="s">
        <v>64</v>
      </c>
      <c r="J135" s="1" t="s">
        <v>40</v>
      </c>
      <c r="K135" s="1" t="s">
        <v>41</v>
      </c>
      <c r="L135" s="49">
        <v>2</v>
      </c>
      <c r="N135" s="49">
        <v>8</v>
      </c>
      <c r="O135" s="49">
        <v>0.25</v>
      </c>
      <c r="P135" s="49">
        <v>0.25</v>
      </c>
      <c r="Q135" s="89">
        <f t="shared" si="6"/>
        <v>0.25</v>
      </c>
      <c r="R135" s="49">
        <v>16.3</v>
      </c>
      <c r="S135" s="49">
        <v>102</v>
      </c>
      <c r="T135" s="50">
        <f t="shared" si="7"/>
        <v>33</v>
      </c>
      <c r="U135" s="49">
        <v>598</v>
      </c>
      <c r="V135" s="50">
        <f t="shared" si="8"/>
        <v>2466.75</v>
      </c>
      <c r="W135" s="49">
        <v>10</v>
      </c>
      <c r="X135" s="49" t="s">
        <v>51</v>
      </c>
      <c r="Y135" s="49" t="s">
        <v>67</v>
      </c>
      <c r="Z135" s="49" t="s">
        <v>101</v>
      </c>
      <c r="AA135" s="49" t="s">
        <v>85</v>
      </c>
      <c r="AB135" s="49" t="s">
        <v>145</v>
      </c>
    </row>
    <row r="136" spans="1:28" x14ac:dyDescent="0.15">
      <c r="A136" s="49" t="s">
        <v>61</v>
      </c>
      <c r="B136" s="49" t="s">
        <v>143</v>
      </c>
      <c r="C136" s="49">
        <v>2020</v>
      </c>
      <c r="D136" s="88" t="s">
        <v>414</v>
      </c>
      <c r="E136" s="49" t="s">
        <v>179</v>
      </c>
      <c r="F136" s="49" t="s">
        <v>180</v>
      </c>
      <c r="G136" s="49" t="s">
        <v>37</v>
      </c>
      <c r="H136" s="49" t="s">
        <v>63</v>
      </c>
      <c r="I136" s="49" t="s">
        <v>64</v>
      </c>
      <c r="J136" s="1" t="s">
        <v>40</v>
      </c>
      <c r="K136" s="1" t="s">
        <v>41</v>
      </c>
      <c r="L136" s="49">
        <v>3</v>
      </c>
      <c r="N136" s="49">
        <v>8</v>
      </c>
      <c r="O136" s="49">
        <v>0.5</v>
      </c>
      <c r="P136" s="49">
        <v>0.55000000000000004</v>
      </c>
      <c r="Q136" s="89">
        <f t="shared" si="6"/>
        <v>0.52500000000000002</v>
      </c>
      <c r="R136" s="49">
        <v>15.6</v>
      </c>
      <c r="S136" s="49">
        <v>92</v>
      </c>
      <c r="T136" s="50">
        <f t="shared" si="7"/>
        <v>36</v>
      </c>
      <c r="U136" s="49">
        <v>598</v>
      </c>
      <c r="V136" s="50">
        <f t="shared" si="8"/>
        <v>2691</v>
      </c>
      <c r="W136" s="49">
        <v>10</v>
      </c>
      <c r="X136" s="49" t="s">
        <v>51</v>
      </c>
      <c r="Y136" s="49" t="s">
        <v>67</v>
      </c>
      <c r="Z136" s="49" t="s">
        <v>101</v>
      </c>
      <c r="AA136" s="49" t="s">
        <v>85</v>
      </c>
      <c r="AB136" s="49" t="s">
        <v>145</v>
      </c>
    </row>
    <row r="137" spans="1:28" x14ac:dyDescent="0.15">
      <c r="A137" s="49" t="s">
        <v>61</v>
      </c>
      <c r="B137" s="49" t="s">
        <v>143</v>
      </c>
      <c r="C137" s="49">
        <v>2020</v>
      </c>
      <c r="D137" s="88" t="s">
        <v>414</v>
      </c>
      <c r="E137" s="49" t="s">
        <v>179</v>
      </c>
      <c r="F137" s="49" t="s">
        <v>180</v>
      </c>
      <c r="G137" s="49" t="s">
        <v>37</v>
      </c>
      <c r="H137" s="49" t="s">
        <v>82</v>
      </c>
      <c r="I137" s="49" t="s">
        <v>64</v>
      </c>
      <c r="J137" s="1" t="s">
        <v>40</v>
      </c>
      <c r="K137" s="1" t="s">
        <v>41</v>
      </c>
      <c r="L137" s="49">
        <v>1</v>
      </c>
      <c r="N137" s="49">
        <v>1</v>
      </c>
      <c r="O137" s="49">
        <v>1.1000000000000001</v>
      </c>
      <c r="P137" s="49">
        <v>1.3</v>
      </c>
      <c r="Q137" s="89">
        <f t="shared" si="6"/>
        <v>1.2000000000000002</v>
      </c>
      <c r="R137" s="49">
        <v>15.7</v>
      </c>
      <c r="S137" s="49">
        <v>160</v>
      </c>
      <c r="T137" s="50">
        <f t="shared" si="7"/>
        <v>18</v>
      </c>
      <c r="U137" s="49">
        <v>128</v>
      </c>
      <c r="V137" s="50">
        <f t="shared" si="8"/>
        <v>2304</v>
      </c>
      <c r="W137" s="49">
        <v>10</v>
      </c>
      <c r="X137" s="49" t="s">
        <v>51</v>
      </c>
      <c r="Y137" s="49" t="s">
        <v>67</v>
      </c>
      <c r="Z137" s="49" t="s">
        <v>101</v>
      </c>
      <c r="AA137" s="49" t="s">
        <v>85</v>
      </c>
      <c r="AB137" s="49" t="s">
        <v>145</v>
      </c>
    </row>
    <row r="138" spans="1:28" x14ac:dyDescent="0.15">
      <c r="A138" s="49" t="s">
        <v>61</v>
      </c>
      <c r="B138" s="49" t="s">
        <v>143</v>
      </c>
      <c r="C138" s="49">
        <v>2020</v>
      </c>
      <c r="D138" s="88" t="s">
        <v>414</v>
      </c>
      <c r="E138" s="49" t="s">
        <v>179</v>
      </c>
      <c r="F138" s="49" t="s">
        <v>180</v>
      </c>
      <c r="G138" s="49" t="s">
        <v>37</v>
      </c>
      <c r="H138" s="49" t="s">
        <v>82</v>
      </c>
      <c r="I138" s="49" t="s">
        <v>64</v>
      </c>
      <c r="J138" s="1" t="s">
        <v>40</v>
      </c>
      <c r="K138" s="1" t="s">
        <v>41</v>
      </c>
      <c r="L138" s="49">
        <v>2</v>
      </c>
      <c r="N138" s="49">
        <v>1</v>
      </c>
      <c r="O138" s="49">
        <v>1.2</v>
      </c>
      <c r="P138" s="49">
        <v>1.1499999999999999</v>
      </c>
      <c r="Q138" s="89">
        <f t="shared" si="6"/>
        <v>1.1749999999999998</v>
      </c>
      <c r="R138" s="49">
        <v>16</v>
      </c>
      <c r="S138" s="49">
        <v>156</v>
      </c>
      <c r="T138" s="50">
        <f t="shared" si="7"/>
        <v>18</v>
      </c>
      <c r="U138" s="49">
        <v>128</v>
      </c>
      <c r="V138" s="50">
        <f t="shared" si="8"/>
        <v>2304</v>
      </c>
      <c r="W138" s="49">
        <v>10</v>
      </c>
      <c r="X138" s="49" t="s">
        <v>51</v>
      </c>
      <c r="Y138" s="49" t="s">
        <v>67</v>
      </c>
      <c r="Z138" s="49" t="s">
        <v>101</v>
      </c>
      <c r="AA138" s="49" t="s">
        <v>85</v>
      </c>
      <c r="AB138" s="49" t="s">
        <v>145</v>
      </c>
    </row>
    <row r="139" spans="1:28" x14ac:dyDescent="0.15">
      <c r="A139" s="49" t="s">
        <v>61</v>
      </c>
      <c r="B139" s="49" t="s">
        <v>143</v>
      </c>
      <c r="C139" s="49">
        <v>2020</v>
      </c>
      <c r="D139" s="88" t="s">
        <v>414</v>
      </c>
      <c r="E139" s="49" t="s">
        <v>179</v>
      </c>
      <c r="F139" s="49" t="s">
        <v>180</v>
      </c>
      <c r="G139" s="49" t="s">
        <v>37</v>
      </c>
      <c r="H139" s="49" t="s">
        <v>82</v>
      </c>
      <c r="I139" s="49" t="s">
        <v>64</v>
      </c>
      <c r="J139" s="1" t="s">
        <v>40</v>
      </c>
      <c r="K139" s="1" t="s">
        <v>41</v>
      </c>
      <c r="L139" s="49">
        <v>3</v>
      </c>
      <c r="N139" s="49">
        <v>1</v>
      </c>
      <c r="O139" s="49">
        <v>1.1499999999999999</v>
      </c>
      <c r="P139" s="49">
        <v>1.1000000000000001</v>
      </c>
      <c r="Q139" s="89">
        <f t="shared" si="6"/>
        <v>1.125</v>
      </c>
      <c r="R139" s="49">
        <v>16.2</v>
      </c>
      <c r="S139" s="49">
        <v>164</v>
      </c>
      <c r="T139" s="50">
        <f t="shared" si="7"/>
        <v>18</v>
      </c>
      <c r="U139" s="49">
        <v>128</v>
      </c>
      <c r="V139" s="50">
        <f t="shared" si="8"/>
        <v>2304</v>
      </c>
      <c r="W139" s="49">
        <v>10</v>
      </c>
      <c r="X139" s="49" t="s">
        <v>51</v>
      </c>
      <c r="Y139" s="49" t="s">
        <v>67</v>
      </c>
      <c r="Z139" s="49" t="s">
        <v>101</v>
      </c>
      <c r="AA139" s="49" t="s">
        <v>85</v>
      </c>
      <c r="AB139" s="49" t="s">
        <v>145</v>
      </c>
    </row>
    <row r="140" spans="1:28" x14ac:dyDescent="0.15">
      <c r="A140" s="49" t="s">
        <v>61</v>
      </c>
      <c r="B140" s="49" t="s">
        <v>143</v>
      </c>
      <c r="C140" s="49">
        <v>2020</v>
      </c>
      <c r="D140" s="88" t="s">
        <v>414</v>
      </c>
      <c r="E140" s="49" t="s">
        <v>179</v>
      </c>
      <c r="F140" s="49" t="s">
        <v>180</v>
      </c>
      <c r="G140" s="49" t="s">
        <v>37</v>
      </c>
      <c r="H140" s="49" t="s">
        <v>82</v>
      </c>
      <c r="I140" s="49" t="s">
        <v>64</v>
      </c>
      <c r="J140" s="1" t="s">
        <v>40</v>
      </c>
      <c r="K140" s="1" t="s">
        <v>41</v>
      </c>
      <c r="L140" s="49">
        <v>1</v>
      </c>
      <c r="N140" s="49">
        <v>4</v>
      </c>
      <c r="O140" s="49">
        <v>0.95</v>
      </c>
      <c r="P140" s="49">
        <v>1</v>
      </c>
      <c r="Q140" s="89">
        <f t="shared" si="6"/>
        <v>0.97499999999999998</v>
      </c>
      <c r="R140" s="49">
        <v>16.7</v>
      </c>
      <c r="S140" s="49">
        <v>112</v>
      </c>
      <c r="T140" s="50">
        <f t="shared" si="7"/>
        <v>33</v>
      </c>
      <c r="U140" s="49">
        <v>498</v>
      </c>
      <c r="V140" s="50">
        <f t="shared" si="8"/>
        <v>4108.5</v>
      </c>
      <c r="W140" s="49">
        <v>10</v>
      </c>
      <c r="X140" s="49" t="s">
        <v>51</v>
      </c>
      <c r="Y140" s="49" t="s">
        <v>67</v>
      </c>
      <c r="Z140" s="49" t="s">
        <v>101</v>
      </c>
      <c r="AA140" s="49" t="s">
        <v>85</v>
      </c>
      <c r="AB140" s="49" t="s">
        <v>145</v>
      </c>
    </row>
    <row r="141" spans="1:28" x14ac:dyDescent="0.15">
      <c r="A141" s="49" t="s">
        <v>61</v>
      </c>
      <c r="B141" s="49" t="s">
        <v>143</v>
      </c>
      <c r="C141" s="49">
        <v>2020</v>
      </c>
      <c r="D141" s="88" t="s">
        <v>414</v>
      </c>
      <c r="E141" s="49" t="s">
        <v>179</v>
      </c>
      <c r="F141" s="49" t="s">
        <v>180</v>
      </c>
      <c r="G141" s="49" t="s">
        <v>37</v>
      </c>
      <c r="H141" s="49" t="s">
        <v>82</v>
      </c>
      <c r="I141" s="49" t="s">
        <v>64</v>
      </c>
      <c r="J141" s="1" t="s">
        <v>40</v>
      </c>
      <c r="K141" s="1" t="s">
        <v>41</v>
      </c>
      <c r="L141" s="49">
        <v>2</v>
      </c>
      <c r="N141" s="49">
        <v>4</v>
      </c>
      <c r="O141" s="49">
        <v>0.9</v>
      </c>
      <c r="P141" s="49">
        <v>0.95</v>
      </c>
      <c r="Q141" s="89">
        <f t="shared" si="6"/>
        <v>0.92500000000000004</v>
      </c>
      <c r="R141" s="49">
        <v>16.5</v>
      </c>
      <c r="S141" s="49">
        <v>108</v>
      </c>
      <c r="T141" s="50">
        <f t="shared" si="7"/>
        <v>33</v>
      </c>
      <c r="U141" s="49">
        <v>498</v>
      </c>
      <c r="V141" s="50">
        <f t="shared" si="8"/>
        <v>4108.5</v>
      </c>
      <c r="W141" s="49">
        <v>10</v>
      </c>
      <c r="X141" s="49" t="s">
        <v>51</v>
      </c>
      <c r="Y141" s="49" t="s">
        <v>67</v>
      </c>
      <c r="Z141" s="49" t="s">
        <v>101</v>
      </c>
      <c r="AA141" s="49" t="s">
        <v>85</v>
      </c>
      <c r="AB141" s="49" t="s">
        <v>145</v>
      </c>
    </row>
    <row r="142" spans="1:28" x14ac:dyDescent="0.15">
      <c r="A142" s="49" t="s">
        <v>61</v>
      </c>
      <c r="B142" s="49" t="s">
        <v>143</v>
      </c>
      <c r="C142" s="49">
        <v>2020</v>
      </c>
      <c r="D142" s="88" t="s">
        <v>414</v>
      </c>
      <c r="E142" s="49" t="s">
        <v>179</v>
      </c>
      <c r="F142" s="49" t="s">
        <v>180</v>
      </c>
      <c r="G142" s="49" t="s">
        <v>37</v>
      </c>
      <c r="H142" s="49" t="s">
        <v>82</v>
      </c>
      <c r="I142" s="49" t="s">
        <v>64</v>
      </c>
      <c r="J142" s="1" t="s">
        <v>40</v>
      </c>
      <c r="K142" s="1" t="s">
        <v>41</v>
      </c>
      <c r="L142" s="49">
        <v>3</v>
      </c>
      <c r="N142" s="49">
        <v>4</v>
      </c>
      <c r="O142" s="49">
        <v>0.9</v>
      </c>
      <c r="P142" s="49">
        <v>0.85</v>
      </c>
      <c r="Q142" s="89">
        <f t="shared" si="6"/>
        <v>0.875</v>
      </c>
      <c r="R142" s="49">
        <v>17.100000000000001</v>
      </c>
      <c r="S142" s="49">
        <v>114</v>
      </c>
      <c r="T142" s="50">
        <f t="shared" si="7"/>
        <v>30</v>
      </c>
      <c r="U142" s="49">
        <v>498</v>
      </c>
      <c r="V142" s="50">
        <f t="shared" si="8"/>
        <v>3735</v>
      </c>
      <c r="W142" s="49">
        <v>10</v>
      </c>
      <c r="X142" s="49" t="s">
        <v>51</v>
      </c>
      <c r="Y142" s="49" t="s">
        <v>67</v>
      </c>
      <c r="Z142" s="49" t="s">
        <v>101</v>
      </c>
      <c r="AA142" s="49" t="s">
        <v>85</v>
      </c>
      <c r="AB142" s="49" t="s">
        <v>145</v>
      </c>
    </row>
    <row r="143" spans="1:28" x14ac:dyDescent="0.15">
      <c r="A143" s="49" t="s">
        <v>61</v>
      </c>
      <c r="B143" s="49" t="s">
        <v>143</v>
      </c>
      <c r="C143" s="49">
        <v>2020</v>
      </c>
      <c r="D143" s="88" t="s">
        <v>414</v>
      </c>
      <c r="E143" s="49" t="s">
        <v>179</v>
      </c>
      <c r="F143" s="49" t="s">
        <v>180</v>
      </c>
      <c r="G143" s="49" t="s">
        <v>37</v>
      </c>
      <c r="H143" s="49" t="s">
        <v>82</v>
      </c>
      <c r="I143" s="49" t="s">
        <v>64</v>
      </c>
      <c r="J143" s="1" t="s">
        <v>40</v>
      </c>
      <c r="K143" s="1" t="s">
        <v>41</v>
      </c>
      <c r="L143" s="49">
        <v>1</v>
      </c>
      <c r="N143" s="49">
        <v>8</v>
      </c>
      <c r="O143" s="49">
        <v>0.8</v>
      </c>
      <c r="P143" s="49">
        <v>0.75</v>
      </c>
      <c r="Q143" s="89">
        <f t="shared" si="6"/>
        <v>0.77500000000000002</v>
      </c>
      <c r="R143" s="49">
        <v>18.2</v>
      </c>
      <c r="S143" s="49">
        <v>104</v>
      </c>
      <c r="T143" s="50">
        <f t="shared" si="7"/>
        <v>33</v>
      </c>
      <c r="U143" s="49">
        <v>780</v>
      </c>
      <c r="V143" s="50">
        <f t="shared" si="8"/>
        <v>3217.5</v>
      </c>
      <c r="W143" s="49">
        <v>10</v>
      </c>
      <c r="X143" s="49" t="s">
        <v>51</v>
      </c>
      <c r="Y143" s="49" t="s">
        <v>67</v>
      </c>
      <c r="Z143" s="49" t="s">
        <v>101</v>
      </c>
      <c r="AA143" s="49" t="s">
        <v>85</v>
      </c>
      <c r="AB143" s="49" t="s">
        <v>145</v>
      </c>
    </row>
    <row r="144" spans="1:28" x14ac:dyDescent="0.15">
      <c r="A144" s="49" t="s">
        <v>61</v>
      </c>
      <c r="B144" s="49" t="s">
        <v>143</v>
      </c>
      <c r="C144" s="49">
        <v>2020</v>
      </c>
      <c r="D144" s="88" t="s">
        <v>414</v>
      </c>
      <c r="E144" s="49" t="s">
        <v>179</v>
      </c>
      <c r="F144" s="49" t="s">
        <v>180</v>
      </c>
      <c r="G144" s="49" t="s">
        <v>37</v>
      </c>
      <c r="H144" s="49" t="s">
        <v>82</v>
      </c>
      <c r="I144" s="49" t="s">
        <v>64</v>
      </c>
      <c r="J144" s="1" t="s">
        <v>40</v>
      </c>
      <c r="K144" s="1" t="s">
        <v>41</v>
      </c>
      <c r="L144" s="49">
        <v>2</v>
      </c>
      <c r="N144" s="49">
        <v>8</v>
      </c>
      <c r="O144" s="49">
        <v>0.65</v>
      </c>
      <c r="P144" s="49">
        <v>0.7</v>
      </c>
      <c r="Q144" s="89">
        <f t="shared" si="6"/>
        <v>0.67500000000000004</v>
      </c>
      <c r="R144" s="49">
        <v>17.5</v>
      </c>
      <c r="S144" s="49">
        <v>98</v>
      </c>
      <c r="T144" s="50">
        <f t="shared" si="7"/>
        <v>36</v>
      </c>
      <c r="U144" s="49">
        <v>780</v>
      </c>
      <c r="V144" s="50">
        <f t="shared" si="8"/>
        <v>3510</v>
      </c>
      <c r="W144" s="49">
        <v>10</v>
      </c>
      <c r="X144" s="49" t="s">
        <v>51</v>
      </c>
      <c r="Y144" s="49" t="s">
        <v>67</v>
      </c>
      <c r="Z144" s="49" t="s">
        <v>101</v>
      </c>
      <c r="AA144" s="49" t="s">
        <v>85</v>
      </c>
      <c r="AB144" s="49" t="s">
        <v>145</v>
      </c>
    </row>
    <row r="145" spans="1:28" x14ac:dyDescent="0.15">
      <c r="A145" s="49" t="s">
        <v>61</v>
      </c>
      <c r="B145" s="49" t="s">
        <v>143</v>
      </c>
      <c r="C145" s="49">
        <v>2020</v>
      </c>
      <c r="D145" s="88" t="s">
        <v>414</v>
      </c>
      <c r="E145" s="49" t="s">
        <v>179</v>
      </c>
      <c r="F145" s="49" t="s">
        <v>180</v>
      </c>
      <c r="G145" s="49" t="s">
        <v>37</v>
      </c>
      <c r="H145" s="49" t="s">
        <v>82</v>
      </c>
      <c r="I145" s="49" t="s">
        <v>64</v>
      </c>
      <c r="J145" s="1" t="s">
        <v>40</v>
      </c>
      <c r="K145" s="1" t="s">
        <v>41</v>
      </c>
      <c r="L145" s="49">
        <v>3</v>
      </c>
      <c r="N145" s="49">
        <v>8</v>
      </c>
      <c r="O145" s="49">
        <v>0.7</v>
      </c>
      <c r="P145" s="49">
        <v>0.75</v>
      </c>
      <c r="Q145" s="89">
        <f t="shared" si="6"/>
        <v>0.72499999999999998</v>
      </c>
      <c r="R145" s="49">
        <v>17.7</v>
      </c>
      <c r="S145" s="49">
        <v>102</v>
      </c>
      <c r="T145" s="50">
        <f t="shared" si="7"/>
        <v>33</v>
      </c>
      <c r="U145" s="49">
        <v>780</v>
      </c>
      <c r="V145" s="50">
        <f t="shared" si="8"/>
        <v>3217.5</v>
      </c>
      <c r="W145" s="49">
        <v>10</v>
      </c>
      <c r="X145" s="49" t="s">
        <v>51</v>
      </c>
      <c r="Y145" s="49" t="s">
        <v>67</v>
      </c>
      <c r="Z145" s="49" t="s">
        <v>101</v>
      </c>
      <c r="AA145" s="49" t="s">
        <v>85</v>
      </c>
      <c r="AB145" s="49" t="s">
        <v>145</v>
      </c>
    </row>
    <row r="146" spans="1:28" x14ac:dyDescent="0.15">
      <c r="A146" s="49" t="s">
        <v>61</v>
      </c>
      <c r="B146" s="49" t="s">
        <v>143</v>
      </c>
      <c r="C146" s="49">
        <v>2020</v>
      </c>
      <c r="D146" s="88" t="s">
        <v>414</v>
      </c>
      <c r="E146" s="49" t="s">
        <v>181</v>
      </c>
      <c r="F146" s="49" t="s">
        <v>182</v>
      </c>
      <c r="G146" s="49" t="s">
        <v>37</v>
      </c>
      <c r="H146" s="49" t="s">
        <v>63</v>
      </c>
      <c r="I146" s="49" t="s">
        <v>64</v>
      </c>
      <c r="J146" s="1" t="s">
        <v>40</v>
      </c>
      <c r="K146" s="1" t="s">
        <v>41</v>
      </c>
      <c r="L146" s="49">
        <v>1</v>
      </c>
      <c r="N146" s="49">
        <v>1</v>
      </c>
      <c r="O146" s="49">
        <v>0.95</v>
      </c>
      <c r="P146" s="49">
        <v>1</v>
      </c>
      <c r="Q146" s="89">
        <f t="shared" si="6"/>
        <v>0.97499999999999998</v>
      </c>
      <c r="R146" s="49">
        <v>17.600000000000001</v>
      </c>
      <c r="S146" s="49">
        <v>110</v>
      </c>
      <c r="T146" s="50">
        <f t="shared" si="7"/>
        <v>33</v>
      </c>
      <c r="U146" s="49">
        <v>78</v>
      </c>
      <c r="V146" s="50">
        <f t="shared" si="8"/>
        <v>2574</v>
      </c>
      <c r="W146" s="49">
        <v>11</v>
      </c>
      <c r="X146" s="49" t="s">
        <v>51</v>
      </c>
      <c r="Y146" s="49" t="s">
        <v>67</v>
      </c>
      <c r="Z146" s="49" t="s">
        <v>101</v>
      </c>
      <c r="AA146" s="49" t="s">
        <v>52</v>
      </c>
      <c r="AB146" s="49" t="s">
        <v>145</v>
      </c>
    </row>
    <row r="147" spans="1:28" x14ac:dyDescent="0.15">
      <c r="A147" s="49" t="s">
        <v>61</v>
      </c>
      <c r="B147" s="49" t="s">
        <v>143</v>
      </c>
      <c r="C147" s="49">
        <v>2020</v>
      </c>
      <c r="D147" s="88" t="s">
        <v>414</v>
      </c>
      <c r="E147" s="49" t="s">
        <v>181</v>
      </c>
      <c r="F147" s="49" t="s">
        <v>182</v>
      </c>
      <c r="G147" s="49" t="s">
        <v>37</v>
      </c>
      <c r="H147" s="49" t="s">
        <v>63</v>
      </c>
      <c r="I147" s="49" t="s">
        <v>64</v>
      </c>
      <c r="J147" s="1" t="s">
        <v>40</v>
      </c>
      <c r="K147" s="1" t="s">
        <v>41</v>
      </c>
      <c r="L147" s="49">
        <v>2</v>
      </c>
      <c r="N147" s="49">
        <v>1</v>
      </c>
      <c r="O147" s="49">
        <v>1</v>
      </c>
      <c r="P147" s="49">
        <v>0.95</v>
      </c>
      <c r="Q147" s="89">
        <f t="shared" si="6"/>
        <v>0.97499999999999998</v>
      </c>
      <c r="R147" s="49">
        <v>17.899999999999999</v>
      </c>
      <c r="S147" s="49">
        <v>114</v>
      </c>
      <c r="T147" s="50">
        <f t="shared" si="7"/>
        <v>30</v>
      </c>
      <c r="U147" s="49">
        <v>78</v>
      </c>
      <c r="V147" s="50">
        <f t="shared" si="8"/>
        <v>2340</v>
      </c>
      <c r="W147" s="49">
        <v>11</v>
      </c>
      <c r="X147" s="49" t="s">
        <v>51</v>
      </c>
      <c r="Y147" s="49" t="s">
        <v>67</v>
      </c>
      <c r="Z147" s="49" t="s">
        <v>101</v>
      </c>
      <c r="AA147" s="49" t="s">
        <v>52</v>
      </c>
      <c r="AB147" s="49" t="s">
        <v>145</v>
      </c>
    </row>
    <row r="148" spans="1:28" x14ac:dyDescent="0.15">
      <c r="A148" s="49" t="s">
        <v>61</v>
      </c>
      <c r="B148" s="49" t="s">
        <v>143</v>
      </c>
      <c r="C148" s="49">
        <v>2020</v>
      </c>
      <c r="D148" s="88" t="s">
        <v>414</v>
      </c>
      <c r="E148" s="49" t="s">
        <v>181</v>
      </c>
      <c r="F148" s="49" t="s">
        <v>182</v>
      </c>
      <c r="G148" s="49" t="s">
        <v>37</v>
      </c>
      <c r="H148" s="49" t="s">
        <v>63</v>
      </c>
      <c r="I148" s="49" t="s">
        <v>64</v>
      </c>
      <c r="J148" s="1" t="s">
        <v>40</v>
      </c>
      <c r="K148" s="1" t="s">
        <v>41</v>
      </c>
      <c r="L148" s="49">
        <v>3</v>
      </c>
      <c r="N148" s="49">
        <v>1</v>
      </c>
      <c r="O148" s="49">
        <v>0.95</v>
      </c>
      <c r="P148" s="49">
        <v>1.1499999999999999</v>
      </c>
      <c r="Q148" s="89">
        <f t="shared" si="6"/>
        <v>1.0499999999999998</v>
      </c>
      <c r="R148" s="49">
        <v>18.2</v>
      </c>
      <c r="S148" s="49">
        <v>108</v>
      </c>
      <c r="T148" s="50">
        <f t="shared" si="7"/>
        <v>33</v>
      </c>
      <c r="U148" s="49">
        <v>78</v>
      </c>
      <c r="V148" s="50">
        <f t="shared" si="8"/>
        <v>2574</v>
      </c>
      <c r="W148" s="49">
        <v>11</v>
      </c>
      <c r="X148" s="49" t="s">
        <v>51</v>
      </c>
      <c r="Y148" s="49" t="s">
        <v>67</v>
      </c>
      <c r="Z148" s="49" t="s">
        <v>101</v>
      </c>
      <c r="AA148" s="49" t="s">
        <v>52</v>
      </c>
      <c r="AB148" s="49" t="s">
        <v>145</v>
      </c>
    </row>
    <row r="149" spans="1:28" x14ac:dyDescent="0.15">
      <c r="A149" s="49" t="s">
        <v>61</v>
      </c>
      <c r="B149" s="49" t="s">
        <v>143</v>
      </c>
      <c r="C149" s="49">
        <v>2020</v>
      </c>
      <c r="D149" s="88" t="s">
        <v>414</v>
      </c>
      <c r="E149" s="49" t="s">
        <v>181</v>
      </c>
      <c r="F149" s="49" t="s">
        <v>182</v>
      </c>
      <c r="G149" s="49" t="s">
        <v>37</v>
      </c>
      <c r="H149" s="49" t="s">
        <v>63</v>
      </c>
      <c r="I149" s="49" t="s">
        <v>64</v>
      </c>
      <c r="J149" s="1" t="s">
        <v>40</v>
      </c>
      <c r="K149" s="1" t="s">
        <v>41</v>
      </c>
      <c r="L149" s="49">
        <v>1</v>
      </c>
      <c r="N149" s="49">
        <v>5</v>
      </c>
      <c r="O149" s="49">
        <v>0.65</v>
      </c>
      <c r="P149" s="49">
        <v>0.6</v>
      </c>
      <c r="Q149" s="89">
        <f t="shared" si="6"/>
        <v>0.625</v>
      </c>
      <c r="R149" s="49">
        <v>16.8</v>
      </c>
      <c r="S149" s="49">
        <v>86</v>
      </c>
      <c r="T149" s="50">
        <f t="shared" si="7"/>
        <v>36</v>
      </c>
      <c r="U149" s="49">
        <v>398</v>
      </c>
      <c r="V149" s="50">
        <f t="shared" si="8"/>
        <v>2865.6</v>
      </c>
      <c r="W149" s="49">
        <v>11</v>
      </c>
      <c r="X149" s="49" t="s">
        <v>51</v>
      </c>
      <c r="Y149" s="49" t="s">
        <v>67</v>
      </c>
      <c r="Z149" s="49" t="s">
        <v>101</v>
      </c>
      <c r="AA149" s="49" t="s">
        <v>52</v>
      </c>
      <c r="AB149" s="49" t="s">
        <v>145</v>
      </c>
    </row>
    <row r="150" spans="1:28" x14ac:dyDescent="0.15">
      <c r="A150" s="49" t="s">
        <v>61</v>
      </c>
      <c r="B150" s="49" t="s">
        <v>143</v>
      </c>
      <c r="C150" s="49">
        <v>2020</v>
      </c>
      <c r="D150" s="88" t="s">
        <v>414</v>
      </c>
      <c r="E150" s="49" t="s">
        <v>181</v>
      </c>
      <c r="F150" s="49" t="s">
        <v>182</v>
      </c>
      <c r="G150" s="49" t="s">
        <v>37</v>
      </c>
      <c r="H150" s="49" t="s">
        <v>63</v>
      </c>
      <c r="I150" s="49" t="s">
        <v>64</v>
      </c>
      <c r="J150" s="1" t="s">
        <v>40</v>
      </c>
      <c r="K150" s="1" t="s">
        <v>41</v>
      </c>
      <c r="L150" s="49">
        <v>2</v>
      </c>
      <c r="N150" s="49">
        <v>5</v>
      </c>
      <c r="O150" s="49">
        <v>0.7</v>
      </c>
      <c r="P150" s="49">
        <v>0.65</v>
      </c>
      <c r="Q150" s="89">
        <f t="shared" si="6"/>
        <v>0.67500000000000004</v>
      </c>
      <c r="R150" s="49">
        <v>17.399999999999999</v>
      </c>
      <c r="S150" s="49">
        <v>89</v>
      </c>
      <c r="T150" s="50">
        <f t="shared" si="7"/>
        <v>36</v>
      </c>
      <c r="U150" s="49">
        <v>398</v>
      </c>
      <c r="V150" s="50">
        <f t="shared" si="8"/>
        <v>2865.6</v>
      </c>
      <c r="W150" s="49">
        <v>11</v>
      </c>
      <c r="X150" s="49" t="s">
        <v>51</v>
      </c>
      <c r="Y150" s="49" t="s">
        <v>67</v>
      </c>
      <c r="Z150" s="49" t="s">
        <v>101</v>
      </c>
      <c r="AA150" s="49" t="s">
        <v>52</v>
      </c>
      <c r="AB150" s="49" t="s">
        <v>145</v>
      </c>
    </row>
    <row r="151" spans="1:28" x14ac:dyDescent="0.15">
      <c r="A151" s="49" t="s">
        <v>61</v>
      </c>
      <c r="B151" s="49" t="s">
        <v>143</v>
      </c>
      <c r="C151" s="49">
        <v>2020</v>
      </c>
      <c r="D151" s="88" t="s">
        <v>414</v>
      </c>
      <c r="E151" s="49" t="s">
        <v>181</v>
      </c>
      <c r="F151" s="49" t="s">
        <v>182</v>
      </c>
      <c r="G151" s="49" t="s">
        <v>37</v>
      </c>
      <c r="H151" s="49" t="s">
        <v>63</v>
      </c>
      <c r="I151" s="49" t="s">
        <v>64</v>
      </c>
      <c r="J151" s="1" t="s">
        <v>40</v>
      </c>
      <c r="K151" s="1" t="s">
        <v>41</v>
      </c>
      <c r="L151" s="49">
        <v>3</v>
      </c>
      <c r="N151" s="49">
        <v>5</v>
      </c>
      <c r="O151" s="49">
        <v>0.8</v>
      </c>
      <c r="P151" s="49">
        <v>0.75</v>
      </c>
      <c r="Q151" s="89">
        <f t="shared" si="6"/>
        <v>0.77500000000000002</v>
      </c>
      <c r="R151" s="49">
        <v>17.600000000000001</v>
      </c>
      <c r="S151" s="49">
        <v>92</v>
      </c>
      <c r="T151" s="50">
        <f t="shared" si="7"/>
        <v>36</v>
      </c>
      <c r="U151" s="49">
        <v>398</v>
      </c>
      <c r="V151" s="50">
        <f t="shared" si="8"/>
        <v>2865.6</v>
      </c>
      <c r="W151" s="49">
        <v>11</v>
      </c>
      <c r="X151" s="49" t="s">
        <v>51</v>
      </c>
      <c r="Y151" s="49" t="s">
        <v>67</v>
      </c>
      <c r="Z151" s="49" t="s">
        <v>101</v>
      </c>
      <c r="AA151" s="49" t="s">
        <v>52</v>
      </c>
      <c r="AB151" s="49" t="s">
        <v>145</v>
      </c>
    </row>
    <row r="152" spans="1:28" x14ac:dyDescent="0.15">
      <c r="A152" s="49" t="s">
        <v>61</v>
      </c>
      <c r="B152" s="49" t="s">
        <v>143</v>
      </c>
      <c r="C152" s="49">
        <v>2020</v>
      </c>
      <c r="D152" s="88" t="s">
        <v>414</v>
      </c>
      <c r="E152" s="49" t="s">
        <v>181</v>
      </c>
      <c r="F152" s="49" t="s">
        <v>182</v>
      </c>
      <c r="G152" s="49" t="s">
        <v>37</v>
      </c>
      <c r="H152" s="49" t="s">
        <v>63</v>
      </c>
      <c r="I152" s="49" t="s">
        <v>64</v>
      </c>
      <c r="J152" s="1" t="s">
        <v>40</v>
      </c>
      <c r="K152" s="1" t="s">
        <v>41</v>
      </c>
      <c r="L152" s="49">
        <v>1</v>
      </c>
      <c r="N152" s="49">
        <v>8</v>
      </c>
      <c r="O152" s="49">
        <v>1</v>
      </c>
      <c r="P152" s="49">
        <v>1</v>
      </c>
      <c r="Q152" s="89">
        <f t="shared" si="6"/>
        <v>1</v>
      </c>
      <c r="R152" s="49">
        <v>16.600000000000001</v>
      </c>
      <c r="S152" s="49">
        <v>97</v>
      </c>
      <c r="T152" s="50">
        <f t="shared" si="7"/>
        <v>36</v>
      </c>
      <c r="U152" s="49">
        <v>398</v>
      </c>
      <c r="V152" s="50">
        <f t="shared" si="8"/>
        <v>1791</v>
      </c>
      <c r="W152" s="49">
        <v>11</v>
      </c>
      <c r="X152" s="49" t="s">
        <v>51</v>
      </c>
      <c r="Y152" s="49" t="s">
        <v>67</v>
      </c>
      <c r="Z152" s="49" t="s">
        <v>101</v>
      </c>
      <c r="AA152" s="49" t="s">
        <v>52</v>
      </c>
      <c r="AB152" s="49" t="s">
        <v>145</v>
      </c>
    </row>
    <row r="153" spans="1:28" x14ac:dyDescent="0.15">
      <c r="A153" s="49" t="s">
        <v>61</v>
      </c>
      <c r="B153" s="49" t="s">
        <v>143</v>
      </c>
      <c r="C153" s="49">
        <v>2020</v>
      </c>
      <c r="D153" s="88" t="s">
        <v>414</v>
      </c>
      <c r="E153" s="49" t="s">
        <v>181</v>
      </c>
      <c r="F153" s="49" t="s">
        <v>182</v>
      </c>
      <c r="G153" s="49" t="s">
        <v>37</v>
      </c>
      <c r="H153" s="49" t="s">
        <v>63</v>
      </c>
      <c r="I153" s="49" t="s">
        <v>64</v>
      </c>
      <c r="J153" s="1" t="s">
        <v>40</v>
      </c>
      <c r="K153" s="1" t="s">
        <v>41</v>
      </c>
      <c r="L153" s="49">
        <v>2</v>
      </c>
      <c r="N153" s="49">
        <v>8</v>
      </c>
      <c r="O153" s="49">
        <v>1.1000000000000001</v>
      </c>
      <c r="P153" s="49">
        <v>1.05</v>
      </c>
      <c r="Q153" s="89">
        <f t="shared" si="6"/>
        <v>1.0750000000000002</v>
      </c>
      <c r="R153" s="49">
        <v>16.8</v>
      </c>
      <c r="S153" s="49">
        <v>94</v>
      </c>
      <c r="T153" s="50">
        <f t="shared" si="7"/>
        <v>36</v>
      </c>
      <c r="U153" s="49">
        <v>398</v>
      </c>
      <c r="V153" s="50">
        <f t="shared" si="8"/>
        <v>1791</v>
      </c>
      <c r="W153" s="49">
        <v>11</v>
      </c>
      <c r="X153" s="49" t="s">
        <v>51</v>
      </c>
      <c r="Y153" s="49" t="s">
        <v>67</v>
      </c>
      <c r="Z153" s="49" t="s">
        <v>101</v>
      </c>
      <c r="AA153" s="49" t="s">
        <v>52</v>
      </c>
      <c r="AB153" s="49" t="s">
        <v>145</v>
      </c>
    </row>
    <row r="154" spans="1:28" x14ac:dyDescent="0.15">
      <c r="A154" s="49" t="s">
        <v>61</v>
      </c>
      <c r="B154" s="49" t="s">
        <v>143</v>
      </c>
      <c r="C154" s="49">
        <v>2020</v>
      </c>
      <c r="D154" s="88" t="s">
        <v>414</v>
      </c>
      <c r="E154" s="49" t="s">
        <v>181</v>
      </c>
      <c r="F154" s="49" t="s">
        <v>182</v>
      </c>
      <c r="G154" s="49" t="s">
        <v>37</v>
      </c>
      <c r="H154" s="49" t="s">
        <v>63</v>
      </c>
      <c r="I154" s="49" t="s">
        <v>64</v>
      </c>
      <c r="J154" s="1" t="s">
        <v>40</v>
      </c>
      <c r="K154" s="1" t="s">
        <v>41</v>
      </c>
      <c r="L154" s="49">
        <v>3</v>
      </c>
      <c r="N154" s="49">
        <v>8</v>
      </c>
      <c r="O154" s="49">
        <v>1.1499999999999999</v>
      </c>
      <c r="P154" s="49">
        <v>1.1000000000000001</v>
      </c>
      <c r="Q154" s="89">
        <f t="shared" si="6"/>
        <v>1.125</v>
      </c>
      <c r="R154" s="49">
        <v>16.7</v>
      </c>
      <c r="S154" s="49">
        <v>91</v>
      </c>
      <c r="T154" s="50">
        <f t="shared" si="7"/>
        <v>36</v>
      </c>
      <c r="U154" s="49">
        <v>398</v>
      </c>
      <c r="V154" s="50">
        <f t="shared" si="8"/>
        <v>1791</v>
      </c>
      <c r="W154" s="49">
        <v>11</v>
      </c>
      <c r="X154" s="49" t="s">
        <v>51</v>
      </c>
      <c r="Y154" s="49" t="s">
        <v>67</v>
      </c>
      <c r="Z154" s="49" t="s">
        <v>101</v>
      </c>
      <c r="AA154" s="49" t="s">
        <v>52</v>
      </c>
      <c r="AB154" s="49" t="s">
        <v>145</v>
      </c>
    </row>
    <row r="155" spans="1:28" x14ac:dyDescent="0.15">
      <c r="A155" s="49" t="s">
        <v>61</v>
      </c>
      <c r="B155" s="49" t="s">
        <v>143</v>
      </c>
      <c r="C155" s="49">
        <v>2020</v>
      </c>
      <c r="D155" s="88" t="s">
        <v>414</v>
      </c>
      <c r="E155" s="49" t="s">
        <v>181</v>
      </c>
      <c r="F155" s="49" t="s">
        <v>182</v>
      </c>
      <c r="G155" s="49" t="s">
        <v>37</v>
      </c>
      <c r="H155" s="49" t="s">
        <v>82</v>
      </c>
      <c r="I155" s="49" t="s">
        <v>64</v>
      </c>
      <c r="J155" s="1" t="s">
        <v>40</v>
      </c>
      <c r="K155" s="1" t="s">
        <v>41</v>
      </c>
      <c r="L155" s="49">
        <v>1</v>
      </c>
      <c r="N155" s="49">
        <v>1</v>
      </c>
      <c r="O155" s="49">
        <v>0.7</v>
      </c>
      <c r="P155" s="49">
        <v>0.75</v>
      </c>
      <c r="Q155" s="89">
        <f t="shared" si="6"/>
        <v>0.72499999999999998</v>
      </c>
      <c r="R155" s="49">
        <v>18.600000000000001</v>
      </c>
      <c r="S155" s="49">
        <v>138</v>
      </c>
      <c r="T155" s="50">
        <f t="shared" si="7"/>
        <v>22</v>
      </c>
      <c r="U155" s="49">
        <v>98</v>
      </c>
      <c r="V155" s="50">
        <f t="shared" si="8"/>
        <v>2156</v>
      </c>
      <c r="W155" s="49">
        <v>11</v>
      </c>
      <c r="X155" s="49" t="s">
        <v>51</v>
      </c>
      <c r="Y155" s="49" t="s">
        <v>67</v>
      </c>
      <c r="Z155" s="49" t="s">
        <v>101</v>
      </c>
      <c r="AA155" s="49" t="s">
        <v>52</v>
      </c>
      <c r="AB155" s="49" t="s">
        <v>145</v>
      </c>
    </row>
    <row r="156" spans="1:28" x14ac:dyDescent="0.15">
      <c r="A156" s="49" t="s">
        <v>61</v>
      </c>
      <c r="B156" s="49" t="s">
        <v>143</v>
      </c>
      <c r="C156" s="49">
        <v>2020</v>
      </c>
      <c r="D156" s="88" t="s">
        <v>414</v>
      </c>
      <c r="E156" s="49" t="s">
        <v>181</v>
      </c>
      <c r="F156" s="49" t="s">
        <v>182</v>
      </c>
      <c r="G156" s="49" t="s">
        <v>37</v>
      </c>
      <c r="H156" s="49" t="s">
        <v>82</v>
      </c>
      <c r="I156" s="49" t="s">
        <v>64</v>
      </c>
      <c r="J156" s="1" t="s">
        <v>40</v>
      </c>
      <c r="K156" s="1" t="s">
        <v>41</v>
      </c>
      <c r="L156" s="49">
        <v>2</v>
      </c>
      <c r="N156" s="49">
        <v>1</v>
      </c>
      <c r="O156" s="49">
        <v>0.8</v>
      </c>
      <c r="P156" s="49">
        <v>0.8</v>
      </c>
      <c r="Q156" s="89">
        <f t="shared" si="6"/>
        <v>0.8</v>
      </c>
      <c r="R156" s="49">
        <v>18.2</v>
      </c>
      <c r="S156" s="49">
        <v>140</v>
      </c>
      <c r="T156" s="50">
        <f t="shared" si="7"/>
        <v>22</v>
      </c>
      <c r="U156" s="49">
        <v>98</v>
      </c>
      <c r="V156" s="50">
        <f t="shared" si="8"/>
        <v>2156</v>
      </c>
      <c r="W156" s="49">
        <v>11</v>
      </c>
      <c r="X156" s="49" t="s">
        <v>51</v>
      </c>
      <c r="Y156" s="49" t="s">
        <v>67</v>
      </c>
      <c r="Z156" s="49" t="s">
        <v>101</v>
      </c>
      <c r="AA156" s="49" t="s">
        <v>52</v>
      </c>
      <c r="AB156" s="49" t="s">
        <v>145</v>
      </c>
    </row>
    <row r="157" spans="1:28" x14ac:dyDescent="0.15">
      <c r="A157" s="49" t="s">
        <v>61</v>
      </c>
      <c r="B157" s="49" t="s">
        <v>143</v>
      </c>
      <c r="C157" s="49">
        <v>2020</v>
      </c>
      <c r="D157" s="88" t="s">
        <v>414</v>
      </c>
      <c r="E157" s="49" t="s">
        <v>181</v>
      </c>
      <c r="F157" s="49" t="s">
        <v>182</v>
      </c>
      <c r="G157" s="49" t="s">
        <v>37</v>
      </c>
      <c r="H157" s="49" t="s">
        <v>82</v>
      </c>
      <c r="I157" s="49" t="s">
        <v>64</v>
      </c>
      <c r="J157" s="1" t="s">
        <v>40</v>
      </c>
      <c r="K157" s="1" t="s">
        <v>41</v>
      </c>
      <c r="L157" s="49">
        <v>3</v>
      </c>
      <c r="N157" s="49">
        <v>1</v>
      </c>
      <c r="O157" s="49">
        <v>0.75</v>
      </c>
      <c r="P157" s="49">
        <v>0.8</v>
      </c>
      <c r="Q157" s="89">
        <f t="shared" si="6"/>
        <v>0.77500000000000002</v>
      </c>
      <c r="R157" s="49">
        <v>17.899999999999999</v>
      </c>
      <c r="S157" s="49">
        <v>142</v>
      </c>
      <c r="T157" s="50">
        <f t="shared" si="7"/>
        <v>22</v>
      </c>
      <c r="U157" s="49">
        <v>98</v>
      </c>
      <c r="V157" s="50">
        <f t="shared" si="8"/>
        <v>2156</v>
      </c>
      <c r="W157" s="49">
        <v>11</v>
      </c>
      <c r="X157" s="49" t="s">
        <v>51</v>
      </c>
      <c r="Y157" s="49" t="s">
        <v>67</v>
      </c>
      <c r="Z157" s="49" t="s">
        <v>101</v>
      </c>
      <c r="AA157" s="49" t="s">
        <v>52</v>
      </c>
      <c r="AB157" s="49" t="s">
        <v>145</v>
      </c>
    </row>
    <row r="158" spans="1:28" x14ac:dyDescent="0.15">
      <c r="A158" s="49" t="s">
        <v>61</v>
      </c>
      <c r="B158" s="49" t="s">
        <v>143</v>
      </c>
      <c r="C158" s="49">
        <v>2020</v>
      </c>
      <c r="D158" s="88" t="s">
        <v>414</v>
      </c>
      <c r="E158" s="49" t="s">
        <v>181</v>
      </c>
      <c r="F158" s="49" t="s">
        <v>182</v>
      </c>
      <c r="G158" s="49" t="s">
        <v>37</v>
      </c>
      <c r="H158" s="49" t="s">
        <v>82</v>
      </c>
      <c r="I158" s="49" t="s">
        <v>64</v>
      </c>
      <c r="J158" s="1" t="s">
        <v>40</v>
      </c>
      <c r="K158" s="1" t="s">
        <v>41</v>
      </c>
      <c r="L158" s="49">
        <v>1</v>
      </c>
      <c r="N158" s="49">
        <v>4</v>
      </c>
      <c r="O158" s="49">
        <v>0.8</v>
      </c>
      <c r="P158" s="49">
        <v>0.8</v>
      </c>
      <c r="Q158" s="89">
        <f t="shared" si="6"/>
        <v>0.8</v>
      </c>
      <c r="R158" s="49">
        <v>16.5</v>
      </c>
      <c r="S158" s="49">
        <v>112</v>
      </c>
      <c r="T158" s="50">
        <f t="shared" si="7"/>
        <v>33</v>
      </c>
      <c r="U158" s="49">
        <v>398</v>
      </c>
      <c r="V158" s="50">
        <f t="shared" si="8"/>
        <v>3283.5</v>
      </c>
      <c r="W158" s="49">
        <v>11</v>
      </c>
      <c r="X158" s="49" t="s">
        <v>51</v>
      </c>
      <c r="Y158" s="49" t="s">
        <v>67</v>
      </c>
      <c r="Z158" s="49" t="s">
        <v>101</v>
      </c>
      <c r="AA158" s="49" t="s">
        <v>52</v>
      </c>
      <c r="AB158" s="49" t="s">
        <v>145</v>
      </c>
    </row>
    <row r="159" spans="1:28" x14ac:dyDescent="0.15">
      <c r="A159" s="49" t="s">
        <v>61</v>
      </c>
      <c r="B159" s="49" t="s">
        <v>143</v>
      </c>
      <c r="C159" s="49">
        <v>2020</v>
      </c>
      <c r="D159" s="88" t="s">
        <v>414</v>
      </c>
      <c r="E159" s="49" t="s">
        <v>181</v>
      </c>
      <c r="F159" s="49" t="s">
        <v>182</v>
      </c>
      <c r="G159" s="49" t="s">
        <v>37</v>
      </c>
      <c r="H159" s="49" t="s">
        <v>82</v>
      </c>
      <c r="I159" s="49" t="s">
        <v>64</v>
      </c>
      <c r="J159" s="1" t="s">
        <v>40</v>
      </c>
      <c r="K159" s="1" t="s">
        <v>41</v>
      </c>
      <c r="L159" s="49">
        <v>2</v>
      </c>
      <c r="N159" s="49">
        <v>4</v>
      </c>
      <c r="O159" s="49">
        <v>0.8</v>
      </c>
      <c r="P159" s="49">
        <v>0.75</v>
      </c>
      <c r="Q159" s="89">
        <f t="shared" si="6"/>
        <v>0.77500000000000002</v>
      </c>
      <c r="R159" s="49">
        <v>16.2</v>
      </c>
      <c r="S159" s="49">
        <v>110</v>
      </c>
      <c r="T159" s="50">
        <f t="shared" si="7"/>
        <v>33</v>
      </c>
      <c r="U159" s="49">
        <v>398</v>
      </c>
      <c r="V159" s="50">
        <f t="shared" si="8"/>
        <v>3283.5</v>
      </c>
      <c r="W159" s="49">
        <v>11</v>
      </c>
      <c r="X159" s="49" t="s">
        <v>51</v>
      </c>
      <c r="Y159" s="49" t="s">
        <v>67</v>
      </c>
      <c r="Z159" s="49" t="s">
        <v>101</v>
      </c>
      <c r="AA159" s="49" t="s">
        <v>52</v>
      </c>
      <c r="AB159" s="49" t="s">
        <v>145</v>
      </c>
    </row>
    <row r="160" spans="1:28" x14ac:dyDescent="0.15">
      <c r="A160" s="49" t="s">
        <v>61</v>
      </c>
      <c r="B160" s="49" t="s">
        <v>143</v>
      </c>
      <c r="C160" s="49">
        <v>2020</v>
      </c>
      <c r="D160" s="88" t="s">
        <v>414</v>
      </c>
      <c r="E160" s="49" t="s">
        <v>181</v>
      </c>
      <c r="F160" s="49" t="s">
        <v>182</v>
      </c>
      <c r="G160" s="49" t="s">
        <v>37</v>
      </c>
      <c r="H160" s="49" t="s">
        <v>82</v>
      </c>
      <c r="I160" s="49" t="s">
        <v>64</v>
      </c>
      <c r="J160" s="1" t="s">
        <v>40</v>
      </c>
      <c r="K160" s="1" t="s">
        <v>41</v>
      </c>
      <c r="L160" s="49">
        <v>3</v>
      </c>
      <c r="N160" s="49">
        <v>4</v>
      </c>
      <c r="O160" s="49">
        <v>0.75</v>
      </c>
      <c r="P160" s="49">
        <v>0.85</v>
      </c>
      <c r="Q160" s="89">
        <f t="shared" si="6"/>
        <v>0.8</v>
      </c>
      <c r="R160" s="49">
        <v>16</v>
      </c>
      <c r="S160" s="49">
        <v>110</v>
      </c>
      <c r="T160" s="50">
        <f t="shared" si="7"/>
        <v>33</v>
      </c>
      <c r="U160" s="49">
        <v>398</v>
      </c>
      <c r="V160" s="50">
        <f t="shared" si="8"/>
        <v>3283.5</v>
      </c>
      <c r="W160" s="49">
        <v>11</v>
      </c>
      <c r="X160" s="49" t="s">
        <v>51</v>
      </c>
      <c r="Y160" s="49" t="s">
        <v>67</v>
      </c>
      <c r="Z160" s="49" t="s">
        <v>101</v>
      </c>
      <c r="AA160" s="49" t="s">
        <v>52</v>
      </c>
      <c r="AB160" s="49" t="s">
        <v>145</v>
      </c>
    </row>
    <row r="161" spans="1:28" x14ac:dyDescent="0.15">
      <c r="A161" s="49" t="s">
        <v>61</v>
      </c>
      <c r="B161" s="49" t="s">
        <v>143</v>
      </c>
      <c r="C161" s="49">
        <v>2020</v>
      </c>
      <c r="D161" s="88" t="s">
        <v>414</v>
      </c>
      <c r="E161" s="49" t="s">
        <v>181</v>
      </c>
      <c r="F161" s="49" t="s">
        <v>182</v>
      </c>
      <c r="G161" s="49" t="s">
        <v>37</v>
      </c>
      <c r="H161" s="49" t="s">
        <v>82</v>
      </c>
      <c r="I161" s="49" t="s">
        <v>64</v>
      </c>
      <c r="J161" s="1" t="s">
        <v>40</v>
      </c>
      <c r="K161" s="1" t="s">
        <v>41</v>
      </c>
      <c r="L161" s="49">
        <v>1</v>
      </c>
      <c r="N161" s="49">
        <v>8</v>
      </c>
      <c r="O161" s="49">
        <v>0.7</v>
      </c>
      <c r="P161" s="49">
        <v>0.85</v>
      </c>
      <c r="Q161" s="89">
        <f t="shared" si="6"/>
        <v>0.77499999999999991</v>
      </c>
      <c r="R161" s="49">
        <v>17.5</v>
      </c>
      <c r="S161" s="49">
        <v>90</v>
      </c>
      <c r="T161" s="50">
        <f t="shared" si="7"/>
        <v>36</v>
      </c>
      <c r="U161" s="49">
        <v>598</v>
      </c>
      <c r="V161" s="50">
        <f t="shared" si="8"/>
        <v>2691</v>
      </c>
      <c r="W161" s="49">
        <v>11</v>
      </c>
      <c r="X161" s="49" t="s">
        <v>51</v>
      </c>
      <c r="Y161" s="49" t="s">
        <v>67</v>
      </c>
      <c r="Z161" s="49" t="s">
        <v>101</v>
      </c>
      <c r="AA161" s="49" t="s">
        <v>52</v>
      </c>
      <c r="AB161" s="49" t="s">
        <v>145</v>
      </c>
    </row>
    <row r="162" spans="1:28" x14ac:dyDescent="0.15">
      <c r="A162" s="49" t="s">
        <v>61</v>
      </c>
      <c r="B162" s="49" t="s">
        <v>143</v>
      </c>
      <c r="C162" s="49">
        <v>2020</v>
      </c>
      <c r="D162" s="88" t="s">
        <v>414</v>
      </c>
      <c r="E162" s="49" t="s">
        <v>181</v>
      </c>
      <c r="F162" s="49" t="s">
        <v>182</v>
      </c>
      <c r="G162" s="49" t="s">
        <v>37</v>
      </c>
      <c r="H162" s="49" t="s">
        <v>82</v>
      </c>
      <c r="I162" s="49" t="s">
        <v>64</v>
      </c>
      <c r="J162" s="1" t="s">
        <v>40</v>
      </c>
      <c r="K162" s="1" t="s">
        <v>41</v>
      </c>
      <c r="L162" s="49">
        <v>2</v>
      </c>
      <c r="N162" s="49">
        <v>8</v>
      </c>
      <c r="O162" s="49">
        <v>0.8</v>
      </c>
      <c r="P162" s="49">
        <v>0.8</v>
      </c>
      <c r="Q162" s="89">
        <f t="shared" si="6"/>
        <v>0.8</v>
      </c>
      <c r="R162" s="49">
        <v>16.8</v>
      </c>
      <c r="S162" s="49">
        <v>82</v>
      </c>
      <c r="T162" s="50">
        <f t="shared" si="7"/>
        <v>39</v>
      </c>
      <c r="U162" s="49">
        <v>598</v>
      </c>
      <c r="V162" s="50">
        <f t="shared" si="8"/>
        <v>2915.25</v>
      </c>
      <c r="W162" s="49">
        <v>11</v>
      </c>
      <c r="X162" s="49" t="s">
        <v>51</v>
      </c>
      <c r="Y162" s="49" t="s">
        <v>67</v>
      </c>
      <c r="Z162" s="49" t="s">
        <v>101</v>
      </c>
      <c r="AA162" s="49" t="s">
        <v>52</v>
      </c>
      <c r="AB162" s="49" t="s">
        <v>145</v>
      </c>
    </row>
    <row r="163" spans="1:28" x14ac:dyDescent="0.15">
      <c r="A163" s="49" t="s">
        <v>61</v>
      </c>
      <c r="B163" s="49" t="s">
        <v>143</v>
      </c>
      <c r="C163" s="49">
        <v>2020</v>
      </c>
      <c r="D163" s="88" t="s">
        <v>414</v>
      </c>
      <c r="E163" s="49" t="s">
        <v>181</v>
      </c>
      <c r="F163" s="49" t="s">
        <v>182</v>
      </c>
      <c r="G163" s="49" t="s">
        <v>37</v>
      </c>
      <c r="H163" s="49" t="s">
        <v>82</v>
      </c>
      <c r="I163" s="49" t="s">
        <v>64</v>
      </c>
      <c r="J163" s="1" t="s">
        <v>40</v>
      </c>
      <c r="K163" s="1" t="s">
        <v>41</v>
      </c>
      <c r="L163" s="49">
        <v>3</v>
      </c>
      <c r="N163" s="49">
        <v>8</v>
      </c>
      <c r="O163" s="49">
        <v>0.75</v>
      </c>
      <c r="P163" s="49">
        <v>0.7</v>
      </c>
      <c r="Q163" s="89">
        <f t="shared" si="6"/>
        <v>0.72499999999999998</v>
      </c>
      <c r="R163" s="49">
        <v>17.100000000000001</v>
      </c>
      <c r="S163" s="49">
        <v>83</v>
      </c>
      <c r="T163" s="50">
        <f t="shared" si="7"/>
        <v>39</v>
      </c>
      <c r="U163" s="49">
        <v>598</v>
      </c>
      <c r="V163" s="50">
        <f t="shared" si="8"/>
        <v>2915.25</v>
      </c>
      <c r="W163" s="49">
        <v>11</v>
      </c>
      <c r="X163" s="49" t="s">
        <v>51</v>
      </c>
      <c r="Y163" s="49" t="s">
        <v>67</v>
      </c>
      <c r="Z163" s="49" t="s">
        <v>101</v>
      </c>
      <c r="AA163" s="49" t="s">
        <v>52</v>
      </c>
      <c r="AB163" s="49" t="s">
        <v>145</v>
      </c>
    </row>
    <row r="164" spans="1:28" x14ac:dyDescent="0.15">
      <c r="D164" s="88"/>
      <c r="Q164" s="89" t="str">
        <f t="shared" si="6"/>
        <v/>
      </c>
      <c r="T164" s="50" t="str">
        <f t="shared" si="7"/>
        <v/>
      </c>
      <c r="V164" s="50" t="str">
        <f t="shared" si="8"/>
        <v/>
      </c>
    </row>
    <row r="165" spans="1:28" x14ac:dyDescent="0.15">
      <c r="D165" s="88"/>
      <c r="Q165" s="89" t="str">
        <f t="shared" si="6"/>
        <v/>
      </c>
      <c r="T165" s="50" t="str">
        <f t="shared" si="7"/>
        <v/>
      </c>
      <c r="V165" s="50" t="str">
        <f t="shared" si="8"/>
        <v/>
      </c>
    </row>
    <row r="166" spans="1:28" x14ac:dyDescent="0.15">
      <c r="D166" s="88"/>
      <c r="Q166" s="89" t="str">
        <f t="shared" si="6"/>
        <v/>
      </c>
      <c r="T166" s="50" t="str">
        <f t="shared" si="7"/>
        <v/>
      </c>
      <c r="V166" s="50" t="str">
        <f t="shared" si="8"/>
        <v/>
      </c>
    </row>
    <row r="167" spans="1:28" x14ac:dyDescent="0.15">
      <c r="D167" s="88"/>
      <c r="Q167" s="89" t="str">
        <f t="shared" si="6"/>
        <v/>
      </c>
      <c r="T167" s="50" t="str">
        <f t="shared" si="7"/>
        <v/>
      </c>
    </row>
    <row r="168" spans="1:28" x14ac:dyDescent="0.15">
      <c r="D168" s="88"/>
      <c r="Q168" s="89" t="str">
        <f t="shared" si="6"/>
        <v/>
      </c>
      <c r="T168" s="50" t="str">
        <f t="shared" si="7"/>
        <v/>
      </c>
    </row>
    <row r="169" spans="1:28" x14ac:dyDescent="0.15">
      <c r="D169" s="88"/>
      <c r="Q169" s="89" t="str">
        <f t="shared" si="6"/>
        <v/>
      </c>
      <c r="T169" s="50" t="str">
        <f t="shared" si="7"/>
        <v/>
      </c>
    </row>
    <row r="170" spans="1:28" x14ac:dyDescent="0.15">
      <c r="D170" s="88"/>
      <c r="T170" s="50" t="str">
        <f t="shared" si="7"/>
        <v/>
      </c>
    </row>
  </sheetData>
  <autoFilter ref="A1:BA171" xr:uid="{00000000-0009-0000-0000-000001000000}"/>
  <phoneticPr fontId="13"/>
  <dataValidations count="18">
    <dataValidation type="decimal" allowBlank="1" showInputMessage="1" showErrorMessage="1" error="硬度を正しく入力して下さい。" sqref="O2:P500" xr:uid="{BCAC886C-EA2E-433F-9B11-C9C9DC2DA373}">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F3B90CAE-A432-41E9-988C-48D52BA70C4A}">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5BFC55D9-C424-42C6-BDEB-7A7D83F5697E}">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2CDED60-737C-4A3F-A6F6-8F19C8A58E94}">
      <formula1>$AP$2:$AP$27</formula1>
    </dataValidation>
    <dataValidation type="list" allowBlank="1" showInputMessage="1" showErrorMessage="1" sqref="Y2:AA500" xr:uid="{FB00605D-ED48-4555-9E0A-946F11B7052D}">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07BFA9E7-B523-4213-B130-FD8FAC899C4C}">
      <formula1>$AT$2:$AT$3</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5E610FC5-EEEA-4F02-8396-9EC2D5BC4696}">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FB53911F-8CE1-440A-9770-F417D3018228}">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663FA43E-6704-497F-9EE4-1EBD58478110}">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2C7010A5-428B-4479-9D14-4D7FFACA0855}">
      <formula1>$AN$5:$AN$6</formula1>
    </dataValidation>
    <dataValidation type="list" allowBlank="1" showInputMessage="1" showErrorMessage="1" sqref="H2:H1153" xr:uid="{B36E3954-469A-47CF-ACE8-56BB4BBAFCB4}">
      <formula1>$AL$2:$AL$9</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7B7CBEF-0779-49DA-B985-83C2CF43C50C}">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55DC0A50-EC70-4ED0-A39F-1E000A105912}">
      <formula1>$AJ$2:$AJ$4</formula1>
    </dataValidation>
    <dataValidation type="list" allowBlank="1" showInputMessage="1" showErrorMessage="1" sqref="K2:K1000" xr:uid="{868B8389-1BD6-40D9-9214-22E8EA1FEA93}">
      <formula1>$AR$2:$AR$28</formula1>
    </dataValidation>
    <dataValidation type="list" allowBlank="1" showInputMessage="1" showErrorMessage="1" sqref="J2:J1000" xr:uid="{253415A2-B640-4467-9501-CA0FB213E849}">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37DA3BFC-8C65-4837-967A-735F5911E1B6}">
      <formula1>$AH$2:$AH$11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170" xr:uid="{BBC44354-2B04-4EA8-9EF8-D1329B4F8C4F}"/>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A76E0217-7106-4B3E-B508-5EB1E9652BA5}">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99EF-B86B-4040-B8C3-83F625E8CF9C}">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1" customWidth="1"/>
    <col min="4" max="4" width="10.5" style="1" customWidth="1"/>
    <col min="5" max="5" width="11.25" style="1" bestFit="1" customWidth="1"/>
    <col min="6" max="7" width="9" style="1"/>
    <col min="8" max="9" width="9" style="1" customWidth="1"/>
    <col min="10" max="11" width="9" style="1"/>
    <col min="12" max="16" width="9" style="1" customWidth="1"/>
    <col min="17" max="17" width="9" style="2" customWidth="1"/>
    <col min="18" max="18" width="9" style="1"/>
    <col min="19" max="19" width="9.5" style="1" bestFit="1" customWidth="1"/>
    <col min="20" max="20" width="9" style="2" customWidth="1"/>
    <col min="21" max="21" width="9" style="1"/>
    <col min="22" max="22" width="9" style="2" customWidth="1"/>
    <col min="23" max="28" width="9" style="1"/>
    <col min="29" max="29" width="26.5" style="1" customWidth="1"/>
    <col min="30" max="32" width="9" style="1"/>
    <col min="33" max="33" width="15.75" style="1" bestFit="1" customWidth="1"/>
    <col min="34" max="34" width="15" style="1" bestFit="1" customWidth="1"/>
    <col min="35" max="256" width="9" style="1"/>
    <col min="257" max="259" width="9" style="1" customWidth="1"/>
    <col min="260" max="260" width="10.5" style="1" customWidth="1"/>
    <col min="261" max="261" width="11.25" style="1" bestFit="1" customWidth="1"/>
    <col min="262" max="263" width="9" style="1"/>
    <col min="264" max="273" width="9" style="1" customWidth="1"/>
    <col min="274" max="274" width="9" style="1"/>
    <col min="275" max="275" width="9.5" style="1" bestFit="1" customWidth="1"/>
    <col min="276" max="276" width="9" style="1" customWidth="1"/>
    <col min="277" max="277" width="9" style="1"/>
    <col min="278" max="278" width="9" style="1" customWidth="1"/>
    <col min="279" max="284" width="9" style="1"/>
    <col min="285" max="285" width="26.5" style="1" customWidth="1"/>
    <col min="286" max="288" width="9" style="1"/>
    <col min="289" max="289" width="14.75" style="1" bestFit="1" customWidth="1"/>
    <col min="290" max="512" width="9" style="1"/>
    <col min="513" max="515" width="9" style="1" customWidth="1"/>
    <col min="516" max="516" width="10.5" style="1" customWidth="1"/>
    <col min="517" max="517" width="11.25" style="1" bestFit="1" customWidth="1"/>
    <col min="518" max="519" width="9" style="1"/>
    <col min="520" max="529" width="9" style="1" customWidth="1"/>
    <col min="530" max="530" width="9" style="1"/>
    <col min="531" max="531" width="9.5" style="1" bestFit="1" customWidth="1"/>
    <col min="532" max="532" width="9" style="1" customWidth="1"/>
    <col min="533" max="533" width="9" style="1"/>
    <col min="534" max="534" width="9" style="1" customWidth="1"/>
    <col min="535" max="540" width="9" style="1"/>
    <col min="541" max="541" width="26.5" style="1" customWidth="1"/>
    <col min="542" max="544" width="9" style="1"/>
    <col min="545" max="545" width="14.75" style="1" bestFit="1" customWidth="1"/>
    <col min="546" max="768" width="9" style="1"/>
    <col min="769" max="771" width="9" style="1" customWidth="1"/>
    <col min="772" max="772" width="10.5" style="1" customWidth="1"/>
    <col min="773" max="773" width="11.25" style="1" bestFit="1" customWidth="1"/>
    <col min="774" max="775" width="9" style="1"/>
    <col min="776" max="785" width="9" style="1" customWidth="1"/>
    <col min="786" max="786" width="9" style="1"/>
    <col min="787" max="787" width="9.5" style="1" bestFit="1" customWidth="1"/>
    <col min="788" max="788" width="9" style="1" customWidth="1"/>
    <col min="789" max="789" width="9" style="1"/>
    <col min="790" max="790" width="9" style="1" customWidth="1"/>
    <col min="791" max="796" width="9" style="1"/>
    <col min="797" max="797" width="26.5" style="1" customWidth="1"/>
    <col min="798" max="800" width="9" style="1"/>
    <col min="801" max="801" width="14.75" style="1" bestFit="1" customWidth="1"/>
    <col min="802" max="1024" width="9" style="1"/>
    <col min="1025" max="1027" width="9" style="1" customWidth="1"/>
    <col min="1028" max="1028" width="10.5" style="1" customWidth="1"/>
    <col min="1029" max="1029" width="11.25" style="1" bestFit="1" customWidth="1"/>
    <col min="1030" max="1031" width="9" style="1"/>
    <col min="1032" max="1041" width="9" style="1" customWidth="1"/>
    <col min="1042" max="1042" width="9" style="1"/>
    <col min="1043" max="1043" width="9.5" style="1" bestFit="1" customWidth="1"/>
    <col min="1044" max="1044" width="9" style="1" customWidth="1"/>
    <col min="1045" max="1045" width="9" style="1"/>
    <col min="1046" max="1046" width="9" style="1" customWidth="1"/>
    <col min="1047" max="1052" width="9" style="1"/>
    <col min="1053" max="1053" width="26.5" style="1" customWidth="1"/>
    <col min="1054" max="1056" width="9" style="1"/>
    <col min="1057" max="1057" width="14.75" style="1" bestFit="1" customWidth="1"/>
    <col min="1058" max="1280" width="9" style="1"/>
    <col min="1281" max="1283" width="9" style="1" customWidth="1"/>
    <col min="1284" max="1284" width="10.5" style="1" customWidth="1"/>
    <col min="1285" max="1285" width="11.25" style="1" bestFit="1" customWidth="1"/>
    <col min="1286" max="1287" width="9" style="1"/>
    <col min="1288" max="1297" width="9" style="1" customWidth="1"/>
    <col min="1298" max="1298" width="9" style="1"/>
    <col min="1299" max="1299" width="9.5" style="1" bestFit="1" customWidth="1"/>
    <col min="1300" max="1300" width="9" style="1" customWidth="1"/>
    <col min="1301" max="1301" width="9" style="1"/>
    <col min="1302" max="1302" width="9" style="1" customWidth="1"/>
    <col min="1303" max="1308" width="9" style="1"/>
    <col min="1309" max="1309" width="26.5" style="1" customWidth="1"/>
    <col min="1310" max="1312" width="9" style="1"/>
    <col min="1313" max="1313" width="14.75" style="1" bestFit="1" customWidth="1"/>
    <col min="1314" max="1536" width="9" style="1"/>
    <col min="1537" max="1539" width="9" style="1" customWidth="1"/>
    <col min="1540" max="1540" width="10.5" style="1" customWidth="1"/>
    <col min="1541" max="1541" width="11.25" style="1" bestFit="1" customWidth="1"/>
    <col min="1542" max="1543" width="9" style="1"/>
    <col min="1544" max="1553" width="9" style="1" customWidth="1"/>
    <col min="1554" max="1554" width="9" style="1"/>
    <col min="1555" max="1555" width="9.5" style="1" bestFit="1" customWidth="1"/>
    <col min="1556" max="1556" width="9" style="1" customWidth="1"/>
    <col min="1557" max="1557" width="9" style="1"/>
    <col min="1558" max="1558" width="9" style="1" customWidth="1"/>
    <col min="1559" max="1564" width="9" style="1"/>
    <col min="1565" max="1565" width="26.5" style="1" customWidth="1"/>
    <col min="1566" max="1568" width="9" style="1"/>
    <col min="1569" max="1569" width="14.75" style="1" bestFit="1" customWidth="1"/>
    <col min="1570" max="1792" width="9" style="1"/>
    <col min="1793" max="1795" width="9" style="1" customWidth="1"/>
    <col min="1796" max="1796" width="10.5" style="1" customWidth="1"/>
    <col min="1797" max="1797" width="11.25" style="1" bestFit="1" customWidth="1"/>
    <col min="1798" max="1799" width="9" style="1"/>
    <col min="1800" max="1809" width="9" style="1" customWidth="1"/>
    <col min="1810" max="1810" width="9" style="1"/>
    <col min="1811" max="1811" width="9.5" style="1" bestFit="1" customWidth="1"/>
    <col min="1812" max="1812" width="9" style="1" customWidth="1"/>
    <col min="1813" max="1813" width="9" style="1"/>
    <col min="1814" max="1814" width="9" style="1" customWidth="1"/>
    <col min="1815" max="1820" width="9" style="1"/>
    <col min="1821" max="1821" width="26.5" style="1" customWidth="1"/>
    <col min="1822" max="1824" width="9" style="1"/>
    <col min="1825" max="1825" width="14.75" style="1" bestFit="1" customWidth="1"/>
    <col min="1826" max="2048" width="9" style="1"/>
    <col min="2049" max="2051" width="9" style="1" customWidth="1"/>
    <col min="2052" max="2052" width="10.5" style="1" customWidth="1"/>
    <col min="2053" max="2053" width="11.25" style="1" bestFit="1" customWidth="1"/>
    <col min="2054" max="2055" width="9" style="1"/>
    <col min="2056" max="2065" width="9" style="1" customWidth="1"/>
    <col min="2066" max="2066" width="9" style="1"/>
    <col min="2067" max="2067" width="9.5" style="1" bestFit="1" customWidth="1"/>
    <col min="2068" max="2068" width="9" style="1" customWidth="1"/>
    <col min="2069" max="2069" width="9" style="1"/>
    <col min="2070" max="2070" width="9" style="1" customWidth="1"/>
    <col min="2071" max="2076" width="9" style="1"/>
    <col min="2077" max="2077" width="26.5" style="1" customWidth="1"/>
    <col min="2078" max="2080" width="9" style="1"/>
    <col min="2081" max="2081" width="14.75" style="1" bestFit="1" customWidth="1"/>
    <col min="2082" max="2304" width="9" style="1"/>
    <col min="2305" max="2307" width="9" style="1" customWidth="1"/>
    <col min="2308" max="2308" width="10.5" style="1" customWidth="1"/>
    <col min="2309" max="2309" width="11.25" style="1" bestFit="1" customWidth="1"/>
    <col min="2310" max="2311" width="9" style="1"/>
    <col min="2312" max="2321" width="9" style="1" customWidth="1"/>
    <col min="2322" max="2322" width="9" style="1"/>
    <col min="2323" max="2323" width="9.5" style="1" bestFit="1" customWidth="1"/>
    <col min="2324" max="2324" width="9" style="1" customWidth="1"/>
    <col min="2325" max="2325" width="9" style="1"/>
    <col min="2326" max="2326" width="9" style="1" customWidth="1"/>
    <col min="2327" max="2332" width="9" style="1"/>
    <col min="2333" max="2333" width="26.5" style="1" customWidth="1"/>
    <col min="2334" max="2336" width="9" style="1"/>
    <col min="2337" max="2337" width="14.75" style="1" bestFit="1" customWidth="1"/>
    <col min="2338" max="2560" width="9" style="1"/>
    <col min="2561" max="2563" width="9" style="1" customWidth="1"/>
    <col min="2564" max="2564" width="10.5" style="1" customWidth="1"/>
    <col min="2565" max="2565" width="11.25" style="1" bestFit="1" customWidth="1"/>
    <col min="2566" max="2567" width="9" style="1"/>
    <col min="2568" max="2577" width="9" style="1" customWidth="1"/>
    <col min="2578" max="2578" width="9" style="1"/>
    <col min="2579" max="2579" width="9.5" style="1" bestFit="1" customWidth="1"/>
    <col min="2580" max="2580" width="9" style="1" customWidth="1"/>
    <col min="2581" max="2581" width="9" style="1"/>
    <col min="2582" max="2582" width="9" style="1" customWidth="1"/>
    <col min="2583" max="2588" width="9" style="1"/>
    <col min="2589" max="2589" width="26.5" style="1" customWidth="1"/>
    <col min="2590" max="2592" width="9" style="1"/>
    <col min="2593" max="2593" width="14.75" style="1" bestFit="1" customWidth="1"/>
    <col min="2594" max="2816" width="9" style="1"/>
    <col min="2817" max="2819" width="9" style="1" customWidth="1"/>
    <col min="2820" max="2820" width="10.5" style="1" customWidth="1"/>
    <col min="2821" max="2821" width="11.25" style="1" bestFit="1" customWidth="1"/>
    <col min="2822" max="2823" width="9" style="1"/>
    <col min="2824" max="2833" width="9" style="1" customWidth="1"/>
    <col min="2834" max="2834" width="9" style="1"/>
    <col min="2835" max="2835" width="9.5" style="1" bestFit="1" customWidth="1"/>
    <col min="2836" max="2836" width="9" style="1" customWidth="1"/>
    <col min="2837" max="2837" width="9" style="1"/>
    <col min="2838" max="2838" width="9" style="1" customWidth="1"/>
    <col min="2839" max="2844" width="9" style="1"/>
    <col min="2845" max="2845" width="26.5" style="1" customWidth="1"/>
    <col min="2846" max="2848" width="9" style="1"/>
    <col min="2849" max="2849" width="14.75" style="1" bestFit="1" customWidth="1"/>
    <col min="2850" max="3072" width="9" style="1"/>
    <col min="3073" max="3075" width="9" style="1" customWidth="1"/>
    <col min="3076" max="3076" width="10.5" style="1" customWidth="1"/>
    <col min="3077" max="3077" width="11.25" style="1" bestFit="1" customWidth="1"/>
    <col min="3078" max="3079" width="9" style="1"/>
    <col min="3080" max="3089" width="9" style="1" customWidth="1"/>
    <col min="3090" max="3090" width="9" style="1"/>
    <col min="3091" max="3091" width="9.5" style="1" bestFit="1" customWidth="1"/>
    <col min="3092" max="3092" width="9" style="1" customWidth="1"/>
    <col min="3093" max="3093" width="9" style="1"/>
    <col min="3094" max="3094" width="9" style="1" customWidth="1"/>
    <col min="3095" max="3100" width="9" style="1"/>
    <col min="3101" max="3101" width="26.5" style="1" customWidth="1"/>
    <col min="3102" max="3104" width="9" style="1"/>
    <col min="3105" max="3105" width="14.75" style="1" bestFit="1" customWidth="1"/>
    <col min="3106" max="3328" width="9" style="1"/>
    <col min="3329" max="3331" width="9" style="1" customWidth="1"/>
    <col min="3332" max="3332" width="10.5" style="1" customWidth="1"/>
    <col min="3333" max="3333" width="11.25" style="1" bestFit="1" customWidth="1"/>
    <col min="3334" max="3335" width="9" style="1"/>
    <col min="3336" max="3345" width="9" style="1" customWidth="1"/>
    <col min="3346" max="3346" width="9" style="1"/>
    <col min="3347" max="3347" width="9.5" style="1" bestFit="1" customWidth="1"/>
    <col min="3348" max="3348" width="9" style="1" customWidth="1"/>
    <col min="3349" max="3349" width="9" style="1"/>
    <col min="3350" max="3350" width="9" style="1" customWidth="1"/>
    <col min="3351" max="3356" width="9" style="1"/>
    <col min="3357" max="3357" width="26.5" style="1" customWidth="1"/>
    <col min="3358" max="3360" width="9" style="1"/>
    <col min="3361" max="3361" width="14.75" style="1" bestFit="1" customWidth="1"/>
    <col min="3362" max="3584" width="9" style="1"/>
    <col min="3585" max="3587" width="9" style="1" customWidth="1"/>
    <col min="3588" max="3588" width="10.5" style="1" customWidth="1"/>
    <col min="3589" max="3589" width="11.25" style="1" bestFit="1" customWidth="1"/>
    <col min="3590" max="3591" width="9" style="1"/>
    <col min="3592" max="3601" width="9" style="1" customWidth="1"/>
    <col min="3602" max="3602" width="9" style="1"/>
    <col min="3603" max="3603" width="9.5" style="1" bestFit="1" customWidth="1"/>
    <col min="3604" max="3604" width="9" style="1" customWidth="1"/>
    <col min="3605" max="3605" width="9" style="1"/>
    <col min="3606" max="3606" width="9" style="1" customWidth="1"/>
    <col min="3607" max="3612" width="9" style="1"/>
    <col min="3613" max="3613" width="26.5" style="1" customWidth="1"/>
    <col min="3614" max="3616" width="9" style="1"/>
    <col min="3617" max="3617" width="14.75" style="1" bestFit="1" customWidth="1"/>
    <col min="3618" max="3840" width="9" style="1"/>
    <col min="3841" max="3843" width="9" style="1" customWidth="1"/>
    <col min="3844" max="3844" width="10.5" style="1" customWidth="1"/>
    <col min="3845" max="3845" width="11.25" style="1" bestFit="1" customWidth="1"/>
    <col min="3846" max="3847" width="9" style="1"/>
    <col min="3848" max="3857" width="9" style="1" customWidth="1"/>
    <col min="3858" max="3858" width="9" style="1"/>
    <col min="3859" max="3859" width="9.5" style="1" bestFit="1" customWidth="1"/>
    <col min="3860" max="3860" width="9" style="1" customWidth="1"/>
    <col min="3861" max="3861" width="9" style="1"/>
    <col min="3862" max="3862" width="9" style="1" customWidth="1"/>
    <col min="3863" max="3868" width="9" style="1"/>
    <col min="3869" max="3869" width="26.5" style="1" customWidth="1"/>
    <col min="3870" max="3872" width="9" style="1"/>
    <col min="3873" max="3873" width="14.75" style="1" bestFit="1" customWidth="1"/>
    <col min="3874" max="4096" width="9" style="1"/>
    <col min="4097" max="4099" width="9" style="1" customWidth="1"/>
    <col min="4100" max="4100" width="10.5" style="1" customWidth="1"/>
    <col min="4101" max="4101" width="11.25" style="1" bestFit="1" customWidth="1"/>
    <col min="4102" max="4103" width="9" style="1"/>
    <col min="4104" max="4113" width="9" style="1" customWidth="1"/>
    <col min="4114" max="4114" width="9" style="1"/>
    <col min="4115" max="4115" width="9.5" style="1" bestFit="1" customWidth="1"/>
    <col min="4116" max="4116" width="9" style="1" customWidth="1"/>
    <col min="4117" max="4117" width="9" style="1"/>
    <col min="4118" max="4118" width="9" style="1" customWidth="1"/>
    <col min="4119" max="4124" width="9" style="1"/>
    <col min="4125" max="4125" width="26.5" style="1" customWidth="1"/>
    <col min="4126" max="4128" width="9" style="1"/>
    <col min="4129" max="4129" width="14.75" style="1" bestFit="1" customWidth="1"/>
    <col min="4130" max="4352" width="9" style="1"/>
    <col min="4353" max="4355" width="9" style="1" customWidth="1"/>
    <col min="4356" max="4356" width="10.5" style="1" customWidth="1"/>
    <col min="4357" max="4357" width="11.25" style="1" bestFit="1" customWidth="1"/>
    <col min="4358" max="4359" width="9" style="1"/>
    <col min="4360" max="4369" width="9" style="1" customWidth="1"/>
    <col min="4370" max="4370" width="9" style="1"/>
    <col min="4371" max="4371" width="9.5" style="1" bestFit="1" customWidth="1"/>
    <col min="4372" max="4372" width="9" style="1" customWidth="1"/>
    <col min="4373" max="4373" width="9" style="1"/>
    <col min="4374" max="4374" width="9" style="1" customWidth="1"/>
    <col min="4375" max="4380" width="9" style="1"/>
    <col min="4381" max="4381" width="26.5" style="1" customWidth="1"/>
    <col min="4382" max="4384" width="9" style="1"/>
    <col min="4385" max="4385" width="14.75" style="1" bestFit="1" customWidth="1"/>
    <col min="4386" max="4608" width="9" style="1"/>
    <col min="4609" max="4611" width="9" style="1" customWidth="1"/>
    <col min="4612" max="4612" width="10.5" style="1" customWidth="1"/>
    <col min="4613" max="4613" width="11.25" style="1" bestFit="1" customWidth="1"/>
    <col min="4614" max="4615" width="9" style="1"/>
    <col min="4616" max="4625" width="9" style="1" customWidth="1"/>
    <col min="4626" max="4626" width="9" style="1"/>
    <col min="4627" max="4627" width="9.5" style="1" bestFit="1" customWidth="1"/>
    <col min="4628" max="4628" width="9" style="1" customWidth="1"/>
    <col min="4629" max="4629" width="9" style="1"/>
    <col min="4630" max="4630" width="9" style="1" customWidth="1"/>
    <col min="4631" max="4636" width="9" style="1"/>
    <col min="4637" max="4637" width="26.5" style="1" customWidth="1"/>
    <col min="4638" max="4640" width="9" style="1"/>
    <col min="4641" max="4641" width="14.75" style="1" bestFit="1" customWidth="1"/>
    <col min="4642" max="4864" width="9" style="1"/>
    <col min="4865" max="4867" width="9" style="1" customWidth="1"/>
    <col min="4868" max="4868" width="10.5" style="1" customWidth="1"/>
    <col min="4869" max="4869" width="11.25" style="1" bestFit="1" customWidth="1"/>
    <col min="4870" max="4871" width="9" style="1"/>
    <col min="4872" max="4881" width="9" style="1" customWidth="1"/>
    <col min="4882" max="4882" width="9" style="1"/>
    <col min="4883" max="4883" width="9.5" style="1" bestFit="1" customWidth="1"/>
    <col min="4884" max="4884" width="9" style="1" customWidth="1"/>
    <col min="4885" max="4885" width="9" style="1"/>
    <col min="4886" max="4886" width="9" style="1" customWidth="1"/>
    <col min="4887" max="4892" width="9" style="1"/>
    <col min="4893" max="4893" width="26.5" style="1" customWidth="1"/>
    <col min="4894" max="4896" width="9" style="1"/>
    <col min="4897" max="4897" width="14.75" style="1" bestFit="1" customWidth="1"/>
    <col min="4898" max="5120" width="9" style="1"/>
    <col min="5121" max="5123" width="9" style="1" customWidth="1"/>
    <col min="5124" max="5124" width="10.5" style="1" customWidth="1"/>
    <col min="5125" max="5125" width="11.25" style="1" bestFit="1" customWidth="1"/>
    <col min="5126" max="5127" width="9" style="1"/>
    <col min="5128" max="5137" width="9" style="1" customWidth="1"/>
    <col min="5138" max="5138" width="9" style="1"/>
    <col min="5139" max="5139" width="9.5" style="1" bestFit="1" customWidth="1"/>
    <col min="5140" max="5140" width="9" style="1" customWidth="1"/>
    <col min="5141" max="5141" width="9" style="1"/>
    <col min="5142" max="5142" width="9" style="1" customWidth="1"/>
    <col min="5143" max="5148" width="9" style="1"/>
    <col min="5149" max="5149" width="26.5" style="1" customWidth="1"/>
    <col min="5150" max="5152" width="9" style="1"/>
    <col min="5153" max="5153" width="14.75" style="1" bestFit="1" customWidth="1"/>
    <col min="5154" max="5376" width="9" style="1"/>
    <col min="5377" max="5379" width="9" style="1" customWidth="1"/>
    <col min="5380" max="5380" width="10.5" style="1" customWidth="1"/>
    <col min="5381" max="5381" width="11.25" style="1" bestFit="1" customWidth="1"/>
    <col min="5382" max="5383" width="9" style="1"/>
    <col min="5384" max="5393" width="9" style="1" customWidth="1"/>
    <col min="5394" max="5394" width="9" style="1"/>
    <col min="5395" max="5395" width="9.5" style="1" bestFit="1" customWidth="1"/>
    <col min="5396" max="5396" width="9" style="1" customWidth="1"/>
    <col min="5397" max="5397" width="9" style="1"/>
    <col min="5398" max="5398" width="9" style="1" customWidth="1"/>
    <col min="5399" max="5404" width="9" style="1"/>
    <col min="5405" max="5405" width="26.5" style="1" customWidth="1"/>
    <col min="5406" max="5408" width="9" style="1"/>
    <col min="5409" max="5409" width="14.75" style="1" bestFit="1" customWidth="1"/>
    <col min="5410" max="5632" width="9" style="1"/>
    <col min="5633" max="5635" width="9" style="1" customWidth="1"/>
    <col min="5636" max="5636" width="10.5" style="1" customWidth="1"/>
    <col min="5637" max="5637" width="11.25" style="1" bestFit="1" customWidth="1"/>
    <col min="5638" max="5639" width="9" style="1"/>
    <col min="5640" max="5649" width="9" style="1" customWidth="1"/>
    <col min="5650" max="5650" width="9" style="1"/>
    <col min="5651" max="5651" width="9.5" style="1" bestFit="1" customWidth="1"/>
    <col min="5652" max="5652" width="9" style="1" customWidth="1"/>
    <col min="5653" max="5653" width="9" style="1"/>
    <col min="5654" max="5654" width="9" style="1" customWidth="1"/>
    <col min="5655" max="5660" width="9" style="1"/>
    <col min="5661" max="5661" width="26.5" style="1" customWidth="1"/>
    <col min="5662" max="5664" width="9" style="1"/>
    <col min="5665" max="5665" width="14.75" style="1" bestFit="1" customWidth="1"/>
    <col min="5666" max="5888" width="9" style="1"/>
    <col min="5889" max="5891" width="9" style="1" customWidth="1"/>
    <col min="5892" max="5892" width="10.5" style="1" customWidth="1"/>
    <col min="5893" max="5893" width="11.25" style="1" bestFit="1" customWidth="1"/>
    <col min="5894" max="5895" width="9" style="1"/>
    <col min="5896" max="5905" width="9" style="1" customWidth="1"/>
    <col min="5906" max="5906" width="9" style="1"/>
    <col min="5907" max="5907" width="9.5" style="1" bestFit="1" customWidth="1"/>
    <col min="5908" max="5908" width="9" style="1" customWidth="1"/>
    <col min="5909" max="5909" width="9" style="1"/>
    <col min="5910" max="5910" width="9" style="1" customWidth="1"/>
    <col min="5911" max="5916" width="9" style="1"/>
    <col min="5917" max="5917" width="26.5" style="1" customWidth="1"/>
    <col min="5918" max="5920" width="9" style="1"/>
    <col min="5921" max="5921" width="14.75" style="1" bestFit="1" customWidth="1"/>
    <col min="5922" max="6144" width="9" style="1"/>
    <col min="6145" max="6147" width="9" style="1" customWidth="1"/>
    <col min="6148" max="6148" width="10.5" style="1" customWidth="1"/>
    <col min="6149" max="6149" width="11.25" style="1" bestFit="1" customWidth="1"/>
    <col min="6150" max="6151" width="9" style="1"/>
    <col min="6152" max="6161" width="9" style="1" customWidth="1"/>
    <col min="6162" max="6162" width="9" style="1"/>
    <col min="6163" max="6163" width="9.5" style="1" bestFit="1" customWidth="1"/>
    <col min="6164" max="6164" width="9" style="1" customWidth="1"/>
    <col min="6165" max="6165" width="9" style="1"/>
    <col min="6166" max="6166" width="9" style="1" customWidth="1"/>
    <col min="6167" max="6172" width="9" style="1"/>
    <col min="6173" max="6173" width="26.5" style="1" customWidth="1"/>
    <col min="6174" max="6176" width="9" style="1"/>
    <col min="6177" max="6177" width="14.75" style="1" bestFit="1" customWidth="1"/>
    <col min="6178" max="6400" width="9" style="1"/>
    <col min="6401" max="6403" width="9" style="1" customWidth="1"/>
    <col min="6404" max="6404" width="10.5" style="1" customWidth="1"/>
    <col min="6405" max="6405" width="11.25" style="1" bestFit="1" customWidth="1"/>
    <col min="6406" max="6407" width="9" style="1"/>
    <col min="6408" max="6417" width="9" style="1" customWidth="1"/>
    <col min="6418" max="6418" width="9" style="1"/>
    <col min="6419" max="6419" width="9.5" style="1" bestFit="1" customWidth="1"/>
    <col min="6420" max="6420" width="9" style="1" customWidth="1"/>
    <col min="6421" max="6421" width="9" style="1"/>
    <col min="6422" max="6422" width="9" style="1" customWidth="1"/>
    <col min="6423" max="6428" width="9" style="1"/>
    <col min="6429" max="6429" width="26.5" style="1" customWidth="1"/>
    <col min="6430" max="6432" width="9" style="1"/>
    <col min="6433" max="6433" width="14.75" style="1" bestFit="1" customWidth="1"/>
    <col min="6434" max="6656" width="9" style="1"/>
    <col min="6657" max="6659" width="9" style="1" customWidth="1"/>
    <col min="6660" max="6660" width="10.5" style="1" customWidth="1"/>
    <col min="6661" max="6661" width="11.25" style="1" bestFit="1" customWidth="1"/>
    <col min="6662" max="6663" width="9" style="1"/>
    <col min="6664" max="6673" width="9" style="1" customWidth="1"/>
    <col min="6674" max="6674" width="9" style="1"/>
    <col min="6675" max="6675" width="9.5" style="1" bestFit="1" customWidth="1"/>
    <col min="6676" max="6676" width="9" style="1" customWidth="1"/>
    <col min="6677" max="6677" width="9" style="1"/>
    <col min="6678" max="6678" width="9" style="1" customWidth="1"/>
    <col min="6679" max="6684" width="9" style="1"/>
    <col min="6685" max="6685" width="26.5" style="1" customWidth="1"/>
    <col min="6686" max="6688" width="9" style="1"/>
    <col min="6689" max="6689" width="14.75" style="1" bestFit="1" customWidth="1"/>
    <col min="6690" max="6912" width="9" style="1"/>
    <col min="6913" max="6915" width="9" style="1" customWidth="1"/>
    <col min="6916" max="6916" width="10.5" style="1" customWidth="1"/>
    <col min="6917" max="6917" width="11.25" style="1" bestFit="1" customWidth="1"/>
    <col min="6918" max="6919" width="9" style="1"/>
    <col min="6920" max="6929" width="9" style="1" customWidth="1"/>
    <col min="6930" max="6930" width="9" style="1"/>
    <col min="6931" max="6931" width="9.5" style="1" bestFit="1" customWidth="1"/>
    <col min="6932" max="6932" width="9" style="1" customWidth="1"/>
    <col min="6933" max="6933" width="9" style="1"/>
    <col min="6934" max="6934" width="9" style="1" customWidth="1"/>
    <col min="6935" max="6940" width="9" style="1"/>
    <col min="6941" max="6941" width="26.5" style="1" customWidth="1"/>
    <col min="6942" max="6944" width="9" style="1"/>
    <col min="6945" max="6945" width="14.75" style="1" bestFit="1" customWidth="1"/>
    <col min="6946" max="7168" width="9" style="1"/>
    <col min="7169" max="7171" width="9" style="1" customWidth="1"/>
    <col min="7172" max="7172" width="10.5" style="1" customWidth="1"/>
    <col min="7173" max="7173" width="11.25" style="1" bestFit="1" customWidth="1"/>
    <col min="7174" max="7175" width="9" style="1"/>
    <col min="7176" max="7185" width="9" style="1" customWidth="1"/>
    <col min="7186" max="7186" width="9" style="1"/>
    <col min="7187" max="7187" width="9.5" style="1" bestFit="1" customWidth="1"/>
    <col min="7188" max="7188" width="9" style="1" customWidth="1"/>
    <col min="7189" max="7189" width="9" style="1"/>
    <col min="7190" max="7190" width="9" style="1" customWidth="1"/>
    <col min="7191" max="7196" width="9" style="1"/>
    <col min="7197" max="7197" width="26.5" style="1" customWidth="1"/>
    <col min="7198" max="7200" width="9" style="1"/>
    <col min="7201" max="7201" width="14.75" style="1" bestFit="1" customWidth="1"/>
    <col min="7202" max="7424" width="9" style="1"/>
    <col min="7425" max="7427" width="9" style="1" customWidth="1"/>
    <col min="7428" max="7428" width="10.5" style="1" customWidth="1"/>
    <col min="7429" max="7429" width="11.25" style="1" bestFit="1" customWidth="1"/>
    <col min="7430" max="7431" width="9" style="1"/>
    <col min="7432" max="7441" width="9" style="1" customWidth="1"/>
    <col min="7442" max="7442" width="9" style="1"/>
    <col min="7443" max="7443" width="9.5" style="1" bestFit="1" customWidth="1"/>
    <col min="7444" max="7444" width="9" style="1" customWidth="1"/>
    <col min="7445" max="7445" width="9" style="1"/>
    <col min="7446" max="7446" width="9" style="1" customWidth="1"/>
    <col min="7447" max="7452" width="9" style="1"/>
    <col min="7453" max="7453" width="26.5" style="1" customWidth="1"/>
    <col min="7454" max="7456" width="9" style="1"/>
    <col min="7457" max="7457" width="14.75" style="1" bestFit="1" customWidth="1"/>
    <col min="7458" max="7680" width="9" style="1"/>
    <col min="7681" max="7683" width="9" style="1" customWidth="1"/>
    <col min="7684" max="7684" width="10.5" style="1" customWidth="1"/>
    <col min="7685" max="7685" width="11.25" style="1" bestFit="1" customWidth="1"/>
    <col min="7686" max="7687" width="9" style="1"/>
    <col min="7688" max="7697" width="9" style="1" customWidth="1"/>
    <col min="7698" max="7698" width="9" style="1"/>
    <col min="7699" max="7699" width="9.5" style="1" bestFit="1" customWidth="1"/>
    <col min="7700" max="7700" width="9" style="1" customWidth="1"/>
    <col min="7701" max="7701" width="9" style="1"/>
    <col min="7702" max="7702" width="9" style="1" customWidth="1"/>
    <col min="7703" max="7708" width="9" style="1"/>
    <col min="7709" max="7709" width="26.5" style="1" customWidth="1"/>
    <col min="7710" max="7712" width="9" style="1"/>
    <col min="7713" max="7713" width="14.75" style="1" bestFit="1" customWidth="1"/>
    <col min="7714" max="7936" width="9" style="1"/>
    <col min="7937" max="7939" width="9" style="1" customWidth="1"/>
    <col min="7940" max="7940" width="10.5" style="1" customWidth="1"/>
    <col min="7941" max="7941" width="11.25" style="1" bestFit="1" customWidth="1"/>
    <col min="7942" max="7943" width="9" style="1"/>
    <col min="7944" max="7953" width="9" style="1" customWidth="1"/>
    <col min="7954" max="7954" width="9" style="1"/>
    <col min="7955" max="7955" width="9.5" style="1" bestFit="1" customWidth="1"/>
    <col min="7956" max="7956" width="9" style="1" customWidth="1"/>
    <col min="7957" max="7957" width="9" style="1"/>
    <col min="7958" max="7958" width="9" style="1" customWidth="1"/>
    <col min="7959" max="7964" width="9" style="1"/>
    <col min="7965" max="7965" width="26.5" style="1" customWidth="1"/>
    <col min="7966" max="7968" width="9" style="1"/>
    <col min="7969" max="7969" width="14.75" style="1" bestFit="1" customWidth="1"/>
    <col min="7970" max="8192" width="9" style="1"/>
    <col min="8193" max="8195" width="9" style="1" customWidth="1"/>
    <col min="8196" max="8196" width="10.5" style="1" customWidth="1"/>
    <col min="8197" max="8197" width="11.25" style="1" bestFit="1" customWidth="1"/>
    <col min="8198" max="8199" width="9" style="1"/>
    <col min="8200" max="8209" width="9" style="1" customWidth="1"/>
    <col min="8210" max="8210" width="9" style="1"/>
    <col min="8211" max="8211" width="9.5" style="1" bestFit="1" customWidth="1"/>
    <col min="8212" max="8212" width="9" style="1" customWidth="1"/>
    <col min="8213" max="8213" width="9" style="1"/>
    <col min="8214" max="8214" width="9" style="1" customWidth="1"/>
    <col min="8215" max="8220" width="9" style="1"/>
    <col min="8221" max="8221" width="26.5" style="1" customWidth="1"/>
    <col min="8222" max="8224" width="9" style="1"/>
    <col min="8225" max="8225" width="14.75" style="1" bestFit="1" customWidth="1"/>
    <col min="8226" max="8448" width="9" style="1"/>
    <col min="8449" max="8451" width="9" style="1" customWidth="1"/>
    <col min="8452" max="8452" width="10.5" style="1" customWidth="1"/>
    <col min="8453" max="8453" width="11.25" style="1" bestFit="1" customWidth="1"/>
    <col min="8454" max="8455" width="9" style="1"/>
    <col min="8456" max="8465" width="9" style="1" customWidth="1"/>
    <col min="8466" max="8466" width="9" style="1"/>
    <col min="8467" max="8467" width="9.5" style="1" bestFit="1" customWidth="1"/>
    <col min="8468" max="8468" width="9" style="1" customWidth="1"/>
    <col min="8469" max="8469" width="9" style="1"/>
    <col min="8470" max="8470" width="9" style="1" customWidth="1"/>
    <col min="8471" max="8476" width="9" style="1"/>
    <col min="8477" max="8477" width="26.5" style="1" customWidth="1"/>
    <col min="8478" max="8480" width="9" style="1"/>
    <col min="8481" max="8481" width="14.75" style="1" bestFit="1" customWidth="1"/>
    <col min="8482" max="8704" width="9" style="1"/>
    <col min="8705" max="8707" width="9" style="1" customWidth="1"/>
    <col min="8708" max="8708" width="10.5" style="1" customWidth="1"/>
    <col min="8709" max="8709" width="11.25" style="1" bestFit="1" customWidth="1"/>
    <col min="8710" max="8711" width="9" style="1"/>
    <col min="8712" max="8721" width="9" style="1" customWidth="1"/>
    <col min="8722" max="8722" width="9" style="1"/>
    <col min="8723" max="8723" width="9.5" style="1" bestFit="1" customWidth="1"/>
    <col min="8724" max="8724" width="9" style="1" customWidth="1"/>
    <col min="8725" max="8725" width="9" style="1"/>
    <col min="8726" max="8726" width="9" style="1" customWidth="1"/>
    <col min="8727" max="8732" width="9" style="1"/>
    <col min="8733" max="8733" width="26.5" style="1" customWidth="1"/>
    <col min="8734" max="8736" width="9" style="1"/>
    <col min="8737" max="8737" width="14.75" style="1" bestFit="1" customWidth="1"/>
    <col min="8738" max="8960" width="9" style="1"/>
    <col min="8961" max="8963" width="9" style="1" customWidth="1"/>
    <col min="8964" max="8964" width="10.5" style="1" customWidth="1"/>
    <col min="8965" max="8965" width="11.25" style="1" bestFit="1" customWidth="1"/>
    <col min="8966" max="8967" width="9" style="1"/>
    <col min="8968" max="8977" width="9" style="1" customWidth="1"/>
    <col min="8978" max="8978" width="9" style="1"/>
    <col min="8979" max="8979" width="9.5" style="1" bestFit="1" customWidth="1"/>
    <col min="8980" max="8980" width="9" style="1" customWidth="1"/>
    <col min="8981" max="8981" width="9" style="1"/>
    <col min="8982" max="8982" width="9" style="1" customWidth="1"/>
    <col min="8983" max="8988" width="9" style="1"/>
    <col min="8989" max="8989" width="26.5" style="1" customWidth="1"/>
    <col min="8990" max="8992" width="9" style="1"/>
    <col min="8993" max="8993" width="14.75" style="1" bestFit="1" customWidth="1"/>
    <col min="8994" max="9216" width="9" style="1"/>
    <col min="9217" max="9219" width="9" style="1" customWidth="1"/>
    <col min="9220" max="9220" width="10.5" style="1" customWidth="1"/>
    <col min="9221" max="9221" width="11.25" style="1" bestFit="1" customWidth="1"/>
    <col min="9222" max="9223" width="9" style="1"/>
    <col min="9224" max="9233" width="9" style="1" customWidth="1"/>
    <col min="9234" max="9234" width="9" style="1"/>
    <col min="9235" max="9235" width="9.5" style="1" bestFit="1" customWidth="1"/>
    <col min="9236" max="9236" width="9" style="1" customWidth="1"/>
    <col min="9237" max="9237" width="9" style="1"/>
    <col min="9238" max="9238" width="9" style="1" customWidth="1"/>
    <col min="9239" max="9244" width="9" style="1"/>
    <col min="9245" max="9245" width="26.5" style="1" customWidth="1"/>
    <col min="9246" max="9248" width="9" style="1"/>
    <col min="9249" max="9249" width="14.75" style="1" bestFit="1" customWidth="1"/>
    <col min="9250" max="9472" width="9" style="1"/>
    <col min="9473" max="9475" width="9" style="1" customWidth="1"/>
    <col min="9476" max="9476" width="10.5" style="1" customWidth="1"/>
    <col min="9477" max="9477" width="11.25" style="1" bestFit="1" customWidth="1"/>
    <col min="9478" max="9479" width="9" style="1"/>
    <col min="9480" max="9489" width="9" style="1" customWidth="1"/>
    <col min="9490" max="9490" width="9" style="1"/>
    <col min="9491" max="9491" width="9.5" style="1" bestFit="1" customWidth="1"/>
    <col min="9492" max="9492" width="9" style="1" customWidth="1"/>
    <col min="9493" max="9493" width="9" style="1"/>
    <col min="9494" max="9494" width="9" style="1" customWidth="1"/>
    <col min="9495" max="9500" width="9" style="1"/>
    <col min="9501" max="9501" width="26.5" style="1" customWidth="1"/>
    <col min="9502" max="9504" width="9" style="1"/>
    <col min="9505" max="9505" width="14.75" style="1" bestFit="1" customWidth="1"/>
    <col min="9506" max="9728" width="9" style="1"/>
    <col min="9729" max="9731" width="9" style="1" customWidth="1"/>
    <col min="9732" max="9732" width="10.5" style="1" customWidth="1"/>
    <col min="9733" max="9733" width="11.25" style="1" bestFit="1" customWidth="1"/>
    <col min="9734" max="9735" width="9" style="1"/>
    <col min="9736" max="9745" width="9" style="1" customWidth="1"/>
    <col min="9746" max="9746" width="9" style="1"/>
    <col min="9747" max="9747" width="9.5" style="1" bestFit="1" customWidth="1"/>
    <col min="9748" max="9748" width="9" style="1" customWidth="1"/>
    <col min="9749" max="9749" width="9" style="1"/>
    <col min="9750" max="9750" width="9" style="1" customWidth="1"/>
    <col min="9751" max="9756" width="9" style="1"/>
    <col min="9757" max="9757" width="26.5" style="1" customWidth="1"/>
    <col min="9758" max="9760" width="9" style="1"/>
    <col min="9761" max="9761" width="14.75" style="1" bestFit="1" customWidth="1"/>
    <col min="9762" max="9984" width="9" style="1"/>
    <col min="9985" max="9987" width="9" style="1" customWidth="1"/>
    <col min="9988" max="9988" width="10.5" style="1" customWidth="1"/>
    <col min="9989" max="9989" width="11.25" style="1" bestFit="1" customWidth="1"/>
    <col min="9990" max="9991" width="9" style="1"/>
    <col min="9992" max="10001" width="9" style="1" customWidth="1"/>
    <col min="10002" max="10002" width="9" style="1"/>
    <col min="10003" max="10003" width="9.5" style="1" bestFit="1" customWidth="1"/>
    <col min="10004" max="10004" width="9" style="1" customWidth="1"/>
    <col min="10005" max="10005" width="9" style="1"/>
    <col min="10006" max="10006" width="9" style="1" customWidth="1"/>
    <col min="10007" max="10012" width="9" style="1"/>
    <col min="10013" max="10013" width="26.5" style="1" customWidth="1"/>
    <col min="10014" max="10016" width="9" style="1"/>
    <col min="10017" max="10017" width="14.75" style="1" bestFit="1" customWidth="1"/>
    <col min="10018" max="10240" width="9" style="1"/>
    <col min="10241" max="10243" width="9" style="1" customWidth="1"/>
    <col min="10244" max="10244" width="10.5" style="1" customWidth="1"/>
    <col min="10245" max="10245" width="11.25" style="1" bestFit="1" customWidth="1"/>
    <col min="10246" max="10247" width="9" style="1"/>
    <col min="10248" max="10257" width="9" style="1" customWidth="1"/>
    <col min="10258" max="10258" width="9" style="1"/>
    <col min="10259" max="10259" width="9.5" style="1" bestFit="1" customWidth="1"/>
    <col min="10260" max="10260" width="9" style="1" customWidth="1"/>
    <col min="10261" max="10261" width="9" style="1"/>
    <col min="10262" max="10262" width="9" style="1" customWidth="1"/>
    <col min="10263" max="10268" width="9" style="1"/>
    <col min="10269" max="10269" width="26.5" style="1" customWidth="1"/>
    <col min="10270" max="10272" width="9" style="1"/>
    <col min="10273" max="10273" width="14.75" style="1" bestFit="1" customWidth="1"/>
    <col min="10274" max="10496" width="9" style="1"/>
    <col min="10497" max="10499" width="9" style="1" customWidth="1"/>
    <col min="10500" max="10500" width="10.5" style="1" customWidth="1"/>
    <col min="10501" max="10501" width="11.25" style="1" bestFit="1" customWidth="1"/>
    <col min="10502" max="10503" width="9" style="1"/>
    <col min="10504" max="10513" width="9" style="1" customWidth="1"/>
    <col min="10514" max="10514" width="9" style="1"/>
    <col min="10515" max="10515" width="9.5" style="1" bestFit="1" customWidth="1"/>
    <col min="10516" max="10516" width="9" style="1" customWidth="1"/>
    <col min="10517" max="10517" width="9" style="1"/>
    <col min="10518" max="10518" width="9" style="1" customWidth="1"/>
    <col min="10519" max="10524" width="9" style="1"/>
    <col min="10525" max="10525" width="26.5" style="1" customWidth="1"/>
    <col min="10526" max="10528" width="9" style="1"/>
    <col min="10529" max="10529" width="14.75" style="1" bestFit="1" customWidth="1"/>
    <col min="10530" max="10752" width="9" style="1"/>
    <col min="10753" max="10755" width="9" style="1" customWidth="1"/>
    <col min="10756" max="10756" width="10.5" style="1" customWidth="1"/>
    <col min="10757" max="10757" width="11.25" style="1" bestFit="1" customWidth="1"/>
    <col min="10758" max="10759" width="9" style="1"/>
    <col min="10760" max="10769" width="9" style="1" customWidth="1"/>
    <col min="10770" max="10770" width="9" style="1"/>
    <col min="10771" max="10771" width="9.5" style="1" bestFit="1" customWidth="1"/>
    <col min="10772" max="10772" width="9" style="1" customWidth="1"/>
    <col min="10773" max="10773" width="9" style="1"/>
    <col min="10774" max="10774" width="9" style="1" customWidth="1"/>
    <col min="10775" max="10780" width="9" style="1"/>
    <col min="10781" max="10781" width="26.5" style="1" customWidth="1"/>
    <col min="10782" max="10784" width="9" style="1"/>
    <col min="10785" max="10785" width="14.75" style="1" bestFit="1" customWidth="1"/>
    <col min="10786" max="11008" width="9" style="1"/>
    <col min="11009" max="11011" width="9" style="1" customWidth="1"/>
    <col min="11012" max="11012" width="10.5" style="1" customWidth="1"/>
    <col min="11013" max="11013" width="11.25" style="1" bestFit="1" customWidth="1"/>
    <col min="11014" max="11015" width="9" style="1"/>
    <col min="11016" max="11025" width="9" style="1" customWidth="1"/>
    <col min="11026" max="11026" width="9" style="1"/>
    <col min="11027" max="11027" width="9.5" style="1" bestFit="1" customWidth="1"/>
    <col min="11028" max="11028" width="9" style="1" customWidth="1"/>
    <col min="11029" max="11029" width="9" style="1"/>
    <col min="11030" max="11030" width="9" style="1" customWidth="1"/>
    <col min="11031" max="11036" width="9" style="1"/>
    <col min="11037" max="11037" width="26.5" style="1" customWidth="1"/>
    <col min="11038" max="11040" width="9" style="1"/>
    <col min="11041" max="11041" width="14.75" style="1" bestFit="1" customWidth="1"/>
    <col min="11042" max="11264" width="9" style="1"/>
    <col min="11265" max="11267" width="9" style="1" customWidth="1"/>
    <col min="11268" max="11268" width="10.5" style="1" customWidth="1"/>
    <col min="11269" max="11269" width="11.25" style="1" bestFit="1" customWidth="1"/>
    <col min="11270" max="11271" width="9" style="1"/>
    <col min="11272" max="11281" width="9" style="1" customWidth="1"/>
    <col min="11282" max="11282" width="9" style="1"/>
    <col min="11283" max="11283" width="9.5" style="1" bestFit="1" customWidth="1"/>
    <col min="11284" max="11284" width="9" style="1" customWidth="1"/>
    <col min="11285" max="11285" width="9" style="1"/>
    <col min="11286" max="11286" width="9" style="1" customWidth="1"/>
    <col min="11287" max="11292" width="9" style="1"/>
    <col min="11293" max="11293" width="26.5" style="1" customWidth="1"/>
    <col min="11294" max="11296" width="9" style="1"/>
    <col min="11297" max="11297" width="14.75" style="1" bestFit="1" customWidth="1"/>
    <col min="11298" max="11520" width="9" style="1"/>
    <col min="11521" max="11523" width="9" style="1" customWidth="1"/>
    <col min="11524" max="11524" width="10.5" style="1" customWidth="1"/>
    <col min="11525" max="11525" width="11.25" style="1" bestFit="1" customWidth="1"/>
    <col min="11526" max="11527" width="9" style="1"/>
    <col min="11528" max="11537" width="9" style="1" customWidth="1"/>
    <col min="11538" max="11538" width="9" style="1"/>
    <col min="11539" max="11539" width="9.5" style="1" bestFit="1" customWidth="1"/>
    <col min="11540" max="11540" width="9" style="1" customWidth="1"/>
    <col min="11541" max="11541" width="9" style="1"/>
    <col min="11542" max="11542" width="9" style="1" customWidth="1"/>
    <col min="11543" max="11548" width="9" style="1"/>
    <col min="11549" max="11549" width="26.5" style="1" customWidth="1"/>
    <col min="11550" max="11552" width="9" style="1"/>
    <col min="11553" max="11553" width="14.75" style="1" bestFit="1" customWidth="1"/>
    <col min="11554" max="11776" width="9" style="1"/>
    <col min="11777" max="11779" width="9" style="1" customWidth="1"/>
    <col min="11780" max="11780" width="10.5" style="1" customWidth="1"/>
    <col min="11781" max="11781" width="11.25" style="1" bestFit="1" customWidth="1"/>
    <col min="11782" max="11783" width="9" style="1"/>
    <col min="11784" max="11793" width="9" style="1" customWidth="1"/>
    <col min="11794" max="11794" width="9" style="1"/>
    <col min="11795" max="11795" width="9.5" style="1" bestFit="1" customWidth="1"/>
    <col min="11796" max="11796" width="9" style="1" customWidth="1"/>
    <col min="11797" max="11797" width="9" style="1"/>
    <col min="11798" max="11798" width="9" style="1" customWidth="1"/>
    <col min="11799" max="11804" width="9" style="1"/>
    <col min="11805" max="11805" width="26.5" style="1" customWidth="1"/>
    <col min="11806" max="11808" width="9" style="1"/>
    <col min="11809" max="11809" width="14.75" style="1" bestFit="1" customWidth="1"/>
    <col min="11810" max="12032" width="9" style="1"/>
    <col min="12033" max="12035" width="9" style="1" customWidth="1"/>
    <col min="12036" max="12036" width="10.5" style="1" customWidth="1"/>
    <col min="12037" max="12037" width="11.25" style="1" bestFit="1" customWidth="1"/>
    <col min="12038" max="12039" width="9" style="1"/>
    <col min="12040" max="12049" width="9" style="1" customWidth="1"/>
    <col min="12050" max="12050" width="9" style="1"/>
    <col min="12051" max="12051" width="9.5" style="1" bestFit="1" customWidth="1"/>
    <col min="12052" max="12052" width="9" style="1" customWidth="1"/>
    <col min="12053" max="12053" width="9" style="1"/>
    <col min="12054" max="12054" width="9" style="1" customWidth="1"/>
    <col min="12055" max="12060" width="9" style="1"/>
    <col min="12061" max="12061" width="26.5" style="1" customWidth="1"/>
    <col min="12062" max="12064" width="9" style="1"/>
    <col min="12065" max="12065" width="14.75" style="1" bestFit="1" customWidth="1"/>
    <col min="12066" max="12288" width="9" style="1"/>
    <col min="12289" max="12291" width="9" style="1" customWidth="1"/>
    <col min="12292" max="12292" width="10.5" style="1" customWidth="1"/>
    <col min="12293" max="12293" width="11.25" style="1" bestFit="1" customWidth="1"/>
    <col min="12294" max="12295" width="9" style="1"/>
    <col min="12296" max="12305" width="9" style="1" customWidth="1"/>
    <col min="12306" max="12306" width="9" style="1"/>
    <col min="12307" max="12307" width="9.5" style="1" bestFit="1" customWidth="1"/>
    <col min="12308" max="12308" width="9" style="1" customWidth="1"/>
    <col min="12309" max="12309" width="9" style="1"/>
    <col min="12310" max="12310" width="9" style="1" customWidth="1"/>
    <col min="12311" max="12316" width="9" style="1"/>
    <col min="12317" max="12317" width="26.5" style="1" customWidth="1"/>
    <col min="12318" max="12320" width="9" style="1"/>
    <col min="12321" max="12321" width="14.75" style="1" bestFit="1" customWidth="1"/>
    <col min="12322" max="12544" width="9" style="1"/>
    <col min="12545" max="12547" width="9" style="1" customWidth="1"/>
    <col min="12548" max="12548" width="10.5" style="1" customWidth="1"/>
    <col min="12549" max="12549" width="11.25" style="1" bestFit="1" customWidth="1"/>
    <col min="12550" max="12551" width="9" style="1"/>
    <col min="12552" max="12561" width="9" style="1" customWidth="1"/>
    <col min="12562" max="12562" width="9" style="1"/>
    <col min="12563" max="12563" width="9.5" style="1" bestFit="1" customWidth="1"/>
    <col min="12564" max="12564" width="9" style="1" customWidth="1"/>
    <col min="12565" max="12565" width="9" style="1"/>
    <col min="12566" max="12566" width="9" style="1" customWidth="1"/>
    <col min="12567" max="12572" width="9" style="1"/>
    <col min="12573" max="12573" width="26.5" style="1" customWidth="1"/>
    <col min="12574" max="12576" width="9" style="1"/>
    <col min="12577" max="12577" width="14.75" style="1" bestFit="1" customWidth="1"/>
    <col min="12578" max="12800" width="9" style="1"/>
    <col min="12801" max="12803" width="9" style="1" customWidth="1"/>
    <col min="12804" max="12804" width="10.5" style="1" customWidth="1"/>
    <col min="12805" max="12805" width="11.25" style="1" bestFit="1" customWidth="1"/>
    <col min="12806" max="12807" width="9" style="1"/>
    <col min="12808" max="12817" width="9" style="1" customWidth="1"/>
    <col min="12818" max="12818" width="9" style="1"/>
    <col min="12819" max="12819" width="9.5" style="1" bestFit="1" customWidth="1"/>
    <col min="12820" max="12820" width="9" style="1" customWidth="1"/>
    <col min="12821" max="12821" width="9" style="1"/>
    <col min="12822" max="12822" width="9" style="1" customWidth="1"/>
    <col min="12823" max="12828" width="9" style="1"/>
    <col min="12829" max="12829" width="26.5" style="1" customWidth="1"/>
    <col min="12830" max="12832" width="9" style="1"/>
    <col min="12833" max="12833" width="14.75" style="1" bestFit="1" customWidth="1"/>
    <col min="12834" max="13056" width="9" style="1"/>
    <col min="13057" max="13059" width="9" style="1" customWidth="1"/>
    <col min="13060" max="13060" width="10.5" style="1" customWidth="1"/>
    <col min="13061" max="13061" width="11.25" style="1" bestFit="1" customWidth="1"/>
    <col min="13062" max="13063" width="9" style="1"/>
    <col min="13064" max="13073" width="9" style="1" customWidth="1"/>
    <col min="13074" max="13074" width="9" style="1"/>
    <col min="13075" max="13075" width="9.5" style="1" bestFit="1" customWidth="1"/>
    <col min="13076" max="13076" width="9" style="1" customWidth="1"/>
    <col min="13077" max="13077" width="9" style="1"/>
    <col min="13078" max="13078" width="9" style="1" customWidth="1"/>
    <col min="13079" max="13084" width="9" style="1"/>
    <col min="13085" max="13085" width="26.5" style="1" customWidth="1"/>
    <col min="13086" max="13088" width="9" style="1"/>
    <col min="13089" max="13089" width="14.75" style="1" bestFit="1" customWidth="1"/>
    <col min="13090" max="13312" width="9" style="1"/>
    <col min="13313" max="13315" width="9" style="1" customWidth="1"/>
    <col min="13316" max="13316" width="10.5" style="1" customWidth="1"/>
    <col min="13317" max="13317" width="11.25" style="1" bestFit="1" customWidth="1"/>
    <col min="13318" max="13319" width="9" style="1"/>
    <col min="13320" max="13329" width="9" style="1" customWidth="1"/>
    <col min="13330" max="13330" width="9" style="1"/>
    <col min="13331" max="13331" width="9.5" style="1" bestFit="1" customWidth="1"/>
    <col min="13332" max="13332" width="9" style="1" customWidth="1"/>
    <col min="13333" max="13333" width="9" style="1"/>
    <col min="13334" max="13334" width="9" style="1" customWidth="1"/>
    <col min="13335" max="13340" width="9" style="1"/>
    <col min="13341" max="13341" width="26.5" style="1" customWidth="1"/>
    <col min="13342" max="13344" width="9" style="1"/>
    <col min="13345" max="13345" width="14.75" style="1" bestFit="1" customWidth="1"/>
    <col min="13346" max="13568" width="9" style="1"/>
    <col min="13569" max="13571" width="9" style="1" customWidth="1"/>
    <col min="13572" max="13572" width="10.5" style="1" customWidth="1"/>
    <col min="13573" max="13573" width="11.25" style="1" bestFit="1" customWidth="1"/>
    <col min="13574" max="13575" width="9" style="1"/>
    <col min="13576" max="13585" width="9" style="1" customWidth="1"/>
    <col min="13586" max="13586" width="9" style="1"/>
    <col min="13587" max="13587" width="9.5" style="1" bestFit="1" customWidth="1"/>
    <col min="13588" max="13588" width="9" style="1" customWidth="1"/>
    <col min="13589" max="13589" width="9" style="1"/>
    <col min="13590" max="13590" width="9" style="1" customWidth="1"/>
    <col min="13591" max="13596" width="9" style="1"/>
    <col min="13597" max="13597" width="26.5" style="1" customWidth="1"/>
    <col min="13598" max="13600" width="9" style="1"/>
    <col min="13601" max="13601" width="14.75" style="1" bestFit="1" customWidth="1"/>
    <col min="13602" max="13824" width="9" style="1"/>
    <col min="13825" max="13827" width="9" style="1" customWidth="1"/>
    <col min="13828" max="13828" width="10.5" style="1" customWidth="1"/>
    <col min="13829" max="13829" width="11.25" style="1" bestFit="1" customWidth="1"/>
    <col min="13830" max="13831" width="9" style="1"/>
    <col min="13832" max="13841" width="9" style="1" customWidth="1"/>
    <col min="13842" max="13842" width="9" style="1"/>
    <col min="13843" max="13843" width="9.5" style="1" bestFit="1" customWidth="1"/>
    <col min="13844" max="13844" width="9" style="1" customWidth="1"/>
    <col min="13845" max="13845" width="9" style="1"/>
    <col min="13846" max="13846" width="9" style="1" customWidth="1"/>
    <col min="13847" max="13852" width="9" style="1"/>
    <col min="13853" max="13853" width="26.5" style="1" customWidth="1"/>
    <col min="13854" max="13856" width="9" style="1"/>
    <col min="13857" max="13857" width="14.75" style="1" bestFit="1" customWidth="1"/>
    <col min="13858" max="14080" width="9" style="1"/>
    <col min="14081" max="14083" width="9" style="1" customWidth="1"/>
    <col min="14084" max="14084" width="10.5" style="1" customWidth="1"/>
    <col min="14085" max="14085" width="11.25" style="1" bestFit="1" customWidth="1"/>
    <col min="14086" max="14087" width="9" style="1"/>
    <col min="14088" max="14097" width="9" style="1" customWidth="1"/>
    <col min="14098" max="14098" width="9" style="1"/>
    <col min="14099" max="14099" width="9.5" style="1" bestFit="1" customWidth="1"/>
    <col min="14100" max="14100" width="9" style="1" customWidth="1"/>
    <col min="14101" max="14101" width="9" style="1"/>
    <col min="14102" max="14102" width="9" style="1" customWidth="1"/>
    <col min="14103" max="14108" width="9" style="1"/>
    <col min="14109" max="14109" width="26.5" style="1" customWidth="1"/>
    <col min="14110" max="14112" width="9" style="1"/>
    <col min="14113" max="14113" width="14.75" style="1" bestFit="1" customWidth="1"/>
    <col min="14114" max="14336" width="9" style="1"/>
    <col min="14337" max="14339" width="9" style="1" customWidth="1"/>
    <col min="14340" max="14340" width="10.5" style="1" customWidth="1"/>
    <col min="14341" max="14341" width="11.25" style="1" bestFit="1" customWidth="1"/>
    <col min="14342" max="14343" width="9" style="1"/>
    <col min="14344" max="14353" width="9" style="1" customWidth="1"/>
    <col min="14354" max="14354" width="9" style="1"/>
    <col min="14355" max="14355" width="9.5" style="1" bestFit="1" customWidth="1"/>
    <col min="14356" max="14356" width="9" style="1" customWidth="1"/>
    <col min="14357" max="14357" width="9" style="1"/>
    <col min="14358" max="14358" width="9" style="1" customWidth="1"/>
    <col min="14359" max="14364" width="9" style="1"/>
    <col min="14365" max="14365" width="26.5" style="1" customWidth="1"/>
    <col min="14366" max="14368" width="9" style="1"/>
    <col min="14369" max="14369" width="14.75" style="1" bestFit="1" customWidth="1"/>
    <col min="14370" max="14592" width="9" style="1"/>
    <col min="14593" max="14595" width="9" style="1" customWidth="1"/>
    <col min="14596" max="14596" width="10.5" style="1" customWidth="1"/>
    <col min="14597" max="14597" width="11.25" style="1" bestFit="1" customWidth="1"/>
    <col min="14598" max="14599" width="9" style="1"/>
    <col min="14600" max="14609" width="9" style="1" customWidth="1"/>
    <col min="14610" max="14610" width="9" style="1"/>
    <col min="14611" max="14611" width="9.5" style="1" bestFit="1" customWidth="1"/>
    <col min="14612" max="14612" width="9" style="1" customWidth="1"/>
    <col min="14613" max="14613" width="9" style="1"/>
    <col min="14614" max="14614" width="9" style="1" customWidth="1"/>
    <col min="14615" max="14620" width="9" style="1"/>
    <col min="14621" max="14621" width="26.5" style="1" customWidth="1"/>
    <col min="14622" max="14624" width="9" style="1"/>
    <col min="14625" max="14625" width="14.75" style="1" bestFit="1" customWidth="1"/>
    <col min="14626" max="14848" width="9" style="1"/>
    <col min="14849" max="14851" width="9" style="1" customWidth="1"/>
    <col min="14852" max="14852" width="10.5" style="1" customWidth="1"/>
    <col min="14853" max="14853" width="11.25" style="1" bestFit="1" customWidth="1"/>
    <col min="14854" max="14855" width="9" style="1"/>
    <col min="14856" max="14865" width="9" style="1" customWidth="1"/>
    <col min="14866" max="14866" width="9" style="1"/>
    <col min="14867" max="14867" width="9.5" style="1" bestFit="1" customWidth="1"/>
    <col min="14868" max="14868" width="9" style="1" customWidth="1"/>
    <col min="14869" max="14869" width="9" style="1"/>
    <col min="14870" max="14870" width="9" style="1" customWidth="1"/>
    <col min="14871" max="14876" width="9" style="1"/>
    <col min="14877" max="14877" width="26.5" style="1" customWidth="1"/>
    <col min="14878" max="14880" width="9" style="1"/>
    <col min="14881" max="14881" width="14.75" style="1" bestFit="1" customWidth="1"/>
    <col min="14882" max="15104" width="9" style="1"/>
    <col min="15105" max="15107" width="9" style="1" customWidth="1"/>
    <col min="15108" max="15108" width="10.5" style="1" customWidth="1"/>
    <col min="15109" max="15109" width="11.25" style="1" bestFit="1" customWidth="1"/>
    <col min="15110" max="15111" width="9" style="1"/>
    <col min="15112" max="15121" width="9" style="1" customWidth="1"/>
    <col min="15122" max="15122" width="9" style="1"/>
    <col min="15123" max="15123" width="9.5" style="1" bestFit="1" customWidth="1"/>
    <col min="15124" max="15124" width="9" style="1" customWidth="1"/>
    <col min="15125" max="15125" width="9" style="1"/>
    <col min="15126" max="15126" width="9" style="1" customWidth="1"/>
    <col min="15127" max="15132" width="9" style="1"/>
    <col min="15133" max="15133" width="26.5" style="1" customWidth="1"/>
    <col min="15134" max="15136" width="9" style="1"/>
    <col min="15137" max="15137" width="14.75" style="1" bestFit="1" customWidth="1"/>
    <col min="15138" max="15360" width="9" style="1"/>
    <col min="15361" max="15363" width="9" style="1" customWidth="1"/>
    <col min="15364" max="15364" width="10.5" style="1" customWidth="1"/>
    <col min="15365" max="15365" width="11.25" style="1" bestFit="1" customWidth="1"/>
    <col min="15366" max="15367" width="9" style="1"/>
    <col min="15368" max="15377" width="9" style="1" customWidth="1"/>
    <col min="15378" max="15378" width="9" style="1"/>
    <col min="15379" max="15379" width="9.5" style="1" bestFit="1" customWidth="1"/>
    <col min="15380" max="15380" width="9" style="1" customWidth="1"/>
    <col min="15381" max="15381" width="9" style="1"/>
    <col min="15382" max="15382" width="9" style="1" customWidth="1"/>
    <col min="15383" max="15388" width="9" style="1"/>
    <col min="15389" max="15389" width="26.5" style="1" customWidth="1"/>
    <col min="15390" max="15392" width="9" style="1"/>
    <col min="15393" max="15393" width="14.75" style="1" bestFit="1" customWidth="1"/>
    <col min="15394" max="15616" width="9" style="1"/>
    <col min="15617" max="15619" width="9" style="1" customWidth="1"/>
    <col min="15620" max="15620" width="10.5" style="1" customWidth="1"/>
    <col min="15621" max="15621" width="11.25" style="1" bestFit="1" customWidth="1"/>
    <col min="15622" max="15623" width="9" style="1"/>
    <col min="15624" max="15633" width="9" style="1" customWidth="1"/>
    <col min="15634" max="15634" width="9" style="1"/>
    <col min="15635" max="15635" width="9.5" style="1" bestFit="1" customWidth="1"/>
    <col min="15636" max="15636" width="9" style="1" customWidth="1"/>
    <col min="15637" max="15637" width="9" style="1"/>
    <col min="15638" max="15638" width="9" style="1" customWidth="1"/>
    <col min="15639" max="15644" width="9" style="1"/>
    <col min="15645" max="15645" width="26.5" style="1" customWidth="1"/>
    <col min="15646" max="15648" width="9" style="1"/>
    <col min="15649" max="15649" width="14.75" style="1" bestFit="1" customWidth="1"/>
    <col min="15650" max="15872" width="9" style="1"/>
    <col min="15873" max="15875" width="9" style="1" customWidth="1"/>
    <col min="15876" max="15876" width="10.5" style="1" customWidth="1"/>
    <col min="15877" max="15877" width="11.25" style="1" bestFit="1" customWidth="1"/>
    <col min="15878" max="15879" width="9" style="1"/>
    <col min="15880" max="15889" width="9" style="1" customWidth="1"/>
    <col min="15890" max="15890" width="9" style="1"/>
    <col min="15891" max="15891" width="9.5" style="1" bestFit="1" customWidth="1"/>
    <col min="15892" max="15892" width="9" style="1" customWidth="1"/>
    <col min="15893" max="15893" width="9" style="1"/>
    <col min="15894" max="15894" width="9" style="1" customWidth="1"/>
    <col min="15895" max="15900" width="9" style="1"/>
    <col min="15901" max="15901" width="26.5" style="1" customWidth="1"/>
    <col min="15902" max="15904" width="9" style="1"/>
    <col min="15905" max="15905" width="14.75" style="1" bestFit="1" customWidth="1"/>
    <col min="15906" max="16128" width="9" style="1"/>
    <col min="16129" max="16131" width="9" style="1" customWidth="1"/>
    <col min="16132" max="16132" width="10.5" style="1" customWidth="1"/>
    <col min="16133" max="16133" width="11.25" style="1" bestFit="1" customWidth="1"/>
    <col min="16134" max="16135" width="9" style="1"/>
    <col min="16136" max="16145" width="9" style="1" customWidth="1"/>
    <col min="16146" max="16146" width="9" style="1"/>
    <col min="16147" max="16147" width="9.5" style="1" bestFit="1" customWidth="1"/>
    <col min="16148" max="16148" width="9" style="1" customWidth="1"/>
    <col min="16149" max="16149" width="9" style="1"/>
    <col min="16150" max="16150" width="9" style="1" customWidth="1"/>
    <col min="16151" max="16156" width="9" style="1"/>
    <col min="16157" max="16157" width="26.5" style="1" customWidth="1"/>
    <col min="16158" max="16160" width="9" style="1"/>
    <col min="16161" max="16161" width="14.75" style="1" bestFit="1" customWidth="1"/>
    <col min="16162" max="16384" width="9" style="1"/>
  </cols>
  <sheetData>
    <row r="1" spans="1:53" ht="45" x14ac:dyDescent="0.15">
      <c r="A1" s="3" t="s">
        <v>302</v>
      </c>
      <c r="B1" s="70" t="s">
        <v>217</v>
      </c>
      <c r="C1" s="70" t="s">
        <v>218</v>
      </c>
      <c r="D1" s="71" t="s">
        <v>3</v>
      </c>
      <c r="E1" s="4" t="s">
        <v>303</v>
      </c>
      <c r="F1" s="4" t="s">
        <v>5</v>
      </c>
      <c r="G1" s="4" t="s">
        <v>6</v>
      </c>
      <c r="H1" s="4" t="s">
        <v>228</v>
      </c>
      <c r="I1" s="4" t="s">
        <v>8</v>
      </c>
      <c r="J1" s="4" t="s">
        <v>9</v>
      </c>
      <c r="K1" s="4" t="s">
        <v>10</v>
      </c>
      <c r="L1" s="71" t="s">
        <v>219</v>
      </c>
      <c r="M1" s="71" t="s">
        <v>220</v>
      </c>
      <c r="N1" s="71" t="s">
        <v>304</v>
      </c>
      <c r="O1" s="71" t="s">
        <v>221</v>
      </c>
      <c r="P1" s="71" t="s">
        <v>222</v>
      </c>
      <c r="Q1" s="5" t="s">
        <v>223</v>
      </c>
      <c r="R1" s="71" t="s">
        <v>224</v>
      </c>
      <c r="S1" s="71" t="s">
        <v>225</v>
      </c>
      <c r="T1" s="5" t="s">
        <v>19</v>
      </c>
      <c r="U1" s="72" t="s">
        <v>305</v>
      </c>
      <c r="V1" s="6" t="s">
        <v>21</v>
      </c>
      <c r="W1" s="71" t="s">
        <v>226</v>
      </c>
      <c r="X1" s="4" t="s">
        <v>23</v>
      </c>
      <c r="Y1" s="4" t="s">
        <v>24</v>
      </c>
      <c r="Z1" s="4" t="s">
        <v>25</v>
      </c>
      <c r="AA1" s="8" t="s">
        <v>26</v>
      </c>
      <c r="AB1" s="73" t="s">
        <v>227</v>
      </c>
      <c r="AE1" s="74" t="s">
        <v>0</v>
      </c>
      <c r="AF1" s="75"/>
      <c r="AG1" s="74" t="s">
        <v>4</v>
      </c>
      <c r="AH1" s="74" t="s">
        <v>5</v>
      </c>
      <c r="AI1" s="75"/>
      <c r="AJ1" s="74" t="s">
        <v>6</v>
      </c>
      <c r="AK1" s="75"/>
      <c r="AL1" s="11" t="s">
        <v>7</v>
      </c>
      <c r="AM1" s="75"/>
      <c r="AN1" s="11" t="s">
        <v>8</v>
      </c>
      <c r="AO1" s="75"/>
      <c r="AP1" s="11" t="s">
        <v>28</v>
      </c>
      <c r="AQ1" s="75"/>
      <c r="AR1" s="11" t="s">
        <v>10</v>
      </c>
      <c r="AS1" s="75"/>
      <c r="AT1" s="18" t="s">
        <v>229</v>
      </c>
      <c r="AU1" s="75"/>
      <c r="AV1" s="11" t="s">
        <v>30</v>
      </c>
      <c r="AX1" s="20" t="s">
        <v>230</v>
      </c>
      <c r="AY1" s="21" t="s">
        <v>231</v>
      </c>
      <c r="AZ1" s="21" t="s">
        <v>232</v>
      </c>
      <c r="BA1" s="22" t="s">
        <v>233</v>
      </c>
    </row>
    <row r="2" spans="1:53" s="29" customFormat="1" x14ac:dyDescent="0.15">
      <c r="A2" s="49" t="s">
        <v>75</v>
      </c>
      <c r="B2" s="49" t="s">
        <v>306</v>
      </c>
      <c r="C2" s="49">
        <v>2020</v>
      </c>
      <c r="D2" s="88" t="s">
        <v>307</v>
      </c>
      <c r="E2" s="49" t="s">
        <v>185</v>
      </c>
      <c r="F2" s="49" t="s">
        <v>308</v>
      </c>
      <c r="G2" s="49" t="s">
        <v>46</v>
      </c>
      <c r="H2" s="49" t="s">
        <v>82</v>
      </c>
      <c r="I2" s="1" t="s">
        <v>64</v>
      </c>
      <c r="J2" s="1" t="s">
        <v>40</v>
      </c>
      <c r="K2" s="1" t="s">
        <v>41</v>
      </c>
      <c r="L2" s="1">
        <v>1</v>
      </c>
      <c r="M2" s="1"/>
      <c r="N2" s="1">
        <v>1</v>
      </c>
      <c r="O2" s="1">
        <v>0.5</v>
      </c>
      <c r="P2" s="1">
        <v>0.5</v>
      </c>
      <c r="Q2" s="7">
        <f t="shared" ref="Q2:Q65" si="0">IF(OR(O2="",P2=""),"",AVERAGE(O2,P2))</f>
        <v>0.5</v>
      </c>
      <c r="R2" s="1">
        <v>20.399999999999999</v>
      </c>
      <c r="S2" s="1">
        <v>144</v>
      </c>
      <c r="T2" s="2">
        <f t="shared" ref="T2:T65" si="1">IF(H2="","",IF(OR(H2="GREEN",H2="GK"),IF(S2&gt;=$AX$2,VLOOKUP(S2,$AX$2:$AY$15,2,1),""),IF(S2&gt;=$AZ$2,VLOOKUP(S2,$AZ$2:$BA$15,2,1),"")))</f>
        <v>22</v>
      </c>
      <c r="U2" s="1">
        <v>128</v>
      </c>
      <c r="V2" s="107">
        <f>IF(OR(N2="",U2="",T2=""),"",U2/N2*T2)</f>
        <v>2816</v>
      </c>
      <c r="W2" s="1">
        <v>7</v>
      </c>
      <c r="X2" s="1" t="s">
        <v>51</v>
      </c>
      <c r="Y2" s="1" t="s">
        <v>101</v>
      </c>
      <c r="Z2" s="1" t="s">
        <v>128</v>
      </c>
      <c r="AA2" s="1" t="s">
        <v>43</v>
      </c>
      <c r="AB2" s="49" t="s">
        <v>309</v>
      </c>
      <c r="AC2" s="16"/>
      <c r="AE2" s="77" t="s">
        <v>35</v>
      </c>
      <c r="AG2" s="78" t="s">
        <v>310</v>
      </c>
      <c r="AH2" s="78" t="s">
        <v>308</v>
      </c>
      <c r="AJ2" s="34" t="s">
        <v>37</v>
      </c>
      <c r="AL2" s="79" t="s">
        <v>238</v>
      </c>
      <c r="AN2" s="34" t="s">
        <v>39</v>
      </c>
      <c r="AP2" s="19" t="s">
        <v>40</v>
      </c>
      <c r="AR2" s="19" t="s">
        <v>239</v>
      </c>
      <c r="AT2" s="34" t="s">
        <v>42</v>
      </c>
      <c r="AV2" s="19" t="s">
        <v>43</v>
      </c>
      <c r="AX2" s="46">
        <v>1</v>
      </c>
      <c r="AY2" s="47">
        <v>50</v>
      </c>
      <c r="AZ2" s="47">
        <v>1</v>
      </c>
      <c r="BA2" s="48">
        <v>50</v>
      </c>
    </row>
    <row r="3" spans="1:53" x14ac:dyDescent="0.15">
      <c r="A3" s="49" t="s">
        <v>75</v>
      </c>
      <c r="B3" s="49" t="s">
        <v>306</v>
      </c>
      <c r="C3" s="49">
        <v>2020</v>
      </c>
      <c r="D3" s="88" t="s">
        <v>307</v>
      </c>
      <c r="E3" s="49" t="s">
        <v>185</v>
      </c>
      <c r="F3" s="49" t="s">
        <v>308</v>
      </c>
      <c r="G3" s="49" t="s">
        <v>46</v>
      </c>
      <c r="H3" s="49" t="s">
        <v>82</v>
      </c>
      <c r="I3" s="1" t="s">
        <v>64</v>
      </c>
      <c r="J3" s="1" t="s">
        <v>40</v>
      </c>
      <c r="K3" s="1" t="s">
        <v>41</v>
      </c>
      <c r="L3" s="1">
        <v>2</v>
      </c>
      <c r="N3" s="1">
        <v>1</v>
      </c>
      <c r="O3" s="1">
        <v>0.5</v>
      </c>
      <c r="P3" s="1">
        <v>0.5</v>
      </c>
      <c r="Q3" s="7">
        <f t="shared" si="0"/>
        <v>0.5</v>
      </c>
      <c r="R3" s="1">
        <v>17.8</v>
      </c>
      <c r="S3" s="1">
        <v>145.5</v>
      </c>
      <c r="T3" s="2">
        <f t="shared" si="1"/>
        <v>22</v>
      </c>
      <c r="U3" s="1">
        <v>128</v>
      </c>
      <c r="V3" s="107">
        <f t="shared" ref="V3:V66" si="2">IF(OR(N3="",U3="",T3=""),"",U3/N3*T3)</f>
        <v>2816</v>
      </c>
      <c r="W3" s="1">
        <v>7</v>
      </c>
      <c r="X3" s="1" t="s">
        <v>51</v>
      </c>
      <c r="Y3" s="1" t="s">
        <v>101</v>
      </c>
      <c r="Z3" s="1" t="s">
        <v>128</v>
      </c>
      <c r="AA3" s="1" t="s">
        <v>43</v>
      </c>
      <c r="AB3" s="49" t="s">
        <v>309</v>
      </c>
      <c r="AC3" s="16"/>
      <c r="AE3" s="9" t="s">
        <v>44</v>
      </c>
      <c r="AG3" s="78" t="s">
        <v>311</v>
      </c>
      <c r="AH3" s="78" t="s">
        <v>312</v>
      </c>
      <c r="AJ3" s="12" t="s">
        <v>46</v>
      </c>
      <c r="AL3" s="12" t="s">
        <v>241</v>
      </c>
      <c r="AN3" s="12" t="s">
        <v>48</v>
      </c>
      <c r="AP3" s="12" t="s">
        <v>49</v>
      </c>
      <c r="AR3" s="12" t="s">
        <v>50</v>
      </c>
      <c r="AT3" s="12" t="s">
        <v>51</v>
      </c>
      <c r="AV3" s="12" t="s">
        <v>52</v>
      </c>
      <c r="AX3" s="23">
        <v>72</v>
      </c>
      <c r="AY3" s="24">
        <v>46</v>
      </c>
      <c r="AZ3" s="24">
        <v>71</v>
      </c>
      <c r="BA3" s="25">
        <v>42</v>
      </c>
    </row>
    <row r="4" spans="1:53" x14ac:dyDescent="0.15">
      <c r="A4" s="49" t="s">
        <v>75</v>
      </c>
      <c r="B4" s="49" t="s">
        <v>306</v>
      </c>
      <c r="C4" s="49">
        <v>2020</v>
      </c>
      <c r="D4" s="88" t="s">
        <v>307</v>
      </c>
      <c r="E4" s="49" t="s">
        <v>185</v>
      </c>
      <c r="F4" s="49" t="s">
        <v>308</v>
      </c>
      <c r="G4" s="49" t="s">
        <v>46</v>
      </c>
      <c r="H4" s="49" t="s">
        <v>82</v>
      </c>
      <c r="I4" s="1" t="s">
        <v>64</v>
      </c>
      <c r="J4" s="1" t="s">
        <v>40</v>
      </c>
      <c r="K4" s="1" t="s">
        <v>41</v>
      </c>
      <c r="L4" s="1">
        <v>3</v>
      </c>
      <c r="N4" s="1">
        <v>1</v>
      </c>
      <c r="O4" s="1">
        <v>0.5</v>
      </c>
      <c r="P4" s="1">
        <v>0.5</v>
      </c>
      <c r="Q4" s="7">
        <f t="shared" si="0"/>
        <v>0.5</v>
      </c>
      <c r="R4" s="1">
        <v>17.600000000000001</v>
      </c>
      <c r="S4" s="1">
        <v>152</v>
      </c>
      <c r="T4" s="2">
        <f t="shared" si="1"/>
        <v>18</v>
      </c>
      <c r="U4" s="1">
        <v>128</v>
      </c>
      <c r="V4" s="107">
        <f t="shared" si="2"/>
        <v>2304</v>
      </c>
      <c r="W4" s="1">
        <v>7</v>
      </c>
      <c r="X4" s="1" t="s">
        <v>51</v>
      </c>
      <c r="Y4" s="1" t="s">
        <v>101</v>
      </c>
      <c r="Z4" s="1" t="s">
        <v>128</v>
      </c>
      <c r="AA4" s="1" t="s">
        <v>43</v>
      </c>
      <c r="AB4" s="49" t="s">
        <v>309</v>
      </c>
      <c r="AC4" s="16"/>
      <c r="AE4" s="9" t="s">
        <v>53</v>
      </c>
      <c r="AG4" s="78" t="s">
        <v>313</v>
      </c>
      <c r="AH4" s="78" t="s">
        <v>314</v>
      </c>
      <c r="AJ4" s="13" t="s">
        <v>55</v>
      </c>
      <c r="AL4" s="12" t="s">
        <v>244</v>
      </c>
      <c r="AN4" s="14" t="s">
        <v>245</v>
      </c>
      <c r="AP4" s="12" t="s">
        <v>246</v>
      </c>
      <c r="AR4" s="12" t="s">
        <v>247</v>
      </c>
      <c r="AT4" s="14"/>
      <c r="AV4" s="12" t="s">
        <v>60</v>
      </c>
      <c r="AX4" s="23">
        <v>75</v>
      </c>
      <c r="AY4" s="24">
        <v>42</v>
      </c>
      <c r="AZ4" s="24">
        <v>76</v>
      </c>
      <c r="BA4" s="25">
        <v>39</v>
      </c>
    </row>
    <row r="5" spans="1:53" x14ac:dyDescent="0.15">
      <c r="A5" s="49" t="s">
        <v>75</v>
      </c>
      <c r="B5" s="49" t="s">
        <v>306</v>
      </c>
      <c r="C5" s="49">
        <v>2020</v>
      </c>
      <c r="D5" s="88" t="s">
        <v>307</v>
      </c>
      <c r="E5" s="49" t="s">
        <v>185</v>
      </c>
      <c r="F5" s="49" t="s">
        <v>308</v>
      </c>
      <c r="G5" s="49" t="s">
        <v>46</v>
      </c>
      <c r="H5" s="49" t="s">
        <v>82</v>
      </c>
      <c r="I5" s="1" t="s">
        <v>64</v>
      </c>
      <c r="J5" s="1" t="s">
        <v>40</v>
      </c>
      <c r="K5" s="1" t="s">
        <v>41</v>
      </c>
      <c r="L5" s="1">
        <v>1</v>
      </c>
      <c r="N5" s="1">
        <v>4</v>
      </c>
      <c r="O5" s="1">
        <v>0.3</v>
      </c>
      <c r="P5" s="1">
        <v>0.5</v>
      </c>
      <c r="Q5" s="7">
        <f>IF(OR(O5="",P5=""),"",AVERAGE(O5,P5))</f>
        <v>0.4</v>
      </c>
      <c r="R5" s="1">
        <v>15.2</v>
      </c>
      <c r="S5" s="1">
        <v>111</v>
      </c>
      <c r="T5" s="2">
        <f t="shared" si="1"/>
        <v>33</v>
      </c>
      <c r="U5" s="1">
        <v>398</v>
      </c>
      <c r="V5" s="107">
        <f t="shared" si="2"/>
        <v>3283.5</v>
      </c>
      <c r="W5" s="1">
        <v>7</v>
      </c>
      <c r="X5" s="1" t="s">
        <v>51</v>
      </c>
      <c r="Y5" s="1" t="s">
        <v>101</v>
      </c>
      <c r="Z5" s="1" t="s">
        <v>128</v>
      </c>
      <c r="AA5" s="1" t="s">
        <v>43</v>
      </c>
      <c r="AB5" s="49" t="s">
        <v>309</v>
      </c>
      <c r="AC5" s="16"/>
      <c r="AE5" s="9" t="s">
        <v>61</v>
      </c>
      <c r="AG5" s="78" t="s">
        <v>315</v>
      </c>
      <c r="AH5" s="78" t="s">
        <v>316</v>
      </c>
      <c r="AJ5" s="13"/>
      <c r="AL5" s="12" t="s">
        <v>249</v>
      </c>
      <c r="AN5" s="43" t="s">
        <v>250</v>
      </c>
      <c r="AP5" s="12" t="s">
        <v>251</v>
      </c>
      <c r="AR5" s="12" t="s">
        <v>66</v>
      </c>
      <c r="AV5" s="12" t="s">
        <v>67</v>
      </c>
      <c r="AX5" s="23">
        <v>84</v>
      </c>
      <c r="AY5" s="24">
        <v>39</v>
      </c>
      <c r="AZ5" s="24">
        <v>84</v>
      </c>
      <c r="BA5" s="25">
        <v>36</v>
      </c>
    </row>
    <row r="6" spans="1:53" x14ac:dyDescent="0.15">
      <c r="A6" s="49" t="s">
        <v>75</v>
      </c>
      <c r="B6" s="49" t="s">
        <v>306</v>
      </c>
      <c r="C6" s="49">
        <v>2020</v>
      </c>
      <c r="D6" s="88" t="s">
        <v>307</v>
      </c>
      <c r="E6" s="49" t="s">
        <v>185</v>
      </c>
      <c r="F6" s="49" t="s">
        <v>308</v>
      </c>
      <c r="G6" s="49" t="s">
        <v>46</v>
      </c>
      <c r="H6" s="49" t="s">
        <v>82</v>
      </c>
      <c r="I6" s="1" t="s">
        <v>64</v>
      </c>
      <c r="J6" s="1" t="s">
        <v>40</v>
      </c>
      <c r="K6" s="1" t="s">
        <v>41</v>
      </c>
      <c r="L6" s="1">
        <v>2</v>
      </c>
      <c r="N6" s="1">
        <v>4</v>
      </c>
      <c r="O6" s="1">
        <v>0.5</v>
      </c>
      <c r="P6" s="1">
        <v>0.5</v>
      </c>
      <c r="Q6" s="7">
        <f t="shared" si="0"/>
        <v>0.5</v>
      </c>
      <c r="R6" s="1">
        <v>15.3</v>
      </c>
      <c r="S6" s="1">
        <v>109.5</v>
      </c>
      <c r="T6" s="2">
        <f t="shared" si="1"/>
        <v>33</v>
      </c>
      <c r="U6" s="1">
        <v>398</v>
      </c>
      <c r="V6" s="107">
        <f t="shared" si="2"/>
        <v>3283.5</v>
      </c>
      <c r="W6" s="1">
        <v>7</v>
      </c>
      <c r="X6" s="1" t="s">
        <v>51</v>
      </c>
      <c r="Y6" s="1" t="s">
        <v>101</v>
      </c>
      <c r="Z6" s="1" t="s">
        <v>128</v>
      </c>
      <c r="AA6" s="1" t="s">
        <v>43</v>
      </c>
      <c r="AB6" s="49" t="s">
        <v>309</v>
      </c>
      <c r="AC6" s="16"/>
      <c r="AE6" s="9" t="s">
        <v>68</v>
      </c>
      <c r="AG6" s="78" t="s">
        <v>188</v>
      </c>
      <c r="AH6" s="78" t="s">
        <v>317</v>
      </c>
      <c r="AJ6" s="13"/>
      <c r="AL6" s="12" t="s">
        <v>253</v>
      </c>
      <c r="AN6" s="43" t="s">
        <v>254</v>
      </c>
      <c r="AP6" s="12" t="s">
        <v>72</v>
      </c>
      <c r="AR6" s="12" t="s">
        <v>73</v>
      </c>
      <c r="AV6" s="12" t="s">
        <v>74</v>
      </c>
      <c r="AX6" s="23">
        <v>97</v>
      </c>
      <c r="AY6" s="24">
        <v>36</v>
      </c>
      <c r="AZ6" s="24">
        <v>99</v>
      </c>
      <c r="BA6" s="25">
        <v>33</v>
      </c>
    </row>
    <row r="7" spans="1:53" x14ac:dyDescent="0.15">
      <c r="A7" s="49" t="s">
        <v>75</v>
      </c>
      <c r="B7" s="49" t="s">
        <v>306</v>
      </c>
      <c r="C7" s="49">
        <v>2020</v>
      </c>
      <c r="D7" s="88" t="s">
        <v>307</v>
      </c>
      <c r="E7" s="49" t="s">
        <v>185</v>
      </c>
      <c r="F7" s="49" t="s">
        <v>308</v>
      </c>
      <c r="G7" s="49" t="s">
        <v>46</v>
      </c>
      <c r="H7" s="49" t="s">
        <v>82</v>
      </c>
      <c r="I7" s="1" t="s">
        <v>64</v>
      </c>
      <c r="J7" s="1" t="s">
        <v>40</v>
      </c>
      <c r="K7" s="1" t="s">
        <v>41</v>
      </c>
      <c r="L7" s="1">
        <v>3</v>
      </c>
      <c r="N7" s="1">
        <v>4</v>
      </c>
      <c r="O7" s="1">
        <v>0.5</v>
      </c>
      <c r="P7" s="1">
        <v>0.5</v>
      </c>
      <c r="Q7" s="7">
        <f t="shared" si="0"/>
        <v>0.5</v>
      </c>
      <c r="R7" s="1">
        <v>15.6</v>
      </c>
      <c r="S7" s="1">
        <v>111</v>
      </c>
      <c r="T7" s="2">
        <f t="shared" si="1"/>
        <v>33</v>
      </c>
      <c r="U7" s="1">
        <v>398</v>
      </c>
      <c r="V7" s="107">
        <f t="shared" si="2"/>
        <v>3283.5</v>
      </c>
      <c r="W7" s="1">
        <v>7</v>
      </c>
      <c r="X7" s="1" t="s">
        <v>51</v>
      </c>
      <c r="Y7" s="1" t="s">
        <v>101</v>
      </c>
      <c r="Z7" s="1" t="s">
        <v>128</v>
      </c>
      <c r="AA7" s="1" t="s">
        <v>43</v>
      </c>
      <c r="AB7" s="49" t="s">
        <v>309</v>
      </c>
      <c r="AC7" s="16"/>
      <c r="AE7" s="9" t="s">
        <v>75</v>
      </c>
      <c r="AG7" s="78" t="s">
        <v>242</v>
      </c>
      <c r="AH7" s="78" t="s">
        <v>317</v>
      </c>
      <c r="AJ7" s="13"/>
      <c r="AL7" s="15" t="s">
        <v>256</v>
      </c>
      <c r="AN7" s="43"/>
      <c r="AP7" s="12" t="s">
        <v>78</v>
      </c>
      <c r="AR7" s="12" t="s">
        <v>257</v>
      </c>
      <c r="AV7" s="12" t="s">
        <v>80</v>
      </c>
      <c r="AX7" s="23">
        <v>109</v>
      </c>
      <c r="AY7" s="24">
        <v>33</v>
      </c>
      <c r="AZ7" s="24">
        <v>113</v>
      </c>
      <c r="BA7" s="25">
        <v>30</v>
      </c>
    </row>
    <row r="8" spans="1:53" x14ac:dyDescent="0.15">
      <c r="A8" s="49" t="s">
        <v>75</v>
      </c>
      <c r="B8" s="49" t="s">
        <v>306</v>
      </c>
      <c r="C8" s="49">
        <v>2020</v>
      </c>
      <c r="D8" s="88" t="s">
        <v>307</v>
      </c>
      <c r="E8" s="49" t="s">
        <v>185</v>
      </c>
      <c r="F8" s="49" t="s">
        <v>308</v>
      </c>
      <c r="G8" s="49" t="s">
        <v>46</v>
      </c>
      <c r="H8" s="49" t="s">
        <v>63</v>
      </c>
      <c r="I8" s="1" t="s">
        <v>64</v>
      </c>
      <c r="J8" s="1" t="s">
        <v>40</v>
      </c>
      <c r="K8" s="1" t="s">
        <v>41</v>
      </c>
      <c r="L8" s="1">
        <v>1</v>
      </c>
      <c r="N8" s="1">
        <v>1</v>
      </c>
      <c r="O8" s="1">
        <v>0.6</v>
      </c>
      <c r="P8" s="1">
        <v>1.1000000000000001</v>
      </c>
      <c r="Q8" s="7">
        <f t="shared" si="0"/>
        <v>0.85000000000000009</v>
      </c>
      <c r="R8" s="1">
        <v>15.2</v>
      </c>
      <c r="S8" s="1">
        <v>146.5</v>
      </c>
      <c r="T8" s="2">
        <f t="shared" si="1"/>
        <v>22</v>
      </c>
      <c r="U8" s="1">
        <v>128</v>
      </c>
      <c r="V8" s="107">
        <f t="shared" si="2"/>
        <v>2816</v>
      </c>
      <c r="W8" s="1">
        <v>7</v>
      </c>
      <c r="X8" s="1" t="s">
        <v>51</v>
      </c>
      <c r="Y8" s="1" t="s">
        <v>101</v>
      </c>
      <c r="Z8" s="1" t="s">
        <v>128</v>
      </c>
      <c r="AA8" s="1" t="s">
        <v>43</v>
      </c>
      <c r="AB8" s="49" t="s">
        <v>309</v>
      </c>
      <c r="AC8" s="16"/>
      <c r="AE8" s="9" t="s">
        <v>73</v>
      </c>
      <c r="AG8" s="78" t="s">
        <v>318</v>
      </c>
      <c r="AH8" s="78" t="s">
        <v>319</v>
      </c>
      <c r="AJ8" s="14"/>
      <c r="AL8" s="15" t="s">
        <v>258</v>
      </c>
      <c r="AN8" s="43"/>
      <c r="AP8" s="12" t="s">
        <v>83</v>
      </c>
      <c r="AR8" s="12" t="s">
        <v>84</v>
      </c>
      <c r="AV8" s="12" t="s">
        <v>85</v>
      </c>
      <c r="AX8" s="23">
        <v>119</v>
      </c>
      <c r="AY8" s="24">
        <v>30</v>
      </c>
      <c r="AZ8" s="24">
        <v>121</v>
      </c>
      <c r="BA8" s="25">
        <v>27</v>
      </c>
    </row>
    <row r="9" spans="1:53" x14ac:dyDescent="0.15">
      <c r="A9" s="49" t="s">
        <v>75</v>
      </c>
      <c r="B9" s="49" t="s">
        <v>306</v>
      </c>
      <c r="C9" s="49">
        <v>2020</v>
      </c>
      <c r="D9" s="88" t="s">
        <v>307</v>
      </c>
      <c r="E9" s="49" t="s">
        <v>185</v>
      </c>
      <c r="F9" s="49" t="s">
        <v>308</v>
      </c>
      <c r="G9" s="49" t="s">
        <v>46</v>
      </c>
      <c r="H9" s="49" t="s">
        <v>63</v>
      </c>
      <c r="I9" s="1" t="s">
        <v>64</v>
      </c>
      <c r="J9" s="1" t="s">
        <v>40</v>
      </c>
      <c r="K9" s="1" t="s">
        <v>41</v>
      </c>
      <c r="L9" s="1">
        <v>2</v>
      </c>
      <c r="N9" s="1">
        <v>1</v>
      </c>
      <c r="O9" s="16">
        <v>1.1499999999999999</v>
      </c>
      <c r="P9" s="1">
        <v>0.9</v>
      </c>
      <c r="Q9" s="7">
        <f t="shared" si="0"/>
        <v>1.0249999999999999</v>
      </c>
      <c r="R9" s="16">
        <v>14.5</v>
      </c>
      <c r="S9" s="1">
        <v>146.5</v>
      </c>
      <c r="T9" s="2">
        <f t="shared" si="1"/>
        <v>22</v>
      </c>
      <c r="U9" s="1">
        <v>128</v>
      </c>
      <c r="V9" s="107">
        <f t="shared" si="2"/>
        <v>2816</v>
      </c>
      <c r="W9" s="1">
        <v>7</v>
      </c>
      <c r="X9" s="1" t="s">
        <v>51</v>
      </c>
      <c r="Y9" s="1" t="s">
        <v>101</v>
      </c>
      <c r="Z9" s="1" t="s">
        <v>128</v>
      </c>
      <c r="AA9" s="1" t="s">
        <v>43</v>
      </c>
      <c r="AB9" s="49" t="s">
        <v>309</v>
      </c>
      <c r="AC9" s="16"/>
      <c r="AE9" s="9" t="s">
        <v>259</v>
      </c>
      <c r="AG9" s="78" t="s">
        <v>320</v>
      </c>
      <c r="AH9" s="78" t="s">
        <v>321</v>
      </c>
      <c r="AL9" s="12" t="s">
        <v>261</v>
      </c>
      <c r="AN9" s="43"/>
      <c r="AP9" s="12" t="s">
        <v>89</v>
      </c>
      <c r="AR9" s="12" t="s">
        <v>262</v>
      </c>
      <c r="AV9" s="12" t="s">
        <v>91</v>
      </c>
      <c r="AX9" s="23">
        <v>128</v>
      </c>
      <c r="AY9" s="24">
        <v>27</v>
      </c>
      <c r="AZ9" s="24">
        <v>129</v>
      </c>
      <c r="BA9" s="25">
        <v>25</v>
      </c>
    </row>
    <row r="10" spans="1:53" x14ac:dyDescent="0.15">
      <c r="A10" s="49" t="s">
        <v>75</v>
      </c>
      <c r="B10" s="49" t="s">
        <v>306</v>
      </c>
      <c r="C10" s="49">
        <v>2020</v>
      </c>
      <c r="D10" s="88" t="s">
        <v>307</v>
      </c>
      <c r="E10" s="49" t="s">
        <v>185</v>
      </c>
      <c r="F10" s="49" t="s">
        <v>308</v>
      </c>
      <c r="G10" s="49" t="s">
        <v>46</v>
      </c>
      <c r="H10" s="49" t="s">
        <v>63</v>
      </c>
      <c r="I10" s="1" t="s">
        <v>64</v>
      </c>
      <c r="J10" s="1" t="s">
        <v>40</v>
      </c>
      <c r="K10" s="1" t="s">
        <v>41</v>
      </c>
      <c r="L10" s="1">
        <v>3</v>
      </c>
      <c r="N10" s="1">
        <v>1</v>
      </c>
      <c r="O10" s="16">
        <v>0.8</v>
      </c>
      <c r="P10" s="1">
        <v>1.1499999999999999</v>
      </c>
      <c r="Q10" s="7">
        <f t="shared" si="0"/>
        <v>0.97499999999999998</v>
      </c>
      <c r="R10" s="1">
        <v>15.1</v>
      </c>
      <c r="S10" s="1">
        <v>140.5</v>
      </c>
      <c r="T10" s="2">
        <f t="shared" si="1"/>
        <v>22</v>
      </c>
      <c r="U10" s="1">
        <v>128</v>
      </c>
      <c r="V10" s="107">
        <f t="shared" si="2"/>
        <v>2816</v>
      </c>
      <c r="W10" s="1">
        <v>7</v>
      </c>
      <c r="X10" s="1" t="s">
        <v>51</v>
      </c>
      <c r="Y10" s="1" t="s">
        <v>101</v>
      </c>
      <c r="Z10" s="1" t="s">
        <v>128</v>
      </c>
      <c r="AA10" s="1" t="s">
        <v>43</v>
      </c>
      <c r="AB10" s="49" t="s">
        <v>309</v>
      </c>
      <c r="AC10" s="16"/>
      <c r="AE10" s="9" t="s">
        <v>263</v>
      </c>
      <c r="AG10" s="78" t="s">
        <v>322</v>
      </c>
      <c r="AH10" s="78" t="s">
        <v>323</v>
      </c>
      <c r="AL10" s="43"/>
      <c r="AP10" s="12" t="s">
        <v>94</v>
      </c>
      <c r="AR10" s="12" t="s">
        <v>266</v>
      </c>
      <c r="AV10" s="12" t="s">
        <v>96</v>
      </c>
      <c r="AX10" s="23">
        <v>138</v>
      </c>
      <c r="AY10" s="24">
        <v>25</v>
      </c>
      <c r="AZ10" s="24">
        <v>138</v>
      </c>
      <c r="BA10" s="25">
        <v>22</v>
      </c>
    </row>
    <row r="11" spans="1:53" x14ac:dyDescent="0.15">
      <c r="A11" s="49" t="s">
        <v>75</v>
      </c>
      <c r="B11" s="49" t="s">
        <v>306</v>
      </c>
      <c r="C11" s="49">
        <v>2020</v>
      </c>
      <c r="D11" s="88" t="s">
        <v>307</v>
      </c>
      <c r="E11" s="49" t="s">
        <v>186</v>
      </c>
      <c r="F11" s="49" t="s">
        <v>312</v>
      </c>
      <c r="G11" s="49" t="s">
        <v>37</v>
      </c>
      <c r="H11" s="49" t="s">
        <v>82</v>
      </c>
      <c r="I11" s="1" t="s">
        <v>64</v>
      </c>
      <c r="J11" s="1" t="s">
        <v>40</v>
      </c>
      <c r="K11" s="1" t="s">
        <v>41</v>
      </c>
      <c r="L11" s="1">
        <v>1</v>
      </c>
      <c r="N11" s="1">
        <v>1</v>
      </c>
      <c r="O11" s="1">
        <v>1.25</v>
      </c>
      <c r="P11" s="1">
        <v>1.35</v>
      </c>
      <c r="Q11" s="7">
        <f t="shared" si="0"/>
        <v>1.3</v>
      </c>
      <c r="R11" s="1">
        <v>15.9</v>
      </c>
      <c r="S11" s="1">
        <v>130</v>
      </c>
      <c r="T11" s="2">
        <f t="shared" si="1"/>
        <v>25</v>
      </c>
      <c r="U11" s="1">
        <v>138</v>
      </c>
      <c r="V11" s="107">
        <f t="shared" si="2"/>
        <v>3450</v>
      </c>
      <c r="W11" s="1">
        <v>15</v>
      </c>
      <c r="X11" s="1" t="s">
        <v>51</v>
      </c>
      <c r="Y11" s="1" t="s">
        <v>52</v>
      </c>
      <c r="Z11" s="1" t="s">
        <v>67</v>
      </c>
      <c r="AA11" s="1" t="s">
        <v>101</v>
      </c>
      <c r="AB11" s="49" t="s">
        <v>309</v>
      </c>
      <c r="AC11" s="16"/>
      <c r="AE11" s="9" t="s">
        <v>267</v>
      </c>
      <c r="AG11" s="78" t="s">
        <v>324</v>
      </c>
      <c r="AH11" s="78" t="s">
        <v>323</v>
      </c>
      <c r="AL11" s="44"/>
      <c r="AP11" s="12" t="s">
        <v>99</v>
      </c>
      <c r="AR11" s="12" t="s">
        <v>268</v>
      </c>
      <c r="AV11" s="15" t="s">
        <v>325</v>
      </c>
      <c r="AX11" s="23">
        <v>151</v>
      </c>
      <c r="AY11" s="24">
        <v>22</v>
      </c>
      <c r="AZ11" s="24">
        <v>152</v>
      </c>
      <c r="BA11" s="25">
        <v>18</v>
      </c>
    </row>
    <row r="12" spans="1:53" x14ac:dyDescent="0.15">
      <c r="A12" s="49" t="s">
        <v>75</v>
      </c>
      <c r="B12" s="49" t="s">
        <v>306</v>
      </c>
      <c r="C12" s="49">
        <v>2020</v>
      </c>
      <c r="D12" s="88" t="s">
        <v>307</v>
      </c>
      <c r="E12" s="49" t="s">
        <v>186</v>
      </c>
      <c r="F12" s="49" t="s">
        <v>312</v>
      </c>
      <c r="G12" s="49" t="s">
        <v>37</v>
      </c>
      <c r="H12" s="49" t="s">
        <v>82</v>
      </c>
      <c r="I12" s="1" t="s">
        <v>64</v>
      </c>
      <c r="J12" s="1" t="s">
        <v>40</v>
      </c>
      <c r="K12" s="1" t="s">
        <v>41</v>
      </c>
      <c r="L12" s="1">
        <v>2</v>
      </c>
      <c r="N12" s="1">
        <v>1</v>
      </c>
      <c r="O12" s="1">
        <v>0.6</v>
      </c>
      <c r="P12" s="1">
        <v>0.6</v>
      </c>
      <c r="Q12" s="7">
        <f t="shared" si="0"/>
        <v>0.6</v>
      </c>
      <c r="R12" s="16">
        <v>18.3</v>
      </c>
      <c r="S12" s="1">
        <v>127.5</v>
      </c>
      <c r="T12" s="2">
        <f t="shared" si="1"/>
        <v>27</v>
      </c>
      <c r="U12" s="1">
        <v>138</v>
      </c>
      <c r="V12" s="107">
        <f t="shared" si="2"/>
        <v>3726</v>
      </c>
      <c r="W12" s="1">
        <v>15</v>
      </c>
      <c r="X12" s="1" t="s">
        <v>51</v>
      </c>
      <c r="Y12" s="1" t="s">
        <v>52</v>
      </c>
      <c r="Z12" s="1" t="s">
        <v>67</v>
      </c>
      <c r="AA12" s="1" t="s">
        <v>101</v>
      </c>
      <c r="AB12" s="49" t="s">
        <v>309</v>
      </c>
      <c r="AC12" s="16"/>
      <c r="AE12" s="9" t="s">
        <v>269</v>
      </c>
      <c r="AG12" s="12"/>
      <c r="AH12" s="9"/>
      <c r="AL12" s="44"/>
      <c r="AP12" s="12" t="s">
        <v>103</v>
      </c>
      <c r="AR12" s="12" t="s">
        <v>270</v>
      </c>
      <c r="AV12" s="15" t="s">
        <v>326</v>
      </c>
      <c r="AX12" s="23">
        <v>180</v>
      </c>
      <c r="AY12" s="24">
        <v>18</v>
      </c>
      <c r="AZ12" s="24">
        <v>181</v>
      </c>
      <c r="BA12" s="25">
        <v>16</v>
      </c>
    </row>
    <row r="13" spans="1:53" x14ac:dyDescent="0.15">
      <c r="A13" s="49" t="s">
        <v>75</v>
      </c>
      <c r="B13" s="49" t="s">
        <v>306</v>
      </c>
      <c r="C13" s="49">
        <v>2020</v>
      </c>
      <c r="D13" s="88" t="s">
        <v>307</v>
      </c>
      <c r="E13" s="49" t="s">
        <v>186</v>
      </c>
      <c r="F13" s="49" t="s">
        <v>312</v>
      </c>
      <c r="G13" s="49" t="s">
        <v>37</v>
      </c>
      <c r="H13" s="49" t="s">
        <v>82</v>
      </c>
      <c r="I13" s="1" t="s">
        <v>64</v>
      </c>
      <c r="J13" s="1" t="s">
        <v>40</v>
      </c>
      <c r="K13" s="1" t="s">
        <v>41</v>
      </c>
      <c r="L13" s="1">
        <v>3</v>
      </c>
      <c r="N13" s="1">
        <v>1</v>
      </c>
      <c r="O13" s="1">
        <v>0.6</v>
      </c>
      <c r="P13" s="1">
        <v>0.5</v>
      </c>
      <c r="Q13" s="7">
        <f t="shared" si="0"/>
        <v>0.55000000000000004</v>
      </c>
      <c r="R13" s="1">
        <v>17.5</v>
      </c>
      <c r="S13" s="1">
        <v>134</v>
      </c>
      <c r="T13" s="2">
        <f t="shared" si="1"/>
        <v>25</v>
      </c>
      <c r="U13" s="1">
        <v>138</v>
      </c>
      <c r="V13" s="107">
        <f t="shared" si="2"/>
        <v>3450</v>
      </c>
      <c r="W13" s="1">
        <v>15</v>
      </c>
      <c r="X13" s="1" t="s">
        <v>51</v>
      </c>
      <c r="Y13" s="1" t="s">
        <v>52</v>
      </c>
      <c r="Z13" s="1" t="s">
        <v>67</v>
      </c>
      <c r="AA13" s="1" t="s">
        <v>101</v>
      </c>
      <c r="AB13" s="49" t="s">
        <v>309</v>
      </c>
      <c r="AC13" s="16"/>
      <c r="AE13" s="9" t="s">
        <v>271</v>
      </c>
      <c r="AG13" s="12"/>
      <c r="AH13" s="9"/>
      <c r="AL13" s="45"/>
      <c r="AP13" s="12" t="s">
        <v>107</v>
      </c>
      <c r="AR13" s="12" t="s">
        <v>263</v>
      </c>
      <c r="AV13" s="15" t="s">
        <v>327</v>
      </c>
      <c r="AX13" s="23"/>
      <c r="AY13" s="24"/>
      <c r="AZ13" s="24"/>
      <c r="BA13" s="25"/>
    </row>
    <row r="14" spans="1:53" x14ac:dyDescent="0.15">
      <c r="A14" s="49" t="s">
        <v>75</v>
      </c>
      <c r="B14" s="49" t="s">
        <v>306</v>
      </c>
      <c r="C14" s="49">
        <v>2020</v>
      </c>
      <c r="D14" s="88" t="s">
        <v>307</v>
      </c>
      <c r="E14" s="49" t="s">
        <v>186</v>
      </c>
      <c r="F14" s="49" t="s">
        <v>312</v>
      </c>
      <c r="G14" s="49" t="s">
        <v>37</v>
      </c>
      <c r="H14" s="49" t="s">
        <v>82</v>
      </c>
      <c r="I14" s="1" t="s">
        <v>64</v>
      </c>
      <c r="J14" s="1" t="s">
        <v>40</v>
      </c>
      <c r="K14" s="1" t="s">
        <v>41</v>
      </c>
      <c r="L14" s="1">
        <v>1</v>
      </c>
      <c r="N14" s="1">
        <v>4</v>
      </c>
      <c r="O14" s="1">
        <v>0.6</v>
      </c>
      <c r="P14" s="1">
        <v>0.6</v>
      </c>
      <c r="Q14" s="7">
        <f t="shared" si="0"/>
        <v>0.6</v>
      </c>
      <c r="R14" s="1">
        <v>17.600000000000001</v>
      </c>
      <c r="S14" s="1">
        <v>112.5</v>
      </c>
      <c r="T14" s="2">
        <f t="shared" si="1"/>
        <v>33</v>
      </c>
      <c r="U14" s="1">
        <v>398</v>
      </c>
      <c r="V14" s="107">
        <f t="shared" si="2"/>
        <v>3283.5</v>
      </c>
      <c r="W14" s="1">
        <v>15</v>
      </c>
      <c r="X14" s="1" t="s">
        <v>51</v>
      </c>
      <c r="Y14" s="1" t="s">
        <v>52</v>
      </c>
      <c r="Z14" s="1" t="s">
        <v>67</v>
      </c>
      <c r="AA14" s="1" t="s">
        <v>101</v>
      </c>
      <c r="AB14" s="49" t="s">
        <v>309</v>
      </c>
      <c r="AC14" s="16"/>
      <c r="AE14" s="9" t="s">
        <v>272</v>
      </c>
      <c r="AG14" s="12"/>
      <c r="AH14" s="9"/>
      <c r="AL14" s="16"/>
      <c r="AP14" s="12" t="s">
        <v>110</v>
      </c>
      <c r="AR14" s="12" t="s">
        <v>273</v>
      </c>
      <c r="AV14" s="15" t="s">
        <v>328</v>
      </c>
      <c r="AX14" s="23"/>
      <c r="AY14" s="24"/>
      <c r="AZ14" s="24"/>
      <c r="BA14" s="25"/>
    </row>
    <row r="15" spans="1:53" x14ac:dyDescent="0.15">
      <c r="A15" s="49" t="s">
        <v>75</v>
      </c>
      <c r="B15" s="49" t="s">
        <v>306</v>
      </c>
      <c r="C15" s="49">
        <v>2020</v>
      </c>
      <c r="D15" s="88" t="s">
        <v>307</v>
      </c>
      <c r="E15" s="49" t="s">
        <v>186</v>
      </c>
      <c r="F15" s="49" t="s">
        <v>312</v>
      </c>
      <c r="G15" s="49" t="s">
        <v>37</v>
      </c>
      <c r="H15" s="49" t="s">
        <v>82</v>
      </c>
      <c r="I15" s="1" t="s">
        <v>64</v>
      </c>
      <c r="J15" s="1" t="s">
        <v>40</v>
      </c>
      <c r="K15" s="1" t="s">
        <v>41</v>
      </c>
      <c r="L15" s="1">
        <v>2</v>
      </c>
      <c r="N15" s="1">
        <v>4</v>
      </c>
      <c r="O15" s="1">
        <v>0.6</v>
      </c>
      <c r="P15" s="1">
        <v>0.7</v>
      </c>
      <c r="Q15" s="7">
        <f t="shared" si="0"/>
        <v>0.64999999999999991</v>
      </c>
      <c r="R15" s="16">
        <v>15.6</v>
      </c>
      <c r="S15" s="1">
        <v>108</v>
      </c>
      <c r="T15" s="2">
        <f t="shared" si="1"/>
        <v>33</v>
      </c>
      <c r="U15" s="1">
        <v>398</v>
      </c>
      <c r="V15" s="107">
        <f t="shared" si="2"/>
        <v>3283.5</v>
      </c>
      <c r="W15" s="1">
        <v>15</v>
      </c>
      <c r="X15" s="1" t="s">
        <v>51</v>
      </c>
      <c r="Y15" s="1" t="s">
        <v>52</v>
      </c>
      <c r="Z15" s="1" t="s">
        <v>67</v>
      </c>
      <c r="AA15" s="1" t="s">
        <v>101</v>
      </c>
      <c r="AB15" s="49" t="s">
        <v>309</v>
      </c>
      <c r="AC15" s="16"/>
      <c r="AE15" s="9" t="s">
        <v>274</v>
      </c>
      <c r="AG15" s="12"/>
      <c r="AH15" s="12"/>
      <c r="AL15" s="16"/>
      <c r="AP15" s="12" t="s">
        <v>114</v>
      </c>
      <c r="AR15" s="12" t="s">
        <v>275</v>
      </c>
      <c r="AV15" s="15" t="s">
        <v>329</v>
      </c>
      <c r="AX15" s="26"/>
      <c r="AY15" s="27"/>
      <c r="AZ15" s="27"/>
      <c r="BA15" s="28"/>
    </row>
    <row r="16" spans="1:53" x14ac:dyDescent="0.15">
      <c r="A16" s="49" t="s">
        <v>75</v>
      </c>
      <c r="B16" s="49" t="s">
        <v>306</v>
      </c>
      <c r="C16" s="49">
        <v>2020</v>
      </c>
      <c r="D16" s="88" t="s">
        <v>307</v>
      </c>
      <c r="E16" s="49" t="s">
        <v>186</v>
      </c>
      <c r="F16" s="49" t="s">
        <v>312</v>
      </c>
      <c r="G16" s="49" t="s">
        <v>37</v>
      </c>
      <c r="H16" s="49" t="s">
        <v>82</v>
      </c>
      <c r="I16" s="1" t="s">
        <v>64</v>
      </c>
      <c r="J16" s="1" t="s">
        <v>40</v>
      </c>
      <c r="K16" s="1" t="s">
        <v>41</v>
      </c>
      <c r="L16" s="1">
        <v>3</v>
      </c>
      <c r="N16" s="1">
        <v>4</v>
      </c>
      <c r="O16" s="1">
        <v>0.6</v>
      </c>
      <c r="P16" s="1">
        <v>0.55000000000000004</v>
      </c>
      <c r="Q16" s="7">
        <f t="shared" si="0"/>
        <v>0.57499999999999996</v>
      </c>
      <c r="R16" s="1">
        <v>15.5</v>
      </c>
      <c r="S16" s="1">
        <v>111</v>
      </c>
      <c r="T16" s="2">
        <f t="shared" si="1"/>
        <v>33</v>
      </c>
      <c r="U16" s="1">
        <v>398</v>
      </c>
      <c r="V16" s="107">
        <f t="shared" si="2"/>
        <v>3283.5</v>
      </c>
      <c r="W16" s="1">
        <v>15</v>
      </c>
      <c r="X16" s="1" t="s">
        <v>51</v>
      </c>
      <c r="Y16" s="1" t="s">
        <v>52</v>
      </c>
      <c r="Z16" s="1" t="s">
        <v>67</v>
      </c>
      <c r="AA16" s="1" t="s">
        <v>101</v>
      </c>
      <c r="AB16" s="49" t="s">
        <v>309</v>
      </c>
      <c r="AC16" s="16"/>
      <c r="AE16" s="9" t="s">
        <v>276</v>
      </c>
      <c r="AG16" s="12"/>
      <c r="AH16" s="12"/>
      <c r="AP16" s="12" t="s">
        <v>115</v>
      </c>
      <c r="AR16" s="12" t="s">
        <v>118</v>
      </c>
      <c r="AV16" s="15" t="s">
        <v>330</v>
      </c>
    </row>
    <row r="17" spans="1:48" x14ac:dyDescent="0.15">
      <c r="A17" s="49" t="s">
        <v>75</v>
      </c>
      <c r="B17" s="49" t="s">
        <v>306</v>
      </c>
      <c r="C17" s="49">
        <v>2020</v>
      </c>
      <c r="D17" s="88" t="s">
        <v>307</v>
      </c>
      <c r="E17" s="49" t="s">
        <v>186</v>
      </c>
      <c r="F17" s="49" t="s">
        <v>312</v>
      </c>
      <c r="G17" s="49" t="s">
        <v>37</v>
      </c>
      <c r="H17" s="49" t="s">
        <v>82</v>
      </c>
      <c r="I17" s="1" t="s">
        <v>64</v>
      </c>
      <c r="J17" s="1" t="s">
        <v>40</v>
      </c>
      <c r="K17" s="1" t="s">
        <v>41</v>
      </c>
      <c r="L17" s="1">
        <v>1</v>
      </c>
      <c r="N17" s="1">
        <v>8</v>
      </c>
      <c r="O17" s="1">
        <v>0.6</v>
      </c>
      <c r="P17" s="1">
        <v>0.55000000000000004</v>
      </c>
      <c r="Q17" s="7">
        <f t="shared" si="0"/>
        <v>0.57499999999999996</v>
      </c>
      <c r="R17" s="1">
        <v>19.8</v>
      </c>
      <c r="S17" s="1">
        <v>113.5</v>
      </c>
      <c r="T17" s="2">
        <f t="shared" si="1"/>
        <v>30</v>
      </c>
      <c r="U17" s="1">
        <v>880</v>
      </c>
      <c r="V17" s="107">
        <f t="shared" si="2"/>
        <v>3300</v>
      </c>
      <c r="W17" s="1">
        <v>15</v>
      </c>
      <c r="X17" s="1" t="s">
        <v>51</v>
      </c>
      <c r="Y17" s="1" t="s">
        <v>52</v>
      </c>
      <c r="Z17" s="1" t="s">
        <v>67</v>
      </c>
      <c r="AA17" s="1" t="s">
        <v>101</v>
      </c>
      <c r="AB17" s="49" t="s">
        <v>309</v>
      </c>
      <c r="AC17" s="16"/>
      <c r="AE17" s="9" t="s">
        <v>277</v>
      </c>
      <c r="AP17" s="13" t="s">
        <v>278</v>
      </c>
      <c r="AR17" s="12" t="s">
        <v>109</v>
      </c>
      <c r="AV17" s="15" t="s">
        <v>331</v>
      </c>
    </row>
    <row r="18" spans="1:48" x14ac:dyDescent="0.15">
      <c r="A18" s="49" t="s">
        <v>75</v>
      </c>
      <c r="B18" s="49" t="s">
        <v>306</v>
      </c>
      <c r="C18" s="49">
        <v>2020</v>
      </c>
      <c r="D18" s="88" t="s">
        <v>307</v>
      </c>
      <c r="E18" s="49" t="s">
        <v>186</v>
      </c>
      <c r="F18" s="49" t="s">
        <v>312</v>
      </c>
      <c r="G18" s="49" t="s">
        <v>37</v>
      </c>
      <c r="H18" s="49" t="s">
        <v>82</v>
      </c>
      <c r="I18" s="1" t="s">
        <v>64</v>
      </c>
      <c r="J18" s="1" t="s">
        <v>40</v>
      </c>
      <c r="K18" s="1" t="s">
        <v>41</v>
      </c>
      <c r="L18" s="1">
        <v>2</v>
      </c>
      <c r="N18" s="1">
        <v>8</v>
      </c>
      <c r="O18" s="1">
        <v>0.7</v>
      </c>
      <c r="P18" s="1">
        <v>0.6</v>
      </c>
      <c r="Q18" s="7">
        <f t="shared" si="0"/>
        <v>0.64999999999999991</v>
      </c>
      <c r="R18" s="16">
        <v>15</v>
      </c>
      <c r="S18" s="1">
        <v>121</v>
      </c>
      <c r="T18" s="2">
        <f t="shared" si="1"/>
        <v>27</v>
      </c>
      <c r="U18" s="1">
        <v>880</v>
      </c>
      <c r="V18" s="107">
        <f t="shared" si="2"/>
        <v>2970</v>
      </c>
      <c r="W18" s="1">
        <v>15</v>
      </c>
      <c r="X18" s="1" t="s">
        <v>51</v>
      </c>
      <c r="Y18" s="1" t="s">
        <v>52</v>
      </c>
      <c r="Z18" s="1" t="s">
        <v>67</v>
      </c>
      <c r="AA18" s="1" t="s">
        <v>101</v>
      </c>
      <c r="AB18" s="49" t="s">
        <v>309</v>
      </c>
      <c r="AC18" s="16"/>
      <c r="AE18" s="9" t="s">
        <v>268</v>
      </c>
      <c r="AP18" s="13" t="s">
        <v>279</v>
      </c>
      <c r="AR18" s="12" t="s">
        <v>124</v>
      </c>
      <c r="AV18" s="15" t="s">
        <v>283</v>
      </c>
    </row>
    <row r="19" spans="1:48" x14ac:dyDescent="0.15">
      <c r="A19" s="49" t="s">
        <v>75</v>
      </c>
      <c r="B19" s="49" t="s">
        <v>306</v>
      </c>
      <c r="C19" s="49">
        <v>2020</v>
      </c>
      <c r="D19" s="88" t="s">
        <v>307</v>
      </c>
      <c r="E19" s="49" t="s">
        <v>186</v>
      </c>
      <c r="F19" s="49" t="s">
        <v>312</v>
      </c>
      <c r="G19" s="49" t="s">
        <v>37</v>
      </c>
      <c r="H19" s="49" t="s">
        <v>82</v>
      </c>
      <c r="I19" s="1" t="s">
        <v>64</v>
      </c>
      <c r="J19" s="1" t="s">
        <v>40</v>
      </c>
      <c r="K19" s="1" t="s">
        <v>41</v>
      </c>
      <c r="L19" s="1">
        <v>3</v>
      </c>
      <c r="N19" s="1">
        <v>8</v>
      </c>
      <c r="O19" s="16">
        <v>0.6</v>
      </c>
      <c r="P19" s="1">
        <v>0.65</v>
      </c>
      <c r="Q19" s="7">
        <f t="shared" si="0"/>
        <v>0.625</v>
      </c>
      <c r="R19" s="1">
        <v>16.100000000000001</v>
      </c>
      <c r="S19" s="1">
        <v>123.5</v>
      </c>
      <c r="T19" s="2">
        <f t="shared" si="1"/>
        <v>27</v>
      </c>
      <c r="U19" s="1">
        <v>880</v>
      </c>
      <c r="V19" s="107">
        <f t="shared" si="2"/>
        <v>2970</v>
      </c>
      <c r="W19" s="1">
        <v>15</v>
      </c>
      <c r="X19" s="1" t="s">
        <v>51</v>
      </c>
      <c r="Y19" s="1" t="s">
        <v>52</v>
      </c>
      <c r="Z19" s="1" t="s">
        <v>67</v>
      </c>
      <c r="AA19" s="1" t="s">
        <v>101</v>
      </c>
      <c r="AB19" s="49" t="s">
        <v>309</v>
      </c>
      <c r="AC19" s="16"/>
      <c r="AE19" s="10" t="s">
        <v>262</v>
      </c>
      <c r="AP19" s="13" t="s">
        <v>280</v>
      </c>
      <c r="AR19" s="12" t="s">
        <v>281</v>
      </c>
      <c r="AV19" s="15" t="s">
        <v>332</v>
      </c>
    </row>
    <row r="20" spans="1:48" x14ac:dyDescent="0.15">
      <c r="A20" s="49" t="s">
        <v>75</v>
      </c>
      <c r="B20" s="49" t="s">
        <v>306</v>
      </c>
      <c r="C20" s="49">
        <v>2020</v>
      </c>
      <c r="D20" s="88" t="s">
        <v>307</v>
      </c>
      <c r="E20" s="49" t="s">
        <v>186</v>
      </c>
      <c r="F20" s="49" t="s">
        <v>312</v>
      </c>
      <c r="G20" s="49" t="s">
        <v>37</v>
      </c>
      <c r="H20" s="49" t="s">
        <v>63</v>
      </c>
      <c r="I20" s="1" t="s">
        <v>64</v>
      </c>
      <c r="J20" s="1" t="s">
        <v>40</v>
      </c>
      <c r="K20" s="1" t="s">
        <v>41</v>
      </c>
      <c r="L20" s="1">
        <v>1</v>
      </c>
      <c r="N20" s="1">
        <v>1</v>
      </c>
      <c r="O20" s="1">
        <v>0.75</v>
      </c>
      <c r="P20" s="1">
        <v>0.7</v>
      </c>
      <c r="Q20" s="7">
        <f t="shared" si="0"/>
        <v>0.72499999999999998</v>
      </c>
      <c r="R20" s="1">
        <v>17.100000000000001</v>
      </c>
      <c r="S20" s="1">
        <v>130.5</v>
      </c>
      <c r="T20" s="2">
        <f t="shared" si="1"/>
        <v>25</v>
      </c>
      <c r="U20" s="1">
        <v>98</v>
      </c>
      <c r="V20" s="107">
        <f t="shared" si="2"/>
        <v>2450</v>
      </c>
      <c r="W20" s="1">
        <v>15</v>
      </c>
      <c r="X20" s="1" t="s">
        <v>51</v>
      </c>
      <c r="Y20" s="1" t="s">
        <v>52</v>
      </c>
      <c r="Z20" s="1" t="s">
        <v>67</v>
      </c>
      <c r="AA20" s="1" t="s">
        <v>101</v>
      </c>
      <c r="AB20" s="49" t="s">
        <v>309</v>
      </c>
      <c r="AC20" s="16"/>
      <c r="AE20" s="9"/>
      <c r="AP20" s="13" t="s">
        <v>282</v>
      </c>
      <c r="AR20" s="12" t="s">
        <v>130</v>
      </c>
      <c r="AV20" s="15" t="s">
        <v>333</v>
      </c>
    </row>
    <row r="21" spans="1:48" x14ac:dyDescent="0.15">
      <c r="A21" s="49" t="s">
        <v>75</v>
      </c>
      <c r="B21" s="49" t="s">
        <v>306</v>
      </c>
      <c r="C21" s="49">
        <v>2020</v>
      </c>
      <c r="D21" s="88" t="s">
        <v>307</v>
      </c>
      <c r="E21" s="49" t="s">
        <v>186</v>
      </c>
      <c r="F21" s="49" t="s">
        <v>312</v>
      </c>
      <c r="G21" s="49" t="s">
        <v>37</v>
      </c>
      <c r="H21" s="49" t="s">
        <v>63</v>
      </c>
      <c r="I21" s="1" t="s">
        <v>64</v>
      </c>
      <c r="J21" s="1" t="s">
        <v>40</v>
      </c>
      <c r="K21" s="1" t="s">
        <v>41</v>
      </c>
      <c r="L21" s="1">
        <v>2</v>
      </c>
      <c r="N21" s="1">
        <v>1</v>
      </c>
      <c r="O21" s="1">
        <v>1.05</v>
      </c>
      <c r="P21" s="1">
        <v>1.3</v>
      </c>
      <c r="Q21" s="7">
        <f t="shared" si="0"/>
        <v>1.175</v>
      </c>
      <c r="R21" s="1">
        <v>15</v>
      </c>
      <c r="S21" s="1">
        <v>130</v>
      </c>
      <c r="T21" s="2">
        <f t="shared" si="1"/>
        <v>25</v>
      </c>
      <c r="U21" s="1">
        <v>98</v>
      </c>
      <c r="V21" s="107">
        <f t="shared" si="2"/>
        <v>2450</v>
      </c>
      <c r="W21" s="1">
        <v>15</v>
      </c>
      <c r="X21" s="1" t="s">
        <v>51</v>
      </c>
      <c r="Y21" s="1" t="s">
        <v>52</v>
      </c>
      <c r="Z21" s="1" t="s">
        <v>67</v>
      </c>
      <c r="AA21" s="1" t="s">
        <v>101</v>
      </c>
      <c r="AB21" s="49" t="s">
        <v>309</v>
      </c>
      <c r="AC21" s="16"/>
      <c r="AE21" s="9"/>
      <c r="AP21" s="13" t="s">
        <v>284</v>
      </c>
      <c r="AR21" s="12" t="s">
        <v>97</v>
      </c>
      <c r="AV21" s="15" t="s">
        <v>334</v>
      </c>
    </row>
    <row r="22" spans="1:48" x14ac:dyDescent="0.15">
      <c r="A22" s="49" t="s">
        <v>75</v>
      </c>
      <c r="B22" s="49" t="s">
        <v>306</v>
      </c>
      <c r="C22" s="49">
        <v>2020</v>
      </c>
      <c r="D22" s="88" t="s">
        <v>307</v>
      </c>
      <c r="E22" s="49" t="s">
        <v>186</v>
      </c>
      <c r="F22" s="49" t="s">
        <v>312</v>
      </c>
      <c r="G22" s="49" t="s">
        <v>37</v>
      </c>
      <c r="H22" s="49" t="s">
        <v>63</v>
      </c>
      <c r="I22" s="1" t="s">
        <v>64</v>
      </c>
      <c r="J22" s="1" t="s">
        <v>40</v>
      </c>
      <c r="K22" s="1" t="s">
        <v>41</v>
      </c>
      <c r="L22" s="1">
        <v>3</v>
      </c>
      <c r="N22" s="1">
        <v>1</v>
      </c>
      <c r="O22" s="16">
        <v>0.9</v>
      </c>
      <c r="P22" s="1">
        <v>0.9</v>
      </c>
      <c r="Q22" s="7">
        <f t="shared" si="0"/>
        <v>0.9</v>
      </c>
      <c r="R22" s="1">
        <v>15</v>
      </c>
      <c r="S22" s="1">
        <v>125.5</v>
      </c>
      <c r="T22" s="2">
        <f t="shared" si="1"/>
        <v>27</v>
      </c>
      <c r="U22" s="1">
        <v>98</v>
      </c>
      <c r="V22" s="107">
        <f t="shared" si="2"/>
        <v>2646</v>
      </c>
      <c r="W22" s="1">
        <v>15</v>
      </c>
      <c r="X22" s="1" t="s">
        <v>51</v>
      </c>
      <c r="Y22" s="1" t="s">
        <v>52</v>
      </c>
      <c r="Z22" s="1" t="s">
        <v>67</v>
      </c>
      <c r="AA22" s="1" t="s">
        <v>101</v>
      </c>
      <c r="AB22" s="49" t="s">
        <v>309</v>
      </c>
      <c r="AC22" s="16"/>
      <c r="AE22" s="10"/>
      <c r="AP22" s="13" t="s">
        <v>286</v>
      </c>
      <c r="AR22" s="12" t="s">
        <v>135</v>
      </c>
      <c r="AV22" s="12"/>
    </row>
    <row r="23" spans="1:48" x14ac:dyDescent="0.15">
      <c r="A23" s="49" t="s">
        <v>75</v>
      </c>
      <c r="B23" s="49" t="s">
        <v>306</v>
      </c>
      <c r="C23" s="49">
        <v>2020</v>
      </c>
      <c r="D23" s="88" t="s">
        <v>307</v>
      </c>
      <c r="E23" s="49" t="s">
        <v>186</v>
      </c>
      <c r="F23" s="49" t="s">
        <v>312</v>
      </c>
      <c r="G23" s="49" t="s">
        <v>37</v>
      </c>
      <c r="H23" s="49" t="s">
        <v>63</v>
      </c>
      <c r="I23" s="1" t="s">
        <v>64</v>
      </c>
      <c r="J23" s="1" t="s">
        <v>40</v>
      </c>
      <c r="K23" s="1" t="s">
        <v>41</v>
      </c>
      <c r="L23" s="1">
        <v>1</v>
      </c>
      <c r="N23" s="1">
        <v>4</v>
      </c>
      <c r="O23" s="1">
        <v>0.75</v>
      </c>
      <c r="P23" s="1">
        <v>0.65</v>
      </c>
      <c r="Q23" s="7">
        <f t="shared" si="0"/>
        <v>0.7</v>
      </c>
      <c r="R23" s="1">
        <v>14.5</v>
      </c>
      <c r="S23" s="1">
        <v>99.5</v>
      </c>
      <c r="T23" s="2">
        <f t="shared" si="1"/>
        <v>33</v>
      </c>
      <c r="U23" s="1">
        <v>398</v>
      </c>
      <c r="V23" s="107">
        <f t="shared" si="2"/>
        <v>3283.5</v>
      </c>
      <c r="W23" s="1">
        <v>15</v>
      </c>
      <c r="X23" s="1" t="s">
        <v>51</v>
      </c>
      <c r="Y23" s="1" t="s">
        <v>52</v>
      </c>
      <c r="Z23" s="1" t="s">
        <v>67</v>
      </c>
      <c r="AA23" s="1" t="s">
        <v>101</v>
      </c>
      <c r="AB23" s="49" t="s">
        <v>309</v>
      </c>
      <c r="AC23" s="16"/>
      <c r="AE23" s="9"/>
      <c r="AP23" s="13" t="s">
        <v>287</v>
      </c>
      <c r="AR23" s="12" t="s">
        <v>75</v>
      </c>
    </row>
    <row r="24" spans="1:48" x14ac:dyDescent="0.15">
      <c r="A24" s="49" t="s">
        <v>75</v>
      </c>
      <c r="B24" s="49" t="s">
        <v>306</v>
      </c>
      <c r="C24" s="49">
        <v>2020</v>
      </c>
      <c r="D24" s="88" t="s">
        <v>307</v>
      </c>
      <c r="E24" s="49" t="s">
        <v>186</v>
      </c>
      <c r="F24" s="49" t="s">
        <v>312</v>
      </c>
      <c r="G24" s="49" t="s">
        <v>37</v>
      </c>
      <c r="H24" s="49" t="s">
        <v>63</v>
      </c>
      <c r="I24" s="1" t="s">
        <v>64</v>
      </c>
      <c r="J24" s="1" t="s">
        <v>40</v>
      </c>
      <c r="K24" s="1" t="s">
        <v>41</v>
      </c>
      <c r="L24" s="1">
        <v>2</v>
      </c>
      <c r="N24" s="1">
        <v>4</v>
      </c>
      <c r="O24" s="1">
        <v>0.75</v>
      </c>
      <c r="P24" s="1">
        <v>0.9</v>
      </c>
      <c r="Q24" s="7">
        <f t="shared" si="0"/>
        <v>0.82499999999999996</v>
      </c>
      <c r="R24" s="1">
        <v>15.2</v>
      </c>
      <c r="S24" s="1">
        <v>104.5</v>
      </c>
      <c r="T24" s="2">
        <f t="shared" si="1"/>
        <v>33</v>
      </c>
      <c r="U24" s="1">
        <v>398</v>
      </c>
      <c r="V24" s="107">
        <f t="shared" si="2"/>
        <v>3283.5</v>
      </c>
      <c r="W24" s="1">
        <v>15</v>
      </c>
      <c r="X24" s="1" t="s">
        <v>51</v>
      </c>
      <c r="Y24" s="1" t="s">
        <v>52</v>
      </c>
      <c r="Z24" s="1" t="s">
        <v>67</v>
      </c>
      <c r="AA24" s="1" t="s">
        <v>101</v>
      </c>
      <c r="AB24" s="49" t="s">
        <v>309</v>
      </c>
      <c r="AC24" s="16"/>
      <c r="AE24" s="9"/>
      <c r="AP24" s="13" t="s">
        <v>288</v>
      </c>
      <c r="AR24" s="12" t="s">
        <v>138</v>
      </c>
    </row>
    <row r="25" spans="1:48" x14ac:dyDescent="0.15">
      <c r="A25" s="49" t="s">
        <v>75</v>
      </c>
      <c r="B25" s="49" t="s">
        <v>306</v>
      </c>
      <c r="C25" s="49">
        <v>2020</v>
      </c>
      <c r="D25" s="88" t="s">
        <v>307</v>
      </c>
      <c r="E25" s="49" t="s">
        <v>186</v>
      </c>
      <c r="F25" s="49" t="s">
        <v>312</v>
      </c>
      <c r="G25" s="49" t="s">
        <v>37</v>
      </c>
      <c r="H25" s="49" t="s">
        <v>63</v>
      </c>
      <c r="I25" s="1" t="s">
        <v>64</v>
      </c>
      <c r="J25" s="1" t="s">
        <v>40</v>
      </c>
      <c r="K25" s="1" t="s">
        <v>41</v>
      </c>
      <c r="L25" s="1">
        <v>3</v>
      </c>
      <c r="N25" s="1">
        <v>4</v>
      </c>
      <c r="O25" s="16">
        <v>0.6</v>
      </c>
      <c r="P25" s="1">
        <v>0.65</v>
      </c>
      <c r="Q25" s="7">
        <f t="shared" si="0"/>
        <v>0.625</v>
      </c>
      <c r="R25" s="1">
        <v>14.8</v>
      </c>
      <c r="S25" s="1">
        <v>105.5</v>
      </c>
      <c r="T25" s="2">
        <f t="shared" si="1"/>
        <v>33</v>
      </c>
      <c r="U25" s="1">
        <v>398</v>
      </c>
      <c r="V25" s="107">
        <f t="shared" si="2"/>
        <v>3283.5</v>
      </c>
      <c r="W25" s="1">
        <v>15</v>
      </c>
      <c r="X25" s="1" t="s">
        <v>51</v>
      </c>
      <c r="Y25" s="1" t="s">
        <v>52</v>
      </c>
      <c r="Z25" s="1" t="s">
        <v>67</v>
      </c>
      <c r="AA25" s="1" t="s">
        <v>101</v>
      </c>
      <c r="AB25" s="49" t="s">
        <v>309</v>
      </c>
      <c r="AC25" s="16"/>
      <c r="AE25" s="10"/>
      <c r="AP25" s="13" t="s">
        <v>289</v>
      </c>
      <c r="AR25" s="13" t="s">
        <v>290</v>
      </c>
    </row>
    <row r="26" spans="1:48" x14ac:dyDescent="0.15">
      <c r="A26" s="49" t="s">
        <v>75</v>
      </c>
      <c r="B26" s="49" t="s">
        <v>306</v>
      </c>
      <c r="C26" s="49">
        <v>2020</v>
      </c>
      <c r="D26" s="88" t="s">
        <v>307</v>
      </c>
      <c r="E26" s="49" t="s">
        <v>186</v>
      </c>
      <c r="F26" s="49" t="s">
        <v>312</v>
      </c>
      <c r="G26" s="49" t="s">
        <v>37</v>
      </c>
      <c r="H26" s="49" t="s">
        <v>77</v>
      </c>
      <c r="I26" s="1" t="s">
        <v>64</v>
      </c>
      <c r="J26" s="1" t="s">
        <v>40</v>
      </c>
      <c r="K26" s="1" t="s">
        <v>41</v>
      </c>
      <c r="L26" s="1">
        <v>1</v>
      </c>
      <c r="N26" s="1">
        <v>4</v>
      </c>
      <c r="O26" s="1">
        <v>0.7</v>
      </c>
      <c r="P26" s="16">
        <v>0.65</v>
      </c>
      <c r="Q26" s="7">
        <f t="shared" si="0"/>
        <v>0.67500000000000004</v>
      </c>
      <c r="R26" s="1">
        <v>16.2</v>
      </c>
      <c r="S26" s="1">
        <v>94</v>
      </c>
      <c r="T26" s="2">
        <f t="shared" si="1"/>
        <v>36</v>
      </c>
      <c r="U26" s="1">
        <v>398</v>
      </c>
      <c r="V26" s="107">
        <f t="shared" si="2"/>
        <v>3582</v>
      </c>
      <c r="W26" s="1">
        <v>15</v>
      </c>
      <c r="X26" s="1" t="s">
        <v>51</v>
      </c>
      <c r="Y26" s="1" t="s">
        <v>52</v>
      </c>
      <c r="Z26" s="1" t="s">
        <v>67</v>
      </c>
      <c r="AA26" s="1" t="s">
        <v>101</v>
      </c>
      <c r="AB26" s="49" t="s">
        <v>309</v>
      </c>
      <c r="AC26" s="16"/>
      <c r="AD26" s="16"/>
      <c r="AE26" s="10"/>
      <c r="AP26" s="13" t="s">
        <v>291</v>
      </c>
      <c r="AR26" s="12" t="s">
        <v>292</v>
      </c>
    </row>
    <row r="27" spans="1:48" x14ac:dyDescent="0.15">
      <c r="A27" s="49" t="s">
        <v>75</v>
      </c>
      <c r="B27" s="49" t="s">
        <v>306</v>
      </c>
      <c r="C27" s="49">
        <v>2020</v>
      </c>
      <c r="D27" s="88" t="s">
        <v>307</v>
      </c>
      <c r="E27" s="49" t="s">
        <v>186</v>
      </c>
      <c r="F27" s="49" t="s">
        <v>312</v>
      </c>
      <c r="G27" s="49" t="s">
        <v>37</v>
      </c>
      <c r="H27" s="49" t="s">
        <v>77</v>
      </c>
      <c r="I27" s="1" t="s">
        <v>64</v>
      </c>
      <c r="J27" s="1" t="s">
        <v>40</v>
      </c>
      <c r="K27" s="1" t="s">
        <v>41</v>
      </c>
      <c r="L27" s="1">
        <v>2</v>
      </c>
      <c r="N27" s="1">
        <v>4</v>
      </c>
      <c r="O27" s="1">
        <v>0.75</v>
      </c>
      <c r="P27" s="16">
        <v>0.75</v>
      </c>
      <c r="Q27" s="7">
        <f t="shared" si="0"/>
        <v>0.75</v>
      </c>
      <c r="R27" s="1">
        <v>15.5</v>
      </c>
      <c r="S27" s="1">
        <v>93</v>
      </c>
      <c r="T27" s="2">
        <f t="shared" si="1"/>
        <v>36</v>
      </c>
      <c r="U27" s="1">
        <v>398</v>
      </c>
      <c r="V27" s="107">
        <f t="shared" si="2"/>
        <v>3582</v>
      </c>
      <c r="W27" s="1">
        <v>15</v>
      </c>
      <c r="X27" s="1" t="s">
        <v>51</v>
      </c>
      <c r="Y27" s="1" t="s">
        <v>52</v>
      </c>
      <c r="Z27" s="1" t="s">
        <v>67</v>
      </c>
      <c r="AA27" s="1" t="s">
        <v>101</v>
      </c>
      <c r="AB27" s="49" t="s">
        <v>309</v>
      </c>
      <c r="AC27" s="16"/>
      <c r="AD27" s="16"/>
      <c r="AE27" s="14"/>
      <c r="AP27" s="13" t="s">
        <v>293</v>
      </c>
      <c r="AR27" s="12" t="s">
        <v>294</v>
      </c>
    </row>
    <row r="28" spans="1:48" x14ac:dyDescent="0.15">
      <c r="A28" s="49" t="s">
        <v>75</v>
      </c>
      <c r="B28" s="49" t="s">
        <v>306</v>
      </c>
      <c r="C28" s="49">
        <v>2020</v>
      </c>
      <c r="D28" s="88" t="s">
        <v>307</v>
      </c>
      <c r="E28" s="49" t="s">
        <v>186</v>
      </c>
      <c r="F28" s="49" t="s">
        <v>312</v>
      </c>
      <c r="G28" s="49" t="s">
        <v>37</v>
      </c>
      <c r="H28" s="49" t="s">
        <v>77</v>
      </c>
      <c r="I28" s="1" t="s">
        <v>64</v>
      </c>
      <c r="J28" s="1" t="s">
        <v>40</v>
      </c>
      <c r="K28" s="1" t="s">
        <v>41</v>
      </c>
      <c r="L28" s="1">
        <v>3</v>
      </c>
      <c r="N28" s="1">
        <v>4</v>
      </c>
      <c r="O28" s="1">
        <v>0.75</v>
      </c>
      <c r="P28" s="16">
        <v>1.05</v>
      </c>
      <c r="Q28" s="7">
        <f t="shared" si="0"/>
        <v>0.9</v>
      </c>
      <c r="R28" s="1">
        <v>19.5</v>
      </c>
      <c r="S28" s="1">
        <v>95</v>
      </c>
      <c r="T28" s="2">
        <f t="shared" si="1"/>
        <v>36</v>
      </c>
      <c r="U28" s="1">
        <v>398</v>
      </c>
      <c r="V28" s="107">
        <f t="shared" si="2"/>
        <v>3582</v>
      </c>
      <c r="W28" s="1">
        <v>15</v>
      </c>
      <c r="X28" s="1" t="s">
        <v>51</v>
      </c>
      <c r="Y28" s="1" t="s">
        <v>52</v>
      </c>
      <c r="Z28" s="1" t="s">
        <v>67</v>
      </c>
      <c r="AA28" s="1" t="s">
        <v>101</v>
      </c>
      <c r="AB28" s="49" t="s">
        <v>309</v>
      </c>
      <c r="AC28" s="16"/>
      <c r="AD28" s="16"/>
      <c r="AP28" s="13" t="s">
        <v>295</v>
      </c>
      <c r="AR28" s="12" t="s">
        <v>296</v>
      </c>
    </row>
    <row r="29" spans="1:48" x14ac:dyDescent="0.15">
      <c r="A29" s="49" t="s">
        <v>75</v>
      </c>
      <c r="B29" s="49" t="s">
        <v>306</v>
      </c>
      <c r="C29" s="49">
        <v>2020</v>
      </c>
      <c r="D29" s="88" t="s">
        <v>307</v>
      </c>
      <c r="E29" s="49" t="s">
        <v>186</v>
      </c>
      <c r="F29" s="49" t="s">
        <v>312</v>
      </c>
      <c r="G29" s="49" t="s">
        <v>37</v>
      </c>
      <c r="H29" s="49" t="s">
        <v>238</v>
      </c>
      <c r="I29" s="1" t="s">
        <v>64</v>
      </c>
      <c r="J29" s="1" t="s">
        <v>115</v>
      </c>
      <c r="K29" s="1" t="s">
        <v>118</v>
      </c>
      <c r="L29" s="1">
        <v>1</v>
      </c>
      <c r="N29" s="1">
        <v>4</v>
      </c>
      <c r="O29" s="1">
        <v>1.5</v>
      </c>
      <c r="P29" s="1">
        <v>1.05</v>
      </c>
      <c r="Q29" s="7">
        <f t="shared" si="0"/>
        <v>1.2749999999999999</v>
      </c>
      <c r="R29" s="1">
        <v>14.8</v>
      </c>
      <c r="S29" s="1">
        <v>84</v>
      </c>
      <c r="T29" s="2">
        <f t="shared" si="1"/>
        <v>36</v>
      </c>
      <c r="U29" s="1">
        <v>398</v>
      </c>
      <c r="V29" s="107">
        <f t="shared" si="2"/>
        <v>3582</v>
      </c>
      <c r="W29" s="1">
        <v>15</v>
      </c>
      <c r="X29" s="1" t="s">
        <v>51</v>
      </c>
      <c r="Y29" s="1" t="s">
        <v>52</v>
      </c>
      <c r="Z29" s="1" t="s">
        <v>67</v>
      </c>
      <c r="AA29" s="1" t="s">
        <v>101</v>
      </c>
      <c r="AB29" s="49" t="s">
        <v>309</v>
      </c>
      <c r="AC29" s="16"/>
      <c r="AP29" s="13" t="s">
        <v>297</v>
      </c>
      <c r="AR29" s="14" t="s">
        <v>335</v>
      </c>
    </row>
    <row r="30" spans="1:48" x14ac:dyDescent="0.15">
      <c r="A30" s="49" t="s">
        <v>75</v>
      </c>
      <c r="B30" s="49" t="s">
        <v>306</v>
      </c>
      <c r="C30" s="49">
        <v>2020</v>
      </c>
      <c r="D30" s="88" t="s">
        <v>307</v>
      </c>
      <c r="E30" s="49" t="s">
        <v>186</v>
      </c>
      <c r="F30" s="49" t="s">
        <v>312</v>
      </c>
      <c r="G30" s="49" t="s">
        <v>37</v>
      </c>
      <c r="H30" s="49" t="s">
        <v>238</v>
      </c>
      <c r="I30" s="1" t="s">
        <v>64</v>
      </c>
      <c r="J30" s="1" t="s">
        <v>115</v>
      </c>
      <c r="K30" s="1" t="s">
        <v>118</v>
      </c>
      <c r="L30" s="1">
        <v>2</v>
      </c>
      <c r="N30" s="1">
        <v>4</v>
      </c>
      <c r="O30" s="1">
        <v>0.95</v>
      </c>
      <c r="P30" s="16">
        <v>0.9</v>
      </c>
      <c r="Q30" s="7">
        <f t="shared" si="0"/>
        <v>0.92500000000000004</v>
      </c>
      <c r="R30" s="1">
        <v>15.6</v>
      </c>
      <c r="S30" s="1">
        <v>87.5</v>
      </c>
      <c r="T30" s="2">
        <f t="shared" si="1"/>
        <v>36</v>
      </c>
      <c r="U30" s="1">
        <v>398</v>
      </c>
      <c r="V30" s="107">
        <f t="shared" si="2"/>
        <v>3582</v>
      </c>
      <c r="W30" s="1">
        <v>15</v>
      </c>
      <c r="X30" s="1" t="s">
        <v>51</v>
      </c>
      <c r="Y30" s="1" t="s">
        <v>52</v>
      </c>
      <c r="Z30" s="1" t="s">
        <v>67</v>
      </c>
      <c r="AA30" s="1" t="s">
        <v>101</v>
      </c>
      <c r="AB30" s="49" t="s">
        <v>309</v>
      </c>
      <c r="AC30" s="16"/>
    </row>
    <row r="31" spans="1:48" x14ac:dyDescent="0.15">
      <c r="A31" s="49" t="s">
        <v>75</v>
      </c>
      <c r="B31" s="49" t="s">
        <v>306</v>
      </c>
      <c r="C31" s="49">
        <v>2020</v>
      </c>
      <c r="D31" s="88" t="s">
        <v>307</v>
      </c>
      <c r="E31" s="49" t="s">
        <v>186</v>
      </c>
      <c r="F31" s="49" t="s">
        <v>312</v>
      </c>
      <c r="G31" s="49" t="s">
        <v>37</v>
      </c>
      <c r="H31" s="49" t="s">
        <v>238</v>
      </c>
      <c r="I31" s="1" t="s">
        <v>64</v>
      </c>
      <c r="J31" s="1" t="s">
        <v>115</v>
      </c>
      <c r="K31" s="1" t="s">
        <v>118</v>
      </c>
      <c r="L31" s="1">
        <v>3</v>
      </c>
      <c r="N31" s="1">
        <v>4</v>
      </c>
      <c r="O31" s="1">
        <v>0.95</v>
      </c>
      <c r="P31" s="1">
        <v>0.9</v>
      </c>
      <c r="Q31" s="7">
        <f t="shared" si="0"/>
        <v>0.92500000000000004</v>
      </c>
      <c r="R31" s="1">
        <v>14.5</v>
      </c>
      <c r="S31" s="1">
        <v>77.5</v>
      </c>
      <c r="T31" s="2">
        <f t="shared" si="1"/>
        <v>39</v>
      </c>
      <c r="U31" s="1">
        <v>398</v>
      </c>
      <c r="V31" s="107">
        <f t="shared" si="2"/>
        <v>3880.5</v>
      </c>
      <c r="W31" s="1">
        <v>15</v>
      </c>
      <c r="X31" s="1" t="s">
        <v>51</v>
      </c>
      <c r="Y31" s="1" t="s">
        <v>52</v>
      </c>
      <c r="Z31" s="1" t="s">
        <v>67</v>
      </c>
      <c r="AA31" s="1" t="s">
        <v>101</v>
      </c>
      <c r="AB31" s="49" t="s">
        <v>309</v>
      </c>
      <c r="AC31" s="16"/>
    </row>
    <row r="32" spans="1:48" x14ac:dyDescent="0.15">
      <c r="A32" s="49" t="s">
        <v>75</v>
      </c>
      <c r="B32" s="49" t="s">
        <v>306</v>
      </c>
      <c r="C32" s="49">
        <v>2020</v>
      </c>
      <c r="D32" s="88" t="s">
        <v>307</v>
      </c>
      <c r="E32" s="49" t="s">
        <v>313</v>
      </c>
      <c r="F32" s="49" t="s">
        <v>314</v>
      </c>
      <c r="G32" s="49" t="s">
        <v>46</v>
      </c>
      <c r="H32" s="49" t="s">
        <v>82</v>
      </c>
      <c r="I32" s="1" t="s">
        <v>64</v>
      </c>
      <c r="J32" s="1" t="s">
        <v>40</v>
      </c>
      <c r="K32" s="1" t="s">
        <v>41</v>
      </c>
      <c r="L32" s="1">
        <v>1</v>
      </c>
      <c r="N32" s="1">
        <v>1</v>
      </c>
      <c r="O32" s="1">
        <v>0.5</v>
      </c>
      <c r="P32" s="1">
        <v>0.5</v>
      </c>
      <c r="Q32" s="7">
        <f t="shared" si="0"/>
        <v>0.5</v>
      </c>
      <c r="R32" s="1">
        <v>21</v>
      </c>
      <c r="S32" s="1">
        <v>142</v>
      </c>
      <c r="T32" s="2">
        <f t="shared" si="1"/>
        <v>22</v>
      </c>
      <c r="U32" s="1">
        <v>146</v>
      </c>
      <c r="V32" s="107">
        <f t="shared" si="2"/>
        <v>3212</v>
      </c>
      <c r="W32" s="1">
        <v>4</v>
      </c>
      <c r="X32" s="1" t="s">
        <v>42</v>
      </c>
      <c r="Y32" s="1" t="s">
        <v>128</v>
      </c>
      <c r="Z32" s="1" t="s">
        <v>52</v>
      </c>
      <c r="AA32" s="1" t="s">
        <v>101</v>
      </c>
      <c r="AB32" s="49" t="s">
        <v>309</v>
      </c>
      <c r="AC32" s="16"/>
    </row>
    <row r="33" spans="1:29" x14ac:dyDescent="0.15">
      <c r="A33" s="49" t="s">
        <v>75</v>
      </c>
      <c r="B33" s="49" t="s">
        <v>306</v>
      </c>
      <c r="C33" s="49">
        <v>2020</v>
      </c>
      <c r="D33" s="88" t="s">
        <v>307</v>
      </c>
      <c r="E33" s="49" t="s">
        <v>313</v>
      </c>
      <c r="F33" s="49" t="s">
        <v>314</v>
      </c>
      <c r="G33" s="49" t="s">
        <v>46</v>
      </c>
      <c r="H33" s="49" t="s">
        <v>82</v>
      </c>
      <c r="I33" s="1" t="s">
        <v>64</v>
      </c>
      <c r="J33" s="1" t="s">
        <v>40</v>
      </c>
      <c r="K33" s="1" t="s">
        <v>41</v>
      </c>
      <c r="L33" s="1">
        <v>2</v>
      </c>
      <c r="N33" s="1">
        <v>1</v>
      </c>
      <c r="O33" s="1">
        <v>0.5</v>
      </c>
      <c r="P33" s="1">
        <v>0.65</v>
      </c>
      <c r="Q33" s="7">
        <f t="shared" si="0"/>
        <v>0.57499999999999996</v>
      </c>
      <c r="R33" s="1">
        <v>20.100000000000001</v>
      </c>
      <c r="S33" s="1">
        <v>140.5</v>
      </c>
      <c r="T33" s="2">
        <f t="shared" si="1"/>
        <v>22</v>
      </c>
      <c r="U33" s="1">
        <v>146</v>
      </c>
      <c r="V33" s="107">
        <f t="shared" si="2"/>
        <v>3212</v>
      </c>
      <c r="W33" s="1">
        <v>4</v>
      </c>
      <c r="X33" s="1" t="s">
        <v>42</v>
      </c>
      <c r="Y33" s="1" t="s">
        <v>128</v>
      </c>
      <c r="Z33" s="1" t="s">
        <v>52</v>
      </c>
      <c r="AA33" s="1" t="s">
        <v>101</v>
      </c>
      <c r="AB33" s="49" t="s">
        <v>309</v>
      </c>
      <c r="AC33" s="16"/>
    </row>
    <row r="34" spans="1:29" x14ac:dyDescent="0.15">
      <c r="A34" s="49" t="s">
        <v>75</v>
      </c>
      <c r="B34" s="49" t="s">
        <v>306</v>
      </c>
      <c r="C34" s="49">
        <v>2020</v>
      </c>
      <c r="D34" s="88" t="s">
        <v>307</v>
      </c>
      <c r="E34" s="49" t="s">
        <v>313</v>
      </c>
      <c r="F34" s="49" t="s">
        <v>314</v>
      </c>
      <c r="G34" s="49" t="s">
        <v>46</v>
      </c>
      <c r="H34" s="49" t="s">
        <v>82</v>
      </c>
      <c r="I34" s="1" t="s">
        <v>64</v>
      </c>
      <c r="J34" s="1" t="s">
        <v>40</v>
      </c>
      <c r="K34" s="1" t="s">
        <v>41</v>
      </c>
      <c r="L34" s="1">
        <v>3</v>
      </c>
      <c r="N34" s="1">
        <v>1</v>
      </c>
      <c r="O34" s="1">
        <v>0.5</v>
      </c>
      <c r="P34" s="1">
        <v>0.55000000000000004</v>
      </c>
      <c r="Q34" s="7">
        <f t="shared" si="0"/>
        <v>0.52500000000000002</v>
      </c>
      <c r="R34" s="1">
        <v>20.399999999999999</v>
      </c>
      <c r="S34" s="1">
        <v>134</v>
      </c>
      <c r="T34" s="2">
        <f t="shared" si="1"/>
        <v>25</v>
      </c>
      <c r="U34" s="1">
        <v>146</v>
      </c>
      <c r="V34" s="107">
        <f t="shared" si="2"/>
        <v>3650</v>
      </c>
      <c r="W34" s="1">
        <v>4</v>
      </c>
      <c r="X34" s="1" t="s">
        <v>42</v>
      </c>
      <c r="Y34" s="1" t="s">
        <v>128</v>
      </c>
      <c r="Z34" s="1" t="s">
        <v>52</v>
      </c>
      <c r="AA34" s="1" t="s">
        <v>101</v>
      </c>
      <c r="AB34" s="49" t="s">
        <v>309</v>
      </c>
      <c r="AC34" s="16"/>
    </row>
    <row r="35" spans="1:29" x14ac:dyDescent="0.15">
      <c r="A35" s="49" t="s">
        <v>75</v>
      </c>
      <c r="B35" s="49" t="s">
        <v>306</v>
      </c>
      <c r="C35" s="49">
        <v>2020</v>
      </c>
      <c r="D35" s="88" t="s">
        <v>307</v>
      </c>
      <c r="E35" s="49" t="s">
        <v>313</v>
      </c>
      <c r="F35" s="49" t="s">
        <v>314</v>
      </c>
      <c r="G35" s="49" t="s">
        <v>46</v>
      </c>
      <c r="H35" s="49" t="s">
        <v>82</v>
      </c>
      <c r="I35" s="1" t="s">
        <v>64</v>
      </c>
      <c r="J35" s="1" t="s">
        <v>40</v>
      </c>
      <c r="K35" s="1" t="s">
        <v>41</v>
      </c>
      <c r="L35" s="1">
        <v>1</v>
      </c>
      <c r="N35" s="1">
        <v>4</v>
      </c>
      <c r="O35" s="1">
        <v>0.5</v>
      </c>
      <c r="P35" s="1">
        <v>0.5</v>
      </c>
      <c r="Q35" s="7">
        <f t="shared" si="0"/>
        <v>0.5</v>
      </c>
      <c r="R35" s="1">
        <v>15.4</v>
      </c>
      <c r="S35" s="1">
        <v>103</v>
      </c>
      <c r="T35" s="2">
        <f t="shared" si="1"/>
        <v>33</v>
      </c>
      <c r="U35" s="1">
        <v>461</v>
      </c>
      <c r="V35" s="107">
        <f t="shared" si="2"/>
        <v>3803.25</v>
      </c>
      <c r="W35" s="1">
        <v>4</v>
      </c>
      <c r="X35" s="1" t="s">
        <v>42</v>
      </c>
      <c r="Y35" s="1" t="s">
        <v>128</v>
      </c>
      <c r="Z35" s="1" t="s">
        <v>52</v>
      </c>
      <c r="AA35" s="1" t="s">
        <v>101</v>
      </c>
      <c r="AB35" s="49" t="s">
        <v>309</v>
      </c>
      <c r="AC35" s="16"/>
    </row>
    <row r="36" spans="1:29" x14ac:dyDescent="0.15">
      <c r="A36" s="49" t="s">
        <v>75</v>
      </c>
      <c r="B36" s="49" t="s">
        <v>306</v>
      </c>
      <c r="C36" s="49">
        <v>2020</v>
      </c>
      <c r="D36" s="88" t="s">
        <v>307</v>
      </c>
      <c r="E36" s="49" t="s">
        <v>313</v>
      </c>
      <c r="F36" s="49" t="s">
        <v>314</v>
      </c>
      <c r="G36" s="49" t="s">
        <v>46</v>
      </c>
      <c r="H36" s="49" t="s">
        <v>82</v>
      </c>
      <c r="I36" s="1" t="s">
        <v>64</v>
      </c>
      <c r="J36" s="1" t="s">
        <v>40</v>
      </c>
      <c r="K36" s="1" t="s">
        <v>41</v>
      </c>
      <c r="L36" s="1">
        <v>2</v>
      </c>
      <c r="N36" s="1">
        <v>4</v>
      </c>
      <c r="O36" s="1">
        <v>0.5</v>
      </c>
      <c r="P36" s="1">
        <v>0.5</v>
      </c>
      <c r="Q36" s="7">
        <f t="shared" si="0"/>
        <v>0.5</v>
      </c>
      <c r="R36" s="1">
        <v>14.5</v>
      </c>
      <c r="S36" s="1">
        <v>96</v>
      </c>
      <c r="T36" s="2">
        <f t="shared" si="1"/>
        <v>36</v>
      </c>
      <c r="U36" s="1">
        <v>461</v>
      </c>
      <c r="V36" s="107">
        <f t="shared" si="2"/>
        <v>4149</v>
      </c>
      <c r="W36" s="1">
        <v>4</v>
      </c>
      <c r="X36" s="1" t="s">
        <v>42</v>
      </c>
      <c r="Y36" s="1" t="s">
        <v>128</v>
      </c>
      <c r="Z36" s="1" t="s">
        <v>52</v>
      </c>
      <c r="AA36" s="1" t="s">
        <v>101</v>
      </c>
      <c r="AB36" s="49" t="s">
        <v>309</v>
      </c>
      <c r="AC36" s="16"/>
    </row>
    <row r="37" spans="1:29" x14ac:dyDescent="0.15">
      <c r="A37" s="49" t="s">
        <v>75</v>
      </c>
      <c r="B37" s="49" t="s">
        <v>306</v>
      </c>
      <c r="C37" s="49">
        <v>2020</v>
      </c>
      <c r="D37" s="88" t="s">
        <v>307</v>
      </c>
      <c r="E37" s="49" t="s">
        <v>313</v>
      </c>
      <c r="F37" s="49" t="s">
        <v>314</v>
      </c>
      <c r="G37" s="49" t="s">
        <v>46</v>
      </c>
      <c r="H37" s="49" t="s">
        <v>82</v>
      </c>
      <c r="I37" s="1" t="s">
        <v>64</v>
      </c>
      <c r="J37" s="1" t="s">
        <v>40</v>
      </c>
      <c r="K37" s="1" t="s">
        <v>41</v>
      </c>
      <c r="L37" s="1">
        <v>3</v>
      </c>
      <c r="N37" s="1">
        <v>4</v>
      </c>
      <c r="O37" s="1">
        <v>0.5</v>
      </c>
      <c r="P37" s="1">
        <v>0.5</v>
      </c>
      <c r="Q37" s="7">
        <f t="shared" si="0"/>
        <v>0.5</v>
      </c>
      <c r="R37" s="1">
        <v>15.2</v>
      </c>
      <c r="S37" s="1">
        <v>93.5</v>
      </c>
      <c r="T37" s="2">
        <f t="shared" si="1"/>
        <v>36</v>
      </c>
      <c r="U37" s="1">
        <v>461</v>
      </c>
      <c r="V37" s="107">
        <f t="shared" si="2"/>
        <v>4149</v>
      </c>
      <c r="W37" s="1">
        <v>4</v>
      </c>
      <c r="X37" s="1" t="s">
        <v>42</v>
      </c>
      <c r="Y37" s="1" t="s">
        <v>128</v>
      </c>
      <c r="Z37" s="1" t="s">
        <v>52</v>
      </c>
      <c r="AA37" s="1" t="s">
        <v>101</v>
      </c>
      <c r="AB37" s="49" t="s">
        <v>309</v>
      </c>
      <c r="AC37" s="16"/>
    </row>
    <row r="38" spans="1:29" x14ac:dyDescent="0.15">
      <c r="A38" s="49" t="s">
        <v>75</v>
      </c>
      <c r="B38" s="49" t="s">
        <v>306</v>
      </c>
      <c r="C38" s="49">
        <v>2020</v>
      </c>
      <c r="D38" s="88" t="s">
        <v>307</v>
      </c>
      <c r="E38" s="49" t="s">
        <v>313</v>
      </c>
      <c r="F38" s="49" t="s">
        <v>314</v>
      </c>
      <c r="G38" s="49" t="s">
        <v>46</v>
      </c>
      <c r="H38" s="49" t="s">
        <v>63</v>
      </c>
      <c r="I38" s="1" t="s">
        <v>64</v>
      </c>
      <c r="J38" s="1" t="s">
        <v>40</v>
      </c>
      <c r="K38" s="1" t="s">
        <v>41</v>
      </c>
      <c r="L38" s="1">
        <v>1</v>
      </c>
      <c r="N38" s="1">
        <v>1</v>
      </c>
      <c r="O38" s="1">
        <v>0.75</v>
      </c>
      <c r="P38" s="1">
        <v>0.85</v>
      </c>
      <c r="Q38" s="7">
        <f t="shared" si="0"/>
        <v>0.8</v>
      </c>
      <c r="R38" s="1">
        <v>15.2</v>
      </c>
      <c r="S38" s="1">
        <v>122</v>
      </c>
      <c r="T38" s="2">
        <f t="shared" si="1"/>
        <v>27</v>
      </c>
      <c r="U38" s="1">
        <v>146</v>
      </c>
      <c r="V38" s="107">
        <f t="shared" si="2"/>
        <v>3942</v>
      </c>
      <c r="W38" s="1">
        <v>4</v>
      </c>
      <c r="X38" s="1" t="s">
        <v>42</v>
      </c>
      <c r="Y38" s="1" t="s">
        <v>128</v>
      </c>
      <c r="Z38" s="1" t="s">
        <v>52</v>
      </c>
      <c r="AA38" s="1" t="s">
        <v>101</v>
      </c>
      <c r="AB38" s="49" t="s">
        <v>309</v>
      </c>
      <c r="AC38" s="16"/>
    </row>
    <row r="39" spans="1:29" x14ac:dyDescent="0.15">
      <c r="A39" s="49" t="s">
        <v>75</v>
      </c>
      <c r="B39" s="49" t="s">
        <v>306</v>
      </c>
      <c r="C39" s="49">
        <v>2020</v>
      </c>
      <c r="D39" s="88" t="s">
        <v>307</v>
      </c>
      <c r="E39" s="49" t="s">
        <v>313</v>
      </c>
      <c r="F39" s="49" t="s">
        <v>314</v>
      </c>
      <c r="G39" s="49" t="s">
        <v>46</v>
      </c>
      <c r="H39" s="49" t="s">
        <v>63</v>
      </c>
      <c r="I39" s="1" t="s">
        <v>64</v>
      </c>
      <c r="J39" s="1" t="s">
        <v>40</v>
      </c>
      <c r="K39" s="1" t="s">
        <v>41</v>
      </c>
      <c r="L39" s="1">
        <v>2</v>
      </c>
      <c r="N39" s="1">
        <v>1</v>
      </c>
      <c r="O39" s="1">
        <v>0.8</v>
      </c>
      <c r="P39" s="1">
        <v>0.8</v>
      </c>
      <c r="Q39" s="7">
        <f t="shared" si="0"/>
        <v>0.8</v>
      </c>
      <c r="R39" s="1">
        <v>16.5</v>
      </c>
      <c r="S39" s="1">
        <v>121</v>
      </c>
      <c r="T39" s="2">
        <f t="shared" si="1"/>
        <v>27</v>
      </c>
      <c r="U39" s="1">
        <v>146</v>
      </c>
      <c r="V39" s="107">
        <f t="shared" si="2"/>
        <v>3942</v>
      </c>
      <c r="W39" s="1">
        <v>4</v>
      </c>
      <c r="X39" s="1" t="s">
        <v>42</v>
      </c>
      <c r="Y39" s="1" t="s">
        <v>128</v>
      </c>
      <c r="Z39" s="1" t="s">
        <v>52</v>
      </c>
      <c r="AA39" s="1" t="s">
        <v>101</v>
      </c>
      <c r="AB39" s="49" t="s">
        <v>309</v>
      </c>
      <c r="AC39" s="16"/>
    </row>
    <row r="40" spans="1:29" x14ac:dyDescent="0.15">
      <c r="A40" s="49" t="s">
        <v>75</v>
      </c>
      <c r="B40" s="49" t="s">
        <v>306</v>
      </c>
      <c r="C40" s="49">
        <v>2020</v>
      </c>
      <c r="D40" s="88" t="s">
        <v>307</v>
      </c>
      <c r="E40" s="49" t="s">
        <v>313</v>
      </c>
      <c r="F40" s="49" t="s">
        <v>314</v>
      </c>
      <c r="G40" s="49" t="s">
        <v>46</v>
      </c>
      <c r="H40" s="49" t="s">
        <v>63</v>
      </c>
      <c r="I40" s="1" t="s">
        <v>64</v>
      </c>
      <c r="J40" s="1" t="s">
        <v>40</v>
      </c>
      <c r="K40" s="1" t="s">
        <v>41</v>
      </c>
      <c r="L40" s="1">
        <v>3</v>
      </c>
      <c r="N40" s="1">
        <v>1</v>
      </c>
      <c r="O40" s="1">
        <v>0.5</v>
      </c>
      <c r="P40" s="1">
        <v>0.75</v>
      </c>
      <c r="Q40" s="7">
        <f t="shared" si="0"/>
        <v>0.625</v>
      </c>
      <c r="R40" s="1">
        <v>14.9</v>
      </c>
      <c r="S40" s="1">
        <v>142</v>
      </c>
      <c r="T40" s="2">
        <f t="shared" si="1"/>
        <v>22</v>
      </c>
      <c r="U40" s="1">
        <v>146</v>
      </c>
      <c r="V40" s="107">
        <f t="shared" si="2"/>
        <v>3212</v>
      </c>
      <c r="W40" s="1">
        <v>4</v>
      </c>
      <c r="X40" s="1" t="s">
        <v>42</v>
      </c>
      <c r="Y40" s="1" t="s">
        <v>128</v>
      </c>
      <c r="Z40" s="1" t="s">
        <v>52</v>
      </c>
      <c r="AA40" s="1" t="s">
        <v>101</v>
      </c>
      <c r="AB40" s="49" t="s">
        <v>309</v>
      </c>
      <c r="AC40" s="16"/>
    </row>
    <row r="41" spans="1:29" x14ac:dyDescent="0.15">
      <c r="A41" s="49" t="s">
        <v>75</v>
      </c>
      <c r="B41" s="49" t="s">
        <v>306</v>
      </c>
      <c r="C41" s="49">
        <v>2020</v>
      </c>
      <c r="D41" s="88" t="s">
        <v>307</v>
      </c>
      <c r="E41" s="49" t="s">
        <v>313</v>
      </c>
      <c r="F41" s="49" t="s">
        <v>314</v>
      </c>
      <c r="G41" s="49" t="s">
        <v>46</v>
      </c>
      <c r="H41" s="49" t="s">
        <v>63</v>
      </c>
      <c r="I41" s="1" t="s">
        <v>64</v>
      </c>
      <c r="J41" s="1" t="s">
        <v>40</v>
      </c>
      <c r="K41" s="1" t="s">
        <v>41</v>
      </c>
      <c r="L41" s="1">
        <v>1</v>
      </c>
      <c r="N41" s="1">
        <v>4</v>
      </c>
      <c r="O41" s="1">
        <v>0.75</v>
      </c>
      <c r="P41" s="1">
        <v>0.8</v>
      </c>
      <c r="Q41" s="7">
        <f t="shared" si="0"/>
        <v>0.77500000000000002</v>
      </c>
      <c r="R41" s="1">
        <v>14.8</v>
      </c>
      <c r="S41" s="1">
        <v>96</v>
      </c>
      <c r="T41" s="2">
        <f t="shared" si="1"/>
        <v>36</v>
      </c>
      <c r="U41" s="1">
        <v>488</v>
      </c>
      <c r="V41" s="107">
        <f t="shared" si="2"/>
        <v>4392</v>
      </c>
      <c r="W41" s="1">
        <v>4</v>
      </c>
      <c r="X41" s="1" t="s">
        <v>42</v>
      </c>
      <c r="Y41" s="1" t="s">
        <v>128</v>
      </c>
      <c r="Z41" s="1" t="s">
        <v>52</v>
      </c>
      <c r="AA41" s="1" t="s">
        <v>101</v>
      </c>
      <c r="AB41" s="49" t="s">
        <v>309</v>
      </c>
      <c r="AC41" s="16"/>
    </row>
    <row r="42" spans="1:29" x14ac:dyDescent="0.15">
      <c r="A42" s="49" t="s">
        <v>75</v>
      </c>
      <c r="B42" s="49" t="s">
        <v>306</v>
      </c>
      <c r="C42" s="49">
        <v>2020</v>
      </c>
      <c r="D42" s="88" t="s">
        <v>307</v>
      </c>
      <c r="E42" s="49" t="s">
        <v>313</v>
      </c>
      <c r="F42" s="49" t="s">
        <v>314</v>
      </c>
      <c r="G42" s="49" t="s">
        <v>46</v>
      </c>
      <c r="H42" s="49" t="s">
        <v>63</v>
      </c>
      <c r="I42" s="1" t="s">
        <v>64</v>
      </c>
      <c r="J42" s="1" t="s">
        <v>40</v>
      </c>
      <c r="K42" s="1" t="s">
        <v>41</v>
      </c>
      <c r="L42" s="1">
        <v>2</v>
      </c>
      <c r="N42" s="1">
        <v>4</v>
      </c>
      <c r="O42" s="1">
        <v>0.75</v>
      </c>
      <c r="P42" s="1">
        <v>0.6</v>
      </c>
      <c r="Q42" s="7">
        <f t="shared" si="0"/>
        <v>0.67500000000000004</v>
      </c>
      <c r="R42" s="1">
        <v>14.9</v>
      </c>
      <c r="S42" s="1">
        <v>99.5</v>
      </c>
      <c r="T42" s="2">
        <f t="shared" si="1"/>
        <v>33</v>
      </c>
      <c r="U42" s="1">
        <v>488</v>
      </c>
      <c r="V42" s="107">
        <f t="shared" si="2"/>
        <v>4026</v>
      </c>
      <c r="W42" s="1">
        <v>4</v>
      </c>
      <c r="X42" s="1" t="s">
        <v>42</v>
      </c>
      <c r="Y42" s="1" t="s">
        <v>128</v>
      </c>
      <c r="Z42" s="1" t="s">
        <v>52</v>
      </c>
      <c r="AA42" s="1" t="s">
        <v>101</v>
      </c>
      <c r="AB42" s="49" t="s">
        <v>309</v>
      </c>
      <c r="AC42" s="16"/>
    </row>
    <row r="43" spans="1:29" x14ac:dyDescent="0.15">
      <c r="A43" s="49" t="s">
        <v>75</v>
      </c>
      <c r="B43" s="49" t="s">
        <v>306</v>
      </c>
      <c r="C43" s="49">
        <v>2020</v>
      </c>
      <c r="D43" s="88" t="s">
        <v>307</v>
      </c>
      <c r="E43" s="49" t="s">
        <v>313</v>
      </c>
      <c r="F43" s="49" t="s">
        <v>314</v>
      </c>
      <c r="G43" s="49" t="s">
        <v>46</v>
      </c>
      <c r="H43" s="49" t="s">
        <v>63</v>
      </c>
      <c r="I43" s="1" t="s">
        <v>64</v>
      </c>
      <c r="J43" s="1" t="s">
        <v>40</v>
      </c>
      <c r="K43" s="1" t="s">
        <v>41</v>
      </c>
      <c r="L43" s="1">
        <v>3</v>
      </c>
      <c r="N43" s="1">
        <v>4</v>
      </c>
      <c r="O43" s="1">
        <v>0.85</v>
      </c>
      <c r="P43" s="1">
        <v>0.9</v>
      </c>
      <c r="Q43" s="7">
        <f t="shared" si="0"/>
        <v>0.875</v>
      </c>
      <c r="R43" s="1">
        <v>14</v>
      </c>
      <c r="S43" s="1">
        <v>91.5</v>
      </c>
      <c r="T43" s="2">
        <f t="shared" si="1"/>
        <v>36</v>
      </c>
      <c r="U43" s="1">
        <v>488</v>
      </c>
      <c r="V43" s="107">
        <f t="shared" si="2"/>
        <v>4392</v>
      </c>
      <c r="W43" s="1">
        <v>4</v>
      </c>
      <c r="X43" s="1" t="s">
        <v>42</v>
      </c>
      <c r="Y43" s="1" t="s">
        <v>128</v>
      </c>
      <c r="Z43" s="1" t="s">
        <v>52</v>
      </c>
      <c r="AA43" s="1" t="s">
        <v>101</v>
      </c>
      <c r="AB43" s="49" t="s">
        <v>309</v>
      </c>
      <c r="AC43" s="16"/>
    </row>
    <row r="44" spans="1:29" x14ac:dyDescent="0.15">
      <c r="A44" s="49" t="s">
        <v>75</v>
      </c>
      <c r="B44" s="49" t="s">
        <v>306</v>
      </c>
      <c r="C44" s="49">
        <v>2020</v>
      </c>
      <c r="D44" s="88" t="s">
        <v>307</v>
      </c>
      <c r="E44" s="49" t="s">
        <v>187</v>
      </c>
      <c r="F44" s="49" t="s">
        <v>316</v>
      </c>
      <c r="G44" s="49" t="s">
        <v>37</v>
      </c>
      <c r="H44" s="49" t="s">
        <v>82</v>
      </c>
      <c r="I44" s="1" t="s">
        <v>64</v>
      </c>
      <c r="J44" s="1" t="s">
        <v>40</v>
      </c>
      <c r="K44" s="1" t="s">
        <v>41</v>
      </c>
      <c r="L44" s="1">
        <v>1</v>
      </c>
      <c r="N44" s="1">
        <v>1</v>
      </c>
      <c r="O44" s="1">
        <v>0.6</v>
      </c>
      <c r="P44" s="1">
        <v>0.6</v>
      </c>
      <c r="Q44" s="7">
        <f t="shared" si="0"/>
        <v>0.6</v>
      </c>
      <c r="R44" s="1">
        <v>18.600000000000001</v>
      </c>
      <c r="S44" s="1">
        <v>140.5</v>
      </c>
      <c r="T44" s="2">
        <f t="shared" si="1"/>
        <v>22</v>
      </c>
      <c r="U44" s="1">
        <v>98</v>
      </c>
      <c r="V44" s="107">
        <f t="shared" si="2"/>
        <v>2156</v>
      </c>
      <c r="W44" s="1">
        <v>22</v>
      </c>
      <c r="X44" s="1" t="s">
        <v>51</v>
      </c>
      <c r="Y44" s="1" t="s">
        <v>128</v>
      </c>
      <c r="Z44" s="1" t="s">
        <v>101</v>
      </c>
      <c r="AA44" s="1" t="s">
        <v>67</v>
      </c>
      <c r="AB44" s="49" t="s">
        <v>309</v>
      </c>
    </row>
    <row r="45" spans="1:29" x14ac:dyDescent="0.15">
      <c r="A45" s="49" t="s">
        <v>75</v>
      </c>
      <c r="B45" s="49" t="s">
        <v>306</v>
      </c>
      <c r="C45" s="49">
        <v>2020</v>
      </c>
      <c r="D45" s="88" t="s">
        <v>307</v>
      </c>
      <c r="E45" s="49" t="s">
        <v>187</v>
      </c>
      <c r="F45" s="49" t="s">
        <v>316</v>
      </c>
      <c r="G45" s="49" t="s">
        <v>37</v>
      </c>
      <c r="H45" s="49" t="s">
        <v>82</v>
      </c>
      <c r="I45" s="1" t="s">
        <v>64</v>
      </c>
      <c r="J45" s="1" t="s">
        <v>40</v>
      </c>
      <c r="K45" s="1" t="s">
        <v>41</v>
      </c>
      <c r="L45" s="1">
        <v>2</v>
      </c>
      <c r="N45" s="1">
        <v>1</v>
      </c>
      <c r="O45" s="1">
        <v>0.55000000000000004</v>
      </c>
      <c r="P45" s="1">
        <v>0.6</v>
      </c>
      <c r="Q45" s="7">
        <f t="shared" si="0"/>
        <v>0.57499999999999996</v>
      </c>
      <c r="R45" s="1">
        <v>19.8</v>
      </c>
      <c r="S45" s="1">
        <v>138</v>
      </c>
      <c r="T45" s="2">
        <f t="shared" si="1"/>
        <v>22</v>
      </c>
      <c r="U45" s="1">
        <v>98</v>
      </c>
      <c r="V45" s="107">
        <f t="shared" si="2"/>
        <v>2156</v>
      </c>
      <c r="W45" s="1">
        <v>22</v>
      </c>
      <c r="X45" s="1" t="s">
        <v>51</v>
      </c>
      <c r="Y45" s="1" t="s">
        <v>128</v>
      </c>
      <c r="Z45" s="1" t="s">
        <v>101</v>
      </c>
      <c r="AA45" s="1" t="s">
        <v>67</v>
      </c>
      <c r="AB45" s="49" t="s">
        <v>309</v>
      </c>
    </row>
    <row r="46" spans="1:29" x14ac:dyDescent="0.15">
      <c r="A46" s="49" t="s">
        <v>75</v>
      </c>
      <c r="B46" s="49" t="s">
        <v>306</v>
      </c>
      <c r="C46" s="49">
        <v>2020</v>
      </c>
      <c r="D46" s="88" t="s">
        <v>307</v>
      </c>
      <c r="E46" s="49" t="s">
        <v>187</v>
      </c>
      <c r="F46" s="49" t="s">
        <v>316</v>
      </c>
      <c r="G46" s="49" t="s">
        <v>37</v>
      </c>
      <c r="H46" s="49" t="s">
        <v>82</v>
      </c>
      <c r="I46" s="1" t="s">
        <v>64</v>
      </c>
      <c r="J46" s="1" t="s">
        <v>40</v>
      </c>
      <c r="K46" s="1" t="s">
        <v>41</v>
      </c>
      <c r="L46" s="1">
        <v>3</v>
      </c>
      <c r="N46" s="1">
        <v>1</v>
      </c>
      <c r="O46" s="1">
        <v>0.75</v>
      </c>
      <c r="P46" s="1">
        <v>0.75</v>
      </c>
      <c r="Q46" s="7">
        <f t="shared" si="0"/>
        <v>0.75</v>
      </c>
      <c r="R46" s="1">
        <v>14.9</v>
      </c>
      <c r="S46" s="1">
        <v>141</v>
      </c>
      <c r="T46" s="2">
        <f t="shared" si="1"/>
        <v>22</v>
      </c>
      <c r="U46" s="1">
        <v>98</v>
      </c>
      <c r="V46" s="107">
        <f t="shared" si="2"/>
        <v>2156</v>
      </c>
      <c r="W46" s="1">
        <v>22</v>
      </c>
      <c r="X46" s="1" t="s">
        <v>51</v>
      </c>
      <c r="Y46" s="1" t="s">
        <v>128</v>
      </c>
      <c r="Z46" s="1" t="s">
        <v>101</v>
      </c>
      <c r="AA46" s="1" t="s">
        <v>67</v>
      </c>
      <c r="AB46" s="49" t="s">
        <v>309</v>
      </c>
    </row>
    <row r="47" spans="1:29" x14ac:dyDescent="0.15">
      <c r="A47" s="49" t="s">
        <v>75</v>
      </c>
      <c r="B47" s="49" t="s">
        <v>306</v>
      </c>
      <c r="C47" s="49">
        <v>2020</v>
      </c>
      <c r="D47" s="88" t="s">
        <v>307</v>
      </c>
      <c r="E47" s="49" t="s">
        <v>187</v>
      </c>
      <c r="F47" s="49" t="s">
        <v>316</v>
      </c>
      <c r="G47" s="49" t="s">
        <v>37</v>
      </c>
      <c r="H47" s="49" t="s">
        <v>82</v>
      </c>
      <c r="I47" s="1" t="s">
        <v>64</v>
      </c>
      <c r="J47" s="1" t="s">
        <v>40</v>
      </c>
      <c r="K47" s="1" t="s">
        <v>41</v>
      </c>
      <c r="L47" s="1">
        <v>1</v>
      </c>
      <c r="N47" s="1">
        <v>3</v>
      </c>
      <c r="O47" s="1">
        <v>0.5</v>
      </c>
      <c r="P47" s="1">
        <v>0.5</v>
      </c>
      <c r="Q47" s="7">
        <f t="shared" si="0"/>
        <v>0.5</v>
      </c>
      <c r="R47" s="1">
        <v>19.100000000000001</v>
      </c>
      <c r="S47" s="1">
        <v>136</v>
      </c>
      <c r="T47" s="2">
        <f t="shared" si="1"/>
        <v>25</v>
      </c>
      <c r="U47" s="1">
        <v>398</v>
      </c>
      <c r="V47" s="107">
        <f t="shared" si="2"/>
        <v>3316.6666666666665</v>
      </c>
      <c r="W47" s="1">
        <v>22</v>
      </c>
      <c r="X47" s="1" t="s">
        <v>51</v>
      </c>
      <c r="Y47" s="1" t="s">
        <v>128</v>
      </c>
      <c r="Z47" s="1" t="s">
        <v>101</v>
      </c>
      <c r="AA47" s="1" t="s">
        <v>67</v>
      </c>
      <c r="AB47" s="49" t="s">
        <v>309</v>
      </c>
      <c r="AC47" s="16"/>
    </row>
    <row r="48" spans="1:29" x14ac:dyDescent="0.15">
      <c r="A48" s="49" t="s">
        <v>75</v>
      </c>
      <c r="B48" s="49" t="s">
        <v>306</v>
      </c>
      <c r="C48" s="49">
        <v>2020</v>
      </c>
      <c r="D48" s="88" t="s">
        <v>307</v>
      </c>
      <c r="E48" s="49" t="s">
        <v>187</v>
      </c>
      <c r="F48" s="49" t="s">
        <v>316</v>
      </c>
      <c r="G48" s="49" t="s">
        <v>37</v>
      </c>
      <c r="H48" s="49" t="s">
        <v>82</v>
      </c>
      <c r="I48" s="1" t="s">
        <v>64</v>
      </c>
      <c r="J48" s="1" t="s">
        <v>40</v>
      </c>
      <c r="K48" s="1" t="s">
        <v>41</v>
      </c>
      <c r="L48" s="1">
        <v>2</v>
      </c>
      <c r="N48" s="1">
        <v>3</v>
      </c>
      <c r="O48" s="1">
        <v>0.55000000000000004</v>
      </c>
      <c r="P48" s="1">
        <v>0.6</v>
      </c>
      <c r="Q48" s="7">
        <f t="shared" si="0"/>
        <v>0.57499999999999996</v>
      </c>
      <c r="R48" s="1">
        <v>16.399999999999999</v>
      </c>
      <c r="S48" s="1">
        <v>136</v>
      </c>
      <c r="T48" s="2">
        <f t="shared" si="1"/>
        <v>25</v>
      </c>
      <c r="U48" s="1">
        <v>398</v>
      </c>
      <c r="V48" s="107">
        <f t="shared" si="2"/>
        <v>3316.6666666666665</v>
      </c>
      <c r="W48" s="1">
        <v>22</v>
      </c>
      <c r="X48" s="1" t="s">
        <v>51</v>
      </c>
      <c r="Y48" s="1" t="s">
        <v>128</v>
      </c>
      <c r="Z48" s="1" t="s">
        <v>101</v>
      </c>
      <c r="AA48" s="1" t="s">
        <v>67</v>
      </c>
      <c r="AB48" s="49" t="s">
        <v>309</v>
      </c>
      <c r="AC48" s="16"/>
    </row>
    <row r="49" spans="1:29" x14ac:dyDescent="0.15">
      <c r="A49" s="49" t="s">
        <v>75</v>
      </c>
      <c r="B49" s="49" t="s">
        <v>306</v>
      </c>
      <c r="C49" s="49">
        <v>2020</v>
      </c>
      <c r="D49" s="88" t="s">
        <v>307</v>
      </c>
      <c r="E49" s="49" t="s">
        <v>187</v>
      </c>
      <c r="F49" s="49" t="s">
        <v>316</v>
      </c>
      <c r="G49" s="49" t="s">
        <v>37</v>
      </c>
      <c r="H49" s="49" t="s">
        <v>82</v>
      </c>
      <c r="I49" s="1" t="s">
        <v>64</v>
      </c>
      <c r="J49" s="1" t="s">
        <v>40</v>
      </c>
      <c r="K49" s="1" t="s">
        <v>41</v>
      </c>
      <c r="L49" s="1">
        <v>3</v>
      </c>
      <c r="N49" s="1">
        <v>3</v>
      </c>
      <c r="O49" s="1">
        <v>0.6</v>
      </c>
      <c r="P49" s="1">
        <v>0.65</v>
      </c>
      <c r="Q49" s="7">
        <f t="shared" si="0"/>
        <v>0.625</v>
      </c>
      <c r="R49" s="1">
        <v>15.1</v>
      </c>
      <c r="S49" s="1">
        <v>132.5</v>
      </c>
      <c r="T49" s="2">
        <f t="shared" si="1"/>
        <v>25</v>
      </c>
      <c r="U49" s="1">
        <v>398</v>
      </c>
      <c r="V49" s="107">
        <f t="shared" si="2"/>
        <v>3316.6666666666665</v>
      </c>
      <c r="W49" s="1">
        <v>22</v>
      </c>
      <c r="X49" s="1" t="s">
        <v>51</v>
      </c>
      <c r="Y49" s="1" t="s">
        <v>128</v>
      </c>
      <c r="Z49" s="1" t="s">
        <v>101</v>
      </c>
      <c r="AA49" s="1" t="s">
        <v>67</v>
      </c>
      <c r="AB49" s="49" t="s">
        <v>309</v>
      </c>
      <c r="AC49" s="16"/>
    </row>
    <row r="50" spans="1:29" x14ac:dyDescent="0.15">
      <c r="A50" s="49" t="s">
        <v>75</v>
      </c>
      <c r="B50" s="49" t="s">
        <v>306</v>
      </c>
      <c r="C50" s="49">
        <v>2020</v>
      </c>
      <c r="D50" s="88" t="s">
        <v>307</v>
      </c>
      <c r="E50" s="49" t="s">
        <v>187</v>
      </c>
      <c r="F50" s="49" t="s">
        <v>316</v>
      </c>
      <c r="G50" s="49" t="s">
        <v>37</v>
      </c>
      <c r="H50" s="49" t="s">
        <v>82</v>
      </c>
      <c r="I50" s="1" t="s">
        <v>64</v>
      </c>
      <c r="J50" s="1" t="s">
        <v>40</v>
      </c>
      <c r="K50" s="1" t="s">
        <v>41</v>
      </c>
      <c r="L50" s="1">
        <v>1</v>
      </c>
      <c r="N50" s="1">
        <v>8</v>
      </c>
      <c r="O50" s="1">
        <v>0.5</v>
      </c>
      <c r="P50" s="1">
        <v>0.5</v>
      </c>
      <c r="Q50" s="7">
        <f t="shared" si="0"/>
        <v>0.5</v>
      </c>
      <c r="R50" s="1">
        <v>17.5</v>
      </c>
      <c r="S50" s="1">
        <v>138</v>
      </c>
      <c r="T50" s="2">
        <f t="shared" si="1"/>
        <v>22</v>
      </c>
      <c r="U50" s="1">
        <v>980</v>
      </c>
      <c r="V50" s="107">
        <f t="shared" si="2"/>
        <v>2695</v>
      </c>
      <c r="W50" s="1">
        <v>22</v>
      </c>
      <c r="X50" s="1" t="s">
        <v>51</v>
      </c>
      <c r="Y50" s="1" t="s">
        <v>128</v>
      </c>
      <c r="Z50" s="1" t="s">
        <v>101</v>
      </c>
      <c r="AA50" s="1" t="s">
        <v>67</v>
      </c>
      <c r="AB50" s="49" t="s">
        <v>309</v>
      </c>
      <c r="AC50" s="16"/>
    </row>
    <row r="51" spans="1:29" x14ac:dyDescent="0.15">
      <c r="A51" s="49" t="s">
        <v>75</v>
      </c>
      <c r="B51" s="49" t="s">
        <v>306</v>
      </c>
      <c r="C51" s="49">
        <v>2020</v>
      </c>
      <c r="D51" s="88" t="s">
        <v>307</v>
      </c>
      <c r="E51" s="49" t="s">
        <v>187</v>
      </c>
      <c r="F51" s="49" t="s">
        <v>316</v>
      </c>
      <c r="G51" s="49" t="s">
        <v>37</v>
      </c>
      <c r="H51" s="49" t="s">
        <v>82</v>
      </c>
      <c r="I51" s="1" t="s">
        <v>64</v>
      </c>
      <c r="J51" s="1" t="s">
        <v>40</v>
      </c>
      <c r="K51" s="1" t="s">
        <v>41</v>
      </c>
      <c r="L51" s="1">
        <v>2</v>
      </c>
      <c r="N51" s="1">
        <v>8</v>
      </c>
      <c r="O51" s="1">
        <v>0.55000000000000004</v>
      </c>
      <c r="P51" s="1">
        <v>0.5</v>
      </c>
      <c r="Q51" s="7">
        <f t="shared" si="0"/>
        <v>0.52500000000000002</v>
      </c>
      <c r="R51" s="1">
        <v>15.6</v>
      </c>
      <c r="S51" s="1">
        <v>143.5</v>
      </c>
      <c r="T51" s="2">
        <f t="shared" si="1"/>
        <v>22</v>
      </c>
      <c r="U51" s="1">
        <v>980</v>
      </c>
      <c r="V51" s="107">
        <f t="shared" si="2"/>
        <v>2695</v>
      </c>
      <c r="W51" s="1">
        <v>22</v>
      </c>
      <c r="X51" s="1" t="s">
        <v>51</v>
      </c>
      <c r="Y51" s="1" t="s">
        <v>128</v>
      </c>
      <c r="Z51" s="1" t="s">
        <v>101</v>
      </c>
      <c r="AA51" s="1" t="s">
        <v>67</v>
      </c>
      <c r="AB51" s="49" t="s">
        <v>309</v>
      </c>
      <c r="AC51" s="16"/>
    </row>
    <row r="52" spans="1:29" x14ac:dyDescent="0.15">
      <c r="A52" s="49" t="s">
        <v>75</v>
      </c>
      <c r="B52" s="49" t="s">
        <v>306</v>
      </c>
      <c r="C52" s="49">
        <v>2020</v>
      </c>
      <c r="D52" s="88" t="s">
        <v>307</v>
      </c>
      <c r="E52" s="49" t="s">
        <v>187</v>
      </c>
      <c r="F52" s="49" t="s">
        <v>316</v>
      </c>
      <c r="G52" s="49" t="s">
        <v>37</v>
      </c>
      <c r="H52" s="49" t="s">
        <v>82</v>
      </c>
      <c r="I52" s="1" t="s">
        <v>64</v>
      </c>
      <c r="J52" s="1" t="s">
        <v>40</v>
      </c>
      <c r="K52" s="1" t="s">
        <v>41</v>
      </c>
      <c r="L52" s="1">
        <v>3</v>
      </c>
      <c r="N52" s="1">
        <v>8</v>
      </c>
      <c r="O52" s="1">
        <v>0.6</v>
      </c>
      <c r="P52" s="1">
        <v>0.55000000000000004</v>
      </c>
      <c r="Q52" s="7">
        <f t="shared" si="0"/>
        <v>0.57499999999999996</v>
      </c>
      <c r="R52" s="1">
        <v>16.5</v>
      </c>
      <c r="S52" s="1">
        <v>141</v>
      </c>
      <c r="T52" s="2">
        <f t="shared" si="1"/>
        <v>22</v>
      </c>
      <c r="U52" s="1">
        <v>980</v>
      </c>
      <c r="V52" s="107">
        <f t="shared" si="2"/>
        <v>2695</v>
      </c>
      <c r="W52" s="1">
        <v>22</v>
      </c>
      <c r="X52" s="1" t="s">
        <v>51</v>
      </c>
      <c r="Y52" s="1" t="s">
        <v>128</v>
      </c>
      <c r="Z52" s="1" t="s">
        <v>101</v>
      </c>
      <c r="AA52" s="1" t="s">
        <v>67</v>
      </c>
      <c r="AB52" s="49" t="s">
        <v>309</v>
      </c>
      <c r="AC52" s="16"/>
    </row>
    <row r="53" spans="1:29" x14ac:dyDescent="0.15">
      <c r="A53" s="49" t="s">
        <v>75</v>
      </c>
      <c r="B53" s="49" t="s">
        <v>306</v>
      </c>
      <c r="C53" s="49">
        <v>2020</v>
      </c>
      <c r="D53" s="88" t="s">
        <v>307</v>
      </c>
      <c r="E53" s="49" t="s">
        <v>187</v>
      </c>
      <c r="F53" s="49" t="s">
        <v>316</v>
      </c>
      <c r="G53" s="49" t="s">
        <v>37</v>
      </c>
      <c r="H53" s="49" t="s">
        <v>63</v>
      </c>
      <c r="I53" s="1" t="s">
        <v>64</v>
      </c>
      <c r="J53" s="1" t="s">
        <v>40</v>
      </c>
      <c r="K53" s="1" t="s">
        <v>41</v>
      </c>
      <c r="L53" s="1">
        <v>1</v>
      </c>
      <c r="N53" s="1">
        <v>1</v>
      </c>
      <c r="O53" s="1">
        <v>0.5</v>
      </c>
      <c r="P53" s="1">
        <v>0.5</v>
      </c>
      <c r="Q53" s="7">
        <f t="shared" si="0"/>
        <v>0.5</v>
      </c>
      <c r="R53" s="1">
        <v>16</v>
      </c>
      <c r="S53" s="1">
        <v>140.5</v>
      </c>
      <c r="T53" s="2">
        <f t="shared" si="1"/>
        <v>22</v>
      </c>
      <c r="U53" s="1">
        <v>98</v>
      </c>
      <c r="V53" s="107">
        <f t="shared" si="2"/>
        <v>2156</v>
      </c>
      <c r="W53" s="1">
        <v>22</v>
      </c>
      <c r="X53" s="1" t="s">
        <v>51</v>
      </c>
      <c r="Y53" s="1" t="s">
        <v>128</v>
      </c>
      <c r="Z53" s="1" t="s">
        <v>101</v>
      </c>
      <c r="AA53" s="1" t="s">
        <v>67</v>
      </c>
      <c r="AB53" s="49" t="s">
        <v>309</v>
      </c>
      <c r="AC53" s="16"/>
    </row>
    <row r="54" spans="1:29" x14ac:dyDescent="0.15">
      <c r="A54" s="49" t="s">
        <v>75</v>
      </c>
      <c r="B54" s="49" t="s">
        <v>306</v>
      </c>
      <c r="C54" s="49">
        <v>2020</v>
      </c>
      <c r="D54" s="88" t="s">
        <v>307</v>
      </c>
      <c r="E54" s="49" t="s">
        <v>187</v>
      </c>
      <c r="F54" s="49" t="s">
        <v>316</v>
      </c>
      <c r="G54" s="49" t="s">
        <v>37</v>
      </c>
      <c r="H54" s="49" t="s">
        <v>63</v>
      </c>
      <c r="I54" s="1" t="s">
        <v>64</v>
      </c>
      <c r="J54" s="1" t="s">
        <v>40</v>
      </c>
      <c r="K54" s="1" t="s">
        <v>41</v>
      </c>
      <c r="L54" s="1">
        <v>2</v>
      </c>
      <c r="N54" s="1">
        <v>1</v>
      </c>
      <c r="O54" s="1">
        <v>0.65</v>
      </c>
      <c r="P54" s="1">
        <v>0.55000000000000004</v>
      </c>
      <c r="Q54" s="7">
        <f t="shared" si="0"/>
        <v>0.60000000000000009</v>
      </c>
      <c r="R54" s="1">
        <v>15</v>
      </c>
      <c r="S54" s="1">
        <v>146</v>
      </c>
      <c r="T54" s="2">
        <f t="shared" si="1"/>
        <v>22</v>
      </c>
      <c r="U54" s="1">
        <v>98</v>
      </c>
      <c r="V54" s="107">
        <f t="shared" si="2"/>
        <v>2156</v>
      </c>
      <c r="W54" s="1">
        <v>22</v>
      </c>
      <c r="X54" s="1" t="s">
        <v>51</v>
      </c>
      <c r="Y54" s="1" t="s">
        <v>128</v>
      </c>
      <c r="Z54" s="1" t="s">
        <v>101</v>
      </c>
      <c r="AA54" s="1" t="s">
        <v>67</v>
      </c>
      <c r="AB54" s="49" t="s">
        <v>309</v>
      </c>
      <c r="AC54" s="16"/>
    </row>
    <row r="55" spans="1:29" x14ac:dyDescent="0.15">
      <c r="A55" s="49" t="s">
        <v>75</v>
      </c>
      <c r="B55" s="49" t="s">
        <v>306</v>
      </c>
      <c r="C55" s="49">
        <v>2020</v>
      </c>
      <c r="D55" s="88" t="s">
        <v>307</v>
      </c>
      <c r="E55" s="49" t="s">
        <v>187</v>
      </c>
      <c r="F55" s="49" t="s">
        <v>316</v>
      </c>
      <c r="G55" s="49" t="s">
        <v>37</v>
      </c>
      <c r="H55" s="49" t="s">
        <v>63</v>
      </c>
      <c r="I55" s="1" t="s">
        <v>64</v>
      </c>
      <c r="J55" s="1" t="s">
        <v>40</v>
      </c>
      <c r="K55" s="1" t="s">
        <v>41</v>
      </c>
      <c r="L55" s="1">
        <v>3</v>
      </c>
      <c r="N55" s="1">
        <v>1</v>
      </c>
      <c r="O55" s="1">
        <v>0.7</v>
      </c>
      <c r="P55" s="1">
        <v>0.6</v>
      </c>
      <c r="Q55" s="7">
        <f t="shared" si="0"/>
        <v>0.64999999999999991</v>
      </c>
      <c r="R55" s="1">
        <v>16.600000000000001</v>
      </c>
      <c r="S55" s="1">
        <v>98</v>
      </c>
      <c r="T55" s="2">
        <f t="shared" si="1"/>
        <v>36</v>
      </c>
      <c r="U55" s="1">
        <v>98</v>
      </c>
      <c r="V55" s="107">
        <f t="shared" si="2"/>
        <v>3528</v>
      </c>
      <c r="W55" s="1">
        <v>22</v>
      </c>
      <c r="X55" s="1" t="s">
        <v>51</v>
      </c>
      <c r="Y55" s="1" t="s">
        <v>128</v>
      </c>
      <c r="Z55" s="1" t="s">
        <v>101</v>
      </c>
      <c r="AA55" s="1" t="s">
        <v>67</v>
      </c>
      <c r="AB55" s="49" t="s">
        <v>309</v>
      </c>
      <c r="AC55" s="16"/>
    </row>
    <row r="56" spans="1:29" x14ac:dyDescent="0.15">
      <c r="A56" s="49" t="s">
        <v>75</v>
      </c>
      <c r="B56" s="49" t="s">
        <v>306</v>
      </c>
      <c r="C56" s="49">
        <v>2020</v>
      </c>
      <c r="D56" s="88" t="s">
        <v>307</v>
      </c>
      <c r="E56" s="49" t="s">
        <v>187</v>
      </c>
      <c r="F56" s="49" t="s">
        <v>316</v>
      </c>
      <c r="G56" s="49" t="s">
        <v>37</v>
      </c>
      <c r="H56" s="49" t="s">
        <v>63</v>
      </c>
      <c r="I56" s="1" t="s">
        <v>64</v>
      </c>
      <c r="J56" s="1" t="s">
        <v>40</v>
      </c>
      <c r="K56" s="1" t="s">
        <v>41</v>
      </c>
      <c r="L56" s="1">
        <v>1</v>
      </c>
      <c r="N56" s="1">
        <v>7</v>
      </c>
      <c r="O56" s="1">
        <v>0.5</v>
      </c>
      <c r="P56" s="1">
        <v>0.5</v>
      </c>
      <c r="Q56" s="7">
        <f t="shared" si="0"/>
        <v>0.5</v>
      </c>
      <c r="R56" s="1">
        <v>14.8</v>
      </c>
      <c r="S56" s="1">
        <v>88</v>
      </c>
      <c r="T56" s="2">
        <f t="shared" si="1"/>
        <v>36</v>
      </c>
      <c r="U56" s="1">
        <v>498</v>
      </c>
      <c r="V56" s="107">
        <f t="shared" si="2"/>
        <v>2561.1428571428569</v>
      </c>
      <c r="W56" s="1">
        <v>22</v>
      </c>
      <c r="X56" s="1" t="s">
        <v>51</v>
      </c>
      <c r="Y56" s="1" t="s">
        <v>128</v>
      </c>
      <c r="Z56" s="1" t="s">
        <v>101</v>
      </c>
      <c r="AA56" s="1" t="s">
        <v>67</v>
      </c>
      <c r="AB56" s="49" t="s">
        <v>309</v>
      </c>
      <c r="AC56" s="16"/>
    </row>
    <row r="57" spans="1:29" x14ac:dyDescent="0.15">
      <c r="A57" s="49" t="s">
        <v>75</v>
      </c>
      <c r="B57" s="49" t="s">
        <v>306</v>
      </c>
      <c r="C57" s="49">
        <v>2020</v>
      </c>
      <c r="D57" s="88" t="s">
        <v>307</v>
      </c>
      <c r="E57" s="49" t="s">
        <v>187</v>
      </c>
      <c r="F57" s="49" t="s">
        <v>316</v>
      </c>
      <c r="G57" s="49" t="s">
        <v>37</v>
      </c>
      <c r="H57" s="49" t="s">
        <v>63</v>
      </c>
      <c r="I57" s="1" t="s">
        <v>64</v>
      </c>
      <c r="J57" s="1" t="s">
        <v>40</v>
      </c>
      <c r="K57" s="1" t="s">
        <v>41</v>
      </c>
      <c r="L57" s="1">
        <v>2</v>
      </c>
      <c r="N57" s="1">
        <v>7</v>
      </c>
      <c r="O57" s="1">
        <v>0.5</v>
      </c>
      <c r="P57" s="1">
        <v>0.5</v>
      </c>
      <c r="Q57" s="7">
        <f t="shared" si="0"/>
        <v>0.5</v>
      </c>
      <c r="R57" s="1">
        <v>12.4</v>
      </c>
      <c r="S57" s="1">
        <v>89</v>
      </c>
      <c r="T57" s="2">
        <f t="shared" si="1"/>
        <v>36</v>
      </c>
      <c r="U57" s="1">
        <v>498</v>
      </c>
      <c r="V57" s="107">
        <f t="shared" si="2"/>
        <v>2561.1428571428569</v>
      </c>
      <c r="W57" s="1">
        <v>22</v>
      </c>
      <c r="X57" s="1" t="s">
        <v>51</v>
      </c>
      <c r="Y57" s="1" t="s">
        <v>128</v>
      </c>
      <c r="Z57" s="1" t="s">
        <v>101</v>
      </c>
      <c r="AA57" s="1" t="s">
        <v>67</v>
      </c>
      <c r="AB57" s="49" t="s">
        <v>309</v>
      </c>
      <c r="AC57" s="16"/>
    </row>
    <row r="58" spans="1:29" x14ac:dyDescent="0.15">
      <c r="A58" s="49" t="s">
        <v>75</v>
      </c>
      <c r="B58" s="49" t="s">
        <v>306</v>
      </c>
      <c r="C58" s="49">
        <v>2020</v>
      </c>
      <c r="D58" s="88" t="s">
        <v>307</v>
      </c>
      <c r="E58" s="49" t="s">
        <v>187</v>
      </c>
      <c r="F58" s="49" t="s">
        <v>316</v>
      </c>
      <c r="G58" s="49" t="s">
        <v>37</v>
      </c>
      <c r="H58" s="49" t="s">
        <v>63</v>
      </c>
      <c r="I58" s="1" t="s">
        <v>64</v>
      </c>
      <c r="J58" s="1" t="s">
        <v>40</v>
      </c>
      <c r="K58" s="1" t="s">
        <v>41</v>
      </c>
      <c r="L58" s="1">
        <v>3</v>
      </c>
      <c r="N58" s="1">
        <v>7</v>
      </c>
      <c r="O58" s="1">
        <v>0.5</v>
      </c>
      <c r="P58" s="1">
        <v>0.5</v>
      </c>
      <c r="Q58" s="7">
        <f t="shared" si="0"/>
        <v>0.5</v>
      </c>
      <c r="R58" s="1">
        <v>15.5</v>
      </c>
      <c r="S58" s="1">
        <v>81.5</v>
      </c>
      <c r="T58" s="2">
        <f t="shared" si="1"/>
        <v>39</v>
      </c>
      <c r="U58" s="1">
        <v>498</v>
      </c>
      <c r="V58" s="107">
        <f t="shared" si="2"/>
        <v>2774.5714285714284</v>
      </c>
      <c r="W58" s="1">
        <v>22</v>
      </c>
      <c r="X58" s="1" t="s">
        <v>51</v>
      </c>
      <c r="Y58" s="1" t="s">
        <v>128</v>
      </c>
      <c r="Z58" s="1" t="s">
        <v>101</v>
      </c>
      <c r="AA58" s="1" t="s">
        <v>67</v>
      </c>
      <c r="AB58" s="49" t="s">
        <v>309</v>
      </c>
      <c r="AC58" s="16"/>
    </row>
    <row r="59" spans="1:29" x14ac:dyDescent="0.15">
      <c r="A59" s="49" t="s">
        <v>75</v>
      </c>
      <c r="B59" s="49" t="s">
        <v>306</v>
      </c>
      <c r="C59" s="49">
        <v>2020</v>
      </c>
      <c r="D59" s="88" t="s">
        <v>307</v>
      </c>
      <c r="E59" s="49" t="s">
        <v>187</v>
      </c>
      <c r="F59" s="49" t="s">
        <v>316</v>
      </c>
      <c r="G59" s="49" t="s">
        <v>37</v>
      </c>
      <c r="H59" s="49" t="s">
        <v>63</v>
      </c>
      <c r="I59" s="1" t="s">
        <v>64</v>
      </c>
      <c r="J59" s="1" t="s">
        <v>40</v>
      </c>
      <c r="K59" s="1" t="s">
        <v>41</v>
      </c>
      <c r="L59" s="1">
        <v>1</v>
      </c>
      <c r="N59" s="1">
        <v>4</v>
      </c>
      <c r="O59" s="1">
        <v>0.55000000000000004</v>
      </c>
      <c r="P59" s="1">
        <v>0.55000000000000004</v>
      </c>
      <c r="Q59" s="7">
        <f t="shared" si="0"/>
        <v>0.55000000000000004</v>
      </c>
      <c r="R59" s="1">
        <v>15.6</v>
      </c>
      <c r="S59" s="1">
        <v>104.5</v>
      </c>
      <c r="T59" s="2">
        <f t="shared" si="1"/>
        <v>33</v>
      </c>
      <c r="U59" s="1">
        <v>298</v>
      </c>
      <c r="V59" s="107">
        <f t="shared" si="2"/>
        <v>2458.5</v>
      </c>
      <c r="W59" s="1">
        <v>22</v>
      </c>
      <c r="X59" s="1" t="s">
        <v>51</v>
      </c>
      <c r="Y59" s="1" t="s">
        <v>128</v>
      </c>
      <c r="Z59" s="1" t="s">
        <v>101</v>
      </c>
      <c r="AA59" s="1" t="s">
        <v>67</v>
      </c>
      <c r="AB59" s="49" t="s">
        <v>309</v>
      </c>
    </row>
    <row r="60" spans="1:29" x14ac:dyDescent="0.15">
      <c r="A60" s="49" t="s">
        <v>75</v>
      </c>
      <c r="B60" s="49" t="s">
        <v>306</v>
      </c>
      <c r="C60" s="49">
        <v>2020</v>
      </c>
      <c r="D60" s="88" t="s">
        <v>307</v>
      </c>
      <c r="E60" s="49" t="s">
        <v>187</v>
      </c>
      <c r="F60" s="49" t="s">
        <v>316</v>
      </c>
      <c r="G60" s="49" t="s">
        <v>37</v>
      </c>
      <c r="H60" s="49" t="s">
        <v>63</v>
      </c>
      <c r="I60" s="1" t="s">
        <v>64</v>
      </c>
      <c r="J60" s="1" t="s">
        <v>40</v>
      </c>
      <c r="K60" s="1" t="s">
        <v>41</v>
      </c>
      <c r="L60" s="1">
        <v>2</v>
      </c>
      <c r="N60" s="1">
        <v>4</v>
      </c>
      <c r="O60" s="1">
        <v>0.5</v>
      </c>
      <c r="P60" s="1">
        <v>0.5</v>
      </c>
      <c r="Q60" s="7">
        <f t="shared" si="0"/>
        <v>0.5</v>
      </c>
      <c r="R60" s="1">
        <v>14.7</v>
      </c>
      <c r="S60" s="1">
        <v>96.5</v>
      </c>
      <c r="T60" s="2">
        <f t="shared" si="1"/>
        <v>36</v>
      </c>
      <c r="U60" s="1">
        <v>298</v>
      </c>
      <c r="V60" s="107">
        <f t="shared" si="2"/>
        <v>2682</v>
      </c>
      <c r="W60" s="1">
        <v>22</v>
      </c>
      <c r="X60" s="1" t="s">
        <v>51</v>
      </c>
      <c r="Y60" s="1" t="s">
        <v>128</v>
      </c>
      <c r="Z60" s="1" t="s">
        <v>101</v>
      </c>
      <c r="AA60" s="1" t="s">
        <v>67</v>
      </c>
      <c r="AB60" s="49" t="s">
        <v>309</v>
      </c>
    </row>
    <row r="61" spans="1:29" x14ac:dyDescent="0.15">
      <c r="A61" s="49" t="s">
        <v>75</v>
      </c>
      <c r="B61" s="49" t="s">
        <v>306</v>
      </c>
      <c r="C61" s="49">
        <v>2020</v>
      </c>
      <c r="D61" s="88" t="s">
        <v>307</v>
      </c>
      <c r="E61" s="49" t="s">
        <v>187</v>
      </c>
      <c r="F61" s="49" t="s">
        <v>316</v>
      </c>
      <c r="G61" s="49" t="s">
        <v>37</v>
      </c>
      <c r="H61" s="49" t="s">
        <v>63</v>
      </c>
      <c r="I61" s="1" t="s">
        <v>64</v>
      </c>
      <c r="J61" s="1" t="s">
        <v>40</v>
      </c>
      <c r="K61" s="1" t="s">
        <v>41</v>
      </c>
      <c r="L61" s="1">
        <v>3</v>
      </c>
      <c r="N61" s="1">
        <v>4</v>
      </c>
      <c r="O61" s="1">
        <v>0.55000000000000004</v>
      </c>
      <c r="P61" s="1">
        <v>0.55000000000000004</v>
      </c>
      <c r="Q61" s="7">
        <f t="shared" si="0"/>
        <v>0.55000000000000004</v>
      </c>
      <c r="R61" s="1">
        <v>14.2</v>
      </c>
      <c r="S61" s="1">
        <v>92</v>
      </c>
      <c r="T61" s="2">
        <f t="shared" si="1"/>
        <v>36</v>
      </c>
      <c r="U61" s="1">
        <v>298</v>
      </c>
      <c r="V61" s="107">
        <f t="shared" si="2"/>
        <v>2682</v>
      </c>
      <c r="W61" s="1">
        <v>22</v>
      </c>
      <c r="X61" s="1" t="s">
        <v>51</v>
      </c>
      <c r="Y61" s="1" t="s">
        <v>128</v>
      </c>
      <c r="Z61" s="1" t="s">
        <v>101</v>
      </c>
      <c r="AA61" s="1" t="s">
        <v>67</v>
      </c>
      <c r="AB61" s="49" t="s">
        <v>309</v>
      </c>
    </row>
    <row r="62" spans="1:29" x14ac:dyDescent="0.15">
      <c r="A62" s="49" t="s">
        <v>75</v>
      </c>
      <c r="B62" s="49" t="s">
        <v>306</v>
      </c>
      <c r="C62" s="49">
        <v>2020</v>
      </c>
      <c r="D62" s="88" t="s">
        <v>307</v>
      </c>
      <c r="E62" s="49" t="s">
        <v>187</v>
      </c>
      <c r="F62" s="49" t="s">
        <v>316</v>
      </c>
      <c r="G62" s="49" t="s">
        <v>37</v>
      </c>
      <c r="H62" s="49" t="s">
        <v>238</v>
      </c>
      <c r="I62" s="1" t="s">
        <v>64</v>
      </c>
      <c r="J62" s="1" t="s">
        <v>115</v>
      </c>
      <c r="K62" s="1" t="s">
        <v>66</v>
      </c>
      <c r="L62" s="1">
        <v>1</v>
      </c>
      <c r="N62" s="1">
        <v>1</v>
      </c>
      <c r="O62" s="1">
        <v>0.75</v>
      </c>
      <c r="P62" s="1">
        <v>0.7</v>
      </c>
      <c r="Q62" s="7">
        <f>IF(OR(O62="",P62=""),"",AVERAGE(O62,P62))</f>
        <v>0.72499999999999998</v>
      </c>
      <c r="R62" s="1">
        <v>15.4</v>
      </c>
      <c r="S62" s="1">
        <v>107</v>
      </c>
      <c r="T62" s="2">
        <f t="shared" si="1"/>
        <v>33</v>
      </c>
      <c r="U62" s="1">
        <v>98</v>
      </c>
      <c r="V62" s="107">
        <f t="shared" si="2"/>
        <v>3234</v>
      </c>
      <c r="W62" s="1">
        <v>22</v>
      </c>
      <c r="X62" s="1" t="s">
        <v>51</v>
      </c>
      <c r="Y62" s="1" t="s">
        <v>128</v>
      </c>
      <c r="Z62" s="1" t="s">
        <v>101</v>
      </c>
      <c r="AA62" s="1" t="s">
        <v>67</v>
      </c>
      <c r="AB62" s="49" t="s">
        <v>309</v>
      </c>
    </row>
    <row r="63" spans="1:29" x14ac:dyDescent="0.15">
      <c r="A63" s="49" t="s">
        <v>75</v>
      </c>
      <c r="B63" s="49" t="s">
        <v>306</v>
      </c>
      <c r="C63" s="49">
        <v>2020</v>
      </c>
      <c r="D63" s="88" t="s">
        <v>307</v>
      </c>
      <c r="E63" s="49" t="s">
        <v>187</v>
      </c>
      <c r="F63" s="49" t="s">
        <v>316</v>
      </c>
      <c r="G63" s="49" t="s">
        <v>37</v>
      </c>
      <c r="H63" s="49" t="s">
        <v>238</v>
      </c>
      <c r="I63" s="1" t="s">
        <v>64</v>
      </c>
      <c r="J63" s="1" t="s">
        <v>115</v>
      </c>
      <c r="K63" s="1" t="s">
        <v>66</v>
      </c>
      <c r="L63" s="1">
        <v>2</v>
      </c>
      <c r="N63" s="1">
        <v>1</v>
      </c>
      <c r="O63" s="1">
        <v>0.5</v>
      </c>
      <c r="P63" s="1">
        <v>0.6</v>
      </c>
      <c r="Q63" s="7">
        <f t="shared" si="0"/>
        <v>0.55000000000000004</v>
      </c>
      <c r="R63" s="1">
        <v>12.2</v>
      </c>
      <c r="S63" s="1">
        <v>110</v>
      </c>
      <c r="T63" s="2">
        <f t="shared" si="1"/>
        <v>33</v>
      </c>
      <c r="U63" s="1">
        <v>98</v>
      </c>
      <c r="V63" s="107">
        <f t="shared" si="2"/>
        <v>3234</v>
      </c>
      <c r="W63" s="1">
        <v>22</v>
      </c>
      <c r="X63" s="1" t="s">
        <v>51</v>
      </c>
      <c r="Y63" s="1" t="s">
        <v>128</v>
      </c>
      <c r="Z63" s="1" t="s">
        <v>101</v>
      </c>
      <c r="AA63" s="1" t="s">
        <v>67</v>
      </c>
      <c r="AB63" s="49" t="s">
        <v>309</v>
      </c>
    </row>
    <row r="64" spans="1:29" x14ac:dyDescent="0.15">
      <c r="A64" s="49" t="s">
        <v>75</v>
      </c>
      <c r="B64" s="49" t="s">
        <v>306</v>
      </c>
      <c r="C64" s="49">
        <v>2020</v>
      </c>
      <c r="D64" s="88" t="s">
        <v>307</v>
      </c>
      <c r="E64" s="49" t="s">
        <v>187</v>
      </c>
      <c r="F64" s="49" t="s">
        <v>316</v>
      </c>
      <c r="G64" s="49" t="s">
        <v>37</v>
      </c>
      <c r="H64" s="49" t="s">
        <v>238</v>
      </c>
      <c r="I64" s="1" t="s">
        <v>64</v>
      </c>
      <c r="J64" s="1" t="s">
        <v>115</v>
      </c>
      <c r="K64" s="1" t="s">
        <v>66</v>
      </c>
      <c r="L64" s="1">
        <v>3</v>
      </c>
      <c r="N64" s="1">
        <v>1</v>
      </c>
      <c r="O64" s="1">
        <v>0.75</v>
      </c>
      <c r="P64" s="1">
        <v>0.8</v>
      </c>
      <c r="Q64" s="7">
        <f t="shared" si="0"/>
        <v>0.77500000000000002</v>
      </c>
      <c r="R64" s="1">
        <v>12.2</v>
      </c>
      <c r="S64" s="1">
        <v>102.5</v>
      </c>
      <c r="T64" s="2">
        <f t="shared" si="1"/>
        <v>33</v>
      </c>
      <c r="U64" s="1">
        <v>98</v>
      </c>
      <c r="V64" s="107">
        <f t="shared" si="2"/>
        <v>3234</v>
      </c>
      <c r="W64" s="1">
        <v>22</v>
      </c>
      <c r="X64" s="1" t="s">
        <v>51</v>
      </c>
      <c r="Y64" s="1" t="s">
        <v>128</v>
      </c>
      <c r="Z64" s="1" t="s">
        <v>101</v>
      </c>
      <c r="AA64" s="1" t="s">
        <v>67</v>
      </c>
      <c r="AB64" s="49" t="s">
        <v>309</v>
      </c>
    </row>
    <row r="65" spans="1:29" x14ac:dyDescent="0.15">
      <c r="A65" s="49" t="s">
        <v>75</v>
      </c>
      <c r="B65" s="49" t="s">
        <v>306</v>
      </c>
      <c r="C65" s="49">
        <v>2020</v>
      </c>
      <c r="D65" s="88" t="s">
        <v>307</v>
      </c>
      <c r="E65" s="49" t="s">
        <v>188</v>
      </c>
      <c r="F65" s="49" t="s">
        <v>317</v>
      </c>
      <c r="G65" s="49" t="s">
        <v>37</v>
      </c>
      <c r="H65" s="49" t="s">
        <v>82</v>
      </c>
      <c r="I65" s="1" t="s">
        <v>64</v>
      </c>
      <c r="J65" s="1" t="s">
        <v>40</v>
      </c>
      <c r="K65" s="1" t="s">
        <v>41</v>
      </c>
      <c r="L65" s="1">
        <v>1</v>
      </c>
      <c r="N65" s="1">
        <v>1</v>
      </c>
      <c r="O65" s="1">
        <v>0.8</v>
      </c>
      <c r="P65" s="1">
        <v>0.8</v>
      </c>
      <c r="Q65" s="7">
        <f t="shared" si="0"/>
        <v>0.8</v>
      </c>
      <c r="R65" s="1">
        <v>17.100000000000001</v>
      </c>
      <c r="S65" s="1">
        <v>151</v>
      </c>
      <c r="T65" s="2">
        <f t="shared" si="1"/>
        <v>22</v>
      </c>
      <c r="U65" s="1">
        <v>98</v>
      </c>
      <c r="V65" s="107">
        <f t="shared" si="2"/>
        <v>2156</v>
      </c>
      <c r="W65" s="1">
        <v>14</v>
      </c>
      <c r="X65" s="1" t="s">
        <v>51</v>
      </c>
      <c r="Y65" s="1" t="s">
        <v>101</v>
      </c>
      <c r="Z65" s="1" t="s">
        <v>52</v>
      </c>
      <c r="AA65" s="1" t="s">
        <v>67</v>
      </c>
      <c r="AB65" s="49" t="s">
        <v>309</v>
      </c>
      <c r="AC65" s="16"/>
    </row>
    <row r="66" spans="1:29" x14ac:dyDescent="0.15">
      <c r="A66" s="49" t="s">
        <v>75</v>
      </c>
      <c r="B66" s="49" t="s">
        <v>306</v>
      </c>
      <c r="C66" s="49">
        <v>2020</v>
      </c>
      <c r="D66" s="88" t="s">
        <v>307</v>
      </c>
      <c r="E66" s="49" t="s">
        <v>188</v>
      </c>
      <c r="F66" s="49" t="s">
        <v>317</v>
      </c>
      <c r="G66" s="49" t="s">
        <v>37</v>
      </c>
      <c r="H66" s="49" t="s">
        <v>82</v>
      </c>
      <c r="I66" s="1" t="s">
        <v>64</v>
      </c>
      <c r="J66" s="1" t="s">
        <v>40</v>
      </c>
      <c r="K66" s="1" t="s">
        <v>41</v>
      </c>
      <c r="L66" s="1">
        <v>2</v>
      </c>
      <c r="N66" s="1">
        <v>1</v>
      </c>
      <c r="O66" s="1">
        <v>0.85</v>
      </c>
      <c r="P66" s="1">
        <v>0.8</v>
      </c>
      <c r="Q66" s="7">
        <f t="shared" ref="Q66:Q154" si="3">IF(OR(O66="",P66=""),"",AVERAGE(O66,P66))</f>
        <v>0.82499999999999996</v>
      </c>
      <c r="R66" s="1">
        <v>15.2</v>
      </c>
      <c r="S66" s="1">
        <v>150</v>
      </c>
      <c r="T66" s="2">
        <f t="shared" ref="T66:T154" si="4">IF(H66="","",IF(OR(H66="GREEN",H66="GK"),IF(S66&gt;=$AX$2,VLOOKUP(S66,$AX$2:$AY$15,2,1),""),IF(S66&gt;=$AZ$2,VLOOKUP(S66,$AZ$2:$BA$15,2,1),"")))</f>
        <v>22</v>
      </c>
      <c r="U66" s="1">
        <v>98</v>
      </c>
      <c r="V66" s="107">
        <f t="shared" si="2"/>
        <v>2156</v>
      </c>
      <c r="W66" s="1">
        <v>14</v>
      </c>
      <c r="X66" s="1" t="s">
        <v>51</v>
      </c>
      <c r="Y66" s="1" t="s">
        <v>101</v>
      </c>
      <c r="Z66" s="1" t="s">
        <v>52</v>
      </c>
      <c r="AA66" s="1" t="s">
        <v>67</v>
      </c>
      <c r="AB66" s="49" t="s">
        <v>309</v>
      </c>
      <c r="AC66" s="16"/>
    </row>
    <row r="67" spans="1:29" x14ac:dyDescent="0.15">
      <c r="A67" s="49" t="s">
        <v>75</v>
      </c>
      <c r="B67" s="49" t="s">
        <v>306</v>
      </c>
      <c r="C67" s="49">
        <v>2020</v>
      </c>
      <c r="D67" s="88" t="s">
        <v>307</v>
      </c>
      <c r="E67" s="49" t="s">
        <v>188</v>
      </c>
      <c r="F67" s="49" t="s">
        <v>317</v>
      </c>
      <c r="G67" s="49" t="s">
        <v>37</v>
      </c>
      <c r="H67" s="49" t="s">
        <v>82</v>
      </c>
      <c r="I67" s="1" t="s">
        <v>64</v>
      </c>
      <c r="J67" s="1" t="s">
        <v>40</v>
      </c>
      <c r="K67" s="1" t="s">
        <v>41</v>
      </c>
      <c r="L67" s="1">
        <v>3</v>
      </c>
      <c r="N67" s="1">
        <v>1</v>
      </c>
      <c r="O67" s="1">
        <v>0.75</v>
      </c>
      <c r="P67" s="1">
        <v>0.75</v>
      </c>
      <c r="Q67" s="7">
        <f t="shared" si="3"/>
        <v>0.75</v>
      </c>
      <c r="R67" s="16">
        <v>17.8</v>
      </c>
      <c r="S67" s="1">
        <v>163.5</v>
      </c>
      <c r="T67" s="2">
        <f t="shared" si="4"/>
        <v>18</v>
      </c>
      <c r="U67" s="1">
        <v>98</v>
      </c>
      <c r="V67" s="107">
        <f t="shared" ref="V67:V154" si="5">IF(OR(N67="",U67="",T67=""),"",U67/N67*T67)</f>
        <v>1764</v>
      </c>
      <c r="W67" s="1">
        <v>14</v>
      </c>
      <c r="X67" s="1" t="s">
        <v>51</v>
      </c>
      <c r="Y67" s="1" t="s">
        <v>101</v>
      </c>
      <c r="Z67" s="1" t="s">
        <v>52</v>
      </c>
      <c r="AA67" s="1" t="s">
        <v>67</v>
      </c>
      <c r="AB67" s="49" t="s">
        <v>309</v>
      </c>
      <c r="AC67" s="16"/>
    </row>
    <row r="68" spans="1:29" x14ac:dyDescent="0.15">
      <c r="A68" s="49" t="s">
        <v>75</v>
      </c>
      <c r="B68" s="49" t="s">
        <v>306</v>
      </c>
      <c r="C68" s="49">
        <v>2020</v>
      </c>
      <c r="D68" s="88" t="s">
        <v>307</v>
      </c>
      <c r="E68" s="49" t="s">
        <v>188</v>
      </c>
      <c r="F68" s="49" t="s">
        <v>317</v>
      </c>
      <c r="G68" s="49" t="s">
        <v>37</v>
      </c>
      <c r="H68" s="49" t="s">
        <v>82</v>
      </c>
      <c r="I68" s="1" t="s">
        <v>64</v>
      </c>
      <c r="J68" s="1" t="s">
        <v>40</v>
      </c>
      <c r="K68" s="1" t="s">
        <v>41</v>
      </c>
      <c r="L68" s="1">
        <v>1</v>
      </c>
      <c r="N68" s="1">
        <v>4</v>
      </c>
      <c r="O68" s="1">
        <v>0.55000000000000004</v>
      </c>
      <c r="P68" s="1">
        <v>0.55000000000000004</v>
      </c>
      <c r="Q68" s="7">
        <f t="shared" si="3"/>
        <v>0.55000000000000004</v>
      </c>
      <c r="R68" s="1">
        <v>19.8</v>
      </c>
      <c r="S68" s="1">
        <v>109.5</v>
      </c>
      <c r="T68" s="2">
        <f t="shared" si="4"/>
        <v>33</v>
      </c>
      <c r="U68" s="1">
        <v>498</v>
      </c>
      <c r="V68" s="107">
        <f t="shared" si="5"/>
        <v>4108.5</v>
      </c>
      <c r="W68" s="1">
        <v>14</v>
      </c>
      <c r="X68" s="1" t="s">
        <v>51</v>
      </c>
      <c r="Y68" s="1" t="s">
        <v>101</v>
      </c>
      <c r="Z68" s="1" t="s">
        <v>52</v>
      </c>
      <c r="AA68" s="1" t="s">
        <v>67</v>
      </c>
      <c r="AB68" s="49" t="s">
        <v>309</v>
      </c>
      <c r="AC68" s="16"/>
    </row>
    <row r="69" spans="1:29" x14ac:dyDescent="0.15">
      <c r="A69" s="49" t="s">
        <v>75</v>
      </c>
      <c r="B69" s="49" t="s">
        <v>306</v>
      </c>
      <c r="C69" s="49">
        <v>2020</v>
      </c>
      <c r="D69" s="88" t="s">
        <v>307</v>
      </c>
      <c r="E69" s="49" t="s">
        <v>188</v>
      </c>
      <c r="F69" s="49" t="s">
        <v>317</v>
      </c>
      <c r="G69" s="49" t="s">
        <v>37</v>
      </c>
      <c r="H69" s="49" t="s">
        <v>82</v>
      </c>
      <c r="I69" s="1" t="s">
        <v>64</v>
      </c>
      <c r="J69" s="1" t="s">
        <v>40</v>
      </c>
      <c r="K69" s="1" t="s">
        <v>41</v>
      </c>
      <c r="L69" s="1">
        <v>2</v>
      </c>
      <c r="N69" s="1">
        <v>4</v>
      </c>
      <c r="O69" s="1">
        <v>0.55000000000000004</v>
      </c>
      <c r="P69" s="1">
        <v>0.55000000000000004</v>
      </c>
      <c r="Q69" s="7">
        <f t="shared" si="3"/>
        <v>0.55000000000000004</v>
      </c>
      <c r="R69" s="16">
        <v>16.8</v>
      </c>
      <c r="S69" s="1">
        <v>111.5</v>
      </c>
      <c r="T69" s="2">
        <f t="shared" si="4"/>
        <v>33</v>
      </c>
      <c r="U69" s="1">
        <v>498</v>
      </c>
      <c r="V69" s="107">
        <f t="shared" si="5"/>
        <v>4108.5</v>
      </c>
      <c r="W69" s="1">
        <v>14</v>
      </c>
      <c r="X69" s="1" t="s">
        <v>51</v>
      </c>
      <c r="Y69" s="1" t="s">
        <v>101</v>
      </c>
      <c r="Z69" s="1" t="s">
        <v>52</v>
      </c>
      <c r="AA69" s="1" t="s">
        <v>67</v>
      </c>
      <c r="AB69" s="49" t="s">
        <v>309</v>
      </c>
      <c r="AC69" s="16"/>
    </row>
    <row r="70" spans="1:29" x14ac:dyDescent="0.15">
      <c r="A70" s="49" t="s">
        <v>75</v>
      </c>
      <c r="B70" s="49" t="s">
        <v>306</v>
      </c>
      <c r="C70" s="49">
        <v>2020</v>
      </c>
      <c r="D70" s="88" t="s">
        <v>307</v>
      </c>
      <c r="E70" s="49" t="s">
        <v>188</v>
      </c>
      <c r="F70" s="49" t="s">
        <v>317</v>
      </c>
      <c r="G70" s="49" t="s">
        <v>37</v>
      </c>
      <c r="H70" s="49" t="s">
        <v>82</v>
      </c>
      <c r="I70" s="1" t="s">
        <v>64</v>
      </c>
      <c r="J70" s="1" t="s">
        <v>40</v>
      </c>
      <c r="K70" s="1" t="s">
        <v>41</v>
      </c>
      <c r="L70" s="1">
        <v>3</v>
      </c>
      <c r="N70" s="1">
        <v>4</v>
      </c>
      <c r="O70" s="1">
        <v>0.6</v>
      </c>
      <c r="P70" s="1">
        <v>0.6</v>
      </c>
      <c r="Q70" s="7">
        <f t="shared" si="3"/>
        <v>0.6</v>
      </c>
      <c r="R70" s="16">
        <v>19.399999999999999</v>
      </c>
      <c r="S70" s="1">
        <v>116.5</v>
      </c>
      <c r="T70" s="2">
        <f t="shared" si="4"/>
        <v>30</v>
      </c>
      <c r="U70" s="1">
        <v>498</v>
      </c>
      <c r="V70" s="107">
        <f t="shared" si="5"/>
        <v>3735</v>
      </c>
      <c r="W70" s="1">
        <v>14</v>
      </c>
      <c r="X70" s="1" t="s">
        <v>51</v>
      </c>
      <c r="Y70" s="1" t="s">
        <v>101</v>
      </c>
      <c r="Z70" s="1" t="s">
        <v>52</v>
      </c>
      <c r="AA70" s="1" t="s">
        <v>67</v>
      </c>
      <c r="AB70" s="49" t="s">
        <v>309</v>
      </c>
      <c r="AC70" s="16"/>
    </row>
    <row r="71" spans="1:29" x14ac:dyDescent="0.15">
      <c r="A71" s="49" t="s">
        <v>75</v>
      </c>
      <c r="B71" s="49" t="s">
        <v>306</v>
      </c>
      <c r="C71" s="49">
        <v>2020</v>
      </c>
      <c r="D71" s="88" t="s">
        <v>307</v>
      </c>
      <c r="E71" s="49" t="s">
        <v>188</v>
      </c>
      <c r="F71" s="49" t="s">
        <v>317</v>
      </c>
      <c r="G71" s="49" t="s">
        <v>37</v>
      </c>
      <c r="H71" s="49" t="s">
        <v>82</v>
      </c>
      <c r="I71" s="1" t="s">
        <v>71</v>
      </c>
      <c r="J71" s="1" t="s">
        <v>40</v>
      </c>
      <c r="K71" s="1" t="s">
        <v>41</v>
      </c>
      <c r="L71" s="1">
        <v>1</v>
      </c>
      <c r="N71" s="1">
        <v>1</v>
      </c>
      <c r="O71" s="1">
        <v>0.55000000000000004</v>
      </c>
      <c r="P71" s="1">
        <v>0.55000000000000004</v>
      </c>
      <c r="Q71" s="7">
        <f t="shared" si="3"/>
        <v>0.55000000000000004</v>
      </c>
      <c r="R71" s="1">
        <v>19.600000000000001</v>
      </c>
      <c r="S71" s="1">
        <v>113.5</v>
      </c>
      <c r="T71" s="2">
        <f t="shared" si="4"/>
        <v>30</v>
      </c>
      <c r="U71" s="1">
        <v>128</v>
      </c>
      <c r="V71" s="107">
        <f t="shared" si="5"/>
        <v>3840</v>
      </c>
      <c r="W71" s="1">
        <v>14</v>
      </c>
      <c r="X71" s="1" t="s">
        <v>51</v>
      </c>
      <c r="Y71" s="1" t="s">
        <v>101</v>
      </c>
      <c r="Z71" s="1" t="s">
        <v>52</v>
      </c>
      <c r="AA71" s="1" t="s">
        <v>67</v>
      </c>
      <c r="AB71" s="49" t="s">
        <v>309</v>
      </c>
      <c r="AC71" s="16"/>
    </row>
    <row r="72" spans="1:29" x14ac:dyDescent="0.15">
      <c r="A72" s="49" t="s">
        <v>75</v>
      </c>
      <c r="B72" s="49" t="s">
        <v>306</v>
      </c>
      <c r="C72" s="49">
        <v>2020</v>
      </c>
      <c r="D72" s="88" t="s">
        <v>307</v>
      </c>
      <c r="E72" s="49" t="s">
        <v>188</v>
      </c>
      <c r="F72" s="49" t="s">
        <v>317</v>
      </c>
      <c r="G72" s="49" t="s">
        <v>37</v>
      </c>
      <c r="H72" s="49" t="s">
        <v>82</v>
      </c>
      <c r="I72" s="1" t="s">
        <v>71</v>
      </c>
      <c r="J72" s="1" t="s">
        <v>40</v>
      </c>
      <c r="K72" s="1" t="s">
        <v>41</v>
      </c>
      <c r="L72" s="1">
        <v>2</v>
      </c>
      <c r="N72" s="1">
        <v>1</v>
      </c>
      <c r="O72" s="1">
        <v>0.5</v>
      </c>
      <c r="P72" s="1">
        <v>0.5</v>
      </c>
      <c r="Q72" s="7">
        <f t="shared" si="3"/>
        <v>0.5</v>
      </c>
      <c r="R72" s="1">
        <v>19.2</v>
      </c>
      <c r="S72" s="1">
        <v>115.5</v>
      </c>
      <c r="T72" s="2">
        <f t="shared" si="4"/>
        <v>30</v>
      </c>
      <c r="U72" s="1">
        <v>128</v>
      </c>
      <c r="V72" s="107">
        <f t="shared" si="5"/>
        <v>3840</v>
      </c>
      <c r="W72" s="1">
        <v>14</v>
      </c>
      <c r="X72" s="1" t="s">
        <v>51</v>
      </c>
      <c r="Y72" s="1" t="s">
        <v>101</v>
      </c>
      <c r="Z72" s="1" t="s">
        <v>52</v>
      </c>
      <c r="AA72" s="1" t="s">
        <v>67</v>
      </c>
      <c r="AB72" s="49" t="s">
        <v>309</v>
      </c>
      <c r="AC72" s="16"/>
    </row>
    <row r="73" spans="1:29" x14ac:dyDescent="0.15">
      <c r="A73" s="49" t="s">
        <v>75</v>
      </c>
      <c r="B73" s="49" t="s">
        <v>306</v>
      </c>
      <c r="C73" s="49">
        <v>2020</v>
      </c>
      <c r="D73" s="88" t="s">
        <v>307</v>
      </c>
      <c r="E73" s="49" t="s">
        <v>188</v>
      </c>
      <c r="F73" s="49" t="s">
        <v>317</v>
      </c>
      <c r="G73" s="49" t="s">
        <v>37</v>
      </c>
      <c r="H73" s="49" t="s">
        <v>82</v>
      </c>
      <c r="I73" s="1" t="s">
        <v>71</v>
      </c>
      <c r="J73" s="1" t="s">
        <v>40</v>
      </c>
      <c r="K73" s="1" t="s">
        <v>41</v>
      </c>
      <c r="L73" s="1">
        <v>3</v>
      </c>
      <c r="N73" s="1">
        <v>1</v>
      </c>
      <c r="O73" s="1">
        <v>0.2</v>
      </c>
      <c r="P73" s="1">
        <v>0.2</v>
      </c>
      <c r="Q73" s="7">
        <f t="shared" si="3"/>
        <v>0.2</v>
      </c>
      <c r="R73" s="1">
        <v>17.7</v>
      </c>
      <c r="S73" s="1">
        <v>116</v>
      </c>
      <c r="T73" s="2">
        <f t="shared" si="4"/>
        <v>30</v>
      </c>
      <c r="U73" s="1">
        <v>128</v>
      </c>
      <c r="V73" s="107">
        <f t="shared" si="5"/>
        <v>3840</v>
      </c>
      <c r="W73" s="1">
        <v>14</v>
      </c>
      <c r="X73" s="1" t="s">
        <v>51</v>
      </c>
      <c r="Y73" s="1" t="s">
        <v>101</v>
      </c>
      <c r="Z73" s="1" t="s">
        <v>52</v>
      </c>
      <c r="AA73" s="1" t="s">
        <v>67</v>
      </c>
      <c r="AB73" s="49" t="s">
        <v>309</v>
      </c>
      <c r="AC73" s="16"/>
    </row>
    <row r="74" spans="1:29" x14ac:dyDescent="0.15">
      <c r="A74" s="49" t="s">
        <v>75</v>
      </c>
      <c r="B74" s="49" t="s">
        <v>306</v>
      </c>
      <c r="C74" s="49">
        <v>2020</v>
      </c>
      <c r="D74" s="88" t="s">
        <v>307</v>
      </c>
      <c r="E74" s="49" t="s">
        <v>188</v>
      </c>
      <c r="F74" s="49" t="s">
        <v>317</v>
      </c>
      <c r="G74" s="49" t="s">
        <v>37</v>
      </c>
      <c r="H74" s="49" t="s">
        <v>63</v>
      </c>
      <c r="I74" s="1" t="s">
        <v>64</v>
      </c>
      <c r="J74" s="1" t="s">
        <v>40</v>
      </c>
      <c r="K74" s="1" t="s">
        <v>41</v>
      </c>
      <c r="L74" s="1">
        <v>1</v>
      </c>
      <c r="N74" s="1">
        <v>1</v>
      </c>
      <c r="O74" s="1">
        <v>0.5</v>
      </c>
      <c r="P74" s="1">
        <v>0.85</v>
      </c>
      <c r="Q74" s="7">
        <f t="shared" si="3"/>
        <v>0.67500000000000004</v>
      </c>
      <c r="R74" s="1">
        <v>15.2</v>
      </c>
      <c r="S74" s="1">
        <v>125</v>
      </c>
      <c r="T74" s="2">
        <f t="shared" si="4"/>
        <v>27</v>
      </c>
      <c r="U74" s="1">
        <v>98</v>
      </c>
      <c r="V74" s="107">
        <f t="shared" si="5"/>
        <v>2646</v>
      </c>
      <c r="W74" s="1">
        <v>14</v>
      </c>
      <c r="X74" s="1" t="s">
        <v>51</v>
      </c>
      <c r="Y74" s="1" t="s">
        <v>101</v>
      </c>
      <c r="Z74" s="1" t="s">
        <v>52</v>
      </c>
      <c r="AA74" s="1" t="s">
        <v>67</v>
      </c>
      <c r="AB74" s="49" t="s">
        <v>309</v>
      </c>
    </row>
    <row r="75" spans="1:29" x14ac:dyDescent="0.15">
      <c r="A75" s="49" t="s">
        <v>75</v>
      </c>
      <c r="B75" s="49" t="s">
        <v>306</v>
      </c>
      <c r="C75" s="49">
        <v>2020</v>
      </c>
      <c r="D75" s="88" t="s">
        <v>307</v>
      </c>
      <c r="E75" s="49" t="s">
        <v>188</v>
      </c>
      <c r="F75" s="49" t="s">
        <v>317</v>
      </c>
      <c r="G75" s="49" t="s">
        <v>37</v>
      </c>
      <c r="H75" s="49" t="s">
        <v>63</v>
      </c>
      <c r="I75" s="1" t="s">
        <v>64</v>
      </c>
      <c r="J75" s="1" t="s">
        <v>40</v>
      </c>
      <c r="K75" s="1" t="s">
        <v>41</v>
      </c>
      <c r="L75" s="1">
        <v>2</v>
      </c>
      <c r="N75" s="1">
        <v>1</v>
      </c>
      <c r="O75" s="1">
        <v>0.95</v>
      </c>
      <c r="P75" s="1">
        <v>0.8</v>
      </c>
      <c r="Q75" s="7">
        <f t="shared" si="3"/>
        <v>0.875</v>
      </c>
      <c r="R75" s="1">
        <v>17.100000000000001</v>
      </c>
      <c r="S75" s="1">
        <v>119.5</v>
      </c>
      <c r="T75" s="2">
        <f t="shared" si="4"/>
        <v>30</v>
      </c>
      <c r="U75" s="1">
        <v>98</v>
      </c>
      <c r="V75" s="107">
        <f t="shared" si="5"/>
        <v>2940</v>
      </c>
      <c r="W75" s="1">
        <v>14</v>
      </c>
      <c r="X75" s="1" t="s">
        <v>51</v>
      </c>
      <c r="Y75" s="1" t="s">
        <v>101</v>
      </c>
      <c r="Z75" s="1" t="s">
        <v>52</v>
      </c>
      <c r="AA75" s="1" t="s">
        <v>67</v>
      </c>
      <c r="AB75" s="49" t="s">
        <v>309</v>
      </c>
    </row>
    <row r="76" spans="1:29" x14ac:dyDescent="0.15">
      <c r="A76" s="49" t="s">
        <v>75</v>
      </c>
      <c r="B76" s="49" t="s">
        <v>306</v>
      </c>
      <c r="C76" s="49">
        <v>2020</v>
      </c>
      <c r="D76" s="88" t="s">
        <v>307</v>
      </c>
      <c r="E76" s="49" t="s">
        <v>188</v>
      </c>
      <c r="F76" s="49" t="s">
        <v>317</v>
      </c>
      <c r="G76" s="49" t="s">
        <v>37</v>
      </c>
      <c r="H76" s="49" t="s">
        <v>63</v>
      </c>
      <c r="I76" s="1" t="s">
        <v>64</v>
      </c>
      <c r="J76" s="1" t="s">
        <v>40</v>
      </c>
      <c r="K76" s="1" t="s">
        <v>41</v>
      </c>
      <c r="L76" s="1">
        <v>3</v>
      </c>
      <c r="N76" s="1">
        <v>1</v>
      </c>
      <c r="O76" s="1">
        <v>0.5</v>
      </c>
      <c r="P76" s="1">
        <v>0.65</v>
      </c>
      <c r="Q76" s="7">
        <f t="shared" si="3"/>
        <v>0.57499999999999996</v>
      </c>
      <c r="R76" s="1">
        <v>15.4</v>
      </c>
      <c r="S76" s="1">
        <v>120</v>
      </c>
      <c r="T76" s="2">
        <f t="shared" si="4"/>
        <v>30</v>
      </c>
      <c r="U76" s="1">
        <v>98</v>
      </c>
      <c r="V76" s="107">
        <f t="shared" si="5"/>
        <v>2940</v>
      </c>
      <c r="W76" s="1">
        <v>14</v>
      </c>
      <c r="X76" s="1" t="s">
        <v>51</v>
      </c>
      <c r="Y76" s="1" t="s">
        <v>101</v>
      </c>
      <c r="Z76" s="1" t="s">
        <v>52</v>
      </c>
      <c r="AA76" s="1" t="s">
        <v>67</v>
      </c>
      <c r="AB76" s="49" t="s">
        <v>309</v>
      </c>
    </row>
    <row r="77" spans="1:29" x14ac:dyDescent="0.15">
      <c r="A77" s="49" t="s">
        <v>75</v>
      </c>
      <c r="B77" s="49" t="s">
        <v>306</v>
      </c>
      <c r="C77" s="49">
        <v>2020</v>
      </c>
      <c r="D77" s="88" t="s">
        <v>307</v>
      </c>
      <c r="E77" s="49" t="s">
        <v>188</v>
      </c>
      <c r="F77" s="49" t="s">
        <v>317</v>
      </c>
      <c r="G77" s="49" t="s">
        <v>37</v>
      </c>
      <c r="H77" s="49" t="s">
        <v>63</v>
      </c>
      <c r="I77" s="1" t="s">
        <v>64</v>
      </c>
      <c r="J77" s="1" t="s">
        <v>40</v>
      </c>
      <c r="K77" s="1" t="s">
        <v>41</v>
      </c>
      <c r="L77" s="1">
        <v>1</v>
      </c>
      <c r="N77" s="1">
        <v>4</v>
      </c>
      <c r="O77" s="1">
        <v>0.6</v>
      </c>
      <c r="P77" s="1">
        <v>0.6</v>
      </c>
      <c r="Q77" s="7">
        <f t="shared" si="3"/>
        <v>0.6</v>
      </c>
      <c r="R77" s="1">
        <v>14.5</v>
      </c>
      <c r="S77" s="1">
        <v>93.5</v>
      </c>
      <c r="T77" s="2">
        <f t="shared" si="4"/>
        <v>36</v>
      </c>
      <c r="U77" s="1">
        <v>398</v>
      </c>
      <c r="V77" s="107">
        <f t="shared" si="5"/>
        <v>3582</v>
      </c>
      <c r="W77" s="1">
        <v>14</v>
      </c>
      <c r="X77" s="1" t="s">
        <v>51</v>
      </c>
      <c r="Y77" s="1" t="s">
        <v>101</v>
      </c>
      <c r="Z77" s="1" t="s">
        <v>52</v>
      </c>
      <c r="AA77" s="1" t="s">
        <v>67</v>
      </c>
      <c r="AB77" s="49" t="s">
        <v>309</v>
      </c>
    </row>
    <row r="78" spans="1:29" x14ac:dyDescent="0.15">
      <c r="A78" s="49" t="s">
        <v>75</v>
      </c>
      <c r="B78" s="49" t="s">
        <v>306</v>
      </c>
      <c r="C78" s="49">
        <v>2020</v>
      </c>
      <c r="D78" s="88" t="s">
        <v>307</v>
      </c>
      <c r="E78" s="49" t="s">
        <v>188</v>
      </c>
      <c r="F78" s="49" t="s">
        <v>317</v>
      </c>
      <c r="G78" s="49" t="s">
        <v>37</v>
      </c>
      <c r="H78" s="49" t="s">
        <v>63</v>
      </c>
      <c r="I78" s="1" t="s">
        <v>64</v>
      </c>
      <c r="J78" s="1" t="s">
        <v>40</v>
      </c>
      <c r="K78" s="1" t="s">
        <v>41</v>
      </c>
      <c r="L78" s="1">
        <v>2</v>
      </c>
      <c r="N78" s="1">
        <v>4</v>
      </c>
      <c r="O78" s="1">
        <v>0.6</v>
      </c>
      <c r="P78" s="1">
        <v>0.5</v>
      </c>
      <c r="Q78" s="7">
        <f t="shared" si="3"/>
        <v>0.55000000000000004</v>
      </c>
      <c r="R78" s="1">
        <v>14.9</v>
      </c>
      <c r="S78" s="1">
        <v>97</v>
      </c>
      <c r="T78" s="2">
        <f t="shared" si="4"/>
        <v>36</v>
      </c>
      <c r="U78" s="1">
        <v>398</v>
      </c>
      <c r="V78" s="107">
        <f t="shared" si="5"/>
        <v>3582</v>
      </c>
      <c r="W78" s="1">
        <v>14</v>
      </c>
      <c r="X78" s="1" t="s">
        <v>51</v>
      </c>
      <c r="Y78" s="1" t="s">
        <v>101</v>
      </c>
      <c r="Z78" s="1" t="s">
        <v>52</v>
      </c>
      <c r="AA78" s="1" t="s">
        <v>67</v>
      </c>
      <c r="AB78" s="49" t="s">
        <v>309</v>
      </c>
    </row>
    <row r="79" spans="1:29" x14ac:dyDescent="0.15">
      <c r="A79" s="49" t="s">
        <v>75</v>
      </c>
      <c r="B79" s="49" t="s">
        <v>306</v>
      </c>
      <c r="C79" s="49">
        <v>2020</v>
      </c>
      <c r="D79" s="88" t="s">
        <v>307</v>
      </c>
      <c r="E79" s="49" t="s">
        <v>188</v>
      </c>
      <c r="F79" s="49" t="s">
        <v>317</v>
      </c>
      <c r="G79" s="49" t="s">
        <v>37</v>
      </c>
      <c r="H79" s="49" t="s">
        <v>63</v>
      </c>
      <c r="I79" s="1" t="s">
        <v>64</v>
      </c>
      <c r="J79" s="1" t="s">
        <v>40</v>
      </c>
      <c r="K79" s="1" t="s">
        <v>41</v>
      </c>
      <c r="L79" s="1">
        <v>3</v>
      </c>
      <c r="N79" s="1">
        <v>4</v>
      </c>
      <c r="O79" s="1">
        <v>0.55000000000000004</v>
      </c>
      <c r="P79" s="1">
        <v>0.55000000000000004</v>
      </c>
      <c r="Q79" s="7">
        <f t="shared" si="3"/>
        <v>0.55000000000000004</v>
      </c>
      <c r="R79" s="1">
        <v>14.7</v>
      </c>
      <c r="S79" s="1">
        <v>100</v>
      </c>
      <c r="T79" s="2">
        <f t="shared" si="4"/>
        <v>33</v>
      </c>
      <c r="U79" s="1">
        <v>398</v>
      </c>
      <c r="V79" s="107">
        <f t="shared" si="5"/>
        <v>3283.5</v>
      </c>
      <c r="W79" s="1">
        <v>14</v>
      </c>
      <c r="X79" s="1" t="s">
        <v>51</v>
      </c>
      <c r="Y79" s="1" t="s">
        <v>101</v>
      </c>
      <c r="Z79" s="1" t="s">
        <v>52</v>
      </c>
      <c r="AA79" s="1" t="s">
        <v>67</v>
      </c>
      <c r="AB79" s="49" t="s">
        <v>309</v>
      </c>
    </row>
    <row r="80" spans="1:29" x14ac:dyDescent="0.15">
      <c r="A80" s="49" t="s">
        <v>75</v>
      </c>
      <c r="B80" s="49" t="s">
        <v>306</v>
      </c>
      <c r="C80" s="49">
        <v>2020</v>
      </c>
      <c r="D80" s="88" t="s">
        <v>307</v>
      </c>
      <c r="E80" s="49" t="s">
        <v>54</v>
      </c>
      <c r="F80" s="49" t="s">
        <v>317</v>
      </c>
      <c r="G80" s="49" t="s">
        <v>37</v>
      </c>
      <c r="H80" s="49" t="s">
        <v>82</v>
      </c>
      <c r="I80" s="1" t="s">
        <v>64</v>
      </c>
      <c r="J80" s="1" t="s">
        <v>40</v>
      </c>
      <c r="K80" s="1" t="s">
        <v>41</v>
      </c>
      <c r="L80" s="1">
        <v>1</v>
      </c>
      <c r="N80" s="1">
        <v>1</v>
      </c>
      <c r="O80" s="1">
        <v>0.8</v>
      </c>
      <c r="P80" s="1">
        <v>0.85</v>
      </c>
      <c r="Q80" s="7">
        <f t="shared" si="3"/>
        <v>0.82499999999999996</v>
      </c>
      <c r="R80" s="1">
        <v>15.7</v>
      </c>
      <c r="S80" s="1">
        <v>125.5</v>
      </c>
      <c r="T80" s="2">
        <f t="shared" si="4"/>
        <v>27</v>
      </c>
      <c r="U80" s="1">
        <v>128</v>
      </c>
      <c r="V80" s="107">
        <f t="shared" si="5"/>
        <v>3456</v>
      </c>
      <c r="W80" s="1">
        <v>11</v>
      </c>
      <c r="X80" s="1" t="s">
        <v>51</v>
      </c>
      <c r="Y80" s="1" t="s">
        <v>101</v>
      </c>
      <c r="Z80" s="1" t="s">
        <v>67</v>
      </c>
      <c r="AA80" s="1" t="s">
        <v>52</v>
      </c>
      <c r="AB80" s="49" t="s">
        <v>309</v>
      </c>
    </row>
    <row r="81" spans="1:28" x14ac:dyDescent="0.15">
      <c r="A81" s="49" t="s">
        <v>75</v>
      </c>
      <c r="B81" s="49" t="s">
        <v>306</v>
      </c>
      <c r="C81" s="49">
        <v>2020</v>
      </c>
      <c r="D81" s="88" t="s">
        <v>307</v>
      </c>
      <c r="E81" s="49" t="s">
        <v>54</v>
      </c>
      <c r="F81" s="49" t="s">
        <v>317</v>
      </c>
      <c r="G81" s="49" t="s">
        <v>37</v>
      </c>
      <c r="H81" s="49" t="s">
        <v>82</v>
      </c>
      <c r="I81" s="1" t="s">
        <v>64</v>
      </c>
      <c r="J81" s="1" t="s">
        <v>40</v>
      </c>
      <c r="K81" s="1" t="s">
        <v>41</v>
      </c>
      <c r="L81" s="1">
        <v>2</v>
      </c>
      <c r="N81" s="1">
        <v>1</v>
      </c>
      <c r="O81" s="1">
        <v>1.1499999999999999</v>
      </c>
      <c r="P81" s="1">
        <v>1.2</v>
      </c>
      <c r="Q81" s="7">
        <f t="shared" si="3"/>
        <v>1.1749999999999998</v>
      </c>
      <c r="R81" s="1">
        <v>15.1</v>
      </c>
      <c r="S81" s="1">
        <v>128</v>
      </c>
      <c r="T81" s="2">
        <f t="shared" si="4"/>
        <v>27</v>
      </c>
      <c r="U81" s="1">
        <v>128</v>
      </c>
      <c r="V81" s="107">
        <f t="shared" si="5"/>
        <v>3456</v>
      </c>
      <c r="W81" s="1">
        <v>11</v>
      </c>
      <c r="X81" s="1" t="s">
        <v>51</v>
      </c>
      <c r="Y81" s="1" t="s">
        <v>101</v>
      </c>
      <c r="Z81" s="1" t="s">
        <v>67</v>
      </c>
      <c r="AA81" s="1" t="s">
        <v>52</v>
      </c>
      <c r="AB81" s="49" t="s">
        <v>309</v>
      </c>
    </row>
    <row r="82" spans="1:28" x14ac:dyDescent="0.15">
      <c r="A82" s="49" t="s">
        <v>75</v>
      </c>
      <c r="B82" s="49" t="s">
        <v>306</v>
      </c>
      <c r="C82" s="49">
        <v>2020</v>
      </c>
      <c r="D82" s="88" t="s">
        <v>307</v>
      </c>
      <c r="E82" s="49" t="s">
        <v>54</v>
      </c>
      <c r="F82" s="49" t="s">
        <v>317</v>
      </c>
      <c r="G82" s="49" t="s">
        <v>37</v>
      </c>
      <c r="H82" s="49" t="s">
        <v>82</v>
      </c>
      <c r="I82" s="1" t="s">
        <v>64</v>
      </c>
      <c r="J82" s="1" t="s">
        <v>40</v>
      </c>
      <c r="K82" s="1" t="s">
        <v>41</v>
      </c>
      <c r="L82" s="1">
        <v>3</v>
      </c>
      <c r="N82" s="1">
        <v>1</v>
      </c>
      <c r="O82" s="1">
        <v>1.05</v>
      </c>
      <c r="P82" s="1">
        <v>1.1000000000000001</v>
      </c>
      <c r="Q82" s="7">
        <f t="shared" si="3"/>
        <v>1.0750000000000002</v>
      </c>
      <c r="R82" s="1">
        <v>15</v>
      </c>
      <c r="S82" s="1">
        <v>126.5</v>
      </c>
      <c r="T82" s="2">
        <f t="shared" si="4"/>
        <v>27</v>
      </c>
      <c r="U82" s="1">
        <v>128</v>
      </c>
      <c r="V82" s="107">
        <f t="shared" si="5"/>
        <v>3456</v>
      </c>
      <c r="W82" s="1">
        <v>11</v>
      </c>
      <c r="X82" s="1" t="s">
        <v>51</v>
      </c>
      <c r="Y82" s="1" t="s">
        <v>101</v>
      </c>
      <c r="Z82" s="1" t="s">
        <v>67</v>
      </c>
      <c r="AA82" s="1" t="s">
        <v>52</v>
      </c>
      <c r="AB82" s="49" t="s">
        <v>309</v>
      </c>
    </row>
    <row r="83" spans="1:28" x14ac:dyDescent="0.15">
      <c r="A83" s="49" t="s">
        <v>75</v>
      </c>
      <c r="B83" s="49" t="s">
        <v>306</v>
      </c>
      <c r="C83" s="49">
        <v>2020</v>
      </c>
      <c r="D83" s="88" t="s">
        <v>307</v>
      </c>
      <c r="E83" s="49" t="s">
        <v>54</v>
      </c>
      <c r="F83" s="49" t="s">
        <v>317</v>
      </c>
      <c r="G83" s="49" t="s">
        <v>37</v>
      </c>
      <c r="H83" s="49" t="s">
        <v>82</v>
      </c>
      <c r="I83" s="1" t="s">
        <v>64</v>
      </c>
      <c r="J83" s="1" t="s">
        <v>40</v>
      </c>
      <c r="K83" s="1" t="s">
        <v>41</v>
      </c>
      <c r="L83" s="1">
        <v>1</v>
      </c>
      <c r="N83" s="1">
        <v>8</v>
      </c>
      <c r="O83" s="1">
        <v>0.5</v>
      </c>
      <c r="P83" s="1">
        <v>0.5</v>
      </c>
      <c r="Q83" s="7">
        <f t="shared" si="3"/>
        <v>0.5</v>
      </c>
      <c r="R83" s="1">
        <v>16.399999999999999</v>
      </c>
      <c r="S83" s="1">
        <v>99</v>
      </c>
      <c r="T83" s="2">
        <f t="shared" si="4"/>
        <v>33</v>
      </c>
      <c r="U83" s="1">
        <v>798</v>
      </c>
      <c r="V83" s="107">
        <f t="shared" si="5"/>
        <v>3291.75</v>
      </c>
      <c r="W83" s="1">
        <v>11</v>
      </c>
      <c r="X83" s="1" t="s">
        <v>51</v>
      </c>
      <c r="Y83" s="1" t="s">
        <v>101</v>
      </c>
      <c r="Z83" s="1" t="s">
        <v>67</v>
      </c>
      <c r="AA83" s="1" t="s">
        <v>52</v>
      </c>
      <c r="AB83" s="49" t="s">
        <v>309</v>
      </c>
    </row>
    <row r="84" spans="1:28" x14ac:dyDescent="0.15">
      <c r="A84" s="49" t="s">
        <v>75</v>
      </c>
      <c r="B84" s="49" t="s">
        <v>306</v>
      </c>
      <c r="C84" s="49">
        <v>2020</v>
      </c>
      <c r="D84" s="88" t="s">
        <v>307</v>
      </c>
      <c r="E84" s="49" t="s">
        <v>54</v>
      </c>
      <c r="F84" s="49" t="s">
        <v>317</v>
      </c>
      <c r="G84" s="49" t="s">
        <v>37</v>
      </c>
      <c r="H84" s="49" t="s">
        <v>82</v>
      </c>
      <c r="I84" s="1" t="s">
        <v>64</v>
      </c>
      <c r="J84" s="1" t="s">
        <v>40</v>
      </c>
      <c r="K84" s="1" t="s">
        <v>41</v>
      </c>
      <c r="L84" s="1">
        <v>2</v>
      </c>
      <c r="N84" s="1">
        <v>8</v>
      </c>
      <c r="O84" s="1">
        <v>0.5</v>
      </c>
      <c r="P84" s="1">
        <v>0.55000000000000004</v>
      </c>
      <c r="Q84" s="7">
        <f t="shared" si="3"/>
        <v>0.52500000000000002</v>
      </c>
      <c r="R84" s="1">
        <v>16.399999999999999</v>
      </c>
      <c r="S84" s="1">
        <v>98</v>
      </c>
      <c r="T84" s="2">
        <f t="shared" si="4"/>
        <v>36</v>
      </c>
      <c r="U84" s="1">
        <v>798</v>
      </c>
      <c r="V84" s="107">
        <f t="shared" si="5"/>
        <v>3591</v>
      </c>
      <c r="W84" s="1">
        <v>11</v>
      </c>
      <c r="X84" s="1" t="s">
        <v>51</v>
      </c>
      <c r="Y84" s="1" t="s">
        <v>101</v>
      </c>
      <c r="Z84" s="1" t="s">
        <v>67</v>
      </c>
      <c r="AA84" s="1" t="s">
        <v>52</v>
      </c>
      <c r="AB84" s="49" t="s">
        <v>309</v>
      </c>
    </row>
    <row r="85" spans="1:28" x14ac:dyDescent="0.15">
      <c r="A85" s="49" t="s">
        <v>75</v>
      </c>
      <c r="B85" s="49" t="s">
        <v>306</v>
      </c>
      <c r="C85" s="49">
        <v>2020</v>
      </c>
      <c r="D85" s="88" t="s">
        <v>307</v>
      </c>
      <c r="E85" s="49" t="s">
        <v>54</v>
      </c>
      <c r="F85" s="49" t="s">
        <v>317</v>
      </c>
      <c r="G85" s="49" t="s">
        <v>37</v>
      </c>
      <c r="H85" s="49" t="s">
        <v>82</v>
      </c>
      <c r="I85" s="1" t="s">
        <v>64</v>
      </c>
      <c r="J85" s="1" t="s">
        <v>40</v>
      </c>
      <c r="K85" s="1" t="s">
        <v>41</v>
      </c>
      <c r="L85" s="1">
        <v>3</v>
      </c>
      <c r="N85" s="1">
        <v>8</v>
      </c>
      <c r="O85" s="1">
        <v>0.55000000000000004</v>
      </c>
      <c r="P85" s="1">
        <v>0.55000000000000004</v>
      </c>
      <c r="Q85" s="7">
        <f t="shared" si="3"/>
        <v>0.55000000000000004</v>
      </c>
      <c r="R85" s="1">
        <v>16.600000000000001</v>
      </c>
      <c r="S85" s="1">
        <v>102</v>
      </c>
      <c r="T85" s="2">
        <f t="shared" si="4"/>
        <v>33</v>
      </c>
      <c r="U85" s="1">
        <v>798</v>
      </c>
      <c r="V85" s="107">
        <f t="shared" si="5"/>
        <v>3291.75</v>
      </c>
      <c r="W85" s="1">
        <v>11</v>
      </c>
      <c r="X85" s="1" t="s">
        <v>51</v>
      </c>
      <c r="Y85" s="1" t="s">
        <v>101</v>
      </c>
      <c r="Z85" s="1" t="s">
        <v>67</v>
      </c>
      <c r="AA85" s="1" t="s">
        <v>52</v>
      </c>
      <c r="AB85" s="49" t="s">
        <v>309</v>
      </c>
    </row>
    <row r="86" spans="1:28" x14ac:dyDescent="0.15">
      <c r="A86" s="49" t="s">
        <v>75</v>
      </c>
      <c r="B86" s="49" t="s">
        <v>306</v>
      </c>
      <c r="C86" s="49">
        <v>2020</v>
      </c>
      <c r="D86" s="88" t="s">
        <v>307</v>
      </c>
      <c r="E86" s="49" t="s">
        <v>54</v>
      </c>
      <c r="F86" s="49" t="s">
        <v>317</v>
      </c>
      <c r="G86" s="49" t="s">
        <v>37</v>
      </c>
      <c r="H86" s="49" t="s">
        <v>63</v>
      </c>
      <c r="I86" s="1" t="s">
        <v>64</v>
      </c>
      <c r="J86" s="1" t="s">
        <v>40</v>
      </c>
      <c r="K86" s="1" t="s">
        <v>41</v>
      </c>
      <c r="L86" s="1">
        <v>1</v>
      </c>
      <c r="N86" s="1">
        <v>1</v>
      </c>
      <c r="O86" s="1">
        <v>0.7</v>
      </c>
      <c r="P86" s="1">
        <v>0.9</v>
      </c>
      <c r="Q86" s="7">
        <f t="shared" si="3"/>
        <v>0.8</v>
      </c>
      <c r="R86" s="1">
        <v>15</v>
      </c>
      <c r="S86" s="1">
        <v>130.5</v>
      </c>
      <c r="T86" s="2">
        <f t="shared" si="4"/>
        <v>25</v>
      </c>
      <c r="U86" s="1">
        <v>98</v>
      </c>
      <c r="V86" s="107">
        <f t="shared" si="5"/>
        <v>2450</v>
      </c>
      <c r="W86" s="1">
        <v>11</v>
      </c>
      <c r="X86" s="1" t="s">
        <v>51</v>
      </c>
      <c r="Y86" s="1" t="s">
        <v>101</v>
      </c>
      <c r="Z86" s="1" t="s">
        <v>67</v>
      </c>
      <c r="AA86" s="1" t="s">
        <v>52</v>
      </c>
      <c r="AB86" s="49" t="s">
        <v>309</v>
      </c>
    </row>
    <row r="87" spans="1:28" x14ac:dyDescent="0.15">
      <c r="A87" s="49" t="s">
        <v>75</v>
      </c>
      <c r="B87" s="49" t="s">
        <v>306</v>
      </c>
      <c r="C87" s="49">
        <v>2020</v>
      </c>
      <c r="D87" s="88" t="s">
        <v>307</v>
      </c>
      <c r="E87" s="49" t="s">
        <v>54</v>
      </c>
      <c r="F87" s="49" t="s">
        <v>317</v>
      </c>
      <c r="G87" s="49" t="s">
        <v>37</v>
      </c>
      <c r="H87" s="49" t="s">
        <v>63</v>
      </c>
      <c r="I87" s="1" t="s">
        <v>64</v>
      </c>
      <c r="J87" s="1" t="s">
        <v>40</v>
      </c>
      <c r="K87" s="1" t="s">
        <v>41</v>
      </c>
      <c r="L87" s="1">
        <v>2</v>
      </c>
      <c r="N87" s="1">
        <v>1</v>
      </c>
      <c r="O87" s="1">
        <v>0.65</v>
      </c>
      <c r="P87" s="1">
        <v>0.75</v>
      </c>
      <c r="Q87" s="7">
        <f t="shared" si="3"/>
        <v>0.7</v>
      </c>
      <c r="R87" s="1">
        <v>15.2</v>
      </c>
      <c r="S87" s="1">
        <v>130</v>
      </c>
      <c r="T87" s="2">
        <f t="shared" si="4"/>
        <v>25</v>
      </c>
      <c r="U87" s="1">
        <v>98</v>
      </c>
      <c r="V87" s="107">
        <f t="shared" si="5"/>
        <v>2450</v>
      </c>
      <c r="W87" s="1">
        <v>11</v>
      </c>
      <c r="X87" s="1" t="s">
        <v>51</v>
      </c>
      <c r="Y87" s="1" t="s">
        <v>101</v>
      </c>
      <c r="Z87" s="1" t="s">
        <v>67</v>
      </c>
      <c r="AA87" s="1" t="s">
        <v>52</v>
      </c>
      <c r="AB87" s="49" t="s">
        <v>309</v>
      </c>
    </row>
    <row r="88" spans="1:28" x14ac:dyDescent="0.15">
      <c r="A88" s="49" t="s">
        <v>75</v>
      </c>
      <c r="B88" s="49" t="s">
        <v>306</v>
      </c>
      <c r="C88" s="49">
        <v>2020</v>
      </c>
      <c r="D88" s="88" t="s">
        <v>307</v>
      </c>
      <c r="E88" s="49" t="s">
        <v>54</v>
      </c>
      <c r="F88" s="49" t="s">
        <v>317</v>
      </c>
      <c r="G88" s="49" t="s">
        <v>37</v>
      </c>
      <c r="H88" s="49" t="s">
        <v>63</v>
      </c>
      <c r="I88" s="1" t="s">
        <v>64</v>
      </c>
      <c r="J88" s="1" t="s">
        <v>40</v>
      </c>
      <c r="K88" s="1" t="s">
        <v>41</v>
      </c>
      <c r="L88" s="1">
        <v>3</v>
      </c>
      <c r="N88" s="1">
        <v>1</v>
      </c>
      <c r="O88" s="1">
        <v>1</v>
      </c>
      <c r="P88" s="1">
        <v>0.95</v>
      </c>
      <c r="Q88" s="7">
        <f t="shared" si="3"/>
        <v>0.97499999999999998</v>
      </c>
      <c r="R88" s="1">
        <v>14.4</v>
      </c>
      <c r="S88" s="1">
        <v>126.5</v>
      </c>
      <c r="T88" s="2">
        <f t="shared" si="4"/>
        <v>27</v>
      </c>
      <c r="U88" s="1">
        <v>98</v>
      </c>
      <c r="V88" s="107">
        <f t="shared" si="5"/>
        <v>2646</v>
      </c>
      <c r="W88" s="1">
        <v>11</v>
      </c>
      <c r="X88" s="1" t="s">
        <v>51</v>
      </c>
      <c r="Y88" s="1" t="s">
        <v>101</v>
      </c>
      <c r="Z88" s="1" t="s">
        <v>67</v>
      </c>
      <c r="AA88" s="1" t="s">
        <v>52</v>
      </c>
      <c r="AB88" s="49" t="s">
        <v>309</v>
      </c>
    </row>
    <row r="89" spans="1:28" x14ac:dyDescent="0.15">
      <c r="A89" s="49" t="s">
        <v>75</v>
      </c>
      <c r="B89" s="49" t="s">
        <v>306</v>
      </c>
      <c r="C89" s="49">
        <v>2020</v>
      </c>
      <c r="D89" s="88" t="s">
        <v>307</v>
      </c>
      <c r="E89" s="49" t="s">
        <v>54</v>
      </c>
      <c r="F89" s="49" t="s">
        <v>317</v>
      </c>
      <c r="G89" s="49" t="s">
        <v>37</v>
      </c>
      <c r="H89" s="49" t="s">
        <v>63</v>
      </c>
      <c r="I89" s="1" t="s">
        <v>64</v>
      </c>
      <c r="J89" s="1" t="s">
        <v>40</v>
      </c>
      <c r="K89" s="1" t="s">
        <v>41</v>
      </c>
      <c r="L89" s="1">
        <v>1</v>
      </c>
      <c r="N89" s="1">
        <v>5</v>
      </c>
      <c r="O89" s="1">
        <v>0.7</v>
      </c>
      <c r="P89" s="1">
        <v>0.55000000000000004</v>
      </c>
      <c r="Q89" s="7">
        <f t="shared" si="3"/>
        <v>0.625</v>
      </c>
      <c r="R89" s="1">
        <v>16.399999999999999</v>
      </c>
      <c r="S89" s="1">
        <v>89</v>
      </c>
      <c r="T89" s="2">
        <f t="shared" si="4"/>
        <v>36</v>
      </c>
      <c r="U89" s="1">
        <v>298</v>
      </c>
      <c r="V89" s="107">
        <f t="shared" si="5"/>
        <v>2145.6</v>
      </c>
      <c r="W89" s="1">
        <v>11</v>
      </c>
      <c r="X89" s="1" t="s">
        <v>51</v>
      </c>
      <c r="Y89" s="1" t="s">
        <v>101</v>
      </c>
      <c r="Z89" s="1" t="s">
        <v>67</v>
      </c>
      <c r="AA89" s="1" t="s">
        <v>52</v>
      </c>
      <c r="AB89" s="49" t="s">
        <v>309</v>
      </c>
    </row>
    <row r="90" spans="1:28" x14ac:dyDescent="0.15">
      <c r="A90" s="49" t="s">
        <v>75</v>
      </c>
      <c r="B90" s="49" t="s">
        <v>306</v>
      </c>
      <c r="C90" s="49">
        <v>2020</v>
      </c>
      <c r="D90" s="88" t="s">
        <v>307</v>
      </c>
      <c r="E90" s="49" t="s">
        <v>54</v>
      </c>
      <c r="F90" s="49" t="s">
        <v>317</v>
      </c>
      <c r="G90" s="49" t="s">
        <v>37</v>
      </c>
      <c r="H90" s="49" t="s">
        <v>63</v>
      </c>
      <c r="I90" s="1" t="s">
        <v>64</v>
      </c>
      <c r="J90" s="1" t="s">
        <v>40</v>
      </c>
      <c r="K90" s="1" t="s">
        <v>41</v>
      </c>
      <c r="L90" s="1">
        <v>2</v>
      </c>
      <c r="N90" s="1">
        <v>5</v>
      </c>
      <c r="O90" s="1">
        <v>0.65</v>
      </c>
      <c r="P90" s="1">
        <v>0.75</v>
      </c>
      <c r="Q90" s="7">
        <f t="shared" si="3"/>
        <v>0.7</v>
      </c>
      <c r="R90" s="1">
        <v>10.5</v>
      </c>
      <c r="S90" s="1">
        <v>91</v>
      </c>
      <c r="T90" s="2">
        <f t="shared" si="4"/>
        <v>36</v>
      </c>
      <c r="U90" s="1">
        <v>298</v>
      </c>
      <c r="V90" s="107">
        <f t="shared" si="5"/>
        <v>2145.6</v>
      </c>
      <c r="W90" s="1">
        <v>11</v>
      </c>
      <c r="X90" s="1" t="s">
        <v>51</v>
      </c>
      <c r="Y90" s="1" t="s">
        <v>101</v>
      </c>
      <c r="Z90" s="1" t="s">
        <v>67</v>
      </c>
      <c r="AA90" s="1" t="s">
        <v>52</v>
      </c>
      <c r="AB90" s="49" t="s">
        <v>309</v>
      </c>
    </row>
    <row r="91" spans="1:28" x14ac:dyDescent="0.15">
      <c r="A91" s="49" t="s">
        <v>75</v>
      </c>
      <c r="B91" s="49" t="s">
        <v>306</v>
      </c>
      <c r="C91" s="49">
        <v>2020</v>
      </c>
      <c r="D91" s="88" t="s">
        <v>307</v>
      </c>
      <c r="E91" s="49" t="s">
        <v>54</v>
      </c>
      <c r="F91" s="49" t="s">
        <v>317</v>
      </c>
      <c r="G91" s="49" t="s">
        <v>37</v>
      </c>
      <c r="H91" s="49" t="s">
        <v>63</v>
      </c>
      <c r="I91" s="1" t="s">
        <v>64</v>
      </c>
      <c r="J91" s="1" t="s">
        <v>40</v>
      </c>
      <c r="K91" s="1" t="s">
        <v>41</v>
      </c>
      <c r="L91" s="1">
        <v>3</v>
      </c>
      <c r="N91" s="1">
        <v>5</v>
      </c>
      <c r="O91" s="1">
        <v>0.55000000000000004</v>
      </c>
      <c r="P91" s="1">
        <v>0.55000000000000004</v>
      </c>
      <c r="Q91" s="7">
        <f t="shared" si="3"/>
        <v>0.55000000000000004</v>
      </c>
      <c r="R91" s="1">
        <v>14.9</v>
      </c>
      <c r="S91" s="1">
        <v>93.5</v>
      </c>
      <c r="T91" s="2">
        <f t="shared" si="4"/>
        <v>36</v>
      </c>
      <c r="U91" s="1">
        <v>298</v>
      </c>
      <c r="V91" s="107">
        <f t="shared" si="5"/>
        <v>2145.6</v>
      </c>
      <c r="W91" s="1">
        <v>11</v>
      </c>
      <c r="X91" s="1" t="s">
        <v>51</v>
      </c>
      <c r="Y91" s="1" t="s">
        <v>101</v>
      </c>
      <c r="Z91" s="1" t="s">
        <v>67</v>
      </c>
      <c r="AA91" s="1" t="s">
        <v>52</v>
      </c>
      <c r="AB91" s="49" t="s">
        <v>309</v>
      </c>
    </row>
    <row r="92" spans="1:28" x14ac:dyDescent="0.15">
      <c r="A92" s="49" t="s">
        <v>75</v>
      </c>
      <c r="B92" s="49" t="s">
        <v>306</v>
      </c>
      <c r="C92" s="49">
        <v>2020</v>
      </c>
      <c r="D92" s="88" t="s">
        <v>307</v>
      </c>
      <c r="E92" s="49" t="s">
        <v>54</v>
      </c>
      <c r="F92" s="49" t="s">
        <v>317</v>
      </c>
      <c r="G92" s="49" t="s">
        <v>37</v>
      </c>
      <c r="H92" s="49" t="s">
        <v>63</v>
      </c>
      <c r="I92" s="1" t="s">
        <v>64</v>
      </c>
      <c r="J92" s="1" t="s">
        <v>40</v>
      </c>
      <c r="K92" s="1" t="s">
        <v>41</v>
      </c>
      <c r="L92" s="1">
        <v>1</v>
      </c>
      <c r="N92" s="1">
        <v>8</v>
      </c>
      <c r="O92" s="1">
        <v>0.5</v>
      </c>
      <c r="P92" s="1">
        <v>0.5</v>
      </c>
      <c r="Q92" s="7">
        <f t="shared" si="3"/>
        <v>0.5</v>
      </c>
      <c r="R92" s="1">
        <v>15.6</v>
      </c>
      <c r="S92" s="1">
        <v>91.5</v>
      </c>
      <c r="T92" s="2">
        <f t="shared" si="4"/>
        <v>36</v>
      </c>
      <c r="U92" s="1">
        <v>598</v>
      </c>
      <c r="V92" s="107">
        <f t="shared" si="5"/>
        <v>2691</v>
      </c>
      <c r="W92" s="1">
        <v>11</v>
      </c>
      <c r="X92" s="1" t="s">
        <v>51</v>
      </c>
      <c r="Y92" s="1" t="s">
        <v>101</v>
      </c>
      <c r="Z92" s="1" t="s">
        <v>67</v>
      </c>
      <c r="AA92" s="1" t="s">
        <v>52</v>
      </c>
      <c r="AB92" s="49" t="s">
        <v>309</v>
      </c>
    </row>
    <row r="93" spans="1:28" x14ac:dyDescent="0.15">
      <c r="A93" s="49" t="s">
        <v>75</v>
      </c>
      <c r="B93" s="49" t="s">
        <v>306</v>
      </c>
      <c r="C93" s="49">
        <v>2020</v>
      </c>
      <c r="D93" s="88" t="s">
        <v>307</v>
      </c>
      <c r="E93" s="49" t="s">
        <v>54</v>
      </c>
      <c r="F93" s="49" t="s">
        <v>317</v>
      </c>
      <c r="G93" s="49" t="s">
        <v>37</v>
      </c>
      <c r="H93" s="49" t="s">
        <v>63</v>
      </c>
      <c r="I93" s="1" t="s">
        <v>64</v>
      </c>
      <c r="J93" s="1" t="s">
        <v>40</v>
      </c>
      <c r="K93" s="1" t="s">
        <v>41</v>
      </c>
      <c r="L93" s="1">
        <v>2</v>
      </c>
      <c r="N93" s="1">
        <v>8</v>
      </c>
      <c r="O93" s="1">
        <v>0.5</v>
      </c>
      <c r="P93" s="1">
        <v>0.5</v>
      </c>
      <c r="Q93" s="7">
        <f t="shared" si="3"/>
        <v>0.5</v>
      </c>
      <c r="R93" s="1">
        <v>14.7</v>
      </c>
      <c r="S93" s="1">
        <v>87.5</v>
      </c>
      <c r="T93" s="2">
        <f t="shared" si="4"/>
        <v>36</v>
      </c>
      <c r="U93" s="1">
        <v>598</v>
      </c>
      <c r="V93" s="107">
        <f t="shared" si="5"/>
        <v>2691</v>
      </c>
      <c r="W93" s="1">
        <v>11</v>
      </c>
      <c r="X93" s="1" t="s">
        <v>51</v>
      </c>
      <c r="Y93" s="1" t="s">
        <v>101</v>
      </c>
      <c r="Z93" s="1" t="s">
        <v>67</v>
      </c>
      <c r="AA93" s="1" t="s">
        <v>52</v>
      </c>
      <c r="AB93" s="49" t="s">
        <v>309</v>
      </c>
    </row>
    <row r="94" spans="1:28" x14ac:dyDescent="0.15">
      <c r="A94" s="49" t="s">
        <v>75</v>
      </c>
      <c r="B94" s="49" t="s">
        <v>306</v>
      </c>
      <c r="C94" s="49">
        <v>2020</v>
      </c>
      <c r="D94" s="88" t="s">
        <v>307</v>
      </c>
      <c r="E94" s="49" t="s">
        <v>54</v>
      </c>
      <c r="F94" s="49" t="s">
        <v>317</v>
      </c>
      <c r="G94" s="49" t="s">
        <v>37</v>
      </c>
      <c r="H94" s="49" t="s">
        <v>63</v>
      </c>
      <c r="I94" s="1" t="s">
        <v>64</v>
      </c>
      <c r="J94" s="1" t="s">
        <v>40</v>
      </c>
      <c r="K94" s="1" t="s">
        <v>41</v>
      </c>
      <c r="L94" s="1">
        <v>3</v>
      </c>
      <c r="N94" s="1">
        <v>8</v>
      </c>
      <c r="O94" s="1">
        <v>0.5</v>
      </c>
      <c r="P94" s="1">
        <v>0.5</v>
      </c>
      <c r="Q94" s="7">
        <f t="shared" si="3"/>
        <v>0.5</v>
      </c>
      <c r="R94" s="1">
        <v>15.2</v>
      </c>
      <c r="S94" s="1">
        <v>89</v>
      </c>
      <c r="T94" s="2">
        <f t="shared" si="4"/>
        <v>36</v>
      </c>
      <c r="U94" s="1">
        <v>598</v>
      </c>
      <c r="V94" s="107">
        <f t="shared" si="5"/>
        <v>2691</v>
      </c>
      <c r="W94" s="1">
        <v>11</v>
      </c>
      <c r="X94" s="1" t="s">
        <v>51</v>
      </c>
      <c r="Y94" s="1" t="s">
        <v>101</v>
      </c>
      <c r="Z94" s="1" t="s">
        <v>67</v>
      </c>
      <c r="AA94" s="1" t="s">
        <v>52</v>
      </c>
      <c r="AB94" s="49" t="s">
        <v>309</v>
      </c>
    </row>
    <row r="95" spans="1:28" x14ac:dyDescent="0.15">
      <c r="A95" s="49" t="s">
        <v>75</v>
      </c>
      <c r="B95" s="49" t="s">
        <v>306</v>
      </c>
      <c r="C95" s="49">
        <v>2020</v>
      </c>
      <c r="D95" s="88" t="s">
        <v>307</v>
      </c>
      <c r="E95" s="49" t="s">
        <v>189</v>
      </c>
      <c r="F95" s="49" t="s">
        <v>319</v>
      </c>
      <c r="G95" s="49" t="s">
        <v>37</v>
      </c>
      <c r="H95" s="49" t="s">
        <v>82</v>
      </c>
      <c r="I95" s="1" t="s">
        <v>64</v>
      </c>
      <c r="J95" s="1" t="s">
        <v>40</v>
      </c>
      <c r="K95" s="1" t="s">
        <v>41</v>
      </c>
      <c r="L95" s="1">
        <v>1</v>
      </c>
      <c r="N95" s="1">
        <v>1</v>
      </c>
      <c r="O95" s="1">
        <v>0.65</v>
      </c>
      <c r="P95" s="1">
        <v>0.65</v>
      </c>
      <c r="Q95" s="2">
        <f t="shared" si="3"/>
        <v>0.65</v>
      </c>
      <c r="R95" s="1">
        <v>19</v>
      </c>
      <c r="S95" s="1">
        <v>145.5</v>
      </c>
      <c r="T95" s="2">
        <f t="shared" si="4"/>
        <v>22</v>
      </c>
      <c r="U95" s="1">
        <v>138</v>
      </c>
      <c r="V95" s="2">
        <f t="shared" si="5"/>
        <v>3036</v>
      </c>
      <c r="W95" s="1">
        <v>19</v>
      </c>
      <c r="X95" s="1" t="s">
        <v>51</v>
      </c>
      <c r="Y95" s="1" t="s">
        <v>101</v>
      </c>
      <c r="Z95" s="1" t="s">
        <v>67</v>
      </c>
      <c r="AA95" s="1" t="s">
        <v>85</v>
      </c>
      <c r="AB95" s="49" t="s">
        <v>309</v>
      </c>
    </row>
    <row r="96" spans="1:28" x14ac:dyDescent="0.15">
      <c r="A96" s="49" t="s">
        <v>75</v>
      </c>
      <c r="B96" s="49" t="s">
        <v>306</v>
      </c>
      <c r="C96" s="49">
        <v>2020</v>
      </c>
      <c r="D96" s="88" t="s">
        <v>307</v>
      </c>
      <c r="E96" s="49" t="s">
        <v>189</v>
      </c>
      <c r="F96" s="49" t="s">
        <v>319</v>
      </c>
      <c r="G96" s="49" t="s">
        <v>37</v>
      </c>
      <c r="H96" s="49" t="s">
        <v>82</v>
      </c>
      <c r="I96" s="1" t="s">
        <v>64</v>
      </c>
      <c r="J96" s="1" t="s">
        <v>40</v>
      </c>
      <c r="K96" s="1" t="s">
        <v>41</v>
      </c>
      <c r="L96" s="1">
        <v>2</v>
      </c>
      <c r="N96" s="1">
        <v>1</v>
      </c>
      <c r="O96" s="1">
        <v>0.75</v>
      </c>
      <c r="P96" s="1">
        <v>0.9</v>
      </c>
      <c r="Q96" s="7">
        <f t="shared" si="3"/>
        <v>0.82499999999999996</v>
      </c>
      <c r="R96" s="1">
        <v>15.2</v>
      </c>
      <c r="S96" s="1">
        <v>145</v>
      </c>
      <c r="T96" s="2">
        <f t="shared" si="4"/>
        <v>22</v>
      </c>
      <c r="U96" s="1">
        <v>138</v>
      </c>
      <c r="V96" s="107">
        <f t="shared" si="5"/>
        <v>3036</v>
      </c>
      <c r="W96" s="1">
        <v>19</v>
      </c>
      <c r="X96" s="1" t="s">
        <v>51</v>
      </c>
      <c r="Y96" s="1" t="s">
        <v>101</v>
      </c>
      <c r="Z96" s="1" t="s">
        <v>67</v>
      </c>
      <c r="AA96" s="1" t="s">
        <v>85</v>
      </c>
      <c r="AB96" s="49" t="s">
        <v>309</v>
      </c>
    </row>
    <row r="97" spans="1:28" x14ac:dyDescent="0.15">
      <c r="A97" s="49" t="s">
        <v>75</v>
      </c>
      <c r="B97" s="49" t="s">
        <v>306</v>
      </c>
      <c r="C97" s="49">
        <v>2020</v>
      </c>
      <c r="D97" s="88" t="s">
        <v>307</v>
      </c>
      <c r="E97" s="49" t="s">
        <v>189</v>
      </c>
      <c r="F97" s="49" t="s">
        <v>319</v>
      </c>
      <c r="G97" s="49" t="s">
        <v>37</v>
      </c>
      <c r="H97" s="49" t="s">
        <v>82</v>
      </c>
      <c r="I97" s="1" t="s">
        <v>64</v>
      </c>
      <c r="J97" s="1" t="s">
        <v>40</v>
      </c>
      <c r="K97" s="1" t="s">
        <v>41</v>
      </c>
      <c r="L97" s="1">
        <v>3</v>
      </c>
      <c r="N97" s="1">
        <v>1</v>
      </c>
      <c r="O97" s="1">
        <v>0.7</v>
      </c>
      <c r="P97" s="1">
        <v>0.7</v>
      </c>
      <c r="Q97" s="7">
        <f t="shared" si="3"/>
        <v>0.7</v>
      </c>
      <c r="R97" s="1">
        <v>15.4</v>
      </c>
      <c r="S97" s="1">
        <v>145.5</v>
      </c>
      <c r="T97" s="2">
        <f t="shared" si="4"/>
        <v>22</v>
      </c>
      <c r="U97" s="1">
        <v>138</v>
      </c>
      <c r="V97" s="107">
        <f t="shared" si="5"/>
        <v>3036</v>
      </c>
      <c r="W97" s="1">
        <v>19</v>
      </c>
      <c r="X97" s="1" t="s">
        <v>51</v>
      </c>
      <c r="Y97" s="1" t="s">
        <v>101</v>
      </c>
      <c r="Z97" s="1" t="s">
        <v>67</v>
      </c>
      <c r="AA97" s="1" t="s">
        <v>85</v>
      </c>
      <c r="AB97" s="49" t="s">
        <v>309</v>
      </c>
    </row>
    <row r="98" spans="1:28" x14ac:dyDescent="0.15">
      <c r="A98" s="49" t="s">
        <v>75</v>
      </c>
      <c r="B98" s="49" t="s">
        <v>306</v>
      </c>
      <c r="C98" s="49">
        <v>2020</v>
      </c>
      <c r="D98" s="88" t="s">
        <v>307</v>
      </c>
      <c r="E98" s="49" t="s">
        <v>189</v>
      </c>
      <c r="F98" s="49" t="s">
        <v>319</v>
      </c>
      <c r="G98" s="49" t="s">
        <v>37</v>
      </c>
      <c r="H98" s="49" t="s">
        <v>82</v>
      </c>
      <c r="I98" s="1" t="s">
        <v>64</v>
      </c>
      <c r="J98" s="1" t="s">
        <v>40</v>
      </c>
      <c r="K98" s="1" t="s">
        <v>41</v>
      </c>
      <c r="L98" s="1">
        <v>1</v>
      </c>
      <c r="N98" s="1">
        <v>4</v>
      </c>
      <c r="O98" s="1">
        <v>0.9</v>
      </c>
      <c r="P98" s="1">
        <v>0.85</v>
      </c>
      <c r="Q98" s="7">
        <f t="shared" si="3"/>
        <v>0.875</v>
      </c>
      <c r="R98" s="1">
        <v>15</v>
      </c>
      <c r="S98" s="1">
        <v>110.5</v>
      </c>
      <c r="T98" s="2">
        <f t="shared" si="4"/>
        <v>33</v>
      </c>
      <c r="U98" s="1">
        <v>498</v>
      </c>
      <c r="V98" s="107">
        <f t="shared" si="5"/>
        <v>4108.5</v>
      </c>
      <c r="W98" s="1">
        <v>19</v>
      </c>
      <c r="X98" s="1" t="s">
        <v>51</v>
      </c>
      <c r="Y98" s="1" t="s">
        <v>101</v>
      </c>
      <c r="Z98" s="1" t="s">
        <v>67</v>
      </c>
      <c r="AA98" s="1" t="s">
        <v>85</v>
      </c>
      <c r="AB98" s="49" t="s">
        <v>309</v>
      </c>
    </row>
    <row r="99" spans="1:28" x14ac:dyDescent="0.15">
      <c r="A99" s="49" t="s">
        <v>75</v>
      </c>
      <c r="B99" s="49" t="s">
        <v>306</v>
      </c>
      <c r="C99" s="49">
        <v>2020</v>
      </c>
      <c r="D99" s="88" t="s">
        <v>307</v>
      </c>
      <c r="E99" s="49" t="s">
        <v>189</v>
      </c>
      <c r="F99" s="49" t="s">
        <v>319</v>
      </c>
      <c r="G99" s="49" t="s">
        <v>37</v>
      </c>
      <c r="H99" s="49" t="s">
        <v>82</v>
      </c>
      <c r="I99" s="1" t="s">
        <v>64</v>
      </c>
      <c r="J99" s="1" t="s">
        <v>40</v>
      </c>
      <c r="K99" s="1" t="s">
        <v>41</v>
      </c>
      <c r="L99" s="1">
        <v>2</v>
      </c>
      <c r="N99" s="1">
        <v>4</v>
      </c>
      <c r="O99" s="1">
        <v>1.1000000000000001</v>
      </c>
      <c r="P99" s="1">
        <v>1</v>
      </c>
      <c r="Q99" s="7">
        <f t="shared" si="3"/>
        <v>1.05</v>
      </c>
      <c r="R99" s="1">
        <v>15.1</v>
      </c>
      <c r="S99" s="1">
        <v>110</v>
      </c>
      <c r="T99" s="2">
        <f t="shared" si="4"/>
        <v>33</v>
      </c>
      <c r="U99" s="1">
        <v>498</v>
      </c>
      <c r="V99" s="107">
        <f t="shared" si="5"/>
        <v>4108.5</v>
      </c>
      <c r="W99" s="1">
        <v>19</v>
      </c>
      <c r="X99" s="1" t="s">
        <v>51</v>
      </c>
      <c r="Y99" s="1" t="s">
        <v>101</v>
      </c>
      <c r="Z99" s="1" t="s">
        <v>67</v>
      </c>
      <c r="AA99" s="1" t="s">
        <v>85</v>
      </c>
      <c r="AB99" s="49" t="s">
        <v>309</v>
      </c>
    </row>
    <row r="100" spans="1:28" x14ac:dyDescent="0.15">
      <c r="A100" s="49" t="s">
        <v>75</v>
      </c>
      <c r="B100" s="49" t="s">
        <v>306</v>
      </c>
      <c r="C100" s="49">
        <v>2020</v>
      </c>
      <c r="D100" s="88" t="s">
        <v>307</v>
      </c>
      <c r="E100" s="49" t="s">
        <v>189</v>
      </c>
      <c r="F100" s="49" t="s">
        <v>319</v>
      </c>
      <c r="G100" s="49" t="s">
        <v>37</v>
      </c>
      <c r="H100" s="49" t="s">
        <v>82</v>
      </c>
      <c r="I100" s="1" t="s">
        <v>64</v>
      </c>
      <c r="J100" s="1" t="s">
        <v>40</v>
      </c>
      <c r="K100" s="1" t="s">
        <v>41</v>
      </c>
      <c r="L100" s="1">
        <v>3</v>
      </c>
      <c r="N100" s="1">
        <v>4</v>
      </c>
      <c r="O100" s="1">
        <v>0.75</v>
      </c>
      <c r="P100" s="1">
        <v>0.55000000000000004</v>
      </c>
      <c r="Q100" s="7">
        <f t="shared" si="3"/>
        <v>0.65</v>
      </c>
      <c r="R100" s="1">
        <v>14.4</v>
      </c>
      <c r="S100" s="1">
        <v>100.5</v>
      </c>
      <c r="T100" s="2">
        <f t="shared" si="4"/>
        <v>33</v>
      </c>
      <c r="U100" s="1">
        <v>498</v>
      </c>
      <c r="V100" s="107">
        <f t="shared" si="5"/>
        <v>4108.5</v>
      </c>
      <c r="W100" s="1">
        <v>19</v>
      </c>
      <c r="X100" s="1" t="s">
        <v>51</v>
      </c>
      <c r="Y100" s="1" t="s">
        <v>101</v>
      </c>
      <c r="Z100" s="1" t="s">
        <v>67</v>
      </c>
      <c r="AA100" s="1" t="s">
        <v>85</v>
      </c>
      <c r="AB100" s="49" t="s">
        <v>309</v>
      </c>
    </row>
    <row r="101" spans="1:28" x14ac:dyDescent="0.15">
      <c r="A101" s="49" t="s">
        <v>75</v>
      </c>
      <c r="B101" s="49" t="s">
        <v>306</v>
      </c>
      <c r="C101" s="49">
        <v>2020</v>
      </c>
      <c r="D101" s="88" t="s">
        <v>307</v>
      </c>
      <c r="E101" s="49" t="s">
        <v>189</v>
      </c>
      <c r="F101" s="49" t="s">
        <v>319</v>
      </c>
      <c r="G101" s="49" t="s">
        <v>37</v>
      </c>
      <c r="H101" s="49" t="s">
        <v>63</v>
      </c>
      <c r="I101" s="1" t="s">
        <v>64</v>
      </c>
      <c r="J101" s="1" t="s">
        <v>40</v>
      </c>
      <c r="K101" s="1" t="s">
        <v>41</v>
      </c>
      <c r="L101" s="1">
        <v>1</v>
      </c>
      <c r="N101" s="1">
        <v>1</v>
      </c>
      <c r="O101" s="1">
        <v>0.9</v>
      </c>
      <c r="P101" s="1">
        <v>0.75</v>
      </c>
      <c r="Q101" s="7">
        <f t="shared" si="3"/>
        <v>0.82499999999999996</v>
      </c>
      <c r="R101" s="1">
        <v>14.1</v>
      </c>
      <c r="S101" s="1">
        <v>136</v>
      </c>
      <c r="T101" s="2">
        <f t="shared" si="4"/>
        <v>25</v>
      </c>
      <c r="U101" s="1">
        <v>128</v>
      </c>
      <c r="V101" s="107">
        <f t="shared" si="5"/>
        <v>3200</v>
      </c>
      <c r="W101" s="1">
        <v>19</v>
      </c>
      <c r="X101" s="1" t="s">
        <v>51</v>
      </c>
      <c r="Y101" s="1" t="s">
        <v>101</v>
      </c>
      <c r="Z101" s="1" t="s">
        <v>67</v>
      </c>
      <c r="AA101" s="1" t="s">
        <v>85</v>
      </c>
      <c r="AB101" s="49" t="s">
        <v>309</v>
      </c>
    </row>
    <row r="102" spans="1:28" x14ac:dyDescent="0.15">
      <c r="A102" s="49" t="s">
        <v>75</v>
      </c>
      <c r="B102" s="49" t="s">
        <v>306</v>
      </c>
      <c r="C102" s="49">
        <v>2020</v>
      </c>
      <c r="D102" s="88" t="s">
        <v>307</v>
      </c>
      <c r="E102" s="49" t="s">
        <v>189</v>
      </c>
      <c r="F102" s="49" t="s">
        <v>319</v>
      </c>
      <c r="G102" s="49" t="s">
        <v>37</v>
      </c>
      <c r="H102" s="49" t="s">
        <v>63</v>
      </c>
      <c r="I102" s="1" t="s">
        <v>64</v>
      </c>
      <c r="J102" s="1" t="s">
        <v>40</v>
      </c>
      <c r="K102" s="1" t="s">
        <v>41</v>
      </c>
      <c r="L102" s="1">
        <v>2</v>
      </c>
      <c r="N102" s="1">
        <v>1</v>
      </c>
      <c r="O102" s="1">
        <v>0.9</v>
      </c>
      <c r="P102" s="1">
        <v>0.95</v>
      </c>
      <c r="Q102" s="7">
        <f t="shared" si="3"/>
        <v>0.92500000000000004</v>
      </c>
      <c r="R102" s="1">
        <v>14.2</v>
      </c>
      <c r="S102" s="1">
        <v>139.5</v>
      </c>
      <c r="T102" s="2">
        <f t="shared" si="4"/>
        <v>22</v>
      </c>
      <c r="U102" s="1">
        <v>128</v>
      </c>
      <c r="V102" s="107">
        <f t="shared" si="5"/>
        <v>2816</v>
      </c>
      <c r="W102" s="1">
        <v>19</v>
      </c>
      <c r="X102" s="1" t="s">
        <v>51</v>
      </c>
      <c r="Y102" s="1" t="s">
        <v>101</v>
      </c>
      <c r="Z102" s="1" t="s">
        <v>67</v>
      </c>
      <c r="AA102" s="1" t="s">
        <v>85</v>
      </c>
      <c r="AB102" s="49" t="s">
        <v>309</v>
      </c>
    </row>
    <row r="103" spans="1:28" x14ac:dyDescent="0.15">
      <c r="A103" s="49" t="s">
        <v>75</v>
      </c>
      <c r="B103" s="49" t="s">
        <v>306</v>
      </c>
      <c r="C103" s="49">
        <v>2020</v>
      </c>
      <c r="D103" s="88" t="s">
        <v>307</v>
      </c>
      <c r="E103" s="49" t="s">
        <v>189</v>
      </c>
      <c r="F103" s="49" t="s">
        <v>319</v>
      </c>
      <c r="G103" s="49" t="s">
        <v>37</v>
      </c>
      <c r="H103" s="49" t="s">
        <v>63</v>
      </c>
      <c r="I103" s="1" t="s">
        <v>64</v>
      </c>
      <c r="J103" s="1" t="s">
        <v>40</v>
      </c>
      <c r="K103" s="1" t="s">
        <v>41</v>
      </c>
      <c r="L103" s="1">
        <v>3</v>
      </c>
      <c r="N103" s="1">
        <v>1</v>
      </c>
      <c r="O103" s="1">
        <v>0.75</v>
      </c>
      <c r="P103" s="1">
        <v>0.75</v>
      </c>
      <c r="Q103" s="7">
        <f t="shared" si="3"/>
        <v>0.75</v>
      </c>
      <c r="R103" s="1">
        <v>15.2</v>
      </c>
      <c r="S103" s="1">
        <v>135.5</v>
      </c>
      <c r="T103" s="2">
        <f t="shared" si="4"/>
        <v>25</v>
      </c>
      <c r="U103" s="1">
        <v>128</v>
      </c>
      <c r="V103" s="107">
        <f t="shared" si="5"/>
        <v>3200</v>
      </c>
      <c r="W103" s="1">
        <v>19</v>
      </c>
      <c r="X103" s="1" t="s">
        <v>51</v>
      </c>
      <c r="Y103" s="1" t="s">
        <v>101</v>
      </c>
      <c r="Z103" s="1" t="s">
        <v>67</v>
      </c>
      <c r="AA103" s="1" t="s">
        <v>85</v>
      </c>
      <c r="AB103" s="49" t="s">
        <v>309</v>
      </c>
    </row>
    <row r="104" spans="1:28" x14ac:dyDescent="0.15">
      <c r="A104" s="49" t="s">
        <v>75</v>
      </c>
      <c r="B104" s="49" t="s">
        <v>306</v>
      </c>
      <c r="C104" s="49">
        <v>2020</v>
      </c>
      <c r="D104" s="88" t="s">
        <v>307</v>
      </c>
      <c r="E104" s="49" t="s">
        <v>189</v>
      </c>
      <c r="F104" s="49" t="s">
        <v>319</v>
      </c>
      <c r="G104" s="49" t="s">
        <v>37</v>
      </c>
      <c r="H104" s="49" t="s">
        <v>63</v>
      </c>
      <c r="I104" s="1" t="s">
        <v>64</v>
      </c>
      <c r="J104" s="1" t="s">
        <v>40</v>
      </c>
      <c r="K104" s="1" t="s">
        <v>41</v>
      </c>
      <c r="L104" s="1">
        <v>1</v>
      </c>
      <c r="N104" s="1">
        <v>4</v>
      </c>
      <c r="O104" s="1">
        <v>0.75</v>
      </c>
      <c r="P104" s="1">
        <v>0.75</v>
      </c>
      <c r="Q104" s="7">
        <f t="shared" si="3"/>
        <v>0.75</v>
      </c>
      <c r="R104" s="1">
        <v>14.5</v>
      </c>
      <c r="S104" s="1">
        <v>98.5</v>
      </c>
      <c r="T104" s="2">
        <f t="shared" si="4"/>
        <v>36</v>
      </c>
      <c r="U104" s="1">
        <v>398</v>
      </c>
      <c r="V104" s="107">
        <f t="shared" si="5"/>
        <v>3582</v>
      </c>
      <c r="W104" s="1">
        <v>19</v>
      </c>
      <c r="X104" s="1" t="s">
        <v>51</v>
      </c>
      <c r="Y104" s="1" t="s">
        <v>101</v>
      </c>
      <c r="Z104" s="1" t="s">
        <v>67</v>
      </c>
      <c r="AA104" s="1" t="s">
        <v>85</v>
      </c>
      <c r="AB104" s="49" t="s">
        <v>309</v>
      </c>
    </row>
    <row r="105" spans="1:28" x14ac:dyDescent="0.15">
      <c r="A105" s="49" t="s">
        <v>75</v>
      </c>
      <c r="B105" s="49" t="s">
        <v>306</v>
      </c>
      <c r="C105" s="49">
        <v>2020</v>
      </c>
      <c r="D105" s="88" t="s">
        <v>307</v>
      </c>
      <c r="E105" s="49" t="s">
        <v>189</v>
      </c>
      <c r="F105" s="49" t="s">
        <v>319</v>
      </c>
      <c r="G105" s="49" t="s">
        <v>37</v>
      </c>
      <c r="H105" s="49" t="s">
        <v>63</v>
      </c>
      <c r="I105" s="1" t="s">
        <v>64</v>
      </c>
      <c r="J105" s="1" t="s">
        <v>40</v>
      </c>
      <c r="K105" s="1" t="s">
        <v>41</v>
      </c>
      <c r="L105" s="1">
        <v>2</v>
      </c>
      <c r="N105" s="1">
        <v>4</v>
      </c>
      <c r="O105" s="1">
        <v>0.7</v>
      </c>
      <c r="P105" s="1">
        <v>0.75</v>
      </c>
      <c r="Q105" s="7">
        <f t="shared" si="3"/>
        <v>0.72499999999999998</v>
      </c>
      <c r="R105" s="1">
        <v>14.9</v>
      </c>
      <c r="S105" s="1">
        <v>95.5</v>
      </c>
      <c r="T105" s="2">
        <f t="shared" si="4"/>
        <v>36</v>
      </c>
      <c r="U105" s="1">
        <v>398</v>
      </c>
      <c r="V105" s="107">
        <f t="shared" si="5"/>
        <v>3582</v>
      </c>
      <c r="W105" s="1">
        <v>19</v>
      </c>
      <c r="X105" s="1" t="s">
        <v>51</v>
      </c>
      <c r="Y105" s="1" t="s">
        <v>101</v>
      </c>
      <c r="Z105" s="1" t="s">
        <v>67</v>
      </c>
      <c r="AA105" s="1" t="s">
        <v>85</v>
      </c>
      <c r="AB105" s="49" t="s">
        <v>309</v>
      </c>
    </row>
    <row r="106" spans="1:28" x14ac:dyDescent="0.15">
      <c r="A106" s="49" t="s">
        <v>75</v>
      </c>
      <c r="B106" s="49" t="s">
        <v>306</v>
      </c>
      <c r="C106" s="49">
        <v>2020</v>
      </c>
      <c r="D106" s="88" t="s">
        <v>307</v>
      </c>
      <c r="E106" s="49" t="s">
        <v>189</v>
      </c>
      <c r="F106" s="49" t="s">
        <v>319</v>
      </c>
      <c r="G106" s="49" t="s">
        <v>37</v>
      </c>
      <c r="H106" s="49" t="s">
        <v>63</v>
      </c>
      <c r="I106" s="1" t="s">
        <v>64</v>
      </c>
      <c r="J106" s="1" t="s">
        <v>40</v>
      </c>
      <c r="K106" s="1" t="s">
        <v>41</v>
      </c>
      <c r="L106" s="1">
        <v>3</v>
      </c>
      <c r="N106" s="1">
        <v>4</v>
      </c>
      <c r="O106" s="1">
        <v>1</v>
      </c>
      <c r="P106" s="1">
        <v>0.9</v>
      </c>
      <c r="Q106" s="7">
        <f t="shared" si="3"/>
        <v>0.95</v>
      </c>
      <c r="R106" s="1">
        <v>15.5</v>
      </c>
      <c r="S106" s="1">
        <v>96.5</v>
      </c>
      <c r="T106" s="2">
        <f t="shared" si="4"/>
        <v>36</v>
      </c>
      <c r="U106" s="1">
        <v>398</v>
      </c>
      <c r="V106" s="107">
        <f t="shared" si="5"/>
        <v>3582</v>
      </c>
      <c r="W106" s="1">
        <v>19</v>
      </c>
      <c r="X106" s="1" t="s">
        <v>51</v>
      </c>
      <c r="Y106" s="1" t="s">
        <v>101</v>
      </c>
      <c r="Z106" s="1" t="s">
        <v>67</v>
      </c>
      <c r="AA106" s="1" t="s">
        <v>85</v>
      </c>
      <c r="AB106" s="49" t="s">
        <v>309</v>
      </c>
    </row>
    <row r="107" spans="1:28" x14ac:dyDescent="0.15">
      <c r="A107" s="49" t="s">
        <v>75</v>
      </c>
      <c r="B107" s="49" t="s">
        <v>306</v>
      </c>
      <c r="C107" s="49">
        <v>2020</v>
      </c>
      <c r="D107" s="88" t="s">
        <v>307</v>
      </c>
      <c r="E107" s="49" t="s">
        <v>189</v>
      </c>
      <c r="F107" s="49" t="s">
        <v>319</v>
      </c>
      <c r="G107" s="49" t="s">
        <v>37</v>
      </c>
      <c r="H107" s="49" t="s">
        <v>63</v>
      </c>
      <c r="I107" s="1" t="s">
        <v>64</v>
      </c>
      <c r="J107" s="1" t="s">
        <v>40</v>
      </c>
      <c r="K107" s="1" t="s">
        <v>41</v>
      </c>
      <c r="L107" s="1">
        <v>1</v>
      </c>
      <c r="N107" s="1">
        <v>8</v>
      </c>
      <c r="O107" s="1">
        <v>0.6</v>
      </c>
      <c r="P107" s="1">
        <v>0.55000000000000004</v>
      </c>
      <c r="Q107" s="7">
        <f t="shared" si="3"/>
        <v>0.57499999999999996</v>
      </c>
      <c r="R107" s="1">
        <v>14.3</v>
      </c>
      <c r="S107" s="1">
        <v>75.5</v>
      </c>
      <c r="T107" s="2">
        <f t="shared" si="4"/>
        <v>42</v>
      </c>
      <c r="U107" s="1">
        <v>498</v>
      </c>
      <c r="V107" s="107">
        <f t="shared" si="5"/>
        <v>2614.5</v>
      </c>
      <c r="W107" s="1">
        <v>19</v>
      </c>
      <c r="X107" s="1" t="s">
        <v>51</v>
      </c>
      <c r="Y107" s="1" t="s">
        <v>101</v>
      </c>
      <c r="Z107" s="1" t="s">
        <v>67</v>
      </c>
      <c r="AA107" s="1" t="s">
        <v>85</v>
      </c>
      <c r="AB107" s="49" t="s">
        <v>309</v>
      </c>
    </row>
    <row r="108" spans="1:28" x14ac:dyDescent="0.15">
      <c r="A108" s="49" t="s">
        <v>75</v>
      </c>
      <c r="B108" s="49" t="s">
        <v>306</v>
      </c>
      <c r="C108" s="49">
        <v>2020</v>
      </c>
      <c r="D108" s="88" t="s">
        <v>307</v>
      </c>
      <c r="E108" s="49" t="s">
        <v>189</v>
      </c>
      <c r="F108" s="49" t="s">
        <v>319</v>
      </c>
      <c r="G108" s="49" t="s">
        <v>37</v>
      </c>
      <c r="H108" s="49" t="s">
        <v>63</v>
      </c>
      <c r="I108" s="1" t="s">
        <v>64</v>
      </c>
      <c r="J108" s="1" t="s">
        <v>40</v>
      </c>
      <c r="K108" s="1" t="s">
        <v>41</v>
      </c>
      <c r="L108" s="1">
        <v>2</v>
      </c>
      <c r="N108" s="1">
        <v>8</v>
      </c>
      <c r="O108" s="1">
        <v>1.1000000000000001</v>
      </c>
      <c r="P108" s="1">
        <v>1.05</v>
      </c>
      <c r="Q108" s="7">
        <f t="shared" si="3"/>
        <v>1.0750000000000002</v>
      </c>
      <c r="R108" s="1">
        <v>14.7</v>
      </c>
      <c r="S108" s="1">
        <v>79.5</v>
      </c>
      <c r="T108" s="2">
        <f t="shared" si="4"/>
        <v>39</v>
      </c>
      <c r="U108" s="1">
        <v>498</v>
      </c>
      <c r="V108" s="107">
        <f t="shared" si="5"/>
        <v>2427.75</v>
      </c>
      <c r="W108" s="1">
        <v>19</v>
      </c>
      <c r="X108" s="1" t="s">
        <v>51</v>
      </c>
      <c r="Y108" s="1" t="s">
        <v>101</v>
      </c>
      <c r="Z108" s="1" t="s">
        <v>67</v>
      </c>
      <c r="AA108" s="1" t="s">
        <v>85</v>
      </c>
      <c r="AB108" s="49" t="s">
        <v>309</v>
      </c>
    </row>
    <row r="109" spans="1:28" x14ac:dyDescent="0.15">
      <c r="A109" s="49" t="s">
        <v>75</v>
      </c>
      <c r="B109" s="49" t="s">
        <v>306</v>
      </c>
      <c r="C109" s="49">
        <v>2020</v>
      </c>
      <c r="D109" s="88" t="s">
        <v>307</v>
      </c>
      <c r="E109" s="49" t="s">
        <v>189</v>
      </c>
      <c r="F109" s="49" t="s">
        <v>319</v>
      </c>
      <c r="G109" s="49" t="s">
        <v>37</v>
      </c>
      <c r="H109" s="49" t="s">
        <v>63</v>
      </c>
      <c r="I109" s="1" t="s">
        <v>64</v>
      </c>
      <c r="J109" s="1" t="s">
        <v>40</v>
      </c>
      <c r="K109" s="1" t="s">
        <v>41</v>
      </c>
      <c r="L109" s="1">
        <v>3</v>
      </c>
      <c r="N109" s="1">
        <v>8</v>
      </c>
      <c r="O109" s="1">
        <v>1.4</v>
      </c>
      <c r="P109" s="1">
        <v>1.1499999999999999</v>
      </c>
      <c r="Q109" s="7">
        <f t="shared" si="3"/>
        <v>1.2749999999999999</v>
      </c>
      <c r="R109" s="1">
        <v>11.5</v>
      </c>
      <c r="S109" s="1">
        <v>79.5</v>
      </c>
      <c r="T109" s="2">
        <f t="shared" si="4"/>
        <v>39</v>
      </c>
      <c r="U109" s="1">
        <v>498</v>
      </c>
      <c r="V109" s="107">
        <f t="shared" si="5"/>
        <v>2427.75</v>
      </c>
      <c r="W109" s="1">
        <v>19</v>
      </c>
      <c r="X109" s="1" t="s">
        <v>51</v>
      </c>
      <c r="Y109" s="1" t="s">
        <v>101</v>
      </c>
      <c r="Z109" s="1" t="s">
        <v>67</v>
      </c>
      <c r="AA109" s="1" t="s">
        <v>85</v>
      </c>
      <c r="AB109" s="49" t="s">
        <v>309</v>
      </c>
    </row>
    <row r="110" spans="1:28" x14ac:dyDescent="0.15">
      <c r="A110" s="49" t="s">
        <v>75</v>
      </c>
      <c r="B110" s="49" t="s">
        <v>306</v>
      </c>
      <c r="C110" s="49">
        <v>2020</v>
      </c>
      <c r="D110" s="88" t="s">
        <v>307</v>
      </c>
      <c r="E110" s="49" t="s">
        <v>189</v>
      </c>
      <c r="F110" s="49" t="s">
        <v>319</v>
      </c>
      <c r="G110" s="49" t="s">
        <v>37</v>
      </c>
      <c r="H110" s="49" t="s">
        <v>88</v>
      </c>
      <c r="I110" s="1" t="s">
        <v>64</v>
      </c>
      <c r="J110" s="1" t="s">
        <v>40</v>
      </c>
      <c r="K110" s="1" t="s">
        <v>41</v>
      </c>
      <c r="L110" s="1">
        <v>1</v>
      </c>
      <c r="N110" s="1">
        <v>4</v>
      </c>
      <c r="O110" s="1">
        <v>0.5</v>
      </c>
      <c r="P110" s="1">
        <v>0.5</v>
      </c>
      <c r="Q110" s="7">
        <f t="shared" si="3"/>
        <v>0.5</v>
      </c>
      <c r="R110" s="1">
        <v>19.8</v>
      </c>
      <c r="S110" s="1">
        <v>107</v>
      </c>
      <c r="T110" s="2">
        <f t="shared" si="4"/>
        <v>33</v>
      </c>
      <c r="U110" s="1">
        <v>680</v>
      </c>
      <c r="V110" s="107">
        <f t="shared" si="5"/>
        <v>5610</v>
      </c>
      <c r="W110" s="1">
        <v>19</v>
      </c>
      <c r="X110" s="1" t="s">
        <v>51</v>
      </c>
      <c r="Y110" s="1" t="s">
        <v>101</v>
      </c>
      <c r="Z110" s="1" t="s">
        <v>67</v>
      </c>
      <c r="AA110" s="1" t="s">
        <v>85</v>
      </c>
      <c r="AB110" s="49" t="s">
        <v>309</v>
      </c>
    </row>
    <row r="111" spans="1:28" x14ac:dyDescent="0.15">
      <c r="A111" s="49" t="s">
        <v>75</v>
      </c>
      <c r="B111" s="49" t="s">
        <v>306</v>
      </c>
      <c r="C111" s="49">
        <v>2020</v>
      </c>
      <c r="D111" s="88" t="s">
        <v>307</v>
      </c>
      <c r="E111" s="49" t="s">
        <v>189</v>
      </c>
      <c r="F111" s="49" t="s">
        <v>319</v>
      </c>
      <c r="G111" s="49" t="s">
        <v>37</v>
      </c>
      <c r="H111" s="49" t="s">
        <v>88</v>
      </c>
      <c r="I111" s="1" t="s">
        <v>64</v>
      </c>
      <c r="J111" s="1" t="s">
        <v>40</v>
      </c>
      <c r="K111" s="1" t="s">
        <v>41</v>
      </c>
      <c r="L111" s="1">
        <v>2</v>
      </c>
      <c r="N111" s="1">
        <v>4</v>
      </c>
      <c r="O111" s="1">
        <v>0.5</v>
      </c>
      <c r="P111" s="1">
        <v>0.5</v>
      </c>
      <c r="Q111" s="7">
        <f t="shared" si="3"/>
        <v>0.5</v>
      </c>
      <c r="R111" s="1">
        <v>19.2</v>
      </c>
      <c r="S111" s="1">
        <v>110.5</v>
      </c>
      <c r="T111" s="2">
        <f t="shared" si="4"/>
        <v>33</v>
      </c>
      <c r="U111" s="1">
        <v>680</v>
      </c>
      <c r="V111" s="107">
        <f t="shared" si="5"/>
        <v>5610</v>
      </c>
      <c r="W111" s="1">
        <v>19</v>
      </c>
      <c r="X111" s="1" t="s">
        <v>51</v>
      </c>
      <c r="Y111" s="1" t="s">
        <v>101</v>
      </c>
      <c r="Z111" s="1" t="s">
        <v>67</v>
      </c>
      <c r="AA111" s="1" t="s">
        <v>85</v>
      </c>
      <c r="AB111" s="49" t="s">
        <v>309</v>
      </c>
    </row>
    <row r="112" spans="1:28" x14ac:dyDescent="0.15">
      <c r="A112" s="49" t="s">
        <v>75</v>
      </c>
      <c r="B112" s="49" t="s">
        <v>306</v>
      </c>
      <c r="C112" s="49">
        <v>2020</v>
      </c>
      <c r="D112" s="88" t="s">
        <v>307</v>
      </c>
      <c r="E112" s="49" t="s">
        <v>189</v>
      </c>
      <c r="F112" s="49" t="s">
        <v>319</v>
      </c>
      <c r="G112" s="49" t="s">
        <v>37</v>
      </c>
      <c r="H112" s="49" t="s">
        <v>88</v>
      </c>
      <c r="I112" s="1" t="s">
        <v>64</v>
      </c>
      <c r="J112" s="1" t="s">
        <v>40</v>
      </c>
      <c r="K112" s="1" t="s">
        <v>41</v>
      </c>
      <c r="L112" s="1">
        <v>3</v>
      </c>
      <c r="N112" s="1">
        <v>4</v>
      </c>
      <c r="O112" s="1">
        <v>0.5</v>
      </c>
      <c r="P112" s="1">
        <v>0.5</v>
      </c>
      <c r="Q112" s="7">
        <f t="shared" si="3"/>
        <v>0.5</v>
      </c>
      <c r="R112" s="1">
        <v>20.2</v>
      </c>
      <c r="S112" s="1">
        <v>111.5</v>
      </c>
      <c r="T112" s="2">
        <f t="shared" si="4"/>
        <v>33</v>
      </c>
      <c r="U112" s="1">
        <v>680</v>
      </c>
      <c r="V112" s="107">
        <f t="shared" si="5"/>
        <v>5610</v>
      </c>
      <c r="W112" s="1">
        <v>19</v>
      </c>
      <c r="X112" s="1" t="s">
        <v>51</v>
      </c>
      <c r="Y112" s="1" t="s">
        <v>101</v>
      </c>
      <c r="Z112" s="1" t="s">
        <v>67</v>
      </c>
      <c r="AA112" s="1" t="s">
        <v>85</v>
      </c>
      <c r="AB112" s="49" t="s">
        <v>309</v>
      </c>
    </row>
    <row r="113" spans="1:28" x14ac:dyDescent="0.15">
      <c r="A113" s="49" t="s">
        <v>75</v>
      </c>
      <c r="B113" s="49" t="s">
        <v>306</v>
      </c>
      <c r="C113" s="49">
        <v>2020</v>
      </c>
      <c r="D113" s="88" t="s">
        <v>307</v>
      </c>
      <c r="E113" s="49" t="s">
        <v>190</v>
      </c>
      <c r="F113" s="49" t="s">
        <v>321</v>
      </c>
      <c r="G113" s="49" t="s">
        <v>37</v>
      </c>
      <c r="H113" s="49" t="s">
        <v>82</v>
      </c>
      <c r="I113" s="1" t="s">
        <v>64</v>
      </c>
      <c r="J113" s="1" t="s">
        <v>40</v>
      </c>
      <c r="K113" s="1" t="s">
        <v>41</v>
      </c>
      <c r="L113" s="1">
        <v>1</v>
      </c>
      <c r="N113" s="1">
        <v>1</v>
      </c>
      <c r="O113" s="1">
        <v>0.65</v>
      </c>
      <c r="P113" s="1">
        <v>0.55000000000000004</v>
      </c>
      <c r="Q113" s="2">
        <f t="shared" si="3"/>
        <v>0.60000000000000009</v>
      </c>
      <c r="R113" s="1">
        <v>19.100000000000001</v>
      </c>
      <c r="S113" s="1">
        <v>148.5</v>
      </c>
      <c r="T113" s="2">
        <f t="shared" si="4"/>
        <v>22</v>
      </c>
      <c r="U113" s="1">
        <v>138</v>
      </c>
      <c r="V113" s="2">
        <f t="shared" si="5"/>
        <v>3036</v>
      </c>
      <c r="W113" s="1">
        <v>13</v>
      </c>
      <c r="X113" s="1" t="s">
        <v>51</v>
      </c>
      <c r="Y113" s="1" t="s">
        <v>101</v>
      </c>
      <c r="Z113" s="1" t="s">
        <v>67</v>
      </c>
      <c r="AA113" s="1" t="s">
        <v>128</v>
      </c>
      <c r="AB113" s="49" t="s">
        <v>309</v>
      </c>
    </row>
    <row r="114" spans="1:28" x14ac:dyDescent="0.15">
      <c r="A114" s="49" t="s">
        <v>75</v>
      </c>
      <c r="B114" s="49" t="s">
        <v>306</v>
      </c>
      <c r="C114" s="49">
        <v>2020</v>
      </c>
      <c r="D114" s="88" t="s">
        <v>307</v>
      </c>
      <c r="E114" s="49" t="s">
        <v>190</v>
      </c>
      <c r="F114" s="49" t="s">
        <v>321</v>
      </c>
      <c r="G114" s="49" t="s">
        <v>37</v>
      </c>
      <c r="H114" s="49" t="s">
        <v>82</v>
      </c>
      <c r="I114" s="1" t="s">
        <v>64</v>
      </c>
      <c r="J114" s="1" t="s">
        <v>40</v>
      </c>
      <c r="K114" s="1" t="s">
        <v>41</v>
      </c>
      <c r="L114" s="1">
        <v>2</v>
      </c>
      <c r="N114" s="1">
        <v>1</v>
      </c>
      <c r="O114" s="1">
        <v>0.6</v>
      </c>
      <c r="P114" s="1">
        <v>0.55000000000000004</v>
      </c>
      <c r="Q114" s="2">
        <f t="shared" si="3"/>
        <v>0.57499999999999996</v>
      </c>
      <c r="R114" s="1">
        <v>15.9</v>
      </c>
      <c r="S114" s="1">
        <v>157.5</v>
      </c>
      <c r="T114" s="2">
        <f t="shared" si="4"/>
        <v>18</v>
      </c>
      <c r="U114" s="1">
        <v>138</v>
      </c>
      <c r="V114" s="2">
        <f t="shared" si="5"/>
        <v>2484</v>
      </c>
      <c r="W114" s="1">
        <v>13</v>
      </c>
      <c r="X114" s="1" t="s">
        <v>51</v>
      </c>
      <c r="Y114" s="1" t="s">
        <v>101</v>
      </c>
      <c r="Z114" s="1" t="s">
        <v>67</v>
      </c>
      <c r="AA114" s="1" t="s">
        <v>128</v>
      </c>
      <c r="AB114" s="49" t="s">
        <v>309</v>
      </c>
    </row>
    <row r="115" spans="1:28" x14ac:dyDescent="0.15">
      <c r="A115" s="49" t="s">
        <v>75</v>
      </c>
      <c r="B115" s="49" t="s">
        <v>306</v>
      </c>
      <c r="C115" s="49">
        <v>2020</v>
      </c>
      <c r="D115" s="88" t="s">
        <v>307</v>
      </c>
      <c r="E115" s="49" t="s">
        <v>190</v>
      </c>
      <c r="F115" s="49" t="s">
        <v>321</v>
      </c>
      <c r="G115" s="49" t="s">
        <v>37</v>
      </c>
      <c r="H115" s="49" t="s">
        <v>82</v>
      </c>
      <c r="I115" s="1" t="s">
        <v>64</v>
      </c>
      <c r="J115" s="1" t="s">
        <v>40</v>
      </c>
      <c r="K115" s="1" t="s">
        <v>41</v>
      </c>
      <c r="L115" s="1">
        <v>3</v>
      </c>
      <c r="N115" s="1">
        <v>1</v>
      </c>
      <c r="O115" s="1">
        <v>0.55000000000000004</v>
      </c>
      <c r="P115" s="1">
        <v>0.55000000000000004</v>
      </c>
      <c r="Q115" s="2">
        <f t="shared" si="3"/>
        <v>0.55000000000000004</v>
      </c>
      <c r="R115" s="1">
        <v>19.600000000000001</v>
      </c>
      <c r="S115" s="1">
        <v>156.5</v>
      </c>
      <c r="T115" s="2">
        <f t="shared" si="4"/>
        <v>18</v>
      </c>
      <c r="U115" s="1">
        <v>138</v>
      </c>
      <c r="V115" s="2">
        <f t="shared" si="5"/>
        <v>2484</v>
      </c>
      <c r="W115" s="1">
        <v>13</v>
      </c>
      <c r="X115" s="1" t="s">
        <v>51</v>
      </c>
      <c r="Y115" s="1" t="s">
        <v>101</v>
      </c>
      <c r="Z115" s="1" t="s">
        <v>67</v>
      </c>
      <c r="AA115" s="1" t="s">
        <v>128</v>
      </c>
      <c r="AB115" s="49" t="s">
        <v>309</v>
      </c>
    </row>
    <row r="116" spans="1:28" x14ac:dyDescent="0.15">
      <c r="A116" s="49" t="s">
        <v>75</v>
      </c>
      <c r="B116" s="49" t="s">
        <v>306</v>
      </c>
      <c r="C116" s="49">
        <v>2020</v>
      </c>
      <c r="D116" s="88" t="s">
        <v>307</v>
      </c>
      <c r="E116" s="49" t="s">
        <v>190</v>
      </c>
      <c r="F116" s="49" t="s">
        <v>321</v>
      </c>
      <c r="G116" s="49" t="s">
        <v>37</v>
      </c>
      <c r="H116" s="49" t="s">
        <v>82</v>
      </c>
      <c r="I116" s="1" t="s">
        <v>64</v>
      </c>
      <c r="J116" s="1" t="s">
        <v>40</v>
      </c>
      <c r="K116" s="1" t="s">
        <v>41</v>
      </c>
      <c r="L116" s="1">
        <v>1</v>
      </c>
      <c r="N116" s="1">
        <v>4</v>
      </c>
      <c r="O116" s="1">
        <v>0.7</v>
      </c>
      <c r="P116" s="1">
        <v>0.7</v>
      </c>
      <c r="Q116" s="2">
        <f t="shared" si="3"/>
        <v>0.7</v>
      </c>
      <c r="R116" s="1">
        <v>17.2</v>
      </c>
      <c r="S116" s="1">
        <v>96</v>
      </c>
      <c r="T116" s="2">
        <f t="shared" si="4"/>
        <v>36</v>
      </c>
      <c r="U116" s="1">
        <v>450</v>
      </c>
      <c r="V116" s="2">
        <f t="shared" si="5"/>
        <v>4050</v>
      </c>
      <c r="W116" s="1">
        <v>13</v>
      </c>
      <c r="X116" s="1" t="s">
        <v>51</v>
      </c>
      <c r="Y116" s="1" t="s">
        <v>101</v>
      </c>
      <c r="Z116" s="1" t="s">
        <v>67</v>
      </c>
      <c r="AA116" s="1" t="s">
        <v>128</v>
      </c>
      <c r="AB116" s="49" t="s">
        <v>309</v>
      </c>
    </row>
    <row r="117" spans="1:28" x14ac:dyDescent="0.15">
      <c r="A117" s="49" t="s">
        <v>75</v>
      </c>
      <c r="B117" s="49" t="s">
        <v>306</v>
      </c>
      <c r="C117" s="49">
        <v>2020</v>
      </c>
      <c r="D117" s="88" t="s">
        <v>307</v>
      </c>
      <c r="E117" s="49" t="s">
        <v>190</v>
      </c>
      <c r="F117" s="49" t="s">
        <v>321</v>
      </c>
      <c r="G117" s="49" t="s">
        <v>37</v>
      </c>
      <c r="H117" s="49" t="s">
        <v>82</v>
      </c>
      <c r="I117" s="1" t="s">
        <v>64</v>
      </c>
      <c r="J117" s="1" t="s">
        <v>40</v>
      </c>
      <c r="K117" s="1" t="s">
        <v>41</v>
      </c>
      <c r="L117" s="1">
        <v>2</v>
      </c>
      <c r="N117" s="1">
        <v>4</v>
      </c>
      <c r="O117" s="1">
        <v>0.8</v>
      </c>
      <c r="P117" s="1">
        <v>0.75</v>
      </c>
      <c r="Q117" s="2">
        <f t="shared" si="3"/>
        <v>0.77500000000000002</v>
      </c>
      <c r="R117" s="1">
        <v>15</v>
      </c>
      <c r="S117" s="1">
        <v>92</v>
      </c>
      <c r="T117" s="2">
        <f t="shared" si="4"/>
        <v>36</v>
      </c>
      <c r="U117" s="1">
        <v>450</v>
      </c>
      <c r="V117" s="2">
        <f t="shared" si="5"/>
        <v>4050</v>
      </c>
      <c r="W117" s="1">
        <v>13</v>
      </c>
      <c r="X117" s="1" t="s">
        <v>51</v>
      </c>
      <c r="Y117" s="1" t="s">
        <v>101</v>
      </c>
      <c r="Z117" s="1" t="s">
        <v>67</v>
      </c>
      <c r="AA117" s="1" t="s">
        <v>128</v>
      </c>
      <c r="AB117" s="49" t="s">
        <v>309</v>
      </c>
    </row>
    <row r="118" spans="1:28" x14ac:dyDescent="0.15">
      <c r="A118" s="49" t="s">
        <v>75</v>
      </c>
      <c r="B118" s="49" t="s">
        <v>306</v>
      </c>
      <c r="C118" s="49">
        <v>2020</v>
      </c>
      <c r="D118" s="88" t="s">
        <v>307</v>
      </c>
      <c r="E118" s="49" t="s">
        <v>190</v>
      </c>
      <c r="F118" s="49" t="s">
        <v>321</v>
      </c>
      <c r="G118" s="49" t="s">
        <v>37</v>
      </c>
      <c r="H118" s="49" t="s">
        <v>82</v>
      </c>
      <c r="I118" s="1" t="s">
        <v>64</v>
      </c>
      <c r="J118" s="1" t="s">
        <v>40</v>
      </c>
      <c r="K118" s="1" t="s">
        <v>41</v>
      </c>
      <c r="L118" s="1">
        <v>3</v>
      </c>
      <c r="N118" s="1">
        <v>4</v>
      </c>
      <c r="O118" s="1">
        <v>0.75</v>
      </c>
      <c r="P118" s="1">
        <v>0.7</v>
      </c>
      <c r="Q118" s="2">
        <f t="shared" si="3"/>
        <v>0.72499999999999998</v>
      </c>
      <c r="R118" s="1">
        <v>17.5</v>
      </c>
      <c r="S118" s="1">
        <v>99.5</v>
      </c>
      <c r="T118" s="2">
        <f t="shared" si="4"/>
        <v>33</v>
      </c>
      <c r="U118" s="1">
        <v>450</v>
      </c>
      <c r="V118" s="2">
        <f t="shared" si="5"/>
        <v>3712.5</v>
      </c>
      <c r="W118" s="1">
        <v>13</v>
      </c>
      <c r="X118" s="1" t="s">
        <v>51</v>
      </c>
      <c r="Y118" s="1" t="s">
        <v>101</v>
      </c>
      <c r="Z118" s="1" t="s">
        <v>67</v>
      </c>
      <c r="AA118" s="1" t="s">
        <v>128</v>
      </c>
      <c r="AB118" s="49" t="s">
        <v>309</v>
      </c>
    </row>
    <row r="119" spans="1:28" x14ac:dyDescent="0.15">
      <c r="A119" s="49" t="s">
        <v>75</v>
      </c>
      <c r="B119" s="49" t="s">
        <v>306</v>
      </c>
      <c r="C119" s="49">
        <v>2020</v>
      </c>
      <c r="D119" s="88" t="s">
        <v>307</v>
      </c>
      <c r="E119" s="49" t="s">
        <v>190</v>
      </c>
      <c r="F119" s="49" t="s">
        <v>321</v>
      </c>
      <c r="G119" s="49" t="s">
        <v>37</v>
      </c>
      <c r="H119" s="49" t="s">
        <v>82</v>
      </c>
      <c r="I119" s="1" t="s">
        <v>64</v>
      </c>
      <c r="J119" s="1" t="s">
        <v>40</v>
      </c>
      <c r="K119" s="1" t="s">
        <v>41</v>
      </c>
      <c r="L119" s="1">
        <v>1</v>
      </c>
      <c r="N119" s="1">
        <v>8</v>
      </c>
      <c r="O119" s="1">
        <v>0.7</v>
      </c>
      <c r="P119" s="1">
        <v>0.75</v>
      </c>
      <c r="Q119" s="2">
        <f t="shared" si="3"/>
        <v>0.72499999999999998</v>
      </c>
      <c r="R119" s="1">
        <v>15.1</v>
      </c>
      <c r="S119" s="1">
        <v>81</v>
      </c>
      <c r="T119" s="2">
        <f t="shared" si="4"/>
        <v>39</v>
      </c>
      <c r="U119" s="1">
        <v>880</v>
      </c>
      <c r="V119" s="2">
        <f t="shared" si="5"/>
        <v>4290</v>
      </c>
      <c r="W119" s="1">
        <v>13</v>
      </c>
      <c r="X119" s="1" t="s">
        <v>51</v>
      </c>
      <c r="Y119" s="1" t="s">
        <v>101</v>
      </c>
      <c r="Z119" s="1" t="s">
        <v>67</v>
      </c>
      <c r="AA119" s="1" t="s">
        <v>128</v>
      </c>
      <c r="AB119" s="49" t="s">
        <v>309</v>
      </c>
    </row>
    <row r="120" spans="1:28" x14ac:dyDescent="0.15">
      <c r="A120" s="49" t="s">
        <v>75</v>
      </c>
      <c r="B120" s="49" t="s">
        <v>306</v>
      </c>
      <c r="C120" s="49">
        <v>2020</v>
      </c>
      <c r="D120" s="88" t="s">
        <v>307</v>
      </c>
      <c r="E120" s="49" t="s">
        <v>190</v>
      </c>
      <c r="F120" s="49" t="s">
        <v>321</v>
      </c>
      <c r="G120" s="49" t="s">
        <v>37</v>
      </c>
      <c r="H120" s="49" t="s">
        <v>82</v>
      </c>
      <c r="I120" s="1" t="s">
        <v>64</v>
      </c>
      <c r="J120" s="1" t="s">
        <v>40</v>
      </c>
      <c r="K120" s="1" t="s">
        <v>41</v>
      </c>
      <c r="L120" s="1">
        <v>2</v>
      </c>
      <c r="N120" s="1">
        <v>8</v>
      </c>
      <c r="O120" s="1">
        <v>0.65</v>
      </c>
      <c r="P120" s="1">
        <v>0.65</v>
      </c>
      <c r="Q120" s="2">
        <f t="shared" si="3"/>
        <v>0.65</v>
      </c>
      <c r="R120" s="1">
        <v>15.6</v>
      </c>
      <c r="S120" s="1">
        <v>99</v>
      </c>
      <c r="T120" s="2">
        <f t="shared" si="4"/>
        <v>33</v>
      </c>
      <c r="U120" s="1">
        <v>880</v>
      </c>
      <c r="V120" s="2">
        <f t="shared" si="5"/>
        <v>3630</v>
      </c>
      <c r="W120" s="1">
        <v>13</v>
      </c>
      <c r="X120" s="1" t="s">
        <v>51</v>
      </c>
      <c r="Y120" s="1" t="s">
        <v>101</v>
      </c>
      <c r="Z120" s="1" t="s">
        <v>67</v>
      </c>
      <c r="AA120" s="1" t="s">
        <v>128</v>
      </c>
      <c r="AB120" s="49" t="s">
        <v>309</v>
      </c>
    </row>
    <row r="121" spans="1:28" x14ac:dyDescent="0.15">
      <c r="A121" s="49" t="s">
        <v>75</v>
      </c>
      <c r="B121" s="49" t="s">
        <v>306</v>
      </c>
      <c r="C121" s="49">
        <v>2020</v>
      </c>
      <c r="D121" s="88" t="s">
        <v>307</v>
      </c>
      <c r="E121" s="49" t="s">
        <v>190</v>
      </c>
      <c r="F121" s="49" t="s">
        <v>321</v>
      </c>
      <c r="G121" s="49" t="s">
        <v>37</v>
      </c>
      <c r="H121" s="49" t="s">
        <v>82</v>
      </c>
      <c r="I121" s="1" t="s">
        <v>64</v>
      </c>
      <c r="J121" s="1" t="s">
        <v>40</v>
      </c>
      <c r="K121" s="1" t="s">
        <v>41</v>
      </c>
      <c r="L121" s="1">
        <v>3</v>
      </c>
      <c r="N121" s="1">
        <v>8</v>
      </c>
      <c r="O121" s="1">
        <v>0.6</v>
      </c>
      <c r="P121" s="1">
        <v>0.7</v>
      </c>
      <c r="Q121" s="2">
        <f t="shared" si="3"/>
        <v>0.64999999999999991</v>
      </c>
      <c r="R121" s="1">
        <v>19.7</v>
      </c>
      <c r="S121" s="1">
        <v>98</v>
      </c>
      <c r="T121" s="2">
        <f t="shared" si="4"/>
        <v>36</v>
      </c>
      <c r="U121" s="1">
        <v>880</v>
      </c>
      <c r="V121" s="2">
        <f t="shared" si="5"/>
        <v>3960</v>
      </c>
      <c r="W121" s="1">
        <v>13</v>
      </c>
      <c r="X121" s="1" t="s">
        <v>51</v>
      </c>
      <c r="Y121" s="1" t="s">
        <v>101</v>
      </c>
      <c r="Z121" s="1" t="s">
        <v>67</v>
      </c>
      <c r="AA121" s="1" t="s">
        <v>128</v>
      </c>
      <c r="AB121" s="49" t="s">
        <v>309</v>
      </c>
    </row>
    <row r="122" spans="1:28" x14ac:dyDescent="0.15">
      <c r="A122" s="49" t="s">
        <v>75</v>
      </c>
      <c r="B122" s="49" t="s">
        <v>306</v>
      </c>
      <c r="C122" s="49">
        <v>2020</v>
      </c>
      <c r="D122" s="88" t="s">
        <v>307</v>
      </c>
      <c r="E122" s="49" t="s">
        <v>190</v>
      </c>
      <c r="F122" s="49" t="s">
        <v>321</v>
      </c>
      <c r="G122" s="49" t="s">
        <v>37</v>
      </c>
      <c r="H122" s="49" t="s">
        <v>63</v>
      </c>
      <c r="I122" s="1" t="s">
        <v>64</v>
      </c>
      <c r="J122" s="1" t="s">
        <v>40</v>
      </c>
      <c r="K122" s="1" t="s">
        <v>41</v>
      </c>
      <c r="L122" s="1">
        <v>1</v>
      </c>
      <c r="N122" s="1">
        <v>5</v>
      </c>
      <c r="O122" s="1">
        <v>0.65</v>
      </c>
      <c r="P122" s="1">
        <v>0.85</v>
      </c>
      <c r="Q122" s="2">
        <f t="shared" si="3"/>
        <v>0.75</v>
      </c>
      <c r="R122" s="1">
        <v>14.1</v>
      </c>
      <c r="S122" s="1">
        <v>92.5</v>
      </c>
      <c r="T122" s="2">
        <f t="shared" si="4"/>
        <v>36</v>
      </c>
      <c r="U122" s="1">
        <v>398</v>
      </c>
      <c r="V122" s="2">
        <f t="shared" si="5"/>
        <v>2865.6</v>
      </c>
      <c r="W122" s="1">
        <v>13</v>
      </c>
      <c r="X122" s="1" t="s">
        <v>51</v>
      </c>
      <c r="Y122" s="1" t="s">
        <v>101</v>
      </c>
      <c r="Z122" s="1" t="s">
        <v>67</v>
      </c>
      <c r="AA122" s="1" t="s">
        <v>128</v>
      </c>
      <c r="AB122" s="49" t="s">
        <v>309</v>
      </c>
    </row>
    <row r="123" spans="1:28" x14ac:dyDescent="0.15">
      <c r="A123" s="49" t="s">
        <v>75</v>
      </c>
      <c r="B123" s="49" t="s">
        <v>306</v>
      </c>
      <c r="C123" s="49">
        <v>2020</v>
      </c>
      <c r="D123" s="88" t="s">
        <v>307</v>
      </c>
      <c r="E123" s="49" t="s">
        <v>190</v>
      </c>
      <c r="F123" s="49" t="s">
        <v>321</v>
      </c>
      <c r="G123" s="49" t="s">
        <v>37</v>
      </c>
      <c r="H123" s="49" t="s">
        <v>63</v>
      </c>
      <c r="I123" s="1" t="s">
        <v>64</v>
      </c>
      <c r="J123" s="1" t="s">
        <v>40</v>
      </c>
      <c r="K123" s="1" t="s">
        <v>41</v>
      </c>
      <c r="L123" s="1">
        <v>2</v>
      </c>
      <c r="N123" s="1">
        <v>5</v>
      </c>
      <c r="O123" s="1">
        <v>0.7</v>
      </c>
      <c r="P123" s="1">
        <v>0.6</v>
      </c>
      <c r="Q123" s="2">
        <f t="shared" si="3"/>
        <v>0.64999999999999991</v>
      </c>
      <c r="R123" s="1">
        <v>14.1</v>
      </c>
      <c r="S123" s="1">
        <v>88</v>
      </c>
      <c r="T123" s="2">
        <f t="shared" si="4"/>
        <v>36</v>
      </c>
      <c r="U123" s="1">
        <v>398</v>
      </c>
      <c r="V123" s="2">
        <f t="shared" si="5"/>
        <v>2865.6</v>
      </c>
      <c r="W123" s="1">
        <v>13</v>
      </c>
      <c r="X123" s="1" t="s">
        <v>51</v>
      </c>
      <c r="Y123" s="1" t="s">
        <v>101</v>
      </c>
      <c r="Z123" s="1" t="s">
        <v>67</v>
      </c>
      <c r="AA123" s="1" t="s">
        <v>128</v>
      </c>
      <c r="AB123" s="49" t="s">
        <v>309</v>
      </c>
    </row>
    <row r="124" spans="1:28" x14ac:dyDescent="0.15">
      <c r="A124" s="49" t="s">
        <v>75</v>
      </c>
      <c r="B124" s="49" t="s">
        <v>306</v>
      </c>
      <c r="C124" s="49">
        <v>2020</v>
      </c>
      <c r="D124" s="88" t="s">
        <v>307</v>
      </c>
      <c r="E124" s="49" t="s">
        <v>190</v>
      </c>
      <c r="F124" s="49" t="s">
        <v>321</v>
      </c>
      <c r="G124" s="49" t="s">
        <v>37</v>
      </c>
      <c r="H124" s="49" t="s">
        <v>63</v>
      </c>
      <c r="I124" s="1" t="s">
        <v>64</v>
      </c>
      <c r="J124" s="1" t="s">
        <v>40</v>
      </c>
      <c r="K124" s="1" t="s">
        <v>41</v>
      </c>
      <c r="L124" s="1">
        <v>3</v>
      </c>
      <c r="N124" s="1">
        <v>5</v>
      </c>
      <c r="O124" s="1">
        <v>0.75</v>
      </c>
      <c r="P124" s="1">
        <v>0.75</v>
      </c>
      <c r="Q124" s="2">
        <f t="shared" si="3"/>
        <v>0.75</v>
      </c>
      <c r="R124" s="1">
        <v>12.6</v>
      </c>
      <c r="S124" s="1">
        <v>94.5</v>
      </c>
      <c r="T124" s="2">
        <f t="shared" si="4"/>
        <v>36</v>
      </c>
      <c r="U124" s="1">
        <v>398</v>
      </c>
      <c r="V124" s="2">
        <f t="shared" si="5"/>
        <v>2865.6</v>
      </c>
      <c r="W124" s="1">
        <v>13</v>
      </c>
      <c r="X124" s="1" t="s">
        <v>51</v>
      </c>
      <c r="Y124" s="1" t="s">
        <v>101</v>
      </c>
      <c r="Z124" s="1" t="s">
        <v>67</v>
      </c>
      <c r="AA124" s="1" t="s">
        <v>128</v>
      </c>
      <c r="AB124" s="49" t="s">
        <v>309</v>
      </c>
    </row>
    <row r="125" spans="1:28" x14ac:dyDescent="0.15">
      <c r="A125" s="49" t="s">
        <v>75</v>
      </c>
      <c r="B125" s="49" t="s">
        <v>306</v>
      </c>
      <c r="C125" s="49">
        <v>2020</v>
      </c>
      <c r="D125" s="88" t="s">
        <v>307</v>
      </c>
      <c r="E125" s="49" t="s">
        <v>190</v>
      </c>
      <c r="F125" s="49" t="s">
        <v>321</v>
      </c>
      <c r="G125" s="49" t="s">
        <v>37</v>
      </c>
      <c r="H125" s="49" t="s">
        <v>63</v>
      </c>
      <c r="I125" s="1" t="s">
        <v>64</v>
      </c>
      <c r="J125" s="1" t="s">
        <v>40</v>
      </c>
      <c r="K125" s="1" t="s">
        <v>41</v>
      </c>
      <c r="L125" s="1">
        <v>1</v>
      </c>
      <c r="N125" s="1">
        <v>8</v>
      </c>
      <c r="O125" s="1">
        <v>0.65</v>
      </c>
      <c r="P125" s="1">
        <v>0.8</v>
      </c>
      <c r="Q125" s="2">
        <f t="shared" si="3"/>
        <v>0.72500000000000009</v>
      </c>
      <c r="R125" s="1">
        <v>14.1</v>
      </c>
      <c r="S125" s="1">
        <v>90.5</v>
      </c>
      <c r="T125" s="2">
        <f t="shared" si="4"/>
        <v>36</v>
      </c>
      <c r="U125" s="1">
        <v>598</v>
      </c>
      <c r="V125" s="2">
        <f t="shared" si="5"/>
        <v>2691</v>
      </c>
      <c r="W125" s="1">
        <v>13</v>
      </c>
      <c r="X125" s="1" t="s">
        <v>51</v>
      </c>
      <c r="Y125" s="1" t="s">
        <v>101</v>
      </c>
      <c r="Z125" s="1" t="s">
        <v>67</v>
      </c>
      <c r="AA125" s="1" t="s">
        <v>128</v>
      </c>
      <c r="AB125" s="49" t="s">
        <v>309</v>
      </c>
    </row>
    <row r="126" spans="1:28" x14ac:dyDescent="0.15">
      <c r="A126" s="49" t="s">
        <v>75</v>
      </c>
      <c r="B126" s="49" t="s">
        <v>306</v>
      </c>
      <c r="C126" s="49">
        <v>2020</v>
      </c>
      <c r="D126" s="88" t="s">
        <v>307</v>
      </c>
      <c r="E126" s="49" t="s">
        <v>190</v>
      </c>
      <c r="F126" s="49" t="s">
        <v>321</v>
      </c>
      <c r="G126" s="49" t="s">
        <v>37</v>
      </c>
      <c r="H126" s="49" t="s">
        <v>63</v>
      </c>
      <c r="I126" s="1" t="s">
        <v>64</v>
      </c>
      <c r="J126" s="1" t="s">
        <v>40</v>
      </c>
      <c r="K126" s="1" t="s">
        <v>41</v>
      </c>
      <c r="L126" s="1">
        <v>2</v>
      </c>
      <c r="N126" s="1">
        <v>8</v>
      </c>
      <c r="O126" s="1">
        <v>0.65</v>
      </c>
      <c r="P126" s="1">
        <v>0.65</v>
      </c>
      <c r="Q126" s="2">
        <f t="shared" si="3"/>
        <v>0.65</v>
      </c>
      <c r="R126" s="1">
        <v>14</v>
      </c>
      <c r="S126" s="1">
        <v>93.5</v>
      </c>
      <c r="T126" s="2">
        <f t="shared" si="4"/>
        <v>36</v>
      </c>
      <c r="U126" s="1">
        <v>598</v>
      </c>
      <c r="V126" s="2">
        <f t="shared" si="5"/>
        <v>2691</v>
      </c>
      <c r="W126" s="1">
        <v>13</v>
      </c>
      <c r="X126" s="1" t="s">
        <v>51</v>
      </c>
      <c r="Y126" s="1" t="s">
        <v>101</v>
      </c>
      <c r="Z126" s="1" t="s">
        <v>67</v>
      </c>
      <c r="AA126" s="1" t="s">
        <v>128</v>
      </c>
      <c r="AB126" s="49" t="s">
        <v>309</v>
      </c>
    </row>
    <row r="127" spans="1:28" x14ac:dyDescent="0.15">
      <c r="A127" s="49" t="s">
        <v>75</v>
      </c>
      <c r="B127" s="49" t="s">
        <v>306</v>
      </c>
      <c r="C127" s="49">
        <v>2020</v>
      </c>
      <c r="D127" s="88" t="s">
        <v>307</v>
      </c>
      <c r="E127" s="49" t="s">
        <v>190</v>
      </c>
      <c r="F127" s="49" t="s">
        <v>321</v>
      </c>
      <c r="G127" s="49" t="s">
        <v>37</v>
      </c>
      <c r="H127" s="49" t="s">
        <v>63</v>
      </c>
      <c r="I127" s="1" t="s">
        <v>64</v>
      </c>
      <c r="J127" s="1" t="s">
        <v>40</v>
      </c>
      <c r="K127" s="1" t="s">
        <v>41</v>
      </c>
      <c r="L127" s="1">
        <v>3</v>
      </c>
      <c r="N127" s="1">
        <v>8</v>
      </c>
      <c r="O127" s="1">
        <v>0.8</v>
      </c>
      <c r="P127" s="1">
        <v>0.7</v>
      </c>
      <c r="Q127" s="2">
        <f t="shared" si="3"/>
        <v>0.75</v>
      </c>
      <c r="R127" s="1">
        <v>11.5</v>
      </c>
      <c r="S127" s="1">
        <v>91.5</v>
      </c>
      <c r="T127" s="2">
        <f t="shared" si="4"/>
        <v>36</v>
      </c>
      <c r="U127" s="1">
        <v>598</v>
      </c>
      <c r="V127" s="2">
        <f t="shared" si="5"/>
        <v>2691</v>
      </c>
      <c r="W127" s="1">
        <v>13</v>
      </c>
      <c r="X127" s="1" t="s">
        <v>51</v>
      </c>
      <c r="Y127" s="1" t="s">
        <v>101</v>
      </c>
      <c r="Z127" s="1" t="s">
        <v>67</v>
      </c>
      <c r="AA127" s="1" t="s">
        <v>128</v>
      </c>
      <c r="AB127" s="49" t="s">
        <v>309</v>
      </c>
    </row>
    <row r="128" spans="1:28" x14ac:dyDescent="0.15">
      <c r="A128" s="49" t="s">
        <v>75</v>
      </c>
      <c r="B128" s="49" t="s">
        <v>306</v>
      </c>
      <c r="C128" s="49">
        <v>2020</v>
      </c>
      <c r="D128" s="88" t="s">
        <v>307</v>
      </c>
      <c r="E128" s="49" t="s">
        <v>191</v>
      </c>
      <c r="F128" s="49" t="s">
        <v>323</v>
      </c>
      <c r="G128" s="49" t="s">
        <v>37</v>
      </c>
      <c r="H128" s="49" t="s">
        <v>82</v>
      </c>
      <c r="I128" s="1" t="s">
        <v>64</v>
      </c>
      <c r="J128" s="1" t="s">
        <v>40</v>
      </c>
      <c r="K128" s="1" t="s">
        <v>41</v>
      </c>
      <c r="L128" s="1">
        <v>1</v>
      </c>
      <c r="N128" s="1">
        <v>1</v>
      </c>
      <c r="O128" s="1">
        <v>0.65</v>
      </c>
      <c r="P128" s="1">
        <v>0.65</v>
      </c>
      <c r="Q128" s="2">
        <f t="shared" si="3"/>
        <v>0.65</v>
      </c>
      <c r="R128" s="1">
        <v>15.6</v>
      </c>
      <c r="S128" s="1">
        <v>122.5</v>
      </c>
      <c r="T128" s="2">
        <f t="shared" si="4"/>
        <v>27</v>
      </c>
      <c r="U128" s="1">
        <v>98</v>
      </c>
      <c r="V128" s="2">
        <f t="shared" si="5"/>
        <v>2646</v>
      </c>
      <c r="W128" s="1">
        <v>10</v>
      </c>
      <c r="X128" s="1" t="s">
        <v>51</v>
      </c>
      <c r="Y128" s="1" t="s">
        <v>101</v>
      </c>
      <c r="Z128" s="1" t="s">
        <v>52</v>
      </c>
      <c r="AA128" s="1" t="s">
        <v>67</v>
      </c>
      <c r="AB128" s="49" t="s">
        <v>309</v>
      </c>
    </row>
    <row r="129" spans="1:28" x14ac:dyDescent="0.15">
      <c r="A129" s="49" t="s">
        <v>75</v>
      </c>
      <c r="B129" s="49" t="s">
        <v>306</v>
      </c>
      <c r="C129" s="49">
        <v>2020</v>
      </c>
      <c r="D129" s="88" t="s">
        <v>307</v>
      </c>
      <c r="E129" s="49" t="s">
        <v>191</v>
      </c>
      <c r="F129" s="49" t="s">
        <v>323</v>
      </c>
      <c r="G129" s="49" t="s">
        <v>37</v>
      </c>
      <c r="H129" s="49" t="s">
        <v>82</v>
      </c>
      <c r="I129" s="1" t="s">
        <v>64</v>
      </c>
      <c r="J129" s="1" t="s">
        <v>40</v>
      </c>
      <c r="K129" s="1" t="s">
        <v>41</v>
      </c>
      <c r="L129" s="1">
        <v>2</v>
      </c>
      <c r="N129" s="1">
        <v>1</v>
      </c>
      <c r="O129" s="1">
        <v>0.7</v>
      </c>
      <c r="P129" s="1">
        <v>0.6</v>
      </c>
      <c r="Q129" s="2">
        <f t="shared" si="3"/>
        <v>0.64999999999999991</v>
      </c>
      <c r="R129" s="1">
        <v>18.899999999999999</v>
      </c>
      <c r="S129" s="1">
        <v>125.5</v>
      </c>
      <c r="T129" s="2">
        <f t="shared" si="4"/>
        <v>27</v>
      </c>
      <c r="U129" s="1">
        <v>98</v>
      </c>
      <c r="V129" s="2">
        <f t="shared" si="5"/>
        <v>2646</v>
      </c>
      <c r="W129" s="1">
        <v>10</v>
      </c>
      <c r="X129" s="1" t="s">
        <v>51</v>
      </c>
      <c r="Y129" s="1" t="s">
        <v>101</v>
      </c>
      <c r="Z129" s="1" t="s">
        <v>52</v>
      </c>
      <c r="AA129" s="1" t="s">
        <v>67</v>
      </c>
      <c r="AB129" s="49" t="s">
        <v>309</v>
      </c>
    </row>
    <row r="130" spans="1:28" x14ac:dyDescent="0.15">
      <c r="A130" s="49" t="s">
        <v>75</v>
      </c>
      <c r="B130" s="49" t="s">
        <v>306</v>
      </c>
      <c r="C130" s="49">
        <v>2020</v>
      </c>
      <c r="D130" s="88" t="s">
        <v>307</v>
      </c>
      <c r="E130" s="49" t="s">
        <v>191</v>
      </c>
      <c r="F130" s="49" t="s">
        <v>323</v>
      </c>
      <c r="G130" s="49" t="s">
        <v>37</v>
      </c>
      <c r="H130" s="49" t="s">
        <v>82</v>
      </c>
      <c r="I130" s="1" t="s">
        <v>64</v>
      </c>
      <c r="J130" s="1" t="s">
        <v>40</v>
      </c>
      <c r="K130" s="1" t="s">
        <v>41</v>
      </c>
      <c r="L130" s="1">
        <v>3</v>
      </c>
      <c r="N130" s="1">
        <v>1</v>
      </c>
      <c r="O130" s="1">
        <v>0.8</v>
      </c>
      <c r="P130" s="1">
        <v>0.75</v>
      </c>
      <c r="Q130" s="2">
        <f t="shared" si="3"/>
        <v>0.77500000000000002</v>
      </c>
      <c r="R130" s="1">
        <v>15.6</v>
      </c>
      <c r="S130" s="1">
        <v>120.5</v>
      </c>
      <c r="T130" s="2">
        <f t="shared" si="4"/>
        <v>30</v>
      </c>
      <c r="U130" s="1">
        <v>98</v>
      </c>
      <c r="V130" s="2">
        <f t="shared" si="5"/>
        <v>2940</v>
      </c>
      <c r="W130" s="1">
        <v>10</v>
      </c>
      <c r="X130" s="1" t="s">
        <v>51</v>
      </c>
      <c r="Y130" s="1" t="s">
        <v>101</v>
      </c>
      <c r="Z130" s="1" t="s">
        <v>52</v>
      </c>
      <c r="AA130" s="1" t="s">
        <v>67</v>
      </c>
      <c r="AB130" s="49" t="s">
        <v>309</v>
      </c>
    </row>
    <row r="131" spans="1:28" x14ac:dyDescent="0.15">
      <c r="A131" s="49" t="s">
        <v>75</v>
      </c>
      <c r="B131" s="49" t="s">
        <v>306</v>
      </c>
      <c r="C131" s="49">
        <v>2020</v>
      </c>
      <c r="D131" s="88" t="s">
        <v>307</v>
      </c>
      <c r="E131" s="49" t="s">
        <v>191</v>
      </c>
      <c r="F131" s="49" t="s">
        <v>323</v>
      </c>
      <c r="G131" s="49" t="s">
        <v>37</v>
      </c>
      <c r="H131" s="49" t="s">
        <v>82</v>
      </c>
      <c r="I131" s="1" t="s">
        <v>64</v>
      </c>
      <c r="J131" s="1" t="s">
        <v>40</v>
      </c>
      <c r="K131" s="1" t="s">
        <v>41</v>
      </c>
      <c r="L131" s="1">
        <v>1</v>
      </c>
      <c r="N131" s="1">
        <v>4</v>
      </c>
      <c r="O131" s="1">
        <v>0.65</v>
      </c>
      <c r="P131" s="1">
        <v>0.55000000000000004</v>
      </c>
      <c r="Q131" s="2">
        <f t="shared" si="3"/>
        <v>0.60000000000000009</v>
      </c>
      <c r="R131" s="1">
        <v>15.8</v>
      </c>
      <c r="S131" s="1">
        <v>93.5</v>
      </c>
      <c r="T131" s="2">
        <f t="shared" si="4"/>
        <v>36</v>
      </c>
      <c r="U131" s="1">
        <v>498</v>
      </c>
      <c r="V131" s="2">
        <f t="shared" si="5"/>
        <v>4482</v>
      </c>
      <c r="W131" s="1">
        <v>10</v>
      </c>
      <c r="X131" s="1" t="s">
        <v>51</v>
      </c>
      <c r="Y131" s="1" t="s">
        <v>101</v>
      </c>
      <c r="Z131" s="1" t="s">
        <v>52</v>
      </c>
      <c r="AA131" s="1" t="s">
        <v>67</v>
      </c>
      <c r="AB131" s="49" t="s">
        <v>309</v>
      </c>
    </row>
    <row r="132" spans="1:28" x14ac:dyDescent="0.15">
      <c r="A132" s="49" t="s">
        <v>75</v>
      </c>
      <c r="B132" s="49" t="s">
        <v>306</v>
      </c>
      <c r="C132" s="49">
        <v>2020</v>
      </c>
      <c r="D132" s="88" t="s">
        <v>307</v>
      </c>
      <c r="E132" s="49" t="s">
        <v>191</v>
      </c>
      <c r="F132" s="49" t="s">
        <v>323</v>
      </c>
      <c r="G132" s="49" t="s">
        <v>37</v>
      </c>
      <c r="H132" s="49" t="s">
        <v>82</v>
      </c>
      <c r="I132" s="1" t="s">
        <v>64</v>
      </c>
      <c r="J132" s="1" t="s">
        <v>40</v>
      </c>
      <c r="K132" s="1" t="s">
        <v>41</v>
      </c>
      <c r="L132" s="1">
        <v>2</v>
      </c>
      <c r="N132" s="1">
        <v>4</v>
      </c>
      <c r="O132" s="1">
        <v>0.65</v>
      </c>
      <c r="P132" s="1">
        <v>0.6</v>
      </c>
      <c r="Q132" s="2">
        <f t="shared" si="3"/>
        <v>0.625</v>
      </c>
      <c r="R132" s="1">
        <v>15.9</v>
      </c>
      <c r="S132" s="1">
        <v>108</v>
      </c>
      <c r="T132" s="2">
        <f t="shared" si="4"/>
        <v>33</v>
      </c>
      <c r="U132" s="1">
        <v>498</v>
      </c>
      <c r="V132" s="2">
        <f t="shared" si="5"/>
        <v>4108.5</v>
      </c>
      <c r="W132" s="1">
        <v>10</v>
      </c>
      <c r="X132" s="1" t="s">
        <v>51</v>
      </c>
      <c r="Y132" s="1" t="s">
        <v>101</v>
      </c>
      <c r="Z132" s="1" t="s">
        <v>52</v>
      </c>
      <c r="AA132" s="1" t="s">
        <v>67</v>
      </c>
      <c r="AB132" s="49" t="s">
        <v>309</v>
      </c>
    </row>
    <row r="133" spans="1:28" x14ac:dyDescent="0.15">
      <c r="A133" s="49" t="s">
        <v>75</v>
      </c>
      <c r="B133" s="49" t="s">
        <v>306</v>
      </c>
      <c r="C133" s="49">
        <v>2020</v>
      </c>
      <c r="D133" s="88" t="s">
        <v>307</v>
      </c>
      <c r="E133" s="49" t="s">
        <v>191</v>
      </c>
      <c r="F133" s="49" t="s">
        <v>323</v>
      </c>
      <c r="G133" s="49" t="s">
        <v>37</v>
      </c>
      <c r="H133" s="49" t="s">
        <v>82</v>
      </c>
      <c r="I133" s="1" t="s">
        <v>64</v>
      </c>
      <c r="J133" s="1" t="s">
        <v>40</v>
      </c>
      <c r="K133" s="1" t="s">
        <v>41</v>
      </c>
      <c r="L133" s="1">
        <v>3</v>
      </c>
      <c r="N133" s="1">
        <v>4</v>
      </c>
      <c r="O133" s="1">
        <v>0.8</v>
      </c>
      <c r="P133" s="1">
        <v>0.85</v>
      </c>
      <c r="Q133" s="2">
        <f t="shared" si="3"/>
        <v>0.82499999999999996</v>
      </c>
      <c r="R133" s="1">
        <v>14.9</v>
      </c>
      <c r="S133" s="1">
        <v>114.5</v>
      </c>
      <c r="T133" s="2">
        <f t="shared" si="4"/>
        <v>30</v>
      </c>
      <c r="U133" s="1">
        <v>498</v>
      </c>
      <c r="V133" s="2">
        <f t="shared" si="5"/>
        <v>3735</v>
      </c>
      <c r="W133" s="1">
        <v>10</v>
      </c>
      <c r="X133" s="1" t="s">
        <v>51</v>
      </c>
      <c r="Y133" s="1" t="s">
        <v>101</v>
      </c>
      <c r="Z133" s="1" t="s">
        <v>52</v>
      </c>
      <c r="AA133" s="1" t="s">
        <v>67</v>
      </c>
      <c r="AB133" s="49" t="s">
        <v>309</v>
      </c>
    </row>
    <row r="134" spans="1:28" x14ac:dyDescent="0.15">
      <c r="A134" s="49" t="s">
        <v>75</v>
      </c>
      <c r="B134" s="49" t="s">
        <v>306</v>
      </c>
      <c r="C134" s="49">
        <v>2020</v>
      </c>
      <c r="D134" s="88" t="s">
        <v>307</v>
      </c>
      <c r="E134" s="49" t="s">
        <v>191</v>
      </c>
      <c r="F134" s="49" t="s">
        <v>323</v>
      </c>
      <c r="G134" s="49" t="s">
        <v>37</v>
      </c>
      <c r="H134" s="49" t="s">
        <v>63</v>
      </c>
      <c r="I134" s="1" t="s">
        <v>64</v>
      </c>
      <c r="J134" s="1" t="s">
        <v>40</v>
      </c>
      <c r="K134" s="1" t="s">
        <v>41</v>
      </c>
      <c r="L134" s="1">
        <v>1</v>
      </c>
      <c r="N134" s="1">
        <v>1</v>
      </c>
      <c r="O134" s="1">
        <v>0.8</v>
      </c>
      <c r="P134" s="1">
        <v>0.8</v>
      </c>
      <c r="Q134" s="2">
        <f t="shared" si="3"/>
        <v>0.8</v>
      </c>
      <c r="R134" s="1">
        <v>15.6</v>
      </c>
      <c r="S134" s="1">
        <v>134.5</v>
      </c>
      <c r="T134" s="2">
        <f t="shared" si="4"/>
        <v>25</v>
      </c>
      <c r="U134" s="1">
        <v>98</v>
      </c>
      <c r="V134" s="2">
        <f t="shared" si="5"/>
        <v>2450</v>
      </c>
      <c r="W134" s="1">
        <v>10</v>
      </c>
      <c r="X134" s="1" t="s">
        <v>51</v>
      </c>
      <c r="Y134" s="1" t="s">
        <v>101</v>
      </c>
      <c r="Z134" s="1" t="s">
        <v>52</v>
      </c>
      <c r="AA134" s="1" t="s">
        <v>67</v>
      </c>
      <c r="AB134" s="49" t="s">
        <v>309</v>
      </c>
    </row>
    <row r="135" spans="1:28" x14ac:dyDescent="0.15">
      <c r="A135" s="49" t="s">
        <v>75</v>
      </c>
      <c r="B135" s="49" t="s">
        <v>306</v>
      </c>
      <c r="C135" s="49">
        <v>2020</v>
      </c>
      <c r="D135" s="88" t="s">
        <v>307</v>
      </c>
      <c r="E135" s="49" t="s">
        <v>191</v>
      </c>
      <c r="F135" s="49" t="s">
        <v>323</v>
      </c>
      <c r="G135" s="49" t="s">
        <v>37</v>
      </c>
      <c r="H135" s="49" t="s">
        <v>63</v>
      </c>
      <c r="I135" s="1" t="s">
        <v>64</v>
      </c>
      <c r="J135" s="1" t="s">
        <v>40</v>
      </c>
      <c r="K135" s="1" t="s">
        <v>41</v>
      </c>
      <c r="L135" s="1">
        <v>2</v>
      </c>
      <c r="N135" s="1">
        <v>1</v>
      </c>
      <c r="O135" s="1">
        <v>0.2</v>
      </c>
      <c r="P135" s="1">
        <v>0.2</v>
      </c>
      <c r="Q135" s="2">
        <f t="shared" si="3"/>
        <v>0.2</v>
      </c>
      <c r="R135" s="1">
        <v>15.6</v>
      </c>
      <c r="S135" s="1">
        <v>140</v>
      </c>
      <c r="T135" s="2">
        <f t="shared" si="4"/>
        <v>22</v>
      </c>
      <c r="U135" s="1">
        <v>98</v>
      </c>
      <c r="V135" s="2">
        <f t="shared" si="5"/>
        <v>2156</v>
      </c>
      <c r="W135" s="1">
        <v>10</v>
      </c>
      <c r="X135" s="1" t="s">
        <v>51</v>
      </c>
      <c r="Y135" s="1" t="s">
        <v>101</v>
      </c>
      <c r="Z135" s="1" t="s">
        <v>52</v>
      </c>
      <c r="AA135" s="1" t="s">
        <v>67</v>
      </c>
      <c r="AB135" s="49" t="s">
        <v>309</v>
      </c>
    </row>
    <row r="136" spans="1:28" x14ac:dyDescent="0.15">
      <c r="A136" s="49" t="s">
        <v>75</v>
      </c>
      <c r="B136" s="49" t="s">
        <v>306</v>
      </c>
      <c r="C136" s="49">
        <v>2020</v>
      </c>
      <c r="D136" s="88" t="s">
        <v>307</v>
      </c>
      <c r="E136" s="49" t="s">
        <v>191</v>
      </c>
      <c r="F136" s="49" t="s">
        <v>323</v>
      </c>
      <c r="G136" s="49" t="s">
        <v>37</v>
      </c>
      <c r="H136" s="49" t="s">
        <v>63</v>
      </c>
      <c r="I136" s="1" t="s">
        <v>64</v>
      </c>
      <c r="J136" s="1" t="s">
        <v>40</v>
      </c>
      <c r="K136" s="1" t="s">
        <v>41</v>
      </c>
      <c r="L136" s="1">
        <v>3</v>
      </c>
      <c r="N136" s="1">
        <v>1</v>
      </c>
      <c r="O136" s="1">
        <v>0.9</v>
      </c>
      <c r="P136" s="1">
        <v>0.85</v>
      </c>
      <c r="Q136" s="2">
        <f t="shared" si="3"/>
        <v>0.875</v>
      </c>
      <c r="R136" s="1">
        <v>14.8</v>
      </c>
      <c r="S136" s="1">
        <v>146.5</v>
      </c>
      <c r="T136" s="2">
        <f t="shared" si="4"/>
        <v>22</v>
      </c>
      <c r="U136" s="1">
        <v>98</v>
      </c>
      <c r="V136" s="2">
        <f t="shared" si="5"/>
        <v>2156</v>
      </c>
      <c r="W136" s="1">
        <v>10</v>
      </c>
      <c r="X136" s="1" t="s">
        <v>51</v>
      </c>
      <c r="Y136" s="1" t="s">
        <v>101</v>
      </c>
      <c r="Z136" s="1" t="s">
        <v>52</v>
      </c>
      <c r="AA136" s="1" t="s">
        <v>67</v>
      </c>
      <c r="AB136" s="49" t="s">
        <v>309</v>
      </c>
    </row>
    <row r="137" spans="1:28" x14ac:dyDescent="0.15">
      <c r="A137" s="49" t="s">
        <v>75</v>
      </c>
      <c r="B137" s="49" t="s">
        <v>306</v>
      </c>
      <c r="C137" s="49">
        <v>2020</v>
      </c>
      <c r="D137" s="88" t="s">
        <v>307</v>
      </c>
      <c r="E137" s="49" t="s">
        <v>191</v>
      </c>
      <c r="F137" s="49" t="s">
        <v>323</v>
      </c>
      <c r="G137" s="49" t="s">
        <v>37</v>
      </c>
      <c r="H137" s="49" t="s">
        <v>63</v>
      </c>
      <c r="I137" s="1" t="s">
        <v>64</v>
      </c>
      <c r="J137" s="1" t="s">
        <v>40</v>
      </c>
      <c r="K137" s="1" t="s">
        <v>41</v>
      </c>
      <c r="L137" s="1">
        <v>1</v>
      </c>
      <c r="N137" s="1">
        <v>4</v>
      </c>
      <c r="O137" s="1">
        <v>0.8</v>
      </c>
      <c r="P137" s="1">
        <v>0.8</v>
      </c>
      <c r="Q137" s="2">
        <f t="shared" si="3"/>
        <v>0.8</v>
      </c>
      <c r="R137" s="1">
        <v>15.5</v>
      </c>
      <c r="S137" s="1">
        <v>95</v>
      </c>
      <c r="T137" s="2">
        <f t="shared" si="4"/>
        <v>36</v>
      </c>
      <c r="U137" s="1">
        <v>398</v>
      </c>
      <c r="V137" s="2">
        <f t="shared" si="5"/>
        <v>3582</v>
      </c>
      <c r="W137" s="1">
        <v>10</v>
      </c>
      <c r="X137" s="1" t="s">
        <v>51</v>
      </c>
      <c r="Y137" s="1" t="s">
        <v>101</v>
      </c>
      <c r="Z137" s="1" t="s">
        <v>52</v>
      </c>
      <c r="AA137" s="1" t="s">
        <v>67</v>
      </c>
      <c r="AB137" s="49" t="s">
        <v>309</v>
      </c>
    </row>
    <row r="138" spans="1:28" x14ac:dyDescent="0.15">
      <c r="A138" s="49" t="s">
        <v>75</v>
      </c>
      <c r="B138" s="49" t="s">
        <v>306</v>
      </c>
      <c r="C138" s="49">
        <v>2020</v>
      </c>
      <c r="D138" s="88" t="s">
        <v>307</v>
      </c>
      <c r="E138" s="49" t="s">
        <v>191</v>
      </c>
      <c r="F138" s="49" t="s">
        <v>323</v>
      </c>
      <c r="G138" s="49" t="s">
        <v>37</v>
      </c>
      <c r="H138" s="49" t="s">
        <v>63</v>
      </c>
      <c r="I138" s="1" t="s">
        <v>64</v>
      </c>
      <c r="J138" s="1" t="s">
        <v>40</v>
      </c>
      <c r="K138" s="1" t="s">
        <v>41</v>
      </c>
      <c r="L138" s="1">
        <v>2</v>
      </c>
      <c r="N138" s="1">
        <v>4</v>
      </c>
      <c r="O138" s="1">
        <v>0.75</v>
      </c>
      <c r="P138" s="1">
        <v>0.75</v>
      </c>
      <c r="Q138" s="2">
        <f t="shared" si="3"/>
        <v>0.75</v>
      </c>
      <c r="R138" s="1">
        <v>15.1</v>
      </c>
      <c r="S138" s="1">
        <v>99</v>
      </c>
      <c r="T138" s="2">
        <f t="shared" si="4"/>
        <v>33</v>
      </c>
      <c r="U138" s="1">
        <v>398</v>
      </c>
      <c r="V138" s="2">
        <f t="shared" si="5"/>
        <v>3283.5</v>
      </c>
      <c r="W138" s="1">
        <v>10</v>
      </c>
      <c r="X138" s="1" t="s">
        <v>51</v>
      </c>
      <c r="Y138" s="1" t="s">
        <v>101</v>
      </c>
      <c r="Z138" s="1" t="s">
        <v>52</v>
      </c>
      <c r="AA138" s="1" t="s">
        <v>67</v>
      </c>
      <c r="AB138" s="49" t="s">
        <v>309</v>
      </c>
    </row>
    <row r="139" spans="1:28" x14ac:dyDescent="0.15">
      <c r="A139" s="49" t="s">
        <v>75</v>
      </c>
      <c r="B139" s="49" t="s">
        <v>306</v>
      </c>
      <c r="C139" s="49">
        <v>2020</v>
      </c>
      <c r="D139" s="88" t="s">
        <v>307</v>
      </c>
      <c r="E139" s="49" t="s">
        <v>191</v>
      </c>
      <c r="F139" s="49" t="s">
        <v>323</v>
      </c>
      <c r="G139" s="49" t="s">
        <v>37</v>
      </c>
      <c r="H139" s="49" t="s">
        <v>63</v>
      </c>
      <c r="I139" s="1" t="s">
        <v>64</v>
      </c>
      <c r="J139" s="1" t="s">
        <v>40</v>
      </c>
      <c r="K139" s="1" t="s">
        <v>41</v>
      </c>
      <c r="L139" s="1">
        <v>3</v>
      </c>
      <c r="N139" s="1">
        <v>4</v>
      </c>
      <c r="O139" s="1">
        <v>0.7</v>
      </c>
      <c r="P139" s="1">
        <v>0.75</v>
      </c>
      <c r="Q139" s="2">
        <f t="shared" si="3"/>
        <v>0.72499999999999998</v>
      </c>
      <c r="R139" s="1">
        <v>14.9</v>
      </c>
      <c r="S139" s="1">
        <v>94</v>
      </c>
      <c r="T139" s="2">
        <f t="shared" si="4"/>
        <v>36</v>
      </c>
      <c r="U139" s="1">
        <v>398</v>
      </c>
      <c r="V139" s="2">
        <f t="shared" si="5"/>
        <v>3582</v>
      </c>
      <c r="W139" s="1">
        <v>10</v>
      </c>
      <c r="X139" s="1" t="s">
        <v>51</v>
      </c>
      <c r="Y139" s="1" t="s">
        <v>101</v>
      </c>
      <c r="Z139" s="1" t="s">
        <v>52</v>
      </c>
      <c r="AA139" s="1" t="s">
        <v>67</v>
      </c>
      <c r="AB139" s="49" t="s">
        <v>309</v>
      </c>
    </row>
    <row r="140" spans="1:28" x14ac:dyDescent="0.15">
      <c r="A140" s="49" t="s">
        <v>75</v>
      </c>
      <c r="B140" s="49" t="s">
        <v>306</v>
      </c>
      <c r="C140" s="49">
        <v>2020</v>
      </c>
      <c r="D140" s="88" t="s">
        <v>307</v>
      </c>
      <c r="E140" s="49" t="s">
        <v>191</v>
      </c>
      <c r="F140" s="49" t="s">
        <v>323</v>
      </c>
      <c r="G140" s="49" t="s">
        <v>37</v>
      </c>
      <c r="H140" s="49" t="s">
        <v>238</v>
      </c>
      <c r="I140" s="1" t="s">
        <v>64</v>
      </c>
      <c r="J140" s="1" t="s">
        <v>115</v>
      </c>
      <c r="K140" s="1" t="s">
        <v>66</v>
      </c>
      <c r="L140" s="1">
        <v>1</v>
      </c>
      <c r="N140" s="1">
        <v>4</v>
      </c>
      <c r="O140" s="1">
        <v>1</v>
      </c>
      <c r="P140" s="1">
        <v>0.85</v>
      </c>
      <c r="Q140" s="2">
        <f t="shared" si="3"/>
        <v>0.92500000000000004</v>
      </c>
      <c r="R140" s="1">
        <v>14.6</v>
      </c>
      <c r="S140" s="1">
        <v>94.5</v>
      </c>
      <c r="T140" s="2">
        <f t="shared" si="4"/>
        <v>36</v>
      </c>
      <c r="U140" s="1">
        <v>398</v>
      </c>
      <c r="V140" s="2">
        <f t="shared" si="5"/>
        <v>3582</v>
      </c>
      <c r="W140" s="1">
        <v>10</v>
      </c>
      <c r="X140" s="1" t="s">
        <v>51</v>
      </c>
      <c r="Y140" s="1" t="s">
        <v>101</v>
      </c>
      <c r="Z140" s="1" t="s">
        <v>52</v>
      </c>
      <c r="AA140" s="1" t="s">
        <v>67</v>
      </c>
      <c r="AB140" s="49" t="s">
        <v>309</v>
      </c>
    </row>
    <row r="141" spans="1:28" x14ac:dyDescent="0.15">
      <c r="A141" s="49" t="s">
        <v>75</v>
      </c>
      <c r="B141" s="49" t="s">
        <v>306</v>
      </c>
      <c r="C141" s="49">
        <v>2020</v>
      </c>
      <c r="D141" s="88" t="s">
        <v>307</v>
      </c>
      <c r="E141" s="49" t="s">
        <v>191</v>
      </c>
      <c r="F141" s="49" t="s">
        <v>323</v>
      </c>
      <c r="G141" s="49" t="s">
        <v>37</v>
      </c>
      <c r="H141" s="49" t="s">
        <v>238</v>
      </c>
      <c r="I141" s="1" t="s">
        <v>64</v>
      </c>
      <c r="J141" s="1" t="s">
        <v>115</v>
      </c>
      <c r="K141" s="1" t="s">
        <v>66</v>
      </c>
      <c r="L141" s="1">
        <v>2</v>
      </c>
      <c r="N141" s="1">
        <v>4</v>
      </c>
      <c r="O141" s="1">
        <v>1.1499999999999999</v>
      </c>
      <c r="P141" s="1">
        <v>1.3</v>
      </c>
      <c r="Q141" s="2">
        <f t="shared" si="3"/>
        <v>1.2250000000000001</v>
      </c>
      <c r="R141" s="1">
        <v>12.7</v>
      </c>
      <c r="S141" s="1">
        <v>80.5</v>
      </c>
      <c r="T141" s="2">
        <f t="shared" si="4"/>
        <v>39</v>
      </c>
      <c r="U141" s="1">
        <v>398</v>
      </c>
      <c r="V141" s="2">
        <f t="shared" si="5"/>
        <v>3880.5</v>
      </c>
      <c r="W141" s="1">
        <v>10</v>
      </c>
      <c r="X141" s="1" t="s">
        <v>51</v>
      </c>
      <c r="Y141" s="1" t="s">
        <v>101</v>
      </c>
      <c r="Z141" s="1" t="s">
        <v>52</v>
      </c>
      <c r="AA141" s="1" t="s">
        <v>67</v>
      </c>
      <c r="AB141" s="49" t="s">
        <v>309</v>
      </c>
    </row>
    <row r="142" spans="1:28" x14ac:dyDescent="0.15">
      <c r="A142" s="49" t="s">
        <v>75</v>
      </c>
      <c r="B142" s="49" t="s">
        <v>306</v>
      </c>
      <c r="C142" s="49">
        <v>2020</v>
      </c>
      <c r="D142" s="88" t="s">
        <v>307</v>
      </c>
      <c r="E142" s="49" t="s">
        <v>191</v>
      </c>
      <c r="F142" s="49" t="s">
        <v>323</v>
      </c>
      <c r="G142" s="49" t="s">
        <v>37</v>
      </c>
      <c r="H142" s="49" t="s">
        <v>238</v>
      </c>
      <c r="I142" s="1" t="s">
        <v>64</v>
      </c>
      <c r="J142" s="1" t="s">
        <v>115</v>
      </c>
      <c r="K142" s="1" t="s">
        <v>66</v>
      </c>
      <c r="L142" s="1">
        <v>3</v>
      </c>
      <c r="N142" s="1">
        <v>4</v>
      </c>
      <c r="O142" s="1">
        <v>1.1499999999999999</v>
      </c>
      <c r="P142" s="1">
        <v>1.2</v>
      </c>
      <c r="Q142" s="2">
        <f t="shared" si="3"/>
        <v>1.1749999999999998</v>
      </c>
      <c r="R142" s="1">
        <v>15</v>
      </c>
      <c r="S142" s="1">
        <v>73.5</v>
      </c>
      <c r="T142" s="2">
        <f t="shared" si="4"/>
        <v>42</v>
      </c>
      <c r="U142" s="1">
        <v>398</v>
      </c>
      <c r="V142" s="2">
        <f t="shared" si="5"/>
        <v>4179</v>
      </c>
      <c r="W142" s="1">
        <v>10</v>
      </c>
      <c r="X142" s="1" t="s">
        <v>51</v>
      </c>
      <c r="Y142" s="1" t="s">
        <v>101</v>
      </c>
      <c r="Z142" s="1" t="s">
        <v>52</v>
      </c>
      <c r="AA142" s="1" t="s">
        <v>67</v>
      </c>
      <c r="AB142" s="49" t="s">
        <v>309</v>
      </c>
    </row>
    <row r="143" spans="1:28" x14ac:dyDescent="0.15">
      <c r="A143" s="49" t="s">
        <v>75</v>
      </c>
      <c r="B143" s="49" t="s">
        <v>306</v>
      </c>
      <c r="C143" s="49">
        <v>2020</v>
      </c>
      <c r="D143" s="88" t="s">
        <v>307</v>
      </c>
      <c r="E143" s="49" t="s">
        <v>192</v>
      </c>
      <c r="F143" s="49" t="s">
        <v>323</v>
      </c>
      <c r="G143" s="49" t="s">
        <v>37</v>
      </c>
      <c r="H143" s="49" t="s">
        <v>82</v>
      </c>
      <c r="I143" s="1" t="s">
        <v>64</v>
      </c>
      <c r="J143" s="1" t="s">
        <v>40</v>
      </c>
      <c r="K143" s="1" t="s">
        <v>41</v>
      </c>
      <c r="L143" s="1">
        <v>1</v>
      </c>
      <c r="N143" s="1">
        <v>1</v>
      </c>
      <c r="O143" s="1">
        <v>0.75</v>
      </c>
      <c r="P143" s="1">
        <v>0.7</v>
      </c>
      <c r="Q143" s="2">
        <f t="shared" si="3"/>
        <v>0.72499999999999998</v>
      </c>
      <c r="R143" s="1">
        <v>15.8</v>
      </c>
      <c r="S143" s="1">
        <v>162</v>
      </c>
      <c r="T143" s="2">
        <f t="shared" si="4"/>
        <v>18</v>
      </c>
      <c r="U143" s="1">
        <v>158</v>
      </c>
      <c r="V143" s="2">
        <f t="shared" si="5"/>
        <v>2844</v>
      </c>
      <c r="W143" s="1">
        <v>9</v>
      </c>
      <c r="X143" s="1" t="s">
        <v>51</v>
      </c>
      <c r="Y143" s="1" t="s">
        <v>52</v>
      </c>
      <c r="Z143" s="1" t="s">
        <v>101</v>
      </c>
      <c r="AA143" s="1" t="s">
        <v>43</v>
      </c>
      <c r="AB143" s="49" t="s">
        <v>309</v>
      </c>
    </row>
    <row r="144" spans="1:28" x14ac:dyDescent="0.15">
      <c r="A144" s="49" t="s">
        <v>75</v>
      </c>
      <c r="B144" s="49" t="s">
        <v>306</v>
      </c>
      <c r="C144" s="49">
        <v>2020</v>
      </c>
      <c r="D144" s="88" t="s">
        <v>307</v>
      </c>
      <c r="E144" s="49" t="s">
        <v>192</v>
      </c>
      <c r="F144" s="49" t="s">
        <v>323</v>
      </c>
      <c r="G144" s="49" t="s">
        <v>37</v>
      </c>
      <c r="H144" s="49" t="s">
        <v>82</v>
      </c>
      <c r="I144" s="1" t="s">
        <v>64</v>
      </c>
      <c r="J144" s="1" t="s">
        <v>40</v>
      </c>
      <c r="K144" s="1" t="s">
        <v>41</v>
      </c>
      <c r="L144" s="1">
        <v>2</v>
      </c>
      <c r="N144" s="1">
        <v>1</v>
      </c>
      <c r="O144" s="1">
        <v>0.75</v>
      </c>
      <c r="P144" s="1">
        <v>0.7</v>
      </c>
      <c r="Q144" s="2">
        <f t="shared" si="3"/>
        <v>0.72499999999999998</v>
      </c>
      <c r="R144" s="1">
        <v>14.9</v>
      </c>
      <c r="S144" s="1">
        <v>158.5</v>
      </c>
      <c r="T144" s="2">
        <f t="shared" si="4"/>
        <v>18</v>
      </c>
      <c r="U144" s="1">
        <v>158</v>
      </c>
      <c r="V144" s="2">
        <f t="shared" si="5"/>
        <v>2844</v>
      </c>
      <c r="W144" s="1">
        <v>9</v>
      </c>
      <c r="X144" s="1" t="s">
        <v>51</v>
      </c>
      <c r="Y144" s="1" t="s">
        <v>52</v>
      </c>
      <c r="Z144" s="1" t="s">
        <v>101</v>
      </c>
      <c r="AA144" s="1" t="s">
        <v>43</v>
      </c>
      <c r="AB144" s="49" t="s">
        <v>309</v>
      </c>
    </row>
    <row r="145" spans="1:28" x14ac:dyDescent="0.15">
      <c r="A145" s="49" t="s">
        <v>75</v>
      </c>
      <c r="B145" s="49" t="s">
        <v>306</v>
      </c>
      <c r="C145" s="49">
        <v>2020</v>
      </c>
      <c r="D145" s="88" t="s">
        <v>307</v>
      </c>
      <c r="E145" s="49" t="s">
        <v>192</v>
      </c>
      <c r="F145" s="49" t="s">
        <v>323</v>
      </c>
      <c r="G145" s="49" t="s">
        <v>37</v>
      </c>
      <c r="H145" s="49" t="s">
        <v>82</v>
      </c>
      <c r="I145" s="1" t="s">
        <v>64</v>
      </c>
      <c r="J145" s="1" t="s">
        <v>40</v>
      </c>
      <c r="K145" s="1" t="s">
        <v>41</v>
      </c>
      <c r="L145" s="1">
        <v>3</v>
      </c>
      <c r="N145" s="1">
        <v>1</v>
      </c>
      <c r="O145" s="1">
        <v>0.65</v>
      </c>
      <c r="P145" s="1">
        <v>0.65</v>
      </c>
      <c r="Q145" s="2">
        <f t="shared" si="3"/>
        <v>0.65</v>
      </c>
      <c r="R145" s="1">
        <v>16.5</v>
      </c>
      <c r="S145" s="1">
        <v>152.5</v>
      </c>
      <c r="T145" s="2">
        <f t="shared" si="4"/>
        <v>18</v>
      </c>
      <c r="U145" s="1">
        <v>158</v>
      </c>
      <c r="V145" s="2">
        <f t="shared" si="5"/>
        <v>2844</v>
      </c>
      <c r="W145" s="1">
        <v>9</v>
      </c>
      <c r="X145" s="1" t="s">
        <v>51</v>
      </c>
      <c r="Y145" s="1" t="s">
        <v>52</v>
      </c>
      <c r="Z145" s="1" t="s">
        <v>101</v>
      </c>
      <c r="AA145" s="1" t="s">
        <v>43</v>
      </c>
      <c r="AB145" s="49" t="s">
        <v>309</v>
      </c>
    </row>
    <row r="146" spans="1:28" x14ac:dyDescent="0.15">
      <c r="A146" s="49" t="s">
        <v>75</v>
      </c>
      <c r="B146" s="49" t="s">
        <v>306</v>
      </c>
      <c r="C146" s="49">
        <v>2020</v>
      </c>
      <c r="D146" s="88" t="s">
        <v>307</v>
      </c>
      <c r="E146" s="49" t="s">
        <v>192</v>
      </c>
      <c r="F146" s="49" t="s">
        <v>323</v>
      </c>
      <c r="G146" s="49" t="s">
        <v>37</v>
      </c>
      <c r="H146" s="49" t="s">
        <v>82</v>
      </c>
      <c r="I146" s="1" t="s">
        <v>64</v>
      </c>
      <c r="J146" s="1" t="s">
        <v>40</v>
      </c>
      <c r="K146" s="1" t="s">
        <v>41</v>
      </c>
      <c r="L146" s="1">
        <v>1</v>
      </c>
      <c r="N146" s="1">
        <v>4</v>
      </c>
      <c r="O146" s="1">
        <v>0.75</v>
      </c>
      <c r="P146" s="1">
        <v>0.75</v>
      </c>
      <c r="Q146" s="2">
        <f t="shared" si="3"/>
        <v>0.75</v>
      </c>
      <c r="R146" s="1">
        <v>15.7</v>
      </c>
      <c r="S146" s="1">
        <v>107</v>
      </c>
      <c r="T146" s="2">
        <f t="shared" si="4"/>
        <v>33</v>
      </c>
      <c r="U146" s="1">
        <v>498</v>
      </c>
      <c r="V146" s="2">
        <f t="shared" si="5"/>
        <v>4108.5</v>
      </c>
      <c r="W146" s="1">
        <v>9</v>
      </c>
      <c r="X146" s="1" t="s">
        <v>51</v>
      </c>
      <c r="Y146" s="1" t="s">
        <v>52</v>
      </c>
      <c r="Z146" s="1" t="s">
        <v>101</v>
      </c>
      <c r="AA146" s="1" t="s">
        <v>43</v>
      </c>
      <c r="AB146" s="49" t="s">
        <v>309</v>
      </c>
    </row>
    <row r="147" spans="1:28" x14ac:dyDescent="0.15">
      <c r="A147" s="49" t="s">
        <v>75</v>
      </c>
      <c r="B147" s="49" t="s">
        <v>306</v>
      </c>
      <c r="C147" s="49">
        <v>2020</v>
      </c>
      <c r="D147" s="88" t="s">
        <v>307</v>
      </c>
      <c r="E147" s="49" t="s">
        <v>192</v>
      </c>
      <c r="F147" s="49" t="s">
        <v>323</v>
      </c>
      <c r="G147" s="49" t="s">
        <v>37</v>
      </c>
      <c r="H147" s="49" t="s">
        <v>82</v>
      </c>
      <c r="I147" s="1" t="s">
        <v>64</v>
      </c>
      <c r="J147" s="1" t="s">
        <v>40</v>
      </c>
      <c r="K147" s="1" t="s">
        <v>41</v>
      </c>
      <c r="L147" s="1">
        <v>2</v>
      </c>
      <c r="N147" s="1">
        <v>4</v>
      </c>
      <c r="O147" s="1">
        <v>0.85</v>
      </c>
      <c r="P147" s="1">
        <v>0.85</v>
      </c>
      <c r="Q147" s="2">
        <f t="shared" si="3"/>
        <v>0.85</v>
      </c>
      <c r="R147" s="1">
        <v>14.7</v>
      </c>
      <c r="S147" s="1">
        <v>111.5</v>
      </c>
      <c r="T147" s="2">
        <f t="shared" si="4"/>
        <v>33</v>
      </c>
      <c r="U147" s="1">
        <v>498</v>
      </c>
      <c r="V147" s="2">
        <f t="shared" si="5"/>
        <v>4108.5</v>
      </c>
      <c r="W147" s="1">
        <v>9</v>
      </c>
      <c r="X147" s="1" t="s">
        <v>51</v>
      </c>
      <c r="Y147" s="1" t="s">
        <v>52</v>
      </c>
      <c r="Z147" s="1" t="s">
        <v>101</v>
      </c>
      <c r="AA147" s="1" t="s">
        <v>43</v>
      </c>
      <c r="AB147" s="49" t="s">
        <v>309</v>
      </c>
    </row>
    <row r="148" spans="1:28" x14ac:dyDescent="0.15">
      <c r="A148" s="49" t="s">
        <v>75</v>
      </c>
      <c r="B148" s="49" t="s">
        <v>306</v>
      </c>
      <c r="C148" s="49">
        <v>2020</v>
      </c>
      <c r="D148" s="88" t="s">
        <v>307</v>
      </c>
      <c r="E148" s="49" t="s">
        <v>192</v>
      </c>
      <c r="F148" s="49" t="s">
        <v>323</v>
      </c>
      <c r="G148" s="49" t="s">
        <v>37</v>
      </c>
      <c r="H148" s="49" t="s">
        <v>82</v>
      </c>
      <c r="I148" s="1" t="s">
        <v>64</v>
      </c>
      <c r="J148" s="1" t="s">
        <v>40</v>
      </c>
      <c r="K148" s="1" t="s">
        <v>41</v>
      </c>
      <c r="L148" s="1">
        <v>3</v>
      </c>
      <c r="N148" s="1">
        <v>4</v>
      </c>
      <c r="O148" s="1">
        <v>0.75</v>
      </c>
      <c r="P148" s="1">
        <v>0.75</v>
      </c>
      <c r="Q148" s="2">
        <f t="shared" si="3"/>
        <v>0.75</v>
      </c>
      <c r="R148" s="1">
        <v>15.5</v>
      </c>
      <c r="S148" s="1">
        <v>106.5</v>
      </c>
      <c r="T148" s="2">
        <f t="shared" si="4"/>
        <v>33</v>
      </c>
      <c r="U148" s="1">
        <v>498</v>
      </c>
      <c r="V148" s="2">
        <f t="shared" si="5"/>
        <v>4108.5</v>
      </c>
      <c r="W148" s="1">
        <v>9</v>
      </c>
      <c r="X148" s="1" t="s">
        <v>51</v>
      </c>
      <c r="Y148" s="1" t="s">
        <v>52</v>
      </c>
      <c r="Z148" s="1" t="s">
        <v>101</v>
      </c>
      <c r="AA148" s="1" t="s">
        <v>43</v>
      </c>
      <c r="AB148" s="49" t="s">
        <v>309</v>
      </c>
    </row>
    <row r="149" spans="1:28" x14ac:dyDescent="0.15">
      <c r="A149" s="49" t="s">
        <v>75</v>
      </c>
      <c r="B149" s="49" t="s">
        <v>306</v>
      </c>
      <c r="C149" s="49">
        <v>2020</v>
      </c>
      <c r="D149" s="88" t="s">
        <v>307</v>
      </c>
      <c r="E149" s="49" t="s">
        <v>192</v>
      </c>
      <c r="F149" s="49" t="s">
        <v>323</v>
      </c>
      <c r="G149" s="49" t="s">
        <v>37</v>
      </c>
      <c r="H149" s="49" t="s">
        <v>82</v>
      </c>
      <c r="I149" s="1" t="s">
        <v>64</v>
      </c>
      <c r="J149" s="1" t="s">
        <v>40</v>
      </c>
      <c r="K149" s="1" t="s">
        <v>416</v>
      </c>
      <c r="L149" s="1">
        <v>1</v>
      </c>
      <c r="N149" s="1">
        <v>8</v>
      </c>
      <c r="O149" s="1">
        <v>0.8</v>
      </c>
      <c r="P149" s="1">
        <v>0.75</v>
      </c>
      <c r="Q149" s="2">
        <f t="shared" si="3"/>
        <v>0.77500000000000002</v>
      </c>
      <c r="R149" s="1">
        <v>17.100000000000001</v>
      </c>
      <c r="S149" s="1">
        <v>100.5</v>
      </c>
      <c r="T149" s="2">
        <f t="shared" si="4"/>
        <v>33</v>
      </c>
      <c r="U149" s="1">
        <v>880</v>
      </c>
      <c r="V149" s="2">
        <f t="shared" si="5"/>
        <v>3630</v>
      </c>
      <c r="W149" s="1">
        <v>9</v>
      </c>
      <c r="X149" s="1" t="s">
        <v>51</v>
      </c>
      <c r="Y149" s="1" t="s">
        <v>52</v>
      </c>
      <c r="Z149" s="1" t="s">
        <v>101</v>
      </c>
      <c r="AA149" s="1" t="s">
        <v>43</v>
      </c>
      <c r="AB149" s="49" t="s">
        <v>309</v>
      </c>
    </row>
    <row r="150" spans="1:28" x14ac:dyDescent="0.15">
      <c r="A150" s="49" t="s">
        <v>75</v>
      </c>
      <c r="B150" s="49" t="s">
        <v>306</v>
      </c>
      <c r="C150" s="49">
        <v>2020</v>
      </c>
      <c r="D150" s="88" t="s">
        <v>307</v>
      </c>
      <c r="E150" s="49" t="s">
        <v>192</v>
      </c>
      <c r="F150" s="49" t="s">
        <v>323</v>
      </c>
      <c r="G150" s="49" t="s">
        <v>37</v>
      </c>
      <c r="H150" s="49" t="s">
        <v>82</v>
      </c>
      <c r="I150" s="1" t="s">
        <v>64</v>
      </c>
      <c r="J150" s="1" t="s">
        <v>40</v>
      </c>
      <c r="K150" s="1" t="s">
        <v>41</v>
      </c>
      <c r="L150" s="1">
        <v>2</v>
      </c>
      <c r="N150" s="1">
        <v>8</v>
      </c>
      <c r="O150" s="1">
        <v>0.75</v>
      </c>
      <c r="P150" s="1">
        <v>0.75</v>
      </c>
      <c r="Q150" s="2">
        <f t="shared" si="3"/>
        <v>0.75</v>
      </c>
      <c r="R150" s="1">
        <v>18.3</v>
      </c>
      <c r="S150" s="1">
        <v>93</v>
      </c>
      <c r="T150" s="2">
        <f t="shared" si="4"/>
        <v>36</v>
      </c>
      <c r="U150" s="1">
        <v>880</v>
      </c>
      <c r="V150" s="2">
        <f t="shared" si="5"/>
        <v>3960</v>
      </c>
      <c r="W150" s="1">
        <v>9</v>
      </c>
      <c r="X150" s="1" t="s">
        <v>51</v>
      </c>
      <c r="Y150" s="1" t="s">
        <v>52</v>
      </c>
      <c r="Z150" s="1" t="s">
        <v>101</v>
      </c>
      <c r="AA150" s="1" t="s">
        <v>43</v>
      </c>
      <c r="AB150" s="49" t="s">
        <v>309</v>
      </c>
    </row>
    <row r="151" spans="1:28" x14ac:dyDescent="0.15">
      <c r="A151" s="49" t="s">
        <v>75</v>
      </c>
      <c r="B151" s="49" t="s">
        <v>306</v>
      </c>
      <c r="C151" s="49">
        <v>2020</v>
      </c>
      <c r="D151" s="88" t="s">
        <v>307</v>
      </c>
      <c r="E151" s="49" t="s">
        <v>192</v>
      </c>
      <c r="F151" s="49" t="s">
        <v>323</v>
      </c>
      <c r="G151" s="49" t="s">
        <v>37</v>
      </c>
      <c r="H151" s="49" t="s">
        <v>82</v>
      </c>
      <c r="I151" s="1" t="s">
        <v>64</v>
      </c>
      <c r="J151" s="1" t="s">
        <v>40</v>
      </c>
      <c r="K151" s="1" t="s">
        <v>41</v>
      </c>
      <c r="L151" s="1">
        <v>3</v>
      </c>
      <c r="N151" s="1">
        <v>8</v>
      </c>
      <c r="O151" s="1">
        <v>0.65</v>
      </c>
      <c r="P151" s="1">
        <v>0.55000000000000004</v>
      </c>
      <c r="Q151" s="2">
        <f t="shared" si="3"/>
        <v>0.60000000000000009</v>
      </c>
      <c r="R151" s="1">
        <v>17</v>
      </c>
      <c r="S151" s="1">
        <v>102</v>
      </c>
      <c r="T151" s="2">
        <f t="shared" si="4"/>
        <v>33</v>
      </c>
      <c r="U151" s="1">
        <v>880</v>
      </c>
      <c r="V151" s="2">
        <f t="shared" si="5"/>
        <v>3630</v>
      </c>
      <c r="W151" s="1">
        <v>9</v>
      </c>
      <c r="X151" s="1" t="s">
        <v>51</v>
      </c>
      <c r="Y151" s="1" t="s">
        <v>52</v>
      </c>
      <c r="Z151" s="1" t="s">
        <v>101</v>
      </c>
      <c r="AA151" s="1" t="s">
        <v>43</v>
      </c>
      <c r="AB151" s="49" t="s">
        <v>309</v>
      </c>
    </row>
    <row r="152" spans="1:28" x14ac:dyDescent="0.15">
      <c r="A152" s="49" t="s">
        <v>75</v>
      </c>
      <c r="B152" s="49" t="s">
        <v>306</v>
      </c>
      <c r="C152" s="49">
        <v>2020</v>
      </c>
      <c r="D152" s="88" t="s">
        <v>307</v>
      </c>
      <c r="E152" s="49" t="s">
        <v>192</v>
      </c>
      <c r="F152" s="49" t="s">
        <v>323</v>
      </c>
      <c r="G152" s="49" t="s">
        <v>37</v>
      </c>
      <c r="H152" s="49" t="s">
        <v>63</v>
      </c>
      <c r="I152" s="1" t="s">
        <v>64</v>
      </c>
      <c r="J152" s="1" t="s">
        <v>40</v>
      </c>
      <c r="K152" s="1" t="s">
        <v>41</v>
      </c>
      <c r="L152" s="1">
        <v>1</v>
      </c>
      <c r="N152" s="1">
        <v>1</v>
      </c>
      <c r="O152" s="1">
        <v>0.6</v>
      </c>
      <c r="P152" s="1">
        <v>0.7</v>
      </c>
      <c r="Q152" s="2">
        <f t="shared" si="3"/>
        <v>0.64999999999999991</v>
      </c>
      <c r="R152" s="1">
        <v>14.7</v>
      </c>
      <c r="S152" s="1">
        <v>137.5</v>
      </c>
      <c r="T152" s="2">
        <f t="shared" si="4"/>
        <v>25</v>
      </c>
      <c r="U152" s="1">
        <v>128</v>
      </c>
      <c r="V152" s="2">
        <f t="shared" si="5"/>
        <v>3200</v>
      </c>
      <c r="W152" s="1">
        <v>9</v>
      </c>
      <c r="X152" s="1" t="s">
        <v>51</v>
      </c>
      <c r="Y152" s="1" t="s">
        <v>52</v>
      </c>
      <c r="Z152" s="1" t="s">
        <v>101</v>
      </c>
      <c r="AA152" s="1" t="s">
        <v>43</v>
      </c>
      <c r="AB152" s="49" t="s">
        <v>309</v>
      </c>
    </row>
    <row r="153" spans="1:28" x14ac:dyDescent="0.15">
      <c r="A153" s="49" t="s">
        <v>75</v>
      </c>
      <c r="B153" s="49" t="s">
        <v>306</v>
      </c>
      <c r="C153" s="49">
        <v>2020</v>
      </c>
      <c r="D153" s="88" t="s">
        <v>307</v>
      </c>
      <c r="E153" s="49" t="s">
        <v>192</v>
      </c>
      <c r="F153" s="49" t="s">
        <v>323</v>
      </c>
      <c r="G153" s="49" t="s">
        <v>37</v>
      </c>
      <c r="H153" s="49" t="s">
        <v>63</v>
      </c>
      <c r="I153" s="1" t="s">
        <v>64</v>
      </c>
      <c r="J153" s="1" t="s">
        <v>40</v>
      </c>
      <c r="K153" s="1" t="s">
        <v>41</v>
      </c>
      <c r="L153" s="1">
        <v>2</v>
      </c>
      <c r="N153" s="1">
        <v>1</v>
      </c>
      <c r="O153" s="1">
        <v>0.9</v>
      </c>
      <c r="P153" s="1">
        <v>0.95</v>
      </c>
      <c r="Q153" s="2">
        <f t="shared" si="3"/>
        <v>0.92500000000000004</v>
      </c>
      <c r="R153" s="1">
        <v>15.1</v>
      </c>
      <c r="S153" s="1">
        <v>148</v>
      </c>
      <c r="T153" s="2">
        <f t="shared" si="4"/>
        <v>22</v>
      </c>
      <c r="U153" s="1">
        <v>128</v>
      </c>
      <c r="V153" s="2">
        <f t="shared" si="5"/>
        <v>2816</v>
      </c>
      <c r="W153" s="1">
        <v>9</v>
      </c>
      <c r="X153" s="1" t="s">
        <v>51</v>
      </c>
      <c r="Y153" s="1" t="s">
        <v>52</v>
      </c>
      <c r="Z153" s="1" t="s">
        <v>101</v>
      </c>
      <c r="AA153" s="1" t="s">
        <v>43</v>
      </c>
      <c r="AB153" s="49" t="s">
        <v>309</v>
      </c>
    </row>
    <row r="154" spans="1:28" x14ac:dyDescent="0.15">
      <c r="A154" s="49" t="s">
        <v>75</v>
      </c>
      <c r="B154" s="49" t="s">
        <v>306</v>
      </c>
      <c r="C154" s="49">
        <v>2020</v>
      </c>
      <c r="D154" s="88" t="s">
        <v>307</v>
      </c>
      <c r="E154" s="49" t="s">
        <v>192</v>
      </c>
      <c r="F154" s="49" t="s">
        <v>323</v>
      </c>
      <c r="G154" s="49" t="s">
        <v>37</v>
      </c>
      <c r="H154" s="49" t="s">
        <v>63</v>
      </c>
      <c r="I154" s="1" t="s">
        <v>64</v>
      </c>
      <c r="J154" s="1" t="s">
        <v>40</v>
      </c>
      <c r="K154" s="1" t="s">
        <v>41</v>
      </c>
      <c r="L154" s="1">
        <v>3</v>
      </c>
      <c r="N154" s="1">
        <v>1</v>
      </c>
      <c r="O154" s="1">
        <v>0.85</v>
      </c>
      <c r="P154" s="1">
        <v>0.8</v>
      </c>
      <c r="Q154" s="2">
        <f t="shared" si="3"/>
        <v>0.82499999999999996</v>
      </c>
      <c r="R154" s="1">
        <v>14.7</v>
      </c>
      <c r="S154" s="1">
        <v>142.5</v>
      </c>
      <c r="T154" s="2">
        <f t="shared" si="4"/>
        <v>22</v>
      </c>
      <c r="U154" s="1">
        <v>128</v>
      </c>
      <c r="V154" s="2">
        <f t="shared" si="5"/>
        <v>2816</v>
      </c>
      <c r="W154" s="1">
        <v>9</v>
      </c>
      <c r="X154" s="1" t="s">
        <v>51</v>
      </c>
      <c r="Y154" s="1" t="s">
        <v>52</v>
      </c>
      <c r="Z154" s="1" t="s">
        <v>101</v>
      </c>
      <c r="AA154" s="1" t="s">
        <v>43</v>
      </c>
      <c r="AB154" s="49" t="s">
        <v>309</v>
      </c>
    </row>
    <row r="155" spans="1:28" x14ac:dyDescent="0.15">
      <c r="A155" s="49"/>
      <c r="B155" s="49"/>
      <c r="C155" s="49"/>
      <c r="D155" s="88"/>
      <c r="E155" s="49"/>
      <c r="F155" s="49"/>
      <c r="G155" s="49"/>
      <c r="H155" s="49"/>
      <c r="AB155" s="49"/>
    </row>
    <row r="156" spans="1:28" x14ac:dyDescent="0.15">
      <c r="A156" s="49"/>
      <c r="B156" s="49"/>
      <c r="C156" s="49"/>
      <c r="D156" s="88"/>
      <c r="E156" s="49"/>
      <c r="F156" s="49"/>
      <c r="G156" s="49"/>
      <c r="H156" s="49"/>
      <c r="AB156" s="49"/>
    </row>
    <row r="157" spans="1:28" x14ac:dyDescent="0.15">
      <c r="A157" s="49"/>
      <c r="B157" s="49"/>
      <c r="C157" s="49"/>
      <c r="D157" s="88"/>
      <c r="E157" s="49"/>
      <c r="F157" s="49"/>
      <c r="G157" s="49"/>
      <c r="H157" s="49"/>
      <c r="AB157" s="49"/>
    </row>
    <row r="158" spans="1:28" x14ac:dyDescent="0.15">
      <c r="A158" s="49"/>
      <c r="B158" s="49"/>
      <c r="C158" s="49"/>
      <c r="D158" s="88"/>
      <c r="E158" s="49"/>
      <c r="F158" s="49"/>
      <c r="G158" s="49"/>
      <c r="H158" s="49"/>
      <c r="AB158" s="49"/>
    </row>
    <row r="159" spans="1:28" x14ac:dyDescent="0.15">
      <c r="A159" s="49"/>
      <c r="B159" s="49"/>
      <c r="C159" s="49"/>
      <c r="D159" s="88"/>
      <c r="E159" s="49"/>
      <c r="F159" s="49"/>
      <c r="G159" s="49"/>
      <c r="H159" s="49"/>
      <c r="AB159" s="49"/>
    </row>
    <row r="160" spans="1:28" x14ac:dyDescent="0.15">
      <c r="A160" s="49"/>
      <c r="B160" s="49"/>
      <c r="C160" s="49"/>
      <c r="D160" s="88"/>
      <c r="E160" s="49"/>
      <c r="F160" s="49"/>
      <c r="G160" s="49"/>
      <c r="H160" s="49"/>
      <c r="AB160" s="49"/>
    </row>
    <row r="161" spans="1:28" x14ac:dyDescent="0.15">
      <c r="A161" s="49"/>
      <c r="B161" s="49"/>
      <c r="C161" s="49"/>
      <c r="D161" s="88"/>
      <c r="E161" s="49"/>
      <c r="F161" s="49"/>
      <c r="G161" s="49"/>
      <c r="H161" s="49"/>
      <c r="AB161" s="49"/>
    </row>
    <row r="162" spans="1:28" x14ac:dyDescent="0.15">
      <c r="A162" s="49"/>
      <c r="B162" s="49"/>
      <c r="C162" s="49"/>
      <c r="D162" s="88"/>
      <c r="E162" s="49"/>
      <c r="F162" s="49"/>
      <c r="G162" s="49"/>
      <c r="H162" s="49"/>
      <c r="AB162" s="49"/>
    </row>
    <row r="163" spans="1:28" x14ac:dyDescent="0.15">
      <c r="A163" s="49"/>
      <c r="B163" s="49"/>
      <c r="C163" s="49"/>
      <c r="D163" s="88"/>
      <c r="E163" s="49"/>
      <c r="F163" s="49"/>
      <c r="G163" s="49"/>
      <c r="H163" s="49"/>
      <c r="AB163" s="49"/>
    </row>
    <row r="164" spans="1:28" x14ac:dyDescent="0.15">
      <c r="A164" s="49"/>
      <c r="B164" s="49"/>
      <c r="C164" s="49"/>
      <c r="D164" s="88"/>
      <c r="E164" s="49"/>
      <c r="F164" s="49"/>
      <c r="G164" s="49"/>
      <c r="H164" s="49"/>
      <c r="AB164" s="49"/>
    </row>
    <row r="165" spans="1:28" x14ac:dyDescent="0.15">
      <c r="A165" s="49"/>
      <c r="B165" s="49"/>
      <c r="C165" s="49"/>
      <c r="D165" s="88"/>
      <c r="E165" s="49"/>
      <c r="F165" s="49"/>
      <c r="G165" s="49"/>
      <c r="H165" s="49"/>
      <c r="AB165" s="49"/>
    </row>
    <row r="166" spans="1:28" x14ac:dyDescent="0.15">
      <c r="A166" s="49"/>
      <c r="B166" s="49"/>
      <c r="C166" s="49"/>
      <c r="D166" s="88"/>
      <c r="E166" s="49"/>
      <c r="F166" s="49"/>
      <c r="G166" s="49"/>
      <c r="H166" s="49"/>
      <c r="AB166" s="49"/>
    </row>
    <row r="167" spans="1:28" x14ac:dyDescent="0.15">
      <c r="A167" s="49"/>
      <c r="B167" s="49"/>
      <c r="C167" s="49"/>
      <c r="D167" s="88"/>
      <c r="E167" s="49"/>
      <c r="F167" s="49"/>
      <c r="G167" s="49"/>
      <c r="H167" s="49"/>
      <c r="AB167" s="49"/>
    </row>
    <row r="168" spans="1:28" x14ac:dyDescent="0.15">
      <c r="A168" s="49"/>
      <c r="B168" s="49"/>
      <c r="C168" s="49"/>
      <c r="D168" s="88"/>
      <c r="E168" s="49"/>
      <c r="F168" s="49"/>
      <c r="G168" s="49"/>
      <c r="H168" s="49"/>
      <c r="AB168" s="49"/>
    </row>
    <row r="169" spans="1:28" x14ac:dyDescent="0.15">
      <c r="A169" s="49"/>
      <c r="B169" s="49"/>
      <c r="C169" s="49"/>
      <c r="D169" s="88"/>
      <c r="E169" s="49"/>
      <c r="F169" s="49"/>
      <c r="G169" s="49"/>
      <c r="H169" s="49"/>
      <c r="AB169" s="49"/>
    </row>
    <row r="170" spans="1:28" x14ac:dyDescent="0.15">
      <c r="A170" s="49"/>
      <c r="B170" s="49"/>
      <c r="C170" s="49"/>
      <c r="D170" s="88"/>
      <c r="E170" s="49"/>
      <c r="F170" s="49"/>
      <c r="G170" s="49"/>
      <c r="H170" s="49"/>
      <c r="AB170" s="49"/>
    </row>
    <row r="171" spans="1:28" x14ac:dyDescent="0.15">
      <c r="A171" s="49"/>
      <c r="B171" s="49"/>
      <c r="C171" s="49"/>
      <c r="D171" s="88"/>
      <c r="E171" s="49"/>
      <c r="F171" s="49"/>
      <c r="G171" s="49"/>
      <c r="H171" s="49"/>
      <c r="AB171" s="49"/>
    </row>
    <row r="172" spans="1:28" x14ac:dyDescent="0.15">
      <c r="A172" s="49"/>
      <c r="B172" s="49"/>
      <c r="C172" s="49"/>
      <c r="D172" s="88"/>
      <c r="E172" s="49"/>
      <c r="F172" s="49"/>
      <c r="G172" s="49"/>
      <c r="H172" s="49"/>
      <c r="AB172" s="49"/>
    </row>
    <row r="173" spans="1:28" x14ac:dyDescent="0.15">
      <c r="A173" s="49"/>
      <c r="B173" s="49"/>
      <c r="C173" s="49"/>
      <c r="D173" s="88"/>
      <c r="E173" s="49"/>
      <c r="F173" s="49"/>
      <c r="G173" s="49"/>
      <c r="H173" s="49"/>
      <c r="AB173" s="49"/>
    </row>
    <row r="174" spans="1:28" x14ac:dyDescent="0.15">
      <c r="A174" s="49"/>
      <c r="B174" s="49"/>
      <c r="C174" s="49"/>
      <c r="D174" s="88"/>
      <c r="E174" s="49"/>
      <c r="F174" s="49"/>
      <c r="G174" s="49"/>
      <c r="H174" s="49"/>
      <c r="AB174" s="49"/>
    </row>
    <row r="175" spans="1:28" x14ac:dyDescent="0.15">
      <c r="A175" s="49"/>
      <c r="B175" s="49"/>
      <c r="C175" s="49"/>
      <c r="D175" s="88"/>
      <c r="E175" s="49"/>
      <c r="F175" s="49"/>
      <c r="G175" s="49"/>
      <c r="H175" s="49"/>
      <c r="AB175" s="49"/>
    </row>
    <row r="176" spans="1:28" x14ac:dyDescent="0.15">
      <c r="A176" s="49"/>
      <c r="B176" s="49"/>
      <c r="C176" s="49"/>
      <c r="D176" s="88"/>
      <c r="E176" s="49"/>
      <c r="F176" s="49"/>
      <c r="G176" s="49"/>
      <c r="H176" s="49"/>
      <c r="AB176" s="49"/>
    </row>
    <row r="177" spans="1:28" x14ac:dyDescent="0.15">
      <c r="A177" s="49"/>
      <c r="B177" s="49"/>
      <c r="C177" s="49"/>
      <c r="D177" s="88"/>
      <c r="E177" s="49"/>
      <c r="F177" s="49"/>
      <c r="G177" s="49"/>
      <c r="H177" s="49"/>
      <c r="AB177" s="49"/>
    </row>
    <row r="178" spans="1:28" x14ac:dyDescent="0.15">
      <c r="A178" s="49"/>
      <c r="B178" s="49"/>
      <c r="C178" s="49"/>
      <c r="D178" s="88"/>
      <c r="E178" s="49"/>
      <c r="F178" s="49"/>
      <c r="G178" s="49"/>
      <c r="H178" s="49"/>
      <c r="AB178" s="49"/>
    </row>
    <row r="179" spans="1:28" x14ac:dyDescent="0.15">
      <c r="A179" s="49"/>
      <c r="B179" s="49"/>
      <c r="C179" s="49"/>
      <c r="D179" s="88"/>
      <c r="E179" s="49"/>
      <c r="F179" s="49"/>
      <c r="G179" s="49"/>
      <c r="H179" s="49"/>
      <c r="AB179" s="49"/>
    </row>
    <row r="180" spans="1:28" x14ac:dyDescent="0.15">
      <c r="A180" s="49"/>
      <c r="B180" s="49"/>
      <c r="C180" s="49"/>
      <c r="D180" s="88"/>
      <c r="E180" s="49"/>
      <c r="F180" s="49"/>
      <c r="G180" s="49"/>
      <c r="H180" s="49"/>
      <c r="AB180" s="49"/>
    </row>
    <row r="181" spans="1:28" x14ac:dyDescent="0.15">
      <c r="A181" s="49"/>
      <c r="B181" s="49"/>
      <c r="C181" s="49"/>
      <c r="D181" s="88"/>
      <c r="E181" s="49"/>
      <c r="F181" s="49"/>
      <c r="G181" s="49"/>
      <c r="H181" s="49"/>
      <c r="AB181" s="49"/>
    </row>
    <row r="182" spans="1:28" x14ac:dyDescent="0.15">
      <c r="A182" s="49"/>
      <c r="B182" s="49"/>
      <c r="C182" s="49"/>
      <c r="D182" s="88"/>
      <c r="E182" s="49"/>
      <c r="F182" s="49"/>
      <c r="G182" s="49"/>
      <c r="H182" s="49"/>
      <c r="AB182" s="49"/>
    </row>
    <row r="183" spans="1:28" x14ac:dyDescent="0.15">
      <c r="A183" s="49"/>
      <c r="B183" s="49"/>
      <c r="C183" s="49"/>
      <c r="D183" s="88"/>
      <c r="E183" s="49"/>
      <c r="F183" s="49"/>
      <c r="G183" s="49"/>
      <c r="H183" s="49"/>
      <c r="AB183" s="49"/>
    </row>
    <row r="184" spans="1:28" x14ac:dyDescent="0.15">
      <c r="A184" s="49"/>
      <c r="B184" s="49"/>
      <c r="C184" s="49"/>
      <c r="D184" s="88"/>
      <c r="E184" s="49"/>
      <c r="F184" s="49"/>
      <c r="G184" s="49"/>
      <c r="H184" s="49"/>
      <c r="AB184" s="49"/>
    </row>
    <row r="185" spans="1:28" x14ac:dyDescent="0.15">
      <c r="A185" s="49"/>
      <c r="B185" s="49"/>
      <c r="C185" s="49"/>
      <c r="D185" s="88"/>
      <c r="E185" s="49"/>
      <c r="F185" s="49"/>
      <c r="G185" s="49"/>
      <c r="H185" s="49"/>
      <c r="AB185" s="49"/>
    </row>
    <row r="186" spans="1:28" x14ac:dyDescent="0.15">
      <c r="A186" s="49"/>
      <c r="B186" s="49"/>
      <c r="C186" s="49"/>
      <c r="D186" s="88"/>
      <c r="E186" s="49"/>
      <c r="F186" s="49"/>
      <c r="G186" s="49"/>
      <c r="H186" s="49"/>
      <c r="AB186" s="49"/>
    </row>
    <row r="187" spans="1:28" x14ac:dyDescent="0.15">
      <c r="A187" s="49"/>
      <c r="B187" s="49"/>
      <c r="C187" s="49"/>
      <c r="D187" s="88"/>
      <c r="E187" s="49"/>
      <c r="F187" s="49"/>
      <c r="G187" s="49"/>
      <c r="H187" s="49"/>
      <c r="AB187" s="49"/>
    </row>
    <row r="188" spans="1:28" x14ac:dyDescent="0.15">
      <c r="A188" s="49"/>
      <c r="B188" s="49"/>
      <c r="C188" s="49"/>
      <c r="D188" s="88"/>
      <c r="E188" s="49"/>
      <c r="F188" s="49"/>
      <c r="G188" s="49"/>
      <c r="H188" s="49"/>
      <c r="AB188" s="49"/>
    </row>
    <row r="189" spans="1:28" x14ac:dyDescent="0.15">
      <c r="A189" s="49"/>
      <c r="B189" s="49"/>
      <c r="C189" s="49"/>
      <c r="D189" s="88"/>
      <c r="E189" s="49"/>
      <c r="F189" s="49"/>
      <c r="G189" s="49"/>
      <c r="H189" s="49"/>
      <c r="AB189" s="49"/>
    </row>
    <row r="190" spans="1:28" x14ac:dyDescent="0.15">
      <c r="A190" s="49"/>
      <c r="B190" s="49"/>
      <c r="C190" s="49"/>
      <c r="D190" s="88"/>
      <c r="E190" s="49"/>
      <c r="F190" s="49"/>
      <c r="G190" s="49"/>
      <c r="H190" s="49"/>
      <c r="AB190" s="49"/>
    </row>
    <row r="191" spans="1:28" x14ac:dyDescent="0.15">
      <c r="A191" s="49"/>
      <c r="B191" s="49"/>
      <c r="C191" s="49"/>
      <c r="D191" s="88"/>
      <c r="E191" s="49"/>
      <c r="F191" s="49"/>
      <c r="G191" s="49"/>
      <c r="H191" s="49"/>
      <c r="AB191" s="49"/>
    </row>
    <row r="192" spans="1:28" x14ac:dyDescent="0.15">
      <c r="A192" s="49"/>
      <c r="B192" s="49"/>
      <c r="C192" s="49"/>
      <c r="D192" s="88"/>
      <c r="E192" s="49"/>
      <c r="F192" s="49"/>
      <c r="G192" s="49"/>
      <c r="H192" s="49"/>
      <c r="AB192" s="49"/>
    </row>
    <row r="193" spans="1:28" x14ac:dyDescent="0.15">
      <c r="A193" s="49"/>
      <c r="B193" s="49"/>
      <c r="C193" s="49"/>
      <c r="D193" s="88"/>
      <c r="E193" s="49"/>
      <c r="F193" s="49"/>
      <c r="G193" s="49"/>
      <c r="H193" s="49"/>
      <c r="AB193" s="49"/>
    </row>
    <row r="194" spans="1:28" x14ac:dyDescent="0.15">
      <c r="A194" s="49"/>
      <c r="B194" s="49"/>
      <c r="C194" s="49"/>
      <c r="D194" s="88"/>
      <c r="E194" s="49"/>
      <c r="F194" s="49"/>
      <c r="G194" s="49"/>
      <c r="H194" s="49"/>
      <c r="AB194" s="49"/>
    </row>
    <row r="195" spans="1:28" x14ac:dyDescent="0.15">
      <c r="A195" s="49"/>
      <c r="B195" s="49"/>
      <c r="C195" s="49"/>
      <c r="D195" s="88"/>
      <c r="E195" s="49"/>
      <c r="F195" s="49"/>
      <c r="G195" s="49"/>
      <c r="H195" s="49"/>
      <c r="AB195" s="49"/>
    </row>
    <row r="196" spans="1:28" x14ac:dyDescent="0.15">
      <c r="A196" s="49"/>
      <c r="B196" s="49"/>
      <c r="C196" s="49"/>
      <c r="D196" s="88"/>
      <c r="E196" s="49"/>
      <c r="F196" s="49"/>
      <c r="G196" s="49"/>
      <c r="H196" s="49"/>
      <c r="AB196" s="49"/>
    </row>
    <row r="197" spans="1:28" x14ac:dyDescent="0.15">
      <c r="A197" s="49"/>
      <c r="B197" s="49"/>
      <c r="C197" s="49"/>
      <c r="D197" s="88"/>
      <c r="E197" s="49"/>
      <c r="F197" s="49"/>
      <c r="G197" s="49"/>
      <c r="H197" s="49"/>
      <c r="AB197" s="49"/>
    </row>
    <row r="198" spans="1:28" x14ac:dyDescent="0.15">
      <c r="A198" s="49"/>
      <c r="B198" s="49"/>
      <c r="C198" s="49"/>
      <c r="D198" s="88"/>
      <c r="E198" s="49"/>
      <c r="F198" s="49"/>
      <c r="G198" s="49"/>
      <c r="H198" s="49"/>
      <c r="AB198" s="49"/>
    </row>
    <row r="199" spans="1:28" x14ac:dyDescent="0.15">
      <c r="A199" s="49"/>
      <c r="B199" s="49"/>
      <c r="C199" s="49"/>
      <c r="D199" s="88"/>
      <c r="E199" s="49"/>
      <c r="F199" s="49"/>
      <c r="G199" s="49"/>
      <c r="H199" s="49"/>
      <c r="AB199" s="49"/>
    </row>
    <row r="200" spans="1:28" x14ac:dyDescent="0.15">
      <c r="A200" s="49"/>
      <c r="B200" s="49"/>
      <c r="C200" s="49"/>
      <c r="D200" s="88"/>
      <c r="E200" s="49"/>
      <c r="F200" s="49"/>
      <c r="G200" s="49"/>
      <c r="H200" s="49"/>
      <c r="AB200" s="49"/>
    </row>
    <row r="201" spans="1:28" x14ac:dyDescent="0.15">
      <c r="A201" s="49"/>
      <c r="B201" s="49"/>
      <c r="C201" s="49"/>
      <c r="D201" s="88"/>
      <c r="E201" s="49"/>
      <c r="F201" s="49"/>
      <c r="G201" s="49"/>
      <c r="H201" s="49"/>
      <c r="AB201" s="49"/>
    </row>
    <row r="202" spans="1:28" x14ac:dyDescent="0.15">
      <c r="A202" s="49"/>
      <c r="B202" s="49"/>
      <c r="C202" s="49"/>
      <c r="D202" s="88"/>
      <c r="E202" s="49"/>
      <c r="F202" s="49"/>
      <c r="G202" s="49"/>
      <c r="H202" s="49"/>
      <c r="AB202" s="49"/>
    </row>
    <row r="203" spans="1:28" x14ac:dyDescent="0.15">
      <c r="A203" s="49"/>
      <c r="B203" s="49"/>
      <c r="C203" s="49"/>
      <c r="D203" s="88"/>
      <c r="E203" s="49"/>
      <c r="F203" s="49"/>
      <c r="G203" s="49"/>
      <c r="H203" s="49"/>
      <c r="AB203" s="49"/>
    </row>
    <row r="204" spans="1:28" x14ac:dyDescent="0.15">
      <c r="A204" s="49"/>
      <c r="B204" s="49"/>
      <c r="C204" s="49"/>
      <c r="D204" s="88"/>
      <c r="E204" s="49"/>
      <c r="F204" s="49"/>
      <c r="G204" s="49"/>
      <c r="H204" s="49"/>
      <c r="AB204" s="49"/>
    </row>
    <row r="205" spans="1:28" x14ac:dyDescent="0.15">
      <c r="A205" s="49"/>
      <c r="B205" s="49"/>
      <c r="C205" s="49"/>
      <c r="D205" s="88"/>
      <c r="E205" s="49"/>
      <c r="F205" s="49"/>
      <c r="G205" s="49"/>
      <c r="H205" s="49"/>
      <c r="AB205" s="49"/>
    </row>
    <row r="206" spans="1:28" x14ac:dyDescent="0.15">
      <c r="A206" s="49"/>
      <c r="B206" s="49"/>
      <c r="C206" s="49"/>
      <c r="D206" s="88"/>
      <c r="E206" s="49"/>
      <c r="F206" s="49"/>
      <c r="G206" s="49"/>
      <c r="H206" s="49"/>
      <c r="AB206" s="49"/>
    </row>
    <row r="207" spans="1:28" x14ac:dyDescent="0.15">
      <c r="A207" s="49"/>
      <c r="B207" s="49"/>
      <c r="C207" s="49"/>
      <c r="D207" s="88"/>
      <c r="E207" s="49"/>
      <c r="F207" s="49"/>
      <c r="G207" s="49"/>
      <c r="H207" s="49"/>
      <c r="AB207" s="49"/>
    </row>
    <row r="208" spans="1:28" x14ac:dyDescent="0.15">
      <c r="A208" s="49"/>
      <c r="B208" s="49"/>
      <c r="C208" s="49"/>
      <c r="D208" s="88"/>
      <c r="E208" s="49"/>
      <c r="F208" s="49"/>
      <c r="G208" s="49"/>
      <c r="H208" s="49"/>
      <c r="AB208" s="49"/>
    </row>
    <row r="209" spans="1:28" x14ac:dyDescent="0.15">
      <c r="A209" s="49"/>
      <c r="B209" s="49"/>
      <c r="C209" s="49"/>
      <c r="D209" s="88"/>
      <c r="E209" s="49"/>
      <c r="F209" s="49"/>
      <c r="G209" s="49"/>
      <c r="H209" s="49"/>
      <c r="AB209" s="49"/>
    </row>
    <row r="210" spans="1:28" x14ac:dyDescent="0.15">
      <c r="A210" s="49"/>
      <c r="B210" s="49"/>
      <c r="C210" s="49"/>
      <c r="D210" s="88"/>
      <c r="E210" s="49"/>
      <c r="F210" s="49"/>
      <c r="G210" s="49"/>
      <c r="H210" s="49"/>
      <c r="AB210" s="49"/>
    </row>
    <row r="211" spans="1:28" x14ac:dyDescent="0.15">
      <c r="A211" s="49"/>
      <c r="B211" s="49"/>
      <c r="C211" s="49"/>
      <c r="D211" s="88"/>
      <c r="E211" s="49"/>
      <c r="F211" s="49"/>
      <c r="G211" s="49"/>
      <c r="H211" s="49"/>
      <c r="AB211" s="49"/>
    </row>
    <row r="212" spans="1:28" x14ac:dyDescent="0.15">
      <c r="A212" s="49"/>
      <c r="B212" s="49"/>
      <c r="C212" s="49"/>
      <c r="D212" s="88"/>
      <c r="E212" s="49"/>
      <c r="F212" s="49"/>
      <c r="G212" s="49"/>
      <c r="H212" s="49"/>
      <c r="AB212" s="49"/>
    </row>
    <row r="213" spans="1:28" x14ac:dyDescent="0.15">
      <c r="A213" s="49"/>
      <c r="B213" s="49"/>
      <c r="C213" s="49"/>
      <c r="D213" s="88"/>
      <c r="E213" s="49"/>
      <c r="F213" s="49"/>
      <c r="G213" s="49"/>
      <c r="H213" s="49"/>
      <c r="AB213" s="49"/>
    </row>
    <row r="214" spans="1:28" x14ac:dyDescent="0.15">
      <c r="A214" s="49"/>
      <c r="B214" s="49"/>
      <c r="C214" s="49"/>
      <c r="D214" s="88"/>
      <c r="E214" s="49"/>
      <c r="F214" s="49"/>
      <c r="G214" s="49"/>
      <c r="H214" s="49"/>
      <c r="AB214" s="49"/>
    </row>
    <row r="215" spans="1:28" x14ac:dyDescent="0.15">
      <c r="A215" s="49"/>
      <c r="B215" s="49"/>
      <c r="C215" s="49"/>
      <c r="D215" s="88"/>
      <c r="E215" s="49"/>
      <c r="F215" s="49"/>
      <c r="G215" s="49"/>
      <c r="H215" s="49"/>
      <c r="AB215" s="49"/>
    </row>
    <row r="216" spans="1:28" x14ac:dyDescent="0.15">
      <c r="A216" s="49"/>
      <c r="B216" s="49"/>
      <c r="C216" s="49"/>
      <c r="D216" s="88"/>
      <c r="E216" s="49"/>
      <c r="F216" s="49"/>
      <c r="G216" s="49"/>
      <c r="H216" s="49"/>
      <c r="AB216" s="49"/>
    </row>
    <row r="217" spans="1:28" x14ac:dyDescent="0.15">
      <c r="A217" s="49"/>
      <c r="B217" s="49"/>
      <c r="C217" s="49"/>
      <c r="D217" s="88"/>
      <c r="E217" s="49"/>
      <c r="F217" s="49"/>
      <c r="G217" s="49"/>
      <c r="H217" s="49"/>
      <c r="AB217" s="49"/>
    </row>
    <row r="218" spans="1:28" x14ac:dyDescent="0.15">
      <c r="A218" s="49"/>
      <c r="B218" s="49"/>
      <c r="C218" s="49"/>
      <c r="D218" s="88"/>
      <c r="E218" s="49"/>
      <c r="F218" s="49"/>
      <c r="G218" s="49"/>
      <c r="H218" s="49"/>
      <c r="AB218" s="49"/>
    </row>
    <row r="219" spans="1:28" x14ac:dyDescent="0.15">
      <c r="A219" s="49"/>
      <c r="B219" s="49"/>
      <c r="C219" s="49"/>
      <c r="D219" s="88"/>
      <c r="E219" s="49"/>
      <c r="F219" s="49"/>
      <c r="G219" s="49"/>
      <c r="H219" s="49"/>
      <c r="AB219" s="49"/>
    </row>
    <row r="220" spans="1:28" x14ac:dyDescent="0.15">
      <c r="A220" s="49"/>
      <c r="B220" s="49"/>
      <c r="C220" s="49"/>
      <c r="D220" s="88"/>
      <c r="E220" s="49"/>
      <c r="F220" s="49"/>
      <c r="G220" s="49"/>
      <c r="H220" s="49"/>
      <c r="AB220" s="49"/>
    </row>
    <row r="221" spans="1:28" x14ac:dyDescent="0.15">
      <c r="A221" s="49"/>
      <c r="B221" s="49"/>
      <c r="C221" s="49"/>
      <c r="D221" s="88"/>
      <c r="E221" s="49"/>
      <c r="F221" s="49"/>
      <c r="G221" s="49"/>
      <c r="H221" s="49"/>
      <c r="AB221" s="49"/>
    </row>
    <row r="222" spans="1:28" x14ac:dyDescent="0.15">
      <c r="A222" s="49"/>
      <c r="B222" s="49"/>
      <c r="C222" s="49"/>
      <c r="D222" s="88"/>
      <c r="E222" s="49"/>
      <c r="F222" s="49"/>
      <c r="G222" s="49"/>
      <c r="H222" s="49"/>
      <c r="AB222" s="49"/>
    </row>
    <row r="223" spans="1:28" x14ac:dyDescent="0.15">
      <c r="A223" s="49"/>
      <c r="B223" s="49"/>
      <c r="C223" s="49"/>
      <c r="D223" s="88"/>
      <c r="E223" s="49"/>
      <c r="F223" s="49"/>
      <c r="G223" s="49"/>
      <c r="H223" s="49"/>
      <c r="AB223" s="49"/>
    </row>
    <row r="224" spans="1:28" x14ac:dyDescent="0.15">
      <c r="A224" s="49"/>
      <c r="B224" s="49"/>
      <c r="C224" s="49"/>
      <c r="D224" s="88"/>
      <c r="E224" s="49"/>
      <c r="F224" s="49"/>
      <c r="G224" s="49"/>
      <c r="H224" s="49"/>
      <c r="AB224" s="49"/>
    </row>
    <row r="225" spans="1:28" x14ac:dyDescent="0.15">
      <c r="A225" s="49"/>
      <c r="B225" s="49"/>
      <c r="C225" s="49"/>
      <c r="D225" s="88"/>
      <c r="E225" s="49"/>
      <c r="F225" s="49"/>
      <c r="G225" s="49"/>
      <c r="H225" s="49"/>
      <c r="AB225" s="49"/>
    </row>
    <row r="226" spans="1:28" x14ac:dyDescent="0.15">
      <c r="A226" s="49"/>
      <c r="B226" s="49"/>
      <c r="C226" s="49"/>
      <c r="D226" s="88"/>
      <c r="E226" s="49"/>
      <c r="F226" s="49"/>
      <c r="G226" s="49"/>
      <c r="H226" s="49"/>
      <c r="AB226" s="49"/>
    </row>
    <row r="227" spans="1:28" x14ac:dyDescent="0.15">
      <c r="A227" s="49"/>
      <c r="B227" s="49"/>
      <c r="C227" s="49"/>
      <c r="D227" s="88"/>
      <c r="E227" s="49"/>
      <c r="F227" s="49"/>
      <c r="G227" s="49"/>
      <c r="H227" s="49"/>
      <c r="AB227" s="49"/>
    </row>
    <row r="228" spans="1:28" x14ac:dyDescent="0.15">
      <c r="A228" s="49"/>
      <c r="B228" s="49"/>
      <c r="C228" s="49"/>
      <c r="D228" s="88"/>
      <c r="E228" s="49"/>
      <c r="F228" s="49"/>
      <c r="G228" s="49"/>
      <c r="H228" s="49"/>
      <c r="AB228" s="49"/>
    </row>
    <row r="229" spans="1:28" x14ac:dyDescent="0.15">
      <c r="A229" s="49"/>
      <c r="B229" s="49"/>
      <c r="C229" s="49"/>
      <c r="D229" s="88"/>
      <c r="E229" s="49"/>
      <c r="F229" s="49"/>
      <c r="G229" s="49"/>
      <c r="H229" s="49"/>
      <c r="AB229" s="49"/>
    </row>
    <row r="230" spans="1:28" x14ac:dyDescent="0.15">
      <c r="A230" s="49"/>
      <c r="B230" s="49"/>
      <c r="C230" s="49"/>
      <c r="D230" s="88"/>
      <c r="E230" s="49"/>
      <c r="F230" s="49"/>
      <c r="G230" s="49"/>
      <c r="H230" s="49"/>
      <c r="AB230" s="49"/>
    </row>
    <row r="231" spans="1:28" x14ac:dyDescent="0.15">
      <c r="A231" s="49"/>
      <c r="B231" s="49"/>
      <c r="C231" s="49"/>
      <c r="D231" s="88"/>
      <c r="E231" s="49"/>
      <c r="F231" s="49"/>
      <c r="G231" s="49"/>
      <c r="H231" s="49"/>
      <c r="AB231" s="49"/>
    </row>
    <row r="232" spans="1:28" x14ac:dyDescent="0.15">
      <c r="A232" s="49"/>
      <c r="B232" s="49"/>
      <c r="C232" s="49"/>
      <c r="D232" s="88"/>
      <c r="E232" s="49"/>
      <c r="F232" s="49"/>
      <c r="G232" s="49"/>
      <c r="H232" s="49"/>
      <c r="AB232" s="49"/>
    </row>
    <row r="233" spans="1:28" x14ac:dyDescent="0.15">
      <c r="A233" s="49"/>
      <c r="B233" s="49"/>
      <c r="C233" s="49"/>
      <c r="D233" s="88"/>
      <c r="E233" s="49"/>
      <c r="F233" s="49"/>
      <c r="G233" s="49"/>
      <c r="H233" s="49"/>
      <c r="AB233" s="49"/>
    </row>
    <row r="234" spans="1:28" x14ac:dyDescent="0.15">
      <c r="A234" s="49"/>
      <c r="B234" s="49"/>
      <c r="C234" s="49"/>
      <c r="D234" s="88"/>
      <c r="E234" s="49"/>
      <c r="F234" s="49"/>
      <c r="G234" s="49"/>
      <c r="H234" s="49"/>
      <c r="AB234" s="49"/>
    </row>
    <row r="235" spans="1:28" x14ac:dyDescent="0.15">
      <c r="A235" s="49"/>
      <c r="B235" s="49"/>
      <c r="C235" s="49"/>
      <c r="D235" s="88"/>
      <c r="E235" s="49"/>
      <c r="F235" s="49"/>
      <c r="G235" s="49"/>
      <c r="H235" s="49"/>
      <c r="AB235" s="49"/>
    </row>
    <row r="236" spans="1:28" x14ac:dyDescent="0.15">
      <c r="A236" s="49"/>
      <c r="B236" s="49"/>
      <c r="C236" s="49"/>
      <c r="D236" s="88"/>
      <c r="E236" s="49"/>
      <c r="F236" s="49"/>
      <c r="G236" s="49"/>
      <c r="H236" s="49"/>
      <c r="AB236" s="49"/>
    </row>
    <row r="237" spans="1:28" x14ac:dyDescent="0.15">
      <c r="A237" s="49"/>
      <c r="B237" s="49"/>
      <c r="C237" s="49"/>
      <c r="D237" s="88"/>
      <c r="E237" s="49"/>
      <c r="F237" s="49"/>
      <c r="G237" s="49"/>
      <c r="H237" s="49"/>
      <c r="AB237" s="49"/>
    </row>
    <row r="238" spans="1:28" x14ac:dyDescent="0.15">
      <c r="A238" s="49"/>
      <c r="B238" s="49"/>
      <c r="C238" s="49"/>
      <c r="D238" s="88"/>
      <c r="E238" s="49"/>
      <c r="F238" s="49"/>
      <c r="G238" s="49"/>
      <c r="H238" s="49"/>
      <c r="AB238" s="49"/>
    </row>
    <row r="239" spans="1:28" x14ac:dyDescent="0.15">
      <c r="A239" s="49"/>
      <c r="B239" s="49"/>
      <c r="C239" s="49"/>
      <c r="D239" s="88"/>
      <c r="E239" s="49"/>
      <c r="F239" s="49"/>
      <c r="G239" s="49"/>
      <c r="H239" s="49"/>
      <c r="AB239" s="49"/>
    </row>
    <row r="240" spans="1:28" x14ac:dyDescent="0.15">
      <c r="A240" s="49"/>
      <c r="B240" s="49"/>
      <c r="C240" s="49"/>
      <c r="D240" s="88"/>
      <c r="E240" s="49"/>
      <c r="F240" s="49"/>
      <c r="G240" s="49"/>
      <c r="H240" s="49"/>
      <c r="AB240" s="49"/>
    </row>
    <row r="241" spans="1:28" x14ac:dyDescent="0.15">
      <c r="A241" s="49"/>
      <c r="B241" s="49"/>
      <c r="C241" s="49"/>
      <c r="D241" s="88"/>
      <c r="E241" s="49"/>
      <c r="F241" s="49"/>
      <c r="G241" s="49"/>
      <c r="H241" s="49"/>
      <c r="AB241" s="49"/>
    </row>
    <row r="242" spans="1:28" x14ac:dyDescent="0.15">
      <c r="A242" s="49"/>
      <c r="B242" s="49"/>
      <c r="C242" s="49"/>
      <c r="D242" s="88"/>
      <c r="E242" s="49"/>
      <c r="F242" s="49"/>
      <c r="G242" s="49"/>
      <c r="H242" s="49"/>
      <c r="AB242" s="49"/>
    </row>
    <row r="243" spans="1:28" x14ac:dyDescent="0.15">
      <c r="A243" s="49"/>
      <c r="B243" s="49"/>
      <c r="C243" s="49"/>
      <c r="D243" s="88"/>
      <c r="E243" s="49"/>
      <c r="F243" s="49"/>
      <c r="G243" s="49"/>
      <c r="H243" s="49"/>
      <c r="AB243" s="49"/>
    </row>
    <row r="244" spans="1:28" x14ac:dyDescent="0.15">
      <c r="A244" s="49"/>
      <c r="B244" s="49"/>
      <c r="C244" s="49"/>
      <c r="D244" s="88"/>
      <c r="E244" s="49"/>
      <c r="F244" s="49"/>
      <c r="G244" s="49"/>
      <c r="H244" s="49"/>
      <c r="AB244" s="49"/>
    </row>
    <row r="245" spans="1:28" x14ac:dyDescent="0.15">
      <c r="A245" s="49"/>
      <c r="B245" s="49"/>
      <c r="C245" s="49"/>
      <c r="D245" s="88"/>
      <c r="E245" s="49"/>
      <c r="F245" s="49"/>
      <c r="G245" s="49"/>
      <c r="H245" s="49"/>
      <c r="AB245" s="49"/>
    </row>
    <row r="246" spans="1:28" x14ac:dyDescent="0.15">
      <c r="A246" s="49"/>
      <c r="B246" s="49"/>
      <c r="C246" s="49"/>
      <c r="D246" s="88"/>
      <c r="E246" s="49"/>
      <c r="F246" s="49"/>
      <c r="G246" s="49"/>
      <c r="H246" s="49"/>
      <c r="AB246" s="49"/>
    </row>
    <row r="247" spans="1:28" x14ac:dyDescent="0.15">
      <c r="A247" s="49"/>
      <c r="B247" s="49"/>
      <c r="C247" s="49"/>
      <c r="D247" s="88"/>
      <c r="E247" s="49"/>
      <c r="F247" s="49"/>
      <c r="G247" s="49"/>
      <c r="H247" s="49"/>
      <c r="AB247" s="49"/>
    </row>
    <row r="248" spans="1:28" x14ac:dyDescent="0.15">
      <c r="A248" s="49"/>
      <c r="B248" s="49"/>
      <c r="C248" s="49"/>
      <c r="D248" s="88"/>
      <c r="E248" s="49"/>
      <c r="F248" s="49"/>
      <c r="G248" s="49"/>
      <c r="H248" s="49"/>
      <c r="AB248" s="49"/>
    </row>
    <row r="249" spans="1:28" x14ac:dyDescent="0.15">
      <c r="A249" s="49"/>
      <c r="B249" s="49"/>
      <c r="C249" s="49"/>
      <c r="D249" s="88"/>
      <c r="E249" s="49"/>
      <c r="F249" s="49"/>
      <c r="G249" s="49"/>
      <c r="H249" s="49"/>
      <c r="AB249" s="49"/>
    </row>
    <row r="250" spans="1:28" x14ac:dyDescent="0.15">
      <c r="A250" s="49"/>
      <c r="B250" s="49"/>
      <c r="C250" s="49"/>
      <c r="D250" s="88"/>
      <c r="E250" s="49"/>
      <c r="F250" s="49"/>
      <c r="G250" s="49"/>
      <c r="H250" s="49"/>
      <c r="AB250" s="49"/>
    </row>
    <row r="251" spans="1:28" x14ac:dyDescent="0.15">
      <c r="A251" s="49"/>
      <c r="B251" s="49"/>
      <c r="C251" s="49"/>
      <c r="D251" s="88"/>
      <c r="E251" s="49"/>
      <c r="F251" s="49"/>
      <c r="G251" s="49"/>
      <c r="H251" s="49"/>
      <c r="AB251" s="49"/>
    </row>
    <row r="252" spans="1:28" x14ac:dyDescent="0.15">
      <c r="A252" s="49"/>
      <c r="B252" s="49"/>
      <c r="C252" s="49"/>
      <c r="D252" s="88"/>
      <c r="E252" s="49"/>
      <c r="F252" s="49"/>
      <c r="G252" s="49"/>
      <c r="H252" s="49"/>
      <c r="AB252" s="49"/>
    </row>
    <row r="253" spans="1:28" x14ac:dyDescent="0.15">
      <c r="A253" s="49"/>
      <c r="B253" s="49"/>
      <c r="C253" s="49"/>
      <c r="D253" s="88"/>
      <c r="E253" s="49"/>
      <c r="F253" s="49"/>
      <c r="G253" s="49"/>
      <c r="H253" s="49"/>
      <c r="AB253" s="49"/>
    </row>
    <row r="254" spans="1:28" x14ac:dyDescent="0.15">
      <c r="A254" s="49"/>
      <c r="B254" s="49"/>
      <c r="C254" s="49"/>
      <c r="D254" s="88"/>
      <c r="E254" s="49"/>
      <c r="F254" s="49"/>
      <c r="G254" s="49"/>
      <c r="H254" s="49"/>
      <c r="AB254" s="49"/>
    </row>
    <row r="255" spans="1:28" x14ac:dyDescent="0.15">
      <c r="A255" s="49"/>
      <c r="B255" s="49"/>
      <c r="C255" s="49"/>
      <c r="D255" s="88"/>
      <c r="E255" s="49"/>
      <c r="F255" s="49"/>
      <c r="G255" s="49"/>
      <c r="H255" s="49"/>
      <c r="AB255" s="49"/>
    </row>
    <row r="256" spans="1:28" x14ac:dyDescent="0.15">
      <c r="A256" s="49"/>
      <c r="B256" s="49"/>
      <c r="C256" s="49"/>
      <c r="D256" s="88"/>
      <c r="E256" s="49"/>
      <c r="F256" s="49"/>
      <c r="G256" s="49"/>
      <c r="H256" s="49"/>
      <c r="AB256" s="49"/>
    </row>
    <row r="257" spans="1:28" x14ac:dyDescent="0.15">
      <c r="A257" s="49"/>
      <c r="B257" s="49"/>
      <c r="C257" s="49"/>
      <c r="D257" s="88"/>
      <c r="E257" s="49"/>
      <c r="F257" s="49"/>
      <c r="G257" s="49"/>
      <c r="H257" s="49"/>
      <c r="AB257" s="49"/>
    </row>
    <row r="258" spans="1:28" x14ac:dyDescent="0.15">
      <c r="A258" s="49"/>
      <c r="B258" s="49"/>
      <c r="C258" s="49"/>
      <c r="D258" s="88"/>
      <c r="E258" s="49"/>
      <c r="F258" s="49"/>
      <c r="G258" s="49"/>
      <c r="H258" s="49"/>
      <c r="AB258" s="49"/>
    </row>
    <row r="259" spans="1:28" x14ac:dyDescent="0.15">
      <c r="A259" s="49"/>
      <c r="B259" s="49"/>
      <c r="C259" s="49"/>
      <c r="D259" s="88"/>
      <c r="E259" s="49"/>
      <c r="F259" s="49"/>
      <c r="G259" s="49"/>
      <c r="H259" s="49"/>
      <c r="AB259" s="49"/>
    </row>
    <row r="260" spans="1:28" x14ac:dyDescent="0.15">
      <c r="A260" s="49"/>
      <c r="B260" s="49"/>
      <c r="C260" s="49"/>
      <c r="D260" s="88"/>
      <c r="E260" s="49"/>
      <c r="F260" s="49"/>
      <c r="G260" s="49"/>
      <c r="H260" s="49"/>
      <c r="AB260" s="49"/>
    </row>
    <row r="261" spans="1:28" x14ac:dyDescent="0.15">
      <c r="A261" s="49"/>
      <c r="B261" s="49"/>
      <c r="C261" s="49"/>
      <c r="D261" s="88"/>
      <c r="E261" s="49"/>
      <c r="F261" s="49"/>
      <c r="G261" s="49"/>
      <c r="H261" s="49"/>
      <c r="AB261" s="49"/>
    </row>
    <row r="262" spans="1:28" x14ac:dyDescent="0.15">
      <c r="A262" s="49"/>
      <c r="B262" s="49"/>
      <c r="C262" s="49"/>
      <c r="D262" s="88"/>
      <c r="E262" s="49"/>
      <c r="F262" s="49"/>
      <c r="G262" s="49"/>
      <c r="H262" s="49"/>
      <c r="AB262" s="49"/>
    </row>
    <row r="263" spans="1:28" x14ac:dyDescent="0.15">
      <c r="A263" s="49"/>
      <c r="B263" s="49"/>
      <c r="C263" s="49"/>
      <c r="D263" s="88"/>
      <c r="E263" s="49"/>
      <c r="F263" s="49"/>
      <c r="G263" s="49"/>
      <c r="H263" s="49"/>
      <c r="AB263" s="49"/>
    </row>
    <row r="264" spans="1:28" x14ac:dyDescent="0.15">
      <c r="A264" s="49"/>
      <c r="B264" s="49"/>
      <c r="C264" s="49"/>
      <c r="D264" s="88"/>
      <c r="E264" s="49"/>
      <c r="F264" s="49"/>
      <c r="G264" s="49"/>
      <c r="H264" s="49"/>
      <c r="AB264" s="49"/>
    </row>
    <row r="265" spans="1:28" x14ac:dyDescent="0.15">
      <c r="A265" s="49"/>
      <c r="B265" s="49"/>
      <c r="C265" s="49"/>
      <c r="D265" s="88"/>
      <c r="E265" s="49"/>
      <c r="F265" s="49"/>
      <c r="G265" s="49"/>
      <c r="H265" s="49"/>
      <c r="AB265" s="49"/>
    </row>
    <row r="266" spans="1:28" x14ac:dyDescent="0.15">
      <c r="A266" s="49"/>
      <c r="B266" s="49"/>
      <c r="C266" s="49"/>
      <c r="D266" s="88"/>
      <c r="E266" s="49"/>
      <c r="F266" s="49"/>
      <c r="G266" s="49"/>
      <c r="H266" s="49"/>
      <c r="AB266" s="49"/>
    </row>
    <row r="267" spans="1:28" x14ac:dyDescent="0.15">
      <c r="A267" s="49"/>
      <c r="B267" s="49"/>
      <c r="C267" s="49"/>
      <c r="D267" s="88"/>
      <c r="E267" s="49"/>
      <c r="F267" s="49"/>
      <c r="G267" s="49"/>
      <c r="H267" s="49"/>
      <c r="AB267" s="49"/>
    </row>
    <row r="268" spans="1:28" x14ac:dyDescent="0.15">
      <c r="A268" s="49"/>
      <c r="B268" s="49"/>
      <c r="C268" s="49"/>
      <c r="D268" s="88"/>
      <c r="E268" s="49"/>
      <c r="F268" s="49"/>
      <c r="G268" s="49"/>
      <c r="H268" s="49"/>
      <c r="AB268" s="49"/>
    </row>
    <row r="269" spans="1:28" x14ac:dyDescent="0.15">
      <c r="A269" s="49"/>
      <c r="B269" s="49"/>
      <c r="C269" s="49"/>
      <c r="D269" s="88"/>
      <c r="E269" s="49"/>
      <c r="F269" s="49"/>
      <c r="G269" s="49"/>
      <c r="H269" s="49"/>
      <c r="AB269" s="49"/>
    </row>
    <row r="270" spans="1:28" x14ac:dyDescent="0.15">
      <c r="A270" s="49"/>
      <c r="B270" s="49"/>
      <c r="C270" s="49"/>
      <c r="D270" s="88"/>
      <c r="E270" s="49"/>
      <c r="F270" s="49"/>
      <c r="G270" s="49"/>
      <c r="H270" s="49"/>
      <c r="AB270" s="49"/>
    </row>
    <row r="271" spans="1:28" x14ac:dyDescent="0.15">
      <c r="A271" s="49"/>
      <c r="B271" s="49"/>
      <c r="C271" s="49"/>
      <c r="D271" s="88"/>
      <c r="E271" s="49"/>
      <c r="F271" s="49"/>
      <c r="G271" s="49"/>
      <c r="H271" s="49"/>
      <c r="AB271" s="49"/>
    </row>
    <row r="272" spans="1:28" x14ac:dyDescent="0.15">
      <c r="A272" s="49"/>
      <c r="B272" s="49"/>
      <c r="C272" s="49"/>
      <c r="D272" s="88"/>
      <c r="E272" s="49"/>
      <c r="F272" s="49"/>
      <c r="G272" s="49"/>
      <c r="H272" s="49"/>
      <c r="AB272" s="49"/>
    </row>
    <row r="273" spans="1:28" x14ac:dyDescent="0.15">
      <c r="A273" s="49"/>
      <c r="B273" s="49"/>
      <c r="C273" s="49"/>
      <c r="D273" s="88"/>
      <c r="E273" s="49"/>
      <c r="F273" s="49"/>
      <c r="G273" s="49"/>
      <c r="H273" s="49"/>
      <c r="AB273" s="49"/>
    </row>
    <row r="274" spans="1:28" x14ac:dyDescent="0.15">
      <c r="A274" s="49"/>
      <c r="B274" s="49"/>
      <c r="C274" s="49"/>
      <c r="D274" s="88"/>
      <c r="E274" s="49"/>
      <c r="F274" s="49"/>
      <c r="G274" s="49"/>
      <c r="H274" s="49"/>
      <c r="AB274" s="49"/>
    </row>
    <row r="275" spans="1:28" x14ac:dyDescent="0.15">
      <c r="A275" s="49"/>
      <c r="B275" s="49"/>
      <c r="C275" s="49"/>
      <c r="D275" s="88"/>
      <c r="E275" s="49"/>
      <c r="F275" s="49"/>
      <c r="G275" s="49"/>
      <c r="H275" s="49"/>
      <c r="AB275" s="49"/>
    </row>
    <row r="276" spans="1:28" x14ac:dyDescent="0.15">
      <c r="A276" s="49"/>
      <c r="B276" s="49"/>
      <c r="C276" s="49"/>
      <c r="D276" s="88"/>
      <c r="E276" s="49"/>
      <c r="F276" s="49"/>
      <c r="G276" s="49"/>
      <c r="H276" s="49"/>
      <c r="AB276" s="49"/>
    </row>
    <row r="277" spans="1:28" x14ac:dyDescent="0.15">
      <c r="A277" s="49"/>
      <c r="B277" s="49"/>
      <c r="C277" s="49"/>
      <c r="D277" s="88"/>
      <c r="E277" s="49"/>
      <c r="F277" s="49"/>
      <c r="G277" s="49"/>
      <c r="H277" s="49"/>
      <c r="AB277" s="49"/>
    </row>
    <row r="278" spans="1:28" x14ac:dyDescent="0.15">
      <c r="A278" s="49"/>
      <c r="B278" s="49"/>
      <c r="C278" s="49"/>
      <c r="D278" s="88"/>
      <c r="E278" s="49"/>
      <c r="F278" s="49"/>
      <c r="G278" s="49"/>
      <c r="H278" s="49"/>
      <c r="AB278" s="49"/>
    </row>
    <row r="279" spans="1:28" x14ac:dyDescent="0.15">
      <c r="A279" s="49"/>
      <c r="B279" s="49"/>
      <c r="C279" s="49"/>
      <c r="D279" s="88"/>
      <c r="E279" s="49"/>
      <c r="F279" s="49"/>
      <c r="G279" s="49"/>
      <c r="H279" s="49"/>
      <c r="AB279" s="49"/>
    </row>
    <row r="280" spans="1:28" x14ac:dyDescent="0.15">
      <c r="A280" s="49"/>
      <c r="B280" s="49"/>
      <c r="C280" s="49"/>
      <c r="D280" s="88"/>
      <c r="E280" s="49"/>
      <c r="F280" s="49"/>
      <c r="G280" s="49"/>
      <c r="H280" s="49"/>
      <c r="AB280" s="49"/>
    </row>
    <row r="281" spans="1:28" x14ac:dyDescent="0.15">
      <c r="A281" s="49"/>
      <c r="B281" s="49"/>
      <c r="C281" s="49"/>
      <c r="D281" s="88"/>
      <c r="E281" s="49"/>
      <c r="F281" s="49"/>
      <c r="G281" s="49"/>
      <c r="H281" s="49"/>
      <c r="AB281" s="49"/>
    </row>
    <row r="282" spans="1:28" x14ac:dyDescent="0.15">
      <c r="A282" s="49"/>
      <c r="B282" s="49"/>
      <c r="C282" s="49"/>
      <c r="D282" s="88"/>
      <c r="E282" s="49"/>
      <c r="F282" s="49"/>
      <c r="G282" s="49"/>
      <c r="H282" s="49"/>
      <c r="AB282" s="49"/>
    </row>
    <row r="283" spans="1:28" x14ac:dyDescent="0.15">
      <c r="A283" s="49"/>
      <c r="B283" s="49"/>
      <c r="C283" s="49"/>
      <c r="D283" s="88"/>
      <c r="E283" s="49"/>
      <c r="F283" s="49"/>
      <c r="G283" s="49"/>
      <c r="H283" s="49"/>
      <c r="AB283" s="49"/>
    </row>
    <row r="284" spans="1:28" x14ac:dyDescent="0.15">
      <c r="A284" s="49"/>
      <c r="B284" s="49"/>
      <c r="C284" s="49"/>
      <c r="D284" s="88"/>
      <c r="E284" s="49"/>
      <c r="F284" s="49"/>
      <c r="G284" s="49"/>
      <c r="H284" s="49"/>
      <c r="AB284" s="49"/>
    </row>
    <row r="285" spans="1:28" x14ac:dyDescent="0.15">
      <c r="A285" s="49"/>
      <c r="B285" s="49"/>
      <c r="C285" s="49"/>
      <c r="D285" s="88"/>
      <c r="E285" s="49"/>
      <c r="F285" s="49"/>
      <c r="G285" s="49"/>
      <c r="H285" s="49"/>
      <c r="AB285" s="49"/>
    </row>
    <row r="286" spans="1:28" x14ac:dyDescent="0.15">
      <c r="A286" s="49"/>
      <c r="B286" s="49"/>
      <c r="C286" s="49"/>
      <c r="D286" s="88"/>
      <c r="E286" s="49"/>
      <c r="F286" s="49"/>
      <c r="G286" s="49"/>
      <c r="H286" s="49"/>
      <c r="AB286" s="49"/>
    </row>
    <row r="287" spans="1:28" x14ac:dyDescent="0.15">
      <c r="A287" s="49"/>
      <c r="B287" s="49"/>
      <c r="C287" s="49"/>
      <c r="D287" s="88"/>
      <c r="E287" s="49"/>
      <c r="F287" s="49"/>
      <c r="G287" s="49"/>
      <c r="H287" s="49"/>
      <c r="AB287" s="49"/>
    </row>
    <row r="288" spans="1:28" x14ac:dyDescent="0.15">
      <c r="A288" s="49"/>
      <c r="B288" s="49"/>
      <c r="C288" s="49"/>
      <c r="D288" s="88"/>
      <c r="E288" s="49"/>
      <c r="F288" s="49"/>
      <c r="G288" s="49"/>
      <c r="H288" s="49"/>
      <c r="AB288" s="49"/>
    </row>
    <row r="289" spans="1:28" x14ac:dyDescent="0.15">
      <c r="A289" s="49"/>
      <c r="B289" s="49"/>
      <c r="C289" s="49"/>
      <c r="D289" s="88"/>
      <c r="E289" s="49"/>
      <c r="F289" s="49"/>
      <c r="G289" s="49"/>
      <c r="H289" s="49"/>
      <c r="AB289" s="49"/>
    </row>
    <row r="290" spans="1:28" x14ac:dyDescent="0.15">
      <c r="A290" s="49"/>
      <c r="B290" s="49"/>
      <c r="C290" s="49"/>
      <c r="D290" s="88"/>
      <c r="E290" s="49"/>
      <c r="F290" s="49"/>
      <c r="G290" s="49"/>
      <c r="H290" s="49"/>
      <c r="AB290" s="49"/>
    </row>
    <row r="291" spans="1:28" x14ac:dyDescent="0.15">
      <c r="A291" s="49"/>
      <c r="B291" s="49"/>
      <c r="C291" s="49"/>
      <c r="D291" s="88"/>
      <c r="E291" s="49"/>
      <c r="F291" s="49"/>
      <c r="G291" s="49"/>
      <c r="H291" s="49"/>
      <c r="AB291" s="49"/>
    </row>
    <row r="292" spans="1:28" x14ac:dyDescent="0.15">
      <c r="A292" s="49"/>
      <c r="B292" s="49"/>
      <c r="C292" s="49"/>
      <c r="D292" s="88"/>
      <c r="E292" s="49"/>
      <c r="F292" s="49"/>
      <c r="G292" s="49"/>
      <c r="H292" s="49"/>
      <c r="AB292" s="49"/>
    </row>
    <row r="293" spans="1:28" x14ac:dyDescent="0.15">
      <c r="A293" s="49"/>
      <c r="B293" s="49"/>
      <c r="C293" s="49"/>
      <c r="D293" s="88"/>
      <c r="E293" s="49"/>
      <c r="F293" s="49"/>
      <c r="G293" s="49"/>
      <c r="H293" s="49"/>
      <c r="AB293" s="49"/>
    </row>
    <row r="294" spans="1:28" x14ac:dyDescent="0.15">
      <c r="A294" s="49"/>
      <c r="B294" s="49"/>
      <c r="C294" s="49"/>
      <c r="D294" s="88"/>
      <c r="E294" s="49"/>
      <c r="F294" s="49"/>
      <c r="G294" s="49"/>
      <c r="H294" s="49"/>
      <c r="AB294" s="49"/>
    </row>
    <row r="295" spans="1:28" x14ac:dyDescent="0.15">
      <c r="A295" s="49"/>
      <c r="B295" s="49"/>
      <c r="C295" s="49"/>
      <c r="D295" s="88"/>
      <c r="E295" s="49"/>
      <c r="F295" s="49"/>
      <c r="G295" s="49"/>
      <c r="H295" s="49"/>
      <c r="AB295" s="49"/>
    </row>
    <row r="296" spans="1:28" x14ac:dyDescent="0.15">
      <c r="A296" s="49"/>
      <c r="B296" s="49"/>
      <c r="C296" s="49"/>
      <c r="D296" s="88"/>
      <c r="E296" s="49"/>
      <c r="F296" s="49"/>
      <c r="G296" s="49"/>
      <c r="H296" s="49"/>
      <c r="AB296" s="49"/>
    </row>
    <row r="297" spans="1:28" x14ac:dyDescent="0.15">
      <c r="A297" s="49"/>
      <c r="B297" s="49"/>
      <c r="C297" s="49"/>
      <c r="D297" s="88"/>
      <c r="E297" s="49"/>
      <c r="F297" s="49"/>
      <c r="G297" s="49"/>
      <c r="H297" s="49"/>
      <c r="AB297" s="49"/>
    </row>
    <row r="298" spans="1:28" x14ac:dyDescent="0.15">
      <c r="A298" s="49"/>
      <c r="B298" s="49"/>
      <c r="C298" s="49"/>
      <c r="D298" s="88"/>
      <c r="E298" s="49"/>
      <c r="F298" s="49"/>
      <c r="G298" s="49"/>
      <c r="H298" s="49"/>
      <c r="AB298" s="49"/>
    </row>
    <row r="299" spans="1:28" x14ac:dyDescent="0.15">
      <c r="A299" s="49"/>
      <c r="B299" s="49"/>
      <c r="C299" s="49"/>
      <c r="D299" s="88"/>
      <c r="E299" s="49"/>
      <c r="F299" s="49"/>
      <c r="G299" s="49"/>
      <c r="H299" s="49"/>
      <c r="AB299" s="49"/>
    </row>
    <row r="300" spans="1:28" x14ac:dyDescent="0.15">
      <c r="A300" s="49"/>
      <c r="B300" s="49"/>
      <c r="C300" s="49"/>
      <c r="D300" s="88"/>
      <c r="E300" s="49"/>
      <c r="F300" s="49"/>
      <c r="G300" s="49"/>
      <c r="H300" s="49"/>
      <c r="AB300" s="49"/>
    </row>
    <row r="301" spans="1:28" x14ac:dyDescent="0.15">
      <c r="A301" s="49"/>
      <c r="B301" s="49"/>
      <c r="C301" s="49"/>
      <c r="D301" s="88"/>
      <c r="E301" s="49"/>
      <c r="F301" s="49"/>
      <c r="G301" s="49"/>
      <c r="H301" s="49"/>
      <c r="AB301" s="49"/>
    </row>
    <row r="302" spans="1:28" x14ac:dyDescent="0.15">
      <c r="A302" s="49"/>
      <c r="B302" s="49"/>
      <c r="C302" s="49"/>
      <c r="D302" s="88"/>
      <c r="E302" s="49"/>
      <c r="F302" s="49"/>
      <c r="G302" s="49"/>
      <c r="H302" s="49"/>
      <c r="AB302" s="49"/>
    </row>
    <row r="303" spans="1:28" x14ac:dyDescent="0.15">
      <c r="A303" s="49"/>
      <c r="B303" s="49"/>
      <c r="C303" s="49"/>
      <c r="D303" s="88"/>
      <c r="E303" s="49"/>
      <c r="F303" s="49"/>
      <c r="G303" s="49"/>
      <c r="H303" s="49"/>
      <c r="AB303" s="49"/>
    </row>
    <row r="304" spans="1:28" x14ac:dyDescent="0.15">
      <c r="A304" s="49"/>
      <c r="B304" s="49"/>
      <c r="C304" s="49"/>
      <c r="D304" s="88"/>
      <c r="E304" s="49"/>
      <c r="F304" s="49"/>
      <c r="G304" s="49"/>
      <c r="H304" s="49"/>
      <c r="AB304" s="49"/>
    </row>
    <row r="305" spans="1:28" x14ac:dyDescent="0.15">
      <c r="A305" s="49"/>
      <c r="B305" s="49"/>
      <c r="C305" s="49"/>
      <c r="D305" s="88"/>
      <c r="E305" s="49"/>
      <c r="F305" s="49"/>
      <c r="G305" s="49"/>
      <c r="H305" s="49"/>
      <c r="AB305" s="49"/>
    </row>
    <row r="306" spans="1:28" x14ac:dyDescent="0.15">
      <c r="A306" s="49"/>
      <c r="B306" s="49"/>
      <c r="C306" s="49"/>
      <c r="D306" s="88"/>
      <c r="E306" s="49"/>
      <c r="F306" s="49"/>
      <c r="G306" s="49"/>
      <c r="H306" s="49"/>
      <c r="AB306" s="49"/>
    </row>
    <row r="307" spans="1:28" x14ac:dyDescent="0.15">
      <c r="A307" s="49"/>
      <c r="B307" s="49"/>
      <c r="C307" s="49"/>
      <c r="D307" s="88"/>
      <c r="E307" s="49"/>
      <c r="F307" s="49"/>
      <c r="G307" s="49"/>
      <c r="H307" s="49"/>
      <c r="AB307" s="49"/>
    </row>
    <row r="308" spans="1:28" x14ac:dyDescent="0.15">
      <c r="A308" s="49"/>
      <c r="B308" s="49"/>
      <c r="C308" s="49"/>
      <c r="D308" s="88"/>
      <c r="E308" s="49"/>
      <c r="F308" s="49"/>
      <c r="G308" s="49"/>
      <c r="H308" s="49"/>
      <c r="AB308" s="49"/>
    </row>
    <row r="309" spans="1:28" x14ac:dyDescent="0.15">
      <c r="A309" s="49"/>
      <c r="B309" s="49"/>
      <c r="C309" s="49"/>
      <c r="D309" s="88"/>
      <c r="E309" s="49"/>
      <c r="F309" s="49"/>
      <c r="G309" s="49"/>
      <c r="H309" s="49"/>
      <c r="AB309" s="49"/>
    </row>
    <row r="310" spans="1:28" x14ac:dyDescent="0.15">
      <c r="A310" s="49"/>
      <c r="B310" s="49"/>
      <c r="C310" s="49"/>
      <c r="D310" s="88"/>
      <c r="E310" s="49"/>
      <c r="F310" s="49"/>
      <c r="G310" s="49"/>
      <c r="H310" s="49"/>
      <c r="AB310" s="49"/>
    </row>
    <row r="311" spans="1:28" x14ac:dyDescent="0.15">
      <c r="A311" s="49"/>
      <c r="B311" s="49"/>
      <c r="C311" s="49"/>
      <c r="D311" s="88"/>
      <c r="E311" s="49"/>
      <c r="F311" s="49"/>
      <c r="G311" s="49"/>
      <c r="H311" s="49"/>
      <c r="AB311" s="49"/>
    </row>
    <row r="312" spans="1:28" x14ac:dyDescent="0.15">
      <c r="A312" s="49"/>
      <c r="B312" s="49"/>
      <c r="C312" s="49"/>
      <c r="D312" s="88"/>
      <c r="E312" s="49"/>
      <c r="F312" s="49"/>
      <c r="G312" s="49"/>
      <c r="H312" s="49"/>
      <c r="AB312" s="49"/>
    </row>
    <row r="313" spans="1:28" x14ac:dyDescent="0.15">
      <c r="A313" s="49"/>
      <c r="B313" s="49"/>
      <c r="C313" s="49"/>
      <c r="D313" s="88"/>
      <c r="E313" s="49"/>
      <c r="F313" s="49"/>
      <c r="G313" s="49"/>
      <c r="H313" s="49"/>
      <c r="AB313" s="49"/>
    </row>
    <row r="314" spans="1:28" x14ac:dyDescent="0.15">
      <c r="A314" s="49"/>
      <c r="B314" s="49"/>
      <c r="C314" s="49"/>
      <c r="D314" s="88"/>
      <c r="E314" s="49"/>
      <c r="F314" s="49"/>
      <c r="G314" s="49"/>
      <c r="H314" s="49"/>
      <c r="AB314" s="49"/>
    </row>
    <row r="315" spans="1:28" x14ac:dyDescent="0.15">
      <c r="A315" s="49"/>
      <c r="B315" s="49"/>
      <c r="C315" s="49"/>
      <c r="D315" s="88"/>
      <c r="E315" s="49"/>
      <c r="F315" s="49"/>
      <c r="G315" s="49"/>
      <c r="H315" s="49"/>
      <c r="AB315" s="49"/>
    </row>
    <row r="316" spans="1:28" x14ac:dyDescent="0.15">
      <c r="A316" s="49"/>
      <c r="B316" s="49"/>
      <c r="C316" s="49"/>
      <c r="D316" s="88"/>
      <c r="E316" s="49"/>
      <c r="F316" s="49"/>
      <c r="G316" s="49"/>
      <c r="H316" s="49"/>
      <c r="AB316" s="49"/>
    </row>
    <row r="317" spans="1:28" x14ac:dyDescent="0.15">
      <c r="A317" s="49"/>
      <c r="B317" s="49"/>
      <c r="C317" s="49"/>
      <c r="D317" s="88"/>
      <c r="E317" s="49"/>
      <c r="F317" s="49"/>
      <c r="G317" s="49"/>
      <c r="H317" s="49"/>
      <c r="AB317" s="49"/>
    </row>
    <row r="318" spans="1:28" x14ac:dyDescent="0.15">
      <c r="A318" s="49"/>
      <c r="B318" s="49"/>
      <c r="C318" s="49"/>
      <c r="D318" s="88"/>
      <c r="E318" s="49"/>
      <c r="F318" s="49"/>
      <c r="G318" s="49"/>
      <c r="H318" s="49"/>
      <c r="AB318" s="49"/>
    </row>
    <row r="319" spans="1:28" x14ac:dyDescent="0.15">
      <c r="A319" s="49"/>
      <c r="B319" s="49"/>
      <c r="C319" s="49"/>
      <c r="D319" s="88"/>
      <c r="E319" s="49"/>
      <c r="F319" s="49"/>
      <c r="G319" s="49"/>
      <c r="H319" s="49"/>
      <c r="AB319" s="49"/>
    </row>
    <row r="320" spans="1:28" x14ac:dyDescent="0.15">
      <c r="A320" s="49"/>
      <c r="B320" s="49"/>
      <c r="C320" s="49"/>
      <c r="D320" s="88"/>
      <c r="E320" s="49"/>
      <c r="F320" s="49"/>
      <c r="G320" s="49"/>
      <c r="H320" s="49"/>
      <c r="AB320" s="49"/>
    </row>
    <row r="321" spans="1:28" x14ac:dyDescent="0.15">
      <c r="A321" s="49"/>
      <c r="B321" s="49"/>
      <c r="C321" s="49"/>
      <c r="D321" s="88"/>
      <c r="E321" s="49"/>
      <c r="F321" s="49"/>
      <c r="G321" s="49"/>
      <c r="H321" s="49"/>
      <c r="AB321" s="49"/>
    </row>
    <row r="322" spans="1:28" x14ac:dyDescent="0.15">
      <c r="A322" s="49"/>
      <c r="B322" s="49"/>
      <c r="C322" s="49"/>
      <c r="D322" s="88"/>
      <c r="E322" s="49"/>
      <c r="F322" s="49"/>
      <c r="G322" s="49"/>
      <c r="H322" s="49"/>
      <c r="AB322" s="49"/>
    </row>
    <row r="323" spans="1:28" x14ac:dyDescent="0.15">
      <c r="A323" s="49"/>
      <c r="B323" s="49"/>
      <c r="C323" s="49"/>
      <c r="D323" s="88"/>
      <c r="E323" s="49"/>
      <c r="F323" s="49"/>
      <c r="G323" s="49"/>
      <c r="H323" s="49"/>
      <c r="AB323" s="49"/>
    </row>
    <row r="324" spans="1:28" x14ac:dyDescent="0.15">
      <c r="A324" s="49"/>
      <c r="B324" s="49"/>
      <c r="C324" s="49"/>
      <c r="D324" s="88"/>
      <c r="E324" s="49"/>
      <c r="F324" s="49"/>
      <c r="G324" s="49"/>
      <c r="H324" s="49"/>
      <c r="AB324" s="49"/>
    </row>
    <row r="325" spans="1:28" x14ac:dyDescent="0.15">
      <c r="A325" s="49"/>
      <c r="B325" s="49"/>
      <c r="C325" s="49"/>
      <c r="D325" s="88"/>
      <c r="E325" s="49"/>
      <c r="F325" s="49"/>
      <c r="G325" s="49"/>
      <c r="H325" s="49"/>
      <c r="AB325" s="49"/>
    </row>
    <row r="326" spans="1:28" x14ac:dyDescent="0.15">
      <c r="A326" s="49"/>
      <c r="B326" s="49"/>
      <c r="C326" s="49"/>
      <c r="D326" s="88"/>
      <c r="E326" s="49"/>
      <c r="F326" s="49"/>
      <c r="G326" s="49"/>
      <c r="H326" s="49"/>
      <c r="AB326" s="49"/>
    </row>
    <row r="327" spans="1:28" x14ac:dyDescent="0.15">
      <c r="A327" s="49"/>
      <c r="B327" s="49"/>
      <c r="C327" s="49"/>
      <c r="D327" s="88"/>
      <c r="E327" s="49"/>
      <c r="F327" s="49"/>
      <c r="G327" s="49"/>
      <c r="H327" s="49"/>
      <c r="AB327" s="49"/>
    </row>
    <row r="328" spans="1:28" x14ac:dyDescent="0.15">
      <c r="A328" s="49"/>
      <c r="B328" s="49"/>
      <c r="C328" s="49"/>
      <c r="D328" s="88"/>
      <c r="E328" s="49"/>
      <c r="F328" s="49"/>
      <c r="G328" s="49"/>
      <c r="H328" s="49"/>
      <c r="AB328" s="49"/>
    </row>
    <row r="329" spans="1:28" x14ac:dyDescent="0.15">
      <c r="A329" s="49"/>
      <c r="B329" s="49"/>
      <c r="C329" s="49"/>
      <c r="D329" s="88"/>
      <c r="E329" s="49"/>
      <c r="F329" s="49"/>
      <c r="G329" s="49"/>
      <c r="H329" s="49"/>
      <c r="AB329" s="49"/>
    </row>
    <row r="330" spans="1:28" x14ac:dyDescent="0.15">
      <c r="A330" s="49"/>
      <c r="B330" s="49"/>
      <c r="C330" s="49"/>
      <c r="D330" s="88"/>
      <c r="E330" s="49"/>
      <c r="F330" s="49"/>
      <c r="G330" s="49"/>
      <c r="H330" s="49"/>
      <c r="AB330" s="49"/>
    </row>
    <row r="331" spans="1:28" x14ac:dyDescent="0.15">
      <c r="A331" s="49"/>
      <c r="B331" s="49"/>
      <c r="C331" s="49"/>
      <c r="D331" s="88"/>
      <c r="E331" s="49"/>
      <c r="F331" s="49"/>
      <c r="G331" s="49"/>
      <c r="H331" s="49"/>
      <c r="AB331" s="49"/>
    </row>
    <row r="332" spans="1:28" x14ac:dyDescent="0.15">
      <c r="A332" s="49"/>
      <c r="B332" s="49"/>
      <c r="C332" s="49"/>
      <c r="D332" s="88"/>
      <c r="E332" s="49"/>
      <c r="F332" s="49"/>
      <c r="G332" s="49"/>
      <c r="H332" s="49"/>
      <c r="AB332" s="49"/>
    </row>
    <row r="333" spans="1:28" x14ac:dyDescent="0.15">
      <c r="A333" s="49"/>
      <c r="B333" s="49"/>
      <c r="C333" s="49"/>
      <c r="D333" s="88"/>
      <c r="E333" s="49"/>
      <c r="F333" s="49"/>
      <c r="G333" s="49"/>
      <c r="H333" s="49"/>
      <c r="AB333" s="49"/>
    </row>
    <row r="334" spans="1:28" x14ac:dyDescent="0.15">
      <c r="A334" s="49"/>
      <c r="B334" s="49"/>
      <c r="C334" s="49"/>
      <c r="D334" s="88"/>
      <c r="E334" s="49"/>
      <c r="F334" s="49"/>
      <c r="G334" s="49"/>
      <c r="H334" s="49"/>
      <c r="AB334" s="49"/>
    </row>
    <row r="335" spans="1:28" x14ac:dyDescent="0.15">
      <c r="A335" s="49"/>
      <c r="B335" s="49"/>
      <c r="C335" s="49"/>
      <c r="D335" s="88"/>
      <c r="E335" s="49"/>
      <c r="F335" s="49"/>
      <c r="G335" s="49"/>
      <c r="H335" s="49"/>
      <c r="AB335" s="49"/>
    </row>
    <row r="336" spans="1:28" x14ac:dyDescent="0.15">
      <c r="A336" s="49"/>
      <c r="B336" s="49"/>
      <c r="C336" s="49"/>
      <c r="D336" s="88"/>
      <c r="E336" s="49"/>
      <c r="F336" s="49"/>
      <c r="G336" s="49"/>
      <c r="H336" s="49"/>
      <c r="AB336" s="49"/>
    </row>
    <row r="337" spans="1:28" x14ac:dyDescent="0.15">
      <c r="A337" s="49"/>
      <c r="B337" s="49"/>
      <c r="C337" s="49"/>
      <c r="D337" s="88"/>
      <c r="E337" s="49"/>
      <c r="F337" s="49"/>
      <c r="G337" s="49"/>
      <c r="H337" s="49"/>
      <c r="AB337" s="49"/>
    </row>
    <row r="338" spans="1:28" x14ac:dyDescent="0.15">
      <c r="A338" s="49"/>
      <c r="B338" s="49"/>
      <c r="C338" s="49"/>
      <c r="D338" s="88"/>
      <c r="E338" s="49"/>
      <c r="F338" s="49"/>
      <c r="G338" s="49"/>
      <c r="H338" s="49"/>
      <c r="AB338" s="49"/>
    </row>
    <row r="339" spans="1:28" x14ac:dyDescent="0.15">
      <c r="A339" s="49"/>
      <c r="B339" s="49"/>
      <c r="C339" s="49"/>
      <c r="D339" s="88"/>
      <c r="E339" s="49"/>
      <c r="F339" s="49"/>
      <c r="G339" s="49"/>
      <c r="H339" s="49"/>
      <c r="AB339" s="49"/>
    </row>
    <row r="340" spans="1:28" x14ac:dyDescent="0.15">
      <c r="A340" s="49"/>
      <c r="B340" s="49"/>
      <c r="C340" s="49"/>
      <c r="D340" s="88"/>
      <c r="E340" s="49"/>
      <c r="F340" s="49"/>
      <c r="G340" s="49"/>
      <c r="H340" s="49"/>
      <c r="AB340" s="49"/>
    </row>
    <row r="341" spans="1:28" x14ac:dyDescent="0.15">
      <c r="A341" s="49"/>
      <c r="B341" s="49"/>
      <c r="C341" s="49"/>
      <c r="D341" s="88"/>
      <c r="E341" s="49"/>
      <c r="F341" s="49"/>
      <c r="G341" s="49"/>
      <c r="H341" s="49"/>
      <c r="AB341" s="49"/>
    </row>
    <row r="342" spans="1:28" x14ac:dyDescent="0.15">
      <c r="A342" s="49"/>
      <c r="B342" s="49"/>
      <c r="C342" s="49"/>
      <c r="D342" s="88"/>
      <c r="E342" s="49"/>
      <c r="F342" s="49"/>
      <c r="G342" s="49"/>
      <c r="H342" s="49"/>
      <c r="AB342" s="49"/>
    </row>
    <row r="343" spans="1:28" x14ac:dyDescent="0.15">
      <c r="A343" s="49"/>
      <c r="B343" s="49"/>
      <c r="C343" s="49"/>
      <c r="D343" s="88"/>
      <c r="E343" s="49"/>
      <c r="F343" s="49"/>
      <c r="G343" s="49"/>
      <c r="H343" s="49"/>
      <c r="AB343" s="49"/>
    </row>
    <row r="344" spans="1:28" x14ac:dyDescent="0.15">
      <c r="A344" s="49"/>
      <c r="B344" s="49"/>
      <c r="C344" s="49"/>
      <c r="D344" s="88"/>
      <c r="E344" s="49"/>
      <c r="F344" s="49"/>
      <c r="G344" s="49"/>
      <c r="H344" s="49"/>
      <c r="AB344" s="49"/>
    </row>
    <row r="345" spans="1:28" x14ac:dyDescent="0.15">
      <c r="A345" s="49"/>
      <c r="B345" s="49"/>
      <c r="C345" s="49"/>
      <c r="D345" s="88"/>
      <c r="E345" s="49"/>
      <c r="F345" s="49"/>
      <c r="G345" s="49"/>
      <c r="H345" s="49"/>
      <c r="AB345" s="49"/>
    </row>
    <row r="346" spans="1:28" x14ac:dyDescent="0.15">
      <c r="A346" s="49"/>
      <c r="B346" s="49"/>
      <c r="C346" s="49"/>
      <c r="D346" s="88"/>
      <c r="E346" s="49"/>
      <c r="F346" s="49"/>
      <c r="G346" s="49"/>
      <c r="H346" s="49"/>
      <c r="AB346" s="49"/>
    </row>
    <row r="347" spans="1:28" x14ac:dyDescent="0.15">
      <c r="A347" s="49"/>
      <c r="B347" s="49"/>
      <c r="C347" s="49"/>
      <c r="D347" s="88"/>
      <c r="E347" s="49"/>
      <c r="F347" s="49"/>
      <c r="G347" s="49"/>
      <c r="H347" s="49"/>
      <c r="AB347" s="49"/>
    </row>
    <row r="348" spans="1:28" x14ac:dyDescent="0.15">
      <c r="A348" s="49"/>
      <c r="B348" s="49"/>
      <c r="C348" s="49"/>
      <c r="D348" s="88"/>
      <c r="E348" s="49"/>
      <c r="F348" s="49"/>
      <c r="G348" s="49"/>
      <c r="H348" s="49"/>
      <c r="AB348" s="49"/>
    </row>
    <row r="349" spans="1:28" x14ac:dyDescent="0.15">
      <c r="A349" s="49"/>
      <c r="B349" s="49"/>
      <c r="C349" s="49"/>
      <c r="D349" s="88"/>
      <c r="E349" s="49"/>
      <c r="F349" s="49"/>
      <c r="G349" s="49"/>
      <c r="H349" s="49"/>
      <c r="AB349" s="49"/>
    </row>
    <row r="350" spans="1:28" x14ac:dyDescent="0.15">
      <c r="A350" s="49"/>
      <c r="B350" s="49"/>
      <c r="C350" s="49"/>
      <c r="D350" s="88"/>
      <c r="E350" s="49"/>
      <c r="F350" s="49"/>
      <c r="G350" s="49"/>
      <c r="H350" s="49"/>
      <c r="AB350" s="49"/>
    </row>
    <row r="351" spans="1:28" x14ac:dyDescent="0.15">
      <c r="A351" s="49"/>
      <c r="B351" s="49"/>
      <c r="C351" s="49"/>
      <c r="D351" s="88"/>
      <c r="E351" s="49"/>
      <c r="F351" s="49"/>
      <c r="G351" s="49"/>
      <c r="H351" s="49"/>
      <c r="AB351" s="49"/>
    </row>
    <row r="352" spans="1:28" x14ac:dyDescent="0.15">
      <c r="A352" s="49"/>
      <c r="B352" s="49"/>
      <c r="C352" s="49"/>
      <c r="D352" s="88"/>
      <c r="E352" s="49"/>
      <c r="F352" s="49"/>
      <c r="G352" s="49"/>
      <c r="H352" s="49"/>
      <c r="AB352" s="49"/>
    </row>
    <row r="353" spans="1:28" x14ac:dyDescent="0.15">
      <c r="A353" s="49"/>
      <c r="B353" s="49"/>
      <c r="C353" s="49"/>
      <c r="D353" s="88"/>
      <c r="E353" s="49"/>
      <c r="F353" s="49"/>
      <c r="G353" s="49"/>
      <c r="H353" s="49"/>
      <c r="AB353" s="49"/>
    </row>
    <row r="354" spans="1:28" x14ac:dyDescent="0.15">
      <c r="A354" s="49"/>
      <c r="B354" s="49"/>
      <c r="C354" s="49"/>
      <c r="D354" s="88"/>
      <c r="E354" s="49"/>
      <c r="F354" s="49"/>
      <c r="G354" s="49"/>
      <c r="H354" s="49"/>
      <c r="AB354" s="49"/>
    </row>
    <row r="355" spans="1:28" x14ac:dyDescent="0.15">
      <c r="A355" s="49"/>
      <c r="B355" s="49"/>
      <c r="C355" s="49"/>
      <c r="D355" s="88"/>
      <c r="E355" s="49"/>
      <c r="F355" s="49"/>
      <c r="G355" s="49"/>
      <c r="H355" s="49"/>
      <c r="AB355" s="49"/>
    </row>
    <row r="356" spans="1:28" x14ac:dyDescent="0.15">
      <c r="A356" s="49"/>
      <c r="B356" s="49"/>
      <c r="C356" s="49"/>
      <c r="D356" s="88"/>
      <c r="E356" s="49"/>
      <c r="F356" s="49"/>
      <c r="G356" s="49"/>
      <c r="H356" s="49"/>
      <c r="AB356" s="49"/>
    </row>
    <row r="357" spans="1:28" x14ac:dyDescent="0.15">
      <c r="A357" s="49"/>
      <c r="B357" s="49"/>
      <c r="C357" s="49"/>
      <c r="D357" s="88"/>
      <c r="E357" s="49"/>
      <c r="F357" s="49"/>
      <c r="G357" s="49"/>
      <c r="H357" s="49"/>
      <c r="AB357" s="49"/>
    </row>
    <row r="358" spans="1:28" x14ac:dyDescent="0.15">
      <c r="A358" s="49"/>
      <c r="B358" s="49"/>
      <c r="C358" s="49"/>
      <c r="D358" s="88"/>
      <c r="E358" s="49"/>
      <c r="F358" s="49"/>
      <c r="G358" s="49"/>
      <c r="H358" s="49"/>
      <c r="AB358" s="49"/>
    </row>
    <row r="359" spans="1:28" x14ac:dyDescent="0.15">
      <c r="A359" s="49"/>
      <c r="B359" s="49"/>
      <c r="C359" s="49"/>
      <c r="D359" s="88"/>
      <c r="E359" s="49"/>
      <c r="F359" s="49"/>
      <c r="G359" s="49"/>
      <c r="H359" s="49"/>
      <c r="AB359" s="49"/>
    </row>
    <row r="360" spans="1:28" x14ac:dyDescent="0.15">
      <c r="A360" s="49"/>
      <c r="B360" s="49"/>
      <c r="C360" s="49"/>
      <c r="D360" s="88"/>
      <c r="E360" s="49"/>
      <c r="F360" s="49"/>
      <c r="G360" s="49"/>
      <c r="H360" s="49"/>
      <c r="AB360" s="49"/>
    </row>
    <row r="361" spans="1:28" x14ac:dyDescent="0.15">
      <c r="A361" s="49"/>
      <c r="B361" s="49"/>
      <c r="C361" s="49"/>
      <c r="D361" s="88"/>
      <c r="E361" s="49"/>
      <c r="F361" s="49"/>
      <c r="G361" s="49"/>
      <c r="H361" s="49"/>
      <c r="AB361" s="49"/>
    </row>
    <row r="362" spans="1:28" x14ac:dyDescent="0.15">
      <c r="A362" s="49"/>
      <c r="B362" s="49"/>
      <c r="C362" s="49"/>
      <c r="D362" s="88"/>
      <c r="E362" s="49"/>
      <c r="F362" s="49"/>
      <c r="G362" s="49"/>
      <c r="H362" s="49"/>
      <c r="AB362" s="49"/>
    </row>
    <row r="363" spans="1:28" x14ac:dyDescent="0.15">
      <c r="A363" s="49"/>
      <c r="B363" s="49"/>
      <c r="C363" s="49"/>
      <c r="D363" s="88"/>
      <c r="E363" s="49"/>
      <c r="F363" s="49"/>
      <c r="G363" s="49"/>
      <c r="H363" s="49"/>
      <c r="AB363" s="49"/>
    </row>
    <row r="364" spans="1:28" x14ac:dyDescent="0.15">
      <c r="A364" s="49"/>
      <c r="B364" s="49"/>
      <c r="C364" s="49"/>
      <c r="D364" s="88"/>
      <c r="E364" s="49"/>
      <c r="F364" s="49"/>
      <c r="G364" s="49"/>
      <c r="H364" s="49"/>
      <c r="AB364" s="49"/>
    </row>
    <row r="365" spans="1:28" x14ac:dyDescent="0.15">
      <c r="A365" s="49"/>
      <c r="B365" s="49"/>
      <c r="C365" s="49"/>
      <c r="D365" s="88"/>
      <c r="E365" s="49"/>
      <c r="F365" s="49"/>
      <c r="G365" s="49"/>
      <c r="H365" s="49"/>
      <c r="AB365" s="49"/>
    </row>
    <row r="366" spans="1:28" x14ac:dyDescent="0.15">
      <c r="A366" s="49"/>
      <c r="B366" s="49"/>
      <c r="C366" s="49"/>
      <c r="D366" s="88"/>
      <c r="E366" s="49"/>
      <c r="F366" s="49"/>
      <c r="G366" s="49"/>
      <c r="H366" s="49"/>
      <c r="AB366" s="49"/>
    </row>
    <row r="367" spans="1:28" x14ac:dyDescent="0.15">
      <c r="A367" s="49"/>
      <c r="B367" s="49"/>
      <c r="C367" s="49"/>
      <c r="D367" s="88"/>
      <c r="E367" s="49"/>
      <c r="F367" s="49"/>
      <c r="G367" s="49"/>
      <c r="H367" s="49"/>
      <c r="AB367" s="49"/>
    </row>
    <row r="368" spans="1:28" x14ac:dyDescent="0.15">
      <c r="A368" s="49"/>
      <c r="B368" s="49"/>
      <c r="C368" s="49"/>
      <c r="D368" s="88"/>
      <c r="E368" s="49"/>
      <c r="F368" s="49"/>
      <c r="G368" s="49"/>
      <c r="H368" s="49"/>
      <c r="AB368" s="49"/>
    </row>
    <row r="369" spans="1:28" x14ac:dyDescent="0.15">
      <c r="A369" s="49"/>
      <c r="B369" s="49"/>
      <c r="C369" s="49"/>
      <c r="D369" s="88"/>
      <c r="E369" s="49"/>
      <c r="F369" s="49"/>
      <c r="G369" s="49"/>
      <c r="H369" s="49"/>
      <c r="AB369" s="49"/>
    </row>
    <row r="370" spans="1:28" x14ac:dyDescent="0.15">
      <c r="A370" s="49"/>
      <c r="B370" s="49"/>
      <c r="C370" s="49"/>
      <c r="D370" s="88"/>
      <c r="E370" s="49"/>
      <c r="F370" s="49"/>
      <c r="G370" s="49"/>
      <c r="H370" s="49"/>
      <c r="AB370" s="49"/>
    </row>
    <row r="371" spans="1:28" x14ac:dyDescent="0.15">
      <c r="A371" s="49"/>
      <c r="B371" s="49"/>
      <c r="C371" s="49"/>
      <c r="D371" s="88"/>
      <c r="E371" s="49"/>
      <c r="F371" s="49"/>
      <c r="G371" s="49"/>
      <c r="H371" s="49"/>
      <c r="AB371" s="49"/>
    </row>
    <row r="372" spans="1:28" x14ac:dyDescent="0.15">
      <c r="A372" s="49"/>
      <c r="B372" s="49"/>
      <c r="C372" s="49"/>
      <c r="D372" s="88"/>
      <c r="E372" s="49"/>
      <c r="F372" s="49"/>
      <c r="G372" s="49"/>
      <c r="H372" s="49"/>
      <c r="AB372" s="49"/>
    </row>
    <row r="373" spans="1:28" x14ac:dyDescent="0.15">
      <c r="A373" s="49"/>
      <c r="B373" s="49"/>
      <c r="C373" s="49"/>
      <c r="D373" s="88"/>
      <c r="E373" s="49"/>
      <c r="F373" s="49"/>
      <c r="G373" s="49"/>
      <c r="H373" s="49"/>
      <c r="AB373" s="49"/>
    </row>
    <row r="374" spans="1:28" x14ac:dyDescent="0.15">
      <c r="A374" s="49"/>
      <c r="B374" s="49"/>
      <c r="C374" s="49"/>
      <c r="D374" s="88"/>
      <c r="E374" s="49"/>
      <c r="F374" s="49"/>
      <c r="G374" s="49"/>
      <c r="H374" s="49"/>
      <c r="AB374" s="49"/>
    </row>
    <row r="375" spans="1:28" x14ac:dyDescent="0.15">
      <c r="A375" s="49"/>
      <c r="B375" s="49"/>
      <c r="C375" s="49"/>
      <c r="D375" s="88"/>
      <c r="E375" s="49"/>
      <c r="F375" s="49"/>
      <c r="G375" s="49"/>
      <c r="H375" s="49"/>
      <c r="AB375" s="49"/>
    </row>
    <row r="376" spans="1:28" x14ac:dyDescent="0.15">
      <c r="A376" s="49"/>
      <c r="B376" s="49"/>
      <c r="C376" s="49"/>
      <c r="D376" s="88"/>
      <c r="E376" s="49"/>
      <c r="F376" s="49"/>
      <c r="G376" s="49"/>
      <c r="H376" s="49"/>
      <c r="AB376" s="49"/>
    </row>
    <row r="377" spans="1:28" x14ac:dyDescent="0.15">
      <c r="A377" s="49"/>
      <c r="B377" s="49"/>
      <c r="C377" s="49"/>
      <c r="D377" s="88"/>
      <c r="E377" s="49"/>
      <c r="F377" s="49"/>
      <c r="G377" s="49"/>
      <c r="H377" s="49"/>
      <c r="AB377" s="49"/>
    </row>
    <row r="378" spans="1:28" x14ac:dyDescent="0.15">
      <c r="A378" s="49"/>
      <c r="B378" s="49"/>
      <c r="C378" s="49"/>
      <c r="D378" s="88"/>
      <c r="E378" s="49"/>
      <c r="F378" s="49"/>
      <c r="G378" s="49"/>
      <c r="H378" s="49"/>
      <c r="AB378" s="49"/>
    </row>
    <row r="379" spans="1:28" x14ac:dyDescent="0.15">
      <c r="A379" s="49"/>
      <c r="B379" s="49"/>
      <c r="C379" s="49"/>
      <c r="D379" s="88"/>
      <c r="E379" s="49"/>
      <c r="F379" s="49"/>
      <c r="G379" s="49"/>
      <c r="H379" s="49"/>
      <c r="AB379" s="49"/>
    </row>
    <row r="380" spans="1:28" x14ac:dyDescent="0.15">
      <c r="A380" s="49"/>
      <c r="B380" s="49"/>
      <c r="C380" s="49"/>
      <c r="D380" s="88"/>
      <c r="E380" s="49"/>
      <c r="F380" s="49"/>
      <c r="G380" s="49"/>
      <c r="H380" s="49"/>
      <c r="AB380" s="49"/>
    </row>
    <row r="381" spans="1:28" x14ac:dyDescent="0.15">
      <c r="A381" s="49"/>
      <c r="B381" s="49"/>
      <c r="C381" s="49"/>
      <c r="D381" s="88"/>
      <c r="E381" s="49"/>
      <c r="F381" s="49"/>
      <c r="G381" s="49"/>
      <c r="H381" s="49"/>
      <c r="AB381" s="49"/>
    </row>
    <row r="382" spans="1:28" x14ac:dyDescent="0.15">
      <c r="A382" s="49"/>
      <c r="B382" s="49"/>
      <c r="C382" s="49"/>
      <c r="D382" s="88"/>
      <c r="E382" s="49"/>
      <c r="F382" s="49"/>
      <c r="G382" s="49"/>
      <c r="H382" s="49"/>
      <c r="AB382" s="49"/>
    </row>
    <row r="383" spans="1:28" x14ac:dyDescent="0.15">
      <c r="A383" s="49"/>
      <c r="B383" s="49"/>
      <c r="C383" s="49"/>
      <c r="D383" s="88"/>
      <c r="E383" s="49"/>
      <c r="F383" s="49"/>
      <c r="G383" s="49"/>
      <c r="H383" s="49"/>
      <c r="AB383" s="49"/>
    </row>
    <row r="384" spans="1:28" x14ac:dyDescent="0.15">
      <c r="A384" s="49"/>
      <c r="B384" s="49"/>
      <c r="C384" s="49"/>
      <c r="D384" s="88"/>
      <c r="E384" s="49"/>
      <c r="F384" s="49"/>
      <c r="G384" s="49"/>
      <c r="H384" s="49"/>
      <c r="AB384" s="49"/>
    </row>
    <row r="385" spans="1:28" x14ac:dyDescent="0.15">
      <c r="A385" s="49"/>
      <c r="B385" s="49"/>
      <c r="C385" s="49"/>
      <c r="D385" s="88"/>
      <c r="E385" s="49"/>
      <c r="F385" s="49"/>
      <c r="G385" s="49"/>
      <c r="H385" s="49"/>
      <c r="AB385" s="49"/>
    </row>
    <row r="386" spans="1:28" x14ac:dyDescent="0.15">
      <c r="A386" s="49"/>
      <c r="B386" s="49"/>
      <c r="C386" s="49"/>
      <c r="D386" s="88"/>
      <c r="E386" s="49"/>
      <c r="F386" s="49"/>
      <c r="G386" s="49"/>
      <c r="H386" s="49"/>
      <c r="AB386" s="49"/>
    </row>
    <row r="387" spans="1:28" x14ac:dyDescent="0.15">
      <c r="A387" s="49"/>
      <c r="B387" s="49"/>
      <c r="C387" s="49"/>
      <c r="D387" s="88"/>
      <c r="E387" s="49"/>
      <c r="F387" s="49"/>
      <c r="G387" s="49"/>
      <c r="H387" s="49"/>
      <c r="AB387" s="49"/>
    </row>
    <row r="388" spans="1:28" x14ac:dyDescent="0.15">
      <c r="A388" s="49"/>
      <c r="B388" s="49"/>
      <c r="C388" s="49"/>
      <c r="D388" s="88"/>
      <c r="E388" s="49"/>
      <c r="F388" s="49"/>
      <c r="G388" s="49"/>
      <c r="H388" s="49"/>
      <c r="AB388" s="49"/>
    </row>
    <row r="389" spans="1:28" x14ac:dyDescent="0.15">
      <c r="A389" s="49"/>
      <c r="B389" s="49"/>
      <c r="C389" s="49"/>
      <c r="D389" s="88"/>
      <c r="E389" s="49"/>
      <c r="F389" s="49"/>
      <c r="G389" s="49"/>
      <c r="H389" s="49"/>
      <c r="AB389" s="49"/>
    </row>
    <row r="390" spans="1:28" x14ac:dyDescent="0.15">
      <c r="A390" s="49"/>
      <c r="B390" s="49"/>
      <c r="C390" s="49"/>
      <c r="D390" s="88"/>
      <c r="E390" s="49"/>
      <c r="F390" s="49"/>
      <c r="G390" s="49"/>
      <c r="H390" s="49"/>
      <c r="AB390" s="49"/>
    </row>
    <row r="391" spans="1:28" x14ac:dyDescent="0.15">
      <c r="A391" s="49"/>
      <c r="B391" s="49"/>
      <c r="C391" s="49"/>
      <c r="D391" s="88"/>
      <c r="E391" s="49"/>
      <c r="F391" s="49"/>
      <c r="G391" s="49"/>
      <c r="H391" s="49"/>
      <c r="AB391" s="49"/>
    </row>
    <row r="392" spans="1:28" x14ac:dyDescent="0.15">
      <c r="A392" s="49"/>
      <c r="B392" s="49"/>
      <c r="C392" s="49"/>
      <c r="D392" s="88"/>
      <c r="E392" s="49"/>
      <c r="F392" s="49"/>
      <c r="G392" s="49"/>
      <c r="H392" s="49"/>
      <c r="AB392" s="49"/>
    </row>
    <row r="393" spans="1:28" x14ac:dyDescent="0.15">
      <c r="A393" s="49"/>
      <c r="B393" s="49"/>
      <c r="C393" s="49"/>
      <c r="D393" s="88"/>
      <c r="E393" s="49"/>
      <c r="F393" s="49"/>
      <c r="G393" s="49"/>
      <c r="H393" s="49"/>
      <c r="AB393" s="49"/>
    </row>
    <row r="394" spans="1:28" x14ac:dyDescent="0.15">
      <c r="A394" s="49"/>
      <c r="B394" s="49"/>
      <c r="C394" s="49"/>
      <c r="D394" s="88"/>
      <c r="E394" s="49"/>
      <c r="F394" s="49"/>
      <c r="G394" s="49"/>
      <c r="H394" s="49"/>
      <c r="AB394" s="49"/>
    </row>
    <row r="395" spans="1:28" x14ac:dyDescent="0.15">
      <c r="A395" s="49"/>
      <c r="B395" s="49"/>
      <c r="C395" s="49"/>
      <c r="D395" s="88"/>
      <c r="E395" s="49"/>
      <c r="F395" s="49"/>
      <c r="G395" s="49"/>
      <c r="H395" s="49"/>
      <c r="AB395" s="49"/>
    </row>
    <row r="396" spans="1:28" x14ac:dyDescent="0.15">
      <c r="A396" s="49"/>
      <c r="B396" s="49"/>
      <c r="C396" s="49"/>
      <c r="D396" s="88"/>
      <c r="E396" s="49"/>
      <c r="F396" s="49"/>
      <c r="G396" s="49"/>
      <c r="H396" s="49"/>
      <c r="AB396" s="49"/>
    </row>
    <row r="397" spans="1:28" x14ac:dyDescent="0.15">
      <c r="A397" s="49"/>
      <c r="B397" s="49"/>
      <c r="C397" s="49"/>
      <c r="D397" s="88"/>
      <c r="E397" s="49"/>
      <c r="F397" s="49"/>
      <c r="G397" s="49"/>
      <c r="H397" s="49"/>
      <c r="AB397" s="49"/>
    </row>
    <row r="398" spans="1:28" x14ac:dyDescent="0.15">
      <c r="A398" s="49"/>
      <c r="B398" s="49"/>
      <c r="C398" s="49"/>
      <c r="D398" s="88"/>
      <c r="E398" s="49"/>
      <c r="F398" s="49"/>
      <c r="G398" s="49"/>
      <c r="H398" s="49"/>
      <c r="AB398" s="49"/>
    </row>
    <row r="399" spans="1:28" x14ac:dyDescent="0.15">
      <c r="A399" s="49"/>
      <c r="B399" s="49"/>
      <c r="C399" s="49"/>
      <c r="D399" s="88"/>
      <c r="E399" s="49"/>
      <c r="F399" s="49"/>
      <c r="G399" s="49"/>
      <c r="H399" s="49"/>
      <c r="AB399" s="49"/>
    </row>
    <row r="400" spans="1:28" x14ac:dyDescent="0.15">
      <c r="A400" s="49"/>
      <c r="B400" s="49"/>
      <c r="C400" s="49"/>
      <c r="D400" s="88"/>
      <c r="E400" s="49"/>
      <c r="F400" s="49"/>
      <c r="G400" s="49"/>
      <c r="H400" s="49"/>
      <c r="AB400" s="49"/>
    </row>
    <row r="401" spans="1:28" x14ac:dyDescent="0.15">
      <c r="A401" s="49"/>
      <c r="B401" s="49"/>
      <c r="C401" s="49"/>
      <c r="D401" s="88"/>
      <c r="E401" s="49"/>
      <c r="F401" s="49"/>
      <c r="G401" s="49"/>
      <c r="H401" s="49"/>
      <c r="AB401" s="49"/>
    </row>
    <row r="402" spans="1:28" x14ac:dyDescent="0.15">
      <c r="A402" s="49"/>
      <c r="B402" s="49"/>
      <c r="C402" s="49"/>
      <c r="D402" s="88"/>
      <c r="E402" s="49"/>
      <c r="F402" s="49"/>
      <c r="G402" s="49"/>
      <c r="H402" s="49"/>
      <c r="AB402" s="49"/>
    </row>
    <row r="403" spans="1:28" x14ac:dyDescent="0.15">
      <c r="A403" s="49"/>
      <c r="B403" s="49"/>
      <c r="C403" s="49"/>
      <c r="D403" s="88"/>
      <c r="E403" s="49"/>
      <c r="F403" s="49"/>
      <c r="G403" s="49"/>
      <c r="H403" s="49"/>
      <c r="AB403" s="49"/>
    </row>
    <row r="404" spans="1:28" x14ac:dyDescent="0.15">
      <c r="A404" s="49"/>
      <c r="B404" s="49"/>
      <c r="C404" s="49"/>
      <c r="D404" s="88"/>
      <c r="E404" s="49"/>
      <c r="F404" s="49"/>
      <c r="G404" s="49"/>
      <c r="H404" s="49"/>
      <c r="AB404" s="49"/>
    </row>
    <row r="405" spans="1:28" x14ac:dyDescent="0.15">
      <c r="A405" s="49"/>
      <c r="B405" s="49"/>
      <c r="C405" s="49"/>
      <c r="D405" s="88"/>
      <c r="E405" s="49"/>
      <c r="F405" s="49"/>
      <c r="G405" s="49"/>
      <c r="H405" s="49"/>
      <c r="AB405" s="49"/>
    </row>
    <row r="406" spans="1:28" x14ac:dyDescent="0.15">
      <c r="A406" s="49"/>
      <c r="B406" s="49"/>
      <c r="C406" s="49"/>
      <c r="D406" s="88"/>
      <c r="E406" s="49"/>
      <c r="F406" s="49"/>
      <c r="G406" s="49"/>
      <c r="H406" s="49"/>
      <c r="AB406" s="49"/>
    </row>
    <row r="407" spans="1:28" x14ac:dyDescent="0.15">
      <c r="A407" s="49"/>
      <c r="B407" s="49"/>
      <c r="C407" s="49"/>
      <c r="D407" s="88"/>
      <c r="E407" s="49"/>
      <c r="F407" s="49"/>
      <c r="G407" s="49"/>
      <c r="H407" s="49"/>
      <c r="AB407" s="49"/>
    </row>
    <row r="408" spans="1:28" x14ac:dyDescent="0.15">
      <c r="A408" s="49"/>
      <c r="B408" s="49"/>
      <c r="C408" s="49"/>
      <c r="D408" s="88"/>
      <c r="E408" s="49"/>
      <c r="F408" s="49"/>
      <c r="G408" s="49"/>
      <c r="H408" s="49"/>
      <c r="AB408" s="49"/>
    </row>
    <row r="409" spans="1:28" x14ac:dyDescent="0.15">
      <c r="A409" s="49"/>
      <c r="B409" s="49"/>
      <c r="C409" s="49"/>
      <c r="D409" s="88"/>
      <c r="E409" s="49"/>
      <c r="F409" s="49"/>
      <c r="G409" s="49"/>
      <c r="H409" s="49"/>
      <c r="AB409" s="49"/>
    </row>
    <row r="410" spans="1:28" x14ac:dyDescent="0.15">
      <c r="A410" s="49"/>
      <c r="B410" s="49"/>
      <c r="C410" s="49"/>
      <c r="D410" s="88"/>
      <c r="E410" s="49"/>
      <c r="F410" s="49"/>
      <c r="G410" s="49"/>
      <c r="H410" s="49"/>
      <c r="AB410" s="49"/>
    </row>
    <row r="411" spans="1:28" x14ac:dyDescent="0.15">
      <c r="A411" s="49"/>
      <c r="B411" s="49"/>
      <c r="C411" s="49"/>
      <c r="D411" s="88"/>
      <c r="E411" s="49"/>
      <c r="F411" s="49"/>
      <c r="G411" s="49"/>
      <c r="H411" s="49"/>
      <c r="AB411" s="49"/>
    </row>
    <row r="412" spans="1:28" x14ac:dyDescent="0.15">
      <c r="A412" s="49"/>
      <c r="B412" s="49"/>
      <c r="C412" s="49"/>
      <c r="D412" s="88"/>
      <c r="E412" s="49"/>
      <c r="F412" s="49"/>
      <c r="G412" s="49"/>
      <c r="H412" s="49"/>
      <c r="AB412" s="49"/>
    </row>
    <row r="413" spans="1:28" x14ac:dyDescent="0.15">
      <c r="A413" s="49"/>
      <c r="B413" s="49"/>
      <c r="C413" s="49"/>
      <c r="D413" s="88"/>
      <c r="E413" s="49"/>
      <c r="F413" s="49"/>
      <c r="G413" s="49"/>
      <c r="H413" s="49"/>
      <c r="AB413" s="49"/>
    </row>
    <row r="414" spans="1:28" x14ac:dyDescent="0.15">
      <c r="A414" s="49"/>
      <c r="B414" s="49"/>
      <c r="C414" s="49"/>
      <c r="D414" s="88"/>
      <c r="E414" s="49"/>
      <c r="F414" s="49"/>
      <c r="G414" s="49"/>
      <c r="H414" s="49"/>
      <c r="AB414" s="49"/>
    </row>
    <row r="415" spans="1:28" x14ac:dyDescent="0.15">
      <c r="A415" s="49"/>
      <c r="B415" s="49"/>
      <c r="C415" s="49"/>
      <c r="D415" s="88"/>
      <c r="E415" s="49"/>
      <c r="F415" s="49"/>
      <c r="G415" s="49"/>
      <c r="H415" s="49"/>
      <c r="AB415" s="49"/>
    </row>
    <row r="416" spans="1:28" x14ac:dyDescent="0.15">
      <c r="A416" s="49"/>
      <c r="B416" s="49"/>
      <c r="C416" s="49"/>
      <c r="D416" s="88"/>
      <c r="E416" s="49"/>
      <c r="F416" s="49"/>
      <c r="G416" s="49"/>
      <c r="H416" s="49"/>
      <c r="AB416" s="49"/>
    </row>
    <row r="417" spans="1:28" x14ac:dyDescent="0.15">
      <c r="A417" s="49"/>
      <c r="B417" s="49"/>
      <c r="C417" s="49"/>
      <c r="D417" s="88"/>
      <c r="E417" s="49"/>
      <c r="F417" s="49"/>
      <c r="G417" s="49"/>
      <c r="H417" s="49"/>
      <c r="AB417" s="49"/>
    </row>
    <row r="418" spans="1:28" x14ac:dyDescent="0.15">
      <c r="A418" s="49"/>
      <c r="B418" s="49"/>
      <c r="C418" s="49"/>
      <c r="D418" s="88"/>
      <c r="E418" s="49"/>
      <c r="F418" s="49"/>
      <c r="G418" s="49"/>
      <c r="H418" s="49"/>
      <c r="AB418" s="49"/>
    </row>
    <row r="419" spans="1:28" x14ac:dyDescent="0.15">
      <c r="A419" s="49"/>
      <c r="B419" s="49"/>
      <c r="C419" s="49"/>
      <c r="D419" s="88"/>
      <c r="E419" s="49"/>
      <c r="F419" s="49"/>
      <c r="G419" s="49"/>
      <c r="H419" s="49"/>
      <c r="AB419" s="49"/>
    </row>
    <row r="420" spans="1:28" x14ac:dyDescent="0.15">
      <c r="A420" s="49"/>
      <c r="B420" s="49"/>
      <c r="C420" s="49"/>
      <c r="D420" s="88"/>
      <c r="E420" s="49"/>
      <c r="F420" s="49"/>
      <c r="G420" s="49"/>
      <c r="H420" s="49"/>
      <c r="AB420" s="49"/>
    </row>
    <row r="421" spans="1:28" x14ac:dyDescent="0.15">
      <c r="A421" s="49"/>
      <c r="B421" s="49"/>
      <c r="C421" s="49"/>
      <c r="D421" s="88"/>
      <c r="E421" s="49"/>
      <c r="F421" s="49"/>
      <c r="G421" s="49"/>
      <c r="H421" s="49"/>
      <c r="AB421" s="49"/>
    </row>
    <row r="422" spans="1:28" x14ac:dyDescent="0.15">
      <c r="A422" s="49"/>
      <c r="B422" s="49"/>
      <c r="C422" s="49"/>
      <c r="D422" s="88"/>
      <c r="E422" s="49"/>
      <c r="F422" s="49"/>
      <c r="G422" s="49"/>
      <c r="H422" s="49"/>
      <c r="AB422" s="49"/>
    </row>
    <row r="423" spans="1:28" x14ac:dyDescent="0.15">
      <c r="A423" s="49"/>
      <c r="B423" s="49"/>
      <c r="C423" s="49"/>
      <c r="D423" s="88"/>
      <c r="E423" s="49"/>
      <c r="F423" s="49"/>
      <c r="G423" s="49"/>
      <c r="H423" s="49"/>
      <c r="AB423" s="49"/>
    </row>
    <row r="424" spans="1:28" x14ac:dyDescent="0.15">
      <c r="A424" s="49"/>
      <c r="B424" s="49"/>
      <c r="C424" s="49"/>
      <c r="D424" s="88"/>
      <c r="E424" s="49"/>
      <c r="F424" s="49"/>
      <c r="G424" s="49"/>
      <c r="H424" s="49"/>
      <c r="AB424" s="49"/>
    </row>
    <row r="425" spans="1:28" x14ac:dyDescent="0.15">
      <c r="A425" s="49"/>
      <c r="B425" s="49"/>
      <c r="C425" s="49"/>
      <c r="D425" s="88"/>
      <c r="E425" s="49"/>
      <c r="F425" s="49"/>
      <c r="G425" s="49"/>
      <c r="H425" s="49"/>
      <c r="AB425" s="49"/>
    </row>
    <row r="426" spans="1:28" x14ac:dyDescent="0.15">
      <c r="A426" s="49"/>
      <c r="B426" s="49"/>
      <c r="C426" s="49"/>
      <c r="D426" s="88"/>
      <c r="E426" s="49"/>
      <c r="F426" s="49"/>
      <c r="G426" s="49"/>
      <c r="H426" s="49"/>
      <c r="AB426" s="49"/>
    </row>
    <row r="427" spans="1:28" x14ac:dyDescent="0.15">
      <c r="A427" s="49"/>
      <c r="B427" s="49"/>
      <c r="C427" s="49"/>
      <c r="D427" s="88"/>
      <c r="E427" s="49"/>
      <c r="F427" s="49"/>
      <c r="G427" s="49"/>
      <c r="H427" s="49"/>
      <c r="AB427" s="49"/>
    </row>
    <row r="428" spans="1:28" x14ac:dyDescent="0.15">
      <c r="A428" s="49"/>
      <c r="B428" s="49"/>
      <c r="C428" s="49"/>
      <c r="D428" s="88"/>
      <c r="E428" s="49"/>
      <c r="F428" s="49"/>
      <c r="G428" s="49"/>
      <c r="H428" s="49"/>
      <c r="AB428" s="49"/>
    </row>
    <row r="429" spans="1:28" x14ac:dyDescent="0.15">
      <c r="A429" s="49"/>
      <c r="B429" s="49"/>
      <c r="C429" s="49"/>
      <c r="D429" s="88"/>
      <c r="E429" s="49"/>
      <c r="F429" s="49"/>
      <c r="G429" s="49"/>
      <c r="H429" s="49"/>
      <c r="AB429" s="49"/>
    </row>
    <row r="430" spans="1:28" x14ac:dyDescent="0.15">
      <c r="A430" s="49"/>
      <c r="B430" s="49"/>
      <c r="C430" s="49"/>
      <c r="D430" s="88"/>
      <c r="E430" s="49"/>
      <c r="F430" s="49"/>
      <c r="G430" s="49"/>
      <c r="H430" s="49"/>
      <c r="AB430" s="49"/>
    </row>
    <row r="431" spans="1:28" x14ac:dyDescent="0.15">
      <c r="A431" s="49"/>
      <c r="B431" s="49"/>
      <c r="C431" s="49"/>
      <c r="D431" s="88"/>
      <c r="E431" s="49"/>
      <c r="F431" s="49"/>
      <c r="G431" s="49"/>
      <c r="H431" s="49"/>
      <c r="AB431" s="49"/>
    </row>
    <row r="432" spans="1:28" x14ac:dyDescent="0.15">
      <c r="A432" s="49"/>
      <c r="B432" s="49"/>
      <c r="C432" s="49"/>
      <c r="D432" s="88"/>
      <c r="E432" s="49"/>
      <c r="F432" s="49"/>
      <c r="G432" s="49"/>
      <c r="H432" s="49"/>
      <c r="AB432" s="49"/>
    </row>
    <row r="433" spans="1:28" x14ac:dyDescent="0.15">
      <c r="A433" s="49"/>
      <c r="B433" s="49"/>
      <c r="C433" s="49"/>
      <c r="D433" s="88"/>
      <c r="E433" s="49"/>
      <c r="F433" s="49"/>
      <c r="G433" s="49"/>
      <c r="H433" s="49"/>
      <c r="AB433" s="49"/>
    </row>
    <row r="434" spans="1:28" x14ac:dyDescent="0.15">
      <c r="A434" s="49"/>
      <c r="B434" s="49"/>
      <c r="C434" s="49"/>
      <c r="D434" s="88"/>
      <c r="E434" s="49"/>
      <c r="F434" s="49"/>
      <c r="G434" s="49"/>
      <c r="H434" s="49"/>
      <c r="AB434" s="49"/>
    </row>
    <row r="435" spans="1:28" x14ac:dyDescent="0.15">
      <c r="A435" s="49"/>
      <c r="B435" s="49"/>
      <c r="C435" s="49"/>
      <c r="D435" s="88"/>
      <c r="E435" s="49"/>
      <c r="F435" s="49"/>
      <c r="G435" s="49"/>
      <c r="H435" s="49"/>
      <c r="AB435" s="49"/>
    </row>
    <row r="436" spans="1:28" x14ac:dyDescent="0.15">
      <c r="A436" s="49"/>
      <c r="B436" s="49"/>
      <c r="C436" s="49"/>
      <c r="D436" s="88"/>
      <c r="E436" s="49"/>
      <c r="F436" s="49"/>
      <c r="G436" s="49"/>
      <c r="H436" s="49"/>
      <c r="AB436" s="49"/>
    </row>
    <row r="437" spans="1:28" x14ac:dyDescent="0.15">
      <c r="A437" s="49"/>
      <c r="B437" s="49"/>
      <c r="C437" s="49"/>
      <c r="D437" s="88"/>
      <c r="E437" s="49"/>
      <c r="F437" s="49"/>
      <c r="G437" s="49"/>
      <c r="H437" s="49"/>
      <c r="AB437" s="49"/>
    </row>
    <row r="438" spans="1:28" x14ac:dyDescent="0.15">
      <c r="A438" s="49"/>
      <c r="B438" s="49"/>
      <c r="C438" s="49"/>
      <c r="D438" s="88"/>
      <c r="E438" s="49"/>
      <c r="F438" s="49"/>
      <c r="G438" s="49"/>
      <c r="H438" s="49"/>
      <c r="AB438" s="49"/>
    </row>
    <row r="439" spans="1:28" x14ac:dyDescent="0.15">
      <c r="A439" s="49"/>
      <c r="B439" s="49"/>
      <c r="C439" s="49"/>
      <c r="D439" s="88"/>
      <c r="E439" s="49"/>
      <c r="F439" s="49"/>
      <c r="G439" s="49"/>
      <c r="H439" s="49"/>
      <c r="AB439" s="49"/>
    </row>
    <row r="440" spans="1:28" x14ac:dyDescent="0.15">
      <c r="A440" s="49"/>
      <c r="B440" s="49"/>
      <c r="C440" s="49"/>
      <c r="D440" s="88"/>
      <c r="E440" s="49"/>
      <c r="F440" s="49"/>
      <c r="G440" s="49"/>
      <c r="H440" s="49"/>
      <c r="AB440" s="49"/>
    </row>
    <row r="441" spans="1:28" x14ac:dyDescent="0.15">
      <c r="A441" s="49"/>
      <c r="B441" s="49"/>
      <c r="C441" s="49"/>
      <c r="D441" s="88"/>
      <c r="E441" s="49"/>
      <c r="F441" s="49"/>
      <c r="G441" s="49"/>
      <c r="H441" s="49"/>
      <c r="AB441" s="49"/>
    </row>
    <row r="442" spans="1:28" x14ac:dyDescent="0.15">
      <c r="A442" s="49"/>
      <c r="B442" s="49"/>
      <c r="C442" s="49"/>
      <c r="D442" s="88"/>
      <c r="E442" s="49"/>
      <c r="F442" s="49"/>
      <c r="G442" s="49"/>
      <c r="H442" s="49"/>
      <c r="AB442" s="49"/>
    </row>
    <row r="443" spans="1:28" x14ac:dyDescent="0.15">
      <c r="A443" s="49"/>
      <c r="B443" s="49"/>
      <c r="C443" s="49"/>
      <c r="D443" s="88"/>
      <c r="E443" s="49"/>
      <c r="F443" s="49"/>
      <c r="G443" s="49"/>
      <c r="H443" s="49"/>
      <c r="AB443" s="49"/>
    </row>
    <row r="444" spans="1:28" x14ac:dyDescent="0.15">
      <c r="A444" s="49"/>
      <c r="B444" s="49"/>
      <c r="C444" s="49"/>
      <c r="D444" s="88"/>
      <c r="E444" s="49"/>
      <c r="F444" s="49"/>
      <c r="G444" s="49"/>
      <c r="H444" s="49"/>
      <c r="AB444" s="49"/>
    </row>
    <row r="445" spans="1:28" x14ac:dyDescent="0.15">
      <c r="A445" s="49"/>
      <c r="B445" s="49"/>
      <c r="C445" s="49"/>
      <c r="D445" s="88"/>
      <c r="E445" s="49"/>
      <c r="F445" s="49"/>
      <c r="G445" s="49"/>
      <c r="H445" s="49"/>
      <c r="AB445" s="49"/>
    </row>
    <row r="446" spans="1:28" x14ac:dyDescent="0.15">
      <c r="A446" s="49"/>
      <c r="B446" s="49"/>
      <c r="C446" s="49"/>
      <c r="D446" s="88"/>
      <c r="E446" s="49"/>
      <c r="F446" s="49"/>
      <c r="G446" s="49"/>
      <c r="H446" s="49"/>
      <c r="AB446" s="49"/>
    </row>
    <row r="447" spans="1:28" x14ac:dyDescent="0.15">
      <c r="A447" s="49"/>
      <c r="B447" s="49"/>
      <c r="C447" s="49"/>
      <c r="D447" s="88"/>
      <c r="E447" s="49"/>
      <c r="F447" s="49"/>
      <c r="G447" s="49"/>
      <c r="H447" s="49"/>
      <c r="AB447" s="49"/>
    </row>
    <row r="448" spans="1:28" x14ac:dyDescent="0.15">
      <c r="A448" s="49"/>
      <c r="B448" s="49"/>
      <c r="C448" s="49"/>
      <c r="D448" s="88"/>
      <c r="E448" s="49"/>
      <c r="F448" s="49"/>
      <c r="G448" s="49"/>
      <c r="H448" s="49"/>
      <c r="AB448" s="49"/>
    </row>
    <row r="449" spans="1:28" x14ac:dyDescent="0.15">
      <c r="A449" s="49"/>
      <c r="B449" s="49"/>
      <c r="C449" s="49"/>
      <c r="D449" s="88"/>
      <c r="E449" s="49"/>
      <c r="F449" s="49"/>
      <c r="G449" s="49"/>
      <c r="H449" s="49"/>
      <c r="AB449" s="49"/>
    </row>
    <row r="450" spans="1:28" x14ac:dyDescent="0.15">
      <c r="A450" s="49"/>
      <c r="B450" s="49"/>
      <c r="C450" s="49"/>
      <c r="D450" s="88"/>
      <c r="E450" s="49"/>
      <c r="F450" s="49"/>
      <c r="G450" s="49"/>
      <c r="H450" s="49"/>
      <c r="AB450" s="49"/>
    </row>
    <row r="451" spans="1:28" x14ac:dyDescent="0.15">
      <c r="A451" s="49"/>
      <c r="B451" s="49"/>
      <c r="C451" s="49"/>
      <c r="D451" s="88"/>
      <c r="E451" s="49"/>
      <c r="F451" s="49"/>
      <c r="G451" s="49"/>
      <c r="H451" s="49"/>
      <c r="AB451" s="49"/>
    </row>
    <row r="452" spans="1:28" x14ac:dyDescent="0.15">
      <c r="A452" s="49"/>
      <c r="B452" s="49"/>
      <c r="C452" s="49"/>
      <c r="D452" s="88"/>
      <c r="E452" s="49"/>
      <c r="F452" s="49"/>
      <c r="G452" s="49"/>
      <c r="H452" s="49"/>
      <c r="AB452" s="49"/>
    </row>
    <row r="453" spans="1:28" x14ac:dyDescent="0.15">
      <c r="A453" s="49"/>
      <c r="B453" s="49"/>
      <c r="C453" s="49"/>
      <c r="D453" s="88"/>
      <c r="E453" s="49"/>
      <c r="F453" s="49"/>
      <c r="G453" s="49"/>
      <c r="H453" s="49"/>
      <c r="AB453" s="49"/>
    </row>
    <row r="454" spans="1:28" x14ac:dyDescent="0.15">
      <c r="A454" s="49"/>
      <c r="B454" s="49"/>
      <c r="C454" s="49"/>
      <c r="D454" s="88"/>
      <c r="E454" s="49"/>
      <c r="F454" s="49"/>
      <c r="G454" s="49"/>
      <c r="H454" s="49"/>
      <c r="AB454" s="49"/>
    </row>
    <row r="455" spans="1:28" x14ac:dyDescent="0.15">
      <c r="A455" s="49"/>
      <c r="B455" s="49"/>
      <c r="C455" s="49"/>
      <c r="D455" s="88"/>
      <c r="E455" s="49"/>
      <c r="F455" s="49"/>
      <c r="G455" s="49"/>
      <c r="H455" s="49"/>
      <c r="AB455" s="49"/>
    </row>
    <row r="456" spans="1:28" x14ac:dyDescent="0.15">
      <c r="A456" s="49"/>
      <c r="B456" s="49"/>
      <c r="C456" s="49"/>
      <c r="D456" s="88"/>
      <c r="E456" s="49"/>
      <c r="F456" s="49"/>
      <c r="G456" s="49"/>
      <c r="H456" s="49"/>
      <c r="AB456" s="49"/>
    </row>
    <row r="457" spans="1:28" x14ac:dyDescent="0.15">
      <c r="A457" s="49"/>
      <c r="B457" s="49"/>
      <c r="C457" s="49"/>
      <c r="D457" s="88"/>
      <c r="E457" s="49"/>
      <c r="F457" s="49"/>
      <c r="G457" s="49"/>
      <c r="H457" s="49"/>
      <c r="AB457" s="49"/>
    </row>
    <row r="458" spans="1:28" x14ac:dyDescent="0.15">
      <c r="A458" s="49"/>
      <c r="B458" s="49"/>
      <c r="C458" s="49"/>
      <c r="D458" s="88"/>
      <c r="E458" s="49"/>
      <c r="F458" s="49"/>
      <c r="G458" s="49"/>
      <c r="H458" s="49"/>
      <c r="AB458" s="49"/>
    </row>
    <row r="459" spans="1:28" x14ac:dyDescent="0.15">
      <c r="A459" s="49"/>
      <c r="B459" s="49"/>
      <c r="C459" s="49"/>
      <c r="D459" s="88"/>
      <c r="E459" s="49"/>
      <c r="F459" s="49"/>
      <c r="G459" s="49"/>
      <c r="H459" s="49"/>
      <c r="AB459" s="49"/>
    </row>
    <row r="460" spans="1:28" x14ac:dyDescent="0.15">
      <c r="A460" s="49"/>
      <c r="B460" s="49"/>
      <c r="C460" s="49"/>
      <c r="D460" s="88"/>
      <c r="E460" s="49"/>
      <c r="F460" s="49"/>
      <c r="G460" s="49"/>
      <c r="H460" s="49"/>
      <c r="AB460" s="49"/>
    </row>
    <row r="461" spans="1:28" x14ac:dyDescent="0.15">
      <c r="A461" s="49"/>
      <c r="B461" s="49"/>
      <c r="C461" s="49"/>
      <c r="D461" s="88"/>
      <c r="E461" s="49"/>
      <c r="F461" s="49"/>
      <c r="G461" s="49"/>
      <c r="H461" s="49"/>
      <c r="AB461" s="49"/>
    </row>
    <row r="462" spans="1:28" x14ac:dyDescent="0.15">
      <c r="A462" s="49"/>
      <c r="B462" s="49"/>
      <c r="C462" s="49"/>
      <c r="D462" s="88"/>
      <c r="E462" s="49"/>
      <c r="F462" s="49"/>
      <c r="G462" s="49"/>
      <c r="H462" s="49"/>
      <c r="AB462" s="49"/>
    </row>
    <row r="463" spans="1:28" x14ac:dyDescent="0.15">
      <c r="A463" s="49"/>
      <c r="B463" s="49"/>
      <c r="C463" s="49"/>
      <c r="D463" s="88"/>
      <c r="E463" s="49"/>
      <c r="F463" s="49"/>
      <c r="G463" s="49"/>
      <c r="H463" s="49"/>
      <c r="AB463" s="49"/>
    </row>
    <row r="464" spans="1:28" x14ac:dyDescent="0.15">
      <c r="A464" s="49"/>
      <c r="B464" s="49"/>
      <c r="C464" s="49"/>
      <c r="D464" s="88"/>
      <c r="E464" s="49"/>
      <c r="F464" s="49"/>
      <c r="G464" s="49"/>
      <c r="H464" s="49"/>
      <c r="AB464" s="49"/>
    </row>
    <row r="465" spans="1:28" x14ac:dyDescent="0.15">
      <c r="A465" s="49"/>
      <c r="B465" s="49"/>
      <c r="C465" s="49"/>
      <c r="D465" s="88"/>
      <c r="E465" s="49"/>
      <c r="F465" s="49"/>
      <c r="G465" s="49"/>
      <c r="H465" s="49"/>
      <c r="AB465" s="49"/>
    </row>
    <row r="466" spans="1:28" x14ac:dyDescent="0.15">
      <c r="A466" s="49"/>
      <c r="B466" s="49"/>
      <c r="C466" s="49"/>
      <c r="D466" s="88"/>
      <c r="E466" s="49"/>
      <c r="F466" s="49"/>
      <c r="G466" s="49"/>
      <c r="H466" s="49"/>
      <c r="AB466" s="49"/>
    </row>
    <row r="467" spans="1:28" x14ac:dyDescent="0.15">
      <c r="A467" s="49"/>
      <c r="B467" s="49"/>
      <c r="C467" s="49"/>
      <c r="D467" s="88"/>
      <c r="E467" s="49"/>
      <c r="F467" s="49"/>
      <c r="G467" s="49"/>
      <c r="H467" s="49"/>
      <c r="AB467" s="49"/>
    </row>
    <row r="468" spans="1:28" x14ac:dyDescent="0.15">
      <c r="A468" s="49"/>
      <c r="B468" s="49"/>
      <c r="C468" s="49"/>
      <c r="D468" s="88"/>
      <c r="E468" s="49"/>
      <c r="F468" s="49"/>
      <c r="G468" s="49"/>
      <c r="H468" s="49"/>
      <c r="AB468" s="49"/>
    </row>
    <row r="469" spans="1:28" x14ac:dyDescent="0.15">
      <c r="A469" s="49"/>
      <c r="B469" s="49"/>
      <c r="C469" s="49"/>
      <c r="D469" s="88"/>
      <c r="E469" s="49"/>
      <c r="F469" s="49"/>
      <c r="G469" s="49"/>
      <c r="H469" s="49"/>
      <c r="AB469" s="49"/>
    </row>
    <row r="470" spans="1:28" x14ac:dyDescent="0.15">
      <c r="A470" s="49"/>
      <c r="B470" s="49"/>
      <c r="C470" s="49"/>
      <c r="D470" s="88"/>
      <c r="E470" s="49"/>
      <c r="F470" s="49"/>
      <c r="G470" s="49"/>
      <c r="H470" s="49"/>
      <c r="AB470" s="49"/>
    </row>
    <row r="471" spans="1:28" x14ac:dyDescent="0.15">
      <c r="A471" s="49"/>
      <c r="B471" s="49"/>
      <c r="C471" s="49"/>
      <c r="D471" s="88"/>
      <c r="E471" s="49"/>
      <c r="F471" s="49"/>
      <c r="G471" s="49"/>
      <c r="H471" s="49"/>
      <c r="AB471" s="49"/>
    </row>
    <row r="472" spans="1:28" x14ac:dyDescent="0.15">
      <c r="A472" s="49"/>
      <c r="B472" s="49"/>
      <c r="C472" s="49"/>
      <c r="D472" s="88"/>
      <c r="E472" s="49"/>
      <c r="F472" s="49"/>
      <c r="G472" s="49"/>
      <c r="H472" s="49"/>
      <c r="AB472" s="49"/>
    </row>
    <row r="473" spans="1:28" x14ac:dyDescent="0.15">
      <c r="A473" s="49"/>
      <c r="B473" s="49"/>
      <c r="C473" s="49"/>
      <c r="D473" s="88"/>
      <c r="E473" s="49"/>
      <c r="F473" s="49"/>
      <c r="G473" s="49"/>
      <c r="H473" s="49"/>
      <c r="AB473" s="49"/>
    </row>
    <row r="474" spans="1:28" x14ac:dyDescent="0.15">
      <c r="A474" s="49"/>
      <c r="B474" s="49"/>
      <c r="C474" s="49"/>
      <c r="D474" s="88"/>
      <c r="E474" s="49"/>
      <c r="F474" s="49"/>
      <c r="G474" s="49"/>
      <c r="H474" s="49"/>
      <c r="AB474" s="49"/>
    </row>
    <row r="475" spans="1:28" x14ac:dyDescent="0.15">
      <c r="A475" s="49"/>
      <c r="B475" s="49"/>
      <c r="C475" s="49"/>
      <c r="D475" s="88"/>
      <c r="E475" s="49"/>
      <c r="F475" s="49"/>
      <c r="G475" s="49"/>
      <c r="H475" s="49"/>
      <c r="AB475" s="49"/>
    </row>
    <row r="476" spans="1:28" x14ac:dyDescent="0.15">
      <c r="A476" s="49"/>
      <c r="B476" s="49"/>
      <c r="C476" s="49"/>
      <c r="D476" s="88"/>
      <c r="E476" s="49"/>
      <c r="F476" s="49"/>
      <c r="G476" s="49"/>
      <c r="H476" s="49"/>
      <c r="AB476" s="49"/>
    </row>
    <row r="477" spans="1:28" x14ac:dyDescent="0.15">
      <c r="A477" s="49"/>
      <c r="B477" s="49"/>
      <c r="C477" s="49"/>
      <c r="D477" s="88"/>
      <c r="E477" s="49"/>
      <c r="F477" s="49"/>
      <c r="G477" s="49"/>
      <c r="H477" s="49"/>
      <c r="AB477" s="49"/>
    </row>
    <row r="478" spans="1:28" x14ac:dyDescent="0.15">
      <c r="A478" s="49"/>
      <c r="B478" s="49"/>
      <c r="C478" s="49"/>
      <c r="D478" s="88"/>
      <c r="E478" s="49"/>
      <c r="F478" s="49"/>
      <c r="G478" s="49"/>
      <c r="H478" s="49"/>
      <c r="AB478" s="49"/>
    </row>
    <row r="479" spans="1:28" x14ac:dyDescent="0.15">
      <c r="A479" s="49"/>
      <c r="B479" s="49"/>
      <c r="C479" s="49"/>
      <c r="D479" s="88"/>
      <c r="E479" s="49"/>
      <c r="F479" s="49"/>
      <c r="G479" s="49"/>
      <c r="H479" s="49"/>
      <c r="AB479" s="49"/>
    </row>
    <row r="480" spans="1:28" x14ac:dyDescent="0.15">
      <c r="A480" s="49"/>
      <c r="B480" s="49"/>
      <c r="C480" s="49"/>
      <c r="D480" s="88"/>
      <c r="E480" s="49"/>
      <c r="F480" s="49"/>
      <c r="G480" s="49"/>
      <c r="H480" s="49"/>
      <c r="AB480" s="49"/>
    </row>
    <row r="481" spans="1:28" x14ac:dyDescent="0.15">
      <c r="A481" s="49"/>
      <c r="B481" s="49"/>
      <c r="C481" s="49"/>
      <c r="D481" s="88"/>
      <c r="E481" s="49"/>
      <c r="F481" s="49"/>
      <c r="G481" s="49"/>
      <c r="H481" s="49"/>
      <c r="AB481" s="49"/>
    </row>
    <row r="482" spans="1:28" x14ac:dyDescent="0.15">
      <c r="A482" s="49"/>
      <c r="B482" s="49"/>
      <c r="C482" s="49"/>
      <c r="D482" s="88"/>
      <c r="E482" s="49"/>
      <c r="F482" s="49"/>
      <c r="G482" s="49"/>
      <c r="H482" s="49"/>
      <c r="AB482" s="49"/>
    </row>
    <row r="483" spans="1:28" x14ac:dyDescent="0.15">
      <c r="A483" s="49"/>
      <c r="B483" s="49"/>
      <c r="C483" s="49"/>
      <c r="D483" s="88"/>
      <c r="E483" s="49"/>
      <c r="F483" s="49"/>
      <c r="G483" s="49"/>
      <c r="H483" s="49"/>
      <c r="AB483" s="49"/>
    </row>
    <row r="484" spans="1:28" x14ac:dyDescent="0.15">
      <c r="A484" s="49"/>
      <c r="B484" s="49"/>
      <c r="C484" s="49"/>
      <c r="D484" s="88"/>
      <c r="E484" s="49"/>
      <c r="F484" s="49"/>
      <c r="G484" s="49"/>
      <c r="H484" s="49"/>
      <c r="AB484" s="49"/>
    </row>
    <row r="485" spans="1:28" x14ac:dyDescent="0.15">
      <c r="A485" s="49"/>
      <c r="B485" s="49"/>
      <c r="C485" s="49"/>
      <c r="D485" s="88"/>
      <c r="E485" s="49"/>
      <c r="F485" s="49"/>
      <c r="G485" s="49"/>
      <c r="H485" s="49"/>
      <c r="AB485" s="49"/>
    </row>
    <row r="486" spans="1:28" x14ac:dyDescent="0.15">
      <c r="A486" s="49"/>
      <c r="B486" s="49"/>
      <c r="C486" s="49"/>
      <c r="D486" s="88"/>
      <c r="E486" s="49"/>
      <c r="F486" s="49"/>
      <c r="G486" s="49"/>
      <c r="H486" s="49"/>
      <c r="AB486" s="49"/>
    </row>
    <row r="487" spans="1:28" x14ac:dyDescent="0.15">
      <c r="A487" s="49"/>
      <c r="B487" s="49"/>
      <c r="C487" s="49"/>
      <c r="D487" s="88"/>
      <c r="E487" s="49"/>
      <c r="F487" s="49"/>
      <c r="G487" s="49"/>
      <c r="H487" s="49"/>
      <c r="AB487" s="49"/>
    </row>
    <row r="488" spans="1:28" x14ac:dyDescent="0.15">
      <c r="A488" s="49"/>
      <c r="B488" s="49"/>
      <c r="C488" s="49"/>
      <c r="D488" s="88"/>
      <c r="E488" s="49"/>
      <c r="F488" s="49"/>
      <c r="G488" s="49"/>
      <c r="H488" s="49"/>
      <c r="AB488" s="49"/>
    </row>
    <row r="489" spans="1:28" x14ac:dyDescent="0.15">
      <c r="A489" s="49"/>
      <c r="B489" s="49"/>
      <c r="C489" s="49"/>
      <c r="D489" s="88"/>
      <c r="E489" s="49"/>
      <c r="F489" s="49"/>
      <c r="G489" s="49"/>
      <c r="H489" s="49"/>
      <c r="AB489" s="49"/>
    </row>
    <row r="490" spans="1:28" x14ac:dyDescent="0.15">
      <c r="A490" s="49"/>
      <c r="B490" s="49"/>
      <c r="C490" s="49"/>
      <c r="D490" s="88"/>
      <c r="E490" s="49"/>
      <c r="F490" s="49"/>
      <c r="G490" s="49"/>
      <c r="H490" s="49"/>
      <c r="AB490" s="49"/>
    </row>
    <row r="491" spans="1:28" x14ac:dyDescent="0.15">
      <c r="A491" s="49"/>
      <c r="B491" s="49"/>
      <c r="C491" s="49"/>
      <c r="D491" s="88"/>
      <c r="E491" s="49"/>
      <c r="F491" s="49"/>
      <c r="G491" s="49"/>
      <c r="H491" s="49"/>
      <c r="AB491" s="49"/>
    </row>
    <row r="492" spans="1:28" x14ac:dyDescent="0.15">
      <c r="A492" s="49"/>
      <c r="B492" s="49"/>
      <c r="C492" s="49"/>
      <c r="D492" s="88"/>
      <c r="E492" s="49"/>
      <c r="F492" s="49"/>
      <c r="G492" s="49"/>
      <c r="H492" s="49"/>
      <c r="AB492" s="49"/>
    </row>
    <row r="493" spans="1:28" x14ac:dyDescent="0.15">
      <c r="A493" s="49"/>
      <c r="B493" s="49"/>
      <c r="C493" s="49"/>
      <c r="D493" s="88"/>
      <c r="E493" s="49"/>
      <c r="F493" s="49"/>
      <c r="G493" s="49"/>
      <c r="H493" s="49"/>
      <c r="AB493" s="49"/>
    </row>
    <row r="494" spans="1:28" x14ac:dyDescent="0.15">
      <c r="A494" s="49"/>
      <c r="B494" s="49"/>
      <c r="C494" s="49"/>
      <c r="D494" s="88"/>
      <c r="E494" s="49"/>
      <c r="F494" s="49"/>
      <c r="G494" s="49"/>
      <c r="H494" s="49"/>
      <c r="AB494" s="49"/>
    </row>
    <row r="495" spans="1:28" x14ac:dyDescent="0.15">
      <c r="A495" s="49"/>
      <c r="B495" s="49"/>
      <c r="C495" s="49"/>
      <c r="D495" s="88"/>
      <c r="E495" s="49"/>
      <c r="F495" s="49"/>
      <c r="G495" s="49"/>
      <c r="H495" s="49"/>
      <c r="AB495" s="49"/>
    </row>
    <row r="496" spans="1:28" x14ac:dyDescent="0.15">
      <c r="A496" s="49"/>
      <c r="B496" s="49"/>
      <c r="C496" s="49"/>
      <c r="D496" s="88"/>
      <c r="E496" s="49"/>
      <c r="F496" s="49"/>
      <c r="G496" s="49"/>
      <c r="H496" s="49"/>
      <c r="AB496" s="49"/>
    </row>
    <row r="497" spans="1:28" x14ac:dyDescent="0.15">
      <c r="A497" s="49"/>
      <c r="B497" s="49"/>
      <c r="C497" s="49"/>
      <c r="D497" s="88"/>
      <c r="E497" s="49"/>
      <c r="F497" s="49"/>
      <c r="G497" s="49"/>
      <c r="H497" s="49"/>
      <c r="AB497" s="49"/>
    </row>
    <row r="498" spans="1:28" x14ac:dyDescent="0.15">
      <c r="A498" s="49"/>
      <c r="B498" s="49"/>
      <c r="C498" s="49"/>
      <c r="D498" s="88"/>
      <c r="E498" s="49"/>
      <c r="F498" s="49"/>
      <c r="G498" s="49"/>
      <c r="H498" s="49"/>
      <c r="AB498" s="49"/>
    </row>
    <row r="499" spans="1:28" x14ac:dyDescent="0.15">
      <c r="A499" s="49"/>
      <c r="B499" s="49"/>
      <c r="C499" s="49"/>
      <c r="D499" s="88"/>
      <c r="E499" s="49"/>
      <c r="F499" s="49"/>
      <c r="G499" s="49"/>
      <c r="H499" s="49"/>
      <c r="AB499" s="49"/>
    </row>
    <row r="500" spans="1:28" x14ac:dyDescent="0.15">
      <c r="A500" s="49"/>
      <c r="B500" s="49"/>
      <c r="C500" s="49"/>
      <c r="D500" s="88"/>
      <c r="E500" s="49"/>
      <c r="F500" s="49"/>
      <c r="G500" s="49"/>
      <c r="H500" s="49"/>
      <c r="AB500" s="49"/>
    </row>
    <row r="501" spans="1:28" x14ac:dyDescent="0.15">
      <c r="A501" s="49"/>
      <c r="B501" s="49"/>
      <c r="C501" s="49"/>
      <c r="D501" s="88"/>
      <c r="E501" s="49"/>
      <c r="F501" s="49"/>
      <c r="G501" s="49"/>
      <c r="H501" s="49"/>
      <c r="AB501" s="49"/>
    </row>
    <row r="502" spans="1:28" x14ac:dyDescent="0.15">
      <c r="A502" s="49"/>
      <c r="B502" s="49"/>
      <c r="C502" s="49"/>
      <c r="D502" s="88"/>
      <c r="E502" s="49"/>
      <c r="F502" s="49"/>
      <c r="G502" s="49"/>
      <c r="H502" s="49"/>
      <c r="AB502" s="49"/>
    </row>
    <row r="503" spans="1:28" x14ac:dyDescent="0.15">
      <c r="A503" s="49"/>
      <c r="B503" s="49"/>
      <c r="C503" s="49"/>
      <c r="D503" s="88"/>
      <c r="E503" s="49"/>
      <c r="F503" s="49"/>
      <c r="G503" s="49"/>
      <c r="H503" s="49"/>
      <c r="AB503" s="49"/>
    </row>
    <row r="504" spans="1:28" x14ac:dyDescent="0.15">
      <c r="A504" s="49"/>
      <c r="B504" s="49"/>
      <c r="C504" s="49"/>
      <c r="D504" s="88"/>
      <c r="E504" s="49"/>
      <c r="F504" s="49"/>
      <c r="G504" s="49"/>
      <c r="H504" s="49"/>
      <c r="AB504" s="49"/>
    </row>
    <row r="505" spans="1:28" x14ac:dyDescent="0.15">
      <c r="A505" s="49"/>
      <c r="B505" s="49"/>
      <c r="C505" s="49"/>
      <c r="D505" s="88"/>
      <c r="E505" s="49"/>
      <c r="F505" s="49"/>
      <c r="G505" s="49"/>
      <c r="H505" s="49"/>
      <c r="AB505" s="49"/>
    </row>
    <row r="506" spans="1:28" x14ac:dyDescent="0.15">
      <c r="A506" s="49"/>
      <c r="B506" s="49"/>
      <c r="C506" s="49"/>
      <c r="D506" s="88"/>
      <c r="E506" s="49"/>
      <c r="F506" s="49"/>
      <c r="G506" s="49"/>
      <c r="H506" s="49"/>
      <c r="AB506" s="49"/>
    </row>
    <row r="507" spans="1:28" x14ac:dyDescent="0.15">
      <c r="A507" s="49"/>
      <c r="B507" s="49"/>
      <c r="C507" s="49"/>
      <c r="D507" s="88"/>
      <c r="E507" s="49"/>
      <c r="F507" s="49"/>
      <c r="G507" s="49"/>
      <c r="H507" s="49"/>
      <c r="AB507" s="49"/>
    </row>
    <row r="508" spans="1:28" x14ac:dyDescent="0.15">
      <c r="A508" s="49"/>
      <c r="B508" s="49"/>
      <c r="C508" s="49"/>
      <c r="D508" s="88"/>
      <c r="E508" s="49"/>
      <c r="F508" s="49"/>
      <c r="G508" s="49"/>
      <c r="H508" s="49"/>
      <c r="AB508" s="49"/>
    </row>
    <row r="509" spans="1:28" x14ac:dyDescent="0.15">
      <c r="A509" s="49"/>
      <c r="B509" s="49"/>
      <c r="C509" s="49"/>
      <c r="D509" s="88"/>
      <c r="E509" s="49"/>
      <c r="F509" s="49"/>
      <c r="G509" s="49"/>
      <c r="H509" s="49"/>
      <c r="AB509" s="49"/>
    </row>
    <row r="510" spans="1:28" x14ac:dyDescent="0.15">
      <c r="A510" s="49"/>
      <c r="B510" s="49"/>
      <c r="C510" s="49"/>
      <c r="D510" s="88"/>
      <c r="E510" s="49"/>
      <c r="F510" s="49"/>
      <c r="G510" s="49"/>
      <c r="H510" s="49"/>
      <c r="AB510" s="49"/>
    </row>
    <row r="511" spans="1:28" x14ac:dyDescent="0.15">
      <c r="A511" s="49"/>
      <c r="B511" s="49"/>
      <c r="C511" s="49"/>
      <c r="D511" s="88"/>
      <c r="E511" s="49"/>
      <c r="F511" s="49"/>
      <c r="G511" s="49"/>
      <c r="H511" s="49"/>
      <c r="AB511" s="49"/>
    </row>
    <row r="512" spans="1:28" x14ac:dyDescent="0.15">
      <c r="A512" s="49"/>
      <c r="B512" s="49"/>
      <c r="C512" s="49"/>
      <c r="D512" s="88"/>
      <c r="E512" s="49"/>
      <c r="F512" s="49"/>
      <c r="G512" s="49"/>
      <c r="H512" s="49"/>
      <c r="AB512" s="49"/>
    </row>
    <row r="513" spans="1:28" x14ac:dyDescent="0.15">
      <c r="A513" s="49"/>
      <c r="B513" s="49"/>
      <c r="C513" s="49"/>
      <c r="D513" s="88"/>
      <c r="E513" s="49"/>
      <c r="F513" s="49"/>
      <c r="G513" s="49"/>
      <c r="H513" s="49"/>
      <c r="AB513" s="49"/>
    </row>
    <row r="514" spans="1:28" x14ac:dyDescent="0.15">
      <c r="A514" s="49"/>
      <c r="B514" s="49"/>
      <c r="C514" s="49"/>
      <c r="D514" s="88"/>
      <c r="E514" s="49"/>
      <c r="F514" s="49"/>
      <c r="G514" s="49"/>
      <c r="H514" s="49"/>
      <c r="AB514" s="49"/>
    </row>
    <row r="515" spans="1:28" x14ac:dyDescent="0.15">
      <c r="A515" s="49"/>
      <c r="B515" s="49"/>
      <c r="C515" s="49"/>
      <c r="D515" s="88"/>
      <c r="E515" s="49"/>
      <c r="F515" s="49"/>
      <c r="G515" s="49"/>
      <c r="H515" s="49"/>
      <c r="AB515" s="49"/>
    </row>
    <row r="516" spans="1:28" x14ac:dyDescent="0.15">
      <c r="A516" s="49"/>
      <c r="B516" s="49"/>
      <c r="C516" s="49"/>
      <c r="D516" s="88"/>
      <c r="E516" s="49"/>
      <c r="F516" s="49"/>
      <c r="G516" s="49"/>
      <c r="H516" s="49"/>
      <c r="AB516" s="49"/>
    </row>
    <row r="517" spans="1:28" x14ac:dyDescent="0.15">
      <c r="A517" s="49"/>
      <c r="B517" s="49"/>
      <c r="C517" s="49"/>
      <c r="D517" s="88"/>
      <c r="E517" s="49"/>
      <c r="F517" s="49"/>
      <c r="G517" s="49"/>
      <c r="H517" s="49"/>
      <c r="AB517" s="49"/>
    </row>
    <row r="518" spans="1:28" x14ac:dyDescent="0.15">
      <c r="A518" s="49"/>
      <c r="B518" s="49"/>
      <c r="C518" s="49"/>
      <c r="D518" s="88"/>
      <c r="E518" s="49"/>
      <c r="F518" s="49"/>
      <c r="G518" s="49"/>
      <c r="H518" s="49"/>
      <c r="AB518" s="49"/>
    </row>
    <row r="519" spans="1:28" x14ac:dyDescent="0.15">
      <c r="A519" s="49"/>
      <c r="B519" s="49"/>
      <c r="C519" s="49"/>
      <c r="D519" s="88"/>
      <c r="E519" s="49"/>
      <c r="F519" s="49"/>
      <c r="G519" s="49"/>
      <c r="H519" s="49"/>
      <c r="AB519" s="49"/>
    </row>
    <row r="520" spans="1:28" x14ac:dyDescent="0.15">
      <c r="A520" s="49"/>
      <c r="B520" s="49"/>
      <c r="C520" s="49"/>
      <c r="D520" s="88"/>
      <c r="E520" s="49"/>
      <c r="F520" s="49"/>
      <c r="G520" s="49"/>
      <c r="H520" s="49"/>
      <c r="AB520" s="49"/>
    </row>
    <row r="521" spans="1:28" x14ac:dyDescent="0.15">
      <c r="A521" s="49"/>
      <c r="B521" s="49"/>
      <c r="C521" s="49"/>
      <c r="D521" s="88"/>
      <c r="E521" s="49"/>
      <c r="F521" s="49"/>
      <c r="G521" s="49"/>
      <c r="H521" s="49"/>
      <c r="AB521" s="49"/>
    </row>
    <row r="522" spans="1:28" x14ac:dyDescent="0.15">
      <c r="A522" s="49"/>
      <c r="B522" s="49"/>
      <c r="C522" s="49"/>
      <c r="D522" s="88"/>
      <c r="E522" s="49"/>
      <c r="F522" s="49"/>
      <c r="G522" s="49"/>
      <c r="H522" s="49"/>
      <c r="AB522" s="49"/>
    </row>
    <row r="523" spans="1:28" x14ac:dyDescent="0.15">
      <c r="A523" s="49"/>
      <c r="B523" s="49"/>
      <c r="C523" s="49"/>
      <c r="D523" s="88"/>
      <c r="E523" s="49"/>
      <c r="F523" s="49"/>
      <c r="G523" s="49"/>
      <c r="H523" s="49"/>
      <c r="AB523" s="49"/>
    </row>
    <row r="524" spans="1:28" x14ac:dyDescent="0.15">
      <c r="A524" s="49"/>
      <c r="B524" s="49"/>
      <c r="C524" s="49"/>
      <c r="D524" s="88"/>
      <c r="E524" s="49"/>
      <c r="F524" s="49"/>
      <c r="G524" s="49"/>
      <c r="H524" s="49"/>
      <c r="AB524" s="49"/>
    </row>
    <row r="525" spans="1:28" x14ac:dyDescent="0.15">
      <c r="A525" s="49"/>
      <c r="B525" s="49"/>
      <c r="C525" s="49"/>
      <c r="D525" s="88"/>
      <c r="E525" s="49"/>
      <c r="F525" s="49"/>
      <c r="G525" s="49"/>
      <c r="H525" s="49"/>
      <c r="AB525" s="49"/>
    </row>
    <row r="526" spans="1:28" x14ac:dyDescent="0.15">
      <c r="A526" s="49"/>
      <c r="B526" s="49"/>
      <c r="C526" s="49"/>
      <c r="D526" s="88"/>
      <c r="E526" s="49"/>
      <c r="F526" s="49"/>
      <c r="G526" s="49"/>
      <c r="H526" s="49"/>
      <c r="AB526" s="49"/>
    </row>
    <row r="527" spans="1:28" x14ac:dyDescent="0.15">
      <c r="A527" s="49"/>
      <c r="B527" s="49"/>
      <c r="C527" s="49"/>
      <c r="D527" s="88"/>
      <c r="E527" s="49"/>
      <c r="F527" s="49"/>
      <c r="G527" s="49"/>
      <c r="H527" s="49"/>
      <c r="AB527" s="49"/>
    </row>
    <row r="528" spans="1:28" x14ac:dyDescent="0.15">
      <c r="A528" s="49"/>
      <c r="B528" s="49"/>
      <c r="C528" s="49"/>
      <c r="D528" s="88"/>
      <c r="E528" s="49"/>
      <c r="F528" s="49"/>
      <c r="G528" s="49"/>
      <c r="H528" s="49"/>
      <c r="AB528" s="49"/>
    </row>
    <row r="529" spans="1:28" x14ac:dyDescent="0.15">
      <c r="A529" s="49"/>
      <c r="B529" s="49"/>
      <c r="C529" s="49"/>
      <c r="D529" s="88"/>
      <c r="E529" s="49"/>
      <c r="F529" s="49"/>
      <c r="G529" s="49"/>
      <c r="H529" s="49"/>
      <c r="AB529" s="49"/>
    </row>
    <row r="530" spans="1:28" x14ac:dyDescent="0.15">
      <c r="A530" s="49"/>
      <c r="B530" s="49"/>
      <c r="C530" s="49"/>
      <c r="D530" s="88"/>
      <c r="E530" s="49"/>
      <c r="F530" s="49"/>
      <c r="G530" s="49"/>
      <c r="H530" s="49"/>
      <c r="AB530" s="49"/>
    </row>
    <row r="531" spans="1:28" x14ac:dyDescent="0.15">
      <c r="A531" s="49"/>
      <c r="B531" s="49"/>
      <c r="C531" s="49"/>
      <c r="D531" s="88"/>
      <c r="E531" s="49"/>
      <c r="F531" s="49"/>
      <c r="G531" s="49"/>
      <c r="H531" s="49"/>
      <c r="AB531" s="49"/>
    </row>
    <row r="532" spans="1:28" x14ac:dyDescent="0.15">
      <c r="A532" s="49"/>
      <c r="B532" s="49"/>
      <c r="C532" s="49"/>
      <c r="D532" s="88"/>
      <c r="E532" s="49"/>
      <c r="F532" s="49"/>
      <c r="G532" s="49"/>
      <c r="H532" s="49"/>
      <c r="AB532" s="49"/>
    </row>
    <row r="533" spans="1:28" x14ac:dyDescent="0.15">
      <c r="A533" s="49"/>
      <c r="B533" s="49"/>
      <c r="C533" s="49"/>
      <c r="D533" s="88"/>
      <c r="E533" s="49"/>
      <c r="F533" s="49"/>
      <c r="G533" s="49"/>
      <c r="H533" s="49"/>
    </row>
    <row r="534" spans="1:28" x14ac:dyDescent="0.15">
      <c r="A534" s="49"/>
      <c r="B534" s="49"/>
      <c r="C534" s="49"/>
      <c r="D534" s="88"/>
      <c r="E534" s="49"/>
      <c r="F534" s="49"/>
      <c r="G534" s="49"/>
      <c r="H534" s="49"/>
    </row>
    <row r="535" spans="1:28" x14ac:dyDescent="0.15">
      <c r="A535" s="49"/>
      <c r="B535" s="49"/>
      <c r="C535" s="49"/>
      <c r="D535" s="88"/>
      <c r="E535" s="49"/>
      <c r="F535" s="49"/>
      <c r="G535" s="49"/>
      <c r="H535" s="49"/>
    </row>
    <row r="536" spans="1:28" x14ac:dyDescent="0.15">
      <c r="A536" s="49"/>
      <c r="B536" s="49"/>
      <c r="C536" s="49"/>
      <c r="D536" s="88"/>
      <c r="E536" s="49"/>
      <c r="F536" s="49"/>
      <c r="G536" s="49"/>
      <c r="H536" s="49"/>
    </row>
    <row r="537" spans="1:28" x14ac:dyDescent="0.15">
      <c r="A537" s="49"/>
      <c r="B537" s="49"/>
      <c r="C537" s="49"/>
      <c r="D537" s="88"/>
      <c r="E537" s="49"/>
      <c r="F537" s="49"/>
      <c r="G537" s="49"/>
      <c r="H537" s="49"/>
    </row>
    <row r="538" spans="1:28" x14ac:dyDescent="0.15">
      <c r="A538" s="49"/>
      <c r="B538" s="49"/>
      <c r="C538" s="49"/>
      <c r="D538" s="88"/>
      <c r="E538" s="49"/>
      <c r="F538" s="49"/>
      <c r="G538" s="49"/>
      <c r="H538" s="49"/>
    </row>
    <row r="539" spans="1:28" x14ac:dyDescent="0.15">
      <c r="A539" s="49"/>
      <c r="B539" s="49"/>
      <c r="C539" s="49"/>
      <c r="D539" s="88"/>
      <c r="E539" s="49"/>
      <c r="F539" s="49"/>
      <c r="G539" s="49"/>
      <c r="H539" s="49"/>
    </row>
    <row r="540" spans="1:28" x14ac:dyDescent="0.15">
      <c r="A540" s="49"/>
      <c r="B540" s="49"/>
      <c r="C540" s="49"/>
      <c r="D540" s="88"/>
      <c r="E540" s="49"/>
      <c r="F540" s="49"/>
      <c r="G540" s="49"/>
      <c r="H540" s="49"/>
    </row>
    <row r="541" spans="1:28" x14ac:dyDescent="0.15">
      <c r="A541" s="49"/>
      <c r="B541" s="49"/>
      <c r="C541" s="49"/>
      <c r="D541" s="88"/>
      <c r="E541" s="49"/>
      <c r="F541" s="49"/>
      <c r="G541" s="49"/>
      <c r="H541" s="49"/>
    </row>
    <row r="542" spans="1:28" x14ac:dyDescent="0.15">
      <c r="A542" s="49"/>
      <c r="B542" s="49"/>
      <c r="C542" s="49"/>
      <c r="D542" s="88"/>
      <c r="E542" s="49"/>
      <c r="F542" s="49"/>
      <c r="G542" s="49"/>
      <c r="H542" s="49"/>
    </row>
    <row r="543" spans="1:28" x14ac:dyDescent="0.15">
      <c r="A543" s="49"/>
      <c r="B543" s="49"/>
      <c r="C543" s="49"/>
      <c r="D543" s="88"/>
      <c r="E543" s="49"/>
      <c r="F543" s="49"/>
      <c r="G543" s="49"/>
      <c r="H543" s="49"/>
    </row>
    <row r="544" spans="1:28" x14ac:dyDescent="0.15">
      <c r="A544" s="49"/>
      <c r="B544" s="49"/>
      <c r="C544" s="49"/>
      <c r="D544" s="88"/>
      <c r="E544" s="49"/>
      <c r="F544" s="49"/>
      <c r="G544" s="49"/>
      <c r="H544" s="49"/>
    </row>
    <row r="545" spans="1:8" x14ac:dyDescent="0.15">
      <c r="A545" s="49"/>
      <c r="B545" s="49"/>
      <c r="C545" s="49"/>
      <c r="D545" s="88"/>
      <c r="E545" s="49"/>
      <c r="F545" s="49"/>
      <c r="G545" s="49"/>
      <c r="H545" s="49"/>
    </row>
    <row r="546" spans="1:8" x14ac:dyDescent="0.15">
      <c r="A546" s="49"/>
      <c r="B546" s="49"/>
      <c r="C546" s="49"/>
      <c r="D546" s="88"/>
      <c r="E546" s="49"/>
      <c r="F546" s="49"/>
      <c r="G546" s="49"/>
      <c r="H546" s="49"/>
    </row>
    <row r="547" spans="1:8" x14ac:dyDescent="0.15">
      <c r="A547" s="49"/>
      <c r="B547" s="49"/>
      <c r="C547" s="49"/>
      <c r="D547" s="88"/>
      <c r="E547" s="49"/>
      <c r="F547" s="49"/>
      <c r="G547" s="49"/>
      <c r="H547" s="49"/>
    </row>
    <row r="548" spans="1:8" x14ac:dyDescent="0.15">
      <c r="A548" s="49"/>
      <c r="B548" s="49"/>
      <c r="C548" s="49"/>
      <c r="D548" s="88"/>
      <c r="E548" s="49"/>
      <c r="F548" s="49"/>
      <c r="G548" s="49"/>
      <c r="H548" s="49"/>
    </row>
    <row r="549" spans="1:8" x14ac:dyDescent="0.15">
      <c r="A549" s="49"/>
      <c r="B549" s="49"/>
      <c r="C549" s="49"/>
      <c r="D549" s="88"/>
      <c r="E549" s="49"/>
      <c r="F549" s="49"/>
      <c r="G549" s="49"/>
      <c r="H549" s="49"/>
    </row>
    <row r="550" spans="1:8" x14ac:dyDescent="0.15">
      <c r="A550" s="49"/>
      <c r="B550" s="49"/>
      <c r="C550" s="49"/>
      <c r="D550" s="88"/>
      <c r="E550" s="49"/>
      <c r="F550" s="49"/>
      <c r="G550" s="49"/>
      <c r="H550" s="49"/>
    </row>
    <row r="551" spans="1:8" x14ac:dyDescent="0.15">
      <c r="A551" s="49"/>
      <c r="B551" s="49"/>
      <c r="C551" s="49"/>
      <c r="D551" s="88"/>
      <c r="E551" s="49"/>
      <c r="F551" s="49"/>
      <c r="G551" s="49"/>
      <c r="H551" s="49"/>
    </row>
    <row r="552" spans="1:8" x14ac:dyDescent="0.15">
      <c r="A552" s="49"/>
      <c r="B552" s="49"/>
      <c r="C552" s="49"/>
      <c r="D552" s="88"/>
      <c r="E552" s="49"/>
      <c r="F552" s="49"/>
      <c r="G552" s="49"/>
      <c r="H552" s="49"/>
    </row>
    <row r="553" spans="1:8" x14ac:dyDescent="0.15">
      <c r="A553" s="49"/>
      <c r="B553" s="49"/>
      <c r="C553" s="49"/>
      <c r="D553" s="88"/>
      <c r="E553" s="49"/>
      <c r="F553" s="49"/>
      <c r="G553" s="49"/>
      <c r="H553" s="49"/>
    </row>
    <row r="554" spans="1:8" x14ac:dyDescent="0.15">
      <c r="A554" s="49"/>
      <c r="B554" s="49"/>
      <c r="C554" s="49"/>
      <c r="D554" s="88"/>
      <c r="E554" s="49"/>
      <c r="F554" s="49"/>
      <c r="G554" s="49"/>
      <c r="H554" s="49"/>
    </row>
    <row r="555" spans="1:8" x14ac:dyDescent="0.15">
      <c r="A555" s="49"/>
      <c r="B555" s="49"/>
      <c r="C555" s="49"/>
      <c r="D555" s="88"/>
      <c r="E555" s="49"/>
      <c r="F555" s="49"/>
      <c r="G555" s="49"/>
      <c r="H555" s="49"/>
    </row>
    <row r="556" spans="1:8" x14ac:dyDescent="0.15">
      <c r="A556" s="49"/>
      <c r="B556" s="49"/>
      <c r="C556" s="49"/>
      <c r="D556" s="88"/>
      <c r="E556" s="49"/>
      <c r="F556" s="49"/>
      <c r="G556" s="49"/>
      <c r="H556" s="49"/>
    </row>
    <row r="557" spans="1:8" x14ac:dyDescent="0.15">
      <c r="A557" s="49"/>
      <c r="B557" s="49"/>
      <c r="C557" s="49"/>
      <c r="D557" s="88"/>
      <c r="E557" s="49"/>
      <c r="F557" s="49"/>
      <c r="G557" s="49"/>
      <c r="H557" s="49"/>
    </row>
    <row r="558" spans="1:8" x14ac:dyDescent="0.15">
      <c r="A558" s="49"/>
      <c r="B558" s="49"/>
      <c r="C558" s="49"/>
      <c r="D558" s="88"/>
      <c r="E558" s="49"/>
      <c r="F558" s="49"/>
      <c r="G558" s="49"/>
      <c r="H558" s="49"/>
    </row>
    <row r="559" spans="1:8" x14ac:dyDescent="0.15">
      <c r="A559" s="49"/>
      <c r="B559" s="49"/>
      <c r="C559" s="49"/>
      <c r="D559" s="88"/>
      <c r="E559" s="49"/>
      <c r="F559" s="49"/>
      <c r="G559" s="49"/>
      <c r="H559" s="49"/>
    </row>
    <row r="560" spans="1:8" x14ac:dyDescent="0.15">
      <c r="A560" s="49"/>
      <c r="B560" s="49"/>
      <c r="C560" s="49"/>
      <c r="D560" s="88"/>
      <c r="E560" s="49"/>
      <c r="F560" s="49"/>
      <c r="G560" s="49"/>
      <c r="H560" s="49"/>
    </row>
    <row r="561" spans="1:8" x14ac:dyDescent="0.15">
      <c r="A561" s="49"/>
      <c r="B561" s="49"/>
      <c r="C561" s="49"/>
      <c r="D561" s="88"/>
      <c r="E561" s="49"/>
      <c r="F561" s="49"/>
      <c r="G561" s="49"/>
      <c r="H561" s="49"/>
    </row>
    <row r="562" spans="1:8" x14ac:dyDescent="0.15">
      <c r="A562" s="49"/>
      <c r="B562" s="49"/>
      <c r="C562" s="49"/>
      <c r="D562" s="88"/>
      <c r="E562" s="49"/>
      <c r="F562" s="49"/>
      <c r="G562" s="49"/>
      <c r="H562" s="49"/>
    </row>
    <row r="563" spans="1:8" x14ac:dyDescent="0.15">
      <c r="A563" s="49"/>
      <c r="B563" s="49"/>
      <c r="C563" s="49"/>
      <c r="D563" s="88"/>
      <c r="E563" s="49"/>
      <c r="F563" s="49"/>
      <c r="G563" s="49"/>
      <c r="H563" s="49"/>
    </row>
    <row r="564" spans="1:8" x14ac:dyDescent="0.15">
      <c r="A564" s="49"/>
      <c r="B564" s="49"/>
      <c r="C564" s="49"/>
      <c r="D564" s="88"/>
      <c r="E564" s="49"/>
      <c r="F564" s="49"/>
      <c r="G564" s="49"/>
      <c r="H564" s="49"/>
    </row>
    <row r="565" spans="1:8" x14ac:dyDescent="0.15">
      <c r="A565" s="49"/>
      <c r="B565" s="49"/>
      <c r="C565" s="49"/>
      <c r="D565" s="88"/>
      <c r="E565" s="49"/>
      <c r="F565" s="49"/>
      <c r="G565" s="49"/>
      <c r="H565" s="49"/>
    </row>
    <row r="566" spans="1:8" x14ac:dyDescent="0.15">
      <c r="A566" s="49"/>
      <c r="B566" s="49"/>
      <c r="C566" s="49"/>
      <c r="D566" s="88"/>
      <c r="E566" s="49"/>
      <c r="F566" s="49"/>
      <c r="G566" s="49"/>
      <c r="H566" s="49"/>
    </row>
    <row r="567" spans="1:8" x14ac:dyDescent="0.15">
      <c r="A567" s="49"/>
      <c r="B567" s="49"/>
      <c r="C567" s="49"/>
      <c r="D567" s="88"/>
      <c r="E567" s="49"/>
      <c r="F567" s="49"/>
      <c r="G567" s="49"/>
      <c r="H567" s="49"/>
    </row>
    <row r="568" spans="1:8" x14ac:dyDescent="0.15">
      <c r="A568" s="49"/>
      <c r="B568" s="49"/>
      <c r="C568" s="49"/>
      <c r="D568" s="88"/>
      <c r="E568" s="49"/>
      <c r="F568" s="49"/>
      <c r="G568" s="49"/>
      <c r="H568" s="49"/>
    </row>
    <row r="569" spans="1:8" x14ac:dyDescent="0.15">
      <c r="A569" s="49"/>
      <c r="B569" s="49"/>
      <c r="C569" s="49"/>
      <c r="D569" s="88"/>
      <c r="E569" s="49"/>
      <c r="F569" s="49"/>
      <c r="G569" s="49"/>
      <c r="H569" s="49"/>
    </row>
    <row r="570" spans="1:8" x14ac:dyDescent="0.15">
      <c r="A570" s="49"/>
      <c r="B570" s="49"/>
      <c r="C570" s="49"/>
      <c r="D570" s="88"/>
      <c r="E570" s="49"/>
      <c r="F570" s="49"/>
      <c r="G570" s="49"/>
      <c r="H570" s="49"/>
    </row>
    <row r="571" spans="1:8" x14ac:dyDescent="0.15">
      <c r="A571" s="49"/>
      <c r="B571" s="49"/>
      <c r="C571" s="49"/>
      <c r="D571" s="88"/>
      <c r="E571" s="49"/>
      <c r="F571" s="49"/>
      <c r="G571" s="49"/>
      <c r="H571" s="49"/>
    </row>
    <row r="572" spans="1:8" x14ac:dyDescent="0.15">
      <c r="A572" s="49"/>
      <c r="B572" s="49"/>
      <c r="C572" s="49"/>
      <c r="D572" s="88"/>
      <c r="E572" s="49"/>
      <c r="F572" s="49"/>
      <c r="G572" s="49"/>
      <c r="H572" s="49"/>
    </row>
    <row r="573" spans="1:8" x14ac:dyDescent="0.15">
      <c r="A573" s="49"/>
      <c r="B573" s="49"/>
      <c r="C573" s="49"/>
      <c r="D573" s="88"/>
      <c r="E573" s="49"/>
      <c r="F573" s="49"/>
      <c r="G573" s="49"/>
      <c r="H573" s="49"/>
    </row>
    <row r="574" spans="1:8" x14ac:dyDescent="0.15">
      <c r="A574" s="49"/>
      <c r="B574" s="49"/>
      <c r="C574" s="49"/>
      <c r="D574" s="88"/>
      <c r="E574" s="49"/>
      <c r="F574" s="49"/>
      <c r="G574" s="49"/>
      <c r="H574" s="49"/>
    </row>
    <row r="575" spans="1:8" x14ac:dyDescent="0.15">
      <c r="A575" s="49"/>
      <c r="B575" s="49"/>
      <c r="C575" s="49"/>
      <c r="D575" s="88"/>
      <c r="E575" s="49"/>
      <c r="F575" s="49"/>
      <c r="G575" s="49"/>
      <c r="H575" s="49"/>
    </row>
    <row r="576" spans="1:8" x14ac:dyDescent="0.15">
      <c r="A576" s="49"/>
      <c r="B576" s="49"/>
      <c r="C576" s="49"/>
      <c r="D576" s="88"/>
      <c r="E576" s="49"/>
      <c r="F576" s="49"/>
      <c r="G576" s="49"/>
      <c r="H576" s="49"/>
    </row>
    <row r="577" spans="1:8" x14ac:dyDescent="0.15">
      <c r="A577" s="49"/>
      <c r="B577" s="49"/>
      <c r="C577" s="49"/>
      <c r="D577" s="88"/>
      <c r="E577" s="49"/>
      <c r="F577" s="49"/>
      <c r="G577" s="49"/>
      <c r="H577" s="49"/>
    </row>
    <row r="578" spans="1:8" x14ac:dyDescent="0.15">
      <c r="A578" s="49"/>
      <c r="B578" s="49"/>
      <c r="C578" s="49"/>
      <c r="D578" s="88"/>
      <c r="E578" s="49"/>
      <c r="F578" s="49"/>
      <c r="G578" s="49"/>
      <c r="H578" s="49"/>
    </row>
    <row r="579" spans="1:8" x14ac:dyDescent="0.15">
      <c r="A579" s="49"/>
      <c r="B579" s="49"/>
      <c r="C579" s="49"/>
      <c r="D579" s="88"/>
      <c r="E579" s="49"/>
      <c r="F579" s="49"/>
      <c r="G579" s="49"/>
      <c r="H579" s="49"/>
    </row>
    <row r="580" spans="1:8" x14ac:dyDescent="0.15">
      <c r="A580" s="49"/>
      <c r="B580" s="49"/>
      <c r="C580" s="49"/>
      <c r="D580" s="88"/>
      <c r="E580" s="49"/>
      <c r="F580" s="49"/>
      <c r="G580" s="49"/>
      <c r="H580" s="49"/>
    </row>
    <row r="581" spans="1:8" x14ac:dyDescent="0.15">
      <c r="A581" s="49"/>
      <c r="B581" s="49"/>
      <c r="C581" s="49"/>
      <c r="D581" s="88"/>
      <c r="E581" s="49"/>
      <c r="F581" s="49"/>
      <c r="G581" s="49"/>
      <c r="H581" s="49"/>
    </row>
    <row r="582" spans="1:8" x14ac:dyDescent="0.15">
      <c r="A582" s="49"/>
      <c r="B582" s="49"/>
      <c r="C582" s="49"/>
      <c r="D582" s="88"/>
      <c r="E582" s="49"/>
      <c r="F582" s="49"/>
      <c r="G582" s="49"/>
      <c r="H582" s="49"/>
    </row>
    <row r="583" spans="1:8" x14ac:dyDescent="0.15">
      <c r="A583" s="49"/>
      <c r="B583" s="49"/>
      <c r="C583" s="49"/>
      <c r="D583" s="88"/>
      <c r="E583" s="49"/>
      <c r="F583" s="49"/>
      <c r="G583" s="49"/>
      <c r="H583" s="49"/>
    </row>
    <row r="584" spans="1:8" x14ac:dyDescent="0.15">
      <c r="A584" s="49"/>
      <c r="B584" s="49"/>
      <c r="C584" s="49"/>
      <c r="D584" s="88"/>
      <c r="E584" s="49"/>
      <c r="F584" s="49"/>
      <c r="G584" s="49"/>
      <c r="H584" s="49"/>
    </row>
    <row r="585" spans="1:8" x14ac:dyDescent="0.15">
      <c r="A585" s="49"/>
      <c r="B585" s="49"/>
      <c r="C585" s="49"/>
      <c r="D585" s="88"/>
      <c r="E585" s="49"/>
      <c r="F585" s="49"/>
      <c r="G585" s="49"/>
      <c r="H585" s="49"/>
    </row>
    <row r="586" spans="1:8" x14ac:dyDescent="0.15">
      <c r="A586" s="49"/>
      <c r="B586" s="49"/>
      <c r="C586" s="49"/>
      <c r="D586" s="88"/>
      <c r="E586" s="49"/>
      <c r="F586" s="49"/>
      <c r="G586" s="49"/>
      <c r="H586" s="49"/>
    </row>
    <row r="587" spans="1:8" x14ac:dyDescent="0.15">
      <c r="A587" s="49"/>
      <c r="B587" s="49"/>
      <c r="C587" s="49"/>
      <c r="D587" s="88"/>
      <c r="E587" s="49"/>
      <c r="F587" s="49"/>
      <c r="G587" s="49"/>
      <c r="H587" s="49"/>
    </row>
    <row r="588" spans="1:8" x14ac:dyDescent="0.15">
      <c r="A588" s="49"/>
      <c r="B588" s="49"/>
      <c r="C588" s="49"/>
      <c r="D588" s="88"/>
      <c r="E588" s="49"/>
      <c r="F588" s="49"/>
      <c r="G588" s="49"/>
      <c r="H588" s="49"/>
    </row>
    <row r="589" spans="1:8" x14ac:dyDescent="0.15">
      <c r="A589" s="49"/>
      <c r="B589" s="49"/>
      <c r="C589" s="49"/>
      <c r="D589" s="88"/>
      <c r="E589" s="49"/>
      <c r="F589" s="49"/>
      <c r="G589" s="49"/>
      <c r="H589" s="49"/>
    </row>
    <row r="590" spans="1:8" x14ac:dyDescent="0.15">
      <c r="A590" s="49"/>
      <c r="B590" s="49"/>
      <c r="C590" s="49"/>
      <c r="D590" s="88"/>
      <c r="E590" s="49"/>
      <c r="F590" s="49"/>
      <c r="G590" s="49"/>
      <c r="H590" s="49"/>
    </row>
    <row r="591" spans="1:8" x14ac:dyDescent="0.15">
      <c r="A591" s="49"/>
      <c r="B591" s="49"/>
      <c r="C591" s="49"/>
      <c r="D591" s="88"/>
      <c r="E591" s="49"/>
      <c r="F591" s="49"/>
      <c r="G591" s="49"/>
      <c r="H591" s="49"/>
    </row>
    <row r="592" spans="1:8" x14ac:dyDescent="0.15">
      <c r="A592" s="49"/>
      <c r="B592" s="49"/>
      <c r="C592" s="49"/>
      <c r="D592" s="88"/>
      <c r="E592" s="49"/>
      <c r="F592" s="49"/>
      <c r="G592" s="49"/>
      <c r="H592" s="49"/>
    </row>
    <row r="593" spans="1:8" x14ac:dyDescent="0.15">
      <c r="A593" s="49"/>
      <c r="B593" s="49"/>
      <c r="C593" s="49"/>
      <c r="D593" s="88"/>
      <c r="E593" s="49"/>
      <c r="F593" s="49"/>
      <c r="G593" s="49"/>
      <c r="H593" s="49"/>
    </row>
    <row r="594" spans="1:8" x14ac:dyDescent="0.15">
      <c r="A594" s="49"/>
      <c r="B594" s="49"/>
      <c r="C594" s="49"/>
      <c r="D594" s="88"/>
      <c r="E594" s="49"/>
      <c r="F594" s="49"/>
      <c r="G594" s="49"/>
      <c r="H594" s="49"/>
    </row>
    <row r="595" spans="1:8" x14ac:dyDescent="0.15">
      <c r="A595" s="49"/>
      <c r="B595" s="49"/>
      <c r="C595" s="49"/>
      <c r="D595" s="88"/>
      <c r="E595" s="49"/>
      <c r="F595" s="49"/>
      <c r="G595" s="49"/>
      <c r="H595" s="49"/>
    </row>
    <row r="596" spans="1:8" x14ac:dyDescent="0.15">
      <c r="A596" s="49"/>
      <c r="B596" s="49"/>
      <c r="C596" s="49"/>
      <c r="D596" s="88"/>
      <c r="E596" s="49"/>
      <c r="F596" s="49"/>
      <c r="G596" s="49"/>
      <c r="H596" s="49"/>
    </row>
    <row r="597" spans="1:8" x14ac:dyDescent="0.15">
      <c r="A597" s="49"/>
      <c r="B597" s="49"/>
      <c r="C597" s="49"/>
      <c r="D597" s="88"/>
      <c r="E597" s="49"/>
      <c r="F597" s="49"/>
      <c r="G597" s="49"/>
      <c r="H597" s="49"/>
    </row>
    <row r="598" spans="1:8" x14ac:dyDescent="0.15">
      <c r="A598" s="49"/>
      <c r="B598" s="49"/>
      <c r="C598" s="49"/>
      <c r="D598" s="88"/>
      <c r="E598" s="49"/>
      <c r="F598" s="49"/>
      <c r="G598" s="49"/>
      <c r="H598" s="49"/>
    </row>
    <row r="599" spans="1:8" x14ac:dyDescent="0.15">
      <c r="A599" s="49"/>
      <c r="B599" s="49"/>
      <c r="C599" s="49"/>
      <c r="D599" s="88"/>
      <c r="E599" s="49"/>
      <c r="F599" s="49"/>
      <c r="G599" s="49"/>
      <c r="H599" s="49"/>
    </row>
    <row r="600" spans="1:8" x14ac:dyDescent="0.15">
      <c r="A600" s="49"/>
      <c r="B600" s="49"/>
      <c r="C600" s="49"/>
      <c r="D600" s="88"/>
      <c r="E600" s="49"/>
      <c r="F600" s="49"/>
      <c r="G600" s="49"/>
      <c r="H600" s="49"/>
    </row>
    <row r="601" spans="1:8" x14ac:dyDescent="0.15">
      <c r="A601" s="49"/>
      <c r="B601" s="49"/>
      <c r="C601" s="49"/>
      <c r="D601" s="88"/>
      <c r="E601" s="49"/>
      <c r="F601" s="49"/>
      <c r="G601" s="49"/>
      <c r="H601" s="49"/>
    </row>
    <row r="602" spans="1:8" x14ac:dyDescent="0.15">
      <c r="A602" s="49"/>
      <c r="B602" s="49"/>
      <c r="C602" s="49"/>
      <c r="D602" s="88"/>
      <c r="E602" s="49"/>
      <c r="F602" s="49"/>
      <c r="G602" s="49"/>
      <c r="H602" s="49"/>
    </row>
    <row r="603" spans="1:8" x14ac:dyDescent="0.15">
      <c r="A603" s="49"/>
      <c r="B603" s="49"/>
      <c r="C603" s="49"/>
      <c r="D603" s="88"/>
      <c r="E603" s="49"/>
      <c r="F603" s="49"/>
      <c r="G603" s="49"/>
      <c r="H603" s="49"/>
    </row>
    <row r="604" spans="1:8" x14ac:dyDescent="0.15">
      <c r="A604" s="49"/>
      <c r="B604" s="49"/>
      <c r="C604" s="49"/>
      <c r="D604" s="88"/>
      <c r="E604" s="49"/>
      <c r="F604" s="49"/>
      <c r="G604" s="49"/>
      <c r="H604" s="49"/>
    </row>
    <row r="605" spans="1:8" x14ac:dyDescent="0.15">
      <c r="A605" s="49"/>
      <c r="B605" s="49"/>
      <c r="C605" s="49"/>
      <c r="D605" s="88"/>
      <c r="E605" s="49"/>
      <c r="F605" s="49"/>
      <c r="G605" s="49"/>
      <c r="H605" s="49"/>
    </row>
    <row r="606" spans="1:8" x14ac:dyDescent="0.15">
      <c r="A606" s="49"/>
      <c r="B606" s="49"/>
      <c r="C606" s="49"/>
      <c r="D606" s="88"/>
      <c r="E606" s="49"/>
      <c r="F606" s="49"/>
      <c r="G606" s="49"/>
      <c r="H606" s="49"/>
    </row>
    <row r="607" spans="1:8" x14ac:dyDescent="0.15">
      <c r="A607" s="49"/>
      <c r="B607" s="49"/>
      <c r="C607" s="49"/>
      <c r="D607" s="88"/>
      <c r="E607" s="49"/>
      <c r="F607" s="49"/>
      <c r="G607" s="49"/>
      <c r="H607" s="49"/>
    </row>
    <row r="608" spans="1:8" x14ac:dyDescent="0.15">
      <c r="A608" s="49"/>
      <c r="B608" s="49"/>
      <c r="C608" s="49"/>
      <c r="D608" s="88"/>
      <c r="E608" s="49"/>
      <c r="F608" s="49"/>
      <c r="G608" s="49"/>
      <c r="H608" s="49"/>
    </row>
    <row r="609" spans="1:8" x14ac:dyDescent="0.15">
      <c r="A609" s="49"/>
      <c r="B609" s="49"/>
      <c r="C609" s="49"/>
      <c r="D609" s="88"/>
      <c r="E609" s="49"/>
      <c r="F609" s="49"/>
      <c r="G609" s="49"/>
      <c r="H609" s="49"/>
    </row>
    <row r="610" spans="1:8" x14ac:dyDescent="0.15">
      <c r="A610" s="49"/>
      <c r="B610" s="49"/>
      <c r="C610" s="49"/>
      <c r="D610" s="88"/>
      <c r="E610" s="49"/>
      <c r="F610" s="49"/>
      <c r="G610" s="49"/>
      <c r="H610" s="49"/>
    </row>
    <row r="611" spans="1:8" x14ac:dyDescent="0.15">
      <c r="A611" s="49"/>
      <c r="B611" s="49"/>
      <c r="C611" s="49"/>
      <c r="D611" s="88"/>
      <c r="E611" s="49"/>
      <c r="F611" s="49"/>
      <c r="G611" s="49"/>
      <c r="H611" s="49"/>
    </row>
    <row r="612" spans="1:8" x14ac:dyDescent="0.15">
      <c r="A612" s="49"/>
      <c r="B612" s="49"/>
      <c r="C612" s="49"/>
      <c r="D612" s="88"/>
      <c r="E612" s="49"/>
      <c r="F612" s="49"/>
      <c r="G612" s="49"/>
      <c r="H612" s="49"/>
    </row>
    <row r="613" spans="1:8" x14ac:dyDescent="0.15">
      <c r="A613" s="49"/>
      <c r="B613" s="49"/>
      <c r="C613" s="49"/>
      <c r="D613" s="88"/>
      <c r="E613" s="49"/>
      <c r="F613" s="49"/>
      <c r="G613" s="49"/>
      <c r="H613" s="49"/>
    </row>
    <row r="614" spans="1:8" x14ac:dyDescent="0.15">
      <c r="A614" s="49"/>
      <c r="B614" s="49"/>
      <c r="C614" s="49"/>
      <c r="D614" s="88"/>
      <c r="E614" s="49"/>
      <c r="F614" s="49"/>
      <c r="G614" s="49"/>
      <c r="H614" s="49"/>
    </row>
    <row r="615" spans="1:8" x14ac:dyDescent="0.15">
      <c r="A615" s="49"/>
      <c r="B615" s="49"/>
      <c r="C615" s="49"/>
      <c r="D615" s="88"/>
      <c r="E615" s="49"/>
      <c r="F615" s="49"/>
      <c r="G615" s="49"/>
      <c r="H615" s="49"/>
    </row>
    <row r="616" spans="1:8" x14ac:dyDescent="0.15">
      <c r="A616" s="49"/>
      <c r="B616" s="49"/>
      <c r="C616" s="49"/>
      <c r="D616" s="88"/>
      <c r="E616" s="49"/>
      <c r="F616" s="49"/>
      <c r="G616" s="49"/>
      <c r="H616" s="49"/>
    </row>
    <row r="617" spans="1:8" x14ac:dyDescent="0.15">
      <c r="A617" s="49"/>
      <c r="B617" s="49"/>
      <c r="C617" s="49"/>
      <c r="D617" s="88"/>
      <c r="E617" s="49"/>
      <c r="F617" s="49"/>
      <c r="G617" s="49"/>
      <c r="H617" s="49"/>
    </row>
    <row r="618" spans="1:8" x14ac:dyDescent="0.15">
      <c r="A618" s="49"/>
      <c r="B618" s="49"/>
      <c r="C618" s="49"/>
      <c r="D618" s="88"/>
      <c r="E618" s="49"/>
      <c r="F618" s="49"/>
      <c r="G618" s="49"/>
      <c r="H618" s="49"/>
    </row>
    <row r="619" spans="1:8" x14ac:dyDescent="0.15">
      <c r="A619" s="49"/>
      <c r="B619" s="49"/>
      <c r="C619" s="49"/>
      <c r="D619" s="88"/>
      <c r="E619" s="49"/>
      <c r="F619" s="49"/>
      <c r="G619" s="49"/>
      <c r="H619" s="49"/>
    </row>
    <row r="620" spans="1:8" x14ac:dyDescent="0.15">
      <c r="A620" s="49"/>
      <c r="B620" s="49"/>
      <c r="C620" s="49"/>
      <c r="D620" s="88"/>
      <c r="E620" s="49"/>
      <c r="F620" s="49"/>
      <c r="G620" s="49"/>
      <c r="H620" s="49"/>
    </row>
    <row r="621" spans="1:8" x14ac:dyDescent="0.15">
      <c r="A621" s="49"/>
      <c r="B621" s="49"/>
      <c r="C621" s="49"/>
      <c r="D621" s="88"/>
      <c r="E621" s="49"/>
      <c r="F621" s="49"/>
      <c r="G621" s="49"/>
      <c r="H621" s="49"/>
    </row>
    <row r="622" spans="1:8" x14ac:dyDescent="0.15">
      <c r="A622" s="49"/>
      <c r="B622" s="49"/>
      <c r="C622" s="49"/>
      <c r="D622" s="88"/>
      <c r="E622" s="49"/>
      <c r="F622" s="49"/>
      <c r="G622" s="49"/>
      <c r="H622" s="49"/>
    </row>
    <row r="623" spans="1:8" x14ac:dyDescent="0.15">
      <c r="A623" s="49"/>
      <c r="B623" s="49"/>
      <c r="C623" s="49"/>
      <c r="D623" s="88"/>
      <c r="E623" s="49"/>
      <c r="F623" s="49"/>
      <c r="G623" s="49"/>
      <c r="H623" s="49"/>
    </row>
    <row r="624" spans="1:8" x14ac:dyDescent="0.15">
      <c r="A624" s="49"/>
      <c r="B624" s="49"/>
      <c r="C624" s="49"/>
      <c r="D624" s="88"/>
      <c r="E624" s="49"/>
      <c r="F624" s="49"/>
      <c r="G624" s="49"/>
      <c r="H624" s="49"/>
    </row>
    <row r="625" spans="1:8" x14ac:dyDescent="0.15">
      <c r="A625" s="49"/>
      <c r="B625" s="49"/>
      <c r="C625" s="49"/>
      <c r="D625" s="88"/>
      <c r="E625" s="49"/>
      <c r="F625" s="49"/>
      <c r="G625" s="49"/>
      <c r="H625" s="49"/>
    </row>
    <row r="626" spans="1:8" x14ac:dyDescent="0.15">
      <c r="A626" s="49"/>
      <c r="B626" s="49"/>
      <c r="C626" s="49"/>
      <c r="D626" s="88"/>
      <c r="E626" s="49"/>
      <c r="F626" s="49"/>
      <c r="G626" s="49"/>
      <c r="H626" s="49"/>
    </row>
    <row r="627" spans="1:8" x14ac:dyDescent="0.15">
      <c r="A627" s="49"/>
      <c r="B627" s="49"/>
      <c r="C627" s="49"/>
      <c r="D627" s="88"/>
      <c r="E627" s="49"/>
      <c r="F627" s="49"/>
      <c r="G627" s="49"/>
      <c r="H627" s="49"/>
    </row>
    <row r="628" spans="1:8" x14ac:dyDescent="0.15">
      <c r="A628" s="49"/>
      <c r="B628" s="49"/>
      <c r="C628" s="49"/>
      <c r="D628" s="88"/>
      <c r="E628" s="49"/>
      <c r="F628" s="49"/>
      <c r="G628" s="49"/>
      <c r="H628" s="49"/>
    </row>
    <row r="629" spans="1:8" x14ac:dyDescent="0.15">
      <c r="A629" s="49"/>
      <c r="B629" s="49"/>
      <c r="C629" s="49"/>
      <c r="D629" s="88"/>
      <c r="E629" s="49"/>
      <c r="F629" s="49"/>
      <c r="G629" s="49"/>
      <c r="H629" s="49"/>
    </row>
    <row r="630" spans="1:8" x14ac:dyDescent="0.15">
      <c r="A630" s="49"/>
      <c r="B630" s="49"/>
      <c r="C630" s="49"/>
      <c r="D630" s="88"/>
      <c r="E630" s="49"/>
      <c r="F630" s="49"/>
      <c r="G630" s="49"/>
      <c r="H630" s="49"/>
    </row>
    <row r="631" spans="1:8" x14ac:dyDescent="0.15">
      <c r="A631" s="49"/>
      <c r="B631" s="49"/>
      <c r="C631" s="49"/>
      <c r="D631" s="88"/>
      <c r="E631" s="49"/>
      <c r="F631" s="49"/>
      <c r="G631" s="49"/>
      <c r="H631" s="49"/>
    </row>
    <row r="632" spans="1:8" x14ac:dyDescent="0.15">
      <c r="A632" s="49"/>
      <c r="B632" s="49"/>
      <c r="C632" s="49"/>
      <c r="D632" s="88"/>
      <c r="E632" s="49"/>
      <c r="F632" s="49"/>
      <c r="G632" s="49"/>
      <c r="H632" s="49"/>
    </row>
    <row r="633" spans="1:8" x14ac:dyDescent="0.15">
      <c r="A633" s="49"/>
      <c r="B633" s="49"/>
      <c r="C633" s="49"/>
      <c r="D633" s="88"/>
      <c r="E633" s="49"/>
      <c r="F633" s="49"/>
      <c r="G633" s="49"/>
      <c r="H633" s="49"/>
    </row>
    <row r="634" spans="1:8" x14ac:dyDescent="0.15">
      <c r="A634" s="49"/>
      <c r="B634" s="49"/>
      <c r="C634" s="49"/>
      <c r="D634" s="88"/>
      <c r="E634" s="49"/>
      <c r="F634" s="49"/>
      <c r="G634" s="49"/>
      <c r="H634" s="49"/>
    </row>
    <row r="635" spans="1:8" x14ac:dyDescent="0.15">
      <c r="A635" s="49"/>
      <c r="B635" s="49"/>
      <c r="C635" s="49"/>
      <c r="D635" s="88"/>
      <c r="E635" s="49"/>
      <c r="F635" s="49"/>
      <c r="G635" s="49"/>
      <c r="H635" s="49"/>
    </row>
    <row r="636" spans="1:8" x14ac:dyDescent="0.15">
      <c r="A636" s="49"/>
      <c r="B636" s="49"/>
      <c r="C636" s="49"/>
      <c r="D636" s="88"/>
      <c r="E636" s="49"/>
      <c r="F636" s="49"/>
      <c r="G636" s="49"/>
      <c r="H636" s="49"/>
    </row>
    <row r="637" spans="1:8" x14ac:dyDescent="0.15">
      <c r="A637" s="49"/>
      <c r="B637" s="49"/>
      <c r="C637" s="49"/>
      <c r="D637" s="88"/>
      <c r="E637" s="49"/>
      <c r="F637" s="49"/>
      <c r="G637" s="49"/>
      <c r="H637" s="49"/>
    </row>
    <row r="638" spans="1:8" x14ac:dyDescent="0.15">
      <c r="A638" s="49"/>
      <c r="B638" s="49"/>
      <c r="C638" s="49"/>
      <c r="D638" s="88"/>
      <c r="E638" s="49"/>
      <c r="F638" s="49"/>
      <c r="G638" s="49"/>
      <c r="H638" s="49"/>
    </row>
    <row r="639" spans="1:8" x14ac:dyDescent="0.15">
      <c r="A639" s="49"/>
      <c r="B639" s="49"/>
      <c r="C639" s="49"/>
      <c r="D639" s="88"/>
      <c r="E639" s="49"/>
      <c r="F639" s="49"/>
      <c r="G639" s="49"/>
      <c r="H639" s="49"/>
    </row>
    <row r="640" spans="1:8" x14ac:dyDescent="0.15">
      <c r="A640" s="49"/>
      <c r="B640" s="49"/>
      <c r="C640" s="49"/>
      <c r="D640" s="88"/>
      <c r="E640" s="49"/>
      <c r="F640" s="49"/>
      <c r="G640" s="49"/>
      <c r="H640" s="49"/>
    </row>
    <row r="641" spans="1:8" x14ac:dyDescent="0.15">
      <c r="A641" s="49"/>
      <c r="B641" s="49"/>
      <c r="C641" s="49"/>
      <c r="D641" s="88"/>
      <c r="E641" s="49"/>
      <c r="F641" s="49"/>
      <c r="G641" s="49"/>
      <c r="H641" s="49"/>
    </row>
    <row r="642" spans="1:8" x14ac:dyDescent="0.15">
      <c r="A642" s="49"/>
      <c r="B642" s="49"/>
      <c r="C642" s="49"/>
      <c r="D642" s="88"/>
      <c r="E642" s="49"/>
      <c r="F642" s="49"/>
      <c r="G642" s="49"/>
      <c r="H642" s="49"/>
    </row>
    <row r="643" spans="1:8" x14ac:dyDescent="0.15">
      <c r="A643" s="49"/>
      <c r="B643" s="49"/>
      <c r="C643" s="49"/>
      <c r="D643" s="88"/>
      <c r="E643" s="49"/>
      <c r="F643" s="49"/>
      <c r="G643" s="49"/>
      <c r="H643" s="49"/>
    </row>
    <row r="644" spans="1:8" x14ac:dyDescent="0.15">
      <c r="A644" s="49"/>
      <c r="B644" s="49"/>
      <c r="C644" s="49"/>
      <c r="D644" s="88"/>
      <c r="E644" s="49"/>
      <c r="F644" s="49"/>
      <c r="G644" s="49"/>
      <c r="H644" s="49"/>
    </row>
    <row r="645" spans="1:8" x14ac:dyDescent="0.15">
      <c r="A645" s="49"/>
      <c r="B645" s="49"/>
      <c r="C645" s="49"/>
      <c r="D645" s="88"/>
      <c r="E645" s="49"/>
      <c r="F645" s="49"/>
      <c r="G645" s="49"/>
      <c r="H645" s="49"/>
    </row>
    <row r="646" spans="1:8" x14ac:dyDescent="0.15">
      <c r="A646" s="49"/>
      <c r="B646" s="49"/>
      <c r="C646" s="49"/>
      <c r="D646" s="88"/>
      <c r="E646" s="49"/>
      <c r="F646" s="49"/>
      <c r="G646" s="49"/>
      <c r="H646" s="49"/>
    </row>
    <row r="647" spans="1:8" x14ac:dyDescent="0.15">
      <c r="A647" s="49"/>
      <c r="B647" s="49"/>
      <c r="C647" s="49"/>
      <c r="D647" s="88"/>
      <c r="E647" s="49"/>
      <c r="F647" s="49"/>
      <c r="G647" s="49"/>
      <c r="H647" s="49"/>
    </row>
    <row r="648" spans="1:8" x14ac:dyDescent="0.15">
      <c r="A648" s="49"/>
      <c r="B648" s="49"/>
      <c r="C648" s="49"/>
      <c r="D648" s="88"/>
      <c r="E648" s="49"/>
      <c r="F648" s="49"/>
      <c r="G648" s="49"/>
      <c r="H648" s="49"/>
    </row>
    <row r="649" spans="1:8" x14ac:dyDescent="0.15">
      <c r="A649" s="49"/>
      <c r="B649" s="49"/>
      <c r="C649" s="49"/>
      <c r="D649" s="88"/>
      <c r="E649" s="49"/>
      <c r="F649" s="49"/>
      <c r="G649" s="49"/>
      <c r="H649" s="49"/>
    </row>
    <row r="650" spans="1:8" x14ac:dyDescent="0.15">
      <c r="A650" s="49"/>
      <c r="B650" s="49"/>
      <c r="C650" s="49"/>
      <c r="D650" s="88"/>
      <c r="E650" s="49"/>
      <c r="F650" s="49"/>
      <c r="G650" s="49"/>
      <c r="H650" s="49"/>
    </row>
    <row r="651" spans="1:8" x14ac:dyDescent="0.15">
      <c r="A651" s="49"/>
      <c r="B651" s="49"/>
      <c r="C651" s="49"/>
      <c r="D651" s="88"/>
      <c r="E651" s="49"/>
      <c r="F651" s="49"/>
      <c r="G651" s="49"/>
      <c r="H651" s="49"/>
    </row>
    <row r="652" spans="1:8" x14ac:dyDescent="0.15">
      <c r="A652" s="49"/>
      <c r="B652" s="49"/>
      <c r="C652" s="49"/>
      <c r="D652" s="88"/>
      <c r="E652" s="49"/>
      <c r="F652" s="49"/>
      <c r="G652" s="49"/>
      <c r="H652" s="49"/>
    </row>
    <row r="653" spans="1:8" x14ac:dyDescent="0.15">
      <c r="A653" s="49"/>
      <c r="B653" s="49"/>
      <c r="C653" s="49"/>
      <c r="D653" s="88"/>
      <c r="E653" s="49"/>
      <c r="F653" s="49"/>
      <c r="G653" s="49"/>
      <c r="H653" s="49"/>
    </row>
    <row r="654" spans="1:8" x14ac:dyDescent="0.15">
      <c r="A654" s="49"/>
      <c r="B654" s="49"/>
      <c r="C654" s="49"/>
      <c r="D654" s="88"/>
      <c r="E654" s="49"/>
      <c r="F654" s="49"/>
      <c r="G654" s="49"/>
      <c r="H654" s="49"/>
    </row>
    <row r="655" spans="1:8" x14ac:dyDescent="0.15">
      <c r="A655" s="49"/>
      <c r="B655" s="49"/>
      <c r="C655" s="49"/>
      <c r="D655" s="88"/>
      <c r="E655" s="49"/>
      <c r="F655" s="49"/>
      <c r="G655" s="49"/>
      <c r="H655" s="49"/>
    </row>
    <row r="656" spans="1:8" x14ac:dyDescent="0.15">
      <c r="A656" s="49"/>
      <c r="B656" s="49"/>
      <c r="C656" s="49"/>
      <c r="D656" s="88"/>
      <c r="E656" s="49"/>
      <c r="F656" s="49"/>
      <c r="G656" s="49"/>
      <c r="H656" s="49"/>
    </row>
    <row r="657" spans="1:8" x14ac:dyDescent="0.15">
      <c r="A657" s="49"/>
      <c r="B657" s="49"/>
      <c r="C657" s="49"/>
      <c r="D657" s="88"/>
      <c r="E657" s="49"/>
      <c r="F657" s="49"/>
      <c r="G657" s="49"/>
      <c r="H657" s="49"/>
    </row>
    <row r="658" spans="1:8" x14ac:dyDescent="0.15">
      <c r="A658" s="49"/>
      <c r="B658" s="49"/>
      <c r="C658" s="49"/>
      <c r="D658" s="88"/>
      <c r="E658" s="49"/>
      <c r="F658" s="49"/>
      <c r="G658" s="49"/>
      <c r="H658" s="49"/>
    </row>
    <row r="659" spans="1:8" x14ac:dyDescent="0.15">
      <c r="A659" s="49"/>
      <c r="B659" s="49"/>
      <c r="C659" s="49"/>
      <c r="D659" s="88"/>
      <c r="E659" s="49"/>
      <c r="F659" s="49"/>
      <c r="G659" s="49"/>
      <c r="H659" s="49"/>
    </row>
    <row r="660" spans="1:8" x14ac:dyDescent="0.15">
      <c r="A660" s="49"/>
      <c r="B660" s="49"/>
      <c r="C660" s="49"/>
      <c r="D660" s="88"/>
      <c r="E660" s="49"/>
      <c r="F660" s="49"/>
      <c r="G660" s="49"/>
      <c r="H660" s="49"/>
    </row>
    <row r="661" spans="1:8" x14ac:dyDescent="0.15">
      <c r="A661" s="49"/>
      <c r="B661" s="49"/>
      <c r="C661" s="49"/>
      <c r="D661" s="88"/>
      <c r="E661" s="49"/>
      <c r="F661" s="49"/>
      <c r="G661" s="49"/>
      <c r="H661" s="49"/>
    </row>
    <row r="662" spans="1:8" x14ac:dyDescent="0.15">
      <c r="A662" s="49"/>
      <c r="B662" s="49"/>
      <c r="C662" s="49"/>
      <c r="D662" s="88"/>
      <c r="E662" s="49"/>
      <c r="F662" s="49"/>
      <c r="G662" s="49"/>
      <c r="H662" s="49"/>
    </row>
    <row r="663" spans="1:8" x14ac:dyDescent="0.15">
      <c r="A663" s="49"/>
      <c r="B663" s="49"/>
      <c r="C663" s="49"/>
      <c r="D663" s="88"/>
      <c r="E663" s="49"/>
      <c r="F663" s="49"/>
      <c r="G663" s="49"/>
      <c r="H663" s="49"/>
    </row>
    <row r="664" spans="1:8" x14ac:dyDescent="0.15">
      <c r="A664" s="49"/>
      <c r="B664" s="49"/>
      <c r="C664" s="49"/>
      <c r="D664" s="88"/>
      <c r="E664" s="49"/>
      <c r="F664" s="49"/>
      <c r="G664" s="49"/>
      <c r="H664" s="49"/>
    </row>
    <row r="665" spans="1:8" x14ac:dyDescent="0.15">
      <c r="A665" s="49"/>
      <c r="B665" s="49"/>
      <c r="C665" s="49"/>
      <c r="D665" s="88"/>
      <c r="E665" s="49"/>
      <c r="F665" s="49"/>
      <c r="G665" s="49"/>
      <c r="H665" s="49"/>
    </row>
    <row r="666" spans="1:8" x14ac:dyDescent="0.15">
      <c r="A666" s="49"/>
      <c r="B666" s="49"/>
      <c r="C666" s="49"/>
      <c r="D666" s="88"/>
      <c r="E666" s="49"/>
      <c r="F666" s="49"/>
      <c r="G666" s="49"/>
      <c r="H666" s="49"/>
    </row>
    <row r="667" spans="1:8" x14ac:dyDescent="0.15">
      <c r="A667" s="49"/>
      <c r="B667" s="49"/>
      <c r="C667" s="49"/>
      <c r="D667" s="88"/>
      <c r="E667" s="49"/>
      <c r="F667" s="49"/>
      <c r="G667" s="49"/>
      <c r="H667" s="49"/>
    </row>
    <row r="668" spans="1:8" x14ac:dyDescent="0.15">
      <c r="A668" s="49"/>
      <c r="B668" s="49"/>
      <c r="C668" s="49"/>
      <c r="D668" s="88"/>
      <c r="E668" s="49"/>
      <c r="F668" s="49"/>
      <c r="G668" s="49"/>
      <c r="H668" s="49"/>
    </row>
    <row r="669" spans="1:8" x14ac:dyDescent="0.15">
      <c r="A669" s="49"/>
      <c r="B669" s="49"/>
      <c r="C669" s="49"/>
      <c r="D669" s="88"/>
      <c r="E669" s="49"/>
      <c r="F669" s="49"/>
      <c r="G669" s="49"/>
      <c r="H669" s="49"/>
    </row>
    <row r="670" spans="1:8" x14ac:dyDescent="0.15">
      <c r="A670" s="49"/>
      <c r="B670" s="49"/>
      <c r="C670" s="49"/>
      <c r="D670" s="88"/>
      <c r="E670" s="49"/>
      <c r="F670" s="49"/>
      <c r="G670" s="49"/>
      <c r="H670" s="49"/>
    </row>
    <row r="671" spans="1:8" x14ac:dyDescent="0.15">
      <c r="A671" s="49"/>
      <c r="B671" s="49"/>
      <c r="C671" s="49"/>
      <c r="D671" s="88"/>
      <c r="E671" s="49"/>
      <c r="F671" s="49"/>
      <c r="G671" s="49"/>
      <c r="H671" s="49"/>
    </row>
    <row r="672" spans="1:8" x14ac:dyDescent="0.15">
      <c r="A672" s="49"/>
      <c r="B672" s="49"/>
      <c r="C672" s="49"/>
      <c r="D672" s="88"/>
      <c r="E672" s="49"/>
      <c r="F672" s="49"/>
      <c r="G672" s="49"/>
      <c r="H672" s="49"/>
    </row>
    <row r="673" spans="1:8" x14ac:dyDescent="0.15">
      <c r="A673" s="49"/>
      <c r="B673" s="49"/>
      <c r="C673" s="49"/>
      <c r="D673" s="88"/>
      <c r="E673" s="49"/>
      <c r="F673" s="49"/>
      <c r="G673" s="49"/>
      <c r="H673" s="49"/>
    </row>
    <row r="674" spans="1:8" x14ac:dyDescent="0.15">
      <c r="A674" s="49"/>
      <c r="B674" s="49"/>
      <c r="C674" s="49"/>
      <c r="D674" s="88"/>
      <c r="E674" s="49"/>
      <c r="F674" s="49"/>
      <c r="G674" s="49"/>
      <c r="H674" s="49"/>
    </row>
    <row r="675" spans="1:8" x14ac:dyDescent="0.15">
      <c r="A675" s="49"/>
      <c r="B675" s="49"/>
      <c r="C675" s="49"/>
      <c r="D675" s="88"/>
      <c r="E675" s="49"/>
      <c r="F675" s="49"/>
      <c r="G675" s="49"/>
      <c r="H675" s="49"/>
    </row>
    <row r="676" spans="1:8" x14ac:dyDescent="0.15">
      <c r="A676" s="49"/>
      <c r="B676" s="49"/>
      <c r="C676" s="49"/>
      <c r="D676" s="88"/>
      <c r="E676" s="49"/>
      <c r="F676" s="49"/>
      <c r="G676" s="49"/>
      <c r="H676" s="49"/>
    </row>
    <row r="677" spans="1:8" x14ac:dyDescent="0.15">
      <c r="A677" s="49"/>
      <c r="B677" s="49"/>
      <c r="C677" s="49"/>
      <c r="D677" s="88"/>
      <c r="E677" s="49"/>
      <c r="F677" s="49"/>
      <c r="G677" s="49"/>
      <c r="H677" s="49"/>
    </row>
    <row r="678" spans="1:8" x14ac:dyDescent="0.15">
      <c r="A678" s="49"/>
      <c r="B678" s="49"/>
      <c r="C678" s="49"/>
      <c r="D678" s="88"/>
      <c r="E678" s="49"/>
      <c r="F678" s="49"/>
      <c r="G678" s="49"/>
      <c r="H678" s="49"/>
    </row>
    <row r="679" spans="1:8" x14ac:dyDescent="0.15">
      <c r="A679" s="49"/>
      <c r="B679" s="49"/>
      <c r="C679" s="49"/>
      <c r="D679" s="88"/>
      <c r="E679" s="49"/>
      <c r="F679" s="49"/>
      <c r="G679" s="49"/>
      <c r="H679" s="49"/>
    </row>
    <row r="680" spans="1:8" x14ac:dyDescent="0.15">
      <c r="A680" s="49"/>
      <c r="B680" s="49"/>
      <c r="C680" s="49"/>
      <c r="D680" s="88"/>
      <c r="E680" s="49"/>
      <c r="F680" s="49"/>
      <c r="G680" s="49"/>
      <c r="H680" s="49"/>
    </row>
    <row r="681" spans="1:8" x14ac:dyDescent="0.15">
      <c r="A681" s="49"/>
      <c r="B681" s="49"/>
      <c r="C681" s="49"/>
      <c r="D681" s="88"/>
      <c r="E681" s="49"/>
      <c r="F681" s="49"/>
      <c r="G681" s="49"/>
      <c r="H681" s="49"/>
    </row>
    <row r="682" spans="1:8" x14ac:dyDescent="0.15">
      <c r="A682" s="49"/>
      <c r="B682" s="49"/>
      <c r="C682" s="49"/>
      <c r="D682" s="88"/>
      <c r="E682" s="49"/>
      <c r="F682" s="49"/>
      <c r="G682" s="49"/>
      <c r="H682" s="49"/>
    </row>
    <row r="683" spans="1:8" x14ac:dyDescent="0.15">
      <c r="A683" s="49"/>
      <c r="B683" s="49"/>
      <c r="C683" s="49"/>
      <c r="D683" s="88"/>
      <c r="E683" s="49"/>
      <c r="F683" s="49"/>
      <c r="G683" s="49"/>
      <c r="H683" s="49"/>
    </row>
  </sheetData>
  <autoFilter ref="A1:BA154" xr:uid="{00000000-0009-0000-0000-000004000000}"/>
  <phoneticPr fontId="13"/>
  <dataValidations count="21">
    <dataValidation type="list" allowBlank="1" showInputMessage="1" showErrorMessage="1" sqref="F2:F683" xr:uid="{08714D0C-4DD4-4C40-94AA-0C696F9533F5}">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4E4DCF69-91D7-410E-9222-780815F421DF}">
      <formula1>$AR$2:$AR$30</formula1>
    </dataValidation>
    <dataValidation type="list" allowBlank="1" showInputMessage="1" showErrorMessage="1" sqref="J2:J1000" xr:uid="{AE8BDE64-0CD6-4CF0-B45F-7F0A503A79C6}">
      <formula1>$AP$2:$AP$29</formula1>
    </dataValidation>
    <dataValidation type="list" allowBlank="1" showInputMessage="1" showErrorMessage="1" sqref="K2:K1000" xr:uid="{A07752AD-2A61-4FFC-980D-86CA9008923E}">
      <formula1>$AR$2:$AR$29</formula1>
    </dataValidation>
    <dataValidation type="list" allowBlank="1" showInputMessage="1" showErrorMessage="1" sqref="H2:H1429" xr:uid="{6F1DDB63-2578-461B-92D8-DA24593B6499}">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E664390-BE8A-41D6-91DD-31D802A3B9F1}">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055ED45D-433C-48F5-A0E1-E0806E6FCEFC}">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EC4DBE36-A251-4431-B7BE-6956D7C7145D}">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E8144A4C-9EB2-42F1-B2C4-89B8E3005340}">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B2B8545E-FA46-431E-ABF7-93803BA4CB62}">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A077D89F-EB92-43E9-9230-EFBEB32E397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964398B0-73DC-42AA-A927-A7D3A6FECA47}"/>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874708E7-B45C-4C6A-9583-F6AAB4346B72}">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B644895E-22FA-43AE-8939-C1B2E0F25CF8}">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2BF3DDB7-22C7-45B8-A6C8-619ECD04908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EA812CD9-077A-43EA-8278-BF3CBDE11F51}">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7850F58A-0D0B-42CD-9433-38BA25826C89}">
      <formula1>$AV$2:$AV$22</formula1>
    </dataValidation>
    <dataValidation type="list" allowBlank="1" showInputMessage="1" showErrorMessage="1" sqref="E2:E683" xr:uid="{93002D87-20B6-4C3B-AE90-32425B2569AB}">
      <formula1>$AG$2:$AG$11</formula1>
    </dataValidation>
    <dataValidation type="list" allowBlank="1" showInputMessage="1" showErrorMessage="1" sqref="A2:A683" xr:uid="{2CD51236-7139-4589-BCE1-C6E9DAFE4607}">
      <formula1>$AE$2:$AE$19</formula1>
    </dataValidation>
    <dataValidation type="list" allowBlank="1" showInputMessage="1" showErrorMessage="1" sqref="Y2:AA500" xr:uid="{E46DEBFF-8F2F-4204-83BF-FBA44A00627A}">
      <formula1>$AV$2:$AV$21</formula1>
    </dataValidation>
    <dataValidation type="decimal" allowBlank="1" showInputMessage="1" showErrorMessage="1" error="硬度を正しく入力して下さい。" sqref="O96:P500 O5:P10 P11:P16 O17:P34 O41:P94 P35:P40" xr:uid="{D55088A3-0834-4B0A-B759-B4FC5AE5B3AB}">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A830-2EC5-4134-8000-BAC6C8DF3718}">
  <dimension ref="A1:BA152"/>
  <sheetViews>
    <sheetView zoomScale="85" zoomScaleNormal="85" workbookViewId="0">
      <pane ySplit="1" topLeftCell="A2" activePane="bottomLeft" state="frozen"/>
      <selection pane="bottomLeft" activeCell="J11" sqref="J11"/>
    </sheetView>
  </sheetViews>
  <sheetFormatPr defaultColWidth="8.875" defaultRowHeight="13.5" x14ac:dyDescent="0.15"/>
  <cols>
    <col min="1" max="3" width="8.875" style="1"/>
    <col min="4" max="4" width="13.5" style="1" bestFit="1" customWidth="1"/>
    <col min="5" max="5" width="9.625" style="1" bestFit="1" customWidth="1"/>
    <col min="6" max="16" width="8.875" style="1"/>
    <col min="17" max="17" width="8.875" style="2"/>
    <col min="18" max="19" width="8.875" style="1"/>
    <col min="20" max="20" width="8.875" style="2"/>
    <col min="21" max="21" width="8.875" style="1"/>
    <col min="22" max="22" width="8.875" style="2"/>
    <col min="23" max="32" width="8.875" style="1"/>
    <col min="33" max="33" width="19.625" style="1" bestFit="1" customWidth="1"/>
    <col min="34" max="259" width="8.875" style="1"/>
    <col min="260" max="260" width="10.5" style="1" bestFit="1" customWidth="1"/>
    <col min="261" max="261" width="9.625" style="1" bestFit="1" customWidth="1"/>
    <col min="262" max="515" width="8.875" style="1"/>
    <col min="516" max="516" width="10.5" style="1" bestFit="1" customWidth="1"/>
    <col min="517" max="517" width="9.625" style="1" bestFit="1" customWidth="1"/>
    <col min="518" max="771" width="8.875" style="1"/>
    <col min="772" max="772" width="10.5" style="1" bestFit="1" customWidth="1"/>
    <col min="773" max="773" width="9.625" style="1" bestFit="1" customWidth="1"/>
    <col min="774" max="1027" width="8.875" style="1"/>
    <col min="1028" max="1028" width="10.5" style="1" bestFit="1" customWidth="1"/>
    <col min="1029" max="1029" width="9.625" style="1" bestFit="1" customWidth="1"/>
    <col min="1030" max="1283" width="8.875" style="1"/>
    <col min="1284" max="1284" width="10.5" style="1" bestFit="1" customWidth="1"/>
    <col min="1285" max="1285" width="9.625" style="1" bestFit="1" customWidth="1"/>
    <col min="1286" max="1539" width="8.875" style="1"/>
    <col min="1540" max="1540" width="10.5" style="1" bestFit="1" customWidth="1"/>
    <col min="1541" max="1541" width="9.625" style="1" bestFit="1" customWidth="1"/>
    <col min="1542" max="1795" width="8.875" style="1"/>
    <col min="1796" max="1796" width="10.5" style="1" bestFit="1" customWidth="1"/>
    <col min="1797" max="1797" width="9.625" style="1" bestFit="1" customWidth="1"/>
    <col min="1798" max="2051" width="8.875" style="1"/>
    <col min="2052" max="2052" width="10.5" style="1" bestFit="1" customWidth="1"/>
    <col min="2053" max="2053" width="9.625" style="1" bestFit="1" customWidth="1"/>
    <col min="2054" max="2307" width="8.875" style="1"/>
    <col min="2308" max="2308" width="10.5" style="1" bestFit="1" customWidth="1"/>
    <col min="2309" max="2309" width="9.625" style="1" bestFit="1" customWidth="1"/>
    <col min="2310" max="2563" width="8.875" style="1"/>
    <col min="2564" max="2564" width="10.5" style="1" bestFit="1" customWidth="1"/>
    <col min="2565" max="2565" width="9.625" style="1" bestFit="1" customWidth="1"/>
    <col min="2566" max="2819" width="8.875" style="1"/>
    <col min="2820" max="2820" width="10.5" style="1" bestFit="1" customWidth="1"/>
    <col min="2821" max="2821" width="9.625" style="1" bestFit="1" customWidth="1"/>
    <col min="2822" max="3075" width="8.875" style="1"/>
    <col min="3076" max="3076" width="10.5" style="1" bestFit="1" customWidth="1"/>
    <col min="3077" max="3077" width="9.625" style="1" bestFit="1" customWidth="1"/>
    <col min="3078" max="3331" width="8.875" style="1"/>
    <col min="3332" max="3332" width="10.5" style="1" bestFit="1" customWidth="1"/>
    <col min="3333" max="3333" width="9.625" style="1" bestFit="1" customWidth="1"/>
    <col min="3334" max="3587" width="8.875" style="1"/>
    <col min="3588" max="3588" width="10.5" style="1" bestFit="1" customWidth="1"/>
    <col min="3589" max="3589" width="9.625" style="1" bestFit="1" customWidth="1"/>
    <col min="3590" max="3843" width="8.875" style="1"/>
    <col min="3844" max="3844" width="10.5" style="1" bestFit="1" customWidth="1"/>
    <col min="3845" max="3845" width="9.625" style="1" bestFit="1" customWidth="1"/>
    <col min="3846" max="4099" width="8.875" style="1"/>
    <col min="4100" max="4100" width="10.5" style="1" bestFit="1" customWidth="1"/>
    <col min="4101" max="4101" width="9.625" style="1" bestFit="1" customWidth="1"/>
    <col min="4102" max="4355" width="8.875" style="1"/>
    <col min="4356" max="4356" width="10.5" style="1" bestFit="1" customWidth="1"/>
    <col min="4357" max="4357" width="9.625" style="1" bestFit="1" customWidth="1"/>
    <col min="4358" max="4611" width="8.875" style="1"/>
    <col min="4612" max="4612" width="10.5" style="1" bestFit="1" customWidth="1"/>
    <col min="4613" max="4613" width="9.625" style="1" bestFit="1" customWidth="1"/>
    <col min="4614" max="4867" width="8.875" style="1"/>
    <col min="4868" max="4868" width="10.5" style="1" bestFit="1" customWidth="1"/>
    <col min="4869" max="4869" width="9.625" style="1" bestFit="1" customWidth="1"/>
    <col min="4870" max="5123" width="8.875" style="1"/>
    <col min="5124" max="5124" width="10.5" style="1" bestFit="1" customWidth="1"/>
    <col min="5125" max="5125" width="9.625" style="1" bestFit="1" customWidth="1"/>
    <col min="5126" max="5379" width="8.875" style="1"/>
    <col min="5380" max="5380" width="10.5" style="1" bestFit="1" customWidth="1"/>
    <col min="5381" max="5381" width="9.625" style="1" bestFit="1" customWidth="1"/>
    <col min="5382" max="5635" width="8.875" style="1"/>
    <col min="5636" max="5636" width="10.5" style="1" bestFit="1" customWidth="1"/>
    <col min="5637" max="5637" width="9.625" style="1" bestFit="1" customWidth="1"/>
    <col min="5638" max="5891" width="8.875" style="1"/>
    <col min="5892" max="5892" width="10.5" style="1" bestFit="1" customWidth="1"/>
    <col min="5893" max="5893" width="9.625" style="1" bestFit="1" customWidth="1"/>
    <col min="5894" max="6147" width="8.875" style="1"/>
    <col min="6148" max="6148" width="10.5" style="1" bestFit="1" customWidth="1"/>
    <col min="6149" max="6149" width="9.625" style="1" bestFit="1" customWidth="1"/>
    <col min="6150" max="6403" width="8.875" style="1"/>
    <col min="6404" max="6404" width="10.5" style="1" bestFit="1" customWidth="1"/>
    <col min="6405" max="6405" width="9.625" style="1" bestFit="1" customWidth="1"/>
    <col min="6406" max="6659" width="8.875" style="1"/>
    <col min="6660" max="6660" width="10.5" style="1" bestFit="1" customWidth="1"/>
    <col min="6661" max="6661" width="9.625" style="1" bestFit="1" customWidth="1"/>
    <col min="6662" max="6915" width="8.875" style="1"/>
    <col min="6916" max="6916" width="10.5" style="1" bestFit="1" customWidth="1"/>
    <col min="6917" max="6917" width="9.625" style="1" bestFit="1" customWidth="1"/>
    <col min="6918" max="7171" width="8.875" style="1"/>
    <col min="7172" max="7172" width="10.5" style="1" bestFit="1" customWidth="1"/>
    <col min="7173" max="7173" width="9.625" style="1" bestFit="1" customWidth="1"/>
    <col min="7174" max="7427" width="8.875" style="1"/>
    <col min="7428" max="7428" width="10.5" style="1" bestFit="1" customWidth="1"/>
    <col min="7429" max="7429" width="9.625" style="1" bestFit="1" customWidth="1"/>
    <col min="7430" max="7683" width="8.875" style="1"/>
    <col min="7684" max="7684" width="10.5" style="1" bestFit="1" customWidth="1"/>
    <col min="7685" max="7685" width="9.625" style="1" bestFit="1" customWidth="1"/>
    <col min="7686" max="7939" width="8.875" style="1"/>
    <col min="7940" max="7940" width="10.5" style="1" bestFit="1" customWidth="1"/>
    <col min="7941" max="7941" width="9.625" style="1" bestFit="1" customWidth="1"/>
    <col min="7942" max="8195" width="8.875" style="1"/>
    <col min="8196" max="8196" width="10.5" style="1" bestFit="1" customWidth="1"/>
    <col min="8197" max="8197" width="9.625" style="1" bestFit="1" customWidth="1"/>
    <col min="8198" max="8451" width="8.875" style="1"/>
    <col min="8452" max="8452" width="10.5" style="1" bestFit="1" customWidth="1"/>
    <col min="8453" max="8453" width="9.625" style="1" bestFit="1" customWidth="1"/>
    <col min="8454" max="8707" width="8.875" style="1"/>
    <col min="8708" max="8708" width="10.5" style="1" bestFit="1" customWidth="1"/>
    <col min="8709" max="8709" width="9.625" style="1" bestFit="1" customWidth="1"/>
    <col min="8710" max="8963" width="8.875" style="1"/>
    <col min="8964" max="8964" width="10.5" style="1" bestFit="1" customWidth="1"/>
    <col min="8965" max="8965" width="9.625" style="1" bestFit="1" customWidth="1"/>
    <col min="8966" max="9219" width="8.875" style="1"/>
    <col min="9220" max="9220" width="10.5" style="1" bestFit="1" customWidth="1"/>
    <col min="9221" max="9221" width="9.625" style="1" bestFit="1" customWidth="1"/>
    <col min="9222" max="9475" width="8.875" style="1"/>
    <col min="9476" max="9476" width="10.5" style="1" bestFit="1" customWidth="1"/>
    <col min="9477" max="9477" width="9.625" style="1" bestFit="1" customWidth="1"/>
    <col min="9478" max="9731" width="8.875" style="1"/>
    <col min="9732" max="9732" width="10.5" style="1" bestFit="1" customWidth="1"/>
    <col min="9733" max="9733" width="9.625" style="1" bestFit="1" customWidth="1"/>
    <col min="9734" max="9987" width="8.875" style="1"/>
    <col min="9988" max="9988" width="10.5" style="1" bestFit="1" customWidth="1"/>
    <col min="9989" max="9989" width="9.625" style="1" bestFit="1" customWidth="1"/>
    <col min="9990" max="10243" width="8.875" style="1"/>
    <col min="10244" max="10244" width="10.5" style="1" bestFit="1" customWidth="1"/>
    <col min="10245" max="10245" width="9.625" style="1" bestFit="1" customWidth="1"/>
    <col min="10246" max="10499" width="8.875" style="1"/>
    <col min="10500" max="10500" width="10.5" style="1" bestFit="1" customWidth="1"/>
    <col min="10501" max="10501" width="9.625" style="1" bestFit="1" customWidth="1"/>
    <col min="10502" max="10755" width="8.875" style="1"/>
    <col min="10756" max="10756" width="10.5" style="1" bestFit="1" customWidth="1"/>
    <col min="10757" max="10757" width="9.625" style="1" bestFit="1" customWidth="1"/>
    <col min="10758" max="11011" width="8.875" style="1"/>
    <col min="11012" max="11012" width="10.5" style="1" bestFit="1" customWidth="1"/>
    <col min="11013" max="11013" width="9.625" style="1" bestFit="1" customWidth="1"/>
    <col min="11014" max="11267" width="8.875" style="1"/>
    <col min="11268" max="11268" width="10.5" style="1" bestFit="1" customWidth="1"/>
    <col min="11269" max="11269" width="9.625" style="1" bestFit="1" customWidth="1"/>
    <col min="11270" max="11523" width="8.875" style="1"/>
    <col min="11524" max="11524" width="10.5" style="1" bestFit="1" customWidth="1"/>
    <col min="11525" max="11525" width="9.625" style="1" bestFit="1" customWidth="1"/>
    <col min="11526" max="11779" width="8.875" style="1"/>
    <col min="11780" max="11780" width="10.5" style="1" bestFit="1" customWidth="1"/>
    <col min="11781" max="11781" width="9.625" style="1" bestFit="1" customWidth="1"/>
    <col min="11782" max="12035" width="8.875" style="1"/>
    <col min="12036" max="12036" width="10.5" style="1" bestFit="1" customWidth="1"/>
    <col min="12037" max="12037" width="9.625" style="1" bestFit="1" customWidth="1"/>
    <col min="12038" max="12291" width="8.875" style="1"/>
    <col min="12292" max="12292" width="10.5" style="1" bestFit="1" customWidth="1"/>
    <col min="12293" max="12293" width="9.625" style="1" bestFit="1" customWidth="1"/>
    <col min="12294" max="12547" width="8.875" style="1"/>
    <col min="12548" max="12548" width="10.5" style="1" bestFit="1" customWidth="1"/>
    <col min="12549" max="12549" width="9.625" style="1" bestFit="1" customWidth="1"/>
    <col min="12550" max="12803" width="8.875" style="1"/>
    <col min="12804" max="12804" width="10.5" style="1" bestFit="1" customWidth="1"/>
    <col min="12805" max="12805" width="9.625" style="1" bestFit="1" customWidth="1"/>
    <col min="12806" max="13059" width="8.875" style="1"/>
    <col min="13060" max="13060" width="10.5" style="1" bestFit="1" customWidth="1"/>
    <col min="13061" max="13061" width="9.625" style="1" bestFit="1" customWidth="1"/>
    <col min="13062" max="13315" width="8.875" style="1"/>
    <col min="13316" max="13316" width="10.5" style="1" bestFit="1" customWidth="1"/>
    <col min="13317" max="13317" width="9.625" style="1" bestFit="1" customWidth="1"/>
    <col min="13318" max="13571" width="8.875" style="1"/>
    <col min="13572" max="13572" width="10.5" style="1" bestFit="1" customWidth="1"/>
    <col min="13573" max="13573" width="9.625" style="1" bestFit="1" customWidth="1"/>
    <col min="13574" max="13827" width="8.875" style="1"/>
    <col min="13828" max="13828" width="10.5" style="1" bestFit="1" customWidth="1"/>
    <col min="13829" max="13829" width="9.625" style="1" bestFit="1" customWidth="1"/>
    <col min="13830" max="14083" width="8.875" style="1"/>
    <col min="14084" max="14084" width="10.5" style="1" bestFit="1" customWidth="1"/>
    <col min="14085" max="14085" width="9.625" style="1" bestFit="1" customWidth="1"/>
    <col min="14086" max="14339" width="8.875" style="1"/>
    <col min="14340" max="14340" width="10.5" style="1" bestFit="1" customWidth="1"/>
    <col min="14341" max="14341" width="9.625" style="1" bestFit="1" customWidth="1"/>
    <col min="14342" max="14595" width="8.875" style="1"/>
    <col min="14596" max="14596" width="10.5" style="1" bestFit="1" customWidth="1"/>
    <col min="14597" max="14597" width="9.625" style="1" bestFit="1" customWidth="1"/>
    <col min="14598" max="14851" width="8.875" style="1"/>
    <col min="14852" max="14852" width="10.5" style="1" bestFit="1" customWidth="1"/>
    <col min="14853" max="14853" width="9.625" style="1" bestFit="1" customWidth="1"/>
    <col min="14854" max="15107" width="8.875" style="1"/>
    <col min="15108" max="15108" width="10.5" style="1" bestFit="1" customWidth="1"/>
    <col min="15109" max="15109" width="9.625" style="1" bestFit="1" customWidth="1"/>
    <col min="15110" max="15363" width="8.875" style="1"/>
    <col min="15364" max="15364" width="10.5" style="1" bestFit="1" customWidth="1"/>
    <col min="15365" max="15365" width="9.625" style="1" bestFit="1" customWidth="1"/>
    <col min="15366" max="15619" width="8.875" style="1"/>
    <col min="15620" max="15620" width="10.5" style="1" bestFit="1" customWidth="1"/>
    <col min="15621" max="15621" width="9.625" style="1" bestFit="1" customWidth="1"/>
    <col min="15622" max="15875" width="8.875" style="1"/>
    <col min="15876" max="15876" width="10.5" style="1" bestFit="1" customWidth="1"/>
    <col min="15877" max="15877" width="9.625" style="1" bestFit="1" customWidth="1"/>
    <col min="15878" max="16131" width="8.875" style="1"/>
    <col min="16132" max="16132" width="10.5" style="1" bestFit="1" customWidth="1"/>
    <col min="16133" max="16133" width="9.625" style="1" bestFit="1" customWidth="1"/>
    <col min="16134" max="16384" width="8.875" style="1"/>
  </cols>
  <sheetData>
    <row r="1" spans="1:53" ht="45" x14ac:dyDescent="0.15">
      <c r="A1" s="3" t="s">
        <v>0</v>
      </c>
      <c r="B1" s="70" t="s">
        <v>217</v>
      </c>
      <c r="C1" s="70" t="s">
        <v>218</v>
      </c>
      <c r="D1" s="71" t="s">
        <v>3</v>
      </c>
      <c r="E1" s="4" t="s">
        <v>4</v>
      </c>
      <c r="F1" s="4" t="s">
        <v>5</v>
      </c>
      <c r="G1" s="4" t="s">
        <v>6</v>
      </c>
      <c r="H1" s="4" t="s">
        <v>7</v>
      </c>
      <c r="I1" s="4" t="s">
        <v>8</v>
      </c>
      <c r="J1" s="4" t="s">
        <v>9</v>
      </c>
      <c r="K1" s="4" t="s">
        <v>10</v>
      </c>
      <c r="L1" s="71" t="s">
        <v>219</v>
      </c>
      <c r="M1" s="71" t="s">
        <v>220</v>
      </c>
      <c r="N1" s="71" t="s">
        <v>304</v>
      </c>
      <c r="O1" s="71" t="s">
        <v>221</v>
      </c>
      <c r="P1" s="71" t="s">
        <v>222</v>
      </c>
      <c r="Q1" s="5" t="s">
        <v>223</v>
      </c>
      <c r="R1" s="71" t="s">
        <v>224</v>
      </c>
      <c r="S1" s="71" t="s">
        <v>225</v>
      </c>
      <c r="T1" s="5" t="s">
        <v>19</v>
      </c>
      <c r="U1" s="72" t="s">
        <v>305</v>
      </c>
      <c r="V1" s="6" t="s">
        <v>21</v>
      </c>
      <c r="W1" s="71" t="s">
        <v>226</v>
      </c>
      <c r="X1" s="4" t="s">
        <v>23</v>
      </c>
      <c r="Y1" s="4" t="s">
        <v>24</v>
      </c>
      <c r="Z1" s="4" t="s">
        <v>25</v>
      </c>
      <c r="AA1" s="8" t="s">
        <v>26</v>
      </c>
      <c r="AB1" s="73" t="s">
        <v>227</v>
      </c>
      <c r="AE1" s="74" t="s">
        <v>0</v>
      </c>
      <c r="AF1" s="75"/>
      <c r="AG1" s="74" t="s">
        <v>4</v>
      </c>
      <c r="AH1" s="74" t="s">
        <v>5</v>
      </c>
      <c r="AI1" s="75"/>
      <c r="AJ1" s="74" t="s">
        <v>6</v>
      </c>
      <c r="AK1" s="75"/>
      <c r="AL1" s="11" t="s">
        <v>7</v>
      </c>
      <c r="AM1" s="75"/>
      <c r="AN1" s="11" t="s">
        <v>8</v>
      </c>
      <c r="AO1" s="75"/>
      <c r="AP1" s="11" t="s">
        <v>28</v>
      </c>
      <c r="AQ1" s="75"/>
      <c r="AR1" s="11" t="s">
        <v>10</v>
      </c>
      <c r="AS1" s="75"/>
      <c r="AT1" s="18" t="s">
        <v>229</v>
      </c>
      <c r="AU1" s="75"/>
      <c r="AV1" s="11" t="s">
        <v>30</v>
      </c>
      <c r="AX1" s="20" t="s">
        <v>230</v>
      </c>
      <c r="AY1" s="21" t="s">
        <v>231</v>
      </c>
      <c r="AZ1" s="21" t="s">
        <v>232</v>
      </c>
      <c r="BA1" s="22" t="s">
        <v>233</v>
      </c>
    </row>
    <row r="2" spans="1:53" x14ac:dyDescent="0.15">
      <c r="A2" s="1" t="s">
        <v>73</v>
      </c>
      <c r="B2" s="1" t="s">
        <v>336</v>
      </c>
      <c r="C2" s="108">
        <v>2020</v>
      </c>
      <c r="D2" s="38" t="s">
        <v>337</v>
      </c>
      <c r="E2" s="1" t="s">
        <v>194</v>
      </c>
      <c r="F2" s="1" t="s">
        <v>338</v>
      </c>
      <c r="G2" s="1" t="s">
        <v>37</v>
      </c>
      <c r="H2" s="1" t="s">
        <v>82</v>
      </c>
      <c r="I2" s="1" t="s">
        <v>64</v>
      </c>
      <c r="J2" s="1" t="s">
        <v>40</v>
      </c>
      <c r="K2" s="1" t="s">
        <v>41</v>
      </c>
      <c r="L2" s="1">
        <v>1</v>
      </c>
      <c r="N2" s="1">
        <v>4</v>
      </c>
      <c r="O2" s="1">
        <v>0.44</v>
      </c>
      <c r="P2" s="1">
        <v>0.5</v>
      </c>
      <c r="Q2" s="7">
        <f>IF(OR(O2="",P2=""),"",AVERAGE(O2,P2))</f>
        <v>0.47</v>
      </c>
      <c r="R2" s="1">
        <v>17</v>
      </c>
      <c r="S2" s="1">
        <v>113</v>
      </c>
      <c r="T2" s="2">
        <f t="shared" ref="T2:T57" si="0">IF(H2="","",IF(OR(H2="GREEN",H2="GK"),IF(S2&gt;=$AX$2,VLOOKUP(S2,$AX$2:$AY$12,2,1),""),IF(S2&gt;=$AZ$2,VLOOKUP(S2,$AZ$2:$BA$12,2,1),"")))</f>
        <v>30</v>
      </c>
      <c r="U2" s="1">
        <v>480</v>
      </c>
      <c r="V2" s="2">
        <f t="shared" ref="V2:V65" si="1">IF(J2="","",IF(OR(J2="GREEN",J2="GK"),IF(U2&gt;=$AX$2,VLOOKUP(U2,$AX$2:$AY$12,2,1),""),IF(U2&gt;=$AZ$2,VLOOKUP(U2,$AZ$2:$BA$12,2,1),"")))</f>
        <v>16</v>
      </c>
      <c r="W2" s="1">
        <v>1</v>
      </c>
      <c r="X2" s="1" t="s">
        <v>51</v>
      </c>
      <c r="Y2" s="1" t="s">
        <v>128</v>
      </c>
      <c r="Z2" s="1" t="s">
        <v>52</v>
      </c>
      <c r="AA2" s="1" t="s">
        <v>339</v>
      </c>
      <c r="AB2" s="1" t="s">
        <v>340</v>
      </c>
      <c r="AE2" s="77" t="s">
        <v>35</v>
      </c>
      <c r="AG2" s="109" t="s">
        <v>193</v>
      </c>
      <c r="AH2" s="110" t="s">
        <v>341</v>
      </c>
      <c r="AJ2" s="19" t="s">
        <v>37</v>
      </c>
      <c r="AL2" s="79" t="s">
        <v>238</v>
      </c>
      <c r="AN2" s="19" t="s">
        <v>342</v>
      </c>
      <c r="AP2" s="19" t="s">
        <v>40</v>
      </c>
      <c r="AR2" s="19" t="s">
        <v>239</v>
      </c>
      <c r="AT2" s="19" t="s">
        <v>42</v>
      </c>
      <c r="AV2" s="12" t="s">
        <v>67</v>
      </c>
      <c r="AX2" s="40">
        <v>1</v>
      </c>
      <c r="AY2" s="41">
        <v>50</v>
      </c>
      <c r="AZ2" s="41">
        <v>1</v>
      </c>
      <c r="BA2" s="42">
        <v>50</v>
      </c>
    </row>
    <row r="3" spans="1:53" x14ac:dyDescent="0.15">
      <c r="A3" s="1" t="s">
        <v>73</v>
      </c>
      <c r="B3" s="1" t="s">
        <v>336</v>
      </c>
      <c r="C3" s="108">
        <v>2020</v>
      </c>
      <c r="D3" s="38" t="s">
        <v>337</v>
      </c>
      <c r="E3" s="1" t="s">
        <v>194</v>
      </c>
      <c r="F3" s="1" t="s">
        <v>338</v>
      </c>
      <c r="G3" s="1" t="s">
        <v>37</v>
      </c>
      <c r="H3" s="1" t="s">
        <v>82</v>
      </c>
      <c r="I3" s="1" t="s">
        <v>64</v>
      </c>
      <c r="J3" s="1" t="s">
        <v>40</v>
      </c>
      <c r="K3" s="1" t="s">
        <v>41</v>
      </c>
      <c r="L3" s="1">
        <v>2</v>
      </c>
      <c r="N3" s="1">
        <v>4</v>
      </c>
      <c r="O3" s="1">
        <v>0.41</v>
      </c>
      <c r="P3" s="1">
        <v>0.38</v>
      </c>
      <c r="Q3" s="7">
        <f t="shared" ref="Q3:Q66" si="2">IF(OR(O3="",P3=""),"",AVERAGE(O3,P3))</f>
        <v>0.39500000000000002</v>
      </c>
      <c r="R3" s="1">
        <v>15.9</v>
      </c>
      <c r="S3" s="1">
        <v>110</v>
      </c>
      <c r="T3" s="2">
        <f t="shared" si="0"/>
        <v>33</v>
      </c>
      <c r="U3" s="1">
        <v>480</v>
      </c>
      <c r="V3" s="2">
        <f t="shared" si="1"/>
        <v>16</v>
      </c>
      <c r="W3" s="1">
        <v>1</v>
      </c>
      <c r="X3" s="1" t="s">
        <v>51</v>
      </c>
      <c r="Y3" s="1" t="s">
        <v>128</v>
      </c>
      <c r="Z3" s="1" t="s">
        <v>52</v>
      </c>
      <c r="AA3" s="1" t="s">
        <v>339</v>
      </c>
      <c r="AB3" s="1" t="s">
        <v>340</v>
      </c>
      <c r="AE3" s="9" t="s">
        <v>44</v>
      </c>
      <c r="AG3" s="109" t="s">
        <v>194</v>
      </c>
      <c r="AH3" s="110" t="s">
        <v>338</v>
      </c>
      <c r="AJ3" s="12" t="s">
        <v>46</v>
      </c>
      <c r="AL3" s="12" t="s">
        <v>241</v>
      </c>
      <c r="AN3" s="12" t="s">
        <v>48</v>
      </c>
      <c r="AP3" s="12" t="s">
        <v>49</v>
      </c>
      <c r="AR3" s="12" t="s">
        <v>50</v>
      </c>
      <c r="AT3" s="12" t="s">
        <v>51</v>
      </c>
      <c r="AV3" s="12" t="s">
        <v>343</v>
      </c>
      <c r="AX3" s="23">
        <v>72</v>
      </c>
      <c r="AY3" s="24">
        <v>46</v>
      </c>
      <c r="AZ3" s="24">
        <v>71</v>
      </c>
      <c r="BA3" s="25">
        <v>42</v>
      </c>
    </row>
    <row r="4" spans="1:53" x14ac:dyDescent="0.15">
      <c r="A4" s="1" t="s">
        <v>73</v>
      </c>
      <c r="B4" s="1" t="s">
        <v>336</v>
      </c>
      <c r="C4" s="108">
        <v>2020</v>
      </c>
      <c r="D4" s="38" t="s">
        <v>337</v>
      </c>
      <c r="E4" s="1" t="s">
        <v>194</v>
      </c>
      <c r="F4" s="1" t="s">
        <v>338</v>
      </c>
      <c r="G4" s="1" t="s">
        <v>37</v>
      </c>
      <c r="H4" s="1" t="s">
        <v>82</v>
      </c>
      <c r="I4" s="1" t="s">
        <v>64</v>
      </c>
      <c r="J4" s="1" t="s">
        <v>40</v>
      </c>
      <c r="K4" s="1" t="s">
        <v>41</v>
      </c>
      <c r="L4" s="1">
        <v>3</v>
      </c>
      <c r="N4" s="1">
        <v>4</v>
      </c>
      <c r="O4" s="1">
        <v>0.43</v>
      </c>
      <c r="P4" s="1">
        <v>0.49</v>
      </c>
      <c r="Q4" s="7">
        <f t="shared" si="2"/>
        <v>0.45999999999999996</v>
      </c>
      <c r="R4" s="1">
        <v>15.8</v>
      </c>
      <c r="S4" s="1">
        <v>109</v>
      </c>
      <c r="T4" s="2">
        <f t="shared" si="0"/>
        <v>33</v>
      </c>
      <c r="U4" s="1">
        <v>480</v>
      </c>
      <c r="V4" s="2">
        <f t="shared" si="1"/>
        <v>16</v>
      </c>
      <c r="W4" s="1">
        <v>1</v>
      </c>
      <c r="X4" s="1" t="s">
        <v>51</v>
      </c>
      <c r="Y4" s="1" t="s">
        <v>128</v>
      </c>
      <c r="Z4" s="1" t="s">
        <v>52</v>
      </c>
      <c r="AA4" s="1" t="s">
        <v>339</v>
      </c>
      <c r="AB4" s="1" t="s">
        <v>340</v>
      </c>
      <c r="AE4" s="9" t="s">
        <v>53</v>
      </c>
      <c r="AG4" s="109" t="s">
        <v>195</v>
      </c>
      <c r="AH4" s="110" t="s">
        <v>344</v>
      </c>
      <c r="AJ4" s="13" t="s">
        <v>55</v>
      </c>
      <c r="AL4" s="12" t="s">
        <v>244</v>
      </c>
      <c r="AN4" s="14" t="s">
        <v>245</v>
      </c>
      <c r="AP4" s="12" t="s">
        <v>246</v>
      </c>
      <c r="AR4" s="12" t="s">
        <v>345</v>
      </c>
      <c r="AT4" s="14"/>
      <c r="AV4" s="12" t="s">
        <v>346</v>
      </c>
      <c r="AX4" s="23">
        <v>75</v>
      </c>
      <c r="AY4" s="24">
        <v>42</v>
      </c>
      <c r="AZ4" s="24">
        <v>76</v>
      </c>
      <c r="BA4" s="25">
        <v>39</v>
      </c>
    </row>
    <row r="5" spans="1:53" x14ac:dyDescent="0.15">
      <c r="A5" s="1" t="s">
        <v>73</v>
      </c>
      <c r="B5" s="1" t="s">
        <v>336</v>
      </c>
      <c r="C5" s="108">
        <v>2020</v>
      </c>
      <c r="D5" s="38" t="s">
        <v>337</v>
      </c>
      <c r="E5" s="1" t="s">
        <v>194</v>
      </c>
      <c r="F5" s="1" t="s">
        <v>338</v>
      </c>
      <c r="G5" s="1" t="s">
        <v>37</v>
      </c>
      <c r="H5" s="1" t="s">
        <v>63</v>
      </c>
      <c r="I5" s="1" t="s">
        <v>64</v>
      </c>
      <c r="J5" s="1" t="s">
        <v>40</v>
      </c>
      <c r="K5" s="1" t="s">
        <v>41</v>
      </c>
      <c r="L5" s="1">
        <v>1</v>
      </c>
      <c r="N5" s="1">
        <v>4</v>
      </c>
      <c r="O5" s="1">
        <v>0.67</v>
      </c>
      <c r="P5" s="1">
        <v>0.62</v>
      </c>
      <c r="Q5" s="7">
        <f t="shared" si="2"/>
        <v>0.64500000000000002</v>
      </c>
      <c r="R5" s="1">
        <v>13.7</v>
      </c>
      <c r="S5" s="1">
        <v>95</v>
      </c>
      <c r="T5" s="2">
        <f t="shared" si="0"/>
        <v>36</v>
      </c>
      <c r="U5" s="1">
        <v>350</v>
      </c>
      <c r="V5" s="2">
        <f t="shared" si="1"/>
        <v>16</v>
      </c>
      <c r="W5" s="1">
        <v>1</v>
      </c>
      <c r="X5" s="1" t="s">
        <v>42</v>
      </c>
      <c r="Y5" s="1" t="s">
        <v>128</v>
      </c>
      <c r="Z5" s="1" t="s">
        <v>52</v>
      </c>
      <c r="AA5" s="1" t="s">
        <v>339</v>
      </c>
      <c r="AB5" s="1" t="s">
        <v>340</v>
      </c>
      <c r="AE5" s="9" t="s">
        <v>61</v>
      </c>
      <c r="AG5" s="109" t="s">
        <v>347</v>
      </c>
      <c r="AH5" s="110" t="s">
        <v>348</v>
      </c>
      <c r="AJ5" s="14"/>
      <c r="AL5" s="12" t="s">
        <v>249</v>
      </c>
      <c r="AN5" s="43" t="s">
        <v>250</v>
      </c>
      <c r="AP5" s="12" t="s">
        <v>349</v>
      </c>
      <c r="AR5" s="12" t="s">
        <v>66</v>
      </c>
      <c r="AV5" s="12" t="s">
        <v>350</v>
      </c>
      <c r="AX5" s="23">
        <v>84</v>
      </c>
      <c r="AY5" s="24">
        <v>39</v>
      </c>
      <c r="AZ5" s="24">
        <v>84</v>
      </c>
      <c r="BA5" s="25">
        <v>36</v>
      </c>
    </row>
    <row r="6" spans="1:53" x14ac:dyDescent="0.15">
      <c r="A6" s="1" t="s">
        <v>73</v>
      </c>
      <c r="B6" s="1" t="s">
        <v>336</v>
      </c>
      <c r="C6" s="108">
        <v>2020</v>
      </c>
      <c r="D6" s="38" t="s">
        <v>337</v>
      </c>
      <c r="E6" s="1" t="s">
        <v>194</v>
      </c>
      <c r="F6" s="1" t="s">
        <v>338</v>
      </c>
      <c r="G6" s="1" t="s">
        <v>37</v>
      </c>
      <c r="H6" s="1" t="s">
        <v>63</v>
      </c>
      <c r="I6" s="1" t="s">
        <v>64</v>
      </c>
      <c r="J6" s="1" t="s">
        <v>40</v>
      </c>
      <c r="K6" s="1" t="s">
        <v>41</v>
      </c>
      <c r="L6" s="1">
        <v>2</v>
      </c>
      <c r="N6" s="1">
        <v>4</v>
      </c>
      <c r="O6" s="1">
        <v>0.54</v>
      </c>
      <c r="P6" s="1">
        <v>0.54</v>
      </c>
      <c r="Q6" s="7">
        <f t="shared" si="2"/>
        <v>0.54</v>
      </c>
      <c r="R6" s="1">
        <v>14.3</v>
      </c>
      <c r="S6" s="1">
        <v>99</v>
      </c>
      <c r="T6" s="2">
        <f t="shared" si="0"/>
        <v>33</v>
      </c>
      <c r="U6" s="1">
        <v>350</v>
      </c>
      <c r="V6" s="2">
        <f t="shared" si="1"/>
        <v>16</v>
      </c>
      <c r="W6" s="1">
        <v>1</v>
      </c>
      <c r="X6" s="1" t="s">
        <v>42</v>
      </c>
      <c r="Y6" s="1" t="s">
        <v>128</v>
      </c>
      <c r="Z6" s="1" t="s">
        <v>52</v>
      </c>
      <c r="AA6" s="1" t="s">
        <v>339</v>
      </c>
      <c r="AB6" s="1" t="s">
        <v>340</v>
      </c>
      <c r="AE6" s="9" t="s">
        <v>68</v>
      </c>
      <c r="AG6" s="109" t="s">
        <v>196</v>
      </c>
      <c r="AH6" s="110" t="s">
        <v>351</v>
      </c>
      <c r="AL6" s="12" t="s">
        <v>253</v>
      </c>
      <c r="AN6" s="43" t="s">
        <v>254</v>
      </c>
      <c r="AP6" s="12" t="s">
        <v>72</v>
      </c>
      <c r="AR6" s="12" t="s">
        <v>352</v>
      </c>
      <c r="AV6" s="12" t="s">
        <v>74</v>
      </c>
      <c r="AX6" s="23">
        <v>97</v>
      </c>
      <c r="AY6" s="24">
        <v>36</v>
      </c>
      <c r="AZ6" s="24">
        <v>99</v>
      </c>
      <c r="BA6" s="25">
        <v>33</v>
      </c>
    </row>
    <row r="7" spans="1:53" x14ac:dyDescent="0.15">
      <c r="A7" s="1" t="s">
        <v>73</v>
      </c>
      <c r="B7" s="1" t="s">
        <v>336</v>
      </c>
      <c r="C7" s="108">
        <v>2020</v>
      </c>
      <c r="D7" s="38" t="s">
        <v>337</v>
      </c>
      <c r="E7" s="1" t="s">
        <v>194</v>
      </c>
      <c r="F7" s="1" t="s">
        <v>338</v>
      </c>
      <c r="G7" s="1" t="s">
        <v>37</v>
      </c>
      <c r="H7" s="1" t="s">
        <v>63</v>
      </c>
      <c r="I7" s="1" t="s">
        <v>64</v>
      </c>
      <c r="J7" s="1" t="s">
        <v>40</v>
      </c>
      <c r="K7" s="1" t="s">
        <v>41</v>
      </c>
      <c r="L7" s="1">
        <v>3</v>
      </c>
      <c r="N7" s="1">
        <v>4</v>
      </c>
      <c r="O7" s="1">
        <v>0.57999999999999996</v>
      </c>
      <c r="P7" s="1">
        <v>0.64</v>
      </c>
      <c r="Q7" s="7">
        <f t="shared" si="2"/>
        <v>0.61</v>
      </c>
      <c r="R7" s="1">
        <v>13.5</v>
      </c>
      <c r="S7" s="1">
        <v>95</v>
      </c>
      <c r="T7" s="2">
        <f t="shared" si="0"/>
        <v>36</v>
      </c>
      <c r="U7" s="1">
        <v>350</v>
      </c>
      <c r="V7" s="2">
        <f t="shared" si="1"/>
        <v>16</v>
      </c>
      <c r="W7" s="1">
        <v>1</v>
      </c>
      <c r="X7" s="1" t="s">
        <v>42</v>
      </c>
      <c r="Y7" s="1" t="s">
        <v>128</v>
      </c>
      <c r="Z7" s="1" t="s">
        <v>52</v>
      </c>
      <c r="AA7" s="1" t="s">
        <v>339</v>
      </c>
      <c r="AB7" s="1" t="s">
        <v>340</v>
      </c>
      <c r="AE7" s="9" t="s">
        <v>75</v>
      </c>
      <c r="AG7" s="109" t="s">
        <v>197</v>
      </c>
      <c r="AH7" s="110" t="s">
        <v>353</v>
      </c>
      <c r="AL7" s="15" t="s">
        <v>256</v>
      </c>
      <c r="AP7" s="12" t="s">
        <v>78</v>
      </c>
      <c r="AR7" s="12" t="s">
        <v>354</v>
      </c>
      <c r="AV7" s="12" t="s">
        <v>80</v>
      </c>
      <c r="AX7" s="23">
        <v>109</v>
      </c>
      <c r="AY7" s="24">
        <v>33</v>
      </c>
      <c r="AZ7" s="24">
        <v>113</v>
      </c>
      <c r="BA7" s="25">
        <v>30</v>
      </c>
    </row>
    <row r="8" spans="1:53" x14ac:dyDescent="0.15">
      <c r="A8" s="1" t="s">
        <v>73</v>
      </c>
      <c r="B8" s="1" t="s">
        <v>336</v>
      </c>
      <c r="C8" s="108">
        <v>2020</v>
      </c>
      <c r="D8" s="38" t="s">
        <v>337</v>
      </c>
      <c r="E8" s="1" t="s">
        <v>193</v>
      </c>
      <c r="F8" s="1" t="s">
        <v>341</v>
      </c>
      <c r="G8" s="1" t="s">
        <v>37</v>
      </c>
      <c r="H8" s="1" t="s">
        <v>82</v>
      </c>
      <c r="I8" s="1" t="s">
        <v>64</v>
      </c>
      <c r="J8" s="1" t="s">
        <v>40</v>
      </c>
      <c r="K8" s="1" t="s">
        <v>41</v>
      </c>
      <c r="L8" s="1">
        <v>1</v>
      </c>
      <c r="N8" s="1">
        <v>4</v>
      </c>
      <c r="O8" s="1">
        <v>0.35</v>
      </c>
      <c r="P8" s="1">
        <v>0.42</v>
      </c>
      <c r="Q8" s="7">
        <f t="shared" si="2"/>
        <v>0.38500000000000001</v>
      </c>
      <c r="R8" s="1">
        <v>16</v>
      </c>
      <c r="S8" s="1">
        <v>110</v>
      </c>
      <c r="T8" s="2">
        <f t="shared" si="0"/>
        <v>33</v>
      </c>
      <c r="U8" s="1">
        <v>397</v>
      </c>
      <c r="V8" s="2">
        <f t="shared" si="1"/>
        <v>16</v>
      </c>
      <c r="W8" s="1">
        <v>2</v>
      </c>
      <c r="X8" s="1" t="s">
        <v>51</v>
      </c>
      <c r="Y8" s="1" t="s">
        <v>101</v>
      </c>
      <c r="Z8" s="1" t="s">
        <v>128</v>
      </c>
      <c r="AA8" s="1" t="s">
        <v>43</v>
      </c>
      <c r="AB8" s="1" t="s">
        <v>340</v>
      </c>
      <c r="AE8" s="9" t="s">
        <v>73</v>
      </c>
      <c r="AG8" s="111" t="s">
        <v>54</v>
      </c>
      <c r="AH8" s="110" t="s">
        <v>355</v>
      </c>
      <c r="AL8" s="15" t="s">
        <v>258</v>
      </c>
      <c r="AP8" s="12" t="s">
        <v>83</v>
      </c>
      <c r="AR8" s="12" t="s">
        <v>84</v>
      </c>
      <c r="AV8" s="12" t="s">
        <v>85</v>
      </c>
      <c r="AX8" s="23">
        <v>119</v>
      </c>
      <c r="AY8" s="24">
        <v>30</v>
      </c>
      <c r="AZ8" s="24">
        <v>121</v>
      </c>
      <c r="BA8" s="25">
        <v>27</v>
      </c>
    </row>
    <row r="9" spans="1:53" x14ac:dyDescent="0.15">
      <c r="A9" s="1" t="s">
        <v>73</v>
      </c>
      <c r="B9" s="1" t="s">
        <v>336</v>
      </c>
      <c r="C9" s="108">
        <v>2020</v>
      </c>
      <c r="D9" s="38" t="s">
        <v>337</v>
      </c>
      <c r="E9" s="1" t="s">
        <v>193</v>
      </c>
      <c r="F9" s="1" t="s">
        <v>341</v>
      </c>
      <c r="G9" s="1" t="s">
        <v>37</v>
      </c>
      <c r="H9" s="1" t="s">
        <v>82</v>
      </c>
      <c r="I9" s="1" t="s">
        <v>64</v>
      </c>
      <c r="J9" s="1" t="s">
        <v>40</v>
      </c>
      <c r="K9" s="1" t="s">
        <v>41</v>
      </c>
      <c r="L9" s="1">
        <v>2</v>
      </c>
      <c r="N9" s="1">
        <v>4</v>
      </c>
      <c r="O9" s="1">
        <v>0.4</v>
      </c>
      <c r="P9" s="1">
        <v>0.46</v>
      </c>
      <c r="Q9" s="7">
        <f t="shared" si="2"/>
        <v>0.43000000000000005</v>
      </c>
      <c r="R9" s="1">
        <v>17.100000000000001</v>
      </c>
      <c r="S9" s="1">
        <v>96</v>
      </c>
      <c r="T9" s="2">
        <f t="shared" si="0"/>
        <v>36</v>
      </c>
      <c r="U9" s="1">
        <v>397</v>
      </c>
      <c r="V9" s="2">
        <f t="shared" si="1"/>
        <v>16</v>
      </c>
      <c r="W9" s="1">
        <v>2</v>
      </c>
      <c r="X9" s="1" t="s">
        <v>51</v>
      </c>
      <c r="Y9" s="1" t="s">
        <v>101</v>
      </c>
      <c r="Z9" s="1" t="s">
        <v>128</v>
      </c>
      <c r="AA9" s="1" t="s">
        <v>43</v>
      </c>
      <c r="AB9" s="1" t="s">
        <v>340</v>
      </c>
      <c r="AE9" s="9" t="s">
        <v>259</v>
      </c>
      <c r="AG9" s="111" t="s">
        <v>198</v>
      </c>
      <c r="AH9" s="110" t="s">
        <v>355</v>
      </c>
      <c r="AL9" s="12" t="s">
        <v>261</v>
      </c>
      <c r="AP9" s="12" t="s">
        <v>356</v>
      </c>
      <c r="AR9" s="12" t="s">
        <v>262</v>
      </c>
      <c r="AV9" s="12" t="s">
        <v>91</v>
      </c>
      <c r="AX9" s="23">
        <v>128</v>
      </c>
      <c r="AY9" s="24">
        <v>27</v>
      </c>
      <c r="AZ9" s="24">
        <v>129</v>
      </c>
      <c r="BA9" s="25">
        <v>25</v>
      </c>
    </row>
    <row r="10" spans="1:53" x14ac:dyDescent="0.15">
      <c r="A10" s="1" t="s">
        <v>73</v>
      </c>
      <c r="B10" s="1" t="s">
        <v>336</v>
      </c>
      <c r="C10" s="108">
        <v>2020</v>
      </c>
      <c r="D10" s="38" t="s">
        <v>337</v>
      </c>
      <c r="E10" s="1" t="s">
        <v>193</v>
      </c>
      <c r="F10" s="1" t="s">
        <v>341</v>
      </c>
      <c r="G10" s="1" t="s">
        <v>37</v>
      </c>
      <c r="H10" s="1" t="s">
        <v>82</v>
      </c>
      <c r="I10" s="1" t="s">
        <v>64</v>
      </c>
      <c r="J10" s="1" t="s">
        <v>40</v>
      </c>
      <c r="K10" s="1" t="s">
        <v>41</v>
      </c>
      <c r="L10" s="1">
        <v>3</v>
      </c>
      <c r="N10" s="1">
        <v>4</v>
      </c>
      <c r="O10" s="1">
        <v>0.38</v>
      </c>
      <c r="P10" s="1">
        <v>0.43</v>
      </c>
      <c r="Q10" s="7">
        <f t="shared" si="2"/>
        <v>0.40500000000000003</v>
      </c>
      <c r="R10" s="1">
        <v>17.399999999999999</v>
      </c>
      <c r="S10" s="1">
        <v>105</v>
      </c>
      <c r="T10" s="2">
        <f t="shared" si="0"/>
        <v>33</v>
      </c>
      <c r="U10" s="1">
        <v>397</v>
      </c>
      <c r="V10" s="2">
        <f t="shared" si="1"/>
        <v>16</v>
      </c>
      <c r="W10" s="1">
        <v>2</v>
      </c>
      <c r="X10" s="1" t="s">
        <v>51</v>
      </c>
      <c r="Y10" s="1" t="s">
        <v>101</v>
      </c>
      <c r="Z10" s="1" t="s">
        <v>128</v>
      </c>
      <c r="AA10" s="1" t="s">
        <v>43</v>
      </c>
      <c r="AB10" s="1" t="s">
        <v>340</v>
      </c>
      <c r="AE10" s="9" t="s">
        <v>263</v>
      </c>
      <c r="AG10" s="109" t="s">
        <v>199</v>
      </c>
      <c r="AH10" s="110" t="s">
        <v>348</v>
      </c>
      <c r="AL10" s="39"/>
      <c r="AP10" s="12" t="s">
        <v>94</v>
      </c>
      <c r="AR10" s="12" t="s">
        <v>266</v>
      </c>
      <c r="AV10" s="12" t="s">
        <v>96</v>
      </c>
      <c r="AX10" s="23">
        <v>138</v>
      </c>
      <c r="AY10" s="24">
        <v>25</v>
      </c>
      <c r="AZ10" s="24">
        <v>138</v>
      </c>
      <c r="BA10" s="25">
        <v>22</v>
      </c>
    </row>
    <row r="11" spans="1:53" x14ac:dyDescent="0.15">
      <c r="A11" s="1" t="s">
        <v>73</v>
      </c>
      <c r="B11" s="1" t="s">
        <v>336</v>
      </c>
      <c r="C11" s="108">
        <v>2020</v>
      </c>
      <c r="D11" s="38" t="s">
        <v>337</v>
      </c>
      <c r="E11" s="1" t="s">
        <v>193</v>
      </c>
      <c r="F11" s="1" t="s">
        <v>341</v>
      </c>
      <c r="G11" s="1" t="s">
        <v>37</v>
      </c>
      <c r="H11" s="1" t="s">
        <v>82</v>
      </c>
      <c r="I11" s="1" t="s">
        <v>64</v>
      </c>
      <c r="J11" s="1" t="s">
        <v>40</v>
      </c>
      <c r="K11" s="1" t="s">
        <v>41</v>
      </c>
      <c r="L11" s="1">
        <v>1</v>
      </c>
      <c r="N11" s="1">
        <v>1</v>
      </c>
      <c r="O11" s="1">
        <v>0.47</v>
      </c>
      <c r="P11" s="1">
        <v>0.55000000000000004</v>
      </c>
      <c r="Q11" s="7">
        <f t="shared" si="2"/>
        <v>0.51</v>
      </c>
      <c r="R11" s="1">
        <v>15.5</v>
      </c>
      <c r="S11" s="1">
        <v>132</v>
      </c>
      <c r="T11" s="2">
        <f t="shared" si="0"/>
        <v>25</v>
      </c>
      <c r="U11" s="1">
        <v>127</v>
      </c>
      <c r="V11" s="2">
        <f t="shared" si="1"/>
        <v>27</v>
      </c>
      <c r="W11" s="1">
        <v>4</v>
      </c>
      <c r="X11" s="1" t="s">
        <v>51</v>
      </c>
      <c r="Y11" s="1" t="s">
        <v>101</v>
      </c>
      <c r="Z11" s="1" t="s">
        <v>128</v>
      </c>
      <c r="AA11" s="1" t="s">
        <v>43</v>
      </c>
      <c r="AB11" s="1" t="s">
        <v>340</v>
      </c>
      <c r="AE11" s="9" t="s">
        <v>267</v>
      </c>
      <c r="AG11" s="111" t="s">
        <v>200</v>
      </c>
      <c r="AH11" s="110" t="s">
        <v>357</v>
      </c>
      <c r="AL11" s="39"/>
      <c r="AP11" s="12" t="s">
        <v>358</v>
      </c>
      <c r="AR11" s="12" t="s">
        <v>359</v>
      </c>
      <c r="AV11" s="12" t="s">
        <v>360</v>
      </c>
      <c r="AX11" s="23">
        <v>151</v>
      </c>
      <c r="AY11" s="24">
        <v>22</v>
      </c>
      <c r="AZ11" s="24">
        <v>152</v>
      </c>
      <c r="BA11" s="25">
        <v>18</v>
      </c>
    </row>
    <row r="12" spans="1:53" x14ac:dyDescent="0.15">
      <c r="A12" s="1" t="s">
        <v>73</v>
      </c>
      <c r="B12" s="1" t="s">
        <v>336</v>
      </c>
      <c r="C12" s="108">
        <v>2020</v>
      </c>
      <c r="D12" s="38" t="s">
        <v>337</v>
      </c>
      <c r="E12" s="1" t="s">
        <v>193</v>
      </c>
      <c r="F12" s="1" t="s">
        <v>341</v>
      </c>
      <c r="G12" s="1" t="s">
        <v>37</v>
      </c>
      <c r="H12" s="1" t="s">
        <v>82</v>
      </c>
      <c r="I12" s="1" t="s">
        <v>64</v>
      </c>
      <c r="J12" s="1" t="s">
        <v>40</v>
      </c>
      <c r="K12" s="1" t="s">
        <v>41</v>
      </c>
      <c r="L12" s="1">
        <v>2</v>
      </c>
      <c r="N12" s="1">
        <v>1</v>
      </c>
      <c r="O12" s="1">
        <v>0.45</v>
      </c>
      <c r="P12" s="1">
        <v>0.48</v>
      </c>
      <c r="Q12" s="7">
        <f t="shared" si="2"/>
        <v>0.46499999999999997</v>
      </c>
      <c r="R12" s="1">
        <v>16.5</v>
      </c>
      <c r="S12" s="1">
        <v>133</v>
      </c>
      <c r="T12" s="2">
        <f t="shared" si="0"/>
        <v>25</v>
      </c>
      <c r="U12" s="1">
        <v>127</v>
      </c>
      <c r="V12" s="2">
        <f t="shared" si="1"/>
        <v>27</v>
      </c>
      <c r="W12" s="1">
        <v>4</v>
      </c>
      <c r="X12" s="1" t="s">
        <v>51</v>
      </c>
      <c r="Y12" s="1" t="s">
        <v>101</v>
      </c>
      <c r="Z12" s="1" t="s">
        <v>128</v>
      </c>
      <c r="AA12" s="1" t="s">
        <v>43</v>
      </c>
      <c r="AB12" s="1" t="s">
        <v>340</v>
      </c>
      <c r="AE12" s="9" t="s">
        <v>269</v>
      </c>
      <c r="AG12" s="12"/>
      <c r="AH12" s="112"/>
      <c r="AL12" s="39"/>
      <c r="AP12" s="12" t="s">
        <v>103</v>
      </c>
      <c r="AR12" s="12" t="s">
        <v>270</v>
      </c>
      <c r="AV12" s="12" t="s">
        <v>105</v>
      </c>
      <c r="AX12" s="26">
        <v>180</v>
      </c>
      <c r="AY12" s="27">
        <v>18</v>
      </c>
      <c r="AZ12" s="27">
        <v>181</v>
      </c>
      <c r="BA12" s="28">
        <v>16</v>
      </c>
    </row>
    <row r="13" spans="1:53" x14ac:dyDescent="0.15">
      <c r="A13" s="1" t="s">
        <v>73</v>
      </c>
      <c r="B13" s="1" t="s">
        <v>336</v>
      </c>
      <c r="C13" s="108">
        <v>2020</v>
      </c>
      <c r="D13" s="38" t="s">
        <v>337</v>
      </c>
      <c r="E13" s="1" t="s">
        <v>193</v>
      </c>
      <c r="F13" s="1" t="s">
        <v>341</v>
      </c>
      <c r="G13" s="1" t="s">
        <v>37</v>
      </c>
      <c r="H13" s="1" t="s">
        <v>82</v>
      </c>
      <c r="I13" s="1" t="s">
        <v>64</v>
      </c>
      <c r="J13" s="1" t="s">
        <v>40</v>
      </c>
      <c r="K13" s="1" t="s">
        <v>41</v>
      </c>
      <c r="L13" s="1">
        <v>3</v>
      </c>
      <c r="N13" s="1">
        <v>1</v>
      </c>
      <c r="O13" s="1">
        <v>0.46</v>
      </c>
      <c r="P13" s="1">
        <v>0.51</v>
      </c>
      <c r="Q13" s="7">
        <f t="shared" si="2"/>
        <v>0.48499999999999999</v>
      </c>
      <c r="R13" s="1">
        <v>16.3</v>
      </c>
      <c r="S13" s="1">
        <v>132</v>
      </c>
      <c r="T13" s="2">
        <f t="shared" si="0"/>
        <v>25</v>
      </c>
      <c r="U13" s="1">
        <v>127</v>
      </c>
      <c r="V13" s="2">
        <f t="shared" si="1"/>
        <v>27</v>
      </c>
      <c r="W13" s="1">
        <v>4</v>
      </c>
      <c r="X13" s="1" t="s">
        <v>51</v>
      </c>
      <c r="Y13" s="1" t="s">
        <v>101</v>
      </c>
      <c r="Z13" s="1" t="s">
        <v>128</v>
      </c>
      <c r="AA13" s="1" t="s">
        <v>43</v>
      </c>
      <c r="AB13" s="1" t="s">
        <v>340</v>
      </c>
      <c r="AE13" s="9" t="s">
        <v>271</v>
      </c>
      <c r="AG13" s="12"/>
      <c r="AH13" s="12"/>
      <c r="AP13" s="12" t="s">
        <v>107</v>
      </c>
      <c r="AR13" s="12" t="s">
        <v>263</v>
      </c>
      <c r="AV13" s="12" t="s">
        <v>108</v>
      </c>
    </row>
    <row r="14" spans="1:53" x14ac:dyDescent="0.15">
      <c r="A14" s="1" t="s">
        <v>73</v>
      </c>
      <c r="B14" s="1" t="s">
        <v>336</v>
      </c>
      <c r="C14" s="108">
        <v>2020</v>
      </c>
      <c r="D14" s="38" t="s">
        <v>337</v>
      </c>
      <c r="E14" s="1" t="s">
        <v>193</v>
      </c>
      <c r="F14" s="1" t="s">
        <v>341</v>
      </c>
      <c r="G14" s="1" t="s">
        <v>37</v>
      </c>
      <c r="H14" s="1" t="s">
        <v>63</v>
      </c>
      <c r="I14" s="1" t="s">
        <v>64</v>
      </c>
      <c r="J14" s="1" t="s">
        <v>40</v>
      </c>
      <c r="K14" s="1" t="s">
        <v>41</v>
      </c>
      <c r="L14" s="1">
        <v>1</v>
      </c>
      <c r="N14" s="1">
        <v>5</v>
      </c>
      <c r="O14" s="1">
        <v>0.49</v>
      </c>
      <c r="P14" s="1">
        <v>0.55000000000000004</v>
      </c>
      <c r="Q14" s="7">
        <f t="shared" si="2"/>
        <v>0.52</v>
      </c>
      <c r="R14" s="1">
        <v>14.6</v>
      </c>
      <c r="S14" s="1">
        <v>105</v>
      </c>
      <c r="T14" s="2">
        <f t="shared" si="0"/>
        <v>33</v>
      </c>
      <c r="U14" s="1">
        <v>297</v>
      </c>
      <c r="V14" s="2">
        <f t="shared" si="1"/>
        <v>16</v>
      </c>
      <c r="W14" s="1">
        <v>1</v>
      </c>
      <c r="X14" s="1" t="s">
        <v>42</v>
      </c>
      <c r="Y14" s="1" t="s">
        <v>101</v>
      </c>
      <c r="Z14" s="1" t="s">
        <v>128</v>
      </c>
      <c r="AA14" s="1" t="s">
        <v>43</v>
      </c>
      <c r="AB14" s="1" t="s">
        <v>340</v>
      </c>
      <c r="AE14" s="9" t="s">
        <v>272</v>
      </c>
      <c r="AG14" s="12"/>
      <c r="AH14" s="12"/>
      <c r="AP14" s="12" t="s">
        <v>361</v>
      </c>
      <c r="AR14" s="12" t="s">
        <v>273</v>
      </c>
      <c r="AV14" s="12" t="s">
        <v>112</v>
      </c>
    </row>
    <row r="15" spans="1:53" x14ac:dyDescent="0.15">
      <c r="A15" s="1" t="s">
        <v>73</v>
      </c>
      <c r="B15" s="1" t="s">
        <v>336</v>
      </c>
      <c r="C15" s="108">
        <v>2020</v>
      </c>
      <c r="D15" s="38" t="s">
        <v>337</v>
      </c>
      <c r="E15" s="1" t="s">
        <v>193</v>
      </c>
      <c r="F15" s="1" t="s">
        <v>341</v>
      </c>
      <c r="G15" s="1" t="s">
        <v>37</v>
      </c>
      <c r="H15" s="1" t="s">
        <v>63</v>
      </c>
      <c r="I15" s="1" t="s">
        <v>64</v>
      </c>
      <c r="J15" s="1" t="s">
        <v>40</v>
      </c>
      <c r="K15" s="1" t="s">
        <v>41</v>
      </c>
      <c r="L15" s="1">
        <v>2</v>
      </c>
      <c r="N15" s="1">
        <v>5</v>
      </c>
      <c r="O15" s="1">
        <v>0.68</v>
      </c>
      <c r="P15" s="1">
        <v>0.56000000000000005</v>
      </c>
      <c r="Q15" s="7">
        <f t="shared" si="2"/>
        <v>0.62000000000000011</v>
      </c>
      <c r="R15" s="1">
        <v>13.6</v>
      </c>
      <c r="S15" s="1">
        <v>97</v>
      </c>
      <c r="T15" s="2">
        <f t="shared" si="0"/>
        <v>36</v>
      </c>
      <c r="U15" s="1">
        <v>297</v>
      </c>
      <c r="V15" s="2">
        <f t="shared" si="1"/>
        <v>16</v>
      </c>
      <c r="W15" s="1">
        <v>1</v>
      </c>
      <c r="X15" s="1" t="s">
        <v>42</v>
      </c>
      <c r="Y15" s="1" t="s">
        <v>101</v>
      </c>
      <c r="Z15" s="1" t="s">
        <v>128</v>
      </c>
      <c r="AA15" s="1" t="s">
        <v>43</v>
      </c>
      <c r="AB15" s="1" t="s">
        <v>340</v>
      </c>
      <c r="AE15" s="9" t="s">
        <v>274</v>
      </c>
      <c r="AG15" s="12"/>
      <c r="AH15" s="12"/>
      <c r="AP15" s="12" t="s">
        <v>362</v>
      </c>
      <c r="AR15" s="12" t="s">
        <v>275</v>
      </c>
      <c r="AV15" s="12" t="s">
        <v>116</v>
      </c>
    </row>
    <row r="16" spans="1:53" x14ac:dyDescent="0.15">
      <c r="A16" s="1" t="s">
        <v>73</v>
      </c>
      <c r="B16" s="1" t="s">
        <v>336</v>
      </c>
      <c r="C16" s="108">
        <v>2020</v>
      </c>
      <c r="D16" s="38" t="s">
        <v>337</v>
      </c>
      <c r="E16" s="1" t="s">
        <v>193</v>
      </c>
      <c r="F16" s="1" t="s">
        <v>341</v>
      </c>
      <c r="G16" s="1" t="s">
        <v>37</v>
      </c>
      <c r="H16" s="1" t="s">
        <v>63</v>
      </c>
      <c r="I16" s="1" t="s">
        <v>64</v>
      </c>
      <c r="J16" s="1" t="s">
        <v>40</v>
      </c>
      <c r="K16" s="1" t="s">
        <v>41</v>
      </c>
      <c r="L16" s="1">
        <v>3</v>
      </c>
      <c r="N16" s="1">
        <v>5</v>
      </c>
      <c r="O16" s="1">
        <v>0.65</v>
      </c>
      <c r="P16" s="1">
        <v>0.57999999999999996</v>
      </c>
      <c r="Q16" s="7">
        <f t="shared" si="2"/>
        <v>0.61499999999999999</v>
      </c>
      <c r="R16" s="1">
        <v>13.3</v>
      </c>
      <c r="S16" s="1">
        <v>96</v>
      </c>
      <c r="T16" s="2">
        <f t="shared" si="0"/>
        <v>36</v>
      </c>
      <c r="U16" s="1">
        <v>297</v>
      </c>
      <c r="V16" s="2">
        <f t="shared" si="1"/>
        <v>16</v>
      </c>
      <c r="W16" s="1">
        <v>1</v>
      </c>
      <c r="X16" s="1" t="s">
        <v>42</v>
      </c>
      <c r="Y16" s="1" t="s">
        <v>101</v>
      </c>
      <c r="Z16" s="1" t="s">
        <v>128</v>
      </c>
      <c r="AA16" s="1" t="s">
        <v>43</v>
      </c>
      <c r="AB16" s="1" t="s">
        <v>340</v>
      </c>
      <c r="AE16" s="9" t="s">
        <v>276</v>
      </c>
      <c r="AG16" s="14"/>
      <c r="AH16" s="14"/>
      <c r="AP16" s="12" t="s">
        <v>115</v>
      </c>
      <c r="AR16" s="12" t="s">
        <v>118</v>
      </c>
      <c r="AV16" s="12" t="s">
        <v>119</v>
      </c>
    </row>
    <row r="17" spans="1:48" x14ac:dyDescent="0.15">
      <c r="A17" s="1" t="s">
        <v>73</v>
      </c>
      <c r="B17" s="1" t="s">
        <v>336</v>
      </c>
      <c r="C17" s="108">
        <v>2020</v>
      </c>
      <c r="D17" s="38" t="s">
        <v>337</v>
      </c>
      <c r="E17" s="1" t="s">
        <v>193</v>
      </c>
      <c r="F17" s="1" t="s">
        <v>341</v>
      </c>
      <c r="G17" s="1" t="s">
        <v>37</v>
      </c>
      <c r="H17" s="1" t="s">
        <v>63</v>
      </c>
      <c r="I17" s="1" t="s">
        <v>64</v>
      </c>
      <c r="J17" s="1" t="s">
        <v>40</v>
      </c>
      <c r="K17" s="1" t="s">
        <v>41</v>
      </c>
      <c r="L17" s="1">
        <v>1</v>
      </c>
      <c r="N17" s="1">
        <v>1</v>
      </c>
      <c r="O17" s="1">
        <v>0.66</v>
      </c>
      <c r="P17" s="1">
        <v>0.74</v>
      </c>
      <c r="Q17" s="7">
        <f t="shared" si="2"/>
        <v>0.7</v>
      </c>
      <c r="R17" s="1">
        <v>12.7</v>
      </c>
      <c r="S17" s="1">
        <v>126</v>
      </c>
      <c r="T17" s="2">
        <f t="shared" si="0"/>
        <v>27</v>
      </c>
      <c r="U17" s="1">
        <v>127</v>
      </c>
      <c r="V17" s="2">
        <f t="shared" si="1"/>
        <v>27</v>
      </c>
      <c r="W17" s="1">
        <v>2</v>
      </c>
      <c r="X17" s="1" t="s">
        <v>51</v>
      </c>
      <c r="Y17" s="1" t="s">
        <v>101</v>
      </c>
      <c r="Z17" s="1" t="s">
        <v>128</v>
      </c>
      <c r="AA17" s="1" t="s">
        <v>43</v>
      </c>
      <c r="AB17" s="1" t="s">
        <v>340</v>
      </c>
      <c r="AE17" s="9" t="s">
        <v>277</v>
      </c>
      <c r="AP17" s="13" t="s">
        <v>278</v>
      </c>
      <c r="AR17" s="12" t="s">
        <v>109</v>
      </c>
      <c r="AV17" s="12" t="s">
        <v>122</v>
      </c>
    </row>
    <row r="18" spans="1:48" x14ac:dyDescent="0.15">
      <c r="A18" s="1" t="s">
        <v>73</v>
      </c>
      <c r="B18" s="1" t="s">
        <v>336</v>
      </c>
      <c r="C18" s="108">
        <v>2020</v>
      </c>
      <c r="D18" s="38" t="s">
        <v>337</v>
      </c>
      <c r="E18" s="1" t="s">
        <v>193</v>
      </c>
      <c r="F18" s="1" t="s">
        <v>341</v>
      </c>
      <c r="G18" s="1" t="s">
        <v>37</v>
      </c>
      <c r="H18" s="1" t="s">
        <v>63</v>
      </c>
      <c r="I18" s="1" t="s">
        <v>64</v>
      </c>
      <c r="J18" s="1" t="s">
        <v>40</v>
      </c>
      <c r="K18" s="1" t="s">
        <v>41</v>
      </c>
      <c r="L18" s="1">
        <v>2</v>
      </c>
      <c r="N18" s="1">
        <v>1</v>
      </c>
      <c r="O18" s="1">
        <v>0.59</v>
      </c>
      <c r="P18" s="1">
        <v>0.56000000000000005</v>
      </c>
      <c r="Q18" s="7">
        <f t="shared" si="2"/>
        <v>0.57499999999999996</v>
      </c>
      <c r="R18" s="1">
        <v>12.7</v>
      </c>
      <c r="S18" s="1">
        <v>130</v>
      </c>
      <c r="T18" s="2">
        <f t="shared" si="0"/>
        <v>25</v>
      </c>
      <c r="U18" s="1">
        <v>127</v>
      </c>
      <c r="V18" s="2">
        <f t="shared" si="1"/>
        <v>27</v>
      </c>
      <c r="W18" s="1">
        <v>2</v>
      </c>
      <c r="X18" s="1" t="s">
        <v>51</v>
      </c>
      <c r="Y18" s="1" t="s">
        <v>101</v>
      </c>
      <c r="Z18" s="1" t="s">
        <v>128</v>
      </c>
      <c r="AA18" s="1" t="s">
        <v>43</v>
      </c>
      <c r="AB18" s="1" t="s">
        <v>340</v>
      </c>
      <c r="AE18" s="9" t="s">
        <v>268</v>
      </c>
      <c r="AP18" s="13" t="s">
        <v>363</v>
      </c>
      <c r="AR18" s="12" t="s">
        <v>124</v>
      </c>
      <c r="AV18" s="12" t="s">
        <v>125</v>
      </c>
    </row>
    <row r="19" spans="1:48" x14ac:dyDescent="0.15">
      <c r="A19" s="1" t="s">
        <v>73</v>
      </c>
      <c r="B19" s="1" t="s">
        <v>336</v>
      </c>
      <c r="C19" s="108">
        <v>2020</v>
      </c>
      <c r="D19" s="38" t="s">
        <v>337</v>
      </c>
      <c r="E19" s="1" t="s">
        <v>193</v>
      </c>
      <c r="F19" s="1" t="s">
        <v>341</v>
      </c>
      <c r="G19" s="1" t="s">
        <v>37</v>
      </c>
      <c r="H19" s="1" t="s">
        <v>63</v>
      </c>
      <c r="I19" s="1" t="s">
        <v>64</v>
      </c>
      <c r="J19" s="1" t="s">
        <v>40</v>
      </c>
      <c r="K19" s="1" t="s">
        <v>41</v>
      </c>
      <c r="L19" s="1">
        <v>3</v>
      </c>
      <c r="N19" s="1">
        <v>1</v>
      </c>
      <c r="O19" s="1">
        <v>0.56999999999999995</v>
      </c>
      <c r="P19" s="1">
        <v>0.54</v>
      </c>
      <c r="Q19" s="7">
        <f t="shared" si="2"/>
        <v>0.55499999999999994</v>
      </c>
      <c r="R19" s="1">
        <v>13.1</v>
      </c>
      <c r="S19" s="1">
        <v>126</v>
      </c>
      <c r="T19" s="2">
        <f t="shared" si="0"/>
        <v>27</v>
      </c>
      <c r="U19" s="1">
        <v>127</v>
      </c>
      <c r="V19" s="2">
        <f t="shared" si="1"/>
        <v>27</v>
      </c>
      <c r="W19" s="1">
        <v>2</v>
      </c>
      <c r="X19" s="1" t="s">
        <v>51</v>
      </c>
      <c r="Y19" s="1" t="s">
        <v>101</v>
      </c>
      <c r="Z19" s="1" t="s">
        <v>128</v>
      </c>
      <c r="AA19" s="1" t="s">
        <v>43</v>
      </c>
      <c r="AB19" s="1" t="s">
        <v>340</v>
      </c>
      <c r="AE19" s="10" t="s">
        <v>262</v>
      </c>
      <c r="AP19" s="13" t="s">
        <v>280</v>
      </c>
      <c r="AR19" s="12" t="s">
        <v>281</v>
      </c>
      <c r="AV19" s="12" t="s">
        <v>364</v>
      </c>
    </row>
    <row r="20" spans="1:48" x14ac:dyDescent="0.15">
      <c r="A20" s="1" t="s">
        <v>73</v>
      </c>
      <c r="B20" s="1" t="s">
        <v>336</v>
      </c>
      <c r="C20" s="108">
        <v>2020</v>
      </c>
      <c r="D20" s="38" t="s">
        <v>337</v>
      </c>
      <c r="E20" s="1" t="s">
        <v>347</v>
      </c>
      <c r="F20" s="1" t="s">
        <v>348</v>
      </c>
      <c r="G20" s="1" t="s">
        <v>37</v>
      </c>
      <c r="H20" s="1" t="s">
        <v>82</v>
      </c>
      <c r="I20" s="1" t="s">
        <v>64</v>
      </c>
      <c r="J20" s="1" t="s">
        <v>40</v>
      </c>
      <c r="K20" s="1" t="s">
        <v>41</v>
      </c>
      <c r="L20" s="1">
        <v>1</v>
      </c>
      <c r="N20" s="1">
        <v>4</v>
      </c>
      <c r="O20" s="1">
        <v>0.24</v>
      </c>
      <c r="P20" s="1">
        <v>0.28000000000000003</v>
      </c>
      <c r="Q20" s="7">
        <f t="shared" si="2"/>
        <v>0.26</v>
      </c>
      <c r="R20" s="1">
        <v>16.600000000000001</v>
      </c>
      <c r="S20" s="1">
        <v>103</v>
      </c>
      <c r="T20" s="2">
        <f t="shared" si="0"/>
        <v>33</v>
      </c>
      <c r="U20" s="1">
        <v>480</v>
      </c>
      <c r="V20" s="2">
        <f t="shared" si="1"/>
        <v>16</v>
      </c>
      <c r="W20" s="1">
        <v>4</v>
      </c>
      <c r="X20" s="1" t="s">
        <v>51</v>
      </c>
      <c r="Y20" s="1" t="s">
        <v>67</v>
      </c>
      <c r="Z20" s="1" t="s">
        <v>128</v>
      </c>
      <c r="AA20" s="1" t="s">
        <v>112</v>
      </c>
      <c r="AB20" s="1" t="s">
        <v>340</v>
      </c>
      <c r="AE20" s="10"/>
      <c r="AP20" s="13" t="s">
        <v>282</v>
      </c>
      <c r="AR20" s="12" t="s">
        <v>130</v>
      </c>
      <c r="AV20" s="13" t="s">
        <v>283</v>
      </c>
    </row>
    <row r="21" spans="1:48" x14ac:dyDescent="0.15">
      <c r="A21" s="1" t="s">
        <v>73</v>
      </c>
      <c r="B21" s="1" t="s">
        <v>336</v>
      </c>
      <c r="C21" s="108">
        <v>2020</v>
      </c>
      <c r="D21" s="38" t="s">
        <v>337</v>
      </c>
      <c r="E21" s="1" t="s">
        <v>347</v>
      </c>
      <c r="F21" s="1" t="s">
        <v>348</v>
      </c>
      <c r="G21" s="1" t="s">
        <v>37</v>
      </c>
      <c r="H21" s="1" t="s">
        <v>82</v>
      </c>
      <c r="I21" s="1" t="s">
        <v>64</v>
      </c>
      <c r="J21" s="1" t="s">
        <v>40</v>
      </c>
      <c r="K21" s="1" t="s">
        <v>41</v>
      </c>
      <c r="L21" s="1">
        <v>2</v>
      </c>
      <c r="N21" s="1">
        <v>4</v>
      </c>
      <c r="O21" s="1">
        <v>0.35</v>
      </c>
      <c r="P21" s="1">
        <v>0.28999999999999998</v>
      </c>
      <c r="Q21" s="7">
        <f t="shared" si="2"/>
        <v>0.31999999999999995</v>
      </c>
      <c r="R21" s="1">
        <v>16</v>
      </c>
      <c r="S21" s="1">
        <v>96</v>
      </c>
      <c r="T21" s="2">
        <f t="shared" si="0"/>
        <v>36</v>
      </c>
      <c r="U21" s="1">
        <v>480</v>
      </c>
      <c r="V21" s="2">
        <f t="shared" si="1"/>
        <v>16</v>
      </c>
      <c r="W21" s="1">
        <v>4</v>
      </c>
      <c r="X21" s="1" t="s">
        <v>51</v>
      </c>
      <c r="Y21" s="1" t="s">
        <v>67</v>
      </c>
      <c r="Z21" s="1" t="s">
        <v>128</v>
      </c>
      <c r="AA21" s="1" t="s">
        <v>112</v>
      </c>
      <c r="AB21" s="1" t="s">
        <v>340</v>
      </c>
      <c r="AE21" s="14"/>
      <c r="AP21" s="13" t="s">
        <v>365</v>
      </c>
      <c r="AR21" s="12" t="s">
        <v>97</v>
      </c>
      <c r="AV21" s="13" t="s">
        <v>285</v>
      </c>
    </row>
    <row r="22" spans="1:48" x14ac:dyDescent="0.15">
      <c r="A22" s="1" t="s">
        <v>73</v>
      </c>
      <c r="B22" s="1" t="s">
        <v>336</v>
      </c>
      <c r="C22" s="108">
        <v>2020</v>
      </c>
      <c r="D22" s="38" t="s">
        <v>337</v>
      </c>
      <c r="E22" s="1" t="s">
        <v>347</v>
      </c>
      <c r="F22" s="1" t="s">
        <v>348</v>
      </c>
      <c r="G22" s="1" t="s">
        <v>37</v>
      </c>
      <c r="H22" s="1" t="s">
        <v>82</v>
      </c>
      <c r="I22" s="1" t="s">
        <v>64</v>
      </c>
      <c r="J22" s="1" t="s">
        <v>40</v>
      </c>
      <c r="K22" s="1" t="s">
        <v>41</v>
      </c>
      <c r="L22" s="1">
        <v>3</v>
      </c>
      <c r="N22" s="1">
        <v>4</v>
      </c>
      <c r="O22" s="1">
        <v>0.32</v>
      </c>
      <c r="P22" s="1">
        <v>0.33</v>
      </c>
      <c r="Q22" s="7">
        <f t="shared" si="2"/>
        <v>0.32500000000000001</v>
      </c>
      <c r="R22" s="1">
        <v>16.3</v>
      </c>
      <c r="S22" s="1">
        <v>99</v>
      </c>
      <c r="T22" s="2">
        <f t="shared" si="0"/>
        <v>33</v>
      </c>
      <c r="U22" s="1">
        <v>480</v>
      </c>
      <c r="V22" s="2">
        <f t="shared" si="1"/>
        <v>16</v>
      </c>
      <c r="W22" s="1">
        <v>4</v>
      </c>
      <c r="X22" s="1" t="s">
        <v>51</v>
      </c>
      <c r="Y22" s="1" t="s">
        <v>67</v>
      </c>
      <c r="Z22" s="1" t="s">
        <v>128</v>
      </c>
      <c r="AA22" s="1" t="s">
        <v>112</v>
      </c>
      <c r="AB22" s="1" t="s">
        <v>340</v>
      </c>
      <c r="AP22" s="13" t="s">
        <v>366</v>
      </c>
      <c r="AR22" s="12" t="s">
        <v>135</v>
      </c>
      <c r="AV22" s="13" t="s">
        <v>339</v>
      </c>
    </row>
    <row r="23" spans="1:48" x14ac:dyDescent="0.15">
      <c r="A23" s="1" t="s">
        <v>73</v>
      </c>
      <c r="B23" s="1" t="s">
        <v>336</v>
      </c>
      <c r="C23" s="108">
        <v>2020</v>
      </c>
      <c r="D23" s="38" t="s">
        <v>337</v>
      </c>
      <c r="E23" s="1" t="s">
        <v>347</v>
      </c>
      <c r="F23" s="1" t="s">
        <v>348</v>
      </c>
      <c r="G23" s="1" t="s">
        <v>37</v>
      </c>
      <c r="H23" s="1" t="s">
        <v>82</v>
      </c>
      <c r="I23" s="1" t="s">
        <v>64</v>
      </c>
      <c r="J23" s="1" t="s">
        <v>40</v>
      </c>
      <c r="K23" s="1" t="s">
        <v>41</v>
      </c>
      <c r="L23" s="1">
        <v>1</v>
      </c>
      <c r="N23" s="1">
        <v>3</v>
      </c>
      <c r="O23" s="1">
        <v>0.24</v>
      </c>
      <c r="P23" s="1">
        <v>0.24</v>
      </c>
      <c r="Q23" s="7">
        <f t="shared" si="2"/>
        <v>0.24</v>
      </c>
      <c r="R23" s="1">
        <v>16.7</v>
      </c>
      <c r="S23" s="1">
        <v>120</v>
      </c>
      <c r="T23" s="2">
        <f t="shared" si="0"/>
        <v>30</v>
      </c>
      <c r="U23" s="1">
        <v>399</v>
      </c>
      <c r="V23" s="2">
        <f t="shared" si="1"/>
        <v>16</v>
      </c>
      <c r="W23" s="1">
        <v>4</v>
      </c>
      <c r="X23" s="1" t="s">
        <v>51</v>
      </c>
      <c r="Y23" s="1" t="s">
        <v>67</v>
      </c>
      <c r="Z23" s="1" t="s">
        <v>128</v>
      </c>
      <c r="AA23" s="1" t="s">
        <v>112</v>
      </c>
      <c r="AB23" s="1" t="s">
        <v>340</v>
      </c>
      <c r="AP23" s="13" t="s">
        <v>287</v>
      </c>
      <c r="AR23" s="12" t="s">
        <v>75</v>
      </c>
      <c r="AV23" s="13" t="s">
        <v>367</v>
      </c>
    </row>
    <row r="24" spans="1:48" x14ac:dyDescent="0.15">
      <c r="A24" s="1" t="s">
        <v>73</v>
      </c>
      <c r="B24" s="1" t="s">
        <v>336</v>
      </c>
      <c r="C24" s="108">
        <v>2020</v>
      </c>
      <c r="D24" s="38" t="s">
        <v>337</v>
      </c>
      <c r="E24" s="1" t="s">
        <v>347</v>
      </c>
      <c r="F24" s="1" t="s">
        <v>348</v>
      </c>
      <c r="G24" s="1" t="s">
        <v>37</v>
      </c>
      <c r="H24" s="1" t="s">
        <v>82</v>
      </c>
      <c r="I24" s="1" t="s">
        <v>64</v>
      </c>
      <c r="J24" s="1" t="s">
        <v>40</v>
      </c>
      <c r="K24" s="1" t="s">
        <v>41</v>
      </c>
      <c r="L24" s="1">
        <v>2</v>
      </c>
      <c r="N24" s="1">
        <v>3</v>
      </c>
      <c r="O24" s="1">
        <v>0.23</v>
      </c>
      <c r="P24" s="1">
        <v>0.24</v>
      </c>
      <c r="Q24" s="7">
        <f t="shared" si="2"/>
        <v>0.23499999999999999</v>
      </c>
      <c r="R24" s="1">
        <v>15.9</v>
      </c>
      <c r="S24" s="1">
        <v>125</v>
      </c>
      <c r="T24" s="2">
        <f t="shared" si="0"/>
        <v>27</v>
      </c>
      <c r="U24" s="1">
        <v>399</v>
      </c>
      <c r="V24" s="2">
        <f t="shared" si="1"/>
        <v>16</v>
      </c>
      <c r="W24" s="1">
        <v>4</v>
      </c>
      <c r="X24" s="1" t="s">
        <v>51</v>
      </c>
      <c r="Y24" s="1" t="s">
        <v>67</v>
      </c>
      <c r="Z24" s="1" t="s">
        <v>128</v>
      </c>
      <c r="AA24" s="1" t="s">
        <v>112</v>
      </c>
      <c r="AB24" s="1" t="s">
        <v>340</v>
      </c>
      <c r="AP24" s="13" t="s">
        <v>288</v>
      </c>
      <c r="AR24" s="12" t="s">
        <v>138</v>
      </c>
      <c r="AV24" s="13" t="s">
        <v>368</v>
      </c>
    </row>
    <row r="25" spans="1:48" x14ac:dyDescent="0.15">
      <c r="A25" s="1" t="s">
        <v>73</v>
      </c>
      <c r="B25" s="1" t="s">
        <v>336</v>
      </c>
      <c r="C25" s="108">
        <v>2020</v>
      </c>
      <c r="D25" s="38" t="s">
        <v>337</v>
      </c>
      <c r="E25" s="1" t="s">
        <v>347</v>
      </c>
      <c r="F25" s="1" t="s">
        <v>348</v>
      </c>
      <c r="G25" s="1" t="s">
        <v>37</v>
      </c>
      <c r="H25" s="1" t="s">
        <v>82</v>
      </c>
      <c r="I25" s="1" t="s">
        <v>64</v>
      </c>
      <c r="J25" s="1" t="s">
        <v>40</v>
      </c>
      <c r="K25" s="1" t="s">
        <v>41</v>
      </c>
      <c r="L25" s="1">
        <v>3</v>
      </c>
      <c r="N25" s="1">
        <v>3</v>
      </c>
      <c r="O25" s="1">
        <v>0.27</v>
      </c>
      <c r="P25" s="1">
        <v>0.26</v>
      </c>
      <c r="Q25" s="7">
        <f t="shared" si="2"/>
        <v>0.26500000000000001</v>
      </c>
      <c r="R25" s="1">
        <v>16.5</v>
      </c>
      <c r="S25" s="1">
        <v>131</v>
      </c>
      <c r="T25" s="2">
        <f t="shared" si="0"/>
        <v>25</v>
      </c>
      <c r="U25" s="1">
        <v>399</v>
      </c>
      <c r="V25" s="2">
        <f t="shared" si="1"/>
        <v>16</v>
      </c>
      <c r="W25" s="1">
        <v>4</v>
      </c>
      <c r="X25" s="1" t="s">
        <v>51</v>
      </c>
      <c r="Y25" s="1" t="s">
        <v>67</v>
      </c>
      <c r="Z25" s="1" t="s">
        <v>128</v>
      </c>
      <c r="AA25" s="1" t="s">
        <v>112</v>
      </c>
      <c r="AB25" s="1" t="s">
        <v>340</v>
      </c>
      <c r="AP25" s="13" t="s">
        <v>289</v>
      </c>
      <c r="AR25" s="13" t="s">
        <v>290</v>
      </c>
      <c r="AV25" s="13" t="s">
        <v>369</v>
      </c>
    </row>
    <row r="26" spans="1:48" x14ac:dyDescent="0.15">
      <c r="A26" s="1" t="s">
        <v>73</v>
      </c>
      <c r="B26" s="1" t="s">
        <v>336</v>
      </c>
      <c r="C26" s="108">
        <v>2020</v>
      </c>
      <c r="D26" s="38" t="s">
        <v>337</v>
      </c>
      <c r="E26" s="1" t="s">
        <v>347</v>
      </c>
      <c r="F26" s="1" t="s">
        <v>348</v>
      </c>
      <c r="G26" s="1" t="s">
        <v>37</v>
      </c>
      <c r="H26" s="1" t="s">
        <v>82</v>
      </c>
      <c r="I26" s="1" t="s">
        <v>64</v>
      </c>
      <c r="J26" s="1" t="s">
        <v>40</v>
      </c>
      <c r="K26" s="1" t="s">
        <v>41</v>
      </c>
      <c r="L26" s="1">
        <v>1</v>
      </c>
      <c r="N26" s="1">
        <v>2</v>
      </c>
      <c r="O26" s="1">
        <v>0.25</v>
      </c>
      <c r="P26" s="1">
        <v>0.23</v>
      </c>
      <c r="Q26" s="7">
        <f t="shared" si="2"/>
        <v>0.24</v>
      </c>
      <c r="R26" s="1">
        <v>18.2</v>
      </c>
      <c r="S26" s="1">
        <v>126</v>
      </c>
      <c r="T26" s="2">
        <f t="shared" si="0"/>
        <v>27</v>
      </c>
      <c r="U26" s="1">
        <v>269</v>
      </c>
      <c r="V26" s="2">
        <f t="shared" si="1"/>
        <v>16</v>
      </c>
      <c r="W26" s="1">
        <v>2</v>
      </c>
      <c r="X26" s="1" t="s">
        <v>51</v>
      </c>
      <c r="Y26" s="1" t="s">
        <v>67</v>
      </c>
      <c r="Z26" s="1" t="s">
        <v>128</v>
      </c>
      <c r="AA26" s="1" t="s">
        <v>112</v>
      </c>
      <c r="AB26" s="1" t="s">
        <v>340</v>
      </c>
      <c r="AP26" s="13" t="s">
        <v>291</v>
      </c>
      <c r="AR26" s="13" t="s">
        <v>370</v>
      </c>
      <c r="AV26" s="13"/>
    </row>
    <row r="27" spans="1:48" x14ac:dyDescent="0.15">
      <c r="A27" s="1" t="s">
        <v>73</v>
      </c>
      <c r="B27" s="1" t="s">
        <v>336</v>
      </c>
      <c r="C27" s="108">
        <v>2020</v>
      </c>
      <c r="D27" s="38" t="s">
        <v>337</v>
      </c>
      <c r="E27" s="1" t="s">
        <v>347</v>
      </c>
      <c r="F27" s="1" t="s">
        <v>348</v>
      </c>
      <c r="G27" s="1" t="s">
        <v>37</v>
      </c>
      <c r="H27" s="1" t="s">
        <v>82</v>
      </c>
      <c r="I27" s="1" t="s">
        <v>64</v>
      </c>
      <c r="J27" s="1" t="s">
        <v>40</v>
      </c>
      <c r="K27" s="1" t="s">
        <v>41</v>
      </c>
      <c r="L27" s="1">
        <v>2</v>
      </c>
      <c r="N27" s="1">
        <v>2</v>
      </c>
      <c r="O27" s="1">
        <v>0.22</v>
      </c>
      <c r="P27" s="1">
        <v>0.23</v>
      </c>
      <c r="Q27" s="7">
        <f t="shared" si="2"/>
        <v>0.22500000000000001</v>
      </c>
      <c r="R27" s="1">
        <v>16.8</v>
      </c>
      <c r="S27" s="1">
        <v>130</v>
      </c>
      <c r="T27" s="2">
        <f t="shared" si="0"/>
        <v>25</v>
      </c>
      <c r="U27" s="1">
        <v>269</v>
      </c>
      <c r="V27" s="2">
        <f t="shared" si="1"/>
        <v>16</v>
      </c>
      <c r="W27" s="1">
        <v>2</v>
      </c>
      <c r="X27" s="1" t="s">
        <v>51</v>
      </c>
      <c r="Y27" s="1" t="s">
        <v>67</v>
      </c>
      <c r="Z27" s="1" t="s">
        <v>128</v>
      </c>
      <c r="AA27" s="1" t="s">
        <v>112</v>
      </c>
      <c r="AB27" s="1" t="s">
        <v>340</v>
      </c>
      <c r="AP27" s="13" t="s">
        <v>293</v>
      </c>
      <c r="AR27" s="12" t="s">
        <v>292</v>
      </c>
      <c r="AV27" s="13"/>
    </row>
    <row r="28" spans="1:48" x14ac:dyDescent="0.15">
      <c r="A28" s="1" t="s">
        <v>73</v>
      </c>
      <c r="B28" s="1" t="s">
        <v>336</v>
      </c>
      <c r="C28" s="108">
        <v>2020</v>
      </c>
      <c r="D28" s="38" t="s">
        <v>337</v>
      </c>
      <c r="E28" s="1" t="s">
        <v>347</v>
      </c>
      <c r="F28" s="1" t="s">
        <v>348</v>
      </c>
      <c r="G28" s="1" t="s">
        <v>37</v>
      </c>
      <c r="H28" s="1" t="s">
        <v>82</v>
      </c>
      <c r="I28" s="1" t="s">
        <v>64</v>
      </c>
      <c r="J28" s="1" t="s">
        <v>40</v>
      </c>
      <c r="K28" s="1" t="s">
        <v>41</v>
      </c>
      <c r="L28" s="1">
        <v>3</v>
      </c>
      <c r="N28" s="1">
        <v>2</v>
      </c>
      <c r="O28" s="1">
        <v>0.24</v>
      </c>
      <c r="P28" s="1">
        <v>0.23</v>
      </c>
      <c r="Q28" s="7">
        <f t="shared" si="2"/>
        <v>0.23499999999999999</v>
      </c>
      <c r="R28" s="1">
        <v>16.7</v>
      </c>
      <c r="S28" s="1">
        <v>132</v>
      </c>
      <c r="T28" s="2">
        <f t="shared" si="0"/>
        <v>25</v>
      </c>
      <c r="U28" s="1">
        <v>269</v>
      </c>
      <c r="V28" s="2">
        <f t="shared" si="1"/>
        <v>16</v>
      </c>
      <c r="W28" s="1">
        <v>2</v>
      </c>
      <c r="X28" s="1" t="s">
        <v>51</v>
      </c>
      <c r="Y28" s="1" t="s">
        <v>67</v>
      </c>
      <c r="Z28" s="1" t="s">
        <v>128</v>
      </c>
      <c r="AA28" s="1" t="s">
        <v>112</v>
      </c>
      <c r="AB28" s="1" t="s">
        <v>340</v>
      </c>
      <c r="AP28" s="13" t="s">
        <v>295</v>
      </c>
      <c r="AR28" s="12" t="s">
        <v>294</v>
      </c>
      <c r="AV28" s="13"/>
    </row>
    <row r="29" spans="1:48" x14ac:dyDescent="0.15">
      <c r="A29" s="1" t="s">
        <v>73</v>
      </c>
      <c r="B29" s="1" t="s">
        <v>336</v>
      </c>
      <c r="C29" s="108">
        <v>2020</v>
      </c>
      <c r="D29" s="38" t="s">
        <v>337</v>
      </c>
      <c r="E29" s="1" t="s">
        <v>347</v>
      </c>
      <c r="F29" s="1" t="s">
        <v>348</v>
      </c>
      <c r="G29" s="1" t="s">
        <v>37</v>
      </c>
      <c r="H29" s="1" t="s">
        <v>63</v>
      </c>
      <c r="I29" s="1" t="s">
        <v>64</v>
      </c>
      <c r="J29" s="1" t="s">
        <v>40</v>
      </c>
      <c r="K29" s="1" t="s">
        <v>41</v>
      </c>
      <c r="L29" s="1">
        <v>1</v>
      </c>
      <c r="N29" s="1">
        <v>4</v>
      </c>
      <c r="O29" s="1">
        <v>0.56000000000000005</v>
      </c>
      <c r="P29" s="1">
        <v>0.51</v>
      </c>
      <c r="Q29" s="7">
        <f t="shared" si="2"/>
        <v>0.53500000000000003</v>
      </c>
      <c r="R29" s="1">
        <v>13.4</v>
      </c>
      <c r="S29" s="1">
        <v>100</v>
      </c>
      <c r="T29" s="2">
        <f t="shared" si="0"/>
        <v>33</v>
      </c>
      <c r="U29" s="1">
        <v>380</v>
      </c>
      <c r="V29" s="2">
        <f t="shared" si="1"/>
        <v>16</v>
      </c>
      <c r="W29" s="1">
        <v>2</v>
      </c>
      <c r="X29" s="1" t="s">
        <v>51</v>
      </c>
      <c r="Y29" s="1" t="s">
        <v>67</v>
      </c>
      <c r="Z29" s="1" t="s">
        <v>128</v>
      </c>
      <c r="AA29" s="1" t="s">
        <v>112</v>
      </c>
      <c r="AB29" s="1" t="s">
        <v>340</v>
      </c>
      <c r="AP29" s="13" t="s">
        <v>297</v>
      </c>
      <c r="AR29" s="12" t="s">
        <v>296</v>
      </c>
      <c r="AV29" s="13"/>
    </row>
    <row r="30" spans="1:48" x14ac:dyDescent="0.15">
      <c r="A30" s="1" t="s">
        <v>73</v>
      </c>
      <c r="B30" s="1" t="s">
        <v>336</v>
      </c>
      <c r="C30" s="108">
        <v>2020</v>
      </c>
      <c r="D30" s="38" t="s">
        <v>337</v>
      </c>
      <c r="E30" s="1" t="s">
        <v>347</v>
      </c>
      <c r="F30" s="1" t="s">
        <v>348</v>
      </c>
      <c r="G30" s="1" t="s">
        <v>37</v>
      </c>
      <c r="H30" s="1" t="s">
        <v>63</v>
      </c>
      <c r="I30" s="1" t="s">
        <v>64</v>
      </c>
      <c r="J30" s="1" t="s">
        <v>40</v>
      </c>
      <c r="K30" s="1" t="s">
        <v>41</v>
      </c>
      <c r="L30" s="1">
        <v>2</v>
      </c>
      <c r="N30" s="1">
        <v>4</v>
      </c>
      <c r="O30" s="1">
        <v>0.34</v>
      </c>
      <c r="P30" s="1">
        <v>0.38</v>
      </c>
      <c r="Q30" s="7">
        <f t="shared" si="2"/>
        <v>0.36</v>
      </c>
      <c r="R30" s="1">
        <v>13.8</v>
      </c>
      <c r="S30" s="1">
        <v>104</v>
      </c>
      <c r="T30" s="2">
        <f t="shared" si="0"/>
        <v>33</v>
      </c>
      <c r="U30" s="1">
        <v>380</v>
      </c>
      <c r="V30" s="2">
        <f t="shared" si="1"/>
        <v>16</v>
      </c>
      <c r="W30" s="1">
        <v>2</v>
      </c>
      <c r="X30" s="1" t="s">
        <v>51</v>
      </c>
      <c r="Y30" s="1" t="s">
        <v>67</v>
      </c>
      <c r="Z30" s="1" t="s">
        <v>128</v>
      </c>
      <c r="AA30" s="1" t="s">
        <v>112</v>
      </c>
      <c r="AB30" s="1" t="s">
        <v>340</v>
      </c>
      <c r="AR30" s="14"/>
      <c r="AV30" s="13"/>
    </row>
    <row r="31" spans="1:48" x14ac:dyDescent="0.15">
      <c r="A31" s="1" t="s">
        <v>73</v>
      </c>
      <c r="B31" s="1" t="s">
        <v>336</v>
      </c>
      <c r="C31" s="108">
        <v>2020</v>
      </c>
      <c r="D31" s="38" t="s">
        <v>337</v>
      </c>
      <c r="E31" s="1" t="s">
        <v>347</v>
      </c>
      <c r="F31" s="1" t="s">
        <v>348</v>
      </c>
      <c r="G31" s="1" t="s">
        <v>37</v>
      </c>
      <c r="H31" s="1" t="s">
        <v>63</v>
      </c>
      <c r="I31" s="1" t="s">
        <v>64</v>
      </c>
      <c r="J31" s="1" t="s">
        <v>40</v>
      </c>
      <c r="K31" s="1" t="s">
        <v>41</v>
      </c>
      <c r="L31" s="1">
        <v>3</v>
      </c>
      <c r="N31" s="1">
        <v>4</v>
      </c>
      <c r="O31" s="1">
        <v>0.52</v>
      </c>
      <c r="P31" s="1">
        <v>0.56000000000000005</v>
      </c>
      <c r="Q31" s="7">
        <f t="shared" si="2"/>
        <v>0.54</v>
      </c>
      <c r="R31" s="1">
        <v>13.2</v>
      </c>
      <c r="S31" s="1">
        <v>106</v>
      </c>
      <c r="T31" s="2">
        <f t="shared" si="0"/>
        <v>33</v>
      </c>
      <c r="U31" s="1">
        <v>380</v>
      </c>
      <c r="V31" s="2">
        <f t="shared" si="1"/>
        <v>16</v>
      </c>
      <c r="W31" s="1">
        <v>2</v>
      </c>
      <c r="X31" s="1" t="s">
        <v>51</v>
      </c>
      <c r="Y31" s="1" t="s">
        <v>67</v>
      </c>
      <c r="Z31" s="1" t="s">
        <v>128</v>
      </c>
      <c r="AA31" s="1" t="s">
        <v>112</v>
      </c>
      <c r="AB31" s="1" t="s">
        <v>340</v>
      </c>
      <c r="AV31" s="13"/>
    </row>
    <row r="32" spans="1:48" x14ac:dyDescent="0.15">
      <c r="A32" s="1" t="s">
        <v>73</v>
      </c>
      <c r="B32" s="1" t="s">
        <v>336</v>
      </c>
      <c r="C32" s="108">
        <v>2020</v>
      </c>
      <c r="D32" s="38" t="s">
        <v>337</v>
      </c>
      <c r="E32" s="1" t="s">
        <v>347</v>
      </c>
      <c r="F32" s="1" t="s">
        <v>348</v>
      </c>
      <c r="G32" s="1" t="s">
        <v>37</v>
      </c>
      <c r="H32" s="1" t="s">
        <v>63</v>
      </c>
      <c r="I32" s="1" t="s">
        <v>64</v>
      </c>
      <c r="J32" s="1" t="s">
        <v>40</v>
      </c>
      <c r="K32" s="1" t="s">
        <v>41</v>
      </c>
      <c r="L32" s="1">
        <v>1</v>
      </c>
      <c r="N32" s="1">
        <v>2</v>
      </c>
      <c r="O32" s="1">
        <v>0.35</v>
      </c>
      <c r="P32" s="1">
        <v>0.43</v>
      </c>
      <c r="Q32" s="7">
        <f t="shared" si="2"/>
        <v>0.39</v>
      </c>
      <c r="R32" s="1">
        <v>14.6</v>
      </c>
      <c r="S32" s="1">
        <v>140</v>
      </c>
      <c r="T32" s="2">
        <f t="shared" si="0"/>
        <v>22</v>
      </c>
      <c r="U32" s="1">
        <v>380</v>
      </c>
      <c r="V32" s="2">
        <f t="shared" si="1"/>
        <v>16</v>
      </c>
      <c r="W32" s="1">
        <v>1</v>
      </c>
      <c r="X32" s="1" t="s">
        <v>51</v>
      </c>
      <c r="Y32" s="1" t="s">
        <v>67</v>
      </c>
      <c r="Z32" s="1" t="s">
        <v>128</v>
      </c>
      <c r="AA32" s="1" t="s">
        <v>112</v>
      </c>
      <c r="AB32" s="1" t="s">
        <v>340</v>
      </c>
      <c r="AV32" s="13"/>
    </row>
    <row r="33" spans="1:48" x14ac:dyDescent="0.15">
      <c r="A33" s="1" t="s">
        <v>73</v>
      </c>
      <c r="B33" s="1" t="s">
        <v>336</v>
      </c>
      <c r="C33" s="108">
        <v>2020</v>
      </c>
      <c r="D33" s="38" t="s">
        <v>337</v>
      </c>
      <c r="E33" s="1" t="s">
        <v>347</v>
      </c>
      <c r="F33" s="1" t="s">
        <v>348</v>
      </c>
      <c r="G33" s="1" t="s">
        <v>37</v>
      </c>
      <c r="H33" s="1" t="s">
        <v>63</v>
      </c>
      <c r="I33" s="1" t="s">
        <v>64</v>
      </c>
      <c r="J33" s="1" t="s">
        <v>40</v>
      </c>
      <c r="K33" s="1" t="s">
        <v>41</v>
      </c>
      <c r="L33" s="1">
        <v>2</v>
      </c>
      <c r="N33" s="1">
        <v>2</v>
      </c>
      <c r="O33" s="1">
        <v>0.33</v>
      </c>
      <c r="P33" s="1">
        <v>0.35</v>
      </c>
      <c r="Q33" s="7">
        <f t="shared" si="2"/>
        <v>0.33999999999999997</v>
      </c>
      <c r="R33" s="1">
        <v>15.1</v>
      </c>
      <c r="S33" s="1">
        <v>140</v>
      </c>
      <c r="T33" s="2">
        <f t="shared" si="0"/>
        <v>22</v>
      </c>
      <c r="U33" s="1">
        <v>380</v>
      </c>
      <c r="V33" s="2">
        <f t="shared" si="1"/>
        <v>16</v>
      </c>
      <c r="W33" s="1">
        <v>1</v>
      </c>
      <c r="X33" s="1" t="s">
        <v>51</v>
      </c>
      <c r="Y33" s="1" t="s">
        <v>67</v>
      </c>
      <c r="Z33" s="1" t="s">
        <v>128</v>
      </c>
      <c r="AA33" s="1" t="s">
        <v>112</v>
      </c>
      <c r="AB33" s="1" t="s">
        <v>340</v>
      </c>
      <c r="AV33" s="13"/>
    </row>
    <row r="34" spans="1:48" x14ac:dyDescent="0.15">
      <c r="A34" s="1" t="s">
        <v>73</v>
      </c>
      <c r="B34" s="1" t="s">
        <v>336</v>
      </c>
      <c r="C34" s="108">
        <v>2020</v>
      </c>
      <c r="D34" s="38" t="s">
        <v>337</v>
      </c>
      <c r="E34" s="1" t="s">
        <v>347</v>
      </c>
      <c r="F34" s="1" t="s">
        <v>348</v>
      </c>
      <c r="G34" s="1" t="s">
        <v>37</v>
      </c>
      <c r="H34" s="1" t="s">
        <v>63</v>
      </c>
      <c r="I34" s="1" t="s">
        <v>64</v>
      </c>
      <c r="J34" s="1" t="s">
        <v>40</v>
      </c>
      <c r="K34" s="1" t="s">
        <v>41</v>
      </c>
      <c r="L34" s="1">
        <v>3</v>
      </c>
      <c r="N34" s="1">
        <v>2</v>
      </c>
      <c r="O34" s="1">
        <v>0.37</v>
      </c>
      <c r="P34" s="1">
        <v>0.34</v>
      </c>
      <c r="Q34" s="7">
        <f t="shared" si="2"/>
        <v>0.35499999999999998</v>
      </c>
      <c r="R34" s="1">
        <v>15.5</v>
      </c>
      <c r="S34" s="1">
        <v>142</v>
      </c>
      <c r="T34" s="2">
        <f t="shared" si="0"/>
        <v>22</v>
      </c>
      <c r="U34" s="1">
        <v>380</v>
      </c>
      <c r="V34" s="2">
        <f t="shared" si="1"/>
        <v>16</v>
      </c>
      <c r="W34" s="1">
        <v>1</v>
      </c>
      <c r="X34" s="1" t="s">
        <v>51</v>
      </c>
      <c r="Y34" s="1" t="s">
        <v>67</v>
      </c>
      <c r="Z34" s="1" t="s">
        <v>128</v>
      </c>
      <c r="AA34" s="1" t="s">
        <v>112</v>
      </c>
      <c r="AB34" s="1" t="s">
        <v>340</v>
      </c>
      <c r="AV34" s="13"/>
    </row>
    <row r="35" spans="1:48" x14ac:dyDescent="0.15">
      <c r="A35" s="1" t="s">
        <v>73</v>
      </c>
      <c r="B35" s="1" t="s">
        <v>336</v>
      </c>
      <c r="C35" s="108">
        <v>2020</v>
      </c>
      <c r="D35" s="38" t="s">
        <v>337</v>
      </c>
      <c r="E35" s="1" t="s">
        <v>347</v>
      </c>
      <c r="F35" s="1" t="s">
        <v>348</v>
      </c>
      <c r="G35" s="1" t="s">
        <v>37</v>
      </c>
      <c r="H35" s="1" t="s">
        <v>63</v>
      </c>
      <c r="I35" s="1" t="s">
        <v>64</v>
      </c>
      <c r="J35" s="1" t="s">
        <v>40</v>
      </c>
      <c r="K35" s="1" t="s">
        <v>41</v>
      </c>
      <c r="L35" s="1">
        <v>1</v>
      </c>
      <c r="N35" s="1">
        <v>1</v>
      </c>
      <c r="O35" s="1">
        <v>0.37</v>
      </c>
      <c r="P35" s="1">
        <v>0.44</v>
      </c>
      <c r="Q35" s="7">
        <f t="shared" si="2"/>
        <v>0.40500000000000003</v>
      </c>
      <c r="R35" s="1">
        <v>15.7</v>
      </c>
      <c r="S35" s="1">
        <v>145</v>
      </c>
      <c r="T35" s="2">
        <f t="shared" si="0"/>
        <v>22</v>
      </c>
      <c r="U35" s="1">
        <v>139</v>
      </c>
      <c r="V35" s="2">
        <f t="shared" si="1"/>
        <v>22</v>
      </c>
      <c r="W35" s="1">
        <v>2</v>
      </c>
      <c r="X35" s="1" t="s">
        <v>51</v>
      </c>
      <c r="Y35" s="1" t="s">
        <v>67</v>
      </c>
      <c r="Z35" s="1" t="s">
        <v>128</v>
      </c>
      <c r="AA35" s="1" t="s">
        <v>112</v>
      </c>
      <c r="AB35" s="1" t="s">
        <v>340</v>
      </c>
      <c r="AV35" s="13"/>
    </row>
    <row r="36" spans="1:48" x14ac:dyDescent="0.15">
      <c r="A36" s="1" t="s">
        <v>73</v>
      </c>
      <c r="B36" s="1" t="s">
        <v>336</v>
      </c>
      <c r="C36" s="108">
        <v>2020</v>
      </c>
      <c r="D36" s="38" t="s">
        <v>337</v>
      </c>
      <c r="E36" s="1" t="s">
        <v>347</v>
      </c>
      <c r="F36" s="1" t="s">
        <v>348</v>
      </c>
      <c r="G36" s="1" t="s">
        <v>37</v>
      </c>
      <c r="H36" s="1" t="s">
        <v>63</v>
      </c>
      <c r="I36" s="1" t="s">
        <v>64</v>
      </c>
      <c r="J36" s="1" t="s">
        <v>40</v>
      </c>
      <c r="K36" s="1" t="s">
        <v>41</v>
      </c>
      <c r="L36" s="1">
        <v>2</v>
      </c>
      <c r="N36" s="1">
        <v>1</v>
      </c>
      <c r="O36" s="1">
        <v>0.28000000000000003</v>
      </c>
      <c r="P36" s="1">
        <v>0.31</v>
      </c>
      <c r="Q36" s="7">
        <f t="shared" si="2"/>
        <v>0.29500000000000004</v>
      </c>
      <c r="R36" s="1">
        <v>15.6</v>
      </c>
      <c r="S36" s="1">
        <v>141</v>
      </c>
      <c r="T36" s="2">
        <f t="shared" si="0"/>
        <v>22</v>
      </c>
      <c r="U36" s="1">
        <v>139</v>
      </c>
      <c r="V36" s="2">
        <f t="shared" si="1"/>
        <v>22</v>
      </c>
      <c r="W36" s="1">
        <v>2</v>
      </c>
      <c r="X36" s="1" t="s">
        <v>51</v>
      </c>
      <c r="Y36" s="1" t="s">
        <v>67</v>
      </c>
      <c r="Z36" s="1" t="s">
        <v>128</v>
      </c>
      <c r="AA36" s="1" t="s">
        <v>112</v>
      </c>
      <c r="AB36" s="1" t="s">
        <v>340</v>
      </c>
      <c r="AV36" s="13"/>
    </row>
    <row r="37" spans="1:48" x14ac:dyDescent="0.15">
      <c r="A37" s="1" t="s">
        <v>73</v>
      </c>
      <c r="B37" s="1" t="s">
        <v>336</v>
      </c>
      <c r="C37" s="108">
        <v>2020</v>
      </c>
      <c r="D37" s="38" t="s">
        <v>337</v>
      </c>
      <c r="E37" s="1" t="s">
        <v>347</v>
      </c>
      <c r="F37" s="1" t="s">
        <v>348</v>
      </c>
      <c r="G37" s="1" t="s">
        <v>37</v>
      </c>
      <c r="H37" s="1" t="s">
        <v>63</v>
      </c>
      <c r="I37" s="1" t="s">
        <v>64</v>
      </c>
      <c r="J37" s="1" t="s">
        <v>40</v>
      </c>
      <c r="K37" s="1" t="s">
        <v>41</v>
      </c>
      <c r="L37" s="1">
        <v>3</v>
      </c>
      <c r="N37" s="1">
        <v>1</v>
      </c>
      <c r="O37" s="1">
        <v>0.32</v>
      </c>
      <c r="P37" s="1">
        <v>0.27</v>
      </c>
      <c r="Q37" s="7">
        <f t="shared" si="2"/>
        <v>0.29500000000000004</v>
      </c>
      <c r="R37" s="1">
        <v>16</v>
      </c>
      <c r="S37" s="1">
        <v>145</v>
      </c>
      <c r="T37" s="2">
        <f t="shared" si="0"/>
        <v>22</v>
      </c>
      <c r="U37" s="1">
        <v>139</v>
      </c>
      <c r="V37" s="2">
        <f t="shared" si="1"/>
        <v>22</v>
      </c>
      <c r="W37" s="1">
        <v>2</v>
      </c>
      <c r="X37" s="1" t="s">
        <v>51</v>
      </c>
      <c r="Y37" s="1" t="s">
        <v>67</v>
      </c>
      <c r="Z37" s="1" t="s">
        <v>128</v>
      </c>
      <c r="AA37" s="1" t="s">
        <v>112</v>
      </c>
      <c r="AB37" s="1" t="s">
        <v>340</v>
      </c>
      <c r="AV37" s="13"/>
    </row>
    <row r="38" spans="1:48" x14ac:dyDescent="0.15">
      <c r="A38" s="1" t="s">
        <v>73</v>
      </c>
      <c r="B38" s="1" t="s">
        <v>336</v>
      </c>
      <c r="C38" s="108">
        <v>2020</v>
      </c>
      <c r="D38" s="38" t="s">
        <v>337</v>
      </c>
      <c r="E38" s="1" t="s">
        <v>347</v>
      </c>
      <c r="F38" s="1" t="s">
        <v>348</v>
      </c>
      <c r="G38" s="1" t="s">
        <v>37</v>
      </c>
      <c r="H38" s="1" t="s">
        <v>77</v>
      </c>
      <c r="I38" s="1" t="s">
        <v>64</v>
      </c>
      <c r="J38" s="1" t="s">
        <v>40</v>
      </c>
      <c r="K38" s="1" t="s">
        <v>41</v>
      </c>
      <c r="L38" s="1">
        <v>1</v>
      </c>
      <c r="N38" s="1">
        <v>4</v>
      </c>
      <c r="O38" s="1">
        <v>0.35</v>
      </c>
      <c r="P38" s="1">
        <v>0.41</v>
      </c>
      <c r="Q38" s="7">
        <f t="shared" si="2"/>
        <v>0.38</v>
      </c>
      <c r="R38" s="1">
        <v>15.8</v>
      </c>
      <c r="S38" s="1">
        <v>85</v>
      </c>
      <c r="T38" s="2">
        <f t="shared" si="0"/>
        <v>36</v>
      </c>
      <c r="U38" s="1">
        <v>399</v>
      </c>
      <c r="V38" s="2">
        <f t="shared" si="1"/>
        <v>16</v>
      </c>
      <c r="W38" s="1">
        <v>2</v>
      </c>
      <c r="X38" s="1" t="s">
        <v>51</v>
      </c>
      <c r="Y38" s="1" t="s">
        <v>67</v>
      </c>
      <c r="Z38" s="1" t="s">
        <v>128</v>
      </c>
      <c r="AA38" s="1" t="s">
        <v>112</v>
      </c>
      <c r="AB38" s="1" t="s">
        <v>340</v>
      </c>
      <c r="AV38" s="14"/>
    </row>
    <row r="39" spans="1:48" x14ac:dyDescent="0.15">
      <c r="A39" s="1" t="s">
        <v>73</v>
      </c>
      <c r="B39" s="1" t="s">
        <v>336</v>
      </c>
      <c r="C39" s="108">
        <v>2020</v>
      </c>
      <c r="D39" s="38" t="s">
        <v>337</v>
      </c>
      <c r="E39" s="1" t="s">
        <v>347</v>
      </c>
      <c r="F39" s="1" t="s">
        <v>348</v>
      </c>
      <c r="G39" s="1" t="s">
        <v>37</v>
      </c>
      <c r="H39" s="1" t="s">
        <v>77</v>
      </c>
      <c r="I39" s="1" t="s">
        <v>64</v>
      </c>
      <c r="J39" s="1" t="s">
        <v>40</v>
      </c>
      <c r="K39" s="1" t="s">
        <v>41</v>
      </c>
      <c r="L39" s="1">
        <v>2</v>
      </c>
      <c r="N39" s="1">
        <v>4</v>
      </c>
      <c r="O39" s="1">
        <v>0.44</v>
      </c>
      <c r="P39" s="1">
        <v>0.46</v>
      </c>
      <c r="Q39" s="7">
        <f t="shared" si="2"/>
        <v>0.45</v>
      </c>
      <c r="R39" s="1">
        <v>14.7</v>
      </c>
      <c r="S39" s="1">
        <v>99</v>
      </c>
      <c r="T39" s="2">
        <f t="shared" si="0"/>
        <v>33</v>
      </c>
      <c r="U39" s="1">
        <v>399</v>
      </c>
      <c r="V39" s="2">
        <f t="shared" si="1"/>
        <v>16</v>
      </c>
      <c r="W39" s="1">
        <v>2</v>
      </c>
      <c r="X39" s="1" t="s">
        <v>51</v>
      </c>
      <c r="Y39" s="1" t="s">
        <v>67</v>
      </c>
      <c r="Z39" s="1" t="s">
        <v>128</v>
      </c>
      <c r="AA39" s="1" t="s">
        <v>112</v>
      </c>
      <c r="AB39" s="1" t="s">
        <v>340</v>
      </c>
    </row>
    <row r="40" spans="1:48" x14ac:dyDescent="0.15">
      <c r="A40" s="1" t="s">
        <v>73</v>
      </c>
      <c r="B40" s="1" t="s">
        <v>336</v>
      </c>
      <c r="C40" s="108">
        <v>2020</v>
      </c>
      <c r="D40" s="38" t="s">
        <v>337</v>
      </c>
      <c r="E40" s="1" t="s">
        <v>347</v>
      </c>
      <c r="F40" s="1" t="s">
        <v>348</v>
      </c>
      <c r="G40" s="1" t="s">
        <v>37</v>
      </c>
      <c r="H40" s="1" t="s">
        <v>77</v>
      </c>
      <c r="I40" s="1" t="s">
        <v>64</v>
      </c>
      <c r="J40" s="1" t="s">
        <v>40</v>
      </c>
      <c r="K40" s="1" t="s">
        <v>41</v>
      </c>
      <c r="L40" s="1">
        <v>3</v>
      </c>
      <c r="N40" s="1">
        <v>4</v>
      </c>
      <c r="O40" s="1">
        <v>0.43</v>
      </c>
      <c r="P40" s="1">
        <v>0.46</v>
      </c>
      <c r="Q40" s="7">
        <f t="shared" si="2"/>
        <v>0.44500000000000001</v>
      </c>
      <c r="R40" s="1">
        <v>15.7</v>
      </c>
      <c r="S40" s="1">
        <v>101</v>
      </c>
      <c r="T40" s="2">
        <f t="shared" si="0"/>
        <v>33</v>
      </c>
      <c r="U40" s="1">
        <v>399</v>
      </c>
      <c r="V40" s="2">
        <f t="shared" si="1"/>
        <v>16</v>
      </c>
      <c r="W40" s="1">
        <v>2</v>
      </c>
      <c r="X40" s="1" t="s">
        <v>51</v>
      </c>
      <c r="Y40" s="1" t="s">
        <v>67</v>
      </c>
      <c r="Z40" s="1" t="s">
        <v>128</v>
      </c>
      <c r="AA40" s="1" t="s">
        <v>112</v>
      </c>
      <c r="AB40" s="1" t="s">
        <v>340</v>
      </c>
    </row>
    <row r="41" spans="1:48" x14ac:dyDescent="0.15">
      <c r="A41" s="1" t="s">
        <v>73</v>
      </c>
      <c r="B41" s="1" t="s">
        <v>336</v>
      </c>
      <c r="C41" s="108">
        <v>2020</v>
      </c>
      <c r="D41" s="38" t="s">
        <v>337</v>
      </c>
      <c r="E41" s="1" t="s">
        <v>199</v>
      </c>
      <c r="F41" s="1" t="s">
        <v>348</v>
      </c>
      <c r="G41" s="1" t="s">
        <v>37</v>
      </c>
      <c r="H41" s="1" t="s">
        <v>82</v>
      </c>
      <c r="I41" s="1" t="s">
        <v>64</v>
      </c>
      <c r="J41" s="1" t="s">
        <v>40</v>
      </c>
      <c r="K41" s="1" t="s">
        <v>41</v>
      </c>
      <c r="L41" s="1">
        <v>1</v>
      </c>
      <c r="N41" s="1">
        <v>4</v>
      </c>
      <c r="O41" s="1">
        <v>0.24</v>
      </c>
      <c r="P41" s="1">
        <v>0.22</v>
      </c>
      <c r="Q41" s="7">
        <f t="shared" si="2"/>
        <v>0.22999999999999998</v>
      </c>
      <c r="R41" s="1">
        <v>16.8</v>
      </c>
      <c r="S41" s="1">
        <v>106</v>
      </c>
      <c r="T41" s="2">
        <f t="shared" si="0"/>
        <v>33</v>
      </c>
      <c r="U41" s="1">
        <v>598</v>
      </c>
      <c r="V41" s="2">
        <f t="shared" si="1"/>
        <v>16</v>
      </c>
      <c r="W41" s="1">
        <v>1</v>
      </c>
      <c r="X41" s="1" t="s">
        <v>51</v>
      </c>
      <c r="Y41" s="1" t="s">
        <v>74</v>
      </c>
      <c r="Z41" s="1" t="s">
        <v>128</v>
      </c>
      <c r="AA41" s="1" t="s">
        <v>101</v>
      </c>
      <c r="AB41" s="1" t="s">
        <v>340</v>
      </c>
    </row>
    <row r="42" spans="1:48" x14ac:dyDescent="0.15">
      <c r="A42" s="1" t="s">
        <v>73</v>
      </c>
      <c r="B42" s="1" t="s">
        <v>336</v>
      </c>
      <c r="C42" s="108">
        <v>2020</v>
      </c>
      <c r="D42" s="38" t="s">
        <v>337</v>
      </c>
      <c r="E42" s="1" t="s">
        <v>199</v>
      </c>
      <c r="F42" s="1" t="s">
        <v>348</v>
      </c>
      <c r="G42" s="1" t="s">
        <v>37</v>
      </c>
      <c r="H42" s="1" t="s">
        <v>82</v>
      </c>
      <c r="I42" s="1" t="s">
        <v>64</v>
      </c>
      <c r="J42" s="1" t="s">
        <v>40</v>
      </c>
      <c r="K42" s="1" t="s">
        <v>41</v>
      </c>
      <c r="L42" s="1">
        <v>2</v>
      </c>
      <c r="N42" s="1">
        <v>4</v>
      </c>
      <c r="O42" s="1">
        <v>0.23</v>
      </c>
      <c r="P42" s="1">
        <v>0.22</v>
      </c>
      <c r="Q42" s="7">
        <f t="shared" si="2"/>
        <v>0.22500000000000001</v>
      </c>
      <c r="R42" s="1">
        <v>17</v>
      </c>
      <c r="S42" s="1">
        <v>95</v>
      </c>
      <c r="T42" s="2">
        <f t="shared" si="0"/>
        <v>36</v>
      </c>
      <c r="U42" s="1">
        <v>598</v>
      </c>
      <c r="V42" s="2">
        <f t="shared" si="1"/>
        <v>16</v>
      </c>
      <c r="W42" s="1">
        <v>1</v>
      </c>
      <c r="X42" s="1" t="s">
        <v>51</v>
      </c>
      <c r="Y42" s="1" t="s">
        <v>74</v>
      </c>
      <c r="Z42" s="1" t="s">
        <v>128</v>
      </c>
      <c r="AA42" s="1" t="s">
        <v>101</v>
      </c>
      <c r="AB42" s="1" t="s">
        <v>340</v>
      </c>
    </row>
    <row r="43" spans="1:48" x14ac:dyDescent="0.15">
      <c r="A43" s="1" t="s">
        <v>73</v>
      </c>
      <c r="B43" s="1" t="s">
        <v>336</v>
      </c>
      <c r="C43" s="108">
        <v>2020</v>
      </c>
      <c r="D43" s="38" t="s">
        <v>337</v>
      </c>
      <c r="E43" s="1" t="s">
        <v>199</v>
      </c>
      <c r="F43" s="1" t="s">
        <v>348</v>
      </c>
      <c r="G43" s="1" t="s">
        <v>37</v>
      </c>
      <c r="H43" s="1" t="s">
        <v>82</v>
      </c>
      <c r="I43" s="1" t="s">
        <v>64</v>
      </c>
      <c r="J43" s="1" t="s">
        <v>40</v>
      </c>
      <c r="K43" s="1" t="s">
        <v>41</v>
      </c>
      <c r="L43" s="1">
        <v>3</v>
      </c>
      <c r="N43" s="1">
        <v>4</v>
      </c>
      <c r="O43" s="1">
        <v>0.27</v>
      </c>
      <c r="P43" s="1">
        <v>0.25</v>
      </c>
      <c r="Q43" s="7">
        <f t="shared" si="2"/>
        <v>0.26</v>
      </c>
      <c r="R43" s="1">
        <v>17.3</v>
      </c>
      <c r="S43" s="1">
        <v>109</v>
      </c>
      <c r="T43" s="2">
        <f t="shared" si="0"/>
        <v>33</v>
      </c>
      <c r="U43" s="1">
        <v>598</v>
      </c>
      <c r="V43" s="2">
        <f t="shared" si="1"/>
        <v>16</v>
      </c>
      <c r="W43" s="1">
        <v>1</v>
      </c>
      <c r="X43" s="1" t="s">
        <v>51</v>
      </c>
      <c r="Y43" s="1" t="s">
        <v>74</v>
      </c>
      <c r="Z43" s="1" t="s">
        <v>128</v>
      </c>
      <c r="AA43" s="1" t="s">
        <v>101</v>
      </c>
      <c r="AB43" s="1" t="s">
        <v>340</v>
      </c>
    </row>
    <row r="44" spans="1:48" x14ac:dyDescent="0.15">
      <c r="A44" s="1" t="s">
        <v>73</v>
      </c>
      <c r="B44" s="1" t="s">
        <v>336</v>
      </c>
      <c r="C44" s="108">
        <v>2020</v>
      </c>
      <c r="D44" s="38" t="s">
        <v>337</v>
      </c>
      <c r="E44" s="1" t="s">
        <v>199</v>
      </c>
      <c r="F44" s="1" t="s">
        <v>348</v>
      </c>
      <c r="G44" s="1" t="s">
        <v>37</v>
      </c>
      <c r="H44" s="1" t="s">
        <v>82</v>
      </c>
      <c r="I44" s="1" t="s">
        <v>64</v>
      </c>
      <c r="J44" s="1" t="s">
        <v>40</v>
      </c>
      <c r="K44" s="1" t="s">
        <v>41</v>
      </c>
      <c r="L44" s="1">
        <v>1</v>
      </c>
      <c r="N44" s="1">
        <v>1</v>
      </c>
      <c r="O44" s="1">
        <v>0.52</v>
      </c>
      <c r="P44" s="1">
        <v>0.5</v>
      </c>
      <c r="Q44" s="7">
        <f t="shared" si="2"/>
        <v>0.51</v>
      </c>
      <c r="R44" s="1">
        <v>16.3</v>
      </c>
      <c r="S44" s="1">
        <v>154</v>
      </c>
      <c r="T44" s="2">
        <f t="shared" si="0"/>
        <v>18</v>
      </c>
      <c r="U44" s="1">
        <v>198</v>
      </c>
      <c r="V44" s="2">
        <f t="shared" si="1"/>
        <v>16</v>
      </c>
      <c r="W44" s="1">
        <v>1</v>
      </c>
      <c r="X44" s="1" t="s">
        <v>51</v>
      </c>
      <c r="Y44" s="1" t="s">
        <v>74</v>
      </c>
      <c r="Z44" s="1" t="s">
        <v>128</v>
      </c>
      <c r="AA44" s="1" t="s">
        <v>101</v>
      </c>
      <c r="AB44" s="1" t="s">
        <v>340</v>
      </c>
    </row>
    <row r="45" spans="1:48" x14ac:dyDescent="0.15">
      <c r="A45" s="1" t="s">
        <v>73</v>
      </c>
      <c r="B45" s="1" t="s">
        <v>336</v>
      </c>
      <c r="C45" s="108">
        <v>2020</v>
      </c>
      <c r="D45" s="38" t="s">
        <v>337</v>
      </c>
      <c r="E45" s="1" t="s">
        <v>199</v>
      </c>
      <c r="F45" s="1" t="s">
        <v>348</v>
      </c>
      <c r="G45" s="1" t="s">
        <v>37</v>
      </c>
      <c r="H45" s="1" t="s">
        <v>82</v>
      </c>
      <c r="I45" s="1" t="s">
        <v>64</v>
      </c>
      <c r="J45" s="1" t="s">
        <v>40</v>
      </c>
      <c r="K45" s="1" t="s">
        <v>41</v>
      </c>
      <c r="L45" s="1">
        <v>2</v>
      </c>
      <c r="N45" s="1">
        <v>1</v>
      </c>
      <c r="O45" s="1">
        <v>0.51</v>
      </c>
      <c r="P45" s="1">
        <v>0.52</v>
      </c>
      <c r="Q45" s="7">
        <f t="shared" si="2"/>
        <v>0.51500000000000001</v>
      </c>
      <c r="R45" s="1">
        <v>17.100000000000001</v>
      </c>
      <c r="S45" s="1">
        <v>152</v>
      </c>
      <c r="T45" s="2">
        <f t="shared" si="0"/>
        <v>18</v>
      </c>
      <c r="U45" s="1">
        <v>198</v>
      </c>
      <c r="V45" s="2">
        <f t="shared" si="1"/>
        <v>16</v>
      </c>
      <c r="W45" s="1">
        <v>1</v>
      </c>
      <c r="X45" s="1" t="s">
        <v>51</v>
      </c>
      <c r="Y45" s="1" t="s">
        <v>74</v>
      </c>
      <c r="Z45" s="1" t="s">
        <v>128</v>
      </c>
      <c r="AA45" s="1" t="s">
        <v>101</v>
      </c>
      <c r="AB45" s="1" t="s">
        <v>340</v>
      </c>
    </row>
    <row r="46" spans="1:48" x14ac:dyDescent="0.15">
      <c r="A46" s="1" t="s">
        <v>73</v>
      </c>
      <c r="B46" s="1" t="s">
        <v>336</v>
      </c>
      <c r="C46" s="108">
        <v>2020</v>
      </c>
      <c r="D46" s="38" t="s">
        <v>337</v>
      </c>
      <c r="E46" s="1" t="s">
        <v>199</v>
      </c>
      <c r="F46" s="1" t="s">
        <v>348</v>
      </c>
      <c r="G46" s="1" t="s">
        <v>37</v>
      </c>
      <c r="H46" s="1" t="s">
        <v>82</v>
      </c>
      <c r="I46" s="1" t="s">
        <v>64</v>
      </c>
      <c r="J46" s="1" t="s">
        <v>40</v>
      </c>
      <c r="K46" s="1" t="s">
        <v>41</v>
      </c>
      <c r="L46" s="1">
        <v>3</v>
      </c>
      <c r="N46" s="1">
        <v>1</v>
      </c>
      <c r="O46" s="1">
        <v>0.49</v>
      </c>
      <c r="P46" s="1">
        <v>0.5</v>
      </c>
      <c r="Q46" s="7">
        <f t="shared" si="2"/>
        <v>0.495</v>
      </c>
      <c r="R46" s="1">
        <v>16.899999999999999</v>
      </c>
      <c r="S46" s="1">
        <v>159</v>
      </c>
      <c r="T46" s="2">
        <f t="shared" si="0"/>
        <v>18</v>
      </c>
      <c r="U46" s="1">
        <v>198</v>
      </c>
      <c r="V46" s="2">
        <f t="shared" si="1"/>
        <v>16</v>
      </c>
      <c r="W46" s="1">
        <v>1</v>
      </c>
      <c r="X46" s="1" t="s">
        <v>51</v>
      </c>
      <c r="Y46" s="1" t="s">
        <v>74</v>
      </c>
      <c r="Z46" s="1" t="s">
        <v>128</v>
      </c>
      <c r="AA46" s="1" t="s">
        <v>101</v>
      </c>
      <c r="AB46" s="1" t="s">
        <v>340</v>
      </c>
    </row>
    <row r="47" spans="1:48" x14ac:dyDescent="0.15">
      <c r="A47" s="1" t="s">
        <v>73</v>
      </c>
      <c r="B47" s="1" t="s">
        <v>336</v>
      </c>
      <c r="C47" s="108">
        <v>2020</v>
      </c>
      <c r="D47" s="38" t="s">
        <v>337</v>
      </c>
      <c r="E47" s="1" t="s">
        <v>199</v>
      </c>
      <c r="F47" s="1" t="s">
        <v>348</v>
      </c>
      <c r="G47" s="1" t="s">
        <v>37</v>
      </c>
      <c r="H47" s="1" t="s">
        <v>63</v>
      </c>
      <c r="I47" s="1" t="s">
        <v>64</v>
      </c>
      <c r="J47" s="1" t="s">
        <v>40</v>
      </c>
      <c r="K47" s="1" t="s">
        <v>41</v>
      </c>
      <c r="L47" s="1">
        <v>1</v>
      </c>
      <c r="N47" s="1">
        <v>4</v>
      </c>
      <c r="O47" s="1">
        <v>0.39</v>
      </c>
      <c r="P47" s="1">
        <v>0.38</v>
      </c>
      <c r="Q47" s="7">
        <f t="shared" si="2"/>
        <v>0.38500000000000001</v>
      </c>
      <c r="R47" s="1">
        <v>14.7</v>
      </c>
      <c r="S47" s="1">
        <v>100</v>
      </c>
      <c r="T47" s="2">
        <f t="shared" si="0"/>
        <v>33</v>
      </c>
      <c r="U47" s="1">
        <v>398</v>
      </c>
      <c r="V47" s="2">
        <f t="shared" si="1"/>
        <v>16</v>
      </c>
      <c r="W47" s="1">
        <v>1</v>
      </c>
      <c r="X47" s="1" t="s">
        <v>51</v>
      </c>
      <c r="Y47" s="1" t="s">
        <v>74</v>
      </c>
      <c r="Z47" s="1" t="s">
        <v>128</v>
      </c>
      <c r="AA47" s="1" t="s">
        <v>101</v>
      </c>
      <c r="AB47" s="1" t="s">
        <v>340</v>
      </c>
    </row>
    <row r="48" spans="1:48" x14ac:dyDescent="0.15">
      <c r="A48" s="1" t="s">
        <v>73</v>
      </c>
      <c r="B48" s="1" t="s">
        <v>336</v>
      </c>
      <c r="C48" s="108">
        <v>2020</v>
      </c>
      <c r="D48" s="38" t="s">
        <v>337</v>
      </c>
      <c r="E48" s="1" t="s">
        <v>199</v>
      </c>
      <c r="F48" s="1" t="s">
        <v>348</v>
      </c>
      <c r="G48" s="1" t="s">
        <v>37</v>
      </c>
      <c r="H48" s="1" t="s">
        <v>63</v>
      </c>
      <c r="I48" s="1" t="s">
        <v>64</v>
      </c>
      <c r="J48" s="1" t="s">
        <v>40</v>
      </c>
      <c r="K48" s="1" t="s">
        <v>41</v>
      </c>
      <c r="L48" s="1">
        <v>2</v>
      </c>
      <c r="N48" s="1">
        <v>4</v>
      </c>
      <c r="O48" s="1">
        <v>0.4</v>
      </c>
      <c r="P48" s="1">
        <v>0.4</v>
      </c>
      <c r="Q48" s="7">
        <f t="shared" si="2"/>
        <v>0.4</v>
      </c>
      <c r="R48" s="1">
        <v>14.6</v>
      </c>
      <c r="S48" s="1">
        <v>98</v>
      </c>
      <c r="T48" s="2">
        <f t="shared" si="0"/>
        <v>36</v>
      </c>
      <c r="U48" s="1">
        <v>398</v>
      </c>
      <c r="V48" s="2">
        <f t="shared" si="1"/>
        <v>16</v>
      </c>
      <c r="W48" s="1">
        <v>1</v>
      </c>
      <c r="X48" s="1" t="s">
        <v>51</v>
      </c>
      <c r="Y48" s="1" t="s">
        <v>74</v>
      </c>
      <c r="Z48" s="1" t="s">
        <v>128</v>
      </c>
      <c r="AA48" s="1" t="s">
        <v>101</v>
      </c>
      <c r="AB48" s="1" t="s">
        <v>340</v>
      </c>
    </row>
    <row r="49" spans="1:28" x14ac:dyDescent="0.15">
      <c r="A49" s="1" t="s">
        <v>73</v>
      </c>
      <c r="B49" s="1" t="s">
        <v>336</v>
      </c>
      <c r="C49" s="108">
        <v>2020</v>
      </c>
      <c r="D49" s="38" t="s">
        <v>337</v>
      </c>
      <c r="E49" s="1" t="s">
        <v>199</v>
      </c>
      <c r="F49" s="1" t="s">
        <v>348</v>
      </c>
      <c r="G49" s="1" t="s">
        <v>37</v>
      </c>
      <c r="H49" s="1" t="s">
        <v>63</v>
      </c>
      <c r="I49" s="1" t="s">
        <v>64</v>
      </c>
      <c r="J49" s="1" t="s">
        <v>40</v>
      </c>
      <c r="K49" s="1" t="s">
        <v>41</v>
      </c>
      <c r="L49" s="1">
        <v>3</v>
      </c>
      <c r="N49" s="1">
        <v>4</v>
      </c>
      <c r="O49" s="1">
        <v>0.44</v>
      </c>
      <c r="P49" s="1">
        <v>0.41</v>
      </c>
      <c r="Q49" s="7">
        <f t="shared" si="2"/>
        <v>0.42499999999999999</v>
      </c>
      <c r="R49" s="1">
        <v>14.4</v>
      </c>
      <c r="S49" s="1">
        <v>107</v>
      </c>
      <c r="T49" s="2">
        <f t="shared" si="0"/>
        <v>33</v>
      </c>
      <c r="U49" s="1">
        <v>398</v>
      </c>
      <c r="V49" s="2">
        <f t="shared" si="1"/>
        <v>16</v>
      </c>
      <c r="W49" s="1">
        <v>1</v>
      </c>
      <c r="X49" s="1" t="s">
        <v>51</v>
      </c>
      <c r="Y49" s="1" t="s">
        <v>74</v>
      </c>
      <c r="Z49" s="1" t="s">
        <v>128</v>
      </c>
      <c r="AA49" s="1" t="s">
        <v>101</v>
      </c>
      <c r="AB49" s="1" t="s">
        <v>340</v>
      </c>
    </row>
    <row r="50" spans="1:28" x14ac:dyDescent="0.15">
      <c r="A50" s="1" t="s">
        <v>73</v>
      </c>
      <c r="B50" s="1" t="s">
        <v>336</v>
      </c>
      <c r="C50" s="108">
        <v>2020</v>
      </c>
      <c r="D50" s="38" t="s">
        <v>337</v>
      </c>
      <c r="E50" s="1" t="s">
        <v>199</v>
      </c>
      <c r="F50" s="1" t="s">
        <v>348</v>
      </c>
      <c r="G50" s="1" t="s">
        <v>37</v>
      </c>
      <c r="H50" s="1" t="s">
        <v>77</v>
      </c>
      <c r="I50" s="1" t="s">
        <v>64</v>
      </c>
      <c r="J50" s="1" t="s">
        <v>40</v>
      </c>
      <c r="K50" s="1" t="s">
        <v>41</v>
      </c>
      <c r="L50" s="1">
        <v>1</v>
      </c>
      <c r="N50" s="1">
        <v>5</v>
      </c>
      <c r="O50" s="1">
        <v>0.46</v>
      </c>
      <c r="P50" s="1">
        <v>0.49</v>
      </c>
      <c r="Q50" s="7">
        <f t="shared" si="2"/>
        <v>0.47499999999999998</v>
      </c>
      <c r="R50" s="1">
        <v>17.600000000000001</v>
      </c>
      <c r="S50" s="1">
        <v>105</v>
      </c>
      <c r="T50" s="2">
        <f t="shared" si="0"/>
        <v>33</v>
      </c>
      <c r="U50" s="1">
        <v>398</v>
      </c>
      <c r="V50" s="2">
        <f t="shared" si="1"/>
        <v>16</v>
      </c>
      <c r="W50" s="1">
        <v>1</v>
      </c>
      <c r="X50" s="1" t="s">
        <v>51</v>
      </c>
      <c r="Y50" s="1" t="s">
        <v>74</v>
      </c>
      <c r="Z50" s="1" t="s">
        <v>128</v>
      </c>
      <c r="AA50" s="1" t="s">
        <v>101</v>
      </c>
      <c r="AB50" s="1" t="s">
        <v>340</v>
      </c>
    </row>
    <row r="51" spans="1:28" x14ac:dyDescent="0.15">
      <c r="A51" s="1" t="s">
        <v>73</v>
      </c>
      <c r="B51" s="1" t="s">
        <v>336</v>
      </c>
      <c r="C51" s="108">
        <v>2020</v>
      </c>
      <c r="D51" s="38" t="s">
        <v>337</v>
      </c>
      <c r="E51" s="1" t="s">
        <v>199</v>
      </c>
      <c r="F51" s="1" t="s">
        <v>348</v>
      </c>
      <c r="G51" s="1" t="s">
        <v>37</v>
      </c>
      <c r="H51" s="1" t="s">
        <v>77</v>
      </c>
      <c r="I51" s="1" t="s">
        <v>64</v>
      </c>
      <c r="J51" s="1" t="s">
        <v>40</v>
      </c>
      <c r="K51" s="1" t="s">
        <v>41</v>
      </c>
      <c r="L51" s="1">
        <v>2</v>
      </c>
      <c r="N51" s="1">
        <v>5</v>
      </c>
      <c r="O51" s="1">
        <v>0.44</v>
      </c>
      <c r="P51" s="1">
        <v>0.48</v>
      </c>
      <c r="Q51" s="7">
        <f t="shared" si="2"/>
        <v>0.45999999999999996</v>
      </c>
      <c r="R51" s="1">
        <v>17.399999999999999</v>
      </c>
      <c r="S51" s="1">
        <v>100</v>
      </c>
      <c r="T51" s="2">
        <f t="shared" si="0"/>
        <v>33</v>
      </c>
      <c r="U51" s="1">
        <v>398</v>
      </c>
      <c r="V51" s="2">
        <f t="shared" si="1"/>
        <v>16</v>
      </c>
      <c r="W51" s="1">
        <v>1</v>
      </c>
      <c r="X51" s="1" t="s">
        <v>51</v>
      </c>
      <c r="Y51" s="1" t="s">
        <v>74</v>
      </c>
      <c r="Z51" s="1" t="s">
        <v>128</v>
      </c>
      <c r="AA51" s="1" t="s">
        <v>101</v>
      </c>
      <c r="AB51" s="1" t="s">
        <v>340</v>
      </c>
    </row>
    <row r="52" spans="1:28" x14ac:dyDescent="0.15">
      <c r="A52" s="1" t="s">
        <v>73</v>
      </c>
      <c r="B52" s="1" t="s">
        <v>336</v>
      </c>
      <c r="C52" s="108">
        <v>2020</v>
      </c>
      <c r="D52" s="38" t="s">
        <v>337</v>
      </c>
      <c r="E52" s="1" t="s">
        <v>199</v>
      </c>
      <c r="F52" s="1" t="s">
        <v>348</v>
      </c>
      <c r="G52" s="1" t="s">
        <v>37</v>
      </c>
      <c r="H52" s="1" t="s">
        <v>77</v>
      </c>
      <c r="I52" s="1" t="s">
        <v>64</v>
      </c>
      <c r="J52" s="1" t="s">
        <v>40</v>
      </c>
      <c r="K52" s="1" t="s">
        <v>41</v>
      </c>
      <c r="L52" s="1">
        <v>3</v>
      </c>
      <c r="N52" s="1">
        <v>5</v>
      </c>
      <c r="O52" s="1">
        <v>0.52</v>
      </c>
      <c r="P52" s="1">
        <v>0.54</v>
      </c>
      <c r="Q52" s="7">
        <f t="shared" si="2"/>
        <v>0.53</v>
      </c>
      <c r="R52" s="1">
        <v>17.100000000000001</v>
      </c>
      <c r="S52" s="1">
        <v>95</v>
      </c>
      <c r="T52" s="2">
        <f t="shared" si="0"/>
        <v>36</v>
      </c>
      <c r="U52" s="1">
        <v>398</v>
      </c>
      <c r="V52" s="2">
        <f t="shared" si="1"/>
        <v>16</v>
      </c>
      <c r="W52" s="1">
        <v>1</v>
      </c>
      <c r="X52" s="1" t="s">
        <v>51</v>
      </c>
      <c r="Y52" s="1" t="s">
        <v>74</v>
      </c>
      <c r="Z52" s="1" t="s">
        <v>128</v>
      </c>
      <c r="AA52" s="1" t="s">
        <v>101</v>
      </c>
      <c r="AB52" s="1" t="s">
        <v>340</v>
      </c>
    </row>
    <row r="53" spans="1:28" x14ac:dyDescent="0.15">
      <c r="A53" s="1" t="s">
        <v>73</v>
      </c>
      <c r="B53" s="1" t="s">
        <v>336</v>
      </c>
      <c r="C53" s="108">
        <v>2020</v>
      </c>
      <c r="D53" s="38" t="s">
        <v>337</v>
      </c>
      <c r="E53" s="1" t="s">
        <v>198</v>
      </c>
      <c r="F53" s="1" t="s">
        <v>355</v>
      </c>
      <c r="G53" s="1" t="s">
        <v>46</v>
      </c>
      <c r="H53" s="1" t="s">
        <v>82</v>
      </c>
      <c r="I53" s="1" t="s">
        <v>64</v>
      </c>
      <c r="J53" s="1" t="s">
        <v>40</v>
      </c>
      <c r="K53" s="1" t="s">
        <v>41</v>
      </c>
      <c r="L53" s="1">
        <v>1</v>
      </c>
      <c r="N53" s="1">
        <v>1</v>
      </c>
      <c r="O53" s="1">
        <v>0.37</v>
      </c>
      <c r="P53" s="1">
        <v>0.4</v>
      </c>
      <c r="Q53" s="7">
        <f t="shared" si="2"/>
        <v>0.38500000000000001</v>
      </c>
      <c r="R53" s="1">
        <v>16.3</v>
      </c>
      <c r="S53" s="1">
        <v>150</v>
      </c>
      <c r="T53" s="2">
        <f t="shared" si="0"/>
        <v>22</v>
      </c>
      <c r="U53" s="1">
        <v>138</v>
      </c>
      <c r="V53" s="2">
        <f t="shared" si="1"/>
        <v>22</v>
      </c>
      <c r="W53" s="1">
        <v>2</v>
      </c>
      <c r="X53" s="1" t="s">
        <v>42</v>
      </c>
      <c r="Y53" s="1" t="s">
        <v>122</v>
      </c>
      <c r="Z53" s="1" t="s">
        <v>128</v>
      </c>
      <c r="AA53" s="1" t="s">
        <v>339</v>
      </c>
      <c r="AB53" s="1" t="s">
        <v>340</v>
      </c>
    </row>
    <row r="54" spans="1:28" x14ac:dyDescent="0.15">
      <c r="A54" s="1" t="s">
        <v>73</v>
      </c>
      <c r="B54" s="1" t="s">
        <v>336</v>
      </c>
      <c r="C54" s="108">
        <v>2020</v>
      </c>
      <c r="D54" s="38" t="s">
        <v>337</v>
      </c>
      <c r="E54" s="1" t="s">
        <v>198</v>
      </c>
      <c r="F54" s="1" t="s">
        <v>355</v>
      </c>
      <c r="G54" s="1" t="s">
        <v>46</v>
      </c>
      <c r="H54" s="1" t="s">
        <v>82</v>
      </c>
      <c r="I54" s="1" t="s">
        <v>64</v>
      </c>
      <c r="J54" s="1" t="s">
        <v>40</v>
      </c>
      <c r="K54" s="1" t="s">
        <v>41</v>
      </c>
      <c r="L54" s="1">
        <v>2</v>
      </c>
      <c r="N54" s="1">
        <v>1</v>
      </c>
      <c r="O54" s="1">
        <v>0.45</v>
      </c>
      <c r="P54" s="1">
        <v>0.39</v>
      </c>
      <c r="Q54" s="7">
        <f t="shared" si="2"/>
        <v>0.42000000000000004</v>
      </c>
      <c r="R54" s="1">
        <v>15.9</v>
      </c>
      <c r="S54" s="1">
        <v>146</v>
      </c>
      <c r="T54" s="2">
        <f t="shared" si="0"/>
        <v>22</v>
      </c>
      <c r="U54" s="1">
        <v>138</v>
      </c>
      <c r="V54" s="2">
        <f t="shared" si="1"/>
        <v>22</v>
      </c>
      <c r="W54" s="1">
        <v>2</v>
      </c>
      <c r="X54" s="1" t="s">
        <v>42</v>
      </c>
      <c r="Y54" s="1" t="s">
        <v>122</v>
      </c>
      <c r="Z54" s="1" t="s">
        <v>128</v>
      </c>
      <c r="AA54" s="1" t="s">
        <v>339</v>
      </c>
      <c r="AB54" s="1" t="s">
        <v>340</v>
      </c>
    </row>
    <row r="55" spans="1:28" x14ac:dyDescent="0.15">
      <c r="A55" s="1" t="s">
        <v>73</v>
      </c>
      <c r="B55" s="1" t="s">
        <v>336</v>
      </c>
      <c r="C55" s="108">
        <v>2020</v>
      </c>
      <c r="D55" s="38" t="s">
        <v>337</v>
      </c>
      <c r="E55" s="1" t="s">
        <v>198</v>
      </c>
      <c r="F55" s="1" t="s">
        <v>355</v>
      </c>
      <c r="G55" s="1" t="s">
        <v>46</v>
      </c>
      <c r="H55" s="1" t="s">
        <v>82</v>
      </c>
      <c r="I55" s="1" t="s">
        <v>64</v>
      </c>
      <c r="J55" s="1" t="s">
        <v>40</v>
      </c>
      <c r="K55" s="1" t="s">
        <v>41</v>
      </c>
      <c r="L55" s="1">
        <v>3</v>
      </c>
      <c r="N55" s="1">
        <v>1</v>
      </c>
      <c r="O55" s="1">
        <v>0.41</v>
      </c>
      <c r="P55" s="1">
        <v>0.39</v>
      </c>
      <c r="Q55" s="7">
        <f t="shared" si="2"/>
        <v>0.4</v>
      </c>
      <c r="R55" s="1">
        <v>16.399999999999999</v>
      </c>
      <c r="S55" s="1">
        <v>140</v>
      </c>
      <c r="T55" s="2">
        <f t="shared" si="0"/>
        <v>22</v>
      </c>
      <c r="U55" s="1">
        <v>138</v>
      </c>
      <c r="V55" s="2">
        <f t="shared" si="1"/>
        <v>22</v>
      </c>
      <c r="W55" s="1">
        <v>2</v>
      </c>
      <c r="X55" s="1" t="s">
        <v>42</v>
      </c>
      <c r="Y55" s="1" t="s">
        <v>122</v>
      </c>
      <c r="Z55" s="1" t="s">
        <v>128</v>
      </c>
      <c r="AA55" s="1" t="s">
        <v>339</v>
      </c>
      <c r="AB55" s="1" t="s">
        <v>340</v>
      </c>
    </row>
    <row r="56" spans="1:28" x14ac:dyDescent="0.15">
      <c r="A56" s="1" t="s">
        <v>73</v>
      </c>
      <c r="B56" s="1" t="s">
        <v>336</v>
      </c>
      <c r="C56" s="108">
        <v>2020</v>
      </c>
      <c r="D56" s="38" t="s">
        <v>337</v>
      </c>
      <c r="E56" s="1" t="s">
        <v>198</v>
      </c>
      <c r="F56" s="1" t="s">
        <v>355</v>
      </c>
      <c r="G56" s="1" t="s">
        <v>46</v>
      </c>
      <c r="H56" s="1" t="s">
        <v>238</v>
      </c>
      <c r="I56" s="1" t="s">
        <v>64</v>
      </c>
      <c r="J56" s="1" t="s">
        <v>136</v>
      </c>
      <c r="K56" s="1" t="s">
        <v>345</v>
      </c>
      <c r="L56" s="1">
        <v>1</v>
      </c>
      <c r="N56" s="1">
        <v>4</v>
      </c>
      <c r="O56" s="1">
        <v>0.38</v>
      </c>
      <c r="P56" s="1">
        <v>0.3</v>
      </c>
      <c r="Q56" s="7">
        <f t="shared" si="2"/>
        <v>0.33999999999999997</v>
      </c>
      <c r="R56" s="1">
        <v>11.6</v>
      </c>
      <c r="S56" s="1">
        <v>121</v>
      </c>
      <c r="T56" s="2">
        <f t="shared" si="0"/>
        <v>27</v>
      </c>
      <c r="U56" s="1">
        <v>398</v>
      </c>
      <c r="V56" s="2">
        <f t="shared" si="1"/>
        <v>16</v>
      </c>
      <c r="W56" s="1">
        <v>1</v>
      </c>
      <c r="X56" s="1" t="s">
        <v>42</v>
      </c>
      <c r="Y56" s="1" t="s">
        <v>122</v>
      </c>
      <c r="Z56" s="1" t="s">
        <v>128</v>
      </c>
      <c r="AA56" s="1" t="s">
        <v>339</v>
      </c>
      <c r="AB56" s="1" t="s">
        <v>340</v>
      </c>
    </row>
    <row r="57" spans="1:28" x14ac:dyDescent="0.15">
      <c r="A57" s="1" t="s">
        <v>73</v>
      </c>
      <c r="B57" s="1" t="s">
        <v>336</v>
      </c>
      <c r="C57" s="108">
        <v>2020</v>
      </c>
      <c r="D57" s="38" t="s">
        <v>337</v>
      </c>
      <c r="E57" s="1" t="s">
        <v>198</v>
      </c>
      <c r="F57" s="1" t="s">
        <v>355</v>
      </c>
      <c r="G57" s="1" t="s">
        <v>46</v>
      </c>
      <c r="H57" s="1" t="s">
        <v>238</v>
      </c>
      <c r="I57" s="1" t="s">
        <v>64</v>
      </c>
      <c r="J57" s="1" t="s">
        <v>136</v>
      </c>
      <c r="K57" s="1" t="s">
        <v>345</v>
      </c>
      <c r="L57" s="1">
        <v>2</v>
      </c>
      <c r="N57" s="1">
        <v>4</v>
      </c>
      <c r="O57" s="1">
        <v>0.76</v>
      </c>
      <c r="P57" s="1">
        <v>0.72</v>
      </c>
      <c r="Q57" s="7">
        <f t="shared" si="2"/>
        <v>0.74</v>
      </c>
      <c r="R57" s="1">
        <v>13.3</v>
      </c>
      <c r="S57" s="1">
        <v>136</v>
      </c>
      <c r="T57" s="2">
        <f t="shared" si="0"/>
        <v>25</v>
      </c>
      <c r="U57" s="1">
        <v>398</v>
      </c>
      <c r="V57" s="2">
        <f t="shared" si="1"/>
        <v>16</v>
      </c>
      <c r="W57" s="1">
        <v>1</v>
      </c>
      <c r="X57" s="1" t="s">
        <v>42</v>
      </c>
      <c r="Y57" s="1" t="s">
        <v>122</v>
      </c>
      <c r="Z57" s="1" t="s">
        <v>128</v>
      </c>
      <c r="AA57" s="1" t="s">
        <v>339</v>
      </c>
      <c r="AB57" s="1" t="s">
        <v>340</v>
      </c>
    </row>
    <row r="58" spans="1:28" x14ac:dyDescent="0.15">
      <c r="A58" s="1" t="s">
        <v>73</v>
      </c>
      <c r="B58" s="1" t="s">
        <v>336</v>
      </c>
      <c r="C58" s="108">
        <v>2020</v>
      </c>
      <c r="D58" s="38" t="s">
        <v>337</v>
      </c>
      <c r="E58" s="1" t="s">
        <v>198</v>
      </c>
      <c r="F58" s="1" t="s">
        <v>355</v>
      </c>
      <c r="G58" s="1" t="s">
        <v>46</v>
      </c>
      <c r="H58" s="1" t="s">
        <v>238</v>
      </c>
      <c r="I58" s="1" t="s">
        <v>64</v>
      </c>
      <c r="J58" s="1" t="s">
        <v>136</v>
      </c>
      <c r="K58" s="1" t="s">
        <v>345</v>
      </c>
      <c r="L58" s="1">
        <v>3</v>
      </c>
      <c r="N58" s="1">
        <v>4</v>
      </c>
      <c r="O58" s="1">
        <v>0.77</v>
      </c>
      <c r="P58" s="1">
        <v>0.8</v>
      </c>
      <c r="Q58" s="7">
        <f t="shared" si="2"/>
        <v>0.78500000000000003</v>
      </c>
      <c r="R58" s="1">
        <v>12.5</v>
      </c>
      <c r="S58" s="1">
        <v>106</v>
      </c>
      <c r="T58" s="2">
        <f>IF(H58="","",IF(OR(H58="GREEN",H58="GK"),IF(S58&gt;=$AX$2,VLOOKUP(S58,$AX$2:$AY$12,2,1),""),IF(S58&gt;=$AZ$2,VLOOKUP(S58,$AZ$2:$BA$12,2,1),"")))</f>
        <v>33</v>
      </c>
      <c r="U58" s="1">
        <v>398</v>
      </c>
      <c r="V58" s="2">
        <f t="shared" si="1"/>
        <v>16</v>
      </c>
      <c r="W58" s="1">
        <v>1</v>
      </c>
      <c r="X58" s="1" t="s">
        <v>42</v>
      </c>
      <c r="Y58" s="1" t="s">
        <v>122</v>
      </c>
      <c r="Z58" s="1" t="s">
        <v>128</v>
      </c>
      <c r="AA58" s="1" t="s">
        <v>339</v>
      </c>
      <c r="AB58" s="1" t="s">
        <v>340</v>
      </c>
    </row>
    <row r="59" spans="1:28" x14ac:dyDescent="0.15">
      <c r="A59" s="1" t="s">
        <v>73</v>
      </c>
      <c r="B59" s="1" t="s">
        <v>336</v>
      </c>
      <c r="C59" s="108">
        <v>2020</v>
      </c>
      <c r="D59" s="38" t="s">
        <v>337</v>
      </c>
      <c r="E59" s="1" t="s">
        <v>54</v>
      </c>
      <c r="F59" s="1" t="s">
        <v>355</v>
      </c>
      <c r="G59" s="1" t="s">
        <v>37</v>
      </c>
      <c r="H59" s="1" t="s">
        <v>82</v>
      </c>
      <c r="I59" s="1" t="s">
        <v>64</v>
      </c>
      <c r="J59" s="1" t="s">
        <v>40</v>
      </c>
      <c r="K59" s="1" t="s">
        <v>41</v>
      </c>
      <c r="L59" s="1">
        <v>1</v>
      </c>
      <c r="N59" s="1">
        <v>3</v>
      </c>
      <c r="O59" s="1">
        <v>0.38</v>
      </c>
      <c r="P59" s="1">
        <v>0.36</v>
      </c>
      <c r="Q59" s="7">
        <f t="shared" si="2"/>
        <v>0.37</v>
      </c>
      <c r="R59" s="1">
        <v>17.5</v>
      </c>
      <c r="S59" s="1">
        <v>177</v>
      </c>
      <c r="T59" s="2">
        <f>IF(H59="","",IF(OR(H59="GREEN",H59="GK"),IF(S59&gt;=$AX$2,VLOOKUP(S59,$AX$2:$AY$12,2,1),""),IF(S59&gt;=$AZ$2,VLOOKUP(S59,$AZ$2:$BA$12,2,1),"")))</f>
        <v>18</v>
      </c>
      <c r="U59" s="1">
        <v>398</v>
      </c>
      <c r="V59" s="2">
        <f t="shared" si="1"/>
        <v>16</v>
      </c>
      <c r="W59" s="1">
        <v>1</v>
      </c>
      <c r="X59" s="1" t="s">
        <v>51</v>
      </c>
      <c r="Y59" s="1" t="s">
        <v>101</v>
      </c>
      <c r="Z59" s="1" t="s">
        <v>52</v>
      </c>
      <c r="AA59" s="1" t="s">
        <v>112</v>
      </c>
      <c r="AB59" s="1" t="s">
        <v>340</v>
      </c>
    </row>
    <row r="60" spans="1:28" x14ac:dyDescent="0.15">
      <c r="A60" s="1" t="s">
        <v>73</v>
      </c>
      <c r="B60" s="1" t="s">
        <v>336</v>
      </c>
      <c r="C60" s="108">
        <v>2020</v>
      </c>
      <c r="D60" s="38" t="s">
        <v>337</v>
      </c>
      <c r="E60" s="1" t="s">
        <v>54</v>
      </c>
      <c r="F60" s="1" t="s">
        <v>355</v>
      </c>
      <c r="G60" s="1" t="s">
        <v>37</v>
      </c>
      <c r="H60" s="1" t="s">
        <v>82</v>
      </c>
      <c r="I60" s="1" t="s">
        <v>64</v>
      </c>
      <c r="J60" s="1" t="s">
        <v>40</v>
      </c>
      <c r="K60" s="1" t="s">
        <v>41</v>
      </c>
      <c r="L60" s="1">
        <v>2</v>
      </c>
      <c r="N60" s="1">
        <v>3</v>
      </c>
      <c r="O60" s="1">
        <v>0.37</v>
      </c>
      <c r="P60" s="1">
        <v>0.43</v>
      </c>
      <c r="Q60" s="7">
        <f t="shared" si="2"/>
        <v>0.4</v>
      </c>
      <c r="R60" s="1">
        <v>18.399999999999999</v>
      </c>
      <c r="S60" s="1">
        <v>155</v>
      </c>
      <c r="T60" s="2">
        <f>IF(H60="","",IF(OR(H60="GREEN",H60="GK"),IF(S60&gt;=$AX$2,VLOOKUP(S60,$AX$2:$AY$12,2,1),""),IF(S60&gt;=$AZ$2,VLOOKUP(S60,$AZ$2:$BA$12,2,1),"")))</f>
        <v>18</v>
      </c>
      <c r="U60" s="1">
        <v>398</v>
      </c>
      <c r="V60" s="2">
        <f t="shared" si="1"/>
        <v>16</v>
      </c>
      <c r="W60" s="1">
        <v>1</v>
      </c>
      <c r="X60" s="1" t="s">
        <v>51</v>
      </c>
      <c r="Y60" s="1" t="s">
        <v>101</v>
      </c>
      <c r="Z60" s="1" t="s">
        <v>52</v>
      </c>
      <c r="AA60" s="1" t="s">
        <v>112</v>
      </c>
      <c r="AB60" s="1" t="s">
        <v>340</v>
      </c>
    </row>
    <row r="61" spans="1:28" x14ac:dyDescent="0.15">
      <c r="A61" s="1" t="s">
        <v>73</v>
      </c>
      <c r="B61" s="1" t="s">
        <v>336</v>
      </c>
      <c r="C61" s="108">
        <v>2020</v>
      </c>
      <c r="D61" s="38" t="s">
        <v>337</v>
      </c>
      <c r="E61" s="1" t="s">
        <v>54</v>
      </c>
      <c r="F61" s="1" t="s">
        <v>355</v>
      </c>
      <c r="G61" s="1" t="s">
        <v>37</v>
      </c>
      <c r="H61" s="1" t="s">
        <v>82</v>
      </c>
      <c r="I61" s="1" t="s">
        <v>64</v>
      </c>
      <c r="J61" s="1" t="s">
        <v>40</v>
      </c>
      <c r="K61" s="1" t="s">
        <v>41</v>
      </c>
      <c r="L61" s="1">
        <v>3</v>
      </c>
      <c r="N61" s="1">
        <v>3</v>
      </c>
      <c r="O61" s="1">
        <v>0.36</v>
      </c>
      <c r="P61" s="1">
        <v>0.37</v>
      </c>
      <c r="Q61" s="7">
        <f t="shared" si="2"/>
        <v>0.36499999999999999</v>
      </c>
      <c r="R61" s="1">
        <v>17.8</v>
      </c>
      <c r="S61" s="1">
        <v>159</v>
      </c>
      <c r="T61" s="2">
        <f>IF(H61="","",IF(OR(H61="GREEN",H61="GK"),IF(S61&gt;=$AX$2,VLOOKUP(S61,$AX$2:$AY$12,2,1),""),IF(S61&gt;=$AZ$2,VLOOKUP(S61,$AZ$2:$BA$12,2,1),"")))</f>
        <v>18</v>
      </c>
      <c r="U61" s="1">
        <v>398</v>
      </c>
      <c r="V61" s="2">
        <f t="shared" si="1"/>
        <v>16</v>
      </c>
      <c r="W61" s="1">
        <v>1</v>
      </c>
      <c r="X61" s="1" t="s">
        <v>51</v>
      </c>
      <c r="Y61" s="1" t="s">
        <v>101</v>
      </c>
      <c r="Z61" s="1" t="s">
        <v>52</v>
      </c>
      <c r="AA61" s="1" t="s">
        <v>112</v>
      </c>
      <c r="AB61" s="1" t="s">
        <v>340</v>
      </c>
    </row>
    <row r="62" spans="1:28" x14ac:dyDescent="0.15">
      <c r="A62" s="1" t="s">
        <v>73</v>
      </c>
      <c r="B62" s="1" t="s">
        <v>336</v>
      </c>
      <c r="C62" s="108">
        <v>2020</v>
      </c>
      <c r="D62" s="38" t="s">
        <v>337</v>
      </c>
      <c r="E62" s="1" t="s">
        <v>54</v>
      </c>
      <c r="F62" s="1" t="s">
        <v>355</v>
      </c>
      <c r="G62" s="1" t="s">
        <v>37</v>
      </c>
      <c r="H62" s="1" t="s">
        <v>82</v>
      </c>
      <c r="I62" s="1" t="s">
        <v>64</v>
      </c>
      <c r="J62" s="1" t="s">
        <v>40</v>
      </c>
      <c r="K62" s="1" t="s">
        <v>41</v>
      </c>
      <c r="L62" s="1">
        <v>1</v>
      </c>
      <c r="N62" s="1">
        <v>1</v>
      </c>
      <c r="O62" s="1">
        <v>0.59</v>
      </c>
      <c r="P62" s="1">
        <v>0.63</v>
      </c>
      <c r="Q62" s="7">
        <f t="shared" si="2"/>
        <v>0.61</v>
      </c>
      <c r="R62" s="1">
        <v>17.5</v>
      </c>
      <c r="S62" s="1">
        <v>182</v>
      </c>
      <c r="T62" s="2">
        <f>IF(H62="","",IF(OR(H62="GREEN",H62="GK"),IF(S62&gt;=$AX$2,VLOOKUP(S62,$AX$2:$AY$12,2,1),""),IF(S62&gt;=$AZ$2,VLOOKUP(S62,$AZ$2:$BA$12,2,1),"")))</f>
        <v>16</v>
      </c>
      <c r="U62" s="1">
        <v>128</v>
      </c>
      <c r="V62" s="2">
        <f t="shared" si="1"/>
        <v>27</v>
      </c>
      <c r="W62" s="1">
        <v>6</v>
      </c>
      <c r="X62" s="1" t="s">
        <v>51</v>
      </c>
      <c r="Y62" s="1" t="s">
        <v>101</v>
      </c>
      <c r="Z62" s="1" t="s">
        <v>52</v>
      </c>
      <c r="AA62" s="1" t="s">
        <v>112</v>
      </c>
      <c r="AB62" s="1" t="s">
        <v>340</v>
      </c>
    </row>
    <row r="63" spans="1:28" x14ac:dyDescent="0.15">
      <c r="A63" s="1" t="s">
        <v>73</v>
      </c>
      <c r="B63" s="1" t="s">
        <v>336</v>
      </c>
      <c r="C63" s="108">
        <v>2020</v>
      </c>
      <c r="D63" s="38" t="s">
        <v>337</v>
      </c>
      <c r="E63" s="1" t="s">
        <v>54</v>
      </c>
      <c r="F63" s="1" t="s">
        <v>355</v>
      </c>
      <c r="G63" s="1" t="s">
        <v>37</v>
      </c>
      <c r="H63" s="1" t="s">
        <v>82</v>
      </c>
      <c r="I63" s="1" t="s">
        <v>64</v>
      </c>
      <c r="J63" s="1" t="s">
        <v>40</v>
      </c>
      <c r="K63" s="1" t="s">
        <v>41</v>
      </c>
      <c r="L63" s="1">
        <v>2</v>
      </c>
      <c r="N63" s="1">
        <v>1</v>
      </c>
      <c r="O63" s="1">
        <v>0.85</v>
      </c>
      <c r="P63" s="1">
        <v>0.88</v>
      </c>
      <c r="Q63" s="7">
        <f t="shared" si="2"/>
        <v>0.86499999999999999</v>
      </c>
      <c r="R63" s="1">
        <v>15</v>
      </c>
      <c r="S63" s="1">
        <v>154</v>
      </c>
      <c r="T63" s="2">
        <f t="shared" ref="T63:T137" si="3">IF(H63="","",IF(OR(H63="GREEN",H63="GK"),IF(S63&gt;=$AX$2,VLOOKUP(S63,$AX$2:$AY$12,2,1),""),IF(S63&gt;=$AZ$2,VLOOKUP(S63,$AZ$2:$BA$12,2,1),"")))</f>
        <v>18</v>
      </c>
      <c r="U63" s="1">
        <v>128</v>
      </c>
      <c r="V63" s="2">
        <f t="shared" si="1"/>
        <v>27</v>
      </c>
      <c r="W63" s="1">
        <v>6</v>
      </c>
      <c r="X63" s="1" t="s">
        <v>51</v>
      </c>
      <c r="Y63" s="1" t="s">
        <v>101</v>
      </c>
      <c r="Z63" s="1" t="s">
        <v>52</v>
      </c>
      <c r="AA63" s="1" t="s">
        <v>112</v>
      </c>
      <c r="AB63" s="1" t="s">
        <v>340</v>
      </c>
    </row>
    <row r="64" spans="1:28" x14ac:dyDescent="0.15">
      <c r="A64" s="1" t="s">
        <v>73</v>
      </c>
      <c r="B64" s="1" t="s">
        <v>336</v>
      </c>
      <c r="C64" s="108">
        <v>2020</v>
      </c>
      <c r="D64" s="38" t="s">
        <v>337</v>
      </c>
      <c r="E64" s="1" t="s">
        <v>54</v>
      </c>
      <c r="F64" s="1" t="s">
        <v>355</v>
      </c>
      <c r="G64" s="1" t="s">
        <v>37</v>
      </c>
      <c r="H64" s="1" t="s">
        <v>82</v>
      </c>
      <c r="I64" s="1" t="s">
        <v>64</v>
      </c>
      <c r="J64" s="1" t="s">
        <v>40</v>
      </c>
      <c r="K64" s="1" t="s">
        <v>41</v>
      </c>
      <c r="L64" s="1">
        <v>3</v>
      </c>
      <c r="N64" s="1">
        <v>1</v>
      </c>
      <c r="O64" s="1">
        <v>0.57999999999999996</v>
      </c>
      <c r="P64" s="1">
        <v>0.61</v>
      </c>
      <c r="Q64" s="7">
        <f t="shared" si="2"/>
        <v>0.59499999999999997</v>
      </c>
      <c r="R64" s="1">
        <v>17.7</v>
      </c>
      <c r="S64" s="1">
        <v>169</v>
      </c>
      <c r="T64" s="2">
        <f t="shared" si="3"/>
        <v>18</v>
      </c>
      <c r="U64" s="1">
        <v>128</v>
      </c>
      <c r="V64" s="2">
        <f t="shared" si="1"/>
        <v>27</v>
      </c>
      <c r="W64" s="1">
        <v>6</v>
      </c>
      <c r="X64" s="1" t="s">
        <v>51</v>
      </c>
      <c r="Y64" s="1" t="s">
        <v>101</v>
      </c>
      <c r="Z64" s="1" t="s">
        <v>52</v>
      </c>
      <c r="AA64" s="1" t="s">
        <v>112</v>
      </c>
      <c r="AB64" s="1" t="s">
        <v>340</v>
      </c>
    </row>
    <row r="65" spans="1:28" x14ac:dyDescent="0.15">
      <c r="A65" s="1" t="s">
        <v>73</v>
      </c>
      <c r="B65" s="1" t="s">
        <v>336</v>
      </c>
      <c r="C65" s="108">
        <v>2020</v>
      </c>
      <c r="D65" s="38" t="s">
        <v>337</v>
      </c>
      <c r="E65" s="1" t="s">
        <v>197</v>
      </c>
      <c r="F65" s="1" t="s">
        <v>353</v>
      </c>
      <c r="G65" s="1" t="s">
        <v>37</v>
      </c>
      <c r="H65" s="1" t="s">
        <v>82</v>
      </c>
      <c r="I65" s="1" t="s">
        <v>64</v>
      </c>
      <c r="J65" s="1" t="s">
        <v>40</v>
      </c>
      <c r="K65" s="1" t="s">
        <v>41</v>
      </c>
      <c r="L65" s="1">
        <v>1</v>
      </c>
      <c r="N65" s="1">
        <v>4</v>
      </c>
      <c r="O65" s="1">
        <v>0.54</v>
      </c>
      <c r="P65" s="1">
        <v>0.49</v>
      </c>
      <c r="Q65" s="7">
        <f t="shared" si="2"/>
        <v>0.51500000000000001</v>
      </c>
      <c r="R65" s="1">
        <v>17.7</v>
      </c>
      <c r="S65" s="1">
        <v>116</v>
      </c>
      <c r="T65" s="2">
        <f t="shared" si="3"/>
        <v>30</v>
      </c>
      <c r="U65" s="1">
        <v>399</v>
      </c>
      <c r="V65" s="2">
        <f t="shared" si="1"/>
        <v>16</v>
      </c>
      <c r="W65" s="1">
        <v>4</v>
      </c>
      <c r="X65" s="1" t="s">
        <v>51</v>
      </c>
      <c r="Y65" s="1" t="s">
        <v>101</v>
      </c>
      <c r="Z65" s="1" t="s">
        <v>128</v>
      </c>
      <c r="AA65" s="1" t="s">
        <v>85</v>
      </c>
      <c r="AB65" s="1" t="s">
        <v>340</v>
      </c>
    </row>
    <row r="66" spans="1:28" x14ac:dyDescent="0.15">
      <c r="A66" s="1" t="s">
        <v>73</v>
      </c>
      <c r="B66" s="1" t="s">
        <v>336</v>
      </c>
      <c r="C66" s="108">
        <v>2020</v>
      </c>
      <c r="D66" s="38" t="s">
        <v>337</v>
      </c>
      <c r="E66" s="1" t="s">
        <v>197</v>
      </c>
      <c r="F66" s="1" t="s">
        <v>353</v>
      </c>
      <c r="G66" s="1" t="s">
        <v>37</v>
      </c>
      <c r="H66" s="1" t="s">
        <v>82</v>
      </c>
      <c r="I66" s="1" t="s">
        <v>64</v>
      </c>
      <c r="J66" s="1" t="s">
        <v>40</v>
      </c>
      <c r="K66" s="1" t="s">
        <v>41</v>
      </c>
      <c r="L66" s="1">
        <v>2</v>
      </c>
      <c r="N66" s="1">
        <v>4</v>
      </c>
      <c r="O66" s="1">
        <v>0.38</v>
      </c>
      <c r="P66" s="1">
        <v>0.4</v>
      </c>
      <c r="Q66" s="7">
        <f t="shared" si="2"/>
        <v>0.39</v>
      </c>
      <c r="R66" s="1">
        <v>15.3</v>
      </c>
      <c r="S66" s="1">
        <v>109</v>
      </c>
      <c r="T66" s="2">
        <f t="shared" si="3"/>
        <v>33</v>
      </c>
      <c r="U66" s="1">
        <v>399</v>
      </c>
      <c r="V66" s="2">
        <f t="shared" ref="V66:V152" si="4">IF(J66="","",IF(OR(J66="GREEN",J66="GK"),IF(U66&gt;=$AX$2,VLOOKUP(U66,$AX$2:$AY$12,2,1),""),IF(U66&gt;=$AZ$2,VLOOKUP(U66,$AZ$2:$BA$12,2,1),"")))</f>
        <v>16</v>
      </c>
      <c r="W66" s="1">
        <v>4</v>
      </c>
      <c r="X66" s="1" t="s">
        <v>51</v>
      </c>
      <c r="Y66" s="1" t="s">
        <v>101</v>
      </c>
      <c r="Z66" s="1" t="s">
        <v>128</v>
      </c>
      <c r="AA66" s="1" t="s">
        <v>85</v>
      </c>
      <c r="AB66" s="1" t="s">
        <v>340</v>
      </c>
    </row>
    <row r="67" spans="1:28" x14ac:dyDescent="0.15">
      <c r="A67" s="1" t="s">
        <v>73</v>
      </c>
      <c r="B67" s="1" t="s">
        <v>336</v>
      </c>
      <c r="C67" s="108">
        <v>2020</v>
      </c>
      <c r="D67" s="38" t="s">
        <v>337</v>
      </c>
      <c r="E67" s="1" t="s">
        <v>197</v>
      </c>
      <c r="F67" s="1" t="s">
        <v>353</v>
      </c>
      <c r="G67" s="1" t="s">
        <v>37</v>
      </c>
      <c r="H67" s="1" t="s">
        <v>82</v>
      </c>
      <c r="I67" s="1" t="s">
        <v>64</v>
      </c>
      <c r="J67" s="1" t="s">
        <v>40</v>
      </c>
      <c r="K67" s="1" t="s">
        <v>41</v>
      </c>
      <c r="L67" s="1">
        <v>3</v>
      </c>
      <c r="N67" s="1">
        <v>4</v>
      </c>
      <c r="O67" s="1">
        <v>0.52</v>
      </c>
      <c r="P67" s="1">
        <v>0.47</v>
      </c>
      <c r="Q67" s="7">
        <f t="shared" ref="Q67:Q150" si="5">IF(OR(O67="",P67=""),"",AVERAGE(O67,P67))</f>
        <v>0.495</v>
      </c>
      <c r="R67" s="1">
        <v>16.600000000000001</v>
      </c>
      <c r="S67" s="1">
        <v>109</v>
      </c>
      <c r="T67" s="2">
        <f t="shared" si="3"/>
        <v>33</v>
      </c>
      <c r="U67" s="1">
        <v>399</v>
      </c>
      <c r="V67" s="2">
        <f t="shared" si="4"/>
        <v>16</v>
      </c>
      <c r="W67" s="1">
        <v>4</v>
      </c>
      <c r="X67" s="1" t="s">
        <v>51</v>
      </c>
      <c r="Y67" s="1" t="s">
        <v>101</v>
      </c>
      <c r="Z67" s="1" t="s">
        <v>128</v>
      </c>
      <c r="AA67" s="1" t="s">
        <v>85</v>
      </c>
      <c r="AB67" s="1" t="s">
        <v>340</v>
      </c>
    </row>
    <row r="68" spans="1:28" x14ac:dyDescent="0.15">
      <c r="A68" s="1" t="s">
        <v>73</v>
      </c>
      <c r="B68" s="1" t="s">
        <v>336</v>
      </c>
      <c r="C68" s="108">
        <v>2020</v>
      </c>
      <c r="D68" s="38" t="s">
        <v>337</v>
      </c>
      <c r="E68" s="1" t="s">
        <v>197</v>
      </c>
      <c r="F68" s="1" t="s">
        <v>353</v>
      </c>
      <c r="G68" s="1" t="s">
        <v>37</v>
      </c>
      <c r="H68" s="1" t="s">
        <v>82</v>
      </c>
      <c r="I68" s="1" t="s">
        <v>64</v>
      </c>
      <c r="J68" s="1" t="s">
        <v>40</v>
      </c>
      <c r="K68" s="1" t="s">
        <v>41</v>
      </c>
      <c r="L68" s="1">
        <v>1</v>
      </c>
      <c r="N68" s="1">
        <v>3</v>
      </c>
      <c r="O68" s="1">
        <v>0.68</v>
      </c>
      <c r="P68" s="1">
        <v>0.74</v>
      </c>
      <c r="Q68" s="7">
        <f t="shared" si="5"/>
        <v>0.71</v>
      </c>
      <c r="R68" s="1">
        <v>15.1</v>
      </c>
      <c r="S68" s="1">
        <v>130</v>
      </c>
      <c r="T68" s="2">
        <f t="shared" si="3"/>
        <v>25</v>
      </c>
      <c r="U68" s="1">
        <v>399</v>
      </c>
      <c r="V68" s="2">
        <f t="shared" si="4"/>
        <v>16</v>
      </c>
      <c r="W68" s="1">
        <v>4</v>
      </c>
      <c r="X68" s="1" t="s">
        <v>51</v>
      </c>
      <c r="Y68" s="1" t="s">
        <v>101</v>
      </c>
      <c r="Z68" s="1" t="s">
        <v>128</v>
      </c>
      <c r="AA68" s="1" t="s">
        <v>85</v>
      </c>
      <c r="AB68" s="1" t="s">
        <v>340</v>
      </c>
    </row>
    <row r="69" spans="1:28" x14ac:dyDescent="0.15">
      <c r="A69" s="1" t="s">
        <v>73</v>
      </c>
      <c r="B69" s="1" t="s">
        <v>336</v>
      </c>
      <c r="C69" s="108">
        <v>2020</v>
      </c>
      <c r="D69" s="38" t="s">
        <v>337</v>
      </c>
      <c r="E69" s="1" t="s">
        <v>197</v>
      </c>
      <c r="F69" s="1" t="s">
        <v>353</v>
      </c>
      <c r="G69" s="1" t="s">
        <v>37</v>
      </c>
      <c r="H69" s="1" t="s">
        <v>82</v>
      </c>
      <c r="I69" s="1" t="s">
        <v>64</v>
      </c>
      <c r="J69" s="1" t="s">
        <v>40</v>
      </c>
      <c r="K69" s="1" t="s">
        <v>41</v>
      </c>
      <c r="L69" s="1">
        <v>2</v>
      </c>
      <c r="N69" s="1">
        <v>3</v>
      </c>
      <c r="O69" s="1">
        <v>0.49</v>
      </c>
      <c r="P69" s="1">
        <v>0.46</v>
      </c>
      <c r="Q69" s="7">
        <f t="shared" si="5"/>
        <v>0.47499999999999998</v>
      </c>
      <c r="R69" s="1">
        <v>15.6</v>
      </c>
      <c r="S69" s="1">
        <v>129</v>
      </c>
      <c r="T69" s="2">
        <f t="shared" si="3"/>
        <v>25</v>
      </c>
      <c r="U69" s="1">
        <v>399</v>
      </c>
      <c r="V69" s="2">
        <f t="shared" si="4"/>
        <v>16</v>
      </c>
      <c r="W69" s="1">
        <v>4</v>
      </c>
      <c r="X69" s="1" t="s">
        <v>51</v>
      </c>
      <c r="Y69" s="1" t="s">
        <v>101</v>
      </c>
      <c r="Z69" s="1" t="s">
        <v>128</v>
      </c>
      <c r="AA69" s="1" t="s">
        <v>85</v>
      </c>
      <c r="AB69" s="1" t="s">
        <v>340</v>
      </c>
    </row>
    <row r="70" spans="1:28" x14ac:dyDescent="0.15">
      <c r="A70" s="1" t="s">
        <v>73</v>
      </c>
      <c r="B70" s="1" t="s">
        <v>336</v>
      </c>
      <c r="C70" s="108">
        <v>2020</v>
      </c>
      <c r="D70" s="38" t="s">
        <v>337</v>
      </c>
      <c r="E70" s="1" t="s">
        <v>197</v>
      </c>
      <c r="F70" s="1" t="s">
        <v>353</v>
      </c>
      <c r="G70" s="1" t="s">
        <v>37</v>
      </c>
      <c r="H70" s="1" t="s">
        <v>82</v>
      </c>
      <c r="I70" s="1" t="s">
        <v>64</v>
      </c>
      <c r="J70" s="1" t="s">
        <v>40</v>
      </c>
      <c r="K70" s="1" t="s">
        <v>41</v>
      </c>
      <c r="L70" s="1">
        <v>3</v>
      </c>
      <c r="N70" s="1">
        <v>3</v>
      </c>
      <c r="O70" s="1">
        <v>0.59</v>
      </c>
      <c r="P70" s="1">
        <v>0.68</v>
      </c>
      <c r="Q70" s="7">
        <f t="shared" si="5"/>
        <v>0.63500000000000001</v>
      </c>
      <c r="R70" s="1">
        <v>15.2</v>
      </c>
      <c r="S70" s="1">
        <v>134</v>
      </c>
      <c r="T70" s="2">
        <f t="shared" si="3"/>
        <v>25</v>
      </c>
      <c r="U70" s="1">
        <v>399</v>
      </c>
      <c r="V70" s="2">
        <f t="shared" si="4"/>
        <v>16</v>
      </c>
      <c r="W70" s="1">
        <v>4</v>
      </c>
      <c r="X70" s="1" t="s">
        <v>51</v>
      </c>
      <c r="Y70" s="1" t="s">
        <v>101</v>
      </c>
      <c r="Z70" s="1" t="s">
        <v>128</v>
      </c>
      <c r="AA70" s="1" t="s">
        <v>85</v>
      </c>
      <c r="AB70" s="1" t="s">
        <v>340</v>
      </c>
    </row>
    <row r="71" spans="1:28" x14ac:dyDescent="0.15">
      <c r="A71" s="1" t="s">
        <v>73</v>
      </c>
      <c r="B71" s="1" t="s">
        <v>336</v>
      </c>
      <c r="C71" s="108">
        <v>2020</v>
      </c>
      <c r="D71" s="38" t="s">
        <v>337</v>
      </c>
      <c r="E71" s="1" t="s">
        <v>197</v>
      </c>
      <c r="F71" s="1" t="s">
        <v>353</v>
      </c>
      <c r="G71" s="1" t="s">
        <v>37</v>
      </c>
      <c r="H71" s="1" t="s">
        <v>82</v>
      </c>
      <c r="I71" s="1" t="s">
        <v>64</v>
      </c>
      <c r="J71" s="1" t="s">
        <v>40</v>
      </c>
      <c r="K71" s="1" t="s">
        <v>41</v>
      </c>
      <c r="L71" s="1">
        <v>1</v>
      </c>
      <c r="N71" s="1">
        <v>1</v>
      </c>
      <c r="O71" s="1">
        <v>0.34</v>
      </c>
      <c r="P71" s="1">
        <v>0.35</v>
      </c>
      <c r="Q71" s="7">
        <f t="shared" si="5"/>
        <v>0.34499999999999997</v>
      </c>
      <c r="R71" s="1">
        <v>15.9</v>
      </c>
      <c r="S71" s="1">
        <v>139</v>
      </c>
      <c r="T71" s="2">
        <f t="shared" si="3"/>
        <v>22</v>
      </c>
      <c r="U71" s="1">
        <v>149</v>
      </c>
      <c r="V71" s="2">
        <f t="shared" si="4"/>
        <v>22</v>
      </c>
      <c r="W71" s="1">
        <v>2</v>
      </c>
      <c r="X71" s="1" t="s">
        <v>51</v>
      </c>
      <c r="Y71" s="1" t="s">
        <v>101</v>
      </c>
      <c r="Z71" s="1" t="s">
        <v>128</v>
      </c>
      <c r="AA71" s="1" t="s">
        <v>85</v>
      </c>
      <c r="AB71" s="1" t="s">
        <v>340</v>
      </c>
    </row>
    <row r="72" spans="1:28" x14ac:dyDescent="0.15">
      <c r="A72" s="1" t="s">
        <v>73</v>
      </c>
      <c r="B72" s="1" t="s">
        <v>336</v>
      </c>
      <c r="C72" s="108">
        <v>2020</v>
      </c>
      <c r="D72" s="38" t="s">
        <v>337</v>
      </c>
      <c r="E72" s="1" t="s">
        <v>197</v>
      </c>
      <c r="F72" s="1" t="s">
        <v>353</v>
      </c>
      <c r="G72" s="1" t="s">
        <v>37</v>
      </c>
      <c r="H72" s="1" t="s">
        <v>82</v>
      </c>
      <c r="I72" s="1" t="s">
        <v>64</v>
      </c>
      <c r="J72" s="1" t="s">
        <v>40</v>
      </c>
      <c r="K72" s="1" t="s">
        <v>41</v>
      </c>
      <c r="L72" s="1">
        <v>2</v>
      </c>
      <c r="N72" s="1">
        <v>1</v>
      </c>
      <c r="O72" s="1">
        <v>0.28999999999999998</v>
      </c>
      <c r="P72" s="1">
        <v>0.27</v>
      </c>
      <c r="Q72" s="7">
        <f t="shared" si="5"/>
        <v>0.28000000000000003</v>
      </c>
      <c r="R72" s="1">
        <v>16.600000000000001</v>
      </c>
      <c r="S72" s="1">
        <v>139</v>
      </c>
      <c r="T72" s="2">
        <f t="shared" si="3"/>
        <v>22</v>
      </c>
      <c r="U72" s="1">
        <v>149</v>
      </c>
      <c r="V72" s="2">
        <f t="shared" si="4"/>
        <v>22</v>
      </c>
      <c r="W72" s="1">
        <v>2</v>
      </c>
      <c r="X72" s="1" t="s">
        <v>51</v>
      </c>
      <c r="Y72" s="1" t="s">
        <v>101</v>
      </c>
      <c r="Z72" s="1" t="s">
        <v>128</v>
      </c>
      <c r="AA72" s="1" t="s">
        <v>85</v>
      </c>
      <c r="AB72" s="1" t="s">
        <v>340</v>
      </c>
    </row>
    <row r="73" spans="1:28" x14ac:dyDescent="0.15">
      <c r="A73" s="1" t="s">
        <v>73</v>
      </c>
      <c r="B73" s="1" t="s">
        <v>336</v>
      </c>
      <c r="C73" s="108">
        <v>2020</v>
      </c>
      <c r="D73" s="38" t="s">
        <v>337</v>
      </c>
      <c r="E73" s="1" t="s">
        <v>197</v>
      </c>
      <c r="F73" s="1" t="s">
        <v>353</v>
      </c>
      <c r="G73" s="1" t="s">
        <v>37</v>
      </c>
      <c r="H73" s="1" t="s">
        <v>82</v>
      </c>
      <c r="I73" s="1" t="s">
        <v>64</v>
      </c>
      <c r="J73" s="1" t="s">
        <v>40</v>
      </c>
      <c r="K73" s="1" t="s">
        <v>41</v>
      </c>
      <c r="L73" s="1">
        <v>3</v>
      </c>
      <c r="N73" s="1">
        <v>1</v>
      </c>
      <c r="O73" s="1">
        <v>0.36</v>
      </c>
      <c r="P73" s="1">
        <v>0.36</v>
      </c>
      <c r="Q73" s="7">
        <f t="shared" si="5"/>
        <v>0.36</v>
      </c>
      <c r="R73" s="1">
        <v>16.899999999999999</v>
      </c>
      <c r="S73" s="1">
        <v>140</v>
      </c>
      <c r="T73" s="2">
        <f t="shared" si="3"/>
        <v>22</v>
      </c>
      <c r="U73" s="1">
        <v>149</v>
      </c>
      <c r="V73" s="2">
        <f t="shared" si="4"/>
        <v>22</v>
      </c>
      <c r="W73" s="1">
        <v>2</v>
      </c>
      <c r="X73" s="1" t="s">
        <v>51</v>
      </c>
      <c r="Y73" s="1" t="s">
        <v>101</v>
      </c>
      <c r="Z73" s="1" t="s">
        <v>128</v>
      </c>
      <c r="AA73" s="1" t="s">
        <v>85</v>
      </c>
      <c r="AB73" s="1" t="s">
        <v>340</v>
      </c>
    </row>
    <row r="74" spans="1:28" x14ac:dyDescent="0.15">
      <c r="A74" s="1" t="s">
        <v>73</v>
      </c>
      <c r="B74" s="1" t="s">
        <v>336</v>
      </c>
      <c r="C74" s="108">
        <v>2020</v>
      </c>
      <c r="D74" s="38" t="s">
        <v>337</v>
      </c>
      <c r="E74" s="1" t="s">
        <v>197</v>
      </c>
      <c r="F74" s="1" t="s">
        <v>353</v>
      </c>
      <c r="G74" s="1" t="s">
        <v>37</v>
      </c>
      <c r="H74" s="1" t="s">
        <v>63</v>
      </c>
      <c r="I74" s="1" t="s">
        <v>64</v>
      </c>
      <c r="J74" s="1" t="s">
        <v>40</v>
      </c>
      <c r="K74" s="1" t="s">
        <v>41</v>
      </c>
      <c r="L74" s="1">
        <v>1</v>
      </c>
      <c r="N74" s="1">
        <v>6</v>
      </c>
      <c r="O74" s="1">
        <v>0.55000000000000004</v>
      </c>
      <c r="P74" s="1">
        <v>0.55000000000000004</v>
      </c>
      <c r="Q74" s="7">
        <f t="shared" si="5"/>
        <v>0.55000000000000004</v>
      </c>
      <c r="R74" s="1">
        <v>13.9</v>
      </c>
      <c r="S74" s="1">
        <v>94</v>
      </c>
      <c r="T74" s="2">
        <f t="shared" si="3"/>
        <v>36</v>
      </c>
      <c r="U74" s="1">
        <v>499</v>
      </c>
      <c r="V74" s="2">
        <f t="shared" si="4"/>
        <v>16</v>
      </c>
      <c r="W74" s="1">
        <v>4</v>
      </c>
      <c r="X74" s="1" t="s">
        <v>51</v>
      </c>
      <c r="Y74" s="1" t="s">
        <v>101</v>
      </c>
      <c r="Z74" s="1" t="s">
        <v>128</v>
      </c>
      <c r="AA74" s="1" t="s">
        <v>85</v>
      </c>
      <c r="AB74" s="1" t="s">
        <v>340</v>
      </c>
    </row>
    <row r="75" spans="1:28" x14ac:dyDescent="0.15">
      <c r="A75" s="1" t="s">
        <v>73</v>
      </c>
      <c r="B75" s="1" t="s">
        <v>336</v>
      </c>
      <c r="C75" s="108">
        <v>2020</v>
      </c>
      <c r="D75" s="38" t="s">
        <v>337</v>
      </c>
      <c r="E75" s="1" t="s">
        <v>197</v>
      </c>
      <c r="F75" s="1" t="s">
        <v>353</v>
      </c>
      <c r="G75" s="1" t="s">
        <v>37</v>
      </c>
      <c r="H75" s="1" t="s">
        <v>63</v>
      </c>
      <c r="I75" s="1" t="s">
        <v>64</v>
      </c>
      <c r="J75" s="1" t="s">
        <v>40</v>
      </c>
      <c r="K75" s="1" t="s">
        <v>41</v>
      </c>
      <c r="L75" s="1">
        <v>2</v>
      </c>
      <c r="N75" s="1">
        <v>6</v>
      </c>
      <c r="O75" s="1">
        <v>0.51</v>
      </c>
      <c r="P75" s="1">
        <v>0.45</v>
      </c>
      <c r="Q75" s="7">
        <f t="shared" si="5"/>
        <v>0.48</v>
      </c>
      <c r="R75" s="1">
        <v>13.1</v>
      </c>
      <c r="S75" s="1">
        <v>90</v>
      </c>
      <c r="T75" s="2">
        <f t="shared" si="3"/>
        <v>36</v>
      </c>
      <c r="U75" s="1">
        <v>499</v>
      </c>
      <c r="V75" s="2">
        <f t="shared" si="4"/>
        <v>16</v>
      </c>
      <c r="W75" s="1">
        <v>4</v>
      </c>
      <c r="X75" s="1" t="s">
        <v>51</v>
      </c>
      <c r="Y75" s="1" t="s">
        <v>101</v>
      </c>
      <c r="Z75" s="1" t="s">
        <v>128</v>
      </c>
      <c r="AA75" s="1" t="s">
        <v>85</v>
      </c>
      <c r="AB75" s="1" t="s">
        <v>340</v>
      </c>
    </row>
    <row r="76" spans="1:28" x14ac:dyDescent="0.15">
      <c r="A76" s="1" t="s">
        <v>73</v>
      </c>
      <c r="B76" s="1" t="s">
        <v>336</v>
      </c>
      <c r="C76" s="108">
        <v>2020</v>
      </c>
      <c r="D76" s="38" t="s">
        <v>337</v>
      </c>
      <c r="E76" s="1" t="s">
        <v>197</v>
      </c>
      <c r="F76" s="1" t="s">
        <v>353</v>
      </c>
      <c r="G76" s="1" t="s">
        <v>37</v>
      </c>
      <c r="H76" s="1" t="s">
        <v>63</v>
      </c>
      <c r="I76" s="1" t="s">
        <v>64</v>
      </c>
      <c r="J76" s="1" t="s">
        <v>40</v>
      </c>
      <c r="K76" s="1" t="s">
        <v>41</v>
      </c>
      <c r="L76" s="1">
        <v>3</v>
      </c>
      <c r="N76" s="1">
        <v>6</v>
      </c>
      <c r="O76" s="1">
        <v>0.53</v>
      </c>
      <c r="P76" s="1">
        <v>0.56999999999999995</v>
      </c>
      <c r="Q76" s="7">
        <f t="shared" si="5"/>
        <v>0.55000000000000004</v>
      </c>
      <c r="R76" s="1">
        <v>13.3</v>
      </c>
      <c r="S76" s="1">
        <v>91</v>
      </c>
      <c r="T76" s="2">
        <f t="shared" si="3"/>
        <v>36</v>
      </c>
      <c r="U76" s="1">
        <v>499</v>
      </c>
      <c r="V76" s="2">
        <f t="shared" si="4"/>
        <v>16</v>
      </c>
      <c r="W76" s="1">
        <v>4</v>
      </c>
      <c r="X76" s="1" t="s">
        <v>51</v>
      </c>
      <c r="Y76" s="1" t="s">
        <v>101</v>
      </c>
      <c r="Z76" s="1" t="s">
        <v>128</v>
      </c>
      <c r="AA76" s="1" t="s">
        <v>85</v>
      </c>
      <c r="AB76" s="1" t="s">
        <v>340</v>
      </c>
    </row>
    <row r="77" spans="1:28" x14ac:dyDescent="0.15">
      <c r="A77" s="1" t="s">
        <v>73</v>
      </c>
      <c r="B77" s="1" t="s">
        <v>336</v>
      </c>
      <c r="C77" s="108">
        <v>2020</v>
      </c>
      <c r="D77" s="38" t="s">
        <v>337</v>
      </c>
      <c r="E77" s="1" t="s">
        <v>197</v>
      </c>
      <c r="F77" s="1" t="s">
        <v>353</v>
      </c>
      <c r="G77" s="1" t="s">
        <v>37</v>
      </c>
      <c r="H77" s="1" t="s">
        <v>63</v>
      </c>
      <c r="I77" s="1" t="s">
        <v>64</v>
      </c>
      <c r="J77" s="1" t="s">
        <v>40</v>
      </c>
      <c r="K77" s="1" t="s">
        <v>41</v>
      </c>
      <c r="L77" s="1">
        <v>1</v>
      </c>
      <c r="N77" s="1">
        <v>3</v>
      </c>
      <c r="O77" s="1">
        <v>0.45</v>
      </c>
      <c r="P77" s="1">
        <v>0.5</v>
      </c>
      <c r="Q77" s="7">
        <f t="shared" si="5"/>
        <v>0.47499999999999998</v>
      </c>
      <c r="R77" s="1">
        <v>15.6</v>
      </c>
      <c r="S77" s="1">
        <v>133</v>
      </c>
      <c r="T77" s="2">
        <f t="shared" si="3"/>
        <v>25</v>
      </c>
      <c r="U77" s="1">
        <v>399</v>
      </c>
      <c r="V77" s="2">
        <f t="shared" si="4"/>
        <v>16</v>
      </c>
      <c r="W77" s="1">
        <v>3</v>
      </c>
      <c r="X77" s="1" t="s">
        <v>51</v>
      </c>
      <c r="Y77" s="1" t="s">
        <v>101</v>
      </c>
      <c r="Z77" s="1" t="s">
        <v>128</v>
      </c>
      <c r="AA77" s="1" t="s">
        <v>85</v>
      </c>
      <c r="AB77" s="1" t="s">
        <v>340</v>
      </c>
    </row>
    <row r="78" spans="1:28" x14ac:dyDescent="0.15">
      <c r="A78" s="1" t="s">
        <v>73</v>
      </c>
      <c r="B78" s="1" t="s">
        <v>336</v>
      </c>
      <c r="C78" s="108">
        <v>2020</v>
      </c>
      <c r="D78" s="38" t="s">
        <v>337</v>
      </c>
      <c r="E78" s="1" t="s">
        <v>197</v>
      </c>
      <c r="F78" s="1" t="s">
        <v>353</v>
      </c>
      <c r="G78" s="1" t="s">
        <v>37</v>
      </c>
      <c r="H78" s="1" t="s">
        <v>63</v>
      </c>
      <c r="I78" s="1" t="s">
        <v>64</v>
      </c>
      <c r="J78" s="1" t="s">
        <v>40</v>
      </c>
      <c r="K78" s="1" t="s">
        <v>41</v>
      </c>
      <c r="L78" s="1">
        <v>2</v>
      </c>
      <c r="N78" s="1">
        <v>3</v>
      </c>
      <c r="O78" s="1">
        <v>0.59</v>
      </c>
      <c r="P78" s="1">
        <v>0.56000000000000005</v>
      </c>
      <c r="Q78" s="7">
        <f t="shared" si="5"/>
        <v>0.57499999999999996</v>
      </c>
      <c r="R78" s="1">
        <v>15.7</v>
      </c>
      <c r="S78" s="1">
        <v>134</v>
      </c>
      <c r="T78" s="2">
        <f t="shared" si="3"/>
        <v>25</v>
      </c>
      <c r="U78" s="1">
        <v>399</v>
      </c>
      <c r="V78" s="2">
        <f t="shared" si="4"/>
        <v>16</v>
      </c>
      <c r="W78" s="1">
        <v>3</v>
      </c>
      <c r="X78" s="1" t="s">
        <v>51</v>
      </c>
      <c r="Y78" s="1" t="s">
        <v>101</v>
      </c>
      <c r="Z78" s="1" t="s">
        <v>128</v>
      </c>
      <c r="AA78" s="1" t="s">
        <v>85</v>
      </c>
      <c r="AB78" s="1" t="s">
        <v>340</v>
      </c>
    </row>
    <row r="79" spans="1:28" x14ac:dyDescent="0.15">
      <c r="A79" s="1" t="s">
        <v>73</v>
      </c>
      <c r="B79" s="1" t="s">
        <v>336</v>
      </c>
      <c r="C79" s="108">
        <v>2020</v>
      </c>
      <c r="D79" s="38" t="s">
        <v>337</v>
      </c>
      <c r="E79" s="1" t="s">
        <v>197</v>
      </c>
      <c r="F79" s="1" t="s">
        <v>353</v>
      </c>
      <c r="G79" s="1" t="s">
        <v>37</v>
      </c>
      <c r="H79" s="1" t="s">
        <v>63</v>
      </c>
      <c r="I79" s="1" t="s">
        <v>64</v>
      </c>
      <c r="J79" s="1" t="s">
        <v>40</v>
      </c>
      <c r="K79" s="1" t="s">
        <v>41</v>
      </c>
      <c r="L79" s="1">
        <v>3</v>
      </c>
      <c r="N79" s="1">
        <v>3</v>
      </c>
      <c r="O79" s="1">
        <v>0.52</v>
      </c>
      <c r="P79" s="1">
        <v>0.55000000000000004</v>
      </c>
      <c r="Q79" s="7">
        <f t="shared" si="5"/>
        <v>0.53500000000000003</v>
      </c>
      <c r="R79" s="1">
        <v>15.2</v>
      </c>
      <c r="S79" s="1">
        <v>130</v>
      </c>
      <c r="T79" s="2">
        <f t="shared" si="3"/>
        <v>25</v>
      </c>
      <c r="U79" s="1">
        <v>399</v>
      </c>
      <c r="V79" s="2">
        <f t="shared" si="4"/>
        <v>16</v>
      </c>
      <c r="W79" s="1">
        <v>3</v>
      </c>
      <c r="X79" s="1" t="s">
        <v>51</v>
      </c>
      <c r="Y79" s="1" t="s">
        <v>101</v>
      </c>
      <c r="Z79" s="1" t="s">
        <v>128</v>
      </c>
      <c r="AA79" s="1" t="s">
        <v>85</v>
      </c>
      <c r="AB79" s="1" t="s">
        <v>340</v>
      </c>
    </row>
    <row r="80" spans="1:28" x14ac:dyDescent="0.15">
      <c r="A80" s="1" t="s">
        <v>73</v>
      </c>
      <c r="B80" s="1" t="s">
        <v>336</v>
      </c>
      <c r="C80" s="108">
        <v>2020</v>
      </c>
      <c r="D80" s="38" t="s">
        <v>337</v>
      </c>
      <c r="E80" s="1" t="s">
        <v>197</v>
      </c>
      <c r="F80" s="1" t="s">
        <v>353</v>
      </c>
      <c r="G80" s="1" t="s">
        <v>37</v>
      </c>
      <c r="H80" s="1" t="s">
        <v>63</v>
      </c>
      <c r="I80" s="1" t="s">
        <v>64</v>
      </c>
      <c r="J80" s="1" t="s">
        <v>40</v>
      </c>
      <c r="K80" s="1" t="s">
        <v>41</v>
      </c>
      <c r="L80" s="1">
        <v>1</v>
      </c>
      <c r="N80" s="1">
        <v>1</v>
      </c>
      <c r="O80" s="1">
        <v>0.48</v>
      </c>
      <c r="P80" s="1">
        <v>0.42</v>
      </c>
      <c r="Q80" s="7">
        <f t="shared" si="5"/>
        <v>0.44999999999999996</v>
      </c>
      <c r="R80" s="1">
        <v>13.8</v>
      </c>
      <c r="S80" s="1">
        <v>138</v>
      </c>
      <c r="T80" s="2">
        <f t="shared" si="3"/>
        <v>22</v>
      </c>
      <c r="U80" s="1">
        <v>139</v>
      </c>
      <c r="V80" s="2">
        <f t="shared" si="4"/>
        <v>22</v>
      </c>
      <c r="W80" s="1">
        <v>4</v>
      </c>
      <c r="X80" s="1" t="s">
        <v>51</v>
      </c>
      <c r="Y80" s="1" t="s">
        <v>101</v>
      </c>
      <c r="Z80" s="1" t="s">
        <v>128</v>
      </c>
      <c r="AA80" s="1" t="s">
        <v>85</v>
      </c>
      <c r="AB80" s="1" t="s">
        <v>340</v>
      </c>
    </row>
    <row r="81" spans="1:28" x14ac:dyDescent="0.15">
      <c r="A81" s="1" t="s">
        <v>73</v>
      </c>
      <c r="B81" s="1" t="s">
        <v>336</v>
      </c>
      <c r="C81" s="108">
        <v>2020</v>
      </c>
      <c r="D81" s="38" t="s">
        <v>337</v>
      </c>
      <c r="E81" s="1" t="s">
        <v>197</v>
      </c>
      <c r="F81" s="1" t="s">
        <v>353</v>
      </c>
      <c r="G81" s="1" t="s">
        <v>37</v>
      </c>
      <c r="H81" s="1" t="s">
        <v>63</v>
      </c>
      <c r="I81" s="1" t="s">
        <v>64</v>
      </c>
      <c r="J81" s="1" t="s">
        <v>40</v>
      </c>
      <c r="K81" s="1" t="s">
        <v>41</v>
      </c>
      <c r="L81" s="1">
        <v>2</v>
      </c>
      <c r="N81" s="1">
        <v>1</v>
      </c>
      <c r="O81" s="1">
        <v>0.23</v>
      </c>
      <c r="P81" s="1">
        <v>0.25</v>
      </c>
      <c r="Q81" s="7">
        <f t="shared" si="5"/>
        <v>0.24</v>
      </c>
      <c r="R81" s="1">
        <v>15.1</v>
      </c>
      <c r="S81" s="1">
        <v>140</v>
      </c>
      <c r="T81" s="2">
        <f t="shared" ref="T81:T94" si="6">IF(H81="","",IF(OR(H81="GREEN",H81="GK"),IF(S87&gt;=$AX$2,VLOOKUP(S87,$AX$2:$AY$12,2,1),""),IF(S87&gt;=$AZ$2,VLOOKUP(S87,$AZ$2:$BA$12,2,1),"")))</f>
        <v>36</v>
      </c>
      <c r="U81" s="1">
        <v>139</v>
      </c>
      <c r="V81" s="2">
        <f t="shared" si="4"/>
        <v>22</v>
      </c>
      <c r="W81" s="1">
        <v>4</v>
      </c>
      <c r="X81" s="1" t="s">
        <v>51</v>
      </c>
      <c r="Y81" s="1" t="s">
        <v>101</v>
      </c>
      <c r="Z81" s="1" t="s">
        <v>128</v>
      </c>
      <c r="AA81" s="1" t="s">
        <v>85</v>
      </c>
      <c r="AB81" s="1" t="s">
        <v>340</v>
      </c>
    </row>
    <row r="82" spans="1:28" x14ac:dyDescent="0.15">
      <c r="A82" s="1" t="s">
        <v>73</v>
      </c>
      <c r="B82" s="1" t="s">
        <v>336</v>
      </c>
      <c r="C82" s="108">
        <v>2020</v>
      </c>
      <c r="D82" s="38" t="s">
        <v>337</v>
      </c>
      <c r="E82" s="1" t="s">
        <v>197</v>
      </c>
      <c r="F82" s="1" t="s">
        <v>353</v>
      </c>
      <c r="G82" s="1" t="s">
        <v>37</v>
      </c>
      <c r="H82" s="1" t="s">
        <v>63</v>
      </c>
      <c r="I82" s="1" t="s">
        <v>64</v>
      </c>
      <c r="J82" s="1" t="s">
        <v>40</v>
      </c>
      <c r="K82" s="1" t="s">
        <v>41</v>
      </c>
      <c r="L82" s="1">
        <v>3</v>
      </c>
      <c r="N82" s="1">
        <v>1</v>
      </c>
      <c r="O82" s="1">
        <v>0.49</v>
      </c>
      <c r="P82" s="1">
        <v>0.46</v>
      </c>
      <c r="Q82" s="7">
        <f t="shared" si="5"/>
        <v>0.47499999999999998</v>
      </c>
      <c r="R82" s="1">
        <v>14.1</v>
      </c>
      <c r="S82" s="1">
        <v>136</v>
      </c>
      <c r="T82" s="2">
        <f t="shared" si="6"/>
        <v>36</v>
      </c>
      <c r="U82" s="1">
        <v>139</v>
      </c>
      <c r="V82" s="2">
        <f t="shared" si="4"/>
        <v>22</v>
      </c>
      <c r="W82" s="1">
        <v>4</v>
      </c>
      <c r="X82" s="1" t="s">
        <v>51</v>
      </c>
      <c r="Y82" s="1" t="s">
        <v>101</v>
      </c>
      <c r="Z82" s="1" t="s">
        <v>128</v>
      </c>
      <c r="AA82" s="1" t="s">
        <v>85</v>
      </c>
      <c r="AB82" s="1" t="s">
        <v>340</v>
      </c>
    </row>
    <row r="83" spans="1:28" x14ac:dyDescent="0.15">
      <c r="A83" s="1" t="s">
        <v>73</v>
      </c>
      <c r="B83" s="1" t="s">
        <v>336</v>
      </c>
      <c r="C83" s="108">
        <v>2020</v>
      </c>
      <c r="D83" s="38" t="s">
        <v>337</v>
      </c>
      <c r="E83" s="1" t="s">
        <v>195</v>
      </c>
      <c r="F83" s="1" t="s">
        <v>344</v>
      </c>
      <c r="G83" s="1" t="s">
        <v>46</v>
      </c>
      <c r="H83" s="1" t="s">
        <v>82</v>
      </c>
      <c r="I83" s="1" t="s">
        <v>64</v>
      </c>
      <c r="J83" s="1" t="s">
        <v>40</v>
      </c>
      <c r="K83" s="1" t="s">
        <v>41</v>
      </c>
      <c r="L83" s="1">
        <v>1</v>
      </c>
      <c r="N83" s="1">
        <v>1</v>
      </c>
      <c r="O83" s="1">
        <v>0.35</v>
      </c>
      <c r="P83" s="1">
        <v>0.35</v>
      </c>
      <c r="Q83" s="7">
        <f t="shared" si="5"/>
        <v>0.35</v>
      </c>
      <c r="R83" s="1">
        <v>19.600000000000001</v>
      </c>
      <c r="S83" s="1">
        <v>128</v>
      </c>
      <c r="T83" s="2">
        <f t="shared" si="6"/>
        <v>22</v>
      </c>
      <c r="U83" s="1">
        <v>128</v>
      </c>
      <c r="V83" s="2">
        <f t="shared" si="4"/>
        <v>27</v>
      </c>
      <c r="W83" s="1">
        <v>2</v>
      </c>
      <c r="X83" s="1" t="s">
        <v>42</v>
      </c>
      <c r="Y83" s="1" t="s">
        <v>101</v>
      </c>
      <c r="Z83" s="1" t="s">
        <v>339</v>
      </c>
      <c r="AA83" s="1" t="s">
        <v>43</v>
      </c>
      <c r="AB83" s="1" t="s">
        <v>340</v>
      </c>
    </row>
    <row r="84" spans="1:28" x14ac:dyDescent="0.15">
      <c r="A84" s="1" t="s">
        <v>73</v>
      </c>
      <c r="B84" s="1" t="s">
        <v>336</v>
      </c>
      <c r="C84" s="108">
        <v>2020</v>
      </c>
      <c r="D84" s="38" t="s">
        <v>337</v>
      </c>
      <c r="E84" s="1" t="s">
        <v>195</v>
      </c>
      <c r="F84" s="1" t="s">
        <v>344</v>
      </c>
      <c r="G84" s="1" t="s">
        <v>46</v>
      </c>
      <c r="H84" s="1" t="s">
        <v>82</v>
      </c>
      <c r="I84" s="1" t="s">
        <v>64</v>
      </c>
      <c r="J84" s="1" t="s">
        <v>40</v>
      </c>
      <c r="K84" s="1" t="s">
        <v>41</v>
      </c>
      <c r="L84" s="1">
        <v>2</v>
      </c>
      <c r="N84" s="1">
        <v>1</v>
      </c>
      <c r="O84" s="1">
        <v>0.41</v>
      </c>
      <c r="P84" s="1">
        <v>0.38</v>
      </c>
      <c r="Q84" s="7">
        <f t="shared" si="5"/>
        <v>0.39500000000000002</v>
      </c>
      <c r="R84" s="1">
        <v>16.899999999999999</v>
      </c>
      <c r="S84" s="1">
        <v>122</v>
      </c>
      <c r="T84" s="2">
        <f t="shared" si="6"/>
        <v>22</v>
      </c>
      <c r="U84" s="1">
        <v>128</v>
      </c>
      <c r="V84" s="2">
        <f t="shared" si="4"/>
        <v>27</v>
      </c>
      <c r="W84" s="1">
        <v>2</v>
      </c>
      <c r="X84" s="1" t="s">
        <v>42</v>
      </c>
      <c r="Y84" s="1" t="s">
        <v>101</v>
      </c>
      <c r="Z84" s="1" t="s">
        <v>339</v>
      </c>
      <c r="AA84" s="1" t="s">
        <v>43</v>
      </c>
      <c r="AB84" s="1" t="s">
        <v>340</v>
      </c>
    </row>
    <row r="85" spans="1:28" x14ac:dyDescent="0.15">
      <c r="A85" s="1" t="s">
        <v>73</v>
      </c>
      <c r="B85" s="1" t="s">
        <v>336</v>
      </c>
      <c r="C85" s="108">
        <v>2020</v>
      </c>
      <c r="D85" s="38" t="s">
        <v>337</v>
      </c>
      <c r="E85" s="1" t="s">
        <v>195</v>
      </c>
      <c r="F85" s="1" t="s">
        <v>344</v>
      </c>
      <c r="G85" s="1" t="s">
        <v>46</v>
      </c>
      <c r="H85" s="1" t="s">
        <v>82</v>
      </c>
      <c r="I85" s="1" t="s">
        <v>64</v>
      </c>
      <c r="J85" s="1" t="s">
        <v>40</v>
      </c>
      <c r="K85" s="1" t="s">
        <v>41</v>
      </c>
      <c r="L85" s="1">
        <v>3</v>
      </c>
      <c r="N85" s="1">
        <v>1</v>
      </c>
      <c r="O85" s="1">
        <v>0.43</v>
      </c>
      <c r="P85" s="1">
        <v>0.39</v>
      </c>
      <c r="Q85" s="7">
        <f t="shared" si="5"/>
        <v>0.41000000000000003</v>
      </c>
      <c r="R85" s="1">
        <v>16.600000000000001</v>
      </c>
      <c r="S85" s="1">
        <v>125</v>
      </c>
      <c r="T85" s="2">
        <f t="shared" si="6"/>
        <v>22</v>
      </c>
      <c r="U85" s="1">
        <v>128</v>
      </c>
      <c r="V85" s="2">
        <f t="shared" si="4"/>
        <v>27</v>
      </c>
      <c r="W85" s="1">
        <v>2</v>
      </c>
      <c r="X85" s="1" t="s">
        <v>42</v>
      </c>
      <c r="Y85" s="1" t="s">
        <v>101</v>
      </c>
      <c r="Z85" s="1" t="s">
        <v>339</v>
      </c>
      <c r="AA85" s="1" t="s">
        <v>43</v>
      </c>
      <c r="AB85" s="1" t="s">
        <v>340</v>
      </c>
    </row>
    <row r="86" spans="1:28" x14ac:dyDescent="0.15">
      <c r="A86" s="1" t="s">
        <v>73</v>
      </c>
      <c r="B86" s="1" t="s">
        <v>336</v>
      </c>
      <c r="C86" s="108">
        <v>2020</v>
      </c>
      <c r="D86" s="38" t="s">
        <v>337</v>
      </c>
      <c r="E86" s="1" t="s">
        <v>200</v>
      </c>
      <c r="F86" s="1" t="s">
        <v>357</v>
      </c>
      <c r="G86" s="1" t="s">
        <v>46</v>
      </c>
      <c r="H86" s="1" t="s">
        <v>82</v>
      </c>
      <c r="I86" s="1" t="s">
        <v>64</v>
      </c>
      <c r="J86" s="1" t="s">
        <v>40</v>
      </c>
      <c r="K86" s="1" t="s">
        <v>41</v>
      </c>
      <c r="L86" s="1">
        <v>1</v>
      </c>
      <c r="N86" s="1">
        <v>4</v>
      </c>
      <c r="O86" s="1">
        <v>0.53</v>
      </c>
      <c r="P86" s="1">
        <v>0.54</v>
      </c>
      <c r="Q86" s="7">
        <f t="shared" si="5"/>
        <v>0.53500000000000003</v>
      </c>
      <c r="R86" s="1">
        <v>16.3</v>
      </c>
      <c r="S86" s="1">
        <v>95</v>
      </c>
      <c r="T86" s="2">
        <f t="shared" si="6"/>
        <v>33</v>
      </c>
      <c r="U86" s="1">
        <v>480</v>
      </c>
      <c r="V86" s="2">
        <f t="shared" si="4"/>
        <v>16</v>
      </c>
      <c r="W86" s="1">
        <v>4</v>
      </c>
      <c r="X86" s="1" t="s">
        <v>51</v>
      </c>
      <c r="Y86" s="1" t="s">
        <v>67</v>
      </c>
      <c r="Z86" s="1" t="s">
        <v>85</v>
      </c>
      <c r="AA86" s="1" t="s">
        <v>128</v>
      </c>
      <c r="AB86" s="1" t="s">
        <v>340</v>
      </c>
    </row>
    <row r="87" spans="1:28" x14ac:dyDescent="0.15">
      <c r="A87" s="1" t="s">
        <v>73</v>
      </c>
      <c r="B87" s="1" t="s">
        <v>336</v>
      </c>
      <c r="C87" s="108">
        <v>2020</v>
      </c>
      <c r="D87" s="38" t="s">
        <v>337</v>
      </c>
      <c r="E87" s="1" t="s">
        <v>200</v>
      </c>
      <c r="F87" s="1" t="s">
        <v>357</v>
      </c>
      <c r="G87" s="1" t="s">
        <v>46</v>
      </c>
      <c r="H87" s="1" t="s">
        <v>82</v>
      </c>
      <c r="I87" s="1" t="s">
        <v>64</v>
      </c>
      <c r="J87" s="1" t="s">
        <v>40</v>
      </c>
      <c r="K87" s="1" t="s">
        <v>41</v>
      </c>
      <c r="L87" s="1">
        <v>2</v>
      </c>
      <c r="N87" s="1">
        <v>4</v>
      </c>
      <c r="O87" s="1">
        <v>0.8</v>
      </c>
      <c r="P87" s="1">
        <v>0.85</v>
      </c>
      <c r="Q87" s="7">
        <f t="shared" si="5"/>
        <v>0.82499999999999996</v>
      </c>
      <c r="R87" s="1">
        <v>15</v>
      </c>
      <c r="S87" s="1">
        <v>90</v>
      </c>
      <c r="T87" s="2">
        <f t="shared" si="6"/>
        <v>33</v>
      </c>
      <c r="U87" s="1">
        <v>480</v>
      </c>
      <c r="V87" s="2">
        <f t="shared" si="4"/>
        <v>16</v>
      </c>
      <c r="W87" s="1">
        <v>4</v>
      </c>
      <c r="X87" s="1" t="s">
        <v>51</v>
      </c>
      <c r="Y87" s="1" t="s">
        <v>67</v>
      </c>
      <c r="Z87" s="1" t="s">
        <v>85</v>
      </c>
      <c r="AA87" s="1" t="s">
        <v>128</v>
      </c>
      <c r="AB87" s="1" t="s">
        <v>340</v>
      </c>
    </row>
    <row r="88" spans="1:28" x14ac:dyDescent="0.15">
      <c r="A88" s="1" t="s">
        <v>73</v>
      </c>
      <c r="B88" s="1" t="s">
        <v>336</v>
      </c>
      <c r="C88" s="108">
        <v>2020</v>
      </c>
      <c r="D88" s="38" t="s">
        <v>337</v>
      </c>
      <c r="E88" s="1" t="s">
        <v>200</v>
      </c>
      <c r="F88" s="1" t="s">
        <v>357</v>
      </c>
      <c r="G88" s="1" t="s">
        <v>46</v>
      </c>
      <c r="H88" s="1" t="s">
        <v>82</v>
      </c>
      <c r="I88" s="1" t="s">
        <v>64</v>
      </c>
      <c r="J88" s="1" t="s">
        <v>40</v>
      </c>
      <c r="K88" s="1" t="s">
        <v>41</v>
      </c>
      <c r="L88" s="1">
        <v>3</v>
      </c>
      <c r="N88" s="1">
        <v>4</v>
      </c>
      <c r="O88" s="1">
        <v>0.82</v>
      </c>
      <c r="P88" s="1">
        <v>0.86</v>
      </c>
      <c r="Q88" s="7">
        <f t="shared" si="5"/>
        <v>0.84</v>
      </c>
      <c r="R88" s="1">
        <v>14.8</v>
      </c>
      <c r="S88" s="1">
        <v>90</v>
      </c>
      <c r="T88" s="2">
        <f t="shared" si="6"/>
        <v>33</v>
      </c>
      <c r="U88" s="1">
        <v>480</v>
      </c>
      <c r="V88" s="2">
        <f t="shared" si="4"/>
        <v>16</v>
      </c>
      <c r="W88" s="1">
        <v>4</v>
      </c>
      <c r="X88" s="1" t="s">
        <v>51</v>
      </c>
      <c r="Y88" s="1" t="s">
        <v>67</v>
      </c>
      <c r="Z88" s="1" t="s">
        <v>85</v>
      </c>
      <c r="AA88" s="1" t="s">
        <v>128</v>
      </c>
      <c r="AB88" s="1" t="s">
        <v>340</v>
      </c>
    </row>
    <row r="89" spans="1:28" x14ac:dyDescent="0.15">
      <c r="A89" s="1" t="s">
        <v>73</v>
      </c>
      <c r="B89" s="1" t="s">
        <v>336</v>
      </c>
      <c r="C89" s="108">
        <v>2020</v>
      </c>
      <c r="D89" s="38" t="s">
        <v>337</v>
      </c>
      <c r="E89" s="1" t="s">
        <v>200</v>
      </c>
      <c r="F89" s="1" t="s">
        <v>357</v>
      </c>
      <c r="G89" s="1" t="s">
        <v>46</v>
      </c>
      <c r="H89" s="1" t="s">
        <v>82</v>
      </c>
      <c r="I89" s="1" t="s">
        <v>64</v>
      </c>
      <c r="J89" s="1" t="s">
        <v>40</v>
      </c>
      <c r="K89" s="1" t="s">
        <v>41</v>
      </c>
      <c r="L89" s="1">
        <v>1</v>
      </c>
      <c r="N89" s="1">
        <v>1</v>
      </c>
      <c r="O89" s="1">
        <v>0.22</v>
      </c>
      <c r="P89" s="1">
        <v>0.23</v>
      </c>
      <c r="Q89" s="7">
        <f t="shared" si="5"/>
        <v>0.22500000000000001</v>
      </c>
      <c r="R89" s="1">
        <v>14.8</v>
      </c>
      <c r="S89" s="1">
        <v>140</v>
      </c>
      <c r="T89" s="2">
        <f t="shared" si="6"/>
        <v>22</v>
      </c>
      <c r="U89" s="1">
        <v>138</v>
      </c>
      <c r="V89" s="2">
        <f t="shared" si="4"/>
        <v>22</v>
      </c>
      <c r="W89" s="1">
        <v>4</v>
      </c>
      <c r="X89" s="1" t="s">
        <v>51</v>
      </c>
      <c r="Y89" s="1" t="s">
        <v>67</v>
      </c>
      <c r="Z89" s="1" t="s">
        <v>85</v>
      </c>
      <c r="AA89" s="1" t="s">
        <v>128</v>
      </c>
      <c r="AB89" s="1" t="s">
        <v>340</v>
      </c>
    </row>
    <row r="90" spans="1:28" x14ac:dyDescent="0.15">
      <c r="A90" s="1" t="s">
        <v>73</v>
      </c>
      <c r="B90" s="1" t="s">
        <v>336</v>
      </c>
      <c r="C90" s="108">
        <v>2020</v>
      </c>
      <c r="D90" s="38" t="s">
        <v>337</v>
      </c>
      <c r="E90" s="1" t="s">
        <v>200</v>
      </c>
      <c r="F90" s="1" t="s">
        <v>357</v>
      </c>
      <c r="G90" s="1" t="s">
        <v>46</v>
      </c>
      <c r="H90" s="1" t="s">
        <v>82</v>
      </c>
      <c r="I90" s="1" t="s">
        <v>64</v>
      </c>
      <c r="J90" s="1" t="s">
        <v>40</v>
      </c>
      <c r="K90" s="1" t="s">
        <v>41</v>
      </c>
      <c r="L90" s="1">
        <v>2</v>
      </c>
      <c r="N90" s="1">
        <v>1</v>
      </c>
      <c r="O90" s="1">
        <v>0.23</v>
      </c>
      <c r="P90" s="1">
        <v>0.23</v>
      </c>
      <c r="Q90" s="7">
        <f t="shared" si="5"/>
        <v>0.23</v>
      </c>
      <c r="R90" s="1">
        <v>14.5</v>
      </c>
      <c r="S90" s="1">
        <v>146</v>
      </c>
      <c r="T90" s="2">
        <f t="shared" si="6"/>
        <v>22</v>
      </c>
      <c r="U90" s="1">
        <v>138</v>
      </c>
      <c r="V90" s="2">
        <f t="shared" si="4"/>
        <v>22</v>
      </c>
      <c r="W90" s="1">
        <v>4</v>
      </c>
      <c r="X90" s="1" t="s">
        <v>51</v>
      </c>
      <c r="Y90" s="1" t="s">
        <v>67</v>
      </c>
      <c r="Z90" s="1" t="s">
        <v>85</v>
      </c>
      <c r="AA90" s="1" t="s">
        <v>128</v>
      </c>
      <c r="AB90" s="1" t="s">
        <v>340</v>
      </c>
    </row>
    <row r="91" spans="1:28" x14ac:dyDescent="0.15">
      <c r="A91" s="1" t="s">
        <v>73</v>
      </c>
      <c r="B91" s="1" t="s">
        <v>336</v>
      </c>
      <c r="C91" s="108">
        <v>2020</v>
      </c>
      <c r="D91" s="38" t="s">
        <v>337</v>
      </c>
      <c r="E91" s="1" t="s">
        <v>200</v>
      </c>
      <c r="F91" s="1" t="s">
        <v>357</v>
      </c>
      <c r="G91" s="1" t="s">
        <v>46</v>
      </c>
      <c r="H91" s="1" t="s">
        <v>82</v>
      </c>
      <c r="I91" s="1" t="s">
        <v>64</v>
      </c>
      <c r="J91" s="1" t="s">
        <v>40</v>
      </c>
      <c r="K91" s="1" t="s">
        <v>41</v>
      </c>
      <c r="L91" s="1">
        <v>3</v>
      </c>
      <c r="N91" s="1">
        <v>1</v>
      </c>
      <c r="O91" s="1">
        <v>0.27</v>
      </c>
      <c r="P91" s="1">
        <v>0.26</v>
      </c>
      <c r="Q91" s="7">
        <f t="shared" si="5"/>
        <v>0.26500000000000001</v>
      </c>
      <c r="R91" s="1">
        <v>15.3</v>
      </c>
      <c r="S91" s="1">
        <v>150</v>
      </c>
      <c r="T91" s="2">
        <f t="shared" si="6"/>
        <v>22</v>
      </c>
      <c r="U91" s="1">
        <v>138</v>
      </c>
      <c r="V91" s="2">
        <f t="shared" si="4"/>
        <v>22</v>
      </c>
      <c r="W91" s="1">
        <v>4</v>
      </c>
      <c r="X91" s="1" t="s">
        <v>51</v>
      </c>
      <c r="Y91" s="1" t="s">
        <v>67</v>
      </c>
      <c r="Z91" s="1" t="s">
        <v>85</v>
      </c>
      <c r="AA91" s="1" t="s">
        <v>128</v>
      </c>
      <c r="AB91" s="1" t="s">
        <v>340</v>
      </c>
    </row>
    <row r="92" spans="1:28" x14ac:dyDescent="0.15">
      <c r="A92" s="1" t="s">
        <v>73</v>
      </c>
      <c r="B92" s="1" t="s">
        <v>336</v>
      </c>
      <c r="C92" s="108">
        <v>2020</v>
      </c>
      <c r="D92" s="38" t="s">
        <v>337</v>
      </c>
      <c r="E92" s="1" t="s">
        <v>200</v>
      </c>
      <c r="F92" s="1" t="s">
        <v>357</v>
      </c>
      <c r="G92" s="1" t="s">
        <v>46</v>
      </c>
      <c r="H92" s="1" t="s">
        <v>63</v>
      </c>
      <c r="I92" s="1" t="s">
        <v>64</v>
      </c>
      <c r="J92" s="1" t="s">
        <v>40</v>
      </c>
      <c r="K92" s="1" t="s">
        <v>41</v>
      </c>
      <c r="L92" s="1">
        <v>1</v>
      </c>
      <c r="N92" s="1">
        <v>4</v>
      </c>
      <c r="O92" s="1">
        <v>0.56999999999999995</v>
      </c>
      <c r="P92" s="1">
        <v>0.55000000000000004</v>
      </c>
      <c r="Q92" s="7">
        <f t="shared" si="5"/>
        <v>0.56000000000000005</v>
      </c>
      <c r="R92" s="1">
        <v>14.6</v>
      </c>
      <c r="S92" s="1">
        <v>104</v>
      </c>
      <c r="T92" s="2">
        <f t="shared" si="6"/>
        <v>36</v>
      </c>
      <c r="U92" s="1">
        <v>398</v>
      </c>
      <c r="V92" s="2">
        <f t="shared" si="4"/>
        <v>16</v>
      </c>
      <c r="W92" s="1">
        <v>1</v>
      </c>
      <c r="X92" s="1" t="s">
        <v>51</v>
      </c>
      <c r="Y92" s="1" t="s">
        <v>67</v>
      </c>
      <c r="Z92" s="1" t="s">
        <v>85</v>
      </c>
      <c r="AA92" s="1" t="s">
        <v>128</v>
      </c>
      <c r="AB92" s="1" t="s">
        <v>340</v>
      </c>
    </row>
    <row r="93" spans="1:28" x14ac:dyDescent="0.15">
      <c r="A93" s="1" t="s">
        <v>73</v>
      </c>
      <c r="B93" s="1" t="s">
        <v>336</v>
      </c>
      <c r="C93" s="108">
        <v>2020</v>
      </c>
      <c r="D93" s="38" t="s">
        <v>337</v>
      </c>
      <c r="E93" s="1" t="s">
        <v>200</v>
      </c>
      <c r="F93" s="1" t="s">
        <v>357</v>
      </c>
      <c r="G93" s="1" t="s">
        <v>46</v>
      </c>
      <c r="H93" s="1" t="s">
        <v>63</v>
      </c>
      <c r="I93" s="1" t="s">
        <v>64</v>
      </c>
      <c r="J93" s="1" t="s">
        <v>40</v>
      </c>
      <c r="K93" s="1" t="s">
        <v>41</v>
      </c>
      <c r="L93" s="1">
        <v>2</v>
      </c>
      <c r="N93" s="1">
        <v>4</v>
      </c>
      <c r="O93" s="1">
        <v>0.45</v>
      </c>
      <c r="P93" s="1">
        <v>0.45</v>
      </c>
      <c r="Q93" s="7">
        <f t="shared" si="5"/>
        <v>0.45</v>
      </c>
      <c r="R93" s="1">
        <v>14.7</v>
      </c>
      <c r="S93" s="1">
        <v>109</v>
      </c>
      <c r="T93" s="2">
        <f t="shared" si="6"/>
        <v>36</v>
      </c>
      <c r="U93" s="1">
        <v>398</v>
      </c>
      <c r="V93" s="2">
        <f t="shared" si="4"/>
        <v>16</v>
      </c>
      <c r="W93" s="1">
        <v>1</v>
      </c>
      <c r="X93" s="1" t="s">
        <v>51</v>
      </c>
      <c r="Y93" s="1" t="s">
        <v>67</v>
      </c>
      <c r="Z93" s="1" t="s">
        <v>85</v>
      </c>
      <c r="AA93" s="1" t="s">
        <v>128</v>
      </c>
      <c r="AB93" s="1" t="s">
        <v>340</v>
      </c>
    </row>
    <row r="94" spans="1:28" x14ac:dyDescent="0.15">
      <c r="A94" s="1" t="s">
        <v>73</v>
      </c>
      <c r="B94" s="1" t="s">
        <v>336</v>
      </c>
      <c r="C94" s="108">
        <v>2020</v>
      </c>
      <c r="D94" s="38" t="s">
        <v>337</v>
      </c>
      <c r="E94" s="1" t="s">
        <v>200</v>
      </c>
      <c r="F94" s="1" t="s">
        <v>357</v>
      </c>
      <c r="G94" s="1" t="s">
        <v>46</v>
      </c>
      <c r="H94" s="1" t="s">
        <v>63</v>
      </c>
      <c r="I94" s="1" t="s">
        <v>64</v>
      </c>
      <c r="J94" s="1" t="s">
        <v>40</v>
      </c>
      <c r="K94" s="1" t="s">
        <v>41</v>
      </c>
      <c r="L94" s="1">
        <v>3</v>
      </c>
      <c r="N94" s="1">
        <v>4</v>
      </c>
      <c r="O94" s="1">
        <v>0.48</v>
      </c>
      <c r="P94" s="1">
        <v>0.47</v>
      </c>
      <c r="Q94" s="7">
        <f t="shared" si="5"/>
        <v>0.47499999999999998</v>
      </c>
      <c r="R94" s="1">
        <v>14.6</v>
      </c>
      <c r="S94" s="1">
        <v>108</v>
      </c>
      <c r="T94" s="2">
        <f t="shared" si="6"/>
        <v>36</v>
      </c>
      <c r="U94" s="1">
        <v>398</v>
      </c>
      <c r="V94" s="2">
        <f t="shared" si="4"/>
        <v>16</v>
      </c>
      <c r="W94" s="1">
        <v>1</v>
      </c>
      <c r="X94" s="1" t="s">
        <v>51</v>
      </c>
      <c r="Y94" s="1" t="s">
        <v>67</v>
      </c>
      <c r="Z94" s="1" t="s">
        <v>85</v>
      </c>
      <c r="AA94" s="1" t="s">
        <v>128</v>
      </c>
      <c r="AB94" s="1" t="s">
        <v>340</v>
      </c>
    </row>
    <row r="95" spans="1:28" x14ac:dyDescent="0.15">
      <c r="A95" s="1" t="s">
        <v>73</v>
      </c>
      <c r="B95" s="1" t="s">
        <v>336</v>
      </c>
      <c r="C95" s="108">
        <v>2020</v>
      </c>
      <c r="D95" s="38" t="s">
        <v>337</v>
      </c>
      <c r="E95" s="1" t="s">
        <v>200</v>
      </c>
      <c r="F95" s="1" t="s">
        <v>357</v>
      </c>
      <c r="G95" s="1" t="s">
        <v>46</v>
      </c>
      <c r="H95" s="1" t="s">
        <v>63</v>
      </c>
      <c r="I95" s="1" t="s">
        <v>64</v>
      </c>
      <c r="J95" s="1" t="s">
        <v>40</v>
      </c>
      <c r="K95" s="1" t="s">
        <v>41</v>
      </c>
      <c r="L95" s="1">
        <v>1</v>
      </c>
      <c r="N95" s="1">
        <v>1</v>
      </c>
      <c r="O95" s="1">
        <v>0.71</v>
      </c>
      <c r="P95" s="1">
        <v>0.73</v>
      </c>
      <c r="Q95" s="7">
        <f t="shared" si="5"/>
        <v>0.72</v>
      </c>
      <c r="R95" s="1">
        <v>15</v>
      </c>
      <c r="S95" s="1">
        <v>150</v>
      </c>
      <c r="T95" s="2">
        <f t="shared" ref="T95:T115" si="7">IF(H95="","",IF(OR(H95="GREEN",H95="GK"),IF(S95&gt;=$AX$2,VLOOKUP(S95,$AX$2:$AY$12,2,1),""),IF(S95&gt;=$AZ$2,VLOOKUP(S95,$AZ$2:$BA$12,2,1),"")))</f>
        <v>22</v>
      </c>
      <c r="U95" s="1">
        <v>98</v>
      </c>
      <c r="V95" s="2">
        <f t="shared" si="4"/>
        <v>36</v>
      </c>
      <c r="W95" s="1">
        <v>3</v>
      </c>
      <c r="X95" s="1" t="s">
        <v>51</v>
      </c>
      <c r="Y95" s="1" t="s">
        <v>67</v>
      </c>
      <c r="Z95" s="1" t="s">
        <v>85</v>
      </c>
      <c r="AA95" s="1" t="s">
        <v>128</v>
      </c>
      <c r="AB95" s="1" t="s">
        <v>340</v>
      </c>
    </row>
    <row r="96" spans="1:28" x14ac:dyDescent="0.15">
      <c r="A96" s="1" t="s">
        <v>73</v>
      </c>
      <c r="B96" s="1" t="s">
        <v>336</v>
      </c>
      <c r="C96" s="108">
        <v>2020</v>
      </c>
      <c r="D96" s="38" t="s">
        <v>337</v>
      </c>
      <c r="E96" s="1" t="s">
        <v>200</v>
      </c>
      <c r="F96" s="1" t="s">
        <v>357</v>
      </c>
      <c r="G96" s="1" t="s">
        <v>46</v>
      </c>
      <c r="H96" s="1" t="s">
        <v>63</v>
      </c>
      <c r="I96" s="1" t="s">
        <v>64</v>
      </c>
      <c r="J96" s="1" t="s">
        <v>40</v>
      </c>
      <c r="K96" s="1" t="s">
        <v>41</v>
      </c>
      <c r="L96" s="1">
        <v>2</v>
      </c>
      <c r="N96" s="1">
        <v>1</v>
      </c>
      <c r="O96" s="1">
        <v>0.68</v>
      </c>
      <c r="P96" s="1">
        <v>0.72</v>
      </c>
      <c r="Q96" s="7">
        <f t="shared" si="5"/>
        <v>0.7</v>
      </c>
      <c r="R96" s="1">
        <v>13.6</v>
      </c>
      <c r="S96" s="1">
        <v>140</v>
      </c>
      <c r="T96" s="2">
        <f t="shared" si="7"/>
        <v>22</v>
      </c>
      <c r="U96" s="1">
        <v>98</v>
      </c>
      <c r="V96" s="2">
        <f t="shared" si="4"/>
        <v>36</v>
      </c>
      <c r="W96" s="1">
        <v>3</v>
      </c>
      <c r="X96" s="1" t="s">
        <v>51</v>
      </c>
      <c r="Y96" s="1" t="s">
        <v>67</v>
      </c>
      <c r="Z96" s="1" t="s">
        <v>85</v>
      </c>
      <c r="AA96" s="1" t="s">
        <v>128</v>
      </c>
      <c r="AB96" s="1" t="s">
        <v>340</v>
      </c>
    </row>
    <row r="97" spans="1:28" x14ac:dyDescent="0.15">
      <c r="A97" s="1" t="s">
        <v>73</v>
      </c>
      <c r="B97" s="1" t="s">
        <v>336</v>
      </c>
      <c r="C97" s="108">
        <v>2020</v>
      </c>
      <c r="D97" s="38" t="s">
        <v>337</v>
      </c>
      <c r="E97" s="1" t="s">
        <v>200</v>
      </c>
      <c r="F97" s="1" t="s">
        <v>357</v>
      </c>
      <c r="G97" s="1" t="s">
        <v>46</v>
      </c>
      <c r="H97" s="1" t="s">
        <v>63</v>
      </c>
      <c r="I97" s="1" t="s">
        <v>64</v>
      </c>
      <c r="J97" s="1" t="s">
        <v>40</v>
      </c>
      <c r="K97" s="1" t="s">
        <v>41</v>
      </c>
      <c r="L97" s="1">
        <v>3</v>
      </c>
      <c r="N97" s="1">
        <v>1</v>
      </c>
      <c r="O97" s="1">
        <v>0.75</v>
      </c>
      <c r="P97" s="1">
        <v>0.7</v>
      </c>
      <c r="Q97" s="2">
        <f t="shared" si="5"/>
        <v>0.72499999999999998</v>
      </c>
      <c r="R97" s="1">
        <v>13.1</v>
      </c>
      <c r="S97" s="1">
        <v>144</v>
      </c>
      <c r="T97" s="2">
        <f t="shared" si="7"/>
        <v>22</v>
      </c>
      <c r="U97" s="1">
        <v>98</v>
      </c>
      <c r="V97" s="2">
        <f t="shared" si="4"/>
        <v>36</v>
      </c>
      <c r="W97" s="1">
        <v>3</v>
      </c>
      <c r="X97" s="1" t="s">
        <v>51</v>
      </c>
      <c r="Y97" s="1" t="s">
        <v>67</v>
      </c>
      <c r="Z97" s="1" t="s">
        <v>85</v>
      </c>
      <c r="AA97" s="1" t="s">
        <v>128</v>
      </c>
      <c r="AB97" s="1" t="s">
        <v>340</v>
      </c>
    </row>
    <row r="98" spans="1:28" x14ac:dyDescent="0.15">
      <c r="A98" s="1" t="s">
        <v>73</v>
      </c>
      <c r="B98" s="1" t="s">
        <v>336</v>
      </c>
      <c r="C98" s="108">
        <v>2020</v>
      </c>
      <c r="D98" s="38" t="s">
        <v>337</v>
      </c>
      <c r="E98" s="1" t="s">
        <v>196</v>
      </c>
      <c r="F98" s="1" t="s">
        <v>351</v>
      </c>
      <c r="G98" s="1" t="s">
        <v>37</v>
      </c>
      <c r="H98" s="1" t="s">
        <v>82</v>
      </c>
      <c r="I98" s="1" t="s">
        <v>64</v>
      </c>
      <c r="J98" s="1" t="s">
        <v>40</v>
      </c>
      <c r="K98" s="1" t="s">
        <v>41</v>
      </c>
      <c r="L98" s="1">
        <v>1</v>
      </c>
      <c r="N98" s="1">
        <v>8</v>
      </c>
      <c r="O98" s="1">
        <v>0.49</v>
      </c>
      <c r="P98" s="1">
        <v>0.44</v>
      </c>
      <c r="Q98" s="2">
        <f t="shared" si="5"/>
        <v>0.46499999999999997</v>
      </c>
      <c r="R98" s="1">
        <v>16.2</v>
      </c>
      <c r="S98" s="1">
        <v>92</v>
      </c>
      <c r="T98" s="2">
        <f t="shared" si="7"/>
        <v>36</v>
      </c>
      <c r="U98" s="1">
        <v>880</v>
      </c>
      <c r="V98" s="2">
        <f t="shared" si="4"/>
        <v>16</v>
      </c>
      <c r="W98" s="1">
        <v>2</v>
      </c>
      <c r="X98" s="1" t="s">
        <v>51</v>
      </c>
      <c r="Y98" s="1" t="s">
        <v>101</v>
      </c>
      <c r="Z98" s="1" t="s">
        <v>122</v>
      </c>
      <c r="AA98" s="1" t="s">
        <v>128</v>
      </c>
      <c r="AB98" s="1" t="s">
        <v>340</v>
      </c>
    </row>
    <row r="99" spans="1:28" x14ac:dyDescent="0.15">
      <c r="A99" s="1" t="s">
        <v>73</v>
      </c>
      <c r="B99" s="1" t="s">
        <v>336</v>
      </c>
      <c r="C99" s="108">
        <v>2020</v>
      </c>
      <c r="D99" s="38" t="s">
        <v>337</v>
      </c>
      <c r="E99" s="1" t="s">
        <v>196</v>
      </c>
      <c r="F99" s="1" t="s">
        <v>351</v>
      </c>
      <c r="G99" s="1" t="s">
        <v>37</v>
      </c>
      <c r="H99" s="1" t="s">
        <v>82</v>
      </c>
      <c r="I99" s="1" t="s">
        <v>64</v>
      </c>
      <c r="J99" s="1" t="s">
        <v>40</v>
      </c>
      <c r="K99" s="1" t="s">
        <v>41</v>
      </c>
      <c r="L99" s="1">
        <v>2</v>
      </c>
      <c r="N99" s="1">
        <v>8</v>
      </c>
      <c r="O99" s="1">
        <v>0.38</v>
      </c>
      <c r="P99" s="1">
        <v>0.4</v>
      </c>
      <c r="Q99" s="2">
        <f t="shared" si="5"/>
        <v>0.39</v>
      </c>
      <c r="R99" s="1">
        <v>16.899999999999999</v>
      </c>
      <c r="S99" s="1">
        <v>91</v>
      </c>
      <c r="T99" s="2">
        <f t="shared" si="7"/>
        <v>36</v>
      </c>
      <c r="U99" s="1">
        <v>880</v>
      </c>
      <c r="V99" s="2">
        <f t="shared" si="4"/>
        <v>16</v>
      </c>
      <c r="W99" s="1">
        <v>2</v>
      </c>
      <c r="X99" s="1" t="s">
        <v>51</v>
      </c>
      <c r="Y99" s="1" t="s">
        <v>101</v>
      </c>
      <c r="Z99" s="1" t="s">
        <v>122</v>
      </c>
      <c r="AA99" s="1" t="s">
        <v>128</v>
      </c>
      <c r="AB99" s="1" t="s">
        <v>340</v>
      </c>
    </row>
    <row r="100" spans="1:28" x14ac:dyDescent="0.15">
      <c r="A100" s="1" t="s">
        <v>73</v>
      </c>
      <c r="B100" s="1" t="s">
        <v>336</v>
      </c>
      <c r="C100" s="108">
        <v>2020</v>
      </c>
      <c r="D100" s="38" t="s">
        <v>337</v>
      </c>
      <c r="E100" s="1" t="s">
        <v>196</v>
      </c>
      <c r="F100" s="1" t="s">
        <v>351</v>
      </c>
      <c r="G100" s="1" t="s">
        <v>37</v>
      </c>
      <c r="H100" s="1" t="s">
        <v>82</v>
      </c>
      <c r="I100" s="1" t="s">
        <v>64</v>
      </c>
      <c r="J100" s="1" t="s">
        <v>40</v>
      </c>
      <c r="K100" s="1" t="s">
        <v>41</v>
      </c>
      <c r="L100" s="1">
        <v>3</v>
      </c>
      <c r="N100" s="1">
        <v>8</v>
      </c>
      <c r="O100" s="1">
        <v>0.44</v>
      </c>
      <c r="P100" s="1">
        <v>0.4</v>
      </c>
      <c r="Q100" s="2">
        <f t="shared" si="5"/>
        <v>0.42000000000000004</v>
      </c>
      <c r="R100" s="1">
        <v>16.2</v>
      </c>
      <c r="S100" s="1">
        <v>95</v>
      </c>
      <c r="T100" s="2">
        <f t="shared" si="7"/>
        <v>36</v>
      </c>
      <c r="U100" s="1">
        <v>880</v>
      </c>
      <c r="V100" s="2">
        <f t="shared" si="4"/>
        <v>16</v>
      </c>
      <c r="W100" s="1">
        <v>2</v>
      </c>
      <c r="X100" s="1" t="s">
        <v>51</v>
      </c>
      <c r="Y100" s="1" t="s">
        <v>101</v>
      </c>
      <c r="Z100" s="1" t="s">
        <v>122</v>
      </c>
      <c r="AA100" s="1" t="s">
        <v>128</v>
      </c>
      <c r="AB100" s="1" t="s">
        <v>340</v>
      </c>
    </row>
    <row r="101" spans="1:28" x14ac:dyDescent="0.15">
      <c r="A101" s="1" t="s">
        <v>73</v>
      </c>
      <c r="B101" s="1" t="s">
        <v>336</v>
      </c>
      <c r="C101" s="108">
        <v>2020</v>
      </c>
      <c r="D101" s="38" t="s">
        <v>337</v>
      </c>
      <c r="E101" s="1" t="s">
        <v>196</v>
      </c>
      <c r="F101" s="1" t="s">
        <v>351</v>
      </c>
      <c r="G101" s="1" t="s">
        <v>37</v>
      </c>
      <c r="H101" s="1" t="s">
        <v>82</v>
      </c>
      <c r="I101" s="1" t="s">
        <v>64</v>
      </c>
      <c r="J101" s="1" t="s">
        <v>40</v>
      </c>
      <c r="K101" s="1" t="s">
        <v>41</v>
      </c>
      <c r="L101" s="1">
        <v>1</v>
      </c>
      <c r="N101" s="1">
        <v>1</v>
      </c>
      <c r="O101" s="1">
        <v>0.48</v>
      </c>
      <c r="P101" s="1">
        <v>0.5</v>
      </c>
      <c r="Q101" s="2">
        <f t="shared" si="5"/>
        <v>0.49</v>
      </c>
      <c r="R101" s="1">
        <v>16</v>
      </c>
      <c r="S101" s="1">
        <v>157</v>
      </c>
      <c r="T101" s="2">
        <f t="shared" si="7"/>
        <v>18</v>
      </c>
      <c r="U101" s="1">
        <v>148</v>
      </c>
      <c r="V101" s="2">
        <f t="shared" si="4"/>
        <v>22</v>
      </c>
      <c r="W101" s="1">
        <v>6</v>
      </c>
      <c r="X101" s="1" t="s">
        <v>51</v>
      </c>
      <c r="Y101" s="1" t="s">
        <v>101</v>
      </c>
      <c r="Z101" s="1" t="s">
        <v>122</v>
      </c>
      <c r="AA101" s="1" t="s">
        <v>128</v>
      </c>
      <c r="AB101" s="1" t="s">
        <v>340</v>
      </c>
    </row>
    <row r="102" spans="1:28" x14ac:dyDescent="0.15">
      <c r="A102" s="1" t="s">
        <v>73</v>
      </c>
      <c r="B102" s="1" t="s">
        <v>336</v>
      </c>
      <c r="C102" s="108">
        <v>2020</v>
      </c>
      <c r="D102" s="38" t="s">
        <v>337</v>
      </c>
      <c r="E102" s="1" t="s">
        <v>196</v>
      </c>
      <c r="F102" s="1" t="s">
        <v>351</v>
      </c>
      <c r="G102" s="1" t="s">
        <v>37</v>
      </c>
      <c r="H102" s="1" t="s">
        <v>82</v>
      </c>
      <c r="I102" s="1" t="s">
        <v>64</v>
      </c>
      <c r="J102" s="1" t="s">
        <v>40</v>
      </c>
      <c r="K102" s="1" t="s">
        <v>41</v>
      </c>
      <c r="L102" s="1">
        <v>2</v>
      </c>
      <c r="N102" s="1">
        <v>1</v>
      </c>
      <c r="O102" s="1">
        <v>0.74</v>
      </c>
      <c r="P102" s="1">
        <v>0.74</v>
      </c>
      <c r="Q102" s="2">
        <f t="shared" si="5"/>
        <v>0.74</v>
      </c>
      <c r="R102" s="1">
        <v>14.3</v>
      </c>
      <c r="S102" s="1">
        <v>159</v>
      </c>
      <c r="T102" s="2">
        <f t="shared" si="7"/>
        <v>18</v>
      </c>
      <c r="U102" s="1">
        <v>148</v>
      </c>
      <c r="V102" s="2">
        <f t="shared" si="4"/>
        <v>22</v>
      </c>
      <c r="W102" s="1">
        <v>6</v>
      </c>
      <c r="X102" s="1" t="s">
        <v>51</v>
      </c>
      <c r="Y102" s="1" t="s">
        <v>101</v>
      </c>
      <c r="Z102" s="1" t="s">
        <v>122</v>
      </c>
      <c r="AA102" s="1" t="s">
        <v>128</v>
      </c>
      <c r="AB102" s="1" t="s">
        <v>340</v>
      </c>
    </row>
    <row r="103" spans="1:28" x14ac:dyDescent="0.15">
      <c r="A103" s="1" t="s">
        <v>73</v>
      </c>
      <c r="B103" s="1" t="s">
        <v>336</v>
      </c>
      <c r="C103" s="108">
        <v>2020</v>
      </c>
      <c r="D103" s="38" t="s">
        <v>337</v>
      </c>
      <c r="E103" s="1" t="s">
        <v>196</v>
      </c>
      <c r="F103" s="1" t="s">
        <v>351</v>
      </c>
      <c r="G103" s="1" t="s">
        <v>37</v>
      </c>
      <c r="H103" s="1" t="s">
        <v>82</v>
      </c>
      <c r="I103" s="1" t="s">
        <v>64</v>
      </c>
      <c r="J103" s="1" t="s">
        <v>40</v>
      </c>
      <c r="K103" s="1" t="s">
        <v>41</v>
      </c>
      <c r="L103" s="1">
        <v>3</v>
      </c>
      <c r="N103" s="1">
        <v>1</v>
      </c>
      <c r="O103" s="1">
        <v>0.73</v>
      </c>
      <c r="P103" s="1">
        <v>0.71</v>
      </c>
      <c r="Q103" s="2">
        <f t="shared" si="5"/>
        <v>0.72</v>
      </c>
      <c r="R103" s="1">
        <v>14.1</v>
      </c>
      <c r="S103" s="1">
        <v>153</v>
      </c>
      <c r="T103" s="2">
        <f t="shared" si="7"/>
        <v>18</v>
      </c>
      <c r="U103" s="1">
        <v>148</v>
      </c>
      <c r="V103" s="2">
        <f t="shared" si="4"/>
        <v>22</v>
      </c>
      <c r="W103" s="1">
        <v>6</v>
      </c>
      <c r="X103" s="1" t="s">
        <v>51</v>
      </c>
      <c r="Y103" s="1" t="s">
        <v>101</v>
      </c>
      <c r="Z103" s="1" t="s">
        <v>122</v>
      </c>
      <c r="AA103" s="1" t="s">
        <v>128</v>
      </c>
      <c r="AB103" s="1" t="s">
        <v>340</v>
      </c>
    </row>
    <row r="104" spans="1:28" x14ac:dyDescent="0.15">
      <c r="A104" s="1" t="s">
        <v>73</v>
      </c>
      <c r="B104" s="1" t="s">
        <v>336</v>
      </c>
      <c r="C104" s="108">
        <v>2020</v>
      </c>
      <c r="D104" s="38" t="s">
        <v>337</v>
      </c>
      <c r="E104" s="1" t="s">
        <v>196</v>
      </c>
      <c r="F104" s="1" t="s">
        <v>351</v>
      </c>
      <c r="G104" s="1" t="s">
        <v>37</v>
      </c>
      <c r="H104" s="1" t="s">
        <v>63</v>
      </c>
      <c r="I104" s="1" t="s">
        <v>64</v>
      </c>
      <c r="J104" s="1" t="s">
        <v>40</v>
      </c>
      <c r="K104" s="1" t="s">
        <v>41</v>
      </c>
      <c r="L104" s="1">
        <v>1</v>
      </c>
      <c r="N104" s="1">
        <v>10</v>
      </c>
      <c r="O104" s="1">
        <v>0.42</v>
      </c>
      <c r="P104" s="1">
        <v>0.4</v>
      </c>
      <c r="Q104" s="2">
        <f t="shared" si="5"/>
        <v>0.41000000000000003</v>
      </c>
      <c r="R104" s="1">
        <v>14.3</v>
      </c>
      <c r="S104" s="1">
        <v>90</v>
      </c>
      <c r="T104" s="2">
        <f t="shared" si="7"/>
        <v>36</v>
      </c>
      <c r="U104" s="1">
        <v>580</v>
      </c>
      <c r="V104" s="2">
        <f t="shared" si="4"/>
        <v>16</v>
      </c>
      <c r="W104" s="1">
        <v>1</v>
      </c>
      <c r="X104" s="1" t="s">
        <v>51</v>
      </c>
      <c r="Y104" s="1" t="s">
        <v>101</v>
      </c>
      <c r="Z104" s="1" t="s">
        <v>122</v>
      </c>
      <c r="AA104" s="1" t="s">
        <v>128</v>
      </c>
      <c r="AB104" s="1" t="s">
        <v>340</v>
      </c>
    </row>
    <row r="105" spans="1:28" x14ac:dyDescent="0.15">
      <c r="A105" s="1" t="s">
        <v>73</v>
      </c>
      <c r="B105" s="1" t="s">
        <v>336</v>
      </c>
      <c r="C105" s="108">
        <v>2020</v>
      </c>
      <c r="D105" s="38" t="s">
        <v>337</v>
      </c>
      <c r="E105" s="1" t="s">
        <v>196</v>
      </c>
      <c r="F105" s="1" t="s">
        <v>351</v>
      </c>
      <c r="G105" s="1" t="s">
        <v>37</v>
      </c>
      <c r="H105" s="1" t="s">
        <v>63</v>
      </c>
      <c r="I105" s="1" t="s">
        <v>64</v>
      </c>
      <c r="J105" s="1" t="s">
        <v>40</v>
      </c>
      <c r="K105" s="1" t="s">
        <v>41</v>
      </c>
      <c r="L105" s="1">
        <v>2</v>
      </c>
      <c r="N105" s="1">
        <v>10</v>
      </c>
      <c r="O105" s="1">
        <v>0.33</v>
      </c>
      <c r="P105" s="1">
        <v>0.3</v>
      </c>
      <c r="Q105" s="2">
        <f t="shared" si="5"/>
        <v>0.315</v>
      </c>
      <c r="R105" s="1">
        <v>15.8</v>
      </c>
      <c r="S105" s="1">
        <v>86</v>
      </c>
      <c r="T105" s="2">
        <f t="shared" si="7"/>
        <v>36</v>
      </c>
      <c r="U105" s="1">
        <v>580</v>
      </c>
      <c r="V105" s="2">
        <f t="shared" si="4"/>
        <v>16</v>
      </c>
      <c r="W105" s="1">
        <v>1</v>
      </c>
      <c r="X105" s="1" t="s">
        <v>51</v>
      </c>
      <c r="Y105" s="1" t="s">
        <v>101</v>
      </c>
      <c r="Z105" s="1" t="s">
        <v>122</v>
      </c>
      <c r="AA105" s="1" t="s">
        <v>128</v>
      </c>
      <c r="AB105" s="1" t="s">
        <v>340</v>
      </c>
    </row>
    <row r="106" spans="1:28" x14ac:dyDescent="0.15">
      <c r="A106" s="1" t="s">
        <v>73</v>
      </c>
      <c r="B106" s="1" t="s">
        <v>336</v>
      </c>
      <c r="C106" s="108">
        <v>2020</v>
      </c>
      <c r="D106" s="38" t="s">
        <v>337</v>
      </c>
      <c r="E106" s="1" t="s">
        <v>196</v>
      </c>
      <c r="F106" s="1" t="s">
        <v>351</v>
      </c>
      <c r="G106" s="1" t="s">
        <v>37</v>
      </c>
      <c r="H106" s="1" t="s">
        <v>63</v>
      </c>
      <c r="I106" s="1" t="s">
        <v>64</v>
      </c>
      <c r="J106" s="1" t="s">
        <v>40</v>
      </c>
      <c r="K106" s="1" t="s">
        <v>41</v>
      </c>
      <c r="L106" s="1">
        <v>3</v>
      </c>
      <c r="N106" s="1">
        <v>10</v>
      </c>
      <c r="O106" s="1">
        <v>0.41</v>
      </c>
      <c r="P106" s="1">
        <v>0.46</v>
      </c>
      <c r="Q106" s="2">
        <f t="shared" si="5"/>
        <v>0.435</v>
      </c>
      <c r="R106" s="1">
        <v>14</v>
      </c>
      <c r="S106" s="1">
        <v>95</v>
      </c>
      <c r="T106" s="2">
        <f t="shared" si="7"/>
        <v>36</v>
      </c>
      <c r="U106" s="1">
        <v>580</v>
      </c>
      <c r="V106" s="2">
        <f t="shared" si="4"/>
        <v>16</v>
      </c>
      <c r="W106" s="1">
        <v>1</v>
      </c>
      <c r="X106" s="1" t="s">
        <v>51</v>
      </c>
      <c r="Y106" s="1" t="s">
        <v>101</v>
      </c>
      <c r="Z106" s="1" t="s">
        <v>122</v>
      </c>
      <c r="AA106" s="1" t="s">
        <v>128</v>
      </c>
      <c r="AB106" s="1" t="s">
        <v>340</v>
      </c>
    </row>
    <row r="107" spans="1:28" x14ac:dyDescent="0.15">
      <c r="A107" s="1" t="s">
        <v>73</v>
      </c>
      <c r="B107" s="1" t="s">
        <v>336</v>
      </c>
      <c r="C107" s="108">
        <v>2020</v>
      </c>
      <c r="D107" s="38" t="s">
        <v>337</v>
      </c>
      <c r="E107" s="1" t="s">
        <v>196</v>
      </c>
      <c r="F107" s="1" t="s">
        <v>351</v>
      </c>
      <c r="G107" s="1" t="s">
        <v>37</v>
      </c>
      <c r="H107" s="1" t="s">
        <v>63</v>
      </c>
      <c r="I107" s="1" t="s">
        <v>64</v>
      </c>
      <c r="J107" s="1" t="s">
        <v>40</v>
      </c>
      <c r="K107" s="1" t="s">
        <v>41</v>
      </c>
      <c r="L107" s="1">
        <v>1</v>
      </c>
      <c r="N107" s="1">
        <v>1</v>
      </c>
      <c r="O107" s="1">
        <v>0.89</v>
      </c>
      <c r="P107" s="1">
        <v>0.84</v>
      </c>
      <c r="Q107" s="2">
        <f t="shared" si="5"/>
        <v>0.86499999999999999</v>
      </c>
      <c r="R107" s="1">
        <v>13.5</v>
      </c>
      <c r="S107" s="1">
        <v>149</v>
      </c>
      <c r="T107" s="2">
        <f t="shared" si="7"/>
        <v>22</v>
      </c>
      <c r="U107" s="1">
        <v>128</v>
      </c>
      <c r="V107" s="2">
        <f t="shared" si="4"/>
        <v>27</v>
      </c>
      <c r="W107" s="1">
        <v>1</v>
      </c>
      <c r="X107" s="1" t="s">
        <v>51</v>
      </c>
      <c r="Y107" s="1" t="s">
        <v>101</v>
      </c>
      <c r="Z107" s="1" t="s">
        <v>122</v>
      </c>
      <c r="AA107" s="1" t="s">
        <v>128</v>
      </c>
      <c r="AB107" s="1" t="s">
        <v>340</v>
      </c>
    </row>
    <row r="108" spans="1:28" x14ac:dyDescent="0.15">
      <c r="A108" s="1" t="s">
        <v>73</v>
      </c>
      <c r="B108" s="1" t="s">
        <v>336</v>
      </c>
      <c r="C108" s="108">
        <v>2020</v>
      </c>
      <c r="D108" s="38" t="s">
        <v>337</v>
      </c>
      <c r="E108" s="1" t="s">
        <v>196</v>
      </c>
      <c r="F108" s="1" t="s">
        <v>351</v>
      </c>
      <c r="G108" s="1" t="s">
        <v>37</v>
      </c>
      <c r="H108" s="1" t="s">
        <v>63</v>
      </c>
      <c r="I108" s="1" t="s">
        <v>64</v>
      </c>
      <c r="J108" s="1" t="s">
        <v>40</v>
      </c>
      <c r="K108" s="1" t="s">
        <v>41</v>
      </c>
      <c r="L108" s="1">
        <v>2</v>
      </c>
      <c r="N108" s="1">
        <v>1</v>
      </c>
      <c r="O108" s="1">
        <v>0.8</v>
      </c>
      <c r="P108" s="1">
        <v>0.8</v>
      </c>
      <c r="Q108" s="2">
        <f t="shared" si="5"/>
        <v>0.8</v>
      </c>
      <c r="R108" s="1">
        <v>13.9</v>
      </c>
      <c r="S108" s="1">
        <v>144</v>
      </c>
      <c r="T108" s="2">
        <f t="shared" si="7"/>
        <v>22</v>
      </c>
      <c r="U108" s="1">
        <v>128</v>
      </c>
      <c r="V108" s="2">
        <f t="shared" si="4"/>
        <v>27</v>
      </c>
      <c r="W108" s="1">
        <v>1</v>
      </c>
      <c r="X108" s="1" t="s">
        <v>51</v>
      </c>
      <c r="Y108" s="1" t="s">
        <v>101</v>
      </c>
      <c r="Z108" s="1" t="s">
        <v>122</v>
      </c>
      <c r="AA108" s="1" t="s">
        <v>128</v>
      </c>
      <c r="AB108" s="1" t="s">
        <v>340</v>
      </c>
    </row>
    <row r="109" spans="1:28" x14ac:dyDescent="0.15">
      <c r="A109" s="1" t="s">
        <v>73</v>
      </c>
      <c r="B109" s="1" t="s">
        <v>336</v>
      </c>
      <c r="C109" s="108">
        <v>2020</v>
      </c>
      <c r="D109" s="38" t="s">
        <v>337</v>
      </c>
      <c r="E109" s="1" t="s">
        <v>196</v>
      </c>
      <c r="F109" s="1" t="s">
        <v>351</v>
      </c>
      <c r="G109" s="1" t="s">
        <v>37</v>
      </c>
      <c r="H109" s="1" t="s">
        <v>63</v>
      </c>
      <c r="I109" s="1" t="s">
        <v>64</v>
      </c>
      <c r="J109" s="1" t="s">
        <v>40</v>
      </c>
      <c r="K109" s="1" t="s">
        <v>41</v>
      </c>
      <c r="L109" s="1">
        <v>3</v>
      </c>
      <c r="N109" s="1">
        <v>1</v>
      </c>
      <c r="O109" s="1">
        <v>0.84</v>
      </c>
      <c r="P109" s="1">
        <v>0.81</v>
      </c>
      <c r="Q109" s="2">
        <f t="shared" si="5"/>
        <v>0.82499999999999996</v>
      </c>
      <c r="R109" s="1">
        <v>13.3</v>
      </c>
      <c r="S109" s="1">
        <v>142</v>
      </c>
      <c r="T109" s="2">
        <f t="shared" si="7"/>
        <v>22</v>
      </c>
      <c r="U109" s="1">
        <v>128</v>
      </c>
      <c r="V109" s="2">
        <f t="shared" si="4"/>
        <v>27</v>
      </c>
      <c r="W109" s="1">
        <v>1</v>
      </c>
      <c r="X109" s="1" t="s">
        <v>51</v>
      </c>
      <c r="Y109" s="1" t="s">
        <v>101</v>
      </c>
      <c r="Z109" s="1" t="s">
        <v>122</v>
      </c>
      <c r="AA109" s="1" t="s">
        <v>128</v>
      </c>
      <c r="AB109" s="1" t="s">
        <v>340</v>
      </c>
    </row>
    <row r="110" spans="1:28" x14ac:dyDescent="0.15">
      <c r="C110" s="108"/>
      <c r="D110" s="38"/>
      <c r="Q110" s="2" t="str">
        <f t="shared" si="5"/>
        <v/>
      </c>
      <c r="T110" s="2" t="str">
        <f t="shared" si="7"/>
        <v/>
      </c>
      <c r="V110" s="2" t="str">
        <f t="shared" si="4"/>
        <v/>
      </c>
    </row>
    <row r="111" spans="1:28" x14ac:dyDescent="0.15">
      <c r="C111" s="108"/>
      <c r="D111" s="38"/>
      <c r="Q111" s="2" t="str">
        <f t="shared" si="5"/>
        <v/>
      </c>
      <c r="T111" s="2" t="str">
        <f t="shared" si="7"/>
        <v/>
      </c>
      <c r="V111" s="2" t="str">
        <f t="shared" si="4"/>
        <v/>
      </c>
    </row>
    <row r="112" spans="1:28" x14ac:dyDescent="0.15">
      <c r="C112" s="108"/>
      <c r="D112" s="38"/>
      <c r="Q112" s="2" t="str">
        <f t="shared" si="5"/>
        <v/>
      </c>
      <c r="T112" s="2" t="str">
        <f t="shared" si="7"/>
        <v/>
      </c>
      <c r="V112" s="2" t="str">
        <f t="shared" si="4"/>
        <v/>
      </c>
    </row>
    <row r="113" spans="3:22" x14ac:dyDescent="0.15">
      <c r="C113" s="108"/>
      <c r="D113" s="38"/>
      <c r="Q113" s="2" t="str">
        <f t="shared" si="5"/>
        <v/>
      </c>
      <c r="T113" s="2" t="str">
        <f t="shared" si="7"/>
        <v/>
      </c>
      <c r="V113" s="2" t="str">
        <f t="shared" si="4"/>
        <v/>
      </c>
    </row>
    <row r="114" spans="3:22" x14ac:dyDescent="0.15">
      <c r="C114" s="108"/>
      <c r="D114" s="38"/>
      <c r="Q114" s="2" t="str">
        <f t="shared" si="5"/>
        <v/>
      </c>
      <c r="T114" s="2" t="str">
        <f t="shared" si="7"/>
        <v/>
      </c>
      <c r="V114" s="2" t="str">
        <f t="shared" si="4"/>
        <v/>
      </c>
    </row>
    <row r="115" spans="3:22" x14ac:dyDescent="0.15">
      <c r="C115" s="108"/>
      <c r="D115" s="38"/>
      <c r="Q115" s="2" t="str">
        <f t="shared" si="5"/>
        <v/>
      </c>
      <c r="T115" s="2" t="str">
        <f t="shared" si="7"/>
        <v/>
      </c>
      <c r="V115" s="2" t="str">
        <f t="shared" si="4"/>
        <v/>
      </c>
    </row>
    <row r="116" spans="3:22" x14ac:dyDescent="0.15">
      <c r="C116" s="108"/>
      <c r="D116" s="38"/>
    </row>
    <row r="117" spans="3:22" x14ac:dyDescent="0.15">
      <c r="C117" s="108"/>
      <c r="D117" s="38"/>
    </row>
    <row r="118" spans="3:22" x14ac:dyDescent="0.15">
      <c r="C118" s="108"/>
      <c r="D118" s="38"/>
    </row>
    <row r="119" spans="3:22" x14ac:dyDescent="0.15">
      <c r="Q119" s="2" t="str">
        <f t="shared" si="5"/>
        <v/>
      </c>
      <c r="T119" s="2" t="str">
        <f t="shared" si="3"/>
        <v/>
      </c>
      <c r="V119" s="2" t="str">
        <f t="shared" si="4"/>
        <v/>
      </c>
    </row>
    <row r="120" spans="3:22" x14ac:dyDescent="0.15">
      <c r="Q120" s="2" t="str">
        <f t="shared" si="5"/>
        <v/>
      </c>
      <c r="T120" s="2" t="str">
        <f t="shared" si="3"/>
        <v/>
      </c>
      <c r="V120" s="2" t="str">
        <f t="shared" si="4"/>
        <v/>
      </c>
    </row>
    <row r="121" spans="3:22" x14ac:dyDescent="0.15">
      <c r="Q121" s="2" t="str">
        <f t="shared" si="5"/>
        <v/>
      </c>
      <c r="T121" s="2" t="str">
        <f t="shared" si="3"/>
        <v/>
      </c>
      <c r="V121" s="2" t="str">
        <f t="shared" si="4"/>
        <v/>
      </c>
    </row>
    <row r="122" spans="3:22" x14ac:dyDescent="0.15">
      <c r="Q122" s="2" t="str">
        <f t="shared" si="5"/>
        <v/>
      </c>
      <c r="T122" s="2" t="str">
        <f t="shared" si="3"/>
        <v/>
      </c>
      <c r="V122" s="2" t="str">
        <f t="shared" si="4"/>
        <v/>
      </c>
    </row>
    <row r="123" spans="3:22" x14ac:dyDescent="0.15">
      <c r="Q123" s="2" t="str">
        <f t="shared" si="5"/>
        <v/>
      </c>
      <c r="T123" s="2" t="str">
        <f t="shared" si="3"/>
        <v/>
      </c>
      <c r="V123" s="2" t="str">
        <f t="shared" si="4"/>
        <v/>
      </c>
    </row>
    <row r="124" spans="3:22" x14ac:dyDescent="0.15">
      <c r="Q124" s="2" t="str">
        <f t="shared" si="5"/>
        <v/>
      </c>
      <c r="T124" s="2" t="str">
        <f t="shared" si="3"/>
        <v/>
      </c>
      <c r="V124" s="2" t="str">
        <f t="shared" si="4"/>
        <v/>
      </c>
    </row>
    <row r="125" spans="3:22" x14ac:dyDescent="0.15">
      <c r="Q125" s="2" t="str">
        <f t="shared" si="5"/>
        <v/>
      </c>
      <c r="T125" s="2" t="str">
        <f t="shared" si="3"/>
        <v/>
      </c>
      <c r="V125" s="2" t="str">
        <f t="shared" si="4"/>
        <v/>
      </c>
    </row>
    <row r="126" spans="3:22" x14ac:dyDescent="0.15">
      <c r="Q126" s="2" t="str">
        <f t="shared" si="5"/>
        <v/>
      </c>
      <c r="T126" s="2" t="str">
        <f t="shared" si="3"/>
        <v/>
      </c>
      <c r="V126" s="2" t="str">
        <f t="shared" si="4"/>
        <v/>
      </c>
    </row>
    <row r="127" spans="3:22" x14ac:dyDescent="0.15">
      <c r="Q127" s="2" t="str">
        <f t="shared" si="5"/>
        <v/>
      </c>
      <c r="T127" s="2" t="str">
        <f t="shared" si="3"/>
        <v/>
      </c>
      <c r="V127" s="2" t="str">
        <f t="shared" si="4"/>
        <v/>
      </c>
    </row>
    <row r="128" spans="3:22" x14ac:dyDescent="0.15">
      <c r="Q128" s="2" t="str">
        <f t="shared" si="5"/>
        <v/>
      </c>
      <c r="T128" s="2" t="str">
        <f t="shared" si="3"/>
        <v/>
      </c>
      <c r="V128" s="2" t="str">
        <f t="shared" si="4"/>
        <v/>
      </c>
    </row>
    <row r="129" spans="17:22" x14ac:dyDescent="0.15">
      <c r="Q129" s="2" t="str">
        <f t="shared" si="5"/>
        <v/>
      </c>
      <c r="T129" s="2" t="str">
        <f t="shared" si="3"/>
        <v/>
      </c>
      <c r="V129" s="2" t="str">
        <f t="shared" si="4"/>
        <v/>
      </c>
    </row>
    <row r="130" spans="17:22" x14ac:dyDescent="0.15">
      <c r="Q130" s="2" t="str">
        <f t="shared" si="5"/>
        <v/>
      </c>
      <c r="T130" s="2" t="str">
        <f t="shared" si="3"/>
        <v/>
      </c>
      <c r="V130" s="2" t="str">
        <f t="shared" si="4"/>
        <v/>
      </c>
    </row>
    <row r="131" spans="17:22" x14ac:dyDescent="0.15">
      <c r="Q131" s="2" t="str">
        <f t="shared" si="5"/>
        <v/>
      </c>
      <c r="T131" s="2" t="str">
        <f t="shared" si="3"/>
        <v/>
      </c>
      <c r="V131" s="2" t="str">
        <f t="shared" si="4"/>
        <v/>
      </c>
    </row>
    <row r="132" spans="17:22" x14ac:dyDescent="0.15">
      <c r="Q132" s="2" t="str">
        <f t="shared" si="5"/>
        <v/>
      </c>
      <c r="T132" s="2" t="str">
        <f t="shared" si="3"/>
        <v/>
      </c>
      <c r="V132" s="2" t="str">
        <f t="shared" si="4"/>
        <v/>
      </c>
    </row>
    <row r="133" spans="17:22" x14ac:dyDescent="0.15">
      <c r="Q133" s="2" t="str">
        <f t="shared" si="5"/>
        <v/>
      </c>
      <c r="T133" s="2" t="str">
        <f t="shared" si="3"/>
        <v/>
      </c>
      <c r="V133" s="2" t="str">
        <f t="shared" si="4"/>
        <v/>
      </c>
    </row>
    <row r="134" spans="17:22" x14ac:dyDescent="0.15">
      <c r="Q134" s="2" t="str">
        <f t="shared" si="5"/>
        <v/>
      </c>
      <c r="T134" s="2" t="str">
        <f t="shared" si="3"/>
        <v/>
      </c>
      <c r="V134" s="2" t="str">
        <f t="shared" si="4"/>
        <v/>
      </c>
    </row>
    <row r="135" spans="17:22" x14ac:dyDescent="0.15">
      <c r="Q135" s="2" t="str">
        <f t="shared" si="5"/>
        <v/>
      </c>
      <c r="T135" s="2" t="str">
        <f t="shared" si="3"/>
        <v/>
      </c>
      <c r="V135" s="2" t="str">
        <f t="shared" si="4"/>
        <v/>
      </c>
    </row>
    <row r="136" spans="17:22" x14ac:dyDescent="0.15">
      <c r="Q136" s="2" t="str">
        <f t="shared" si="5"/>
        <v/>
      </c>
      <c r="T136" s="2" t="str">
        <f t="shared" si="3"/>
        <v/>
      </c>
      <c r="V136" s="2" t="str">
        <f t="shared" si="4"/>
        <v/>
      </c>
    </row>
    <row r="137" spans="17:22" x14ac:dyDescent="0.15">
      <c r="Q137" s="2" t="str">
        <f t="shared" si="5"/>
        <v/>
      </c>
      <c r="T137" s="2" t="str">
        <f t="shared" si="3"/>
        <v/>
      </c>
      <c r="V137" s="2" t="str">
        <f t="shared" si="4"/>
        <v/>
      </c>
    </row>
    <row r="138" spans="17:22" x14ac:dyDescent="0.15">
      <c r="Q138" s="2" t="str">
        <f t="shared" si="5"/>
        <v/>
      </c>
      <c r="T138" s="2" t="str">
        <f t="shared" ref="T138:T152" si="8">IF(H138="","",IF(OR(H138="GREEN",H138="GK"),IF(S138&gt;=$AX$2,VLOOKUP(S138,$AX$2:$AY$12,2,1),""),IF(S138&gt;=$AZ$2,VLOOKUP(S138,$AZ$2:$BA$12,2,1),"")))</f>
        <v/>
      </c>
      <c r="V138" s="2" t="str">
        <f t="shared" si="4"/>
        <v/>
      </c>
    </row>
    <row r="139" spans="17:22" x14ac:dyDescent="0.15">
      <c r="Q139" s="2" t="str">
        <f t="shared" si="5"/>
        <v/>
      </c>
      <c r="T139" s="2" t="str">
        <f t="shared" si="8"/>
        <v/>
      </c>
      <c r="V139" s="2" t="str">
        <f t="shared" si="4"/>
        <v/>
      </c>
    </row>
    <row r="140" spans="17:22" x14ac:dyDescent="0.15">
      <c r="Q140" s="2" t="str">
        <f t="shared" si="5"/>
        <v/>
      </c>
      <c r="T140" s="2" t="str">
        <f t="shared" si="8"/>
        <v/>
      </c>
      <c r="V140" s="2" t="str">
        <f t="shared" si="4"/>
        <v/>
      </c>
    </row>
    <row r="141" spans="17:22" x14ac:dyDescent="0.15">
      <c r="Q141" s="2" t="str">
        <f t="shared" si="5"/>
        <v/>
      </c>
      <c r="T141" s="2" t="str">
        <f t="shared" si="8"/>
        <v/>
      </c>
      <c r="V141" s="2" t="str">
        <f t="shared" si="4"/>
        <v/>
      </c>
    </row>
    <row r="142" spans="17:22" x14ac:dyDescent="0.15">
      <c r="Q142" s="2" t="str">
        <f t="shared" si="5"/>
        <v/>
      </c>
      <c r="T142" s="2" t="str">
        <f t="shared" si="8"/>
        <v/>
      </c>
      <c r="V142" s="2" t="str">
        <f t="shared" si="4"/>
        <v/>
      </c>
    </row>
    <row r="143" spans="17:22" x14ac:dyDescent="0.15">
      <c r="Q143" s="2" t="str">
        <f t="shared" si="5"/>
        <v/>
      </c>
      <c r="T143" s="2" t="str">
        <f t="shared" si="8"/>
        <v/>
      </c>
      <c r="V143" s="2" t="str">
        <f t="shared" si="4"/>
        <v/>
      </c>
    </row>
    <row r="144" spans="17:22" x14ac:dyDescent="0.15">
      <c r="Q144" s="2" t="str">
        <f t="shared" si="5"/>
        <v/>
      </c>
      <c r="T144" s="2" t="str">
        <f t="shared" si="8"/>
        <v/>
      </c>
      <c r="V144" s="2" t="str">
        <f t="shared" si="4"/>
        <v/>
      </c>
    </row>
    <row r="145" spans="17:22" x14ac:dyDescent="0.15">
      <c r="Q145" s="2" t="str">
        <f t="shared" si="5"/>
        <v/>
      </c>
      <c r="T145" s="2" t="str">
        <f t="shared" si="8"/>
        <v/>
      </c>
      <c r="V145" s="2" t="str">
        <f t="shared" si="4"/>
        <v/>
      </c>
    </row>
    <row r="146" spans="17:22" x14ac:dyDescent="0.15">
      <c r="Q146" s="2" t="str">
        <f t="shared" si="5"/>
        <v/>
      </c>
      <c r="T146" s="2" t="str">
        <f t="shared" si="8"/>
        <v/>
      </c>
      <c r="V146" s="2" t="str">
        <f t="shared" si="4"/>
        <v/>
      </c>
    </row>
    <row r="147" spans="17:22" x14ac:dyDescent="0.15">
      <c r="Q147" s="2" t="str">
        <f t="shared" si="5"/>
        <v/>
      </c>
      <c r="T147" s="2" t="str">
        <f t="shared" si="8"/>
        <v/>
      </c>
      <c r="V147" s="2" t="str">
        <f t="shared" si="4"/>
        <v/>
      </c>
    </row>
    <row r="148" spans="17:22" x14ac:dyDescent="0.15">
      <c r="Q148" s="2" t="str">
        <f t="shared" si="5"/>
        <v/>
      </c>
      <c r="T148" s="2" t="str">
        <f t="shared" si="8"/>
        <v/>
      </c>
      <c r="V148" s="2" t="str">
        <f t="shared" si="4"/>
        <v/>
      </c>
    </row>
    <row r="149" spans="17:22" x14ac:dyDescent="0.15">
      <c r="Q149" s="2" t="str">
        <f t="shared" si="5"/>
        <v/>
      </c>
      <c r="T149" s="2" t="str">
        <f t="shared" si="8"/>
        <v/>
      </c>
      <c r="V149" s="2" t="str">
        <f t="shared" si="4"/>
        <v/>
      </c>
    </row>
    <row r="150" spans="17:22" x14ac:dyDescent="0.15">
      <c r="Q150" s="2" t="str">
        <f t="shared" si="5"/>
        <v/>
      </c>
      <c r="T150" s="2" t="str">
        <f t="shared" si="8"/>
        <v/>
      </c>
      <c r="V150" s="2" t="str">
        <f t="shared" si="4"/>
        <v/>
      </c>
    </row>
    <row r="151" spans="17:22" x14ac:dyDescent="0.15">
      <c r="Q151" s="2" t="str">
        <f t="shared" ref="Q151:Q152" si="9">IF(OR(O151="",P151=""),"",AVERAGE(O151,P151))</f>
        <v/>
      </c>
      <c r="T151" s="2" t="str">
        <f t="shared" si="8"/>
        <v/>
      </c>
      <c r="V151" s="2" t="str">
        <f t="shared" si="4"/>
        <v/>
      </c>
    </row>
    <row r="152" spans="17:22" x14ac:dyDescent="0.15">
      <c r="Q152" s="2" t="str">
        <f t="shared" si="9"/>
        <v/>
      </c>
      <c r="T152" s="2" t="str">
        <f t="shared" si="8"/>
        <v/>
      </c>
      <c r="V152" s="2" t="str">
        <f t="shared" si="4"/>
        <v/>
      </c>
    </row>
  </sheetData>
  <autoFilter ref="A1:BA152" xr:uid="{00000000-0009-0000-0000-000005000000}"/>
  <phoneticPr fontId="13"/>
  <dataValidations count="20">
    <dataValidation type="list" allowBlank="1" showInputMessage="1" showErrorMessage="1" sqref="K2:K1000" xr:uid="{BB90194C-49A9-4F2B-BB72-FCB650D37BB1}">
      <formula1>$AR$2:$AR$29</formula1>
    </dataValidation>
    <dataValidation type="list" allowBlank="1" showInputMessage="1" showErrorMessage="1" sqref="J2:J1000" xr:uid="{DFB3588C-B1E5-4602-8841-A787FF6AE765}">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9FB57517-1E83-42F7-B8D3-1D8C1C034EFE}">
      <formula1>$AR$2:$AR$30</formula1>
    </dataValidation>
    <dataValidation type="list" allowBlank="1" showInputMessage="1" showErrorMessage="1" sqref="H2:H1307" xr:uid="{B000B7F0-67DE-459B-BA70-885C4E49D393}">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C618F544-9D85-4915-893F-604912475FDF}">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BC5C071F-CD6D-44BC-BB87-28A1C95C9AD6}">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65811B8B-9C2D-421C-AA0E-6CA720ADBD40}">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CAC2CDF6-803F-4251-B117-BF78BB469097}">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0F5EB872-88DE-4E37-907C-B900B590CA19}">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CF1D910D-B7C4-489B-919B-0CE0FCB28367}">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596378C-BFD3-46F8-9AA7-7228EB73FA67}">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FF72EE97-7D0B-4DBB-A0F1-3200A4283D42}">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E2E5869F-4658-4968-A1CF-B46C6D05E49C}">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ED3221AD-95CE-44CF-BC9E-1BDD7175977F}">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760FEFA7-17F0-4309-A390-64A8A55746F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F820CF07-6B37-430A-8B93-AF9172747860}">
      <formula1>#REF!</formula1>
    </dataValidation>
    <dataValidation type="list" allowBlank="1" showInputMessage="1" showErrorMessage="1" sqref="E2:E492" xr:uid="{A2B5F1A1-F7B3-4FD8-9A0F-DDE54F12EB74}">
      <formula1>$AG$2:$AG$11</formula1>
    </dataValidation>
    <dataValidation type="decimal" allowBlank="1" showInputMessage="1" showErrorMessage="1" error="硬度を正しく入力して下さい。" sqref="O2:P492" xr:uid="{B02E73E2-41F2-43FE-BD95-93F67B3B19D3}">
      <formula1>0</formula1>
      <formula2>7</formula2>
    </dataValidation>
    <dataValidation type="list" allowBlank="1" showInputMessage="1" showErrorMessage="1" sqref="F2:F1446" xr:uid="{4ECFB7EB-1359-4960-A0B0-3F91E47DD985}">
      <formula1>$AH$2:$AH$11</formula1>
    </dataValidation>
    <dataValidation type="list" allowBlank="1" showInputMessage="1" showErrorMessage="1" sqref="AC38 Y2:AA583" xr:uid="{7B1DA676-1F81-46E6-86E6-5CB7AFE495E5}">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0EA6-0BA5-431D-A7C5-D866047BA9EF}">
  <dimension ref="A1:BA1317"/>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1"/>
    <col min="4" max="4" width="10.5" style="1" bestFit="1" customWidth="1"/>
    <col min="5" max="16" width="9" style="1"/>
    <col min="17" max="17" width="9" style="2"/>
    <col min="18" max="19" width="9" style="1"/>
    <col min="20" max="20" width="9" style="2"/>
    <col min="21" max="21" width="9" style="1"/>
    <col min="22" max="22" width="9" style="2"/>
    <col min="23" max="32" width="9" style="1"/>
    <col min="33" max="33" width="16.875" style="1" bestFit="1" customWidth="1"/>
    <col min="34" max="34" width="15.625" style="1" customWidth="1"/>
    <col min="35" max="39" width="9" style="29"/>
    <col min="40" max="16384" width="9" style="1"/>
  </cols>
  <sheetData>
    <row r="1" spans="1:53" ht="45" x14ac:dyDescent="0.15">
      <c r="A1" s="3" t="s">
        <v>0</v>
      </c>
      <c r="B1" s="70" t="s">
        <v>217</v>
      </c>
      <c r="C1" s="70" t="s">
        <v>218</v>
      </c>
      <c r="D1" s="71" t="s">
        <v>3</v>
      </c>
      <c r="E1" s="4" t="s">
        <v>4</v>
      </c>
      <c r="F1" s="4" t="s">
        <v>5</v>
      </c>
      <c r="G1" s="4" t="s">
        <v>6</v>
      </c>
      <c r="H1" s="4" t="s">
        <v>7</v>
      </c>
      <c r="I1" s="4" t="s">
        <v>8</v>
      </c>
      <c r="J1" s="4" t="s">
        <v>9</v>
      </c>
      <c r="K1" s="4" t="s">
        <v>10</v>
      </c>
      <c r="L1" s="71" t="s">
        <v>219</v>
      </c>
      <c r="M1" s="71" t="s">
        <v>220</v>
      </c>
      <c r="N1" s="71" t="s">
        <v>13</v>
      </c>
      <c r="O1" s="71" t="s">
        <v>221</v>
      </c>
      <c r="P1" s="71" t="s">
        <v>222</v>
      </c>
      <c r="Q1" s="5" t="s">
        <v>223</v>
      </c>
      <c r="R1" s="71" t="s">
        <v>224</v>
      </c>
      <c r="S1" s="71" t="s">
        <v>225</v>
      </c>
      <c r="T1" s="5" t="s">
        <v>19</v>
      </c>
      <c r="U1" s="72" t="s">
        <v>20</v>
      </c>
      <c r="V1" s="6" t="s">
        <v>21</v>
      </c>
      <c r="W1" s="71" t="s">
        <v>226</v>
      </c>
      <c r="X1" s="4" t="s">
        <v>23</v>
      </c>
      <c r="Y1" s="4" t="s">
        <v>24</v>
      </c>
      <c r="Z1" s="4" t="s">
        <v>25</v>
      </c>
      <c r="AA1" s="8" t="s">
        <v>26</v>
      </c>
      <c r="AB1" s="73" t="s">
        <v>227</v>
      </c>
      <c r="AE1" s="74" t="s">
        <v>0</v>
      </c>
      <c r="AF1" s="75"/>
      <c r="AG1" s="74" t="s">
        <v>4</v>
      </c>
      <c r="AH1" s="74" t="s">
        <v>5</v>
      </c>
      <c r="AI1" s="113"/>
      <c r="AJ1" s="32" t="s">
        <v>6</v>
      </c>
      <c r="AK1" s="113"/>
      <c r="AL1" s="33" t="s">
        <v>7</v>
      </c>
      <c r="AM1" s="113"/>
      <c r="AN1" s="11" t="s">
        <v>8</v>
      </c>
      <c r="AO1" s="75"/>
      <c r="AP1" s="11" t="s">
        <v>28</v>
      </c>
      <c r="AQ1" s="75"/>
      <c r="AR1" s="11" t="s">
        <v>10</v>
      </c>
      <c r="AS1" s="75"/>
      <c r="AT1" s="18" t="s">
        <v>229</v>
      </c>
      <c r="AU1" s="75"/>
      <c r="AV1" s="11" t="s">
        <v>30</v>
      </c>
      <c r="AX1" s="20" t="s">
        <v>230</v>
      </c>
      <c r="AY1" s="21" t="s">
        <v>231</v>
      </c>
      <c r="AZ1" s="21" t="s">
        <v>232</v>
      </c>
      <c r="BA1" s="22" t="s">
        <v>233</v>
      </c>
    </row>
    <row r="2" spans="1:53" x14ac:dyDescent="0.15">
      <c r="A2" s="49" t="s">
        <v>53</v>
      </c>
      <c r="B2" s="49" t="s">
        <v>336</v>
      </c>
      <c r="C2" s="49">
        <v>2020</v>
      </c>
      <c r="D2" s="88" t="s">
        <v>371</v>
      </c>
      <c r="E2" s="49" t="s">
        <v>203</v>
      </c>
      <c r="F2" s="49" t="s">
        <v>372</v>
      </c>
      <c r="G2" s="49" t="s">
        <v>37</v>
      </c>
      <c r="H2" s="49" t="s">
        <v>63</v>
      </c>
      <c r="I2" s="49" t="s">
        <v>64</v>
      </c>
      <c r="J2" s="1" t="s">
        <v>40</v>
      </c>
      <c r="K2" s="1" t="s">
        <v>41</v>
      </c>
      <c r="L2" s="49">
        <v>1</v>
      </c>
      <c r="M2" s="114"/>
      <c r="N2" s="114">
        <v>1</v>
      </c>
      <c r="O2" s="114">
        <v>0.8</v>
      </c>
      <c r="P2" s="114">
        <v>1.25</v>
      </c>
      <c r="Q2" s="115">
        <f t="shared" ref="Q2:Q65" si="0">IF(OR(O2="",P2=""),"",AVERAGE(O2,P2))</f>
        <v>1.0249999999999999</v>
      </c>
      <c r="R2" s="116">
        <v>12.1</v>
      </c>
      <c r="S2" s="117">
        <v>108</v>
      </c>
      <c r="T2" s="30">
        <f t="shared" ref="T2:T65" si="1">IF(H2="","",IF(OR(H2="GREEN",H2="GK"),IF(S2&gt;=$AX$2,VLOOKUP(S2,$AX$2:$AY$7,2,1),""),IF(S2&gt;=$AZ$2,VLOOKUP(S2,$AZ$2:$BA$7,2,1),"")))</f>
        <v>33</v>
      </c>
      <c r="U2" s="29">
        <v>98</v>
      </c>
      <c r="V2" s="30">
        <f t="shared" ref="V2:V65" si="2">IF(OR(N2="",U2="",T2=""),"",U2/N2*T2)</f>
        <v>3234</v>
      </c>
      <c r="W2" s="118">
        <v>8</v>
      </c>
      <c r="X2" s="119" t="s">
        <v>51</v>
      </c>
      <c r="Y2" s="119" t="s">
        <v>67</v>
      </c>
      <c r="Z2" s="119" t="s">
        <v>74</v>
      </c>
      <c r="AA2" s="119" t="s">
        <v>43</v>
      </c>
      <c r="AB2" s="1" t="s">
        <v>340</v>
      </c>
      <c r="AE2" s="77" t="s">
        <v>35</v>
      </c>
      <c r="AG2" s="120" t="s">
        <v>373</v>
      </c>
      <c r="AH2" s="120" t="s">
        <v>372</v>
      </c>
      <c r="AJ2" s="34" t="s">
        <v>37</v>
      </c>
      <c r="AL2" s="79" t="s">
        <v>238</v>
      </c>
      <c r="AN2" s="19" t="s">
        <v>39</v>
      </c>
      <c r="AP2" s="19" t="s">
        <v>40</v>
      </c>
      <c r="AR2" s="19" t="s">
        <v>239</v>
      </c>
      <c r="AT2" s="19" t="s">
        <v>42</v>
      </c>
      <c r="AV2" s="19" t="s">
        <v>43</v>
      </c>
      <c r="AX2" s="40">
        <v>1</v>
      </c>
      <c r="AY2" s="41">
        <v>50</v>
      </c>
      <c r="AZ2" s="41">
        <v>1</v>
      </c>
      <c r="BA2" s="42">
        <v>50</v>
      </c>
    </row>
    <row r="3" spans="1:53" x14ac:dyDescent="0.15">
      <c r="A3" s="49" t="s">
        <v>53</v>
      </c>
      <c r="B3" s="49" t="s">
        <v>336</v>
      </c>
      <c r="C3" s="49">
        <v>2020</v>
      </c>
      <c r="D3" s="88" t="s">
        <v>371</v>
      </c>
      <c r="E3" s="49" t="s">
        <v>203</v>
      </c>
      <c r="F3" s="49" t="s">
        <v>372</v>
      </c>
      <c r="G3" s="49" t="s">
        <v>37</v>
      </c>
      <c r="H3" s="49" t="s">
        <v>63</v>
      </c>
      <c r="I3" s="49" t="s">
        <v>64</v>
      </c>
      <c r="J3" s="1" t="s">
        <v>40</v>
      </c>
      <c r="K3" s="1" t="s">
        <v>41</v>
      </c>
      <c r="L3" s="49">
        <v>2</v>
      </c>
      <c r="N3" s="1">
        <v>1</v>
      </c>
      <c r="O3" s="1">
        <v>0.75</v>
      </c>
      <c r="P3" s="1">
        <v>0.75</v>
      </c>
      <c r="Q3" s="121">
        <f t="shared" si="0"/>
        <v>0.75</v>
      </c>
      <c r="R3" s="122">
        <v>13.7</v>
      </c>
      <c r="S3" s="122">
        <v>114</v>
      </c>
      <c r="T3" s="2">
        <f t="shared" si="1"/>
        <v>30</v>
      </c>
      <c r="U3" s="29">
        <v>98</v>
      </c>
      <c r="V3" s="68">
        <f t="shared" si="2"/>
        <v>2940</v>
      </c>
      <c r="W3" s="118">
        <v>8</v>
      </c>
      <c r="X3" s="119" t="s">
        <v>51</v>
      </c>
      <c r="Y3" s="119" t="s">
        <v>67</v>
      </c>
      <c r="Z3" s="119" t="s">
        <v>74</v>
      </c>
      <c r="AA3" s="119" t="s">
        <v>43</v>
      </c>
      <c r="AB3" s="1" t="s">
        <v>340</v>
      </c>
      <c r="AE3" s="9" t="s">
        <v>44</v>
      </c>
      <c r="AG3" s="123" t="s">
        <v>374</v>
      </c>
      <c r="AH3" s="123" t="s">
        <v>375</v>
      </c>
      <c r="AJ3" s="35" t="s">
        <v>46</v>
      </c>
      <c r="AL3" s="12" t="s">
        <v>241</v>
      </c>
      <c r="AN3" s="12" t="s">
        <v>48</v>
      </c>
      <c r="AP3" s="12" t="s">
        <v>49</v>
      </c>
      <c r="AR3" s="12" t="s">
        <v>50</v>
      </c>
      <c r="AT3" s="12" t="s">
        <v>51</v>
      </c>
      <c r="AV3" s="12" t="s">
        <v>52</v>
      </c>
      <c r="AX3" s="23">
        <v>72</v>
      </c>
      <c r="AY3" s="24">
        <v>46</v>
      </c>
      <c r="AZ3" s="24">
        <v>71</v>
      </c>
      <c r="BA3" s="25">
        <v>42</v>
      </c>
    </row>
    <row r="4" spans="1:53" x14ac:dyDescent="0.15">
      <c r="A4" s="49" t="s">
        <v>53</v>
      </c>
      <c r="B4" s="49" t="s">
        <v>336</v>
      </c>
      <c r="C4" s="49">
        <v>2020</v>
      </c>
      <c r="D4" s="88" t="s">
        <v>371</v>
      </c>
      <c r="E4" s="49" t="s">
        <v>203</v>
      </c>
      <c r="F4" s="49" t="s">
        <v>372</v>
      </c>
      <c r="G4" s="49" t="s">
        <v>37</v>
      </c>
      <c r="H4" s="49" t="s">
        <v>63</v>
      </c>
      <c r="I4" s="49" t="s">
        <v>64</v>
      </c>
      <c r="J4" s="1" t="s">
        <v>40</v>
      </c>
      <c r="K4" s="1" t="s">
        <v>41</v>
      </c>
      <c r="L4" s="49">
        <v>3</v>
      </c>
      <c r="N4" s="1">
        <v>1</v>
      </c>
      <c r="O4" s="1">
        <v>0.7</v>
      </c>
      <c r="P4" s="16">
        <v>0.8</v>
      </c>
      <c r="Q4" s="7">
        <f t="shared" si="0"/>
        <v>0.75</v>
      </c>
      <c r="R4" s="31">
        <v>12.8</v>
      </c>
      <c r="S4" s="31">
        <v>113</v>
      </c>
      <c r="T4" s="2">
        <f t="shared" si="1"/>
        <v>30</v>
      </c>
      <c r="U4" s="29">
        <v>98</v>
      </c>
      <c r="V4" s="68">
        <f t="shared" si="2"/>
        <v>2940</v>
      </c>
      <c r="W4" s="118">
        <v>8</v>
      </c>
      <c r="X4" s="119" t="s">
        <v>51</v>
      </c>
      <c r="Y4" s="119" t="s">
        <v>67</v>
      </c>
      <c r="Z4" s="119" t="s">
        <v>74</v>
      </c>
      <c r="AA4" s="119" t="s">
        <v>43</v>
      </c>
      <c r="AB4" s="1" t="s">
        <v>340</v>
      </c>
      <c r="AE4" s="9" t="s">
        <v>53</v>
      </c>
      <c r="AG4" s="123" t="s">
        <v>376</v>
      </c>
      <c r="AH4" s="123" t="s">
        <v>377</v>
      </c>
      <c r="AJ4" s="36" t="s">
        <v>55</v>
      </c>
      <c r="AL4" s="12" t="s">
        <v>244</v>
      </c>
      <c r="AN4" s="14" t="s">
        <v>245</v>
      </c>
      <c r="AP4" s="12" t="s">
        <v>246</v>
      </c>
      <c r="AR4" s="12" t="s">
        <v>247</v>
      </c>
      <c r="AT4" s="14"/>
      <c r="AV4" s="12" t="s">
        <v>60</v>
      </c>
      <c r="AX4" s="23">
        <v>75</v>
      </c>
      <c r="AY4" s="24">
        <v>42</v>
      </c>
      <c r="AZ4" s="24">
        <v>76</v>
      </c>
      <c r="BA4" s="25">
        <v>39</v>
      </c>
    </row>
    <row r="5" spans="1:53" x14ac:dyDescent="0.15">
      <c r="A5" s="49" t="s">
        <v>53</v>
      </c>
      <c r="B5" s="49" t="s">
        <v>336</v>
      </c>
      <c r="C5" s="49">
        <v>2020</v>
      </c>
      <c r="D5" s="88" t="s">
        <v>371</v>
      </c>
      <c r="E5" s="49" t="s">
        <v>203</v>
      </c>
      <c r="F5" s="49" t="s">
        <v>372</v>
      </c>
      <c r="G5" s="49" t="s">
        <v>37</v>
      </c>
      <c r="H5" s="49" t="s">
        <v>82</v>
      </c>
      <c r="I5" s="49" t="s">
        <v>64</v>
      </c>
      <c r="J5" s="1" t="s">
        <v>40</v>
      </c>
      <c r="K5" s="1" t="s">
        <v>41</v>
      </c>
      <c r="L5" s="49">
        <v>1</v>
      </c>
      <c r="N5" s="1">
        <v>1</v>
      </c>
      <c r="O5" s="1">
        <v>1.2</v>
      </c>
      <c r="P5" s="1">
        <v>1</v>
      </c>
      <c r="Q5" s="7">
        <f t="shared" si="0"/>
        <v>1.1000000000000001</v>
      </c>
      <c r="R5" s="31">
        <v>17.3</v>
      </c>
      <c r="S5" s="31">
        <v>154</v>
      </c>
      <c r="T5" s="2">
        <f t="shared" si="1"/>
        <v>30</v>
      </c>
      <c r="U5" s="29">
        <v>98</v>
      </c>
      <c r="V5" s="68">
        <f t="shared" si="2"/>
        <v>2940</v>
      </c>
      <c r="W5" s="118">
        <v>8</v>
      </c>
      <c r="X5" s="119" t="s">
        <v>51</v>
      </c>
      <c r="Y5" s="119" t="s">
        <v>67</v>
      </c>
      <c r="Z5" s="119" t="s">
        <v>74</v>
      </c>
      <c r="AA5" s="119" t="s">
        <v>43</v>
      </c>
      <c r="AB5" s="1" t="s">
        <v>340</v>
      </c>
      <c r="AE5" s="9" t="s">
        <v>61</v>
      </c>
      <c r="AG5" s="123" t="s">
        <v>378</v>
      </c>
      <c r="AH5" s="123" t="s">
        <v>379</v>
      </c>
      <c r="AJ5" s="37"/>
      <c r="AL5" s="12" t="s">
        <v>249</v>
      </c>
      <c r="AN5" s="43" t="s">
        <v>250</v>
      </c>
      <c r="AP5" s="12" t="s">
        <v>251</v>
      </c>
      <c r="AR5" s="12" t="s">
        <v>66</v>
      </c>
      <c r="AV5" s="12" t="s">
        <v>67</v>
      </c>
      <c r="AX5" s="23">
        <v>84</v>
      </c>
      <c r="AY5" s="24">
        <v>39</v>
      </c>
      <c r="AZ5" s="24">
        <v>84</v>
      </c>
      <c r="BA5" s="25">
        <v>36</v>
      </c>
    </row>
    <row r="6" spans="1:53" x14ac:dyDescent="0.15">
      <c r="A6" s="49" t="s">
        <v>53</v>
      </c>
      <c r="B6" s="49" t="s">
        <v>336</v>
      </c>
      <c r="C6" s="49">
        <v>2020</v>
      </c>
      <c r="D6" s="88" t="s">
        <v>371</v>
      </c>
      <c r="E6" s="49" t="s">
        <v>203</v>
      </c>
      <c r="F6" s="49" t="s">
        <v>372</v>
      </c>
      <c r="G6" s="49" t="s">
        <v>37</v>
      </c>
      <c r="H6" s="49" t="s">
        <v>82</v>
      </c>
      <c r="I6" s="49" t="s">
        <v>64</v>
      </c>
      <c r="J6" s="1" t="s">
        <v>40</v>
      </c>
      <c r="K6" s="1" t="s">
        <v>41</v>
      </c>
      <c r="L6" s="49">
        <v>2</v>
      </c>
      <c r="N6" s="1">
        <v>1</v>
      </c>
      <c r="O6" s="1">
        <v>1.25</v>
      </c>
      <c r="P6" s="1">
        <v>1.25</v>
      </c>
      <c r="Q6" s="7">
        <f t="shared" si="0"/>
        <v>1.25</v>
      </c>
      <c r="R6" s="31">
        <v>17.399999999999999</v>
      </c>
      <c r="S6" s="31">
        <v>147</v>
      </c>
      <c r="T6" s="2">
        <f t="shared" si="1"/>
        <v>30</v>
      </c>
      <c r="U6" s="29">
        <v>98</v>
      </c>
      <c r="V6" s="68">
        <f t="shared" si="2"/>
        <v>2940</v>
      </c>
      <c r="W6" s="118">
        <v>8</v>
      </c>
      <c r="X6" s="119" t="s">
        <v>51</v>
      </c>
      <c r="Y6" s="119" t="s">
        <v>67</v>
      </c>
      <c r="Z6" s="119" t="s">
        <v>74</v>
      </c>
      <c r="AA6" s="119" t="s">
        <v>43</v>
      </c>
      <c r="AB6" s="1" t="s">
        <v>340</v>
      </c>
      <c r="AE6" s="9" t="s">
        <v>68</v>
      </c>
      <c r="AG6" s="123" t="s">
        <v>380</v>
      </c>
      <c r="AH6" s="123" t="s">
        <v>381</v>
      </c>
      <c r="AL6" s="12" t="s">
        <v>253</v>
      </c>
      <c r="AN6" s="43" t="s">
        <v>254</v>
      </c>
      <c r="AP6" s="12" t="s">
        <v>72</v>
      </c>
      <c r="AR6" s="12" t="s">
        <v>73</v>
      </c>
      <c r="AV6" s="12" t="s">
        <v>74</v>
      </c>
      <c r="AX6" s="23">
        <v>97</v>
      </c>
      <c r="AY6" s="24">
        <v>36</v>
      </c>
      <c r="AZ6" s="24">
        <v>99</v>
      </c>
      <c r="BA6" s="25">
        <v>33</v>
      </c>
    </row>
    <row r="7" spans="1:53" x14ac:dyDescent="0.15">
      <c r="A7" s="49" t="s">
        <v>53</v>
      </c>
      <c r="B7" s="49" t="s">
        <v>336</v>
      </c>
      <c r="C7" s="49">
        <v>2020</v>
      </c>
      <c r="D7" s="88" t="s">
        <v>371</v>
      </c>
      <c r="E7" s="49" t="s">
        <v>203</v>
      </c>
      <c r="F7" s="49" t="s">
        <v>372</v>
      </c>
      <c r="G7" s="49" t="s">
        <v>37</v>
      </c>
      <c r="H7" s="49" t="s">
        <v>82</v>
      </c>
      <c r="I7" s="49" t="s">
        <v>64</v>
      </c>
      <c r="J7" s="1" t="s">
        <v>40</v>
      </c>
      <c r="K7" s="1" t="s">
        <v>41</v>
      </c>
      <c r="L7" s="49">
        <v>3</v>
      </c>
      <c r="N7" s="1">
        <v>1</v>
      </c>
      <c r="O7" s="1">
        <v>1</v>
      </c>
      <c r="P7" s="1">
        <v>1.25</v>
      </c>
      <c r="Q7" s="7">
        <f t="shared" si="0"/>
        <v>1.125</v>
      </c>
      <c r="R7" s="31">
        <v>19.399999999999999</v>
      </c>
      <c r="S7" s="31">
        <v>162</v>
      </c>
      <c r="T7" s="2">
        <f t="shared" si="1"/>
        <v>30</v>
      </c>
      <c r="U7" s="29">
        <v>98</v>
      </c>
      <c r="V7" s="68">
        <f t="shared" si="2"/>
        <v>2940</v>
      </c>
      <c r="W7" s="118">
        <v>8</v>
      </c>
      <c r="X7" s="119" t="s">
        <v>51</v>
      </c>
      <c r="Y7" s="119" t="s">
        <v>67</v>
      </c>
      <c r="Z7" s="119" t="s">
        <v>74</v>
      </c>
      <c r="AA7" s="119" t="s">
        <v>43</v>
      </c>
      <c r="AB7" s="1" t="s">
        <v>340</v>
      </c>
      <c r="AE7" s="9" t="s">
        <v>75</v>
      </c>
      <c r="AG7" s="123" t="s">
        <v>382</v>
      </c>
      <c r="AH7" s="123" t="s">
        <v>379</v>
      </c>
      <c r="AL7" s="15" t="s">
        <v>256</v>
      </c>
      <c r="AP7" s="12" t="s">
        <v>78</v>
      </c>
      <c r="AR7" s="12" t="s">
        <v>257</v>
      </c>
      <c r="AV7" s="12" t="s">
        <v>80</v>
      </c>
      <c r="AX7" s="23">
        <v>109</v>
      </c>
      <c r="AY7" s="24">
        <v>33</v>
      </c>
      <c r="AZ7" s="24">
        <v>113</v>
      </c>
      <c r="BA7" s="25">
        <v>30</v>
      </c>
    </row>
    <row r="8" spans="1:53" x14ac:dyDescent="0.15">
      <c r="A8" s="49" t="s">
        <v>53</v>
      </c>
      <c r="B8" s="49" t="s">
        <v>336</v>
      </c>
      <c r="C8" s="49">
        <v>2020</v>
      </c>
      <c r="D8" s="88" t="s">
        <v>371</v>
      </c>
      <c r="E8" s="49" t="s">
        <v>174</v>
      </c>
      <c r="F8" s="49" t="s">
        <v>377</v>
      </c>
      <c r="G8" s="49" t="s">
        <v>37</v>
      </c>
      <c r="H8" s="49" t="s">
        <v>63</v>
      </c>
      <c r="I8" s="49" t="s">
        <v>64</v>
      </c>
      <c r="J8" s="1" t="s">
        <v>40</v>
      </c>
      <c r="K8" s="1" t="s">
        <v>41</v>
      </c>
      <c r="L8" s="49">
        <v>1</v>
      </c>
      <c r="N8" s="1">
        <v>1</v>
      </c>
      <c r="O8" s="1">
        <v>0.85</v>
      </c>
      <c r="P8" s="1">
        <v>0.9</v>
      </c>
      <c r="Q8" s="7">
        <f t="shared" si="0"/>
        <v>0.875</v>
      </c>
      <c r="R8" s="31">
        <v>15.3</v>
      </c>
      <c r="S8" s="31">
        <v>117</v>
      </c>
      <c r="T8" s="2">
        <f t="shared" si="1"/>
        <v>30</v>
      </c>
      <c r="U8" s="124">
        <v>128</v>
      </c>
      <c r="V8" s="68">
        <f t="shared" si="2"/>
        <v>3840</v>
      </c>
      <c r="W8" s="125">
        <v>20</v>
      </c>
      <c r="X8" s="119" t="s">
        <v>51</v>
      </c>
      <c r="Y8" s="119" t="s">
        <v>67</v>
      </c>
      <c r="Z8" s="126" t="s">
        <v>80</v>
      </c>
      <c r="AA8" s="119" t="s">
        <v>122</v>
      </c>
      <c r="AB8" s="1" t="s">
        <v>340</v>
      </c>
      <c r="AE8" s="9" t="s">
        <v>73</v>
      </c>
      <c r="AG8" s="123" t="s">
        <v>383</v>
      </c>
      <c r="AH8" s="123" t="s">
        <v>379</v>
      </c>
      <c r="AL8" s="15" t="s">
        <v>258</v>
      </c>
      <c r="AP8" s="12" t="s">
        <v>83</v>
      </c>
      <c r="AR8" s="12" t="s">
        <v>84</v>
      </c>
      <c r="AV8" s="12" t="s">
        <v>85</v>
      </c>
      <c r="AX8" s="23">
        <v>151</v>
      </c>
      <c r="AY8" s="24">
        <v>22</v>
      </c>
      <c r="AZ8" s="24">
        <v>152</v>
      </c>
      <c r="BA8" s="25">
        <v>18</v>
      </c>
    </row>
    <row r="9" spans="1:53" x14ac:dyDescent="0.15">
      <c r="A9" s="49" t="s">
        <v>53</v>
      </c>
      <c r="B9" s="49" t="s">
        <v>336</v>
      </c>
      <c r="C9" s="49">
        <v>2020</v>
      </c>
      <c r="D9" s="88" t="s">
        <v>371</v>
      </c>
      <c r="E9" s="49" t="s">
        <v>174</v>
      </c>
      <c r="F9" s="49" t="s">
        <v>377</v>
      </c>
      <c r="G9" s="49" t="s">
        <v>37</v>
      </c>
      <c r="H9" s="49" t="s">
        <v>63</v>
      </c>
      <c r="I9" s="49" t="s">
        <v>64</v>
      </c>
      <c r="J9" s="1" t="s">
        <v>40</v>
      </c>
      <c r="K9" s="1" t="s">
        <v>41</v>
      </c>
      <c r="L9" s="49">
        <v>2</v>
      </c>
      <c r="N9" s="1">
        <v>1</v>
      </c>
      <c r="O9" s="1">
        <v>0.9</v>
      </c>
      <c r="P9" s="1">
        <v>0.98</v>
      </c>
      <c r="Q9" s="7">
        <f t="shared" si="0"/>
        <v>0.94</v>
      </c>
      <c r="R9" s="31">
        <v>13.9</v>
      </c>
      <c r="S9" s="31">
        <v>121</v>
      </c>
      <c r="T9" s="2">
        <f t="shared" si="1"/>
        <v>30</v>
      </c>
      <c r="U9" s="124">
        <v>128</v>
      </c>
      <c r="V9" s="68">
        <f t="shared" si="2"/>
        <v>3840</v>
      </c>
      <c r="W9" s="125">
        <v>20</v>
      </c>
      <c r="X9" s="119" t="s">
        <v>51</v>
      </c>
      <c r="Y9" s="119" t="s">
        <v>67</v>
      </c>
      <c r="Z9" s="126" t="s">
        <v>80</v>
      </c>
      <c r="AA9" s="119" t="s">
        <v>122</v>
      </c>
      <c r="AB9" s="1" t="s">
        <v>340</v>
      </c>
      <c r="AE9" s="9" t="s">
        <v>259</v>
      </c>
      <c r="AG9" s="123" t="s">
        <v>384</v>
      </c>
      <c r="AH9" s="123" t="s">
        <v>379</v>
      </c>
      <c r="AL9" s="12" t="s">
        <v>261</v>
      </c>
      <c r="AP9" s="12" t="s">
        <v>89</v>
      </c>
      <c r="AR9" s="12" t="s">
        <v>262</v>
      </c>
      <c r="AV9" s="12" t="s">
        <v>91</v>
      </c>
      <c r="AX9" s="26">
        <v>180</v>
      </c>
      <c r="AY9" s="27">
        <v>18</v>
      </c>
      <c r="AZ9" s="27">
        <v>181</v>
      </c>
      <c r="BA9" s="28">
        <v>16</v>
      </c>
    </row>
    <row r="10" spans="1:53" x14ac:dyDescent="0.15">
      <c r="A10" s="49" t="s">
        <v>53</v>
      </c>
      <c r="B10" s="49" t="s">
        <v>336</v>
      </c>
      <c r="C10" s="49">
        <v>2020</v>
      </c>
      <c r="D10" s="88" t="s">
        <v>371</v>
      </c>
      <c r="E10" s="49" t="s">
        <v>174</v>
      </c>
      <c r="F10" s="49" t="s">
        <v>377</v>
      </c>
      <c r="G10" s="49" t="s">
        <v>37</v>
      </c>
      <c r="H10" s="49" t="s">
        <v>63</v>
      </c>
      <c r="I10" s="49" t="s">
        <v>64</v>
      </c>
      <c r="J10" s="1" t="s">
        <v>40</v>
      </c>
      <c r="K10" s="1" t="s">
        <v>41</v>
      </c>
      <c r="L10" s="49">
        <v>3</v>
      </c>
      <c r="N10" s="1">
        <v>1</v>
      </c>
      <c r="O10" s="1">
        <v>0.7</v>
      </c>
      <c r="P10" s="1">
        <v>0.7</v>
      </c>
      <c r="Q10" s="7">
        <f t="shared" si="0"/>
        <v>0.7</v>
      </c>
      <c r="R10" s="31">
        <v>16.600000000000001</v>
      </c>
      <c r="S10" s="31">
        <v>126</v>
      </c>
      <c r="T10" s="2">
        <f t="shared" si="1"/>
        <v>30</v>
      </c>
      <c r="U10" s="124">
        <v>128</v>
      </c>
      <c r="V10" s="68">
        <f t="shared" si="2"/>
        <v>3840</v>
      </c>
      <c r="W10" s="125">
        <v>20</v>
      </c>
      <c r="X10" s="119" t="s">
        <v>51</v>
      </c>
      <c r="Y10" s="119" t="s">
        <v>67</v>
      </c>
      <c r="Z10" s="126" t="s">
        <v>80</v>
      </c>
      <c r="AA10" s="119" t="s">
        <v>122</v>
      </c>
      <c r="AB10" s="1" t="s">
        <v>340</v>
      </c>
      <c r="AE10" s="9" t="s">
        <v>263</v>
      </c>
      <c r="AG10" s="123" t="s">
        <v>385</v>
      </c>
      <c r="AH10" s="123" t="s">
        <v>386</v>
      </c>
      <c r="AL10" s="16"/>
      <c r="AP10" s="12" t="s">
        <v>94</v>
      </c>
      <c r="AR10" s="12" t="s">
        <v>266</v>
      </c>
      <c r="AV10" s="12" t="s">
        <v>96</v>
      </c>
    </row>
    <row r="11" spans="1:53" x14ac:dyDescent="0.15">
      <c r="A11" s="49" t="s">
        <v>53</v>
      </c>
      <c r="B11" s="49" t="s">
        <v>336</v>
      </c>
      <c r="C11" s="49">
        <v>2020</v>
      </c>
      <c r="D11" s="88" t="s">
        <v>371</v>
      </c>
      <c r="E11" s="49" t="s">
        <v>174</v>
      </c>
      <c r="F11" s="49" t="s">
        <v>377</v>
      </c>
      <c r="G11" s="49" t="s">
        <v>37</v>
      </c>
      <c r="H11" s="49" t="s">
        <v>63</v>
      </c>
      <c r="I11" s="49" t="s">
        <v>64</v>
      </c>
      <c r="J11" s="1" t="s">
        <v>40</v>
      </c>
      <c r="K11" s="1" t="s">
        <v>41</v>
      </c>
      <c r="L11" s="49">
        <v>1</v>
      </c>
      <c r="N11" s="1">
        <v>5</v>
      </c>
      <c r="O11" s="1">
        <v>1.1000000000000001</v>
      </c>
      <c r="P11" s="1">
        <v>1.4</v>
      </c>
      <c r="Q11" s="7">
        <f t="shared" si="0"/>
        <v>1.25</v>
      </c>
      <c r="R11" s="31">
        <v>14.4</v>
      </c>
      <c r="S11" s="31">
        <v>96</v>
      </c>
      <c r="T11" s="2">
        <f t="shared" si="1"/>
        <v>36</v>
      </c>
      <c r="U11" s="124">
        <v>280</v>
      </c>
      <c r="V11" s="68">
        <f t="shared" si="2"/>
        <v>2016</v>
      </c>
      <c r="W11" s="125">
        <v>20</v>
      </c>
      <c r="X11" s="119" t="s">
        <v>51</v>
      </c>
      <c r="Y11" s="119" t="s">
        <v>67</v>
      </c>
      <c r="Z11" s="126" t="s">
        <v>80</v>
      </c>
      <c r="AA11" s="119" t="s">
        <v>122</v>
      </c>
      <c r="AB11" s="1" t="s">
        <v>340</v>
      </c>
      <c r="AE11" s="9" t="s">
        <v>267</v>
      </c>
      <c r="AG11" s="123" t="s">
        <v>380</v>
      </c>
      <c r="AH11" s="123" t="s">
        <v>387</v>
      </c>
      <c r="AL11" s="16"/>
      <c r="AP11" s="12" t="s">
        <v>99</v>
      </c>
      <c r="AR11" s="12" t="s">
        <v>268</v>
      </c>
      <c r="AV11" s="12" t="s">
        <v>101</v>
      </c>
    </row>
    <row r="12" spans="1:53" x14ac:dyDescent="0.15">
      <c r="A12" s="49" t="s">
        <v>53</v>
      </c>
      <c r="B12" s="49" t="s">
        <v>336</v>
      </c>
      <c r="C12" s="49">
        <v>2020</v>
      </c>
      <c r="D12" s="88" t="s">
        <v>371</v>
      </c>
      <c r="E12" s="49" t="s">
        <v>174</v>
      </c>
      <c r="F12" s="49" t="s">
        <v>377</v>
      </c>
      <c r="G12" s="49" t="s">
        <v>37</v>
      </c>
      <c r="H12" s="49" t="s">
        <v>63</v>
      </c>
      <c r="I12" s="49" t="s">
        <v>64</v>
      </c>
      <c r="J12" s="1" t="s">
        <v>40</v>
      </c>
      <c r="K12" s="1" t="s">
        <v>41</v>
      </c>
      <c r="L12" s="49">
        <v>2</v>
      </c>
      <c r="N12" s="1">
        <v>5</v>
      </c>
      <c r="O12" s="1">
        <v>1.1000000000000001</v>
      </c>
      <c r="P12" s="1">
        <v>1</v>
      </c>
      <c r="Q12" s="7">
        <f t="shared" si="0"/>
        <v>1.05</v>
      </c>
      <c r="R12" s="31">
        <v>14.8</v>
      </c>
      <c r="S12" s="31">
        <v>97</v>
      </c>
      <c r="T12" s="2">
        <f t="shared" si="1"/>
        <v>36</v>
      </c>
      <c r="U12" s="124">
        <v>280</v>
      </c>
      <c r="V12" s="68">
        <f t="shared" si="2"/>
        <v>2016</v>
      </c>
      <c r="W12" s="125">
        <v>20</v>
      </c>
      <c r="X12" s="119" t="s">
        <v>51</v>
      </c>
      <c r="Y12" s="119" t="s">
        <v>67</v>
      </c>
      <c r="Z12" s="126" t="s">
        <v>80</v>
      </c>
      <c r="AA12" s="119" t="s">
        <v>122</v>
      </c>
      <c r="AB12" s="1" t="s">
        <v>340</v>
      </c>
      <c r="AE12" s="9" t="s">
        <v>269</v>
      </c>
      <c r="AG12" s="19"/>
      <c r="AH12" s="19"/>
      <c r="AL12" s="16"/>
      <c r="AP12" s="12" t="s">
        <v>103</v>
      </c>
      <c r="AR12" s="12" t="s">
        <v>270</v>
      </c>
      <c r="AV12" s="12" t="s">
        <v>105</v>
      </c>
    </row>
    <row r="13" spans="1:53" x14ac:dyDescent="0.15">
      <c r="A13" s="49" t="s">
        <v>53</v>
      </c>
      <c r="B13" s="49" t="s">
        <v>336</v>
      </c>
      <c r="C13" s="49">
        <v>2020</v>
      </c>
      <c r="D13" s="88" t="s">
        <v>371</v>
      </c>
      <c r="E13" s="49" t="s">
        <v>174</v>
      </c>
      <c r="F13" s="49" t="s">
        <v>377</v>
      </c>
      <c r="G13" s="49" t="s">
        <v>37</v>
      </c>
      <c r="H13" s="49" t="s">
        <v>63</v>
      </c>
      <c r="I13" s="49" t="s">
        <v>64</v>
      </c>
      <c r="J13" s="1" t="s">
        <v>40</v>
      </c>
      <c r="K13" s="1" t="s">
        <v>41</v>
      </c>
      <c r="L13" s="49">
        <v>3</v>
      </c>
      <c r="N13" s="1">
        <v>5</v>
      </c>
      <c r="O13" s="1">
        <v>1.05</v>
      </c>
      <c r="P13" s="1">
        <v>1.05</v>
      </c>
      <c r="Q13" s="7">
        <f t="shared" si="0"/>
        <v>1.05</v>
      </c>
      <c r="R13" s="31">
        <v>13.4</v>
      </c>
      <c r="S13" s="31">
        <v>99</v>
      </c>
      <c r="T13" s="2">
        <f t="shared" si="1"/>
        <v>33</v>
      </c>
      <c r="U13" s="124">
        <v>280</v>
      </c>
      <c r="V13" s="68">
        <f t="shared" si="2"/>
        <v>1848</v>
      </c>
      <c r="W13" s="125">
        <v>20</v>
      </c>
      <c r="X13" s="119" t="s">
        <v>51</v>
      </c>
      <c r="Y13" s="119" t="s">
        <v>67</v>
      </c>
      <c r="Z13" s="126" t="s">
        <v>80</v>
      </c>
      <c r="AA13" s="119" t="s">
        <v>122</v>
      </c>
      <c r="AB13" s="1" t="s">
        <v>340</v>
      </c>
      <c r="AE13" s="9" t="s">
        <v>271</v>
      </c>
      <c r="AG13" s="14"/>
      <c r="AH13" s="14"/>
      <c r="AP13" s="12" t="s">
        <v>107</v>
      </c>
      <c r="AR13" s="12" t="s">
        <v>263</v>
      </c>
      <c r="AV13" s="12" t="s">
        <v>108</v>
      </c>
    </row>
    <row r="14" spans="1:53" x14ac:dyDescent="0.15">
      <c r="A14" s="49" t="s">
        <v>53</v>
      </c>
      <c r="B14" s="49" t="s">
        <v>336</v>
      </c>
      <c r="C14" s="49">
        <v>2020</v>
      </c>
      <c r="D14" s="88" t="s">
        <v>371</v>
      </c>
      <c r="E14" s="49" t="s">
        <v>174</v>
      </c>
      <c r="F14" s="49" t="s">
        <v>377</v>
      </c>
      <c r="G14" s="49" t="s">
        <v>37</v>
      </c>
      <c r="H14" s="49" t="s">
        <v>82</v>
      </c>
      <c r="I14" s="49" t="s">
        <v>64</v>
      </c>
      <c r="J14" s="1" t="s">
        <v>40</v>
      </c>
      <c r="K14" s="1" t="s">
        <v>41</v>
      </c>
      <c r="L14" s="49">
        <v>1</v>
      </c>
      <c r="N14" s="1">
        <v>1</v>
      </c>
      <c r="O14" s="1">
        <v>0.65</v>
      </c>
      <c r="P14" s="1">
        <v>0.55000000000000004</v>
      </c>
      <c r="Q14" s="7">
        <f t="shared" si="0"/>
        <v>0.60000000000000009</v>
      </c>
      <c r="R14" s="31">
        <v>17.100000000000001</v>
      </c>
      <c r="S14" s="31">
        <v>131</v>
      </c>
      <c r="T14" s="2">
        <f t="shared" si="1"/>
        <v>30</v>
      </c>
      <c r="U14" s="124">
        <v>108</v>
      </c>
      <c r="V14" s="68">
        <f t="shared" si="2"/>
        <v>3240</v>
      </c>
      <c r="W14" s="125">
        <v>20</v>
      </c>
      <c r="X14" s="119" t="s">
        <v>51</v>
      </c>
      <c r="Y14" s="119" t="s">
        <v>67</v>
      </c>
      <c r="Z14" s="126" t="s">
        <v>80</v>
      </c>
      <c r="AA14" s="119" t="s">
        <v>122</v>
      </c>
      <c r="AB14" s="1" t="s">
        <v>340</v>
      </c>
      <c r="AC14" s="16"/>
      <c r="AE14" s="9" t="s">
        <v>272</v>
      </c>
      <c r="AP14" s="12" t="s">
        <v>110</v>
      </c>
      <c r="AR14" s="12" t="s">
        <v>273</v>
      </c>
      <c r="AV14" s="12" t="s">
        <v>112</v>
      </c>
    </row>
    <row r="15" spans="1:53" x14ac:dyDescent="0.15">
      <c r="A15" s="49" t="s">
        <v>53</v>
      </c>
      <c r="B15" s="49" t="s">
        <v>336</v>
      </c>
      <c r="C15" s="49">
        <v>2020</v>
      </c>
      <c r="D15" s="88" t="s">
        <v>371</v>
      </c>
      <c r="E15" s="49" t="s">
        <v>174</v>
      </c>
      <c r="F15" s="49" t="s">
        <v>377</v>
      </c>
      <c r="G15" s="49" t="s">
        <v>37</v>
      </c>
      <c r="H15" s="49" t="s">
        <v>82</v>
      </c>
      <c r="I15" s="49" t="s">
        <v>64</v>
      </c>
      <c r="J15" s="1" t="s">
        <v>40</v>
      </c>
      <c r="K15" s="1" t="s">
        <v>41</v>
      </c>
      <c r="L15" s="49">
        <v>2</v>
      </c>
      <c r="N15" s="1">
        <v>1</v>
      </c>
      <c r="O15" s="1">
        <v>0.2</v>
      </c>
      <c r="P15" s="1">
        <v>0.5</v>
      </c>
      <c r="Q15" s="7">
        <f t="shared" si="0"/>
        <v>0.35</v>
      </c>
      <c r="R15" s="31">
        <v>16.399999999999999</v>
      </c>
      <c r="S15" s="31">
        <v>128</v>
      </c>
      <c r="T15" s="2">
        <f t="shared" si="1"/>
        <v>30</v>
      </c>
      <c r="U15" s="124">
        <v>108</v>
      </c>
      <c r="V15" s="68">
        <f t="shared" si="2"/>
        <v>3240</v>
      </c>
      <c r="W15" s="125">
        <v>20</v>
      </c>
      <c r="X15" s="119" t="s">
        <v>51</v>
      </c>
      <c r="Y15" s="119" t="s">
        <v>67</v>
      </c>
      <c r="Z15" s="126" t="s">
        <v>80</v>
      </c>
      <c r="AA15" s="119" t="s">
        <v>122</v>
      </c>
      <c r="AB15" s="1" t="s">
        <v>340</v>
      </c>
      <c r="AC15" s="16"/>
      <c r="AE15" s="9" t="s">
        <v>274</v>
      </c>
      <c r="AP15" s="12" t="s">
        <v>114</v>
      </c>
      <c r="AR15" s="12" t="s">
        <v>275</v>
      </c>
      <c r="AV15" s="12" t="s">
        <v>116</v>
      </c>
    </row>
    <row r="16" spans="1:53" x14ac:dyDescent="0.15">
      <c r="A16" s="49" t="s">
        <v>53</v>
      </c>
      <c r="B16" s="49" t="s">
        <v>336</v>
      </c>
      <c r="C16" s="49">
        <v>2020</v>
      </c>
      <c r="D16" s="88" t="s">
        <v>371</v>
      </c>
      <c r="E16" s="49" t="s">
        <v>174</v>
      </c>
      <c r="F16" s="49" t="s">
        <v>377</v>
      </c>
      <c r="G16" s="49" t="s">
        <v>37</v>
      </c>
      <c r="H16" s="49" t="s">
        <v>82</v>
      </c>
      <c r="I16" s="49" t="s">
        <v>64</v>
      </c>
      <c r="J16" s="1" t="s">
        <v>40</v>
      </c>
      <c r="K16" s="1" t="s">
        <v>41</v>
      </c>
      <c r="L16" s="49">
        <v>3</v>
      </c>
      <c r="N16" s="1">
        <v>1</v>
      </c>
      <c r="O16" s="1">
        <v>0.5</v>
      </c>
      <c r="P16" s="1">
        <v>0.5</v>
      </c>
      <c r="Q16" s="7">
        <f t="shared" si="0"/>
        <v>0.5</v>
      </c>
      <c r="R16" s="31">
        <v>19.3</v>
      </c>
      <c r="S16" s="31">
        <v>128</v>
      </c>
      <c r="T16" s="2">
        <f t="shared" si="1"/>
        <v>30</v>
      </c>
      <c r="U16" s="124">
        <v>108</v>
      </c>
      <c r="V16" s="68">
        <f t="shared" si="2"/>
        <v>3240</v>
      </c>
      <c r="W16" s="125">
        <v>20</v>
      </c>
      <c r="X16" s="119" t="s">
        <v>51</v>
      </c>
      <c r="Y16" s="119" t="s">
        <v>67</v>
      </c>
      <c r="Z16" s="126" t="s">
        <v>80</v>
      </c>
      <c r="AA16" s="119" t="s">
        <v>122</v>
      </c>
      <c r="AB16" s="1" t="s">
        <v>340</v>
      </c>
      <c r="AC16" s="16"/>
      <c r="AE16" s="9" t="s">
        <v>276</v>
      </c>
      <c r="AP16" s="12" t="s">
        <v>115</v>
      </c>
      <c r="AR16" s="12" t="s">
        <v>118</v>
      </c>
      <c r="AV16" s="12" t="s">
        <v>119</v>
      </c>
    </row>
    <row r="17" spans="1:48" x14ac:dyDescent="0.15">
      <c r="A17" s="49" t="s">
        <v>53</v>
      </c>
      <c r="B17" s="49" t="s">
        <v>336</v>
      </c>
      <c r="C17" s="49">
        <v>2020</v>
      </c>
      <c r="D17" s="88" t="s">
        <v>371</v>
      </c>
      <c r="E17" s="49" t="s">
        <v>174</v>
      </c>
      <c r="F17" s="49" t="s">
        <v>377</v>
      </c>
      <c r="G17" s="49" t="s">
        <v>37</v>
      </c>
      <c r="H17" s="49" t="s">
        <v>82</v>
      </c>
      <c r="I17" s="49" t="s">
        <v>64</v>
      </c>
      <c r="J17" s="1" t="s">
        <v>40</v>
      </c>
      <c r="K17" s="1" t="s">
        <v>41</v>
      </c>
      <c r="L17" s="49">
        <v>1</v>
      </c>
      <c r="N17" s="1">
        <v>4</v>
      </c>
      <c r="O17" s="1">
        <v>0.7</v>
      </c>
      <c r="P17" s="1">
        <v>0.8</v>
      </c>
      <c r="Q17" s="7">
        <f t="shared" si="0"/>
        <v>0.75</v>
      </c>
      <c r="R17" s="31">
        <v>16.399999999999999</v>
      </c>
      <c r="S17" s="31">
        <v>129</v>
      </c>
      <c r="T17" s="2">
        <f t="shared" si="1"/>
        <v>30</v>
      </c>
      <c r="U17" s="124">
        <v>498</v>
      </c>
      <c r="V17" s="68">
        <f t="shared" si="2"/>
        <v>3735</v>
      </c>
      <c r="W17" s="125">
        <v>20</v>
      </c>
      <c r="X17" s="119" t="s">
        <v>51</v>
      </c>
      <c r="Y17" s="119" t="s">
        <v>67</v>
      </c>
      <c r="Z17" s="126" t="s">
        <v>80</v>
      </c>
      <c r="AA17" s="119" t="s">
        <v>122</v>
      </c>
      <c r="AB17" s="1" t="s">
        <v>340</v>
      </c>
      <c r="AC17" s="16"/>
      <c r="AE17" s="9" t="s">
        <v>277</v>
      </c>
      <c r="AP17" s="13" t="s">
        <v>278</v>
      </c>
      <c r="AR17" s="12" t="s">
        <v>109</v>
      </c>
      <c r="AV17" s="12" t="s">
        <v>122</v>
      </c>
    </row>
    <row r="18" spans="1:48" x14ac:dyDescent="0.15">
      <c r="A18" s="49" t="s">
        <v>53</v>
      </c>
      <c r="B18" s="49" t="s">
        <v>336</v>
      </c>
      <c r="C18" s="49">
        <v>2020</v>
      </c>
      <c r="D18" s="88" t="s">
        <v>371</v>
      </c>
      <c r="E18" s="49" t="s">
        <v>174</v>
      </c>
      <c r="F18" s="49" t="s">
        <v>377</v>
      </c>
      <c r="G18" s="49" t="s">
        <v>37</v>
      </c>
      <c r="H18" s="49" t="s">
        <v>82</v>
      </c>
      <c r="I18" s="49" t="s">
        <v>64</v>
      </c>
      <c r="J18" s="1" t="s">
        <v>40</v>
      </c>
      <c r="K18" s="1" t="s">
        <v>41</v>
      </c>
      <c r="L18" s="49">
        <v>2</v>
      </c>
      <c r="N18" s="1">
        <v>4</v>
      </c>
      <c r="O18" s="1">
        <v>0.75</v>
      </c>
      <c r="P18" s="1">
        <v>0.8</v>
      </c>
      <c r="Q18" s="7">
        <f t="shared" si="0"/>
        <v>0.77500000000000002</v>
      </c>
      <c r="R18" s="31">
        <v>17.3</v>
      </c>
      <c r="S18" s="31">
        <v>134</v>
      </c>
      <c r="T18" s="2">
        <f t="shared" si="1"/>
        <v>30</v>
      </c>
      <c r="U18" s="124">
        <v>498</v>
      </c>
      <c r="V18" s="68">
        <f t="shared" si="2"/>
        <v>3735</v>
      </c>
      <c r="W18" s="125">
        <v>20</v>
      </c>
      <c r="X18" s="119" t="s">
        <v>51</v>
      </c>
      <c r="Y18" s="119" t="s">
        <v>67</v>
      </c>
      <c r="Z18" s="126" t="s">
        <v>80</v>
      </c>
      <c r="AA18" s="119" t="s">
        <v>122</v>
      </c>
      <c r="AB18" s="1" t="s">
        <v>340</v>
      </c>
      <c r="AC18" s="16"/>
      <c r="AE18" s="9" t="s">
        <v>268</v>
      </c>
      <c r="AP18" s="13" t="s">
        <v>279</v>
      </c>
      <c r="AR18" s="12" t="s">
        <v>124</v>
      </c>
      <c r="AV18" s="12" t="s">
        <v>125</v>
      </c>
    </row>
    <row r="19" spans="1:48" x14ac:dyDescent="0.15">
      <c r="A19" s="49" t="s">
        <v>53</v>
      </c>
      <c r="B19" s="49" t="s">
        <v>336</v>
      </c>
      <c r="C19" s="49">
        <v>2020</v>
      </c>
      <c r="D19" s="88" t="s">
        <v>371</v>
      </c>
      <c r="E19" s="49" t="s">
        <v>174</v>
      </c>
      <c r="F19" s="49" t="s">
        <v>377</v>
      </c>
      <c r="G19" s="49" t="s">
        <v>37</v>
      </c>
      <c r="H19" s="49" t="s">
        <v>82</v>
      </c>
      <c r="I19" s="49" t="s">
        <v>64</v>
      </c>
      <c r="J19" s="1" t="s">
        <v>40</v>
      </c>
      <c r="K19" s="1" t="s">
        <v>41</v>
      </c>
      <c r="L19" s="49">
        <v>3</v>
      </c>
      <c r="N19" s="1">
        <v>4</v>
      </c>
      <c r="O19" s="1">
        <v>0.6</v>
      </c>
      <c r="P19" s="1">
        <v>0.8</v>
      </c>
      <c r="Q19" s="7">
        <f t="shared" si="0"/>
        <v>0.7</v>
      </c>
      <c r="R19" s="31">
        <v>18.5</v>
      </c>
      <c r="S19" s="31">
        <v>135</v>
      </c>
      <c r="T19" s="2">
        <f t="shared" si="1"/>
        <v>30</v>
      </c>
      <c r="U19" s="124">
        <v>498</v>
      </c>
      <c r="V19" s="68">
        <f t="shared" si="2"/>
        <v>3735</v>
      </c>
      <c r="W19" s="125">
        <v>20</v>
      </c>
      <c r="X19" s="119" t="s">
        <v>51</v>
      </c>
      <c r="Y19" s="119" t="s">
        <v>67</v>
      </c>
      <c r="Z19" s="126" t="s">
        <v>80</v>
      </c>
      <c r="AA19" s="119" t="s">
        <v>122</v>
      </c>
      <c r="AB19" s="1" t="s">
        <v>340</v>
      </c>
      <c r="AC19" s="16"/>
      <c r="AE19" s="10" t="s">
        <v>262</v>
      </c>
      <c r="AP19" s="13" t="s">
        <v>280</v>
      </c>
      <c r="AR19" s="12" t="s">
        <v>281</v>
      </c>
      <c r="AV19" s="12" t="s">
        <v>128</v>
      </c>
    </row>
    <row r="20" spans="1:48" x14ac:dyDescent="0.15">
      <c r="A20" s="49" t="s">
        <v>53</v>
      </c>
      <c r="B20" s="49" t="s">
        <v>336</v>
      </c>
      <c r="C20" s="49">
        <v>2020</v>
      </c>
      <c r="D20" s="88" t="s">
        <v>371</v>
      </c>
      <c r="E20" s="49" t="s">
        <v>202</v>
      </c>
      <c r="F20" s="49" t="s">
        <v>375</v>
      </c>
      <c r="G20" s="49" t="s">
        <v>37</v>
      </c>
      <c r="H20" s="49" t="s">
        <v>63</v>
      </c>
      <c r="I20" s="49" t="s">
        <v>64</v>
      </c>
      <c r="J20" s="1" t="s">
        <v>40</v>
      </c>
      <c r="K20" s="1" t="s">
        <v>41</v>
      </c>
      <c r="L20" s="49">
        <v>1</v>
      </c>
      <c r="N20" s="1">
        <v>1</v>
      </c>
      <c r="O20" s="1">
        <v>1</v>
      </c>
      <c r="P20" s="1">
        <v>1</v>
      </c>
      <c r="Q20" s="7">
        <f t="shared" si="0"/>
        <v>1</v>
      </c>
      <c r="R20" s="31">
        <v>14</v>
      </c>
      <c r="S20" s="31">
        <v>122</v>
      </c>
      <c r="T20" s="2">
        <f t="shared" si="1"/>
        <v>30</v>
      </c>
      <c r="U20" s="124">
        <v>128</v>
      </c>
      <c r="V20" s="68">
        <f t="shared" si="2"/>
        <v>3840</v>
      </c>
      <c r="W20" s="125">
        <v>14</v>
      </c>
      <c r="X20" s="119" t="s">
        <v>51</v>
      </c>
      <c r="Y20" s="127" t="s">
        <v>67</v>
      </c>
      <c r="Z20" s="127" t="s">
        <v>101</v>
      </c>
      <c r="AA20" s="119" t="s">
        <v>122</v>
      </c>
      <c r="AB20" s="1" t="s">
        <v>340</v>
      </c>
      <c r="AE20" s="10"/>
      <c r="AP20" s="13" t="s">
        <v>282</v>
      </c>
      <c r="AR20" s="12" t="s">
        <v>130</v>
      </c>
      <c r="AV20" s="13" t="s">
        <v>283</v>
      </c>
    </row>
    <row r="21" spans="1:48" x14ac:dyDescent="0.15">
      <c r="A21" s="49" t="s">
        <v>53</v>
      </c>
      <c r="B21" s="49" t="s">
        <v>336</v>
      </c>
      <c r="C21" s="49">
        <v>2020</v>
      </c>
      <c r="D21" s="88" t="s">
        <v>371</v>
      </c>
      <c r="E21" s="49" t="s">
        <v>202</v>
      </c>
      <c r="F21" s="49" t="s">
        <v>375</v>
      </c>
      <c r="G21" s="49" t="s">
        <v>37</v>
      </c>
      <c r="H21" s="49" t="s">
        <v>63</v>
      </c>
      <c r="I21" s="49" t="s">
        <v>64</v>
      </c>
      <c r="J21" s="1" t="s">
        <v>40</v>
      </c>
      <c r="K21" s="1" t="s">
        <v>41</v>
      </c>
      <c r="L21" s="49">
        <v>2</v>
      </c>
      <c r="N21" s="1">
        <v>1</v>
      </c>
      <c r="O21" s="1">
        <v>1</v>
      </c>
      <c r="P21" s="1">
        <v>1.1000000000000001</v>
      </c>
      <c r="Q21" s="7">
        <f t="shared" si="0"/>
        <v>1.05</v>
      </c>
      <c r="R21" s="31">
        <v>14.5</v>
      </c>
      <c r="S21" s="31">
        <v>117</v>
      </c>
      <c r="T21" s="2">
        <f t="shared" si="1"/>
        <v>30</v>
      </c>
      <c r="U21" s="124">
        <v>128</v>
      </c>
      <c r="V21" s="68">
        <f t="shared" si="2"/>
        <v>3840</v>
      </c>
      <c r="W21" s="125">
        <v>14</v>
      </c>
      <c r="X21" s="119" t="s">
        <v>51</v>
      </c>
      <c r="Y21" s="127" t="s">
        <v>67</v>
      </c>
      <c r="Z21" s="127" t="s">
        <v>101</v>
      </c>
      <c r="AA21" s="119" t="s">
        <v>122</v>
      </c>
      <c r="AB21" s="1" t="s">
        <v>340</v>
      </c>
      <c r="AE21" s="14"/>
      <c r="AP21" s="13" t="s">
        <v>284</v>
      </c>
      <c r="AR21" s="12" t="s">
        <v>97</v>
      </c>
      <c r="AV21" s="13" t="s">
        <v>285</v>
      </c>
    </row>
    <row r="22" spans="1:48" x14ac:dyDescent="0.15">
      <c r="A22" s="49" t="s">
        <v>53</v>
      </c>
      <c r="B22" s="49" t="s">
        <v>336</v>
      </c>
      <c r="C22" s="49">
        <v>2020</v>
      </c>
      <c r="D22" s="88" t="s">
        <v>371</v>
      </c>
      <c r="E22" s="49" t="s">
        <v>202</v>
      </c>
      <c r="F22" s="49" t="s">
        <v>375</v>
      </c>
      <c r="G22" s="49" t="s">
        <v>37</v>
      </c>
      <c r="H22" s="49" t="s">
        <v>63</v>
      </c>
      <c r="I22" s="49" t="s">
        <v>64</v>
      </c>
      <c r="J22" s="1" t="s">
        <v>40</v>
      </c>
      <c r="K22" s="1" t="s">
        <v>41</v>
      </c>
      <c r="L22" s="49">
        <v>3</v>
      </c>
      <c r="N22" s="1">
        <v>1</v>
      </c>
      <c r="O22" s="1">
        <v>1.2</v>
      </c>
      <c r="P22" s="16">
        <v>1.5</v>
      </c>
      <c r="Q22" s="7">
        <f t="shared" si="0"/>
        <v>1.35</v>
      </c>
      <c r="R22" s="31">
        <v>13.3</v>
      </c>
      <c r="S22" s="31">
        <v>119</v>
      </c>
      <c r="T22" s="2">
        <f t="shared" si="1"/>
        <v>30</v>
      </c>
      <c r="U22" s="124">
        <v>128</v>
      </c>
      <c r="V22" s="68">
        <f t="shared" si="2"/>
        <v>3840</v>
      </c>
      <c r="W22" s="125">
        <v>14</v>
      </c>
      <c r="X22" s="119" t="s">
        <v>51</v>
      </c>
      <c r="Y22" s="127" t="s">
        <v>67</v>
      </c>
      <c r="Z22" s="127" t="s">
        <v>101</v>
      </c>
      <c r="AA22" s="119" t="s">
        <v>122</v>
      </c>
      <c r="AB22" s="1" t="s">
        <v>340</v>
      </c>
      <c r="AP22" s="13" t="s">
        <v>286</v>
      </c>
      <c r="AR22" s="12" t="s">
        <v>135</v>
      </c>
      <c r="AV22" s="12"/>
    </row>
    <row r="23" spans="1:48" x14ac:dyDescent="0.15">
      <c r="A23" s="49" t="s">
        <v>53</v>
      </c>
      <c r="B23" s="49" t="s">
        <v>336</v>
      </c>
      <c r="C23" s="49">
        <v>2020</v>
      </c>
      <c r="D23" s="88" t="s">
        <v>371</v>
      </c>
      <c r="E23" s="49" t="s">
        <v>202</v>
      </c>
      <c r="F23" s="49" t="s">
        <v>375</v>
      </c>
      <c r="G23" s="49" t="s">
        <v>37</v>
      </c>
      <c r="H23" s="49" t="s">
        <v>63</v>
      </c>
      <c r="I23" s="49" t="s">
        <v>64</v>
      </c>
      <c r="J23" s="1" t="s">
        <v>40</v>
      </c>
      <c r="K23" s="1" t="s">
        <v>41</v>
      </c>
      <c r="L23" s="49">
        <v>1</v>
      </c>
      <c r="N23" s="1">
        <v>8</v>
      </c>
      <c r="O23" s="1">
        <v>0.2</v>
      </c>
      <c r="P23" s="16">
        <v>0.2</v>
      </c>
      <c r="Q23" s="7">
        <f t="shared" si="0"/>
        <v>0.2</v>
      </c>
      <c r="R23" s="31">
        <v>16.600000000000001</v>
      </c>
      <c r="S23" s="31">
        <v>97</v>
      </c>
      <c r="T23" s="2">
        <f t="shared" si="1"/>
        <v>36</v>
      </c>
      <c r="U23" s="124">
        <v>698</v>
      </c>
      <c r="V23" s="68">
        <f t="shared" si="2"/>
        <v>3141</v>
      </c>
      <c r="W23" s="125">
        <v>14</v>
      </c>
      <c r="X23" s="119" t="s">
        <v>51</v>
      </c>
      <c r="Y23" s="127" t="s">
        <v>67</v>
      </c>
      <c r="Z23" s="127" t="s">
        <v>101</v>
      </c>
      <c r="AA23" s="119" t="s">
        <v>122</v>
      </c>
      <c r="AB23" s="1" t="s">
        <v>340</v>
      </c>
      <c r="AP23" s="13" t="s">
        <v>287</v>
      </c>
      <c r="AR23" s="12" t="s">
        <v>75</v>
      </c>
      <c r="AV23" s="12"/>
    </row>
    <row r="24" spans="1:48" x14ac:dyDescent="0.15">
      <c r="A24" s="49" t="s">
        <v>53</v>
      </c>
      <c r="B24" s="49" t="s">
        <v>336</v>
      </c>
      <c r="C24" s="49">
        <v>2020</v>
      </c>
      <c r="D24" s="88" t="s">
        <v>371</v>
      </c>
      <c r="E24" s="49" t="s">
        <v>202</v>
      </c>
      <c r="F24" s="49" t="s">
        <v>375</v>
      </c>
      <c r="G24" s="49" t="s">
        <v>37</v>
      </c>
      <c r="H24" s="49" t="s">
        <v>63</v>
      </c>
      <c r="I24" s="49" t="s">
        <v>64</v>
      </c>
      <c r="J24" s="1" t="s">
        <v>40</v>
      </c>
      <c r="K24" s="1" t="s">
        <v>41</v>
      </c>
      <c r="L24" s="49">
        <v>2</v>
      </c>
      <c r="N24" s="1">
        <v>8</v>
      </c>
      <c r="O24" s="1">
        <v>0.7</v>
      </c>
      <c r="P24" s="16">
        <v>0.8</v>
      </c>
      <c r="Q24" s="7">
        <f t="shared" si="0"/>
        <v>0.75</v>
      </c>
      <c r="R24" s="31">
        <v>16.600000000000001</v>
      </c>
      <c r="S24" s="31">
        <v>96</v>
      </c>
      <c r="T24" s="2">
        <f t="shared" si="1"/>
        <v>36</v>
      </c>
      <c r="U24" s="124">
        <v>698</v>
      </c>
      <c r="V24" s="68">
        <f t="shared" si="2"/>
        <v>3141</v>
      </c>
      <c r="W24" s="125">
        <v>14</v>
      </c>
      <c r="X24" s="119" t="s">
        <v>51</v>
      </c>
      <c r="Y24" s="127" t="s">
        <v>67</v>
      </c>
      <c r="Z24" s="127" t="s">
        <v>101</v>
      </c>
      <c r="AA24" s="119" t="s">
        <v>122</v>
      </c>
      <c r="AB24" s="1" t="s">
        <v>340</v>
      </c>
      <c r="AP24" s="13" t="s">
        <v>288</v>
      </c>
      <c r="AR24" s="12" t="s">
        <v>138</v>
      </c>
      <c r="AV24" s="12"/>
    </row>
    <row r="25" spans="1:48" x14ac:dyDescent="0.15">
      <c r="A25" s="49" t="s">
        <v>53</v>
      </c>
      <c r="B25" s="49" t="s">
        <v>336</v>
      </c>
      <c r="C25" s="49">
        <v>2020</v>
      </c>
      <c r="D25" s="88" t="s">
        <v>371</v>
      </c>
      <c r="E25" s="49" t="s">
        <v>202</v>
      </c>
      <c r="F25" s="49" t="s">
        <v>375</v>
      </c>
      <c r="G25" s="49" t="s">
        <v>37</v>
      </c>
      <c r="H25" s="49" t="s">
        <v>63</v>
      </c>
      <c r="I25" s="49" t="s">
        <v>64</v>
      </c>
      <c r="J25" s="1" t="s">
        <v>40</v>
      </c>
      <c r="K25" s="1" t="s">
        <v>41</v>
      </c>
      <c r="L25" s="49">
        <v>3</v>
      </c>
      <c r="N25" s="1">
        <v>8</v>
      </c>
      <c r="O25" s="1">
        <v>0.45</v>
      </c>
      <c r="P25" s="16">
        <v>0.55000000000000004</v>
      </c>
      <c r="Q25" s="7">
        <f t="shared" si="0"/>
        <v>0.5</v>
      </c>
      <c r="R25" s="31">
        <v>16</v>
      </c>
      <c r="S25" s="31">
        <v>98</v>
      </c>
      <c r="T25" s="2">
        <f t="shared" si="1"/>
        <v>36</v>
      </c>
      <c r="U25" s="124">
        <v>698</v>
      </c>
      <c r="V25" s="68">
        <f t="shared" si="2"/>
        <v>3141</v>
      </c>
      <c r="W25" s="125">
        <v>14</v>
      </c>
      <c r="X25" s="119" t="s">
        <v>51</v>
      </c>
      <c r="Y25" s="127" t="s">
        <v>67</v>
      </c>
      <c r="Z25" s="127" t="s">
        <v>101</v>
      </c>
      <c r="AA25" s="119" t="s">
        <v>122</v>
      </c>
      <c r="AB25" s="1" t="s">
        <v>340</v>
      </c>
      <c r="AP25" s="13" t="s">
        <v>289</v>
      </c>
      <c r="AR25" s="13" t="s">
        <v>290</v>
      </c>
      <c r="AV25" s="12"/>
    </row>
    <row r="26" spans="1:48" x14ac:dyDescent="0.15">
      <c r="A26" s="49" t="s">
        <v>53</v>
      </c>
      <c r="B26" s="49" t="s">
        <v>336</v>
      </c>
      <c r="C26" s="49">
        <v>2020</v>
      </c>
      <c r="D26" s="88" t="s">
        <v>371</v>
      </c>
      <c r="E26" s="49" t="s">
        <v>202</v>
      </c>
      <c r="F26" s="49" t="s">
        <v>375</v>
      </c>
      <c r="G26" s="49" t="s">
        <v>37</v>
      </c>
      <c r="H26" s="49" t="s">
        <v>63</v>
      </c>
      <c r="I26" s="49" t="s">
        <v>64</v>
      </c>
      <c r="J26" s="1" t="s">
        <v>40</v>
      </c>
      <c r="K26" s="1" t="s">
        <v>41</v>
      </c>
      <c r="L26" s="49">
        <v>1</v>
      </c>
      <c r="N26" s="1">
        <v>4</v>
      </c>
      <c r="O26" s="1">
        <v>0.9</v>
      </c>
      <c r="P26" s="1">
        <v>0.95</v>
      </c>
      <c r="Q26" s="7">
        <f t="shared" si="0"/>
        <v>0.92500000000000004</v>
      </c>
      <c r="R26" s="31">
        <v>17.5</v>
      </c>
      <c r="S26" s="31">
        <v>89</v>
      </c>
      <c r="T26" s="2">
        <f t="shared" si="1"/>
        <v>36</v>
      </c>
      <c r="U26" s="124">
        <v>398</v>
      </c>
      <c r="V26" s="68">
        <f t="shared" si="2"/>
        <v>3582</v>
      </c>
      <c r="W26" s="125">
        <v>14</v>
      </c>
      <c r="X26" s="119" t="s">
        <v>51</v>
      </c>
      <c r="Y26" s="127" t="s">
        <v>67</v>
      </c>
      <c r="Z26" s="127" t="s">
        <v>101</v>
      </c>
      <c r="AA26" s="119" t="s">
        <v>122</v>
      </c>
      <c r="AB26" s="1" t="s">
        <v>340</v>
      </c>
      <c r="AP26" s="13" t="s">
        <v>291</v>
      </c>
      <c r="AR26" s="12" t="s">
        <v>292</v>
      </c>
      <c r="AV26" s="13"/>
    </row>
    <row r="27" spans="1:48" x14ac:dyDescent="0.15">
      <c r="A27" s="49" t="s">
        <v>53</v>
      </c>
      <c r="B27" s="49" t="s">
        <v>336</v>
      </c>
      <c r="C27" s="49">
        <v>2020</v>
      </c>
      <c r="D27" s="88" t="s">
        <v>371</v>
      </c>
      <c r="E27" s="49" t="s">
        <v>202</v>
      </c>
      <c r="F27" s="49" t="s">
        <v>375</v>
      </c>
      <c r="G27" s="49" t="s">
        <v>37</v>
      </c>
      <c r="H27" s="49" t="s">
        <v>63</v>
      </c>
      <c r="I27" s="49" t="s">
        <v>64</v>
      </c>
      <c r="J27" s="1" t="s">
        <v>40</v>
      </c>
      <c r="K27" s="1" t="s">
        <v>41</v>
      </c>
      <c r="L27" s="49">
        <v>2</v>
      </c>
      <c r="N27" s="1">
        <v>4</v>
      </c>
      <c r="O27" s="16">
        <v>1.05</v>
      </c>
      <c r="P27" s="1">
        <v>1.1000000000000001</v>
      </c>
      <c r="Q27" s="7">
        <f t="shared" si="0"/>
        <v>1.0750000000000002</v>
      </c>
      <c r="R27" s="31">
        <v>15.6</v>
      </c>
      <c r="S27" s="31">
        <v>89</v>
      </c>
      <c r="T27" s="2">
        <f t="shared" si="1"/>
        <v>36</v>
      </c>
      <c r="U27" s="124">
        <v>398</v>
      </c>
      <c r="V27" s="68">
        <f t="shared" si="2"/>
        <v>3582</v>
      </c>
      <c r="W27" s="125">
        <v>14</v>
      </c>
      <c r="X27" s="119" t="s">
        <v>51</v>
      </c>
      <c r="Y27" s="127" t="s">
        <v>67</v>
      </c>
      <c r="Z27" s="127" t="s">
        <v>101</v>
      </c>
      <c r="AA27" s="119" t="s">
        <v>122</v>
      </c>
      <c r="AB27" s="1" t="s">
        <v>340</v>
      </c>
      <c r="AP27" s="13" t="s">
        <v>293</v>
      </c>
      <c r="AR27" s="12" t="s">
        <v>294</v>
      </c>
    </row>
    <row r="28" spans="1:48" x14ac:dyDescent="0.15">
      <c r="A28" s="49" t="s">
        <v>53</v>
      </c>
      <c r="B28" s="49" t="s">
        <v>336</v>
      </c>
      <c r="C28" s="49">
        <v>2020</v>
      </c>
      <c r="D28" s="88" t="s">
        <v>371</v>
      </c>
      <c r="E28" s="49" t="s">
        <v>202</v>
      </c>
      <c r="F28" s="49" t="s">
        <v>375</v>
      </c>
      <c r="G28" s="49" t="s">
        <v>37</v>
      </c>
      <c r="H28" s="49" t="s">
        <v>63</v>
      </c>
      <c r="I28" s="49" t="s">
        <v>64</v>
      </c>
      <c r="J28" s="1" t="s">
        <v>40</v>
      </c>
      <c r="K28" s="1" t="s">
        <v>41</v>
      </c>
      <c r="L28" s="49">
        <v>3</v>
      </c>
      <c r="N28" s="1">
        <v>4</v>
      </c>
      <c r="O28" s="16">
        <v>1.05</v>
      </c>
      <c r="P28" s="1">
        <v>1</v>
      </c>
      <c r="Q28" s="7">
        <f t="shared" si="0"/>
        <v>1.0249999999999999</v>
      </c>
      <c r="R28" s="31">
        <v>15.4</v>
      </c>
      <c r="S28" s="31">
        <v>90</v>
      </c>
      <c r="T28" s="2">
        <f t="shared" si="1"/>
        <v>36</v>
      </c>
      <c r="U28" s="124">
        <v>398</v>
      </c>
      <c r="V28" s="68">
        <f t="shared" si="2"/>
        <v>3582</v>
      </c>
      <c r="W28" s="125">
        <v>14</v>
      </c>
      <c r="X28" s="119" t="s">
        <v>51</v>
      </c>
      <c r="Y28" s="127" t="s">
        <v>67</v>
      </c>
      <c r="Z28" s="127" t="s">
        <v>101</v>
      </c>
      <c r="AA28" s="119" t="s">
        <v>122</v>
      </c>
      <c r="AB28" s="1" t="s">
        <v>340</v>
      </c>
      <c r="AP28" s="13" t="s">
        <v>295</v>
      </c>
      <c r="AR28" s="12" t="s">
        <v>296</v>
      </c>
    </row>
    <row r="29" spans="1:48" x14ac:dyDescent="0.15">
      <c r="A29" s="49" t="s">
        <v>53</v>
      </c>
      <c r="B29" s="49" t="s">
        <v>336</v>
      </c>
      <c r="C29" s="49">
        <v>2020</v>
      </c>
      <c r="D29" s="88" t="s">
        <v>371</v>
      </c>
      <c r="E29" s="49" t="s">
        <v>202</v>
      </c>
      <c r="F29" s="49" t="s">
        <v>375</v>
      </c>
      <c r="G29" s="49" t="s">
        <v>37</v>
      </c>
      <c r="H29" s="49" t="s">
        <v>82</v>
      </c>
      <c r="I29" s="49" t="s">
        <v>64</v>
      </c>
      <c r="J29" s="1" t="s">
        <v>40</v>
      </c>
      <c r="K29" s="1" t="s">
        <v>41</v>
      </c>
      <c r="L29" s="49">
        <v>1</v>
      </c>
      <c r="N29" s="1">
        <v>1</v>
      </c>
      <c r="O29" s="1">
        <v>0.9</v>
      </c>
      <c r="P29" s="1">
        <v>0.8</v>
      </c>
      <c r="Q29" s="7">
        <f t="shared" si="0"/>
        <v>0.85000000000000009</v>
      </c>
      <c r="R29" s="31">
        <v>17</v>
      </c>
      <c r="S29" s="31">
        <v>117</v>
      </c>
      <c r="T29" s="2">
        <f t="shared" si="1"/>
        <v>30</v>
      </c>
      <c r="U29" s="124">
        <v>138</v>
      </c>
      <c r="V29" s="68">
        <f t="shared" si="2"/>
        <v>4140</v>
      </c>
      <c r="W29" s="125">
        <v>14</v>
      </c>
      <c r="X29" s="119" t="s">
        <v>51</v>
      </c>
      <c r="Y29" s="127" t="s">
        <v>67</v>
      </c>
      <c r="Z29" s="127" t="s">
        <v>101</v>
      </c>
      <c r="AA29" s="119" t="s">
        <v>122</v>
      </c>
      <c r="AB29" s="1" t="s">
        <v>340</v>
      </c>
      <c r="AP29" s="13" t="s">
        <v>297</v>
      </c>
      <c r="AR29" s="14"/>
    </row>
    <row r="30" spans="1:48" x14ac:dyDescent="0.15">
      <c r="A30" s="49" t="s">
        <v>53</v>
      </c>
      <c r="B30" s="49" t="s">
        <v>336</v>
      </c>
      <c r="C30" s="49">
        <v>2020</v>
      </c>
      <c r="D30" s="88" t="s">
        <v>371</v>
      </c>
      <c r="E30" s="49" t="s">
        <v>202</v>
      </c>
      <c r="F30" s="49" t="s">
        <v>375</v>
      </c>
      <c r="G30" s="49" t="s">
        <v>37</v>
      </c>
      <c r="H30" s="49" t="s">
        <v>82</v>
      </c>
      <c r="I30" s="49" t="s">
        <v>64</v>
      </c>
      <c r="J30" s="1" t="s">
        <v>40</v>
      </c>
      <c r="K30" s="1" t="s">
        <v>41</v>
      </c>
      <c r="L30" s="49">
        <v>2</v>
      </c>
      <c r="N30" s="1">
        <v>1</v>
      </c>
      <c r="O30" s="1">
        <v>0.9</v>
      </c>
      <c r="P30" s="1">
        <v>1.05</v>
      </c>
      <c r="Q30" s="7">
        <f t="shared" si="0"/>
        <v>0.97500000000000009</v>
      </c>
      <c r="R30" s="31">
        <v>15.3</v>
      </c>
      <c r="S30" s="31">
        <v>124</v>
      </c>
      <c r="T30" s="2">
        <f t="shared" si="1"/>
        <v>30</v>
      </c>
      <c r="U30" s="124">
        <v>138</v>
      </c>
      <c r="V30" s="68">
        <f t="shared" si="2"/>
        <v>4140</v>
      </c>
      <c r="W30" s="125">
        <v>14</v>
      </c>
      <c r="X30" s="119" t="s">
        <v>51</v>
      </c>
      <c r="Y30" s="127" t="s">
        <v>67</v>
      </c>
      <c r="Z30" s="127" t="s">
        <v>101</v>
      </c>
      <c r="AA30" s="119" t="s">
        <v>122</v>
      </c>
      <c r="AB30" s="1" t="s">
        <v>340</v>
      </c>
    </row>
    <row r="31" spans="1:48" x14ac:dyDescent="0.15">
      <c r="A31" s="49" t="s">
        <v>53</v>
      </c>
      <c r="B31" s="49" t="s">
        <v>336</v>
      </c>
      <c r="C31" s="49">
        <v>2020</v>
      </c>
      <c r="D31" s="88" t="s">
        <v>371</v>
      </c>
      <c r="E31" s="49" t="s">
        <v>202</v>
      </c>
      <c r="F31" s="49" t="s">
        <v>375</v>
      </c>
      <c r="G31" s="49" t="s">
        <v>37</v>
      </c>
      <c r="H31" s="49" t="s">
        <v>82</v>
      </c>
      <c r="I31" s="49" t="s">
        <v>64</v>
      </c>
      <c r="J31" s="1" t="s">
        <v>40</v>
      </c>
      <c r="K31" s="1" t="s">
        <v>41</v>
      </c>
      <c r="L31" s="49">
        <v>3</v>
      </c>
      <c r="N31" s="1">
        <v>1</v>
      </c>
      <c r="O31" s="1">
        <v>1.25</v>
      </c>
      <c r="P31" s="1">
        <v>1.05</v>
      </c>
      <c r="Q31" s="7">
        <f t="shared" si="0"/>
        <v>1.1499999999999999</v>
      </c>
      <c r="R31" s="31">
        <v>16.3</v>
      </c>
      <c r="S31" s="31">
        <v>119</v>
      </c>
      <c r="T31" s="2">
        <f t="shared" si="1"/>
        <v>30</v>
      </c>
      <c r="U31" s="124">
        <v>138</v>
      </c>
      <c r="V31" s="68">
        <f t="shared" si="2"/>
        <v>4140</v>
      </c>
      <c r="W31" s="125">
        <v>14</v>
      </c>
      <c r="X31" s="119" t="s">
        <v>51</v>
      </c>
      <c r="Y31" s="127" t="s">
        <v>67</v>
      </c>
      <c r="Z31" s="127" t="s">
        <v>101</v>
      </c>
      <c r="AA31" s="119" t="s">
        <v>122</v>
      </c>
      <c r="AB31" s="1" t="s">
        <v>340</v>
      </c>
    </row>
    <row r="32" spans="1:48" ht="14.25" customHeight="1" x14ac:dyDescent="0.15">
      <c r="A32" s="49" t="s">
        <v>53</v>
      </c>
      <c r="B32" s="49" t="s">
        <v>336</v>
      </c>
      <c r="C32" s="49">
        <v>2020</v>
      </c>
      <c r="D32" s="88" t="s">
        <v>371</v>
      </c>
      <c r="E32" s="49" t="s">
        <v>202</v>
      </c>
      <c r="F32" s="49" t="s">
        <v>375</v>
      </c>
      <c r="G32" s="49" t="s">
        <v>37</v>
      </c>
      <c r="H32" s="49" t="s">
        <v>82</v>
      </c>
      <c r="I32" s="49" t="s">
        <v>64</v>
      </c>
      <c r="J32" s="1" t="s">
        <v>40</v>
      </c>
      <c r="K32" s="1" t="s">
        <v>41</v>
      </c>
      <c r="L32" s="49">
        <v>1</v>
      </c>
      <c r="N32" s="1">
        <v>4</v>
      </c>
      <c r="O32" s="1">
        <v>0.8</v>
      </c>
      <c r="P32" s="1">
        <v>0.8</v>
      </c>
      <c r="Q32" s="7">
        <f t="shared" si="0"/>
        <v>0.8</v>
      </c>
      <c r="R32" s="31">
        <v>17.5</v>
      </c>
      <c r="S32" s="31">
        <v>103</v>
      </c>
      <c r="T32" s="2">
        <f t="shared" si="1"/>
        <v>33</v>
      </c>
      <c r="U32" s="124">
        <v>498</v>
      </c>
      <c r="V32" s="68">
        <f t="shared" si="2"/>
        <v>4108.5</v>
      </c>
      <c r="W32" s="125">
        <v>14</v>
      </c>
      <c r="X32" s="119" t="s">
        <v>51</v>
      </c>
      <c r="Y32" s="127" t="s">
        <v>67</v>
      </c>
      <c r="Z32" s="127" t="s">
        <v>101</v>
      </c>
      <c r="AA32" s="119" t="s">
        <v>122</v>
      </c>
      <c r="AB32" s="1" t="s">
        <v>340</v>
      </c>
    </row>
    <row r="33" spans="1:28" x14ac:dyDescent="0.15">
      <c r="A33" s="49" t="s">
        <v>53</v>
      </c>
      <c r="B33" s="49" t="s">
        <v>336</v>
      </c>
      <c r="C33" s="49">
        <v>2020</v>
      </c>
      <c r="D33" s="88" t="s">
        <v>371</v>
      </c>
      <c r="E33" s="49" t="s">
        <v>202</v>
      </c>
      <c r="F33" s="49" t="s">
        <v>375</v>
      </c>
      <c r="G33" s="49" t="s">
        <v>37</v>
      </c>
      <c r="H33" s="49" t="s">
        <v>82</v>
      </c>
      <c r="I33" s="49" t="s">
        <v>64</v>
      </c>
      <c r="J33" s="1" t="s">
        <v>40</v>
      </c>
      <c r="K33" s="1" t="s">
        <v>41</v>
      </c>
      <c r="L33" s="49">
        <v>2</v>
      </c>
      <c r="N33" s="1">
        <v>4</v>
      </c>
      <c r="O33" s="1">
        <v>0.8</v>
      </c>
      <c r="P33" s="1">
        <v>0.9</v>
      </c>
      <c r="Q33" s="7">
        <f t="shared" si="0"/>
        <v>0.85000000000000009</v>
      </c>
      <c r="R33" s="31">
        <v>15.6</v>
      </c>
      <c r="S33" s="31">
        <v>96</v>
      </c>
      <c r="T33" s="2">
        <f t="shared" si="1"/>
        <v>36</v>
      </c>
      <c r="U33" s="124">
        <v>498</v>
      </c>
      <c r="V33" s="68">
        <f t="shared" si="2"/>
        <v>4482</v>
      </c>
      <c r="W33" s="125">
        <v>14</v>
      </c>
      <c r="X33" s="119" t="s">
        <v>51</v>
      </c>
      <c r="Y33" s="127" t="s">
        <v>67</v>
      </c>
      <c r="Z33" s="127" t="s">
        <v>101</v>
      </c>
      <c r="AA33" s="119" t="s">
        <v>122</v>
      </c>
      <c r="AB33" s="1" t="s">
        <v>340</v>
      </c>
    </row>
    <row r="34" spans="1:28" x14ac:dyDescent="0.15">
      <c r="A34" s="49" t="s">
        <v>53</v>
      </c>
      <c r="B34" s="49" t="s">
        <v>336</v>
      </c>
      <c r="C34" s="49">
        <v>2020</v>
      </c>
      <c r="D34" s="88" t="s">
        <v>371</v>
      </c>
      <c r="E34" s="49" t="s">
        <v>202</v>
      </c>
      <c r="F34" s="49" t="s">
        <v>375</v>
      </c>
      <c r="G34" s="49" t="s">
        <v>37</v>
      </c>
      <c r="H34" s="49" t="s">
        <v>82</v>
      </c>
      <c r="I34" s="49" t="s">
        <v>64</v>
      </c>
      <c r="J34" s="1" t="s">
        <v>40</v>
      </c>
      <c r="K34" s="1" t="s">
        <v>41</v>
      </c>
      <c r="L34" s="49">
        <v>3</v>
      </c>
      <c r="N34" s="1">
        <v>4</v>
      </c>
      <c r="O34" s="1">
        <v>0.6</v>
      </c>
      <c r="P34" s="16">
        <v>0.75</v>
      </c>
      <c r="Q34" s="7">
        <f t="shared" si="0"/>
        <v>0.67500000000000004</v>
      </c>
      <c r="R34" s="31">
        <v>16.2</v>
      </c>
      <c r="S34" s="31">
        <v>100</v>
      </c>
      <c r="T34" s="2">
        <f t="shared" si="1"/>
        <v>33</v>
      </c>
      <c r="U34" s="124">
        <v>498</v>
      </c>
      <c r="V34" s="68">
        <f t="shared" si="2"/>
        <v>4108.5</v>
      </c>
      <c r="W34" s="125">
        <v>14</v>
      </c>
      <c r="X34" s="119" t="s">
        <v>51</v>
      </c>
      <c r="Y34" s="127" t="s">
        <v>67</v>
      </c>
      <c r="Z34" s="127" t="s">
        <v>101</v>
      </c>
      <c r="AA34" s="119" t="s">
        <v>122</v>
      </c>
      <c r="AB34" s="1" t="s">
        <v>340</v>
      </c>
    </row>
    <row r="35" spans="1:28" x14ac:dyDescent="0.15">
      <c r="A35" s="49" t="s">
        <v>53</v>
      </c>
      <c r="B35" s="49" t="s">
        <v>336</v>
      </c>
      <c r="C35" s="49">
        <v>2020</v>
      </c>
      <c r="D35" s="88" t="s">
        <v>371</v>
      </c>
      <c r="E35" s="49" t="s">
        <v>378</v>
      </c>
      <c r="F35" s="49" t="s">
        <v>379</v>
      </c>
      <c r="G35" s="49" t="s">
        <v>37</v>
      </c>
      <c r="H35" s="49" t="s">
        <v>63</v>
      </c>
      <c r="I35" s="49" t="s">
        <v>64</v>
      </c>
      <c r="J35" s="1" t="s">
        <v>40</v>
      </c>
      <c r="K35" s="1" t="s">
        <v>41</v>
      </c>
      <c r="L35" s="49">
        <v>1</v>
      </c>
      <c r="N35" s="1">
        <v>1</v>
      </c>
      <c r="O35" s="1">
        <v>1.5</v>
      </c>
      <c r="P35" s="1">
        <v>1.7</v>
      </c>
      <c r="Q35" s="7">
        <f t="shared" si="0"/>
        <v>1.6</v>
      </c>
      <c r="R35" s="31">
        <v>12.5</v>
      </c>
      <c r="S35" s="31">
        <v>128</v>
      </c>
      <c r="T35" s="2">
        <f t="shared" si="1"/>
        <v>30</v>
      </c>
      <c r="U35" s="124">
        <v>98</v>
      </c>
      <c r="V35" s="68">
        <f t="shared" si="2"/>
        <v>2940</v>
      </c>
      <c r="W35" s="125">
        <v>10</v>
      </c>
      <c r="X35" s="119" t="s">
        <v>51</v>
      </c>
      <c r="Y35" s="127" t="s">
        <v>67</v>
      </c>
      <c r="Z35" s="127" t="s">
        <v>101</v>
      </c>
      <c r="AA35" s="127" t="s">
        <v>52</v>
      </c>
      <c r="AB35" s="1" t="s">
        <v>340</v>
      </c>
    </row>
    <row r="36" spans="1:28" x14ac:dyDescent="0.15">
      <c r="A36" s="49" t="s">
        <v>53</v>
      </c>
      <c r="B36" s="49" t="s">
        <v>336</v>
      </c>
      <c r="C36" s="49">
        <v>2020</v>
      </c>
      <c r="D36" s="88" t="s">
        <v>371</v>
      </c>
      <c r="E36" s="49" t="s">
        <v>378</v>
      </c>
      <c r="F36" s="49" t="s">
        <v>379</v>
      </c>
      <c r="G36" s="49" t="s">
        <v>37</v>
      </c>
      <c r="H36" s="49" t="s">
        <v>63</v>
      </c>
      <c r="I36" s="49" t="s">
        <v>64</v>
      </c>
      <c r="J36" s="1" t="s">
        <v>40</v>
      </c>
      <c r="K36" s="1" t="s">
        <v>41</v>
      </c>
      <c r="L36" s="49">
        <v>2</v>
      </c>
      <c r="N36" s="1">
        <v>1</v>
      </c>
      <c r="O36" s="1">
        <v>2</v>
      </c>
      <c r="P36" s="1">
        <v>1.85</v>
      </c>
      <c r="Q36" s="7">
        <f t="shared" si="0"/>
        <v>1.925</v>
      </c>
      <c r="R36" s="31">
        <v>14.8</v>
      </c>
      <c r="S36" s="31">
        <v>129</v>
      </c>
      <c r="T36" s="2">
        <f t="shared" si="1"/>
        <v>30</v>
      </c>
      <c r="U36" s="124">
        <v>98</v>
      </c>
      <c r="V36" s="68">
        <f t="shared" si="2"/>
        <v>2940</v>
      </c>
      <c r="W36" s="125">
        <v>10</v>
      </c>
      <c r="X36" s="119" t="s">
        <v>51</v>
      </c>
      <c r="Y36" s="127" t="s">
        <v>67</v>
      </c>
      <c r="Z36" s="127" t="s">
        <v>101</v>
      </c>
      <c r="AA36" s="127" t="s">
        <v>52</v>
      </c>
      <c r="AB36" s="1" t="s">
        <v>340</v>
      </c>
    </row>
    <row r="37" spans="1:28" x14ac:dyDescent="0.15">
      <c r="A37" s="49" t="s">
        <v>53</v>
      </c>
      <c r="B37" s="49" t="s">
        <v>336</v>
      </c>
      <c r="C37" s="49">
        <v>2020</v>
      </c>
      <c r="D37" s="88" t="s">
        <v>371</v>
      </c>
      <c r="E37" s="49" t="s">
        <v>378</v>
      </c>
      <c r="F37" s="49" t="s">
        <v>379</v>
      </c>
      <c r="G37" s="49" t="s">
        <v>37</v>
      </c>
      <c r="H37" s="49" t="s">
        <v>63</v>
      </c>
      <c r="I37" s="49" t="s">
        <v>64</v>
      </c>
      <c r="J37" s="1" t="s">
        <v>40</v>
      </c>
      <c r="K37" s="1" t="s">
        <v>41</v>
      </c>
      <c r="L37" s="49">
        <v>3</v>
      </c>
      <c r="N37" s="1">
        <v>1</v>
      </c>
      <c r="O37" s="1">
        <v>1.4</v>
      </c>
      <c r="P37" s="1">
        <v>1.45</v>
      </c>
      <c r="Q37" s="7">
        <f t="shared" si="0"/>
        <v>1.4249999999999998</v>
      </c>
      <c r="R37" s="31">
        <v>16.3</v>
      </c>
      <c r="S37" s="31">
        <v>142</v>
      </c>
      <c r="T37" s="2">
        <f t="shared" si="1"/>
        <v>30</v>
      </c>
      <c r="U37" s="124">
        <v>98</v>
      </c>
      <c r="V37" s="68">
        <f t="shared" si="2"/>
        <v>2940</v>
      </c>
      <c r="W37" s="125">
        <v>10</v>
      </c>
      <c r="X37" s="119" t="s">
        <v>51</v>
      </c>
      <c r="Y37" s="127" t="s">
        <v>67</v>
      </c>
      <c r="Z37" s="127" t="s">
        <v>101</v>
      </c>
      <c r="AA37" s="127" t="s">
        <v>52</v>
      </c>
      <c r="AB37" s="1" t="s">
        <v>340</v>
      </c>
    </row>
    <row r="38" spans="1:28" x14ac:dyDescent="0.15">
      <c r="A38" s="49" t="s">
        <v>53</v>
      </c>
      <c r="B38" s="49" t="s">
        <v>336</v>
      </c>
      <c r="C38" s="49">
        <v>2020</v>
      </c>
      <c r="D38" s="88" t="s">
        <v>371</v>
      </c>
      <c r="E38" s="49" t="s">
        <v>378</v>
      </c>
      <c r="F38" s="49" t="s">
        <v>379</v>
      </c>
      <c r="G38" s="49" t="s">
        <v>37</v>
      </c>
      <c r="H38" s="49" t="s">
        <v>63</v>
      </c>
      <c r="I38" s="49" t="s">
        <v>64</v>
      </c>
      <c r="J38" s="1" t="s">
        <v>40</v>
      </c>
      <c r="K38" s="1" t="s">
        <v>41</v>
      </c>
      <c r="L38" s="49">
        <v>1</v>
      </c>
      <c r="N38" s="1">
        <v>10</v>
      </c>
      <c r="O38" s="1">
        <v>1.25</v>
      </c>
      <c r="P38" s="1">
        <v>1.25</v>
      </c>
      <c r="Q38" s="7">
        <f t="shared" si="0"/>
        <v>1.25</v>
      </c>
      <c r="R38" s="31">
        <v>13.6</v>
      </c>
      <c r="S38" s="31">
        <v>78</v>
      </c>
      <c r="T38" s="2">
        <f t="shared" si="1"/>
        <v>39</v>
      </c>
      <c r="U38" s="124">
        <v>398</v>
      </c>
      <c r="V38" s="68">
        <f t="shared" si="2"/>
        <v>1552.1999999999998</v>
      </c>
      <c r="W38" s="125">
        <v>10</v>
      </c>
      <c r="X38" s="119" t="s">
        <v>51</v>
      </c>
      <c r="Y38" s="127" t="s">
        <v>67</v>
      </c>
      <c r="Z38" s="127" t="s">
        <v>101</v>
      </c>
      <c r="AA38" s="127" t="s">
        <v>52</v>
      </c>
      <c r="AB38" s="1" t="s">
        <v>340</v>
      </c>
    </row>
    <row r="39" spans="1:28" x14ac:dyDescent="0.15">
      <c r="A39" s="49" t="s">
        <v>53</v>
      </c>
      <c r="B39" s="49" t="s">
        <v>336</v>
      </c>
      <c r="C39" s="49">
        <v>2020</v>
      </c>
      <c r="D39" s="88" t="s">
        <v>371</v>
      </c>
      <c r="E39" s="49" t="s">
        <v>378</v>
      </c>
      <c r="F39" s="49" t="s">
        <v>379</v>
      </c>
      <c r="G39" s="49" t="s">
        <v>37</v>
      </c>
      <c r="H39" s="49" t="s">
        <v>63</v>
      </c>
      <c r="I39" s="49" t="s">
        <v>64</v>
      </c>
      <c r="J39" s="1" t="s">
        <v>40</v>
      </c>
      <c r="K39" s="1" t="s">
        <v>41</v>
      </c>
      <c r="L39" s="49">
        <v>2</v>
      </c>
      <c r="N39" s="1">
        <v>10</v>
      </c>
      <c r="O39" s="1">
        <v>1</v>
      </c>
      <c r="P39" s="1">
        <v>1.5</v>
      </c>
      <c r="Q39" s="7">
        <f t="shared" si="0"/>
        <v>1.25</v>
      </c>
      <c r="R39" s="31">
        <v>13.9</v>
      </c>
      <c r="S39" s="31">
        <v>82</v>
      </c>
      <c r="T39" s="2">
        <f t="shared" si="1"/>
        <v>39</v>
      </c>
      <c r="U39" s="124">
        <v>398</v>
      </c>
      <c r="V39" s="68">
        <f t="shared" si="2"/>
        <v>1552.1999999999998</v>
      </c>
      <c r="W39" s="125">
        <v>10</v>
      </c>
      <c r="X39" s="119" t="s">
        <v>51</v>
      </c>
      <c r="Y39" s="127" t="s">
        <v>67</v>
      </c>
      <c r="Z39" s="127" t="s">
        <v>101</v>
      </c>
      <c r="AA39" s="127" t="s">
        <v>52</v>
      </c>
      <c r="AB39" s="1" t="s">
        <v>340</v>
      </c>
    </row>
    <row r="40" spans="1:28" ht="12.75" customHeight="1" x14ac:dyDescent="0.15">
      <c r="A40" s="49" t="s">
        <v>53</v>
      </c>
      <c r="B40" s="49" t="s">
        <v>336</v>
      </c>
      <c r="C40" s="49">
        <v>2020</v>
      </c>
      <c r="D40" s="88" t="s">
        <v>371</v>
      </c>
      <c r="E40" s="49" t="s">
        <v>378</v>
      </c>
      <c r="F40" s="49" t="s">
        <v>379</v>
      </c>
      <c r="G40" s="49" t="s">
        <v>37</v>
      </c>
      <c r="H40" s="49" t="s">
        <v>63</v>
      </c>
      <c r="I40" s="49" t="s">
        <v>64</v>
      </c>
      <c r="J40" s="1" t="s">
        <v>40</v>
      </c>
      <c r="K40" s="1" t="s">
        <v>41</v>
      </c>
      <c r="L40" s="49">
        <v>3</v>
      </c>
      <c r="N40" s="1">
        <v>10</v>
      </c>
      <c r="O40" s="1">
        <v>1</v>
      </c>
      <c r="P40" s="1">
        <v>1.1000000000000001</v>
      </c>
      <c r="Q40" s="7">
        <f t="shared" si="0"/>
        <v>1.05</v>
      </c>
      <c r="R40" s="31">
        <v>12.4</v>
      </c>
      <c r="S40" s="31">
        <v>74</v>
      </c>
      <c r="T40" s="2">
        <f t="shared" si="1"/>
        <v>42</v>
      </c>
      <c r="U40" s="124">
        <v>398</v>
      </c>
      <c r="V40" s="68">
        <f t="shared" si="2"/>
        <v>1671.6</v>
      </c>
      <c r="W40" s="125">
        <v>10</v>
      </c>
      <c r="X40" s="119" t="s">
        <v>51</v>
      </c>
      <c r="Y40" s="127" t="s">
        <v>67</v>
      </c>
      <c r="Z40" s="127" t="s">
        <v>101</v>
      </c>
      <c r="AA40" s="127" t="s">
        <v>52</v>
      </c>
      <c r="AB40" s="1" t="s">
        <v>340</v>
      </c>
    </row>
    <row r="41" spans="1:28" ht="12.75" customHeight="1" x14ac:dyDescent="0.15">
      <c r="A41" s="49" t="s">
        <v>53</v>
      </c>
      <c r="B41" s="49" t="s">
        <v>336</v>
      </c>
      <c r="C41" s="49">
        <v>2020</v>
      </c>
      <c r="D41" s="88" t="s">
        <v>371</v>
      </c>
      <c r="E41" s="49" t="s">
        <v>378</v>
      </c>
      <c r="F41" s="49" t="s">
        <v>379</v>
      </c>
      <c r="G41" s="49" t="s">
        <v>37</v>
      </c>
      <c r="H41" s="49" t="s">
        <v>82</v>
      </c>
      <c r="I41" s="49" t="s">
        <v>64</v>
      </c>
      <c r="J41" s="1" t="s">
        <v>40</v>
      </c>
      <c r="K41" s="1" t="s">
        <v>41</v>
      </c>
      <c r="L41" s="49">
        <v>1</v>
      </c>
      <c r="N41" s="1">
        <v>1</v>
      </c>
      <c r="O41" s="1">
        <v>0.65</v>
      </c>
      <c r="P41" s="1">
        <v>0.95</v>
      </c>
      <c r="Q41" s="7">
        <f t="shared" si="0"/>
        <v>0.8</v>
      </c>
      <c r="R41" s="31">
        <v>17.600000000000001</v>
      </c>
      <c r="S41" s="31">
        <v>144</v>
      </c>
      <c r="T41" s="2">
        <f t="shared" si="1"/>
        <v>30</v>
      </c>
      <c r="U41" s="124">
        <v>98</v>
      </c>
      <c r="V41" s="68">
        <f t="shared" si="2"/>
        <v>2940</v>
      </c>
      <c r="W41" s="125">
        <v>10</v>
      </c>
      <c r="X41" s="119" t="s">
        <v>51</v>
      </c>
      <c r="Y41" s="127" t="s">
        <v>67</v>
      </c>
      <c r="Z41" s="127" t="s">
        <v>101</v>
      </c>
      <c r="AA41" s="127" t="s">
        <v>52</v>
      </c>
      <c r="AB41" s="1" t="s">
        <v>340</v>
      </c>
    </row>
    <row r="42" spans="1:28" ht="12.75" customHeight="1" x14ac:dyDescent="0.15">
      <c r="A42" s="49" t="s">
        <v>53</v>
      </c>
      <c r="B42" s="49" t="s">
        <v>336</v>
      </c>
      <c r="C42" s="49">
        <v>2020</v>
      </c>
      <c r="D42" s="88" t="s">
        <v>371</v>
      </c>
      <c r="E42" s="49" t="s">
        <v>378</v>
      </c>
      <c r="F42" s="49" t="s">
        <v>379</v>
      </c>
      <c r="G42" s="49" t="s">
        <v>37</v>
      </c>
      <c r="H42" s="49" t="s">
        <v>82</v>
      </c>
      <c r="I42" s="49" t="s">
        <v>64</v>
      </c>
      <c r="J42" s="1" t="s">
        <v>40</v>
      </c>
      <c r="K42" s="1" t="s">
        <v>41</v>
      </c>
      <c r="L42" s="49">
        <v>2</v>
      </c>
      <c r="N42" s="1">
        <v>1</v>
      </c>
      <c r="O42" s="1">
        <v>1</v>
      </c>
      <c r="P42" s="1">
        <v>1</v>
      </c>
      <c r="Q42" s="7">
        <f t="shared" si="0"/>
        <v>1</v>
      </c>
      <c r="R42" s="31">
        <v>17.600000000000001</v>
      </c>
      <c r="S42" s="31">
        <v>142</v>
      </c>
      <c r="T42" s="2">
        <f t="shared" si="1"/>
        <v>30</v>
      </c>
      <c r="U42" s="124">
        <v>98</v>
      </c>
      <c r="V42" s="68">
        <f t="shared" si="2"/>
        <v>2940</v>
      </c>
      <c r="W42" s="125">
        <v>10</v>
      </c>
      <c r="X42" s="119" t="s">
        <v>51</v>
      </c>
      <c r="Y42" s="127" t="s">
        <v>67</v>
      </c>
      <c r="Z42" s="127" t="s">
        <v>101</v>
      </c>
      <c r="AA42" s="127" t="s">
        <v>52</v>
      </c>
      <c r="AB42" s="1" t="s">
        <v>340</v>
      </c>
    </row>
    <row r="43" spans="1:28" ht="12.75" customHeight="1" x14ac:dyDescent="0.15">
      <c r="A43" s="49" t="s">
        <v>53</v>
      </c>
      <c r="B43" s="49" t="s">
        <v>336</v>
      </c>
      <c r="C43" s="49">
        <v>2020</v>
      </c>
      <c r="D43" s="88" t="s">
        <v>371</v>
      </c>
      <c r="E43" s="49" t="s">
        <v>378</v>
      </c>
      <c r="F43" s="49" t="s">
        <v>379</v>
      </c>
      <c r="G43" s="49" t="s">
        <v>37</v>
      </c>
      <c r="H43" s="49" t="s">
        <v>82</v>
      </c>
      <c r="I43" s="49" t="s">
        <v>64</v>
      </c>
      <c r="J43" s="1" t="s">
        <v>40</v>
      </c>
      <c r="K43" s="1" t="s">
        <v>41</v>
      </c>
      <c r="L43" s="49">
        <v>3</v>
      </c>
      <c r="N43" s="1">
        <v>1</v>
      </c>
      <c r="O43" s="1">
        <v>1</v>
      </c>
      <c r="P43" s="1">
        <v>0.95</v>
      </c>
      <c r="Q43" s="7">
        <f t="shared" si="0"/>
        <v>0.97499999999999998</v>
      </c>
      <c r="R43" s="31">
        <v>16.3</v>
      </c>
      <c r="S43" s="31">
        <v>138</v>
      </c>
      <c r="T43" s="2">
        <f t="shared" si="1"/>
        <v>30</v>
      </c>
      <c r="U43" s="124">
        <v>98</v>
      </c>
      <c r="V43" s="68">
        <f t="shared" si="2"/>
        <v>2940</v>
      </c>
      <c r="W43" s="125">
        <v>10</v>
      </c>
      <c r="X43" s="119" t="s">
        <v>51</v>
      </c>
      <c r="Y43" s="127" t="s">
        <v>67</v>
      </c>
      <c r="Z43" s="127" t="s">
        <v>101</v>
      </c>
      <c r="AA43" s="127" t="s">
        <v>52</v>
      </c>
      <c r="AB43" s="1" t="s">
        <v>340</v>
      </c>
    </row>
    <row r="44" spans="1:28" x14ac:dyDescent="0.15">
      <c r="A44" s="49" t="s">
        <v>53</v>
      </c>
      <c r="B44" s="49" t="s">
        <v>336</v>
      </c>
      <c r="C44" s="49">
        <v>2020</v>
      </c>
      <c r="D44" s="88" t="s">
        <v>371</v>
      </c>
      <c r="E44" s="49" t="s">
        <v>378</v>
      </c>
      <c r="F44" s="49" t="s">
        <v>379</v>
      </c>
      <c r="G44" s="49" t="s">
        <v>37</v>
      </c>
      <c r="H44" s="49" t="s">
        <v>238</v>
      </c>
      <c r="I44" s="49" t="s">
        <v>64</v>
      </c>
      <c r="J44" s="1" t="s">
        <v>115</v>
      </c>
      <c r="K44" s="1" t="s">
        <v>118</v>
      </c>
      <c r="L44" s="49">
        <v>1</v>
      </c>
      <c r="N44" s="1">
        <v>8</v>
      </c>
      <c r="O44" s="1">
        <v>0.9</v>
      </c>
      <c r="P44" s="1">
        <v>0.95</v>
      </c>
      <c r="Q44" s="7">
        <f t="shared" si="0"/>
        <v>0.92500000000000004</v>
      </c>
      <c r="R44" s="31">
        <v>11.8</v>
      </c>
      <c r="S44" s="31">
        <v>114</v>
      </c>
      <c r="T44" s="2">
        <f t="shared" si="1"/>
        <v>30</v>
      </c>
      <c r="U44" s="124">
        <v>398</v>
      </c>
      <c r="V44" s="2">
        <f t="shared" si="2"/>
        <v>1492.5</v>
      </c>
      <c r="W44" s="125">
        <v>10</v>
      </c>
      <c r="X44" s="119" t="s">
        <v>51</v>
      </c>
      <c r="Y44" s="127" t="s">
        <v>67</v>
      </c>
      <c r="Z44" s="127" t="s">
        <v>101</v>
      </c>
      <c r="AA44" s="127" t="s">
        <v>52</v>
      </c>
      <c r="AB44" s="1" t="s">
        <v>340</v>
      </c>
    </row>
    <row r="45" spans="1:28" x14ac:dyDescent="0.15">
      <c r="A45" s="49" t="s">
        <v>53</v>
      </c>
      <c r="B45" s="49" t="s">
        <v>336</v>
      </c>
      <c r="C45" s="49">
        <v>2020</v>
      </c>
      <c r="D45" s="88" t="s">
        <v>371</v>
      </c>
      <c r="E45" s="49" t="s">
        <v>378</v>
      </c>
      <c r="F45" s="49" t="s">
        <v>379</v>
      </c>
      <c r="G45" s="49" t="s">
        <v>37</v>
      </c>
      <c r="H45" s="49" t="s">
        <v>238</v>
      </c>
      <c r="I45" s="49" t="s">
        <v>64</v>
      </c>
      <c r="J45" s="1" t="s">
        <v>115</v>
      </c>
      <c r="K45" s="1" t="s">
        <v>118</v>
      </c>
      <c r="L45" s="49">
        <v>2</v>
      </c>
      <c r="N45" s="1">
        <v>8</v>
      </c>
      <c r="O45" s="1">
        <v>1.2</v>
      </c>
      <c r="P45" s="1">
        <v>1.3</v>
      </c>
      <c r="Q45" s="7">
        <f t="shared" si="0"/>
        <v>1.25</v>
      </c>
      <c r="R45" s="31">
        <v>12.6</v>
      </c>
      <c r="S45" s="31">
        <v>112</v>
      </c>
      <c r="T45" s="2">
        <f t="shared" si="1"/>
        <v>33</v>
      </c>
      <c r="U45" s="124">
        <v>398</v>
      </c>
      <c r="V45" s="2">
        <f t="shared" si="2"/>
        <v>1641.75</v>
      </c>
      <c r="W45" s="125">
        <v>10</v>
      </c>
      <c r="X45" s="119" t="s">
        <v>51</v>
      </c>
      <c r="Y45" s="127" t="s">
        <v>67</v>
      </c>
      <c r="Z45" s="127" t="s">
        <v>101</v>
      </c>
      <c r="AA45" s="127" t="s">
        <v>52</v>
      </c>
      <c r="AB45" s="1" t="s">
        <v>340</v>
      </c>
    </row>
    <row r="46" spans="1:28" x14ac:dyDescent="0.15">
      <c r="A46" s="49" t="s">
        <v>53</v>
      </c>
      <c r="B46" s="49" t="s">
        <v>336</v>
      </c>
      <c r="C46" s="49">
        <v>2020</v>
      </c>
      <c r="D46" s="88" t="s">
        <v>371</v>
      </c>
      <c r="E46" s="49" t="s">
        <v>378</v>
      </c>
      <c r="F46" s="49" t="s">
        <v>379</v>
      </c>
      <c r="G46" s="49" t="s">
        <v>37</v>
      </c>
      <c r="H46" s="49" t="s">
        <v>238</v>
      </c>
      <c r="I46" s="49" t="s">
        <v>64</v>
      </c>
      <c r="J46" s="1" t="s">
        <v>115</v>
      </c>
      <c r="K46" s="1" t="s">
        <v>118</v>
      </c>
      <c r="L46" s="49">
        <v>3</v>
      </c>
      <c r="N46" s="1">
        <v>8</v>
      </c>
      <c r="O46" s="1">
        <v>1.3</v>
      </c>
      <c r="P46" s="1">
        <v>1.05</v>
      </c>
      <c r="Q46" s="7">
        <f t="shared" si="0"/>
        <v>1.175</v>
      </c>
      <c r="R46" s="31">
        <v>12.8</v>
      </c>
      <c r="S46" s="31">
        <v>113</v>
      </c>
      <c r="T46" s="2">
        <f t="shared" si="1"/>
        <v>30</v>
      </c>
      <c r="U46" s="124">
        <v>398</v>
      </c>
      <c r="V46" s="2">
        <f t="shared" si="2"/>
        <v>1492.5</v>
      </c>
      <c r="W46" s="125">
        <v>10</v>
      </c>
      <c r="X46" s="119" t="s">
        <v>51</v>
      </c>
      <c r="Y46" s="127" t="s">
        <v>67</v>
      </c>
      <c r="Z46" s="127" t="s">
        <v>101</v>
      </c>
      <c r="AA46" s="127" t="s">
        <v>52</v>
      </c>
      <c r="AB46" s="1" t="s">
        <v>340</v>
      </c>
    </row>
    <row r="47" spans="1:28" x14ac:dyDescent="0.15">
      <c r="A47" s="49" t="s">
        <v>53</v>
      </c>
      <c r="B47" s="49" t="s">
        <v>336</v>
      </c>
      <c r="C47" s="49">
        <v>2020</v>
      </c>
      <c r="D47" s="88" t="s">
        <v>371</v>
      </c>
      <c r="E47" s="49" t="s">
        <v>388</v>
      </c>
      <c r="F47" s="49" t="s">
        <v>381</v>
      </c>
      <c r="G47" s="49" t="s">
        <v>37</v>
      </c>
      <c r="H47" s="49" t="s">
        <v>63</v>
      </c>
      <c r="I47" s="49" t="s">
        <v>64</v>
      </c>
      <c r="J47" s="1" t="s">
        <v>40</v>
      </c>
      <c r="K47" s="1" t="s">
        <v>41</v>
      </c>
      <c r="L47" s="49">
        <v>1</v>
      </c>
      <c r="N47" s="1">
        <v>1</v>
      </c>
      <c r="O47" s="1">
        <v>0.8</v>
      </c>
      <c r="P47" s="1">
        <v>0.8</v>
      </c>
      <c r="Q47" s="7">
        <f t="shared" si="0"/>
        <v>0.8</v>
      </c>
      <c r="R47" s="31">
        <v>15.7</v>
      </c>
      <c r="S47" s="31">
        <v>127</v>
      </c>
      <c r="T47" s="2">
        <f t="shared" si="1"/>
        <v>30</v>
      </c>
      <c r="U47" s="1">
        <v>108</v>
      </c>
      <c r="V47" s="2">
        <f t="shared" si="2"/>
        <v>3240</v>
      </c>
      <c r="W47" s="1">
        <v>16</v>
      </c>
      <c r="X47" s="119" t="s">
        <v>51</v>
      </c>
      <c r="Y47" s="127" t="s">
        <v>67</v>
      </c>
      <c r="Z47" s="1" t="s">
        <v>43</v>
      </c>
      <c r="AA47" s="1" t="s">
        <v>122</v>
      </c>
      <c r="AB47" s="1" t="s">
        <v>340</v>
      </c>
    </row>
    <row r="48" spans="1:28" x14ac:dyDescent="0.15">
      <c r="A48" s="49" t="s">
        <v>53</v>
      </c>
      <c r="B48" s="49" t="s">
        <v>336</v>
      </c>
      <c r="C48" s="49">
        <v>2020</v>
      </c>
      <c r="D48" s="88" t="s">
        <v>371</v>
      </c>
      <c r="E48" s="49" t="s">
        <v>388</v>
      </c>
      <c r="F48" s="49" t="s">
        <v>381</v>
      </c>
      <c r="G48" s="49" t="s">
        <v>37</v>
      </c>
      <c r="H48" s="49" t="s">
        <v>63</v>
      </c>
      <c r="I48" s="49" t="s">
        <v>64</v>
      </c>
      <c r="J48" s="1" t="s">
        <v>40</v>
      </c>
      <c r="K48" s="1" t="s">
        <v>41</v>
      </c>
      <c r="L48" s="49">
        <v>2</v>
      </c>
      <c r="N48" s="1">
        <v>1</v>
      </c>
      <c r="O48" s="1">
        <v>1</v>
      </c>
      <c r="P48" s="1">
        <v>0.95</v>
      </c>
      <c r="Q48" s="7">
        <f t="shared" si="0"/>
        <v>0.97499999999999998</v>
      </c>
      <c r="R48" s="31">
        <v>14.6</v>
      </c>
      <c r="S48" s="31">
        <v>127</v>
      </c>
      <c r="T48" s="2">
        <f t="shared" si="1"/>
        <v>30</v>
      </c>
      <c r="U48" s="1">
        <v>108</v>
      </c>
      <c r="V48" s="2">
        <f t="shared" si="2"/>
        <v>3240</v>
      </c>
      <c r="W48" s="1">
        <v>16</v>
      </c>
      <c r="X48" s="119" t="s">
        <v>51</v>
      </c>
      <c r="Y48" s="127" t="s">
        <v>67</v>
      </c>
      <c r="Z48" s="1" t="s">
        <v>43</v>
      </c>
      <c r="AA48" s="1" t="s">
        <v>122</v>
      </c>
      <c r="AB48" s="1" t="s">
        <v>340</v>
      </c>
    </row>
    <row r="49" spans="1:28" x14ac:dyDescent="0.15">
      <c r="A49" s="49" t="s">
        <v>53</v>
      </c>
      <c r="B49" s="49" t="s">
        <v>336</v>
      </c>
      <c r="C49" s="49">
        <v>2020</v>
      </c>
      <c r="D49" s="88" t="s">
        <v>371</v>
      </c>
      <c r="E49" s="49" t="s">
        <v>388</v>
      </c>
      <c r="F49" s="49" t="s">
        <v>381</v>
      </c>
      <c r="G49" s="49" t="s">
        <v>37</v>
      </c>
      <c r="H49" s="49" t="s">
        <v>63</v>
      </c>
      <c r="I49" s="49" t="s">
        <v>64</v>
      </c>
      <c r="J49" s="1" t="s">
        <v>40</v>
      </c>
      <c r="K49" s="1" t="s">
        <v>41</v>
      </c>
      <c r="L49" s="49">
        <v>3</v>
      </c>
      <c r="N49" s="1">
        <v>1</v>
      </c>
      <c r="O49" s="1">
        <v>0.75</v>
      </c>
      <c r="P49" s="1">
        <v>0.85</v>
      </c>
      <c r="Q49" s="7">
        <f t="shared" si="0"/>
        <v>0.8</v>
      </c>
      <c r="R49" s="31">
        <v>16.100000000000001</v>
      </c>
      <c r="S49" s="31">
        <v>136</v>
      </c>
      <c r="T49" s="2">
        <f t="shared" si="1"/>
        <v>30</v>
      </c>
      <c r="U49" s="1">
        <v>108</v>
      </c>
      <c r="V49" s="2">
        <f t="shared" si="2"/>
        <v>3240</v>
      </c>
      <c r="W49" s="1">
        <v>16</v>
      </c>
      <c r="X49" s="119" t="s">
        <v>51</v>
      </c>
      <c r="Y49" s="127" t="s">
        <v>67</v>
      </c>
      <c r="Z49" s="1" t="s">
        <v>43</v>
      </c>
      <c r="AA49" s="1" t="s">
        <v>122</v>
      </c>
      <c r="AB49" s="1" t="s">
        <v>340</v>
      </c>
    </row>
    <row r="50" spans="1:28" x14ac:dyDescent="0.15">
      <c r="A50" s="49" t="s">
        <v>53</v>
      </c>
      <c r="B50" s="49" t="s">
        <v>336</v>
      </c>
      <c r="C50" s="49">
        <v>2020</v>
      </c>
      <c r="D50" s="88" t="s">
        <v>371</v>
      </c>
      <c r="E50" s="49" t="s">
        <v>388</v>
      </c>
      <c r="F50" s="49" t="s">
        <v>381</v>
      </c>
      <c r="G50" s="49" t="s">
        <v>37</v>
      </c>
      <c r="H50" s="49" t="s">
        <v>63</v>
      </c>
      <c r="I50" s="49" t="s">
        <v>64</v>
      </c>
      <c r="J50" s="1" t="s">
        <v>40</v>
      </c>
      <c r="K50" s="1" t="s">
        <v>41</v>
      </c>
      <c r="L50" s="49">
        <v>1</v>
      </c>
      <c r="N50" s="1">
        <v>10</v>
      </c>
      <c r="O50" s="1">
        <v>1.45</v>
      </c>
      <c r="P50" s="1">
        <v>1.55</v>
      </c>
      <c r="Q50" s="7">
        <f t="shared" si="0"/>
        <v>1.5</v>
      </c>
      <c r="R50" s="1">
        <v>14.7</v>
      </c>
      <c r="S50" s="1">
        <v>80</v>
      </c>
      <c r="T50" s="2">
        <f t="shared" si="1"/>
        <v>39</v>
      </c>
      <c r="U50" s="1">
        <v>498</v>
      </c>
      <c r="V50" s="2">
        <f t="shared" si="2"/>
        <v>1942.1999999999998</v>
      </c>
      <c r="W50" s="1">
        <v>16</v>
      </c>
      <c r="X50" s="119" t="s">
        <v>51</v>
      </c>
      <c r="Y50" s="127" t="s">
        <v>67</v>
      </c>
      <c r="Z50" s="1" t="s">
        <v>43</v>
      </c>
      <c r="AA50" s="1" t="s">
        <v>122</v>
      </c>
      <c r="AB50" s="1" t="s">
        <v>340</v>
      </c>
    </row>
    <row r="51" spans="1:28" x14ac:dyDescent="0.15">
      <c r="A51" s="49" t="s">
        <v>53</v>
      </c>
      <c r="B51" s="49" t="s">
        <v>336</v>
      </c>
      <c r="C51" s="49">
        <v>2020</v>
      </c>
      <c r="D51" s="88" t="s">
        <v>371</v>
      </c>
      <c r="E51" s="49" t="s">
        <v>388</v>
      </c>
      <c r="F51" s="49" t="s">
        <v>381</v>
      </c>
      <c r="G51" s="49" t="s">
        <v>37</v>
      </c>
      <c r="H51" s="49" t="s">
        <v>63</v>
      </c>
      <c r="I51" s="49" t="s">
        <v>64</v>
      </c>
      <c r="J51" s="1" t="s">
        <v>40</v>
      </c>
      <c r="K51" s="1" t="s">
        <v>41</v>
      </c>
      <c r="L51" s="49">
        <v>2</v>
      </c>
      <c r="N51" s="1">
        <v>10</v>
      </c>
      <c r="O51" s="1">
        <v>1.4</v>
      </c>
      <c r="P51" s="1">
        <v>1.6</v>
      </c>
      <c r="Q51" s="7">
        <f t="shared" si="0"/>
        <v>1.5</v>
      </c>
      <c r="R51" s="1">
        <v>14.7</v>
      </c>
      <c r="S51" s="1">
        <v>77</v>
      </c>
      <c r="T51" s="2">
        <f t="shared" si="1"/>
        <v>39</v>
      </c>
      <c r="U51" s="1">
        <v>498</v>
      </c>
      <c r="V51" s="2">
        <f t="shared" si="2"/>
        <v>1942.1999999999998</v>
      </c>
      <c r="W51" s="1">
        <v>16</v>
      </c>
      <c r="X51" s="119" t="s">
        <v>51</v>
      </c>
      <c r="Y51" s="127" t="s">
        <v>67</v>
      </c>
      <c r="Z51" s="1" t="s">
        <v>43</v>
      </c>
      <c r="AA51" s="1" t="s">
        <v>122</v>
      </c>
      <c r="AB51" s="1" t="s">
        <v>340</v>
      </c>
    </row>
    <row r="52" spans="1:28" x14ac:dyDescent="0.15">
      <c r="A52" s="49" t="s">
        <v>53</v>
      </c>
      <c r="B52" s="49" t="s">
        <v>336</v>
      </c>
      <c r="C52" s="49">
        <v>2020</v>
      </c>
      <c r="D52" s="88" t="s">
        <v>371</v>
      </c>
      <c r="E52" s="49" t="s">
        <v>388</v>
      </c>
      <c r="F52" s="49" t="s">
        <v>381</v>
      </c>
      <c r="G52" s="49" t="s">
        <v>37</v>
      </c>
      <c r="H52" s="49" t="s">
        <v>63</v>
      </c>
      <c r="I52" s="49" t="s">
        <v>64</v>
      </c>
      <c r="J52" s="1" t="s">
        <v>40</v>
      </c>
      <c r="K52" s="1" t="s">
        <v>41</v>
      </c>
      <c r="L52" s="49">
        <v>3</v>
      </c>
      <c r="N52" s="1">
        <v>10</v>
      </c>
      <c r="O52" s="1">
        <v>1.4</v>
      </c>
      <c r="P52" s="1">
        <v>1.4</v>
      </c>
      <c r="Q52" s="7">
        <f t="shared" si="0"/>
        <v>1.4</v>
      </c>
      <c r="R52" s="1">
        <v>14.8</v>
      </c>
      <c r="S52" s="1">
        <v>74</v>
      </c>
      <c r="T52" s="2">
        <f t="shared" si="1"/>
        <v>42</v>
      </c>
      <c r="U52" s="1">
        <v>498</v>
      </c>
      <c r="V52" s="2">
        <f t="shared" si="2"/>
        <v>2091.6</v>
      </c>
      <c r="W52" s="1">
        <v>16</v>
      </c>
      <c r="X52" s="119" t="s">
        <v>51</v>
      </c>
      <c r="Y52" s="127" t="s">
        <v>67</v>
      </c>
      <c r="Z52" s="1" t="s">
        <v>43</v>
      </c>
      <c r="AA52" s="1" t="s">
        <v>122</v>
      </c>
      <c r="AB52" s="1" t="s">
        <v>340</v>
      </c>
    </row>
    <row r="53" spans="1:28" x14ac:dyDescent="0.15">
      <c r="A53" s="49" t="s">
        <v>53</v>
      </c>
      <c r="B53" s="49" t="s">
        <v>336</v>
      </c>
      <c r="C53" s="49">
        <v>2020</v>
      </c>
      <c r="D53" s="88" t="s">
        <v>371</v>
      </c>
      <c r="E53" s="49" t="s">
        <v>388</v>
      </c>
      <c r="F53" s="49" t="s">
        <v>381</v>
      </c>
      <c r="G53" s="49" t="s">
        <v>37</v>
      </c>
      <c r="H53" s="49" t="s">
        <v>82</v>
      </c>
      <c r="I53" s="49" t="s">
        <v>64</v>
      </c>
      <c r="J53" s="1" t="s">
        <v>40</v>
      </c>
      <c r="K53" s="1" t="s">
        <v>41</v>
      </c>
      <c r="L53" s="49">
        <v>1</v>
      </c>
      <c r="N53" s="1">
        <v>1</v>
      </c>
      <c r="O53" s="1">
        <v>0.8</v>
      </c>
      <c r="P53" s="1">
        <v>0.85</v>
      </c>
      <c r="Q53" s="7">
        <f t="shared" si="0"/>
        <v>0.82499999999999996</v>
      </c>
      <c r="R53" s="1">
        <v>18.2</v>
      </c>
      <c r="S53" s="1">
        <v>152</v>
      </c>
      <c r="T53" s="2">
        <f t="shared" si="1"/>
        <v>30</v>
      </c>
      <c r="U53" s="1">
        <v>108</v>
      </c>
      <c r="V53" s="2">
        <f t="shared" si="2"/>
        <v>3240</v>
      </c>
      <c r="W53" s="1">
        <v>16</v>
      </c>
      <c r="X53" s="119" t="s">
        <v>51</v>
      </c>
      <c r="Y53" s="127" t="s">
        <v>67</v>
      </c>
      <c r="Z53" s="1" t="s">
        <v>43</v>
      </c>
      <c r="AA53" s="1" t="s">
        <v>122</v>
      </c>
      <c r="AB53" s="1" t="s">
        <v>340</v>
      </c>
    </row>
    <row r="54" spans="1:28" x14ac:dyDescent="0.15">
      <c r="A54" s="49" t="s">
        <v>53</v>
      </c>
      <c r="B54" s="49" t="s">
        <v>336</v>
      </c>
      <c r="C54" s="49">
        <v>2020</v>
      </c>
      <c r="D54" s="88" t="s">
        <v>371</v>
      </c>
      <c r="E54" s="49" t="s">
        <v>388</v>
      </c>
      <c r="F54" s="49" t="s">
        <v>381</v>
      </c>
      <c r="G54" s="49" t="s">
        <v>37</v>
      </c>
      <c r="H54" s="49" t="s">
        <v>82</v>
      </c>
      <c r="I54" s="49" t="s">
        <v>64</v>
      </c>
      <c r="J54" s="1" t="s">
        <v>40</v>
      </c>
      <c r="K54" s="1" t="s">
        <v>41</v>
      </c>
      <c r="L54" s="49">
        <v>2</v>
      </c>
      <c r="N54" s="1">
        <v>1</v>
      </c>
      <c r="O54" s="1">
        <v>0.8</v>
      </c>
      <c r="P54" s="1">
        <v>0.85</v>
      </c>
      <c r="Q54" s="7">
        <f t="shared" si="0"/>
        <v>0.82499999999999996</v>
      </c>
      <c r="R54" s="1">
        <v>18.2</v>
      </c>
      <c r="S54" s="1">
        <v>144</v>
      </c>
      <c r="T54" s="2">
        <f t="shared" si="1"/>
        <v>30</v>
      </c>
      <c r="U54" s="1">
        <v>108</v>
      </c>
      <c r="V54" s="2">
        <f t="shared" si="2"/>
        <v>3240</v>
      </c>
      <c r="W54" s="1">
        <v>16</v>
      </c>
      <c r="X54" s="119" t="s">
        <v>51</v>
      </c>
      <c r="Y54" s="127" t="s">
        <v>67</v>
      </c>
      <c r="Z54" s="1" t="s">
        <v>43</v>
      </c>
      <c r="AA54" s="1" t="s">
        <v>122</v>
      </c>
      <c r="AB54" s="1" t="s">
        <v>340</v>
      </c>
    </row>
    <row r="55" spans="1:28" x14ac:dyDescent="0.15">
      <c r="A55" s="49" t="s">
        <v>53</v>
      </c>
      <c r="B55" s="49" t="s">
        <v>336</v>
      </c>
      <c r="C55" s="49">
        <v>2020</v>
      </c>
      <c r="D55" s="88" t="s">
        <v>371</v>
      </c>
      <c r="E55" s="49" t="s">
        <v>388</v>
      </c>
      <c r="F55" s="49" t="s">
        <v>381</v>
      </c>
      <c r="G55" s="49" t="s">
        <v>37</v>
      </c>
      <c r="H55" s="49" t="s">
        <v>82</v>
      </c>
      <c r="I55" s="49" t="s">
        <v>64</v>
      </c>
      <c r="J55" s="1" t="s">
        <v>40</v>
      </c>
      <c r="K55" s="1" t="s">
        <v>41</v>
      </c>
      <c r="L55" s="49">
        <v>3</v>
      </c>
      <c r="N55" s="1">
        <v>1</v>
      </c>
      <c r="O55" s="1">
        <v>0.65</v>
      </c>
      <c r="P55" s="1">
        <v>0.65</v>
      </c>
      <c r="Q55" s="7">
        <f t="shared" si="0"/>
        <v>0.65</v>
      </c>
      <c r="R55" s="1">
        <v>15.9</v>
      </c>
      <c r="S55" s="1">
        <v>147</v>
      </c>
      <c r="T55" s="2">
        <f t="shared" si="1"/>
        <v>30</v>
      </c>
      <c r="U55" s="1">
        <v>108</v>
      </c>
      <c r="V55" s="2">
        <f t="shared" si="2"/>
        <v>3240</v>
      </c>
      <c r="W55" s="1">
        <v>16</v>
      </c>
      <c r="X55" s="119" t="s">
        <v>51</v>
      </c>
      <c r="Y55" s="127" t="s">
        <v>67</v>
      </c>
      <c r="Z55" s="1" t="s">
        <v>43</v>
      </c>
      <c r="AA55" s="1" t="s">
        <v>122</v>
      </c>
      <c r="AB55" s="1" t="s">
        <v>340</v>
      </c>
    </row>
    <row r="56" spans="1:28" x14ac:dyDescent="0.15">
      <c r="A56" s="49" t="s">
        <v>53</v>
      </c>
      <c r="B56" s="49" t="s">
        <v>336</v>
      </c>
      <c r="C56" s="49">
        <v>2020</v>
      </c>
      <c r="D56" s="88" t="s">
        <v>371</v>
      </c>
      <c r="E56" s="49" t="s">
        <v>388</v>
      </c>
      <c r="F56" s="49" t="s">
        <v>381</v>
      </c>
      <c r="G56" s="49" t="s">
        <v>37</v>
      </c>
      <c r="H56" s="49" t="s">
        <v>82</v>
      </c>
      <c r="I56" s="49" t="s">
        <v>64</v>
      </c>
      <c r="J56" s="1" t="s">
        <v>40</v>
      </c>
      <c r="K56" s="1" t="s">
        <v>41</v>
      </c>
      <c r="L56" s="49">
        <v>1</v>
      </c>
      <c r="N56" s="1">
        <v>8</v>
      </c>
      <c r="O56" s="1">
        <v>0.55000000000000004</v>
      </c>
      <c r="P56" s="1">
        <v>0.75</v>
      </c>
      <c r="Q56" s="7">
        <f t="shared" si="0"/>
        <v>0.65</v>
      </c>
      <c r="R56" s="1">
        <v>19.600000000000001</v>
      </c>
      <c r="S56" s="1">
        <v>96</v>
      </c>
      <c r="T56" s="2">
        <f t="shared" si="1"/>
        <v>36</v>
      </c>
      <c r="U56" s="1">
        <v>680</v>
      </c>
      <c r="V56" s="2">
        <f t="shared" si="2"/>
        <v>3060</v>
      </c>
      <c r="W56" s="1">
        <v>16</v>
      </c>
      <c r="X56" s="119" t="s">
        <v>51</v>
      </c>
      <c r="Y56" s="127" t="s">
        <v>67</v>
      </c>
      <c r="Z56" s="1" t="s">
        <v>43</v>
      </c>
      <c r="AA56" s="1" t="s">
        <v>122</v>
      </c>
      <c r="AB56" s="1" t="s">
        <v>340</v>
      </c>
    </row>
    <row r="57" spans="1:28" x14ac:dyDescent="0.15">
      <c r="A57" s="49" t="s">
        <v>53</v>
      </c>
      <c r="B57" s="49" t="s">
        <v>336</v>
      </c>
      <c r="C57" s="49">
        <v>2020</v>
      </c>
      <c r="D57" s="88" t="s">
        <v>371</v>
      </c>
      <c r="E57" s="49" t="s">
        <v>388</v>
      </c>
      <c r="F57" s="49" t="s">
        <v>381</v>
      </c>
      <c r="G57" s="49" t="s">
        <v>37</v>
      </c>
      <c r="H57" s="49" t="s">
        <v>82</v>
      </c>
      <c r="I57" s="49" t="s">
        <v>64</v>
      </c>
      <c r="J57" s="1" t="s">
        <v>40</v>
      </c>
      <c r="K57" s="1" t="s">
        <v>41</v>
      </c>
      <c r="L57" s="49">
        <v>2</v>
      </c>
      <c r="N57" s="1">
        <v>8</v>
      </c>
      <c r="O57" s="1">
        <v>0.7</v>
      </c>
      <c r="P57" s="1">
        <v>0.6</v>
      </c>
      <c r="Q57" s="7">
        <f t="shared" si="0"/>
        <v>0.64999999999999991</v>
      </c>
      <c r="R57" s="1">
        <v>18.3</v>
      </c>
      <c r="S57" s="1">
        <v>94</v>
      </c>
      <c r="T57" s="2">
        <f t="shared" si="1"/>
        <v>36</v>
      </c>
      <c r="U57" s="1">
        <v>680</v>
      </c>
      <c r="V57" s="2">
        <f t="shared" si="2"/>
        <v>3060</v>
      </c>
      <c r="W57" s="1">
        <v>16</v>
      </c>
      <c r="X57" s="119" t="s">
        <v>51</v>
      </c>
      <c r="Y57" s="127" t="s">
        <v>67</v>
      </c>
      <c r="Z57" s="1" t="s">
        <v>43</v>
      </c>
      <c r="AA57" s="1" t="s">
        <v>122</v>
      </c>
      <c r="AB57" s="1" t="s">
        <v>340</v>
      </c>
    </row>
    <row r="58" spans="1:28" x14ac:dyDescent="0.15">
      <c r="A58" s="49" t="s">
        <v>53</v>
      </c>
      <c r="B58" s="49" t="s">
        <v>336</v>
      </c>
      <c r="C58" s="49">
        <v>2020</v>
      </c>
      <c r="D58" s="88" t="s">
        <v>371</v>
      </c>
      <c r="E58" s="49" t="s">
        <v>388</v>
      </c>
      <c r="F58" s="49" t="s">
        <v>381</v>
      </c>
      <c r="G58" s="49" t="s">
        <v>37</v>
      </c>
      <c r="H58" s="49" t="s">
        <v>82</v>
      </c>
      <c r="I58" s="49" t="s">
        <v>64</v>
      </c>
      <c r="J58" s="1" t="s">
        <v>40</v>
      </c>
      <c r="K58" s="1" t="s">
        <v>41</v>
      </c>
      <c r="L58" s="49">
        <v>3</v>
      </c>
      <c r="N58" s="1">
        <v>8</v>
      </c>
      <c r="O58" s="1">
        <v>0.9</v>
      </c>
      <c r="P58" s="1">
        <v>0.9</v>
      </c>
      <c r="Q58" s="7">
        <f t="shared" si="0"/>
        <v>0.9</v>
      </c>
      <c r="R58" s="1">
        <v>17.7</v>
      </c>
      <c r="S58" s="1">
        <v>94</v>
      </c>
      <c r="T58" s="2">
        <f t="shared" si="1"/>
        <v>36</v>
      </c>
      <c r="U58" s="1">
        <v>680</v>
      </c>
      <c r="V58" s="2">
        <f t="shared" si="2"/>
        <v>3060</v>
      </c>
      <c r="W58" s="1">
        <v>16</v>
      </c>
      <c r="X58" s="119" t="s">
        <v>51</v>
      </c>
      <c r="Y58" s="127" t="s">
        <v>67</v>
      </c>
      <c r="Z58" s="1" t="s">
        <v>43</v>
      </c>
      <c r="AA58" s="1" t="s">
        <v>122</v>
      </c>
      <c r="AB58" s="1" t="s">
        <v>340</v>
      </c>
    </row>
    <row r="59" spans="1:28" x14ac:dyDescent="0.15">
      <c r="A59" s="49" t="s">
        <v>53</v>
      </c>
      <c r="B59" s="49" t="s">
        <v>336</v>
      </c>
      <c r="C59" s="49">
        <v>2020</v>
      </c>
      <c r="D59" s="88" t="s">
        <v>371</v>
      </c>
      <c r="E59" s="49" t="s">
        <v>385</v>
      </c>
      <c r="F59" s="49" t="s">
        <v>386</v>
      </c>
      <c r="G59" s="49" t="s">
        <v>46</v>
      </c>
      <c r="H59" s="49" t="s">
        <v>82</v>
      </c>
      <c r="I59" s="49" t="s">
        <v>64</v>
      </c>
      <c r="J59" s="1" t="s">
        <v>40</v>
      </c>
      <c r="K59" s="1" t="s">
        <v>41</v>
      </c>
      <c r="L59" s="49">
        <v>1</v>
      </c>
      <c r="N59" s="1">
        <v>4</v>
      </c>
      <c r="O59" s="1">
        <v>0.5</v>
      </c>
      <c r="P59" s="1">
        <v>0.5</v>
      </c>
      <c r="Q59" s="7">
        <f t="shared" si="0"/>
        <v>0.5</v>
      </c>
      <c r="R59" s="1">
        <v>17.7</v>
      </c>
      <c r="S59" s="1">
        <v>98</v>
      </c>
      <c r="T59" s="2">
        <f t="shared" si="1"/>
        <v>36</v>
      </c>
      <c r="U59" s="1">
        <v>570</v>
      </c>
      <c r="V59" s="2">
        <f t="shared" si="2"/>
        <v>5130</v>
      </c>
      <c r="W59" s="1">
        <v>1</v>
      </c>
      <c r="X59" s="126" t="s">
        <v>42</v>
      </c>
      <c r="Y59" s="127" t="s">
        <v>101</v>
      </c>
      <c r="Z59" s="1" t="s">
        <v>122</v>
      </c>
      <c r="AA59" s="1" t="s">
        <v>43</v>
      </c>
      <c r="AB59" s="1" t="s">
        <v>340</v>
      </c>
    </row>
    <row r="60" spans="1:28" x14ac:dyDescent="0.15">
      <c r="A60" s="49" t="s">
        <v>53</v>
      </c>
      <c r="B60" s="49" t="s">
        <v>336</v>
      </c>
      <c r="C60" s="49">
        <v>2020</v>
      </c>
      <c r="D60" s="88" t="s">
        <v>371</v>
      </c>
      <c r="E60" s="49" t="s">
        <v>385</v>
      </c>
      <c r="F60" s="49" t="s">
        <v>386</v>
      </c>
      <c r="G60" s="49" t="s">
        <v>46</v>
      </c>
      <c r="H60" s="49" t="s">
        <v>82</v>
      </c>
      <c r="I60" s="49" t="s">
        <v>64</v>
      </c>
      <c r="J60" s="1" t="s">
        <v>40</v>
      </c>
      <c r="K60" s="1" t="s">
        <v>41</v>
      </c>
      <c r="L60" s="49">
        <v>2</v>
      </c>
      <c r="N60" s="1">
        <v>4</v>
      </c>
      <c r="O60" s="1">
        <v>1.6</v>
      </c>
      <c r="P60" s="1">
        <v>1.6</v>
      </c>
      <c r="Q60" s="7">
        <f t="shared" si="0"/>
        <v>1.6</v>
      </c>
      <c r="R60" s="1">
        <v>17.8</v>
      </c>
      <c r="S60" s="1">
        <v>108</v>
      </c>
      <c r="T60" s="2">
        <f t="shared" si="1"/>
        <v>33</v>
      </c>
      <c r="U60" s="1">
        <v>570</v>
      </c>
      <c r="V60" s="2">
        <f t="shared" si="2"/>
        <v>4702.5</v>
      </c>
      <c r="W60" s="1">
        <v>1</v>
      </c>
      <c r="X60" s="126" t="s">
        <v>42</v>
      </c>
      <c r="Y60" s="127" t="s">
        <v>101</v>
      </c>
      <c r="Z60" s="1" t="s">
        <v>122</v>
      </c>
      <c r="AA60" s="1" t="s">
        <v>43</v>
      </c>
      <c r="AB60" s="1" t="s">
        <v>340</v>
      </c>
    </row>
    <row r="61" spans="1:28" x14ac:dyDescent="0.15">
      <c r="A61" s="49" t="s">
        <v>53</v>
      </c>
      <c r="B61" s="49" t="s">
        <v>336</v>
      </c>
      <c r="C61" s="49">
        <v>2020</v>
      </c>
      <c r="D61" s="88" t="s">
        <v>371</v>
      </c>
      <c r="E61" s="49" t="s">
        <v>385</v>
      </c>
      <c r="F61" s="49" t="s">
        <v>386</v>
      </c>
      <c r="G61" s="49" t="s">
        <v>46</v>
      </c>
      <c r="H61" s="49" t="s">
        <v>82</v>
      </c>
      <c r="I61" s="49" t="s">
        <v>64</v>
      </c>
      <c r="J61" s="1" t="s">
        <v>40</v>
      </c>
      <c r="K61" s="1" t="s">
        <v>41</v>
      </c>
      <c r="L61" s="49">
        <v>3</v>
      </c>
      <c r="N61" s="1">
        <v>4</v>
      </c>
      <c r="O61" s="1">
        <v>0.55000000000000004</v>
      </c>
      <c r="P61" s="1">
        <v>0.75</v>
      </c>
      <c r="Q61" s="7">
        <f t="shared" si="0"/>
        <v>0.65</v>
      </c>
      <c r="R61" s="1">
        <v>17.100000000000001</v>
      </c>
      <c r="S61" s="1">
        <v>102</v>
      </c>
      <c r="T61" s="2">
        <f t="shared" si="1"/>
        <v>33</v>
      </c>
      <c r="U61" s="1">
        <v>570</v>
      </c>
      <c r="V61" s="2">
        <f t="shared" si="2"/>
        <v>4702.5</v>
      </c>
      <c r="W61" s="1">
        <v>1</v>
      </c>
      <c r="X61" s="126" t="s">
        <v>42</v>
      </c>
      <c r="Y61" s="127" t="s">
        <v>101</v>
      </c>
      <c r="Z61" s="1" t="s">
        <v>122</v>
      </c>
      <c r="AA61" s="1" t="s">
        <v>43</v>
      </c>
      <c r="AB61" s="1" t="s">
        <v>340</v>
      </c>
    </row>
    <row r="62" spans="1:28" x14ac:dyDescent="0.15">
      <c r="A62" s="49" t="s">
        <v>53</v>
      </c>
      <c r="B62" s="49" t="s">
        <v>336</v>
      </c>
      <c r="C62" s="49">
        <v>2020</v>
      </c>
      <c r="D62" s="88" t="s">
        <v>371</v>
      </c>
      <c r="E62" s="49" t="s">
        <v>388</v>
      </c>
      <c r="F62" s="49" t="s">
        <v>387</v>
      </c>
      <c r="G62" s="49" t="s">
        <v>37</v>
      </c>
      <c r="H62" s="49" t="s">
        <v>63</v>
      </c>
      <c r="I62" s="49" t="s">
        <v>64</v>
      </c>
      <c r="J62" s="1" t="s">
        <v>40</v>
      </c>
      <c r="K62" s="1" t="s">
        <v>41</v>
      </c>
      <c r="L62" s="49">
        <v>1</v>
      </c>
      <c r="N62" s="1">
        <v>1</v>
      </c>
      <c r="O62" s="1">
        <v>0.9</v>
      </c>
      <c r="P62" s="1">
        <v>0.9</v>
      </c>
      <c r="Q62" s="7">
        <f t="shared" si="0"/>
        <v>0.9</v>
      </c>
      <c r="R62" s="1">
        <v>15.7</v>
      </c>
      <c r="S62" s="1">
        <v>135</v>
      </c>
      <c r="T62" s="2">
        <f t="shared" si="1"/>
        <v>30</v>
      </c>
      <c r="U62" s="1">
        <v>138</v>
      </c>
      <c r="V62" s="2">
        <f t="shared" si="2"/>
        <v>4140</v>
      </c>
      <c r="W62" s="1">
        <v>14</v>
      </c>
      <c r="X62" s="119" t="s">
        <v>51</v>
      </c>
      <c r="Y62" s="1" t="s">
        <v>43</v>
      </c>
      <c r="Z62" s="1" t="s">
        <v>122</v>
      </c>
      <c r="AA62" s="1" t="s">
        <v>67</v>
      </c>
      <c r="AB62" s="1" t="s">
        <v>340</v>
      </c>
    </row>
    <row r="63" spans="1:28" x14ac:dyDescent="0.15">
      <c r="A63" s="49" t="s">
        <v>53</v>
      </c>
      <c r="B63" s="49" t="s">
        <v>336</v>
      </c>
      <c r="C63" s="49">
        <v>2020</v>
      </c>
      <c r="D63" s="88" t="s">
        <v>371</v>
      </c>
      <c r="E63" s="49" t="s">
        <v>388</v>
      </c>
      <c r="F63" s="49" t="s">
        <v>387</v>
      </c>
      <c r="G63" s="49" t="s">
        <v>37</v>
      </c>
      <c r="H63" s="49" t="s">
        <v>63</v>
      </c>
      <c r="I63" s="49" t="s">
        <v>64</v>
      </c>
      <c r="J63" s="1" t="s">
        <v>40</v>
      </c>
      <c r="K63" s="1" t="s">
        <v>41</v>
      </c>
      <c r="L63" s="49">
        <v>2</v>
      </c>
      <c r="N63" s="1">
        <v>1</v>
      </c>
      <c r="O63" s="1">
        <v>1.2</v>
      </c>
      <c r="P63" s="1">
        <v>1.25</v>
      </c>
      <c r="Q63" s="7">
        <f t="shared" si="0"/>
        <v>1.2250000000000001</v>
      </c>
      <c r="R63" s="1">
        <v>15.5</v>
      </c>
      <c r="S63" s="1">
        <v>125</v>
      </c>
      <c r="T63" s="2">
        <f t="shared" si="1"/>
        <v>30</v>
      </c>
      <c r="U63" s="1">
        <v>138</v>
      </c>
      <c r="V63" s="2">
        <f t="shared" si="2"/>
        <v>4140</v>
      </c>
      <c r="W63" s="1">
        <v>14</v>
      </c>
      <c r="X63" s="119" t="s">
        <v>51</v>
      </c>
      <c r="Y63" s="1" t="s">
        <v>43</v>
      </c>
      <c r="Z63" s="1" t="s">
        <v>122</v>
      </c>
      <c r="AA63" s="1" t="s">
        <v>67</v>
      </c>
      <c r="AB63" s="1" t="s">
        <v>340</v>
      </c>
    </row>
    <row r="64" spans="1:28" x14ac:dyDescent="0.15">
      <c r="A64" s="49" t="s">
        <v>53</v>
      </c>
      <c r="B64" s="49" t="s">
        <v>336</v>
      </c>
      <c r="C64" s="49">
        <v>2020</v>
      </c>
      <c r="D64" s="88" t="s">
        <v>371</v>
      </c>
      <c r="E64" s="49" t="s">
        <v>388</v>
      </c>
      <c r="F64" s="49" t="s">
        <v>387</v>
      </c>
      <c r="G64" s="49" t="s">
        <v>37</v>
      </c>
      <c r="H64" s="49" t="s">
        <v>63</v>
      </c>
      <c r="I64" s="49" t="s">
        <v>64</v>
      </c>
      <c r="J64" s="1" t="s">
        <v>40</v>
      </c>
      <c r="K64" s="1" t="s">
        <v>41</v>
      </c>
      <c r="L64" s="49">
        <v>3</v>
      </c>
      <c r="N64" s="1">
        <v>1</v>
      </c>
      <c r="O64" s="1">
        <v>0.9</v>
      </c>
      <c r="P64" s="1">
        <v>0.85</v>
      </c>
      <c r="Q64" s="7">
        <f t="shared" si="0"/>
        <v>0.875</v>
      </c>
      <c r="R64" s="1">
        <v>14.8</v>
      </c>
      <c r="S64" s="1">
        <v>132</v>
      </c>
      <c r="T64" s="2">
        <f t="shared" si="1"/>
        <v>30</v>
      </c>
      <c r="U64" s="1">
        <v>138</v>
      </c>
      <c r="V64" s="2">
        <f t="shared" si="2"/>
        <v>4140</v>
      </c>
      <c r="W64" s="1">
        <v>14</v>
      </c>
      <c r="X64" s="119" t="s">
        <v>51</v>
      </c>
      <c r="Y64" s="1" t="s">
        <v>43</v>
      </c>
      <c r="Z64" s="1" t="s">
        <v>122</v>
      </c>
      <c r="AA64" s="1" t="s">
        <v>67</v>
      </c>
      <c r="AB64" s="1" t="s">
        <v>340</v>
      </c>
    </row>
    <row r="65" spans="1:28" x14ac:dyDescent="0.15">
      <c r="A65" s="49" t="s">
        <v>53</v>
      </c>
      <c r="B65" s="49" t="s">
        <v>336</v>
      </c>
      <c r="C65" s="49">
        <v>2020</v>
      </c>
      <c r="D65" s="88" t="s">
        <v>371</v>
      </c>
      <c r="E65" s="49" t="s">
        <v>388</v>
      </c>
      <c r="F65" s="49" t="s">
        <v>387</v>
      </c>
      <c r="G65" s="49" t="s">
        <v>37</v>
      </c>
      <c r="H65" s="49" t="s">
        <v>82</v>
      </c>
      <c r="I65" s="49" t="s">
        <v>64</v>
      </c>
      <c r="J65" s="1" t="s">
        <v>40</v>
      </c>
      <c r="K65" s="1" t="s">
        <v>41</v>
      </c>
      <c r="L65" s="49">
        <v>1</v>
      </c>
      <c r="N65" s="1">
        <v>1</v>
      </c>
      <c r="O65" s="1">
        <v>0.7</v>
      </c>
      <c r="P65" s="1">
        <v>0.7</v>
      </c>
      <c r="Q65" s="7">
        <f t="shared" si="0"/>
        <v>0.7</v>
      </c>
      <c r="R65" s="1">
        <v>15.7</v>
      </c>
      <c r="S65" s="1">
        <v>153</v>
      </c>
      <c r="T65" s="2">
        <f t="shared" si="1"/>
        <v>30</v>
      </c>
      <c r="U65" s="1">
        <v>138</v>
      </c>
      <c r="V65" s="2">
        <f t="shared" si="2"/>
        <v>4140</v>
      </c>
      <c r="W65" s="1">
        <v>14</v>
      </c>
      <c r="X65" s="119" t="s">
        <v>51</v>
      </c>
      <c r="Y65" s="1" t="s">
        <v>43</v>
      </c>
      <c r="Z65" s="1" t="s">
        <v>122</v>
      </c>
      <c r="AA65" s="1" t="s">
        <v>67</v>
      </c>
      <c r="AB65" s="1" t="s">
        <v>340</v>
      </c>
    </row>
    <row r="66" spans="1:28" x14ac:dyDescent="0.15">
      <c r="A66" s="49" t="s">
        <v>53</v>
      </c>
      <c r="B66" s="49" t="s">
        <v>336</v>
      </c>
      <c r="C66" s="49">
        <v>2020</v>
      </c>
      <c r="D66" s="88" t="s">
        <v>371</v>
      </c>
      <c r="E66" s="49" t="s">
        <v>388</v>
      </c>
      <c r="F66" s="49" t="s">
        <v>387</v>
      </c>
      <c r="G66" s="49" t="s">
        <v>37</v>
      </c>
      <c r="H66" s="49" t="s">
        <v>82</v>
      </c>
      <c r="I66" s="49" t="s">
        <v>64</v>
      </c>
      <c r="J66" s="1" t="s">
        <v>40</v>
      </c>
      <c r="K66" s="1" t="s">
        <v>41</v>
      </c>
      <c r="L66" s="49">
        <v>2</v>
      </c>
      <c r="N66" s="1">
        <v>1</v>
      </c>
      <c r="O66" s="1">
        <v>0.6</v>
      </c>
      <c r="P66" s="1">
        <v>0.55000000000000004</v>
      </c>
      <c r="Q66" s="7">
        <f t="shared" ref="Q66:Q129" si="3">IF(OR(O66="",P66=""),"",AVERAGE(O66,P66))</f>
        <v>0.57499999999999996</v>
      </c>
      <c r="R66" s="1">
        <v>19.600000000000001</v>
      </c>
      <c r="S66" s="1">
        <v>151</v>
      </c>
      <c r="T66" s="2">
        <f t="shared" ref="T66:T129" si="4">IF(H66="","",IF(OR(H66="GREEN",H66="GK"),IF(S66&gt;=$AX$2,VLOOKUP(S66,$AX$2:$AY$7,2,1),""),IF(S66&gt;=$AZ$2,VLOOKUP(S66,$AZ$2:$BA$7,2,1),"")))</f>
        <v>30</v>
      </c>
      <c r="U66" s="1">
        <v>138</v>
      </c>
      <c r="V66" s="2">
        <f t="shared" ref="V66:V129" si="5">IF(OR(N66="",U66="",T66=""),"",U66/N66*T66)</f>
        <v>4140</v>
      </c>
      <c r="W66" s="1">
        <v>14</v>
      </c>
      <c r="X66" s="119" t="s">
        <v>51</v>
      </c>
      <c r="Y66" s="1" t="s">
        <v>43</v>
      </c>
      <c r="Z66" s="1" t="s">
        <v>122</v>
      </c>
      <c r="AA66" s="1" t="s">
        <v>67</v>
      </c>
      <c r="AB66" s="1" t="s">
        <v>340</v>
      </c>
    </row>
    <row r="67" spans="1:28" x14ac:dyDescent="0.15">
      <c r="A67" s="49" t="s">
        <v>53</v>
      </c>
      <c r="B67" s="49" t="s">
        <v>336</v>
      </c>
      <c r="C67" s="49">
        <v>2020</v>
      </c>
      <c r="D67" s="88" t="s">
        <v>371</v>
      </c>
      <c r="E67" s="49" t="s">
        <v>388</v>
      </c>
      <c r="F67" s="49" t="s">
        <v>387</v>
      </c>
      <c r="G67" s="49" t="s">
        <v>37</v>
      </c>
      <c r="H67" s="49" t="s">
        <v>82</v>
      </c>
      <c r="I67" s="49" t="s">
        <v>64</v>
      </c>
      <c r="J67" s="1" t="s">
        <v>40</v>
      </c>
      <c r="K67" s="1" t="s">
        <v>41</v>
      </c>
      <c r="L67" s="49">
        <v>3</v>
      </c>
      <c r="N67" s="1">
        <v>1</v>
      </c>
      <c r="O67" s="1">
        <v>0.6</v>
      </c>
      <c r="P67" s="1">
        <v>0.9</v>
      </c>
      <c r="Q67" s="7">
        <f t="shared" si="3"/>
        <v>0.75</v>
      </c>
      <c r="R67" s="1">
        <v>18.399999999999999</v>
      </c>
      <c r="S67" s="1">
        <v>152</v>
      </c>
      <c r="T67" s="2">
        <f t="shared" si="4"/>
        <v>30</v>
      </c>
      <c r="U67" s="1">
        <v>138</v>
      </c>
      <c r="V67" s="2">
        <f t="shared" si="5"/>
        <v>4140</v>
      </c>
      <c r="W67" s="1">
        <v>14</v>
      </c>
      <c r="X67" s="119" t="s">
        <v>51</v>
      </c>
      <c r="Y67" s="1" t="s">
        <v>43</v>
      </c>
      <c r="Z67" s="1" t="s">
        <v>122</v>
      </c>
      <c r="AA67" s="1" t="s">
        <v>67</v>
      </c>
      <c r="AB67" s="1" t="s">
        <v>340</v>
      </c>
    </row>
    <row r="68" spans="1:28" x14ac:dyDescent="0.15">
      <c r="A68" s="49" t="s">
        <v>53</v>
      </c>
      <c r="B68" s="49" t="s">
        <v>336</v>
      </c>
      <c r="C68" s="49">
        <v>2020</v>
      </c>
      <c r="D68" s="88" t="s">
        <v>371</v>
      </c>
      <c r="E68" s="49" t="s">
        <v>388</v>
      </c>
      <c r="F68" s="49" t="s">
        <v>387</v>
      </c>
      <c r="G68" s="49" t="s">
        <v>37</v>
      </c>
      <c r="H68" s="49" t="s">
        <v>82</v>
      </c>
      <c r="I68" s="49" t="s">
        <v>64</v>
      </c>
      <c r="J68" s="1" t="s">
        <v>40</v>
      </c>
      <c r="K68" s="1" t="s">
        <v>41</v>
      </c>
      <c r="L68" s="49">
        <v>1</v>
      </c>
      <c r="N68" s="1">
        <v>4</v>
      </c>
      <c r="O68" s="1">
        <v>0.8</v>
      </c>
      <c r="P68" s="1">
        <v>0.95</v>
      </c>
      <c r="Q68" s="7">
        <f t="shared" si="3"/>
        <v>0.875</v>
      </c>
      <c r="R68" s="1">
        <v>18</v>
      </c>
      <c r="S68" s="1">
        <v>170</v>
      </c>
      <c r="T68" s="2">
        <f t="shared" si="4"/>
        <v>30</v>
      </c>
      <c r="U68" s="1">
        <v>400</v>
      </c>
      <c r="V68" s="2">
        <f t="shared" si="5"/>
        <v>3000</v>
      </c>
      <c r="W68" s="1">
        <v>14</v>
      </c>
      <c r="X68" s="119" t="s">
        <v>51</v>
      </c>
      <c r="Y68" s="1" t="s">
        <v>43</v>
      </c>
      <c r="Z68" s="1" t="s">
        <v>122</v>
      </c>
      <c r="AA68" s="1" t="s">
        <v>67</v>
      </c>
      <c r="AB68" s="1" t="s">
        <v>340</v>
      </c>
    </row>
    <row r="69" spans="1:28" x14ac:dyDescent="0.15">
      <c r="A69" s="49" t="s">
        <v>53</v>
      </c>
      <c r="B69" s="49" t="s">
        <v>336</v>
      </c>
      <c r="C69" s="49">
        <v>2020</v>
      </c>
      <c r="D69" s="88" t="s">
        <v>371</v>
      </c>
      <c r="E69" s="49" t="s">
        <v>388</v>
      </c>
      <c r="F69" s="49" t="s">
        <v>387</v>
      </c>
      <c r="G69" s="49" t="s">
        <v>37</v>
      </c>
      <c r="H69" s="49" t="s">
        <v>82</v>
      </c>
      <c r="I69" s="49" t="s">
        <v>64</v>
      </c>
      <c r="J69" s="1" t="s">
        <v>40</v>
      </c>
      <c r="K69" s="1" t="s">
        <v>41</v>
      </c>
      <c r="L69" s="49">
        <v>2</v>
      </c>
      <c r="N69" s="1">
        <v>4</v>
      </c>
      <c r="O69" s="1">
        <v>0.75</v>
      </c>
      <c r="P69" s="1">
        <v>0.6</v>
      </c>
      <c r="Q69" s="7">
        <f t="shared" si="3"/>
        <v>0.67500000000000004</v>
      </c>
      <c r="R69" s="1">
        <v>16.600000000000001</v>
      </c>
      <c r="S69" s="1">
        <v>180</v>
      </c>
      <c r="T69" s="2">
        <f t="shared" si="4"/>
        <v>30</v>
      </c>
      <c r="U69" s="1">
        <v>400</v>
      </c>
      <c r="V69" s="2">
        <f t="shared" si="5"/>
        <v>3000</v>
      </c>
      <c r="W69" s="1">
        <v>14</v>
      </c>
      <c r="X69" s="119" t="s">
        <v>51</v>
      </c>
      <c r="Y69" s="1" t="s">
        <v>43</v>
      </c>
      <c r="Z69" s="1" t="s">
        <v>122</v>
      </c>
      <c r="AA69" s="1" t="s">
        <v>67</v>
      </c>
      <c r="AB69" s="1" t="s">
        <v>340</v>
      </c>
    </row>
    <row r="70" spans="1:28" x14ac:dyDescent="0.15">
      <c r="A70" s="49" t="s">
        <v>53</v>
      </c>
      <c r="B70" s="49" t="s">
        <v>336</v>
      </c>
      <c r="C70" s="49">
        <v>2020</v>
      </c>
      <c r="D70" s="88" t="s">
        <v>371</v>
      </c>
      <c r="E70" s="49" t="s">
        <v>388</v>
      </c>
      <c r="F70" s="49" t="s">
        <v>387</v>
      </c>
      <c r="G70" s="49" t="s">
        <v>37</v>
      </c>
      <c r="H70" s="49" t="s">
        <v>82</v>
      </c>
      <c r="I70" s="49" t="s">
        <v>64</v>
      </c>
      <c r="J70" s="1" t="s">
        <v>40</v>
      </c>
      <c r="K70" s="1" t="s">
        <v>41</v>
      </c>
      <c r="L70" s="49">
        <v>3</v>
      </c>
      <c r="N70" s="1">
        <v>4</v>
      </c>
      <c r="O70" s="1">
        <v>0.6</v>
      </c>
      <c r="P70" s="1">
        <v>0.65</v>
      </c>
      <c r="Q70" s="7">
        <f t="shared" si="3"/>
        <v>0.625</v>
      </c>
      <c r="R70" s="1">
        <v>16.399999999999999</v>
      </c>
      <c r="S70" s="1">
        <v>157</v>
      </c>
      <c r="T70" s="2">
        <f t="shared" si="4"/>
        <v>30</v>
      </c>
      <c r="U70" s="1">
        <v>400</v>
      </c>
      <c r="V70" s="2">
        <f t="shared" si="5"/>
        <v>3000</v>
      </c>
      <c r="W70" s="1">
        <v>14</v>
      </c>
      <c r="X70" s="119" t="s">
        <v>51</v>
      </c>
      <c r="Y70" s="1" t="s">
        <v>43</v>
      </c>
      <c r="Z70" s="1" t="s">
        <v>122</v>
      </c>
      <c r="AA70" s="1" t="s">
        <v>67</v>
      </c>
      <c r="AB70" s="1" t="s">
        <v>340</v>
      </c>
    </row>
    <row r="71" spans="1:28" x14ac:dyDescent="0.15">
      <c r="A71" s="49" t="s">
        <v>53</v>
      </c>
      <c r="B71" s="49" t="s">
        <v>336</v>
      </c>
      <c r="C71" s="49">
        <v>2020</v>
      </c>
      <c r="D71" s="88" t="s">
        <v>371</v>
      </c>
      <c r="E71" s="49" t="s">
        <v>383</v>
      </c>
      <c r="F71" s="49" t="s">
        <v>379</v>
      </c>
      <c r="G71" s="49" t="s">
        <v>37</v>
      </c>
      <c r="H71" s="49" t="s">
        <v>63</v>
      </c>
      <c r="I71" s="49" t="s">
        <v>64</v>
      </c>
      <c r="J71" s="1" t="s">
        <v>40</v>
      </c>
      <c r="K71" s="1" t="s">
        <v>41</v>
      </c>
      <c r="L71" s="49">
        <v>1</v>
      </c>
      <c r="N71" s="1">
        <v>1</v>
      </c>
      <c r="O71" s="1">
        <v>0.7</v>
      </c>
      <c r="P71" s="1">
        <v>0.8</v>
      </c>
      <c r="Q71" s="7">
        <f t="shared" si="3"/>
        <v>0.75</v>
      </c>
      <c r="R71" s="1">
        <v>13.3</v>
      </c>
      <c r="S71" s="1">
        <v>122</v>
      </c>
      <c r="T71" s="2">
        <f t="shared" si="4"/>
        <v>30</v>
      </c>
      <c r="U71" s="1">
        <v>127</v>
      </c>
      <c r="V71" s="2">
        <f t="shared" si="5"/>
        <v>3810</v>
      </c>
      <c r="W71" s="1">
        <v>18</v>
      </c>
      <c r="X71" s="119" t="s">
        <v>51</v>
      </c>
      <c r="Y71" s="127" t="s">
        <v>67</v>
      </c>
      <c r="Z71" s="127" t="s">
        <v>101</v>
      </c>
      <c r="AA71" s="1" t="s">
        <v>52</v>
      </c>
      <c r="AB71" s="1" t="s">
        <v>340</v>
      </c>
    </row>
    <row r="72" spans="1:28" x14ac:dyDescent="0.15">
      <c r="A72" s="49" t="s">
        <v>53</v>
      </c>
      <c r="B72" s="49" t="s">
        <v>336</v>
      </c>
      <c r="C72" s="49">
        <v>2020</v>
      </c>
      <c r="D72" s="88" t="s">
        <v>371</v>
      </c>
      <c r="E72" s="49" t="s">
        <v>383</v>
      </c>
      <c r="F72" s="49" t="s">
        <v>379</v>
      </c>
      <c r="G72" s="49" t="s">
        <v>37</v>
      </c>
      <c r="H72" s="49" t="s">
        <v>63</v>
      </c>
      <c r="I72" s="49" t="s">
        <v>64</v>
      </c>
      <c r="J72" s="1" t="s">
        <v>40</v>
      </c>
      <c r="K72" s="1" t="s">
        <v>41</v>
      </c>
      <c r="L72" s="49">
        <v>2</v>
      </c>
      <c r="N72" s="1">
        <v>1</v>
      </c>
      <c r="O72" s="1">
        <v>0.8</v>
      </c>
      <c r="P72" s="1">
        <v>0.85</v>
      </c>
      <c r="Q72" s="7">
        <f t="shared" si="3"/>
        <v>0.82499999999999996</v>
      </c>
      <c r="R72" s="1">
        <v>16.100000000000001</v>
      </c>
      <c r="S72" s="1">
        <v>120</v>
      </c>
      <c r="T72" s="2">
        <f t="shared" si="4"/>
        <v>30</v>
      </c>
      <c r="U72" s="1">
        <v>127</v>
      </c>
      <c r="V72" s="2">
        <f t="shared" si="5"/>
        <v>3810</v>
      </c>
      <c r="W72" s="1">
        <v>18</v>
      </c>
      <c r="X72" s="119" t="s">
        <v>51</v>
      </c>
      <c r="Y72" s="127" t="s">
        <v>67</v>
      </c>
      <c r="Z72" s="127" t="s">
        <v>101</v>
      </c>
      <c r="AA72" s="1" t="s">
        <v>52</v>
      </c>
      <c r="AB72" s="1" t="s">
        <v>340</v>
      </c>
    </row>
    <row r="73" spans="1:28" x14ac:dyDescent="0.15">
      <c r="A73" s="49" t="s">
        <v>53</v>
      </c>
      <c r="B73" s="49" t="s">
        <v>336</v>
      </c>
      <c r="C73" s="49">
        <v>2020</v>
      </c>
      <c r="D73" s="88" t="s">
        <v>371</v>
      </c>
      <c r="E73" s="49" t="s">
        <v>383</v>
      </c>
      <c r="F73" s="49" t="s">
        <v>379</v>
      </c>
      <c r="G73" s="49" t="s">
        <v>37</v>
      </c>
      <c r="H73" s="49" t="s">
        <v>63</v>
      </c>
      <c r="I73" s="49" t="s">
        <v>64</v>
      </c>
      <c r="J73" s="1" t="s">
        <v>40</v>
      </c>
      <c r="K73" s="1" t="s">
        <v>41</v>
      </c>
      <c r="L73" s="49">
        <v>3</v>
      </c>
      <c r="N73" s="1">
        <v>1</v>
      </c>
      <c r="O73" s="1">
        <v>0.45</v>
      </c>
      <c r="P73" s="1">
        <v>0.55000000000000004</v>
      </c>
      <c r="Q73" s="7">
        <f t="shared" si="3"/>
        <v>0.5</v>
      </c>
      <c r="R73" s="1">
        <v>15</v>
      </c>
      <c r="S73" s="1">
        <v>117</v>
      </c>
      <c r="T73" s="2">
        <f t="shared" si="4"/>
        <v>30</v>
      </c>
      <c r="U73" s="1">
        <v>127</v>
      </c>
      <c r="V73" s="2">
        <f t="shared" si="5"/>
        <v>3810</v>
      </c>
      <c r="W73" s="1">
        <v>18</v>
      </c>
      <c r="X73" s="119" t="s">
        <v>51</v>
      </c>
      <c r="Y73" s="127" t="s">
        <v>67</v>
      </c>
      <c r="Z73" s="127" t="s">
        <v>101</v>
      </c>
      <c r="AA73" s="1" t="s">
        <v>52</v>
      </c>
      <c r="AB73" s="1" t="s">
        <v>340</v>
      </c>
    </row>
    <row r="74" spans="1:28" x14ac:dyDescent="0.15">
      <c r="A74" s="49" t="s">
        <v>53</v>
      </c>
      <c r="B74" s="49" t="s">
        <v>336</v>
      </c>
      <c r="C74" s="49">
        <v>2020</v>
      </c>
      <c r="D74" s="88" t="s">
        <v>371</v>
      </c>
      <c r="E74" s="49" t="s">
        <v>383</v>
      </c>
      <c r="F74" s="49" t="s">
        <v>379</v>
      </c>
      <c r="G74" s="49" t="s">
        <v>37</v>
      </c>
      <c r="H74" s="49" t="s">
        <v>63</v>
      </c>
      <c r="I74" s="49" t="s">
        <v>64</v>
      </c>
      <c r="J74" s="1" t="s">
        <v>40</v>
      </c>
      <c r="K74" s="1" t="s">
        <v>41</v>
      </c>
      <c r="L74" s="49">
        <v>1</v>
      </c>
      <c r="N74" s="1">
        <v>4</v>
      </c>
      <c r="O74" s="1">
        <v>0.65</v>
      </c>
      <c r="P74" s="1">
        <v>0.7</v>
      </c>
      <c r="Q74" s="7">
        <f t="shared" si="3"/>
        <v>0.67500000000000004</v>
      </c>
      <c r="R74" s="1">
        <v>17</v>
      </c>
      <c r="S74" s="1">
        <v>84</v>
      </c>
      <c r="T74" s="2">
        <f t="shared" si="4"/>
        <v>36</v>
      </c>
      <c r="U74" s="1">
        <v>297</v>
      </c>
      <c r="V74" s="2">
        <f t="shared" si="5"/>
        <v>2673</v>
      </c>
      <c r="W74" s="1">
        <v>18</v>
      </c>
      <c r="X74" s="119" t="s">
        <v>51</v>
      </c>
      <c r="Y74" s="127" t="s">
        <v>67</v>
      </c>
      <c r="Z74" s="127" t="s">
        <v>101</v>
      </c>
      <c r="AA74" s="1" t="s">
        <v>52</v>
      </c>
      <c r="AB74" s="1" t="s">
        <v>340</v>
      </c>
    </row>
    <row r="75" spans="1:28" x14ac:dyDescent="0.15">
      <c r="A75" s="49" t="s">
        <v>53</v>
      </c>
      <c r="B75" s="49" t="s">
        <v>336</v>
      </c>
      <c r="C75" s="49">
        <v>2020</v>
      </c>
      <c r="D75" s="88" t="s">
        <v>371</v>
      </c>
      <c r="E75" s="49" t="s">
        <v>383</v>
      </c>
      <c r="F75" s="49" t="s">
        <v>379</v>
      </c>
      <c r="G75" s="49" t="s">
        <v>37</v>
      </c>
      <c r="H75" s="49" t="s">
        <v>63</v>
      </c>
      <c r="I75" s="49" t="s">
        <v>64</v>
      </c>
      <c r="J75" s="1" t="s">
        <v>40</v>
      </c>
      <c r="K75" s="1" t="s">
        <v>41</v>
      </c>
      <c r="L75" s="49">
        <v>2</v>
      </c>
      <c r="N75" s="1">
        <v>4</v>
      </c>
      <c r="O75" s="1">
        <v>0.7</v>
      </c>
      <c r="P75" s="1">
        <v>0.7</v>
      </c>
      <c r="Q75" s="7">
        <f t="shared" si="3"/>
        <v>0.7</v>
      </c>
      <c r="R75" s="1">
        <v>17.600000000000001</v>
      </c>
      <c r="S75" s="1">
        <v>86</v>
      </c>
      <c r="T75" s="2">
        <f t="shared" si="4"/>
        <v>36</v>
      </c>
      <c r="U75" s="1">
        <v>297</v>
      </c>
      <c r="V75" s="2">
        <f t="shared" si="5"/>
        <v>2673</v>
      </c>
      <c r="W75" s="1">
        <v>18</v>
      </c>
      <c r="X75" s="119" t="s">
        <v>51</v>
      </c>
      <c r="Y75" s="127" t="s">
        <v>67</v>
      </c>
      <c r="Z75" s="127" t="s">
        <v>101</v>
      </c>
      <c r="AA75" s="1" t="s">
        <v>52</v>
      </c>
      <c r="AB75" s="1" t="s">
        <v>340</v>
      </c>
    </row>
    <row r="76" spans="1:28" x14ac:dyDescent="0.15">
      <c r="A76" s="49" t="s">
        <v>53</v>
      </c>
      <c r="B76" s="49" t="s">
        <v>336</v>
      </c>
      <c r="C76" s="49">
        <v>2020</v>
      </c>
      <c r="D76" s="88" t="s">
        <v>371</v>
      </c>
      <c r="E76" s="49" t="s">
        <v>383</v>
      </c>
      <c r="F76" s="49" t="s">
        <v>379</v>
      </c>
      <c r="G76" s="49" t="s">
        <v>37</v>
      </c>
      <c r="H76" s="49" t="s">
        <v>63</v>
      </c>
      <c r="I76" s="49" t="s">
        <v>64</v>
      </c>
      <c r="J76" s="1" t="s">
        <v>40</v>
      </c>
      <c r="K76" s="1" t="s">
        <v>41</v>
      </c>
      <c r="L76" s="49">
        <v>3</v>
      </c>
      <c r="N76" s="1">
        <v>4</v>
      </c>
      <c r="O76" s="1">
        <v>0.7</v>
      </c>
      <c r="P76" s="1">
        <v>0.6</v>
      </c>
      <c r="Q76" s="7">
        <f t="shared" si="3"/>
        <v>0.64999999999999991</v>
      </c>
      <c r="R76" s="1">
        <v>20.100000000000001</v>
      </c>
      <c r="S76" s="1">
        <v>82</v>
      </c>
      <c r="T76" s="2">
        <f t="shared" si="4"/>
        <v>39</v>
      </c>
      <c r="U76" s="1">
        <v>297</v>
      </c>
      <c r="V76" s="2">
        <f t="shared" si="5"/>
        <v>2895.75</v>
      </c>
      <c r="W76" s="1">
        <v>18</v>
      </c>
      <c r="X76" s="119" t="s">
        <v>51</v>
      </c>
      <c r="Y76" s="127" t="s">
        <v>67</v>
      </c>
      <c r="Z76" s="127" t="s">
        <v>101</v>
      </c>
      <c r="AA76" s="1" t="s">
        <v>52</v>
      </c>
      <c r="AB76" s="1" t="s">
        <v>340</v>
      </c>
    </row>
    <row r="77" spans="1:28" x14ac:dyDescent="0.15">
      <c r="A77" s="49" t="s">
        <v>53</v>
      </c>
      <c r="B77" s="49" t="s">
        <v>336</v>
      </c>
      <c r="C77" s="49">
        <v>2020</v>
      </c>
      <c r="D77" s="88" t="s">
        <v>371</v>
      </c>
      <c r="E77" s="49" t="s">
        <v>383</v>
      </c>
      <c r="F77" s="49" t="s">
        <v>379</v>
      </c>
      <c r="G77" s="49" t="s">
        <v>37</v>
      </c>
      <c r="H77" s="49" t="s">
        <v>82</v>
      </c>
      <c r="I77" s="49" t="s">
        <v>64</v>
      </c>
      <c r="J77" s="1" t="s">
        <v>40</v>
      </c>
      <c r="K77" s="1" t="s">
        <v>41</v>
      </c>
      <c r="L77" s="49">
        <v>1</v>
      </c>
      <c r="N77" s="1">
        <v>1</v>
      </c>
      <c r="O77" s="1">
        <v>0.7</v>
      </c>
      <c r="P77" s="1">
        <v>0.7</v>
      </c>
      <c r="Q77" s="7">
        <f t="shared" si="3"/>
        <v>0.7</v>
      </c>
      <c r="R77" s="1">
        <v>17.5</v>
      </c>
      <c r="S77" s="1">
        <v>139</v>
      </c>
      <c r="T77" s="2">
        <f t="shared" si="4"/>
        <v>30</v>
      </c>
      <c r="U77" s="1">
        <v>127</v>
      </c>
      <c r="V77" s="2">
        <f t="shared" si="5"/>
        <v>3810</v>
      </c>
      <c r="W77" s="1">
        <v>18</v>
      </c>
      <c r="X77" s="119" t="s">
        <v>51</v>
      </c>
      <c r="Y77" s="127" t="s">
        <v>67</v>
      </c>
      <c r="Z77" s="127" t="s">
        <v>101</v>
      </c>
      <c r="AA77" s="1" t="s">
        <v>52</v>
      </c>
      <c r="AB77" s="1" t="s">
        <v>340</v>
      </c>
    </row>
    <row r="78" spans="1:28" x14ac:dyDescent="0.15">
      <c r="A78" s="49" t="s">
        <v>53</v>
      </c>
      <c r="B78" s="49" t="s">
        <v>336</v>
      </c>
      <c r="C78" s="49">
        <v>2020</v>
      </c>
      <c r="D78" s="88" t="s">
        <v>371</v>
      </c>
      <c r="E78" s="49" t="s">
        <v>383</v>
      </c>
      <c r="F78" s="49" t="s">
        <v>379</v>
      </c>
      <c r="G78" s="49" t="s">
        <v>37</v>
      </c>
      <c r="H78" s="49" t="s">
        <v>82</v>
      </c>
      <c r="I78" s="49" t="s">
        <v>64</v>
      </c>
      <c r="J78" s="1" t="s">
        <v>40</v>
      </c>
      <c r="K78" s="1" t="s">
        <v>41</v>
      </c>
      <c r="L78" s="49">
        <v>2</v>
      </c>
      <c r="N78" s="1">
        <v>1</v>
      </c>
      <c r="O78" s="1">
        <v>0.8</v>
      </c>
      <c r="P78" s="1">
        <v>0.8</v>
      </c>
      <c r="Q78" s="7">
        <f t="shared" si="3"/>
        <v>0.8</v>
      </c>
      <c r="R78" s="1">
        <v>15.5</v>
      </c>
      <c r="S78" s="1">
        <v>141</v>
      </c>
      <c r="T78" s="2">
        <f t="shared" si="4"/>
        <v>30</v>
      </c>
      <c r="U78" s="1">
        <v>127</v>
      </c>
      <c r="V78" s="2">
        <f t="shared" si="5"/>
        <v>3810</v>
      </c>
      <c r="W78" s="1">
        <v>18</v>
      </c>
      <c r="X78" s="119" t="s">
        <v>51</v>
      </c>
      <c r="Y78" s="127" t="s">
        <v>67</v>
      </c>
      <c r="Z78" s="127" t="s">
        <v>101</v>
      </c>
      <c r="AA78" s="1" t="s">
        <v>52</v>
      </c>
      <c r="AB78" s="1" t="s">
        <v>340</v>
      </c>
    </row>
    <row r="79" spans="1:28" x14ac:dyDescent="0.15">
      <c r="A79" s="49" t="s">
        <v>53</v>
      </c>
      <c r="B79" s="49" t="s">
        <v>336</v>
      </c>
      <c r="C79" s="49">
        <v>2020</v>
      </c>
      <c r="D79" s="88" t="s">
        <v>371</v>
      </c>
      <c r="E79" s="49" t="s">
        <v>383</v>
      </c>
      <c r="F79" s="49" t="s">
        <v>379</v>
      </c>
      <c r="G79" s="49" t="s">
        <v>37</v>
      </c>
      <c r="H79" s="49" t="s">
        <v>82</v>
      </c>
      <c r="I79" s="49" t="s">
        <v>64</v>
      </c>
      <c r="J79" s="1" t="s">
        <v>40</v>
      </c>
      <c r="K79" s="1" t="s">
        <v>41</v>
      </c>
      <c r="L79" s="49">
        <v>3</v>
      </c>
      <c r="N79" s="1">
        <v>1</v>
      </c>
      <c r="O79" s="1">
        <v>0.84</v>
      </c>
      <c r="P79" s="1">
        <v>0.7</v>
      </c>
      <c r="Q79" s="7">
        <f t="shared" si="3"/>
        <v>0.77</v>
      </c>
      <c r="R79" s="1">
        <v>17.5</v>
      </c>
      <c r="S79" s="1">
        <v>131</v>
      </c>
      <c r="T79" s="2">
        <f t="shared" si="4"/>
        <v>30</v>
      </c>
      <c r="U79" s="1">
        <v>127</v>
      </c>
      <c r="V79" s="2">
        <f t="shared" si="5"/>
        <v>3810</v>
      </c>
      <c r="W79" s="1">
        <v>18</v>
      </c>
      <c r="X79" s="119" t="s">
        <v>51</v>
      </c>
      <c r="Y79" s="127" t="s">
        <v>67</v>
      </c>
      <c r="Z79" s="127" t="s">
        <v>101</v>
      </c>
      <c r="AA79" s="1" t="s">
        <v>52</v>
      </c>
      <c r="AB79" s="1" t="s">
        <v>340</v>
      </c>
    </row>
    <row r="80" spans="1:28" x14ac:dyDescent="0.15">
      <c r="A80" s="49" t="s">
        <v>53</v>
      </c>
      <c r="B80" s="49" t="s">
        <v>336</v>
      </c>
      <c r="C80" s="49">
        <v>2020</v>
      </c>
      <c r="D80" s="88" t="s">
        <v>371</v>
      </c>
      <c r="E80" s="49" t="s">
        <v>383</v>
      </c>
      <c r="F80" s="49" t="s">
        <v>379</v>
      </c>
      <c r="G80" s="49" t="s">
        <v>37</v>
      </c>
      <c r="H80" s="49" t="s">
        <v>82</v>
      </c>
      <c r="I80" s="49" t="s">
        <v>64</v>
      </c>
      <c r="J80" s="1" t="s">
        <v>40</v>
      </c>
      <c r="K80" s="1" t="s">
        <v>41</v>
      </c>
      <c r="L80" s="49">
        <v>1</v>
      </c>
      <c r="N80" s="1">
        <v>4</v>
      </c>
      <c r="O80" s="1">
        <v>1</v>
      </c>
      <c r="P80" s="1">
        <v>1</v>
      </c>
      <c r="Q80" s="7">
        <f t="shared" si="3"/>
        <v>1</v>
      </c>
      <c r="R80" s="1">
        <v>16.100000000000001</v>
      </c>
      <c r="S80" s="1">
        <v>89</v>
      </c>
      <c r="T80" s="2">
        <f t="shared" si="4"/>
        <v>36</v>
      </c>
      <c r="U80" s="1">
        <v>397</v>
      </c>
      <c r="V80" s="2">
        <f t="shared" si="5"/>
        <v>3573</v>
      </c>
      <c r="W80" s="1">
        <v>18</v>
      </c>
      <c r="X80" s="119" t="s">
        <v>51</v>
      </c>
      <c r="Y80" s="127" t="s">
        <v>67</v>
      </c>
      <c r="Z80" s="127" t="s">
        <v>101</v>
      </c>
      <c r="AA80" s="1" t="s">
        <v>52</v>
      </c>
      <c r="AB80" s="1" t="s">
        <v>340</v>
      </c>
    </row>
    <row r="81" spans="1:28" x14ac:dyDescent="0.15">
      <c r="A81" s="49" t="s">
        <v>53</v>
      </c>
      <c r="B81" s="49" t="s">
        <v>336</v>
      </c>
      <c r="C81" s="49">
        <v>2020</v>
      </c>
      <c r="D81" s="88" t="s">
        <v>371</v>
      </c>
      <c r="E81" s="49" t="s">
        <v>383</v>
      </c>
      <c r="F81" s="49" t="s">
        <v>379</v>
      </c>
      <c r="G81" s="49" t="s">
        <v>37</v>
      </c>
      <c r="H81" s="49" t="s">
        <v>82</v>
      </c>
      <c r="I81" s="49" t="s">
        <v>64</v>
      </c>
      <c r="J81" s="1" t="s">
        <v>40</v>
      </c>
      <c r="K81" s="1" t="s">
        <v>41</v>
      </c>
      <c r="L81" s="49">
        <v>2</v>
      </c>
      <c r="N81" s="1">
        <v>4</v>
      </c>
      <c r="O81" s="1">
        <v>0.9</v>
      </c>
      <c r="P81" s="1">
        <v>0.8</v>
      </c>
      <c r="Q81" s="7">
        <f t="shared" si="3"/>
        <v>0.85000000000000009</v>
      </c>
      <c r="R81" s="1">
        <v>18.3</v>
      </c>
      <c r="S81" s="1">
        <v>96</v>
      </c>
      <c r="T81" s="2">
        <f t="shared" si="4"/>
        <v>36</v>
      </c>
      <c r="U81" s="1">
        <v>397</v>
      </c>
      <c r="V81" s="2">
        <f t="shared" si="5"/>
        <v>3573</v>
      </c>
      <c r="W81" s="1">
        <v>18</v>
      </c>
      <c r="X81" s="119" t="s">
        <v>51</v>
      </c>
      <c r="Y81" s="127" t="s">
        <v>67</v>
      </c>
      <c r="Z81" s="127" t="s">
        <v>101</v>
      </c>
      <c r="AA81" s="1" t="s">
        <v>52</v>
      </c>
      <c r="AB81" s="1" t="s">
        <v>340</v>
      </c>
    </row>
    <row r="82" spans="1:28" x14ac:dyDescent="0.15">
      <c r="A82" s="49" t="s">
        <v>53</v>
      </c>
      <c r="B82" s="49" t="s">
        <v>336</v>
      </c>
      <c r="C82" s="49">
        <v>2020</v>
      </c>
      <c r="D82" s="88" t="s">
        <v>371</v>
      </c>
      <c r="E82" s="49" t="s">
        <v>383</v>
      </c>
      <c r="F82" s="49" t="s">
        <v>379</v>
      </c>
      <c r="G82" s="49" t="s">
        <v>37</v>
      </c>
      <c r="H82" s="49" t="s">
        <v>82</v>
      </c>
      <c r="I82" s="49" t="s">
        <v>64</v>
      </c>
      <c r="J82" s="1" t="s">
        <v>40</v>
      </c>
      <c r="K82" s="1" t="s">
        <v>41</v>
      </c>
      <c r="L82" s="49">
        <v>3</v>
      </c>
      <c r="N82" s="1">
        <v>4</v>
      </c>
      <c r="O82" s="1">
        <v>1.1000000000000001</v>
      </c>
      <c r="P82" s="1">
        <v>1.1000000000000001</v>
      </c>
      <c r="Q82" s="7">
        <f t="shared" si="3"/>
        <v>1.1000000000000001</v>
      </c>
      <c r="R82" s="1">
        <v>16.7</v>
      </c>
      <c r="S82" s="1">
        <v>90</v>
      </c>
      <c r="T82" s="2">
        <f t="shared" si="4"/>
        <v>36</v>
      </c>
      <c r="U82" s="1">
        <v>397</v>
      </c>
      <c r="V82" s="2">
        <f t="shared" si="5"/>
        <v>3573</v>
      </c>
      <c r="W82" s="1">
        <v>18</v>
      </c>
      <c r="X82" s="119" t="s">
        <v>51</v>
      </c>
      <c r="Y82" s="127" t="s">
        <v>67</v>
      </c>
      <c r="Z82" s="127" t="s">
        <v>101</v>
      </c>
      <c r="AA82" s="1" t="s">
        <v>52</v>
      </c>
      <c r="AB82" s="1" t="s">
        <v>340</v>
      </c>
    </row>
    <row r="83" spans="1:28" x14ac:dyDescent="0.15">
      <c r="A83" s="49" t="s">
        <v>53</v>
      </c>
      <c r="B83" s="49" t="s">
        <v>336</v>
      </c>
      <c r="C83" s="49">
        <v>2020</v>
      </c>
      <c r="D83" s="88" t="s">
        <v>371</v>
      </c>
      <c r="E83" s="49" t="s">
        <v>389</v>
      </c>
      <c r="F83" s="49" t="s">
        <v>379</v>
      </c>
      <c r="G83" s="49" t="s">
        <v>37</v>
      </c>
      <c r="H83" s="49" t="s">
        <v>63</v>
      </c>
      <c r="I83" s="49" t="s">
        <v>64</v>
      </c>
      <c r="J83" s="1" t="s">
        <v>40</v>
      </c>
      <c r="K83" s="1" t="s">
        <v>41</v>
      </c>
      <c r="L83" s="49">
        <v>1</v>
      </c>
      <c r="N83" s="1">
        <v>1</v>
      </c>
      <c r="O83" s="1">
        <v>0.8</v>
      </c>
      <c r="P83" s="1">
        <v>0.85</v>
      </c>
      <c r="Q83" s="7">
        <f t="shared" si="3"/>
        <v>0.82499999999999996</v>
      </c>
      <c r="R83" s="1">
        <v>13.7</v>
      </c>
      <c r="S83" s="1">
        <v>113</v>
      </c>
      <c r="T83" s="2">
        <f t="shared" si="4"/>
        <v>30</v>
      </c>
      <c r="U83" s="1">
        <v>100</v>
      </c>
      <c r="V83" s="2">
        <f t="shared" si="5"/>
        <v>3000</v>
      </c>
      <c r="W83" s="1">
        <v>29</v>
      </c>
      <c r="X83" s="119" t="s">
        <v>51</v>
      </c>
      <c r="Y83" s="127" t="s">
        <v>67</v>
      </c>
      <c r="Z83" s="127" t="s">
        <v>101</v>
      </c>
      <c r="AA83" s="1" t="s">
        <v>80</v>
      </c>
      <c r="AB83" s="1" t="s">
        <v>340</v>
      </c>
    </row>
    <row r="84" spans="1:28" x14ac:dyDescent="0.15">
      <c r="A84" s="49" t="s">
        <v>53</v>
      </c>
      <c r="B84" s="49" t="s">
        <v>336</v>
      </c>
      <c r="C84" s="49">
        <v>2020</v>
      </c>
      <c r="D84" s="88" t="s">
        <v>371</v>
      </c>
      <c r="E84" s="49" t="s">
        <v>389</v>
      </c>
      <c r="F84" s="49" t="s">
        <v>379</v>
      </c>
      <c r="G84" s="49" t="s">
        <v>37</v>
      </c>
      <c r="H84" s="49" t="s">
        <v>63</v>
      </c>
      <c r="I84" s="49" t="s">
        <v>64</v>
      </c>
      <c r="J84" s="1" t="s">
        <v>40</v>
      </c>
      <c r="K84" s="1" t="s">
        <v>41</v>
      </c>
      <c r="L84" s="49">
        <v>2</v>
      </c>
      <c r="N84" s="1">
        <v>1</v>
      </c>
      <c r="O84" s="1">
        <v>0.9</v>
      </c>
      <c r="P84" s="1">
        <v>0.85</v>
      </c>
      <c r="Q84" s="7">
        <f t="shared" si="3"/>
        <v>0.875</v>
      </c>
      <c r="R84" s="1">
        <v>13.2</v>
      </c>
      <c r="S84" s="1">
        <v>109</v>
      </c>
      <c r="T84" s="2">
        <f t="shared" si="4"/>
        <v>33</v>
      </c>
      <c r="U84" s="1">
        <v>100</v>
      </c>
      <c r="V84" s="2">
        <f t="shared" si="5"/>
        <v>3300</v>
      </c>
      <c r="W84" s="1">
        <v>29</v>
      </c>
      <c r="X84" s="119" t="s">
        <v>51</v>
      </c>
      <c r="Y84" s="127" t="s">
        <v>67</v>
      </c>
      <c r="Z84" s="127" t="s">
        <v>101</v>
      </c>
      <c r="AA84" s="1" t="s">
        <v>80</v>
      </c>
      <c r="AB84" s="1" t="s">
        <v>340</v>
      </c>
    </row>
    <row r="85" spans="1:28" x14ac:dyDescent="0.15">
      <c r="A85" s="49" t="s">
        <v>53</v>
      </c>
      <c r="B85" s="49" t="s">
        <v>336</v>
      </c>
      <c r="C85" s="49">
        <v>2020</v>
      </c>
      <c r="D85" s="88" t="s">
        <v>371</v>
      </c>
      <c r="E85" s="49" t="s">
        <v>389</v>
      </c>
      <c r="F85" s="49" t="s">
        <v>379</v>
      </c>
      <c r="G85" s="49" t="s">
        <v>37</v>
      </c>
      <c r="H85" s="49" t="s">
        <v>63</v>
      </c>
      <c r="I85" s="49" t="s">
        <v>64</v>
      </c>
      <c r="J85" s="1" t="s">
        <v>40</v>
      </c>
      <c r="K85" s="1" t="s">
        <v>41</v>
      </c>
      <c r="L85" s="49">
        <v>3</v>
      </c>
      <c r="N85" s="1">
        <v>1</v>
      </c>
      <c r="O85" s="1">
        <v>0.75</v>
      </c>
      <c r="P85" s="1">
        <v>0.8</v>
      </c>
      <c r="Q85" s="7">
        <f t="shared" si="3"/>
        <v>0.77500000000000002</v>
      </c>
      <c r="R85" s="1">
        <v>15.3</v>
      </c>
      <c r="S85" s="1">
        <v>105</v>
      </c>
      <c r="T85" s="2">
        <f t="shared" si="4"/>
        <v>33</v>
      </c>
      <c r="U85" s="1">
        <v>100</v>
      </c>
      <c r="V85" s="2">
        <f t="shared" si="5"/>
        <v>3300</v>
      </c>
      <c r="W85" s="1">
        <v>29</v>
      </c>
      <c r="X85" s="119" t="s">
        <v>51</v>
      </c>
      <c r="Y85" s="127" t="s">
        <v>67</v>
      </c>
      <c r="Z85" s="127" t="s">
        <v>101</v>
      </c>
      <c r="AA85" s="1" t="s">
        <v>80</v>
      </c>
      <c r="AB85" s="1" t="s">
        <v>340</v>
      </c>
    </row>
    <row r="86" spans="1:28" x14ac:dyDescent="0.15">
      <c r="A86" s="49" t="s">
        <v>53</v>
      </c>
      <c r="B86" s="49" t="s">
        <v>336</v>
      </c>
      <c r="C86" s="49">
        <v>2020</v>
      </c>
      <c r="D86" s="88" t="s">
        <v>371</v>
      </c>
      <c r="E86" s="49" t="s">
        <v>389</v>
      </c>
      <c r="F86" s="49" t="s">
        <v>379</v>
      </c>
      <c r="G86" s="49" t="s">
        <v>37</v>
      </c>
      <c r="H86" s="49" t="s">
        <v>63</v>
      </c>
      <c r="I86" s="49" t="s">
        <v>64</v>
      </c>
      <c r="J86" s="1" t="s">
        <v>40</v>
      </c>
      <c r="K86" s="1" t="s">
        <v>41</v>
      </c>
      <c r="L86" s="49">
        <v>1</v>
      </c>
      <c r="N86" s="1">
        <v>8</v>
      </c>
      <c r="O86" s="1">
        <v>0.75</v>
      </c>
      <c r="P86" s="1">
        <v>0.7</v>
      </c>
      <c r="Q86" s="7">
        <f t="shared" si="3"/>
        <v>0.72499999999999998</v>
      </c>
      <c r="R86" s="1">
        <v>15.6</v>
      </c>
      <c r="S86" s="1">
        <v>78</v>
      </c>
      <c r="T86" s="2">
        <f t="shared" si="4"/>
        <v>39</v>
      </c>
      <c r="U86" s="1">
        <v>398</v>
      </c>
      <c r="V86" s="2">
        <f t="shared" si="5"/>
        <v>1940.25</v>
      </c>
      <c r="W86" s="1">
        <v>29</v>
      </c>
      <c r="X86" s="119" t="s">
        <v>51</v>
      </c>
      <c r="Y86" s="127" t="s">
        <v>67</v>
      </c>
      <c r="Z86" s="127" t="s">
        <v>101</v>
      </c>
      <c r="AA86" s="1" t="s">
        <v>80</v>
      </c>
      <c r="AB86" s="1" t="s">
        <v>340</v>
      </c>
    </row>
    <row r="87" spans="1:28" x14ac:dyDescent="0.15">
      <c r="A87" s="49" t="s">
        <v>53</v>
      </c>
      <c r="B87" s="49" t="s">
        <v>336</v>
      </c>
      <c r="C87" s="49">
        <v>2020</v>
      </c>
      <c r="D87" s="88" t="s">
        <v>371</v>
      </c>
      <c r="E87" s="49" t="s">
        <v>389</v>
      </c>
      <c r="F87" s="49" t="s">
        <v>379</v>
      </c>
      <c r="G87" s="49" t="s">
        <v>37</v>
      </c>
      <c r="H87" s="49" t="s">
        <v>63</v>
      </c>
      <c r="I87" s="49" t="s">
        <v>64</v>
      </c>
      <c r="J87" s="1" t="s">
        <v>40</v>
      </c>
      <c r="K87" s="1" t="s">
        <v>41</v>
      </c>
      <c r="L87" s="49">
        <v>2</v>
      </c>
      <c r="N87" s="1">
        <v>8</v>
      </c>
      <c r="O87" s="1">
        <v>1.1499999999999999</v>
      </c>
      <c r="P87" s="1">
        <v>1</v>
      </c>
      <c r="Q87" s="7">
        <f t="shared" si="3"/>
        <v>1.075</v>
      </c>
      <c r="R87" s="1">
        <v>15.1</v>
      </c>
      <c r="S87" s="1">
        <v>84</v>
      </c>
      <c r="T87" s="2">
        <f t="shared" si="4"/>
        <v>36</v>
      </c>
      <c r="U87" s="1">
        <v>398</v>
      </c>
      <c r="V87" s="2">
        <f t="shared" si="5"/>
        <v>1791</v>
      </c>
      <c r="W87" s="1">
        <v>29</v>
      </c>
      <c r="X87" s="119" t="s">
        <v>51</v>
      </c>
      <c r="Y87" s="127" t="s">
        <v>67</v>
      </c>
      <c r="Z87" s="127" t="s">
        <v>101</v>
      </c>
      <c r="AA87" s="1" t="s">
        <v>80</v>
      </c>
      <c r="AB87" s="1" t="s">
        <v>340</v>
      </c>
    </row>
    <row r="88" spans="1:28" x14ac:dyDescent="0.15">
      <c r="A88" s="49" t="s">
        <v>53</v>
      </c>
      <c r="B88" s="49" t="s">
        <v>336</v>
      </c>
      <c r="C88" s="49">
        <v>2020</v>
      </c>
      <c r="D88" s="88" t="s">
        <v>371</v>
      </c>
      <c r="E88" s="49" t="s">
        <v>389</v>
      </c>
      <c r="F88" s="49" t="s">
        <v>379</v>
      </c>
      <c r="G88" s="49" t="s">
        <v>37</v>
      </c>
      <c r="H88" s="49" t="s">
        <v>63</v>
      </c>
      <c r="I88" s="49" t="s">
        <v>64</v>
      </c>
      <c r="J88" s="1" t="s">
        <v>40</v>
      </c>
      <c r="K88" s="1" t="s">
        <v>41</v>
      </c>
      <c r="L88" s="49">
        <v>3</v>
      </c>
      <c r="N88" s="1">
        <v>8</v>
      </c>
      <c r="O88" s="1">
        <v>1.05</v>
      </c>
      <c r="P88" s="1">
        <v>1</v>
      </c>
      <c r="Q88" s="7">
        <f t="shared" si="3"/>
        <v>1.0249999999999999</v>
      </c>
      <c r="R88" s="1">
        <v>14.3</v>
      </c>
      <c r="S88" s="1">
        <v>82</v>
      </c>
      <c r="T88" s="2">
        <f t="shared" si="4"/>
        <v>39</v>
      </c>
      <c r="U88" s="1">
        <v>398</v>
      </c>
      <c r="V88" s="2">
        <f t="shared" si="5"/>
        <v>1940.25</v>
      </c>
      <c r="W88" s="1">
        <v>29</v>
      </c>
      <c r="X88" s="119" t="s">
        <v>51</v>
      </c>
      <c r="Y88" s="127" t="s">
        <v>67</v>
      </c>
      <c r="Z88" s="127" t="s">
        <v>101</v>
      </c>
      <c r="AA88" s="1" t="s">
        <v>80</v>
      </c>
      <c r="AB88" s="1" t="s">
        <v>340</v>
      </c>
    </row>
    <row r="89" spans="1:28" x14ac:dyDescent="0.15">
      <c r="A89" s="49" t="s">
        <v>53</v>
      </c>
      <c r="B89" s="49" t="s">
        <v>336</v>
      </c>
      <c r="C89" s="49">
        <v>2020</v>
      </c>
      <c r="D89" s="88" t="s">
        <v>371</v>
      </c>
      <c r="E89" s="49" t="s">
        <v>389</v>
      </c>
      <c r="F89" s="49" t="s">
        <v>379</v>
      </c>
      <c r="G89" s="49" t="s">
        <v>37</v>
      </c>
      <c r="H89" s="49" t="s">
        <v>77</v>
      </c>
      <c r="I89" s="49" t="s">
        <v>64</v>
      </c>
      <c r="J89" s="1" t="s">
        <v>40</v>
      </c>
      <c r="K89" s="1" t="s">
        <v>41</v>
      </c>
      <c r="L89" s="49">
        <v>1</v>
      </c>
      <c r="N89" s="1">
        <v>4</v>
      </c>
      <c r="O89" s="1">
        <v>1.55</v>
      </c>
      <c r="P89" s="1">
        <v>1.6</v>
      </c>
      <c r="Q89" s="7">
        <f t="shared" si="3"/>
        <v>1.5750000000000002</v>
      </c>
      <c r="R89" s="1">
        <v>18.600000000000001</v>
      </c>
      <c r="S89" s="1">
        <v>102</v>
      </c>
      <c r="T89" s="2">
        <f t="shared" si="4"/>
        <v>33</v>
      </c>
      <c r="U89" s="1">
        <v>398</v>
      </c>
      <c r="V89" s="2">
        <f t="shared" si="5"/>
        <v>3283.5</v>
      </c>
      <c r="W89" s="1">
        <v>29</v>
      </c>
      <c r="X89" s="119" t="s">
        <v>51</v>
      </c>
      <c r="Y89" s="127" t="s">
        <v>67</v>
      </c>
      <c r="Z89" s="127" t="s">
        <v>101</v>
      </c>
      <c r="AA89" s="1" t="s">
        <v>80</v>
      </c>
      <c r="AB89" s="1" t="s">
        <v>340</v>
      </c>
    </row>
    <row r="90" spans="1:28" x14ac:dyDescent="0.15">
      <c r="A90" s="49" t="s">
        <v>53</v>
      </c>
      <c r="B90" s="49" t="s">
        <v>336</v>
      </c>
      <c r="C90" s="49">
        <v>2020</v>
      </c>
      <c r="D90" s="88" t="s">
        <v>371</v>
      </c>
      <c r="E90" s="49" t="s">
        <v>389</v>
      </c>
      <c r="F90" s="49" t="s">
        <v>379</v>
      </c>
      <c r="G90" s="49" t="s">
        <v>37</v>
      </c>
      <c r="H90" s="49" t="s">
        <v>77</v>
      </c>
      <c r="I90" s="49" t="s">
        <v>64</v>
      </c>
      <c r="J90" s="1" t="s">
        <v>40</v>
      </c>
      <c r="K90" s="1" t="s">
        <v>41</v>
      </c>
      <c r="L90" s="49">
        <v>2</v>
      </c>
      <c r="N90" s="1">
        <v>4</v>
      </c>
      <c r="O90" s="1">
        <v>0.7</v>
      </c>
      <c r="P90" s="1">
        <v>0.75</v>
      </c>
      <c r="Q90" s="7">
        <f t="shared" si="3"/>
        <v>0.72499999999999998</v>
      </c>
      <c r="R90" s="1">
        <v>19.7</v>
      </c>
      <c r="S90" s="1">
        <v>98</v>
      </c>
      <c r="T90" s="2">
        <f t="shared" si="4"/>
        <v>36</v>
      </c>
      <c r="U90" s="1">
        <v>398</v>
      </c>
      <c r="V90" s="2">
        <f t="shared" si="5"/>
        <v>3582</v>
      </c>
      <c r="W90" s="1">
        <v>29</v>
      </c>
      <c r="X90" s="119" t="s">
        <v>51</v>
      </c>
      <c r="Y90" s="127" t="s">
        <v>67</v>
      </c>
      <c r="Z90" s="127" t="s">
        <v>101</v>
      </c>
      <c r="AA90" s="1" t="s">
        <v>80</v>
      </c>
      <c r="AB90" s="1" t="s">
        <v>340</v>
      </c>
    </row>
    <row r="91" spans="1:28" x14ac:dyDescent="0.15">
      <c r="A91" s="49" t="s">
        <v>53</v>
      </c>
      <c r="B91" s="49" t="s">
        <v>336</v>
      </c>
      <c r="C91" s="49">
        <v>2020</v>
      </c>
      <c r="D91" s="88" t="s">
        <v>371</v>
      </c>
      <c r="E91" s="49" t="s">
        <v>389</v>
      </c>
      <c r="F91" s="49" t="s">
        <v>379</v>
      </c>
      <c r="G91" s="49" t="s">
        <v>37</v>
      </c>
      <c r="H91" s="49" t="s">
        <v>77</v>
      </c>
      <c r="I91" s="49" t="s">
        <v>64</v>
      </c>
      <c r="J91" s="1" t="s">
        <v>40</v>
      </c>
      <c r="K91" s="1" t="s">
        <v>41</v>
      </c>
      <c r="L91" s="49">
        <v>3</v>
      </c>
      <c r="N91" s="1">
        <v>4</v>
      </c>
      <c r="O91" s="1">
        <v>0.55000000000000004</v>
      </c>
      <c r="P91" s="1">
        <v>0.4</v>
      </c>
      <c r="Q91" s="7">
        <f t="shared" si="3"/>
        <v>0.47500000000000003</v>
      </c>
      <c r="R91" s="1">
        <v>19.2</v>
      </c>
      <c r="S91" s="1">
        <v>99</v>
      </c>
      <c r="T91" s="2">
        <f t="shared" si="4"/>
        <v>33</v>
      </c>
      <c r="U91" s="1">
        <v>398</v>
      </c>
      <c r="V91" s="2">
        <f t="shared" si="5"/>
        <v>3283.5</v>
      </c>
      <c r="W91" s="1">
        <v>29</v>
      </c>
      <c r="X91" s="119" t="s">
        <v>51</v>
      </c>
      <c r="Y91" s="127" t="s">
        <v>67</v>
      </c>
      <c r="Z91" s="127" t="s">
        <v>101</v>
      </c>
      <c r="AA91" s="1" t="s">
        <v>80</v>
      </c>
      <c r="AB91" s="1" t="s">
        <v>340</v>
      </c>
    </row>
    <row r="92" spans="1:28" x14ac:dyDescent="0.15">
      <c r="A92" s="49" t="s">
        <v>53</v>
      </c>
      <c r="B92" s="49" t="s">
        <v>336</v>
      </c>
      <c r="C92" s="49">
        <v>2020</v>
      </c>
      <c r="D92" s="88" t="s">
        <v>371</v>
      </c>
      <c r="E92" s="49" t="s">
        <v>389</v>
      </c>
      <c r="F92" s="49" t="s">
        <v>379</v>
      </c>
      <c r="G92" s="49" t="s">
        <v>37</v>
      </c>
      <c r="H92" s="49" t="s">
        <v>82</v>
      </c>
      <c r="I92" s="49" t="s">
        <v>64</v>
      </c>
      <c r="J92" s="1" t="s">
        <v>40</v>
      </c>
      <c r="K92" s="1" t="s">
        <v>41</v>
      </c>
      <c r="L92" s="49">
        <v>1</v>
      </c>
      <c r="N92" s="1">
        <v>1</v>
      </c>
      <c r="O92" s="1">
        <v>1</v>
      </c>
      <c r="P92" s="1">
        <v>0.85</v>
      </c>
      <c r="Q92" s="7">
        <f t="shared" si="3"/>
        <v>0.92500000000000004</v>
      </c>
      <c r="R92" s="1">
        <v>17.7</v>
      </c>
      <c r="S92" s="1">
        <v>122</v>
      </c>
      <c r="T92" s="2">
        <f t="shared" si="4"/>
        <v>30</v>
      </c>
      <c r="U92" s="1">
        <v>98</v>
      </c>
      <c r="V92" s="2">
        <f t="shared" si="5"/>
        <v>2940</v>
      </c>
      <c r="W92" s="1">
        <v>29</v>
      </c>
      <c r="X92" s="119" t="s">
        <v>51</v>
      </c>
      <c r="Y92" s="127" t="s">
        <v>67</v>
      </c>
      <c r="Z92" s="127" t="s">
        <v>101</v>
      </c>
      <c r="AA92" s="1" t="s">
        <v>80</v>
      </c>
      <c r="AB92" s="1" t="s">
        <v>340</v>
      </c>
    </row>
    <row r="93" spans="1:28" x14ac:dyDescent="0.15">
      <c r="A93" s="49" t="s">
        <v>53</v>
      </c>
      <c r="B93" s="49" t="s">
        <v>336</v>
      </c>
      <c r="C93" s="49">
        <v>2020</v>
      </c>
      <c r="D93" s="88" t="s">
        <v>371</v>
      </c>
      <c r="E93" s="49" t="s">
        <v>389</v>
      </c>
      <c r="F93" s="49" t="s">
        <v>379</v>
      </c>
      <c r="G93" s="49" t="s">
        <v>37</v>
      </c>
      <c r="H93" s="49" t="s">
        <v>82</v>
      </c>
      <c r="I93" s="49" t="s">
        <v>64</v>
      </c>
      <c r="J93" s="1" t="s">
        <v>40</v>
      </c>
      <c r="K93" s="1" t="s">
        <v>41</v>
      </c>
      <c r="L93" s="49">
        <v>2</v>
      </c>
      <c r="N93" s="1">
        <v>1</v>
      </c>
      <c r="O93" s="1">
        <v>0.95</v>
      </c>
      <c r="P93" s="1">
        <v>1.05</v>
      </c>
      <c r="Q93" s="7">
        <f t="shared" si="3"/>
        <v>1</v>
      </c>
      <c r="R93" s="1">
        <v>18.5</v>
      </c>
      <c r="S93" s="1">
        <v>119</v>
      </c>
      <c r="T93" s="2">
        <f t="shared" si="4"/>
        <v>30</v>
      </c>
      <c r="U93" s="1">
        <v>98</v>
      </c>
      <c r="V93" s="2">
        <f t="shared" si="5"/>
        <v>2940</v>
      </c>
      <c r="W93" s="1">
        <v>29</v>
      </c>
      <c r="X93" s="119" t="s">
        <v>51</v>
      </c>
      <c r="Y93" s="127" t="s">
        <v>67</v>
      </c>
      <c r="Z93" s="127" t="s">
        <v>101</v>
      </c>
      <c r="AA93" s="1" t="s">
        <v>80</v>
      </c>
      <c r="AB93" s="1" t="s">
        <v>340</v>
      </c>
    </row>
    <row r="94" spans="1:28" x14ac:dyDescent="0.15">
      <c r="A94" s="49" t="s">
        <v>53</v>
      </c>
      <c r="B94" s="49" t="s">
        <v>336</v>
      </c>
      <c r="C94" s="49">
        <v>2020</v>
      </c>
      <c r="D94" s="88" t="s">
        <v>371</v>
      </c>
      <c r="E94" s="49" t="s">
        <v>389</v>
      </c>
      <c r="F94" s="49" t="s">
        <v>379</v>
      </c>
      <c r="G94" s="49" t="s">
        <v>37</v>
      </c>
      <c r="H94" s="49" t="s">
        <v>82</v>
      </c>
      <c r="I94" s="49" t="s">
        <v>64</v>
      </c>
      <c r="J94" s="1" t="s">
        <v>40</v>
      </c>
      <c r="K94" s="1" t="s">
        <v>41</v>
      </c>
      <c r="L94" s="49">
        <v>3</v>
      </c>
      <c r="N94" s="1">
        <v>1</v>
      </c>
      <c r="O94" s="1">
        <v>0.85</v>
      </c>
      <c r="P94" s="1">
        <v>0.9</v>
      </c>
      <c r="Q94" s="7">
        <f t="shared" si="3"/>
        <v>0.875</v>
      </c>
      <c r="R94" s="1">
        <v>17.600000000000001</v>
      </c>
      <c r="S94" s="1">
        <v>119</v>
      </c>
      <c r="T94" s="2">
        <f t="shared" si="4"/>
        <v>30</v>
      </c>
      <c r="U94" s="1">
        <v>98</v>
      </c>
      <c r="V94" s="2">
        <f t="shared" si="5"/>
        <v>2940</v>
      </c>
      <c r="W94" s="1">
        <v>29</v>
      </c>
      <c r="X94" s="119" t="s">
        <v>51</v>
      </c>
      <c r="Y94" s="127" t="s">
        <v>67</v>
      </c>
      <c r="Z94" s="127" t="s">
        <v>101</v>
      </c>
      <c r="AA94" s="1" t="s">
        <v>80</v>
      </c>
      <c r="AB94" s="1" t="s">
        <v>340</v>
      </c>
    </row>
    <row r="95" spans="1:28" x14ac:dyDescent="0.15">
      <c r="A95" s="49" t="s">
        <v>53</v>
      </c>
      <c r="B95" s="49" t="s">
        <v>336</v>
      </c>
      <c r="C95" s="49">
        <v>2020</v>
      </c>
      <c r="D95" s="88" t="s">
        <v>371</v>
      </c>
      <c r="E95" s="49" t="s">
        <v>389</v>
      </c>
      <c r="F95" s="49" t="s">
        <v>379</v>
      </c>
      <c r="G95" s="49" t="s">
        <v>37</v>
      </c>
      <c r="H95" s="49" t="s">
        <v>82</v>
      </c>
      <c r="I95" s="49" t="s">
        <v>64</v>
      </c>
      <c r="J95" s="1" t="s">
        <v>40</v>
      </c>
      <c r="K95" s="1" t="s">
        <v>41</v>
      </c>
      <c r="L95" s="49">
        <v>1</v>
      </c>
      <c r="N95" s="1">
        <v>4</v>
      </c>
      <c r="O95" s="1">
        <v>0.85</v>
      </c>
      <c r="P95" s="1">
        <v>0.95</v>
      </c>
      <c r="Q95" s="7">
        <f t="shared" si="3"/>
        <v>0.89999999999999991</v>
      </c>
      <c r="R95" s="1">
        <v>16.7</v>
      </c>
      <c r="S95" s="1">
        <v>102</v>
      </c>
      <c r="T95" s="2">
        <f t="shared" si="4"/>
        <v>33</v>
      </c>
      <c r="U95" s="1">
        <v>398</v>
      </c>
      <c r="V95" s="2">
        <f t="shared" si="5"/>
        <v>3283.5</v>
      </c>
      <c r="W95" s="1">
        <v>29</v>
      </c>
      <c r="X95" s="119" t="s">
        <v>51</v>
      </c>
      <c r="Y95" s="127" t="s">
        <v>67</v>
      </c>
      <c r="Z95" s="127" t="s">
        <v>101</v>
      </c>
      <c r="AA95" s="1" t="s">
        <v>80</v>
      </c>
      <c r="AB95" s="1" t="s">
        <v>340</v>
      </c>
    </row>
    <row r="96" spans="1:28" x14ac:dyDescent="0.15">
      <c r="A96" s="49" t="s">
        <v>53</v>
      </c>
      <c r="B96" s="49" t="s">
        <v>336</v>
      </c>
      <c r="C96" s="49">
        <v>2020</v>
      </c>
      <c r="D96" s="88" t="s">
        <v>371</v>
      </c>
      <c r="E96" s="49" t="s">
        <v>389</v>
      </c>
      <c r="F96" s="49" t="s">
        <v>379</v>
      </c>
      <c r="G96" s="49" t="s">
        <v>37</v>
      </c>
      <c r="H96" s="49" t="s">
        <v>82</v>
      </c>
      <c r="I96" s="49" t="s">
        <v>64</v>
      </c>
      <c r="J96" s="1" t="s">
        <v>40</v>
      </c>
      <c r="K96" s="1" t="s">
        <v>41</v>
      </c>
      <c r="L96" s="49">
        <v>2</v>
      </c>
      <c r="N96" s="1">
        <v>4</v>
      </c>
      <c r="O96" s="1">
        <v>1.05</v>
      </c>
      <c r="P96" s="1">
        <v>0.75</v>
      </c>
      <c r="Q96" s="7">
        <f t="shared" si="3"/>
        <v>0.9</v>
      </c>
      <c r="R96" s="1">
        <v>17.3</v>
      </c>
      <c r="S96" s="1">
        <v>90</v>
      </c>
      <c r="T96" s="2">
        <f t="shared" si="4"/>
        <v>36</v>
      </c>
      <c r="U96" s="1">
        <v>398</v>
      </c>
      <c r="V96" s="2">
        <f t="shared" si="5"/>
        <v>3582</v>
      </c>
      <c r="W96" s="1">
        <v>29</v>
      </c>
      <c r="X96" s="119" t="s">
        <v>51</v>
      </c>
      <c r="Y96" s="127" t="s">
        <v>67</v>
      </c>
      <c r="Z96" s="127" t="s">
        <v>101</v>
      </c>
      <c r="AA96" s="1" t="s">
        <v>80</v>
      </c>
      <c r="AB96" s="1" t="s">
        <v>340</v>
      </c>
    </row>
    <row r="97" spans="1:28" x14ac:dyDescent="0.15">
      <c r="A97" s="49" t="s">
        <v>53</v>
      </c>
      <c r="B97" s="49" t="s">
        <v>336</v>
      </c>
      <c r="C97" s="49">
        <v>2020</v>
      </c>
      <c r="D97" s="88" t="s">
        <v>371</v>
      </c>
      <c r="E97" s="49" t="s">
        <v>389</v>
      </c>
      <c r="F97" s="49" t="s">
        <v>379</v>
      </c>
      <c r="G97" s="49" t="s">
        <v>37</v>
      </c>
      <c r="H97" s="49" t="s">
        <v>82</v>
      </c>
      <c r="I97" s="49" t="s">
        <v>64</v>
      </c>
      <c r="J97" s="1" t="s">
        <v>40</v>
      </c>
      <c r="K97" s="1" t="s">
        <v>41</v>
      </c>
      <c r="L97" s="49">
        <v>3</v>
      </c>
      <c r="N97" s="1">
        <v>4</v>
      </c>
      <c r="O97" s="1">
        <v>0.95</v>
      </c>
      <c r="P97" s="1">
        <v>0.9</v>
      </c>
      <c r="Q97" s="7">
        <f t="shared" si="3"/>
        <v>0.92500000000000004</v>
      </c>
      <c r="R97" s="1">
        <v>15.5</v>
      </c>
      <c r="S97" s="1">
        <v>102</v>
      </c>
      <c r="T97" s="2">
        <f t="shared" si="4"/>
        <v>33</v>
      </c>
      <c r="U97" s="1">
        <v>398</v>
      </c>
      <c r="V97" s="2">
        <f t="shared" si="5"/>
        <v>3283.5</v>
      </c>
      <c r="W97" s="1">
        <v>29</v>
      </c>
      <c r="X97" s="119" t="s">
        <v>51</v>
      </c>
      <c r="Y97" s="127" t="s">
        <v>67</v>
      </c>
      <c r="Z97" s="127" t="s">
        <v>101</v>
      </c>
      <c r="AA97" s="1" t="s">
        <v>80</v>
      </c>
      <c r="AB97" s="1" t="s">
        <v>340</v>
      </c>
    </row>
    <row r="98" spans="1:28" x14ac:dyDescent="0.15">
      <c r="A98" s="49" t="s">
        <v>53</v>
      </c>
      <c r="B98" s="49" t="s">
        <v>336</v>
      </c>
      <c r="C98" s="49">
        <v>2020</v>
      </c>
      <c r="D98" s="88" t="s">
        <v>371</v>
      </c>
      <c r="E98" s="49" t="s">
        <v>389</v>
      </c>
      <c r="F98" s="49" t="s">
        <v>379</v>
      </c>
      <c r="G98" s="49" t="s">
        <v>37</v>
      </c>
      <c r="H98" s="49" t="s">
        <v>82</v>
      </c>
      <c r="I98" s="49" t="s">
        <v>64</v>
      </c>
      <c r="J98" s="1" t="s">
        <v>40</v>
      </c>
      <c r="K98" s="1" t="s">
        <v>41</v>
      </c>
      <c r="L98" s="49">
        <v>1</v>
      </c>
      <c r="N98" s="1">
        <v>13</v>
      </c>
      <c r="O98" s="1">
        <v>0.75</v>
      </c>
      <c r="P98" s="1">
        <v>0.7</v>
      </c>
      <c r="Q98" s="7">
        <f t="shared" si="3"/>
        <v>0.72499999999999998</v>
      </c>
      <c r="R98" s="1">
        <v>17.8</v>
      </c>
      <c r="S98" s="1">
        <v>85</v>
      </c>
      <c r="T98" s="2">
        <f t="shared" si="4"/>
        <v>36</v>
      </c>
      <c r="U98" s="1">
        <v>900</v>
      </c>
      <c r="V98" s="2">
        <f t="shared" si="5"/>
        <v>2492.3076923076924</v>
      </c>
      <c r="W98" s="1">
        <v>29</v>
      </c>
      <c r="X98" s="119" t="s">
        <v>51</v>
      </c>
      <c r="Y98" s="127" t="s">
        <v>67</v>
      </c>
      <c r="Z98" s="127" t="s">
        <v>101</v>
      </c>
      <c r="AA98" s="1" t="s">
        <v>80</v>
      </c>
      <c r="AB98" s="1" t="s">
        <v>340</v>
      </c>
    </row>
    <row r="99" spans="1:28" x14ac:dyDescent="0.15">
      <c r="A99" s="49" t="s">
        <v>53</v>
      </c>
      <c r="B99" s="49" t="s">
        <v>336</v>
      </c>
      <c r="C99" s="49">
        <v>2020</v>
      </c>
      <c r="D99" s="88" t="s">
        <v>371</v>
      </c>
      <c r="E99" s="49" t="s">
        <v>389</v>
      </c>
      <c r="F99" s="49" t="s">
        <v>379</v>
      </c>
      <c r="G99" s="49" t="s">
        <v>37</v>
      </c>
      <c r="H99" s="49" t="s">
        <v>82</v>
      </c>
      <c r="I99" s="49" t="s">
        <v>64</v>
      </c>
      <c r="J99" s="1" t="s">
        <v>40</v>
      </c>
      <c r="K99" s="1" t="s">
        <v>41</v>
      </c>
      <c r="L99" s="49">
        <v>2</v>
      </c>
      <c r="N99" s="1">
        <v>13</v>
      </c>
      <c r="O99" s="1">
        <v>0.6</v>
      </c>
      <c r="P99" s="1">
        <v>0.6</v>
      </c>
      <c r="Q99" s="7">
        <f t="shared" si="3"/>
        <v>0.6</v>
      </c>
      <c r="R99" s="1">
        <v>19.399999999999999</v>
      </c>
      <c r="S99" s="1">
        <v>90</v>
      </c>
      <c r="T99" s="2">
        <f t="shared" si="4"/>
        <v>36</v>
      </c>
      <c r="U99" s="1">
        <v>900</v>
      </c>
      <c r="V99" s="2">
        <f t="shared" si="5"/>
        <v>2492.3076923076924</v>
      </c>
      <c r="W99" s="1">
        <v>29</v>
      </c>
      <c r="X99" s="119" t="s">
        <v>51</v>
      </c>
      <c r="Y99" s="127" t="s">
        <v>67</v>
      </c>
      <c r="Z99" s="127" t="s">
        <v>101</v>
      </c>
      <c r="AA99" s="1" t="s">
        <v>80</v>
      </c>
      <c r="AB99" s="1" t="s">
        <v>340</v>
      </c>
    </row>
    <row r="100" spans="1:28" x14ac:dyDescent="0.15">
      <c r="A100" s="49" t="s">
        <v>53</v>
      </c>
      <c r="B100" s="49" t="s">
        <v>336</v>
      </c>
      <c r="C100" s="49">
        <v>2020</v>
      </c>
      <c r="D100" s="88" t="s">
        <v>371</v>
      </c>
      <c r="E100" s="49" t="s">
        <v>389</v>
      </c>
      <c r="F100" s="49" t="s">
        <v>379</v>
      </c>
      <c r="G100" s="49" t="s">
        <v>37</v>
      </c>
      <c r="H100" s="49" t="s">
        <v>82</v>
      </c>
      <c r="I100" s="49" t="s">
        <v>64</v>
      </c>
      <c r="J100" s="1" t="s">
        <v>40</v>
      </c>
      <c r="K100" s="1" t="s">
        <v>41</v>
      </c>
      <c r="L100" s="49">
        <v>3</v>
      </c>
      <c r="N100" s="1">
        <v>13</v>
      </c>
      <c r="O100" s="1">
        <v>0.75</v>
      </c>
      <c r="P100" s="1">
        <v>0.75</v>
      </c>
      <c r="Q100" s="7">
        <f t="shared" si="3"/>
        <v>0.75</v>
      </c>
      <c r="R100" s="1">
        <v>16.8</v>
      </c>
      <c r="S100" s="1">
        <v>91</v>
      </c>
      <c r="T100" s="2">
        <f t="shared" si="4"/>
        <v>36</v>
      </c>
      <c r="U100" s="1">
        <v>900</v>
      </c>
      <c r="V100" s="2">
        <f t="shared" si="5"/>
        <v>2492.3076923076924</v>
      </c>
      <c r="W100" s="1">
        <v>29</v>
      </c>
      <c r="X100" s="119" t="s">
        <v>51</v>
      </c>
      <c r="Y100" s="127" t="s">
        <v>67</v>
      </c>
      <c r="Z100" s="127" t="s">
        <v>101</v>
      </c>
      <c r="AA100" s="1" t="s">
        <v>80</v>
      </c>
      <c r="AB100" s="1" t="s">
        <v>340</v>
      </c>
    </row>
    <row r="101" spans="1:28" x14ac:dyDescent="0.15">
      <c r="A101" s="49" t="s">
        <v>53</v>
      </c>
      <c r="B101" s="49" t="s">
        <v>336</v>
      </c>
      <c r="C101" s="49">
        <v>2020</v>
      </c>
      <c r="D101" s="88" t="s">
        <v>371</v>
      </c>
      <c r="E101" s="49" t="s">
        <v>389</v>
      </c>
      <c r="F101" s="49" t="s">
        <v>379</v>
      </c>
      <c r="G101" s="49" t="s">
        <v>37</v>
      </c>
      <c r="H101" s="49" t="s">
        <v>82</v>
      </c>
      <c r="I101" s="49" t="s">
        <v>71</v>
      </c>
      <c r="J101" s="1" t="s">
        <v>40</v>
      </c>
      <c r="K101" s="1" t="s">
        <v>41</v>
      </c>
      <c r="L101" s="49">
        <v>1</v>
      </c>
      <c r="N101" s="1">
        <v>4</v>
      </c>
      <c r="O101" s="1">
        <v>0.6</v>
      </c>
      <c r="P101" s="1">
        <v>0.6</v>
      </c>
      <c r="Q101" s="7">
        <f t="shared" si="3"/>
        <v>0.6</v>
      </c>
      <c r="R101" s="1">
        <v>15.4</v>
      </c>
      <c r="S101" s="1">
        <v>99</v>
      </c>
      <c r="T101" s="2">
        <f t="shared" si="4"/>
        <v>33</v>
      </c>
      <c r="U101" s="1">
        <v>598</v>
      </c>
      <c r="V101" s="2">
        <f t="shared" si="5"/>
        <v>4933.5</v>
      </c>
      <c r="W101" s="1">
        <v>29</v>
      </c>
      <c r="X101" s="119" t="s">
        <v>51</v>
      </c>
      <c r="Y101" s="127" t="s">
        <v>67</v>
      </c>
      <c r="Z101" s="127" t="s">
        <v>101</v>
      </c>
      <c r="AA101" s="1" t="s">
        <v>80</v>
      </c>
      <c r="AB101" s="1" t="s">
        <v>340</v>
      </c>
    </row>
    <row r="102" spans="1:28" x14ac:dyDescent="0.15">
      <c r="A102" s="49" t="s">
        <v>53</v>
      </c>
      <c r="B102" s="49" t="s">
        <v>336</v>
      </c>
      <c r="C102" s="49">
        <v>2020</v>
      </c>
      <c r="D102" s="88" t="s">
        <v>371</v>
      </c>
      <c r="E102" s="49" t="s">
        <v>389</v>
      </c>
      <c r="F102" s="49" t="s">
        <v>379</v>
      </c>
      <c r="G102" s="49" t="s">
        <v>37</v>
      </c>
      <c r="H102" s="49" t="s">
        <v>82</v>
      </c>
      <c r="I102" s="49" t="s">
        <v>71</v>
      </c>
      <c r="J102" s="1" t="s">
        <v>40</v>
      </c>
      <c r="K102" s="1" t="s">
        <v>41</v>
      </c>
      <c r="L102" s="49">
        <v>2</v>
      </c>
      <c r="N102" s="1">
        <v>4</v>
      </c>
      <c r="O102" s="1">
        <v>0.6</v>
      </c>
      <c r="P102" s="1">
        <v>0.7</v>
      </c>
      <c r="Q102" s="7">
        <f t="shared" si="3"/>
        <v>0.64999999999999991</v>
      </c>
      <c r="R102" s="1">
        <v>15.4</v>
      </c>
      <c r="S102" s="1">
        <v>97</v>
      </c>
      <c r="T102" s="2">
        <f t="shared" si="4"/>
        <v>36</v>
      </c>
      <c r="U102" s="1">
        <v>598</v>
      </c>
      <c r="V102" s="2">
        <f t="shared" si="5"/>
        <v>5382</v>
      </c>
      <c r="W102" s="1">
        <v>29</v>
      </c>
      <c r="X102" s="119" t="s">
        <v>51</v>
      </c>
      <c r="Y102" s="127" t="s">
        <v>67</v>
      </c>
      <c r="Z102" s="127" t="s">
        <v>101</v>
      </c>
      <c r="AA102" s="1" t="s">
        <v>80</v>
      </c>
      <c r="AB102" s="1" t="s">
        <v>340</v>
      </c>
    </row>
    <row r="103" spans="1:28" x14ac:dyDescent="0.15">
      <c r="A103" s="49" t="s">
        <v>53</v>
      </c>
      <c r="B103" s="49" t="s">
        <v>336</v>
      </c>
      <c r="C103" s="49">
        <v>2020</v>
      </c>
      <c r="D103" s="88" t="s">
        <v>371</v>
      </c>
      <c r="E103" s="49" t="s">
        <v>389</v>
      </c>
      <c r="F103" s="49" t="s">
        <v>379</v>
      </c>
      <c r="G103" s="49" t="s">
        <v>37</v>
      </c>
      <c r="H103" s="49" t="s">
        <v>82</v>
      </c>
      <c r="I103" s="49" t="s">
        <v>71</v>
      </c>
      <c r="J103" s="1" t="s">
        <v>40</v>
      </c>
      <c r="K103" s="1" t="s">
        <v>41</v>
      </c>
      <c r="L103" s="49">
        <v>3</v>
      </c>
      <c r="N103" s="1">
        <v>4</v>
      </c>
      <c r="O103" s="1">
        <v>0.5</v>
      </c>
      <c r="P103" s="1">
        <v>0.6</v>
      </c>
      <c r="Q103" s="7">
        <f t="shared" si="3"/>
        <v>0.55000000000000004</v>
      </c>
      <c r="R103" s="1">
        <v>16.399999999999999</v>
      </c>
      <c r="S103" s="1">
        <v>104</v>
      </c>
      <c r="T103" s="2">
        <f t="shared" si="4"/>
        <v>33</v>
      </c>
      <c r="U103" s="1">
        <v>598</v>
      </c>
      <c r="V103" s="2">
        <f t="shared" si="5"/>
        <v>4933.5</v>
      </c>
      <c r="W103" s="1">
        <v>29</v>
      </c>
      <c r="X103" s="119" t="s">
        <v>51</v>
      </c>
      <c r="Y103" s="127" t="s">
        <v>67</v>
      </c>
      <c r="Z103" s="127" t="s">
        <v>101</v>
      </c>
      <c r="AA103" s="1" t="s">
        <v>80</v>
      </c>
      <c r="AB103" s="1" t="s">
        <v>340</v>
      </c>
    </row>
    <row r="104" spans="1:28" x14ac:dyDescent="0.15">
      <c r="A104" s="49" t="s">
        <v>53</v>
      </c>
      <c r="B104" s="49" t="s">
        <v>336</v>
      </c>
      <c r="C104" s="49">
        <v>2020</v>
      </c>
      <c r="D104" s="88" t="s">
        <v>371</v>
      </c>
      <c r="E104" s="49" t="s">
        <v>389</v>
      </c>
      <c r="F104" s="49" t="s">
        <v>379</v>
      </c>
      <c r="G104" s="49" t="s">
        <v>37</v>
      </c>
      <c r="H104" s="49" t="s">
        <v>238</v>
      </c>
      <c r="I104" s="49" t="s">
        <v>64</v>
      </c>
      <c r="J104" s="1" t="s">
        <v>115</v>
      </c>
      <c r="K104" s="1" t="s">
        <v>73</v>
      </c>
      <c r="L104" s="49">
        <v>1</v>
      </c>
      <c r="N104" s="1">
        <v>8</v>
      </c>
      <c r="O104" s="1">
        <v>1</v>
      </c>
      <c r="P104" s="1">
        <v>0.9</v>
      </c>
      <c r="Q104" s="7">
        <f t="shared" si="3"/>
        <v>0.95</v>
      </c>
      <c r="R104" s="1">
        <v>12.3</v>
      </c>
      <c r="S104" s="1">
        <v>65</v>
      </c>
      <c r="T104" s="2">
        <f t="shared" si="4"/>
        <v>50</v>
      </c>
      <c r="U104" s="1">
        <v>598</v>
      </c>
      <c r="V104" s="2">
        <f t="shared" si="5"/>
        <v>3737.5</v>
      </c>
      <c r="W104" s="1">
        <v>29</v>
      </c>
      <c r="X104" s="119" t="s">
        <v>51</v>
      </c>
      <c r="Y104" s="127" t="s">
        <v>67</v>
      </c>
      <c r="Z104" s="127" t="s">
        <v>101</v>
      </c>
      <c r="AA104" s="1" t="s">
        <v>80</v>
      </c>
      <c r="AB104" s="1" t="s">
        <v>340</v>
      </c>
    </row>
    <row r="105" spans="1:28" x14ac:dyDescent="0.15">
      <c r="A105" s="49" t="s">
        <v>53</v>
      </c>
      <c r="B105" s="49" t="s">
        <v>336</v>
      </c>
      <c r="C105" s="49">
        <v>2020</v>
      </c>
      <c r="D105" s="88" t="s">
        <v>371</v>
      </c>
      <c r="E105" s="49" t="s">
        <v>389</v>
      </c>
      <c r="F105" s="49" t="s">
        <v>379</v>
      </c>
      <c r="G105" s="49" t="s">
        <v>37</v>
      </c>
      <c r="H105" s="49" t="s">
        <v>238</v>
      </c>
      <c r="I105" s="49" t="s">
        <v>64</v>
      </c>
      <c r="J105" s="1" t="s">
        <v>115</v>
      </c>
      <c r="K105" s="1" t="s">
        <v>73</v>
      </c>
      <c r="L105" s="49">
        <v>2</v>
      </c>
      <c r="N105" s="1">
        <v>8</v>
      </c>
      <c r="O105" s="1">
        <v>0.95</v>
      </c>
      <c r="P105" s="1">
        <v>1</v>
      </c>
      <c r="Q105" s="7">
        <f t="shared" si="3"/>
        <v>0.97499999999999998</v>
      </c>
      <c r="R105" s="1">
        <v>13.8</v>
      </c>
      <c r="S105" s="1">
        <v>74</v>
      </c>
      <c r="T105" s="2">
        <f t="shared" si="4"/>
        <v>42</v>
      </c>
      <c r="U105" s="1">
        <v>598</v>
      </c>
      <c r="V105" s="2">
        <f t="shared" si="5"/>
        <v>3139.5</v>
      </c>
      <c r="W105" s="1">
        <v>29</v>
      </c>
      <c r="X105" s="119" t="s">
        <v>51</v>
      </c>
      <c r="Y105" s="127" t="s">
        <v>67</v>
      </c>
      <c r="Z105" s="127" t="s">
        <v>101</v>
      </c>
      <c r="AA105" s="1" t="s">
        <v>80</v>
      </c>
      <c r="AB105" s="1" t="s">
        <v>340</v>
      </c>
    </row>
    <row r="106" spans="1:28" x14ac:dyDescent="0.15">
      <c r="A106" s="49" t="s">
        <v>53</v>
      </c>
      <c r="B106" s="49" t="s">
        <v>336</v>
      </c>
      <c r="C106" s="49">
        <v>2020</v>
      </c>
      <c r="D106" s="88" t="s">
        <v>371</v>
      </c>
      <c r="E106" s="49" t="s">
        <v>389</v>
      </c>
      <c r="F106" s="49" t="s">
        <v>379</v>
      </c>
      <c r="G106" s="49" t="s">
        <v>37</v>
      </c>
      <c r="H106" s="49" t="s">
        <v>238</v>
      </c>
      <c r="I106" s="49" t="s">
        <v>64</v>
      </c>
      <c r="J106" s="1" t="s">
        <v>115</v>
      </c>
      <c r="K106" s="1" t="s">
        <v>73</v>
      </c>
      <c r="L106" s="49">
        <v>3</v>
      </c>
      <c r="N106" s="1">
        <v>8</v>
      </c>
      <c r="O106" s="1">
        <v>1.2</v>
      </c>
      <c r="P106" s="1">
        <v>1.2</v>
      </c>
      <c r="Q106" s="7">
        <f t="shared" si="3"/>
        <v>1.2</v>
      </c>
      <c r="R106" s="1">
        <v>12.9</v>
      </c>
      <c r="S106" s="1">
        <v>56</v>
      </c>
      <c r="T106" s="2">
        <f t="shared" si="4"/>
        <v>50</v>
      </c>
      <c r="U106" s="1">
        <v>598</v>
      </c>
      <c r="V106" s="2">
        <f t="shared" si="5"/>
        <v>3737.5</v>
      </c>
      <c r="W106" s="1">
        <v>29</v>
      </c>
      <c r="X106" s="119" t="s">
        <v>51</v>
      </c>
      <c r="Y106" s="127" t="s">
        <v>67</v>
      </c>
      <c r="Z106" s="127" t="s">
        <v>101</v>
      </c>
      <c r="AA106" s="1" t="s">
        <v>80</v>
      </c>
      <c r="AB106" s="1" t="s">
        <v>340</v>
      </c>
    </row>
    <row r="107" spans="1:28" x14ac:dyDescent="0.15">
      <c r="A107" s="49" t="s">
        <v>53</v>
      </c>
      <c r="B107" s="49" t="s">
        <v>336</v>
      </c>
      <c r="C107" s="49">
        <v>2020</v>
      </c>
      <c r="D107" s="88" t="s">
        <v>371</v>
      </c>
      <c r="E107" s="49" t="s">
        <v>384</v>
      </c>
      <c r="F107" s="49" t="s">
        <v>379</v>
      </c>
      <c r="G107" s="49" t="s">
        <v>37</v>
      </c>
      <c r="H107" s="49" t="s">
        <v>63</v>
      </c>
      <c r="I107" s="49" t="s">
        <v>64</v>
      </c>
      <c r="J107" s="1" t="s">
        <v>40</v>
      </c>
      <c r="K107" s="1" t="s">
        <v>41</v>
      </c>
      <c r="L107" s="49">
        <v>1</v>
      </c>
      <c r="N107" s="1">
        <v>1</v>
      </c>
      <c r="O107" s="1">
        <v>0.5</v>
      </c>
      <c r="P107" s="1">
        <v>0.55000000000000004</v>
      </c>
      <c r="Q107" s="7">
        <f t="shared" si="3"/>
        <v>0.52500000000000002</v>
      </c>
      <c r="R107" s="1">
        <v>16.600000000000001</v>
      </c>
      <c r="S107" s="1">
        <v>118</v>
      </c>
      <c r="T107" s="2">
        <f t="shared" si="4"/>
        <v>30</v>
      </c>
      <c r="U107" s="1">
        <v>98</v>
      </c>
      <c r="V107" s="2">
        <f t="shared" si="5"/>
        <v>2940</v>
      </c>
      <c r="W107" s="1">
        <v>27</v>
      </c>
      <c r="X107" s="119" t="s">
        <v>51</v>
      </c>
      <c r="Y107" s="127" t="s">
        <v>67</v>
      </c>
      <c r="Z107" s="127" t="s">
        <v>101</v>
      </c>
      <c r="AA107" s="1" t="s">
        <v>122</v>
      </c>
      <c r="AB107" s="1" t="s">
        <v>340</v>
      </c>
    </row>
    <row r="108" spans="1:28" x14ac:dyDescent="0.15">
      <c r="A108" s="49" t="s">
        <v>53</v>
      </c>
      <c r="B108" s="49" t="s">
        <v>336</v>
      </c>
      <c r="C108" s="49">
        <v>2020</v>
      </c>
      <c r="D108" s="88" t="s">
        <v>371</v>
      </c>
      <c r="E108" s="49" t="s">
        <v>384</v>
      </c>
      <c r="F108" s="49" t="s">
        <v>379</v>
      </c>
      <c r="G108" s="49" t="s">
        <v>37</v>
      </c>
      <c r="H108" s="49" t="s">
        <v>63</v>
      </c>
      <c r="I108" s="49" t="s">
        <v>64</v>
      </c>
      <c r="J108" s="1" t="s">
        <v>40</v>
      </c>
      <c r="K108" s="1" t="s">
        <v>41</v>
      </c>
      <c r="L108" s="49">
        <v>2</v>
      </c>
      <c r="N108" s="1">
        <v>1</v>
      </c>
      <c r="O108" s="1">
        <v>0.4</v>
      </c>
      <c r="P108" s="1">
        <v>0.55000000000000004</v>
      </c>
      <c r="Q108" s="7">
        <f t="shared" si="3"/>
        <v>0.47500000000000003</v>
      </c>
      <c r="R108" s="1">
        <v>17</v>
      </c>
      <c r="S108" s="1">
        <v>123</v>
      </c>
      <c r="T108" s="2">
        <f t="shared" si="4"/>
        <v>30</v>
      </c>
      <c r="U108" s="1">
        <v>98</v>
      </c>
      <c r="V108" s="2">
        <f t="shared" si="5"/>
        <v>2940</v>
      </c>
      <c r="W108" s="1">
        <v>27</v>
      </c>
      <c r="X108" s="119" t="s">
        <v>51</v>
      </c>
      <c r="Y108" s="127" t="s">
        <v>67</v>
      </c>
      <c r="Z108" s="127" t="s">
        <v>101</v>
      </c>
      <c r="AA108" s="1" t="s">
        <v>122</v>
      </c>
      <c r="AB108" s="1" t="s">
        <v>340</v>
      </c>
    </row>
    <row r="109" spans="1:28" x14ac:dyDescent="0.15">
      <c r="A109" s="49" t="s">
        <v>53</v>
      </c>
      <c r="B109" s="49" t="s">
        <v>336</v>
      </c>
      <c r="C109" s="49">
        <v>2020</v>
      </c>
      <c r="D109" s="88" t="s">
        <v>371</v>
      </c>
      <c r="E109" s="49" t="s">
        <v>384</v>
      </c>
      <c r="F109" s="49" t="s">
        <v>379</v>
      </c>
      <c r="G109" s="49" t="s">
        <v>37</v>
      </c>
      <c r="H109" s="49" t="s">
        <v>63</v>
      </c>
      <c r="I109" s="49" t="s">
        <v>64</v>
      </c>
      <c r="J109" s="1" t="s">
        <v>40</v>
      </c>
      <c r="K109" s="1" t="s">
        <v>41</v>
      </c>
      <c r="L109" s="49">
        <v>3</v>
      </c>
      <c r="N109" s="1">
        <v>1</v>
      </c>
      <c r="O109" s="1">
        <v>0.6</v>
      </c>
      <c r="P109" s="1">
        <v>0.6</v>
      </c>
      <c r="Q109" s="7">
        <f t="shared" si="3"/>
        <v>0.6</v>
      </c>
      <c r="R109" s="1">
        <v>15</v>
      </c>
      <c r="S109" s="1">
        <v>118</v>
      </c>
      <c r="T109" s="2">
        <f t="shared" si="4"/>
        <v>30</v>
      </c>
      <c r="U109" s="1">
        <v>98</v>
      </c>
      <c r="V109" s="2">
        <f t="shared" si="5"/>
        <v>2940</v>
      </c>
      <c r="W109" s="1">
        <v>27</v>
      </c>
      <c r="X109" s="119" t="s">
        <v>51</v>
      </c>
      <c r="Y109" s="127" t="s">
        <v>67</v>
      </c>
      <c r="Z109" s="127" t="s">
        <v>101</v>
      </c>
      <c r="AA109" s="1" t="s">
        <v>122</v>
      </c>
      <c r="AB109" s="1" t="s">
        <v>340</v>
      </c>
    </row>
    <row r="110" spans="1:28" x14ac:dyDescent="0.15">
      <c r="A110" s="49" t="s">
        <v>53</v>
      </c>
      <c r="B110" s="49" t="s">
        <v>336</v>
      </c>
      <c r="C110" s="49">
        <v>2020</v>
      </c>
      <c r="D110" s="88" t="s">
        <v>371</v>
      </c>
      <c r="E110" s="49" t="s">
        <v>384</v>
      </c>
      <c r="F110" s="49" t="s">
        <v>379</v>
      </c>
      <c r="G110" s="49" t="s">
        <v>37</v>
      </c>
      <c r="H110" s="49" t="s">
        <v>63</v>
      </c>
      <c r="I110" s="49" t="s">
        <v>64</v>
      </c>
      <c r="J110" s="1" t="s">
        <v>40</v>
      </c>
      <c r="K110" s="1" t="s">
        <v>41</v>
      </c>
      <c r="L110" s="49">
        <v>1</v>
      </c>
      <c r="N110" s="1">
        <v>4</v>
      </c>
      <c r="O110" s="1">
        <v>0.2</v>
      </c>
      <c r="P110" s="1">
        <v>0.2</v>
      </c>
      <c r="Q110" s="7">
        <f t="shared" si="3"/>
        <v>0.2</v>
      </c>
      <c r="R110" s="1">
        <v>15.2</v>
      </c>
      <c r="S110" s="1">
        <v>90</v>
      </c>
      <c r="T110" s="2">
        <f t="shared" si="4"/>
        <v>36</v>
      </c>
      <c r="U110" s="1">
        <v>398</v>
      </c>
      <c r="V110" s="2">
        <f t="shared" si="5"/>
        <v>3582</v>
      </c>
      <c r="W110" s="1">
        <v>27</v>
      </c>
      <c r="X110" s="119" t="s">
        <v>51</v>
      </c>
      <c r="Y110" s="127" t="s">
        <v>67</v>
      </c>
      <c r="Z110" s="127" t="s">
        <v>101</v>
      </c>
      <c r="AA110" s="1" t="s">
        <v>122</v>
      </c>
      <c r="AB110" s="1" t="s">
        <v>340</v>
      </c>
    </row>
    <row r="111" spans="1:28" x14ac:dyDescent="0.15">
      <c r="A111" s="49" t="s">
        <v>53</v>
      </c>
      <c r="B111" s="49" t="s">
        <v>336</v>
      </c>
      <c r="C111" s="49">
        <v>2020</v>
      </c>
      <c r="D111" s="88" t="s">
        <v>371</v>
      </c>
      <c r="E111" s="49" t="s">
        <v>384</v>
      </c>
      <c r="F111" s="49" t="s">
        <v>379</v>
      </c>
      <c r="G111" s="49" t="s">
        <v>37</v>
      </c>
      <c r="H111" s="49" t="s">
        <v>63</v>
      </c>
      <c r="I111" s="49" t="s">
        <v>64</v>
      </c>
      <c r="J111" s="1" t="s">
        <v>40</v>
      </c>
      <c r="K111" s="1" t="s">
        <v>41</v>
      </c>
      <c r="L111" s="49">
        <v>2</v>
      </c>
      <c r="N111" s="1">
        <v>4</v>
      </c>
      <c r="O111" s="1">
        <v>0.2</v>
      </c>
      <c r="P111" s="1">
        <v>0.2</v>
      </c>
      <c r="Q111" s="7">
        <f t="shared" si="3"/>
        <v>0.2</v>
      </c>
      <c r="R111" s="1">
        <v>14</v>
      </c>
      <c r="S111" s="1">
        <v>89</v>
      </c>
      <c r="T111" s="2">
        <f t="shared" si="4"/>
        <v>36</v>
      </c>
      <c r="U111" s="1">
        <v>398</v>
      </c>
      <c r="V111" s="2">
        <f t="shared" si="5"/>
        <v>3582</v>
      </c>
      <c r="W111" s="1">
        <v>27</v>
      </c>
      <c r="X111" s="119" t="s">
        <v>51</v>
      </c>
      <c r="Y111" s="127" t="s">
        <v>67</v>
      </c>
      <c r="Z111" s="127" t="s">
        <v>101</v>
      </c>
      <c r="AA111" s="1" t="s">
        <v>122</v>
      </c>
      <c r="AB111" s="1" t="s">
        <v>340</v>
      </c>
    </row>
    <row r="112" spans="1:28" x14ac:dyDescent="0.15">
      <c r="A112" s="49" t="s">
        <v>53</v>
      </c>
      <c r="B112" s="49" t="s">
        <v>336</v>
      </c>
      <c r="C112" s="49">
        <v>2020</v>
      </c>
      <c r="D112" s="88" t="s">
        <v>371</v>
      </c>
      <c r="E112" s="49" t="s">
        <v>384</v>
      </c>
      <c r="F112" s="49" t="s">
        <v>379</v>
      </c>
      <c r="G112" s="49" t="s">
        <v>37</v>
      </c>
      <c r="H112" s="49" t="s">
        <v>63</v>
      </c>
      <c r="I112" s="49" t="s">
        <v>64</v>
      </c>
      <c r="J112" s="1" t="s">
        <v>40</v>
      </c>
      <c r="K112" s="1" t="s">
        <v>41</v>
      </c>
      <c r="L112" s="49">
        <v>3</v>
      </c>
      <c r="N112" s="1">
        <v>4</v>
      </c>
      <c r="O112" s="1">
        <v>0.2</v>
      </c>
      <c r="P112" s="1">
        <v>0.2</v>
      </c>
      <c r="Q112" s="7">
        <f t="shared" si="3"/>
        <v>0.2</v>
      </c>
      <c r="R112" s="1">
        <v>12.9</v>
      </c>
      <c r="S112" s="1">
        <v>93</v>
      </c>
      <c r="T112" s="2">
        <f t="shared" si="4"/>
        <v>36</v>
      </c>
      <c r="U112" s="1">
        <v>398</v>
      </c>
      <c r="V112" s="2">
        <f t="shared" si="5"/>
        <v>3582</v>
      </c>
      <c r="W112" s="1">
        <v>27</v>
      </c>
      <c r="X112" s="119" t="s">
        <v>51</v>
      </c>
      <c r="Y112" s="127" t="s">
        <v>67</v>
      </c>
      <c r="Z112" s="127" t="s">
        <v>101</v>
      </c>
      <c r="AA112" s="1" t="s">
        <v>122</v>
      </c>
      <c r="AB112" s="1" t="s">
        <v>340</v>
      </c>
    </row>
    <row r="113" spans="1:28" x14ac:dyDescent="0.15">
      <c r="A113" s="49" t="s">
        <v>53</v>
      </c>
      <c r="B113" s="49" t="s">
        <v>336</v>
      </c>
      <c r="C113" s="49">
        <v>2020</v>
      </c>
      <c r="D113" s="88" t="s">
        <v>371</v>
      </c>
      <c r="E113" s="49" t="s">
        <v>384</v>
      </c>
      <c r="F113" s="49" t="s">
        <v>379</v>
      </c>
      <c r="G113" s="49" t="s">
        <v>37</v>
      </c>
      <c r="H113" s="128" t="s">
        <v>77</v>
      </c>
      <c r="I113" s="49" t="s">
        <v>64</v>
      </c>
      <c r="J113" s="1" t="s">
        <v>40</v>
      </c>
      <c r="K113" s="1" t="s">
        <v>41</v>
      </c>
      <c r="L113" s="49">
        <v>1</v>
      </c>
      <c r="N113" s="1">
        <v>4</v>
      </c>
      <c r="O113" s="1">
        <v>0.5</v>
      </c>
      <c r="P113" s="1">
        <v>0.55000000000000004</v>
      </c>
      <c r="Q113" s="7">
        <f t="shared" si="3"/>
        <v>0.52500000000000002</v>
      </c>
      <c r="R113" s="1">
        <v>17</v>
      </c>
      <c r="S113" s="1">
        <v>100</v>
      </c>
      <c r="T113" s="2">
        <f t="shared" si="4"/>
        <v>33</v>
      </c>
      <c r="U113" s="1">
        <v>398</v>
      </c>
      <c r="V113" s="2">
        <f t="shared" si="5"/>
        <v>3283.5</v>
      </c>
      <c r="W113" s="1">
        <v>27</v>
      </c>
      <c r="X113" s="119" t="s">
        <v>51</v>
      </c>
      <c r="Y113" s="127" t="s">
        <v>67</v>
      </c>
      <c r="Z113" s="127" t="s">
        <v>101</v>
      </c>
      <c r="AA113" s="1" t="s">
        <v>122</v>
      </c>
      <c r="AB113" s="1" t="s">
        <v>340</v>
      </c>
    </row>
    <row r="114" spans="1:28" x14ac:dyDescent="0.15">
      <c r="A114" s="49" t="s">
        <v>53</v>
      </c>
      <c r="B114" s="49" t="s">
        <v>336</v>
      </c>
      <c r="C114" s="49">
        <v>2020</v>
      </c>
      <c r="D114" s="88" t="s">
        <v>371</v>
      </c>
      <c r="E114" s="49" t="s">
        <v>384</v>
      </c>
      <c r="F114" s="49" t="s">
        <v>379</v>
      </c>
      <c r="G114" s="49" t="s">
        <v>37</v>
      </c>
      <c r="H114" s="128" t="s">
        <v>77</v>
      </c>
      <c r="I114" s="49" t="s">
        <v>64</v>
      </c>
      <c r="J114" s="1" t="s">
        <v>40</v>
      </c>
      <c r="K114" s="1" t="s">
        <v>41</v>
      </c>
      <c r="L114" s="49">
        <v>2</v>
      </c>
      <c r="N114" s="1">
        <v>4</v>
      </c>
      <c r="O114" s="1">
        <v>0.7</v>
      </c>
      <c r="P114" s="1">
        <v>0.8</v>
      </c>
      <c r="Q114" s="7">
        <f t="shared" si="3"/>
        <v>0.75</v>
      </c>
      <c r="R114" s="1">
        <v>16.8</v>
      </c>
      <c r="S114" s="1">
        <v>100</v>
      </c>
      <c r="T114" s="2">
        <f t="shared" si="4"/>
        <v>33</v>
      </c>
      <c r="U114" s="1">
        <v>398</v>
      </c>
      <c r="V114" s="2">
        <f t="shared" si="5"/>
        <v>3283.5</v>
      </c>
      <c r="W114" s="1">
        <v>27</v>
      </c>
      <c r="X114" s="119" t="s">
        <v>51</v>
      </c>
      <c r="Y114" s="127" t="s">
        <v>67</v>
      </c>
      <c r="Z114" s="127" t="s">
        <v>101</v>
      </c>
      <c r="AA114" s="1" t="s">
        <v>122</v>
      </c>
      <c r="AB114" s="1" t="s">
        <v>340</v>
      </c>
    </row>
    <row r="115" spans="1:28" x14ac:dyDescent="0.15">
      <c r="A115" s="49" t="s">
        <v>53</v>
      </c>
      <c r="B115" s="49" t="s">
        <v>336</v>
      </c>
      <c r="C115" s="49">
        <v>2020</v>
      </c>
      <c r="D115" s="88" t="s">
        <v>371</v>
      </c>
      <c r="E115" s="49" t="s">
        <v>384</v>
      </c>
      <c r="F115" s="49" t="s">
        <v>379</v>
      </c>
      <c r="G115" s="49" t="s">
        <v>37</v>
      </c>
      <c r="H115" s="128" t="s">
        <v>77</v>
      </c>
      <c r="I115" s="49" t="s">
        <v>390</v>
      </c>
      <c r="J115" s="1" t="s">
        <v>40</v>
      </c>
      <c r="K115" s="1" t="s">
        <v>41</v>
      </c>
      <c r="L115" s="49">
        <v>3</v>
      </c>
      <c r="N115" s="1">
        <v>4</v>
      </c>
      <c r="O115" s="1">
        <v>0.8</v>
      </c>
      <c r="P115" s="1">
        <v>0.85</v>
      </c>
      <c r="Q115" s="7">
        <f t="shared" si="3"/>
        <v>0.82499999999999996</v>
      </c>
      <c r="R115" s="1">
        <v>18.8</v>
      </c>
      <c r="S115" s="1">
        <v>99</v>
      </c>
      <c r="T115" s="2">
        <f t="shared" si="4"/>
        <v>33</v>
      </c>
      <c r="U115" s="1">
        <v>398</v>
      </c>
      <c r="V115" s="2">
        <f t="shared" si="5"/>
        <v>3283.5</v>
      </c>
      <c r="W115" s="1">
        <v>27</v>
      </c>
      <c r="X115" s="119" t="s">
        <v>51</v>
      </c>
      <c r="Y115" s="127" t="s">
        <v>67</v>
      </c>
      <c r="Z115" s="127" t="s">
        <v>101</v>
      </c>
      <c r="AA115" s="1" t="s">
        <v>122</v>
      </c>
      <c r="AB115" s="1" t="s">
        <v>340</v>
      </c>
    </row>
    <row r="116" spans="1:28" x14ac:dyDescent="0.15">
      <c r="A116" s="49" t="s">
        <v>53</v>
      </c>
      <c r="B116" s="49" t="s">
        <v>336</v>
      </c>
      <c r="C116" s="49">
        <v>2020</v>
      </c>
      <c r="D116" s="88" t="s">
        <v>371</v>
      </c>
      <c r="E116" s="49" t="s">
        <v>384</v>
      </c>
      <c r="F116" s="49" t="s">
        <v>379</v>
      </c>
      <c r="G116" s="49" t="s">
        <v>37</v>
      </c>
      <c r="H116" s="49" t="s">
        <v>63</v>
      </c>
      <c r="I116" s="128" t="s">
        <v>71</v>
      </c>
      <c r="J116" s="1" t="s">
        <v>40</v>
      </c>
      <c r="K116" s="1" t="s">
        <v>41</v>
      </c>
      <c r="L116" s="49">
        <v>1</v>
      </c>
      <c r="N116" s="1">
        <v>2</v>
      </c>
      <c r="O116" s="1">
        <v>1.3</v>
      </c>
      <c r="P116" s="1">
        <v>1.3</v>
      </c>
      <c r="Q116" s="7">
        <f t="shared" si="3"/>
        <v>1.3</v>
      </c>
      <c r="R116" s="1">
        <v>13.8</v>
      </c>
      <c r="S116" s="1">
        <v>131</v>
      </c>
      <c r="T116" s="2">
        <f t="shared" si="4"/>
        <v>30</v>
      </c>
      <c r="U116" s="1">
        <v>298</v>
      </c>
      <c r="V116" s="2">
        <f t="shared" si="5"/>
        <v>4470</v>
      </c>
      <c r="W116" s="1">
        <v>27</v>
      </c>
      <c r="X116" s="119" t="s">
        <v>51</v>
      </c>
      <c r="Y116" s="127" t="s">
        <v>67</v>
      </c>
      <c r="Z116" s="127" t="s">
        <v>101</v>
      </c>
      <c r="AA116" s="1" t="s">
        <v>122</v>
      </c>
      <c r="AB116" s="1" t="s">
        <v>340</v>
      </c>
    </row>
    <row r="117" spans="1:28" x14ac:dyDescent="0.15">
      <c r="A117" s="49" t="s">
        <v>53</v>
      </c>
      <c r="B117" s="49" t="s">
        <v>336</v>
      </c>
      <c r="C117" s="49">
        <v>2020</v>
      </c>
      <c r="D117" s="88" t="s">
        <v>371</v>
      </c>
      <c r="E117" s="49" t="s">
        <v>384</v>
      </c>
      <c r="F117" s="49" t="s">
        <v>379</v>
      </c>
      <c r="G117" s="49" t="s">
        <v>37</v>
      </c>
      <c r="H117" s="49" t="s">
        <v>63</v>
      </c>
      <c r="I117" s="128" t="s">
        <v>71</v>
      </c>
      <c r="J117" s="1" t="s">
        <v>40</v>
      </c>
      <c r="K117" s="1" t="s">
        <v>41</v>
      </c>
      <c r="L117" s="49">
        <v>2</v>
      </c>
      <c r="N117" s="1">
        <v>2</v>
      </c>
      <c r="O117" s="1">
        <v>0.8</v>
      </c>
      <c r="P117" s="1">
        <v>0.85</v>
      </c>
      <c r="Q117" s="7">
        <f t="shared" si="3"/>
        <v>0.82499999999999996</v>
      </c>
      <c r="R117" s="1">
        <v>15.6</v>
      </c>
      <c r="S117" s="1">
        <v>127</v>
      </c>
      <c r="T117" s="2">
        <f t="shared" si="4"/>
        <v>30</v>
      </c>
      <c r="U117" s="1">
        <v>298</v>
      </c>
      <c r="V117" s="2">
        <f t="shared" si="5"/>
        <v>4470</v>
      </c>
      <c r="W117" s="1">
        <v>27</v>
      </c>
      <c r="X117" s="119" t="s">
        <v>51</v>
      </c>
      <c r="Y117" s="127" t="s">
        <v>67</v>
      </c>
      <c r="Z117" s="127" t="s">
        <v>101</v>
      </c>
      <c r="AA117" s="1" t="s">
        <v>122</v>
      </c>
      <c r="AB117" s="1" t="s">
        <v>340</v>
      </c>
    </row>
    <row r="118" spans="1:28" x14ac:dyDescent="0.15">
      <c r="A118" s="49" t="s">
        <v>53</v>
      </c>
      <c r="B118" s="49" t="s">
        <v>336</v>
      </c>
      <c r="C118" s="49">
        <v>2020</v>
      </c>
      <c r="D118" s="88" t="s">
        <v>371</v>
      </c>
      <c r="E118" s="49" t="s">
        <v>384</v>
      </c>
      <c r="F118" s="49" t="s">
        <v>379</v>
      </c>
      <c r="G118" s="49" t="s">
        <v>37</v>
      </c>
      <c r="H118" s="49" t="s">
        <v>63</v>
      </c>
      <c r="I118" s="128" t="s">
        <v>71</v>
      </c>
      <c r="J118" s="1" t="s">
        <v>40</v>
      </c>
      <c r="K118" s="1" t="s">
        <v>41</v>
      </c>
      <c r="L118" s="49">
        <v>3</v>
      </c>
      <c r="N118" s="1">
        <v>2</v>
      </c>
      <c r="O118" s="1">
        <v>0.9</v>
      </c>
      <c r="P118" s="1">
        <v>1.3</v>
      </c>
      <c r="Q118" s="7">
        <f t="shared" si="3"/>
        <v>1.1000000000000001</v>
      </c>
      <c r="R118" s="1">
        <v>15.3</v>
      </c>
      <c r="S118" s="1">
        <v>128</v>
      </c>
      <c r="T118" s="2">
        <f t="shared" si="4"/>
        <v>30</v>
      </c>
      <c r="U118" s="1">
        <v>298</v>
      </c>
      <c r="V118" s="2">
        <f t="shared" si="5"/>
        <v>4470</v>
      </c>
      <c r="W118" s="1">
        <v>27</v>
      </c>
      <c r="X118" s="119" t="s">
        <v>51</v>
      </c>
      <c r="Y118" s="127" t="s">
        <v>67</v>
      </c>
      <c r="Z118" s="127" t="s">
        <v>101</v>
      </c>
      <c r="AA118" s="1" t="s">
        <v>122</v>
      </c>
      <c r="AB118" s="1" t="s">
        <v>340</v>
      </c>
    </row>
    <row r="119" spans="1:28" x14ac:dyDescent="0.15">
      <c r="A119" s="49" t="s">
        <v>53</v>
      </c>
      <c r="B119" s="49" t="s">
        <v>336</v>
      </c>
      <c r="C119" s="49">
        <v>2020</v>
      </c>
      <c r="D119" s="88" t="s">
        <v>371</v>
      </c>
      <c r="E119" s="49" t="s">
        <v>384</v>
      </c>
      <c r="F119" s="49" t="s">
        <v>379</v>
      </c>
      <c r="G119" s="49" t="s">
        <v>37</v>
      </c>
      <c r="H119" s="128" t="s">
        <v>82</v>
      </c>
      <c r="I119" s="49" t="s">
        <v>64</v>
      </c>
      <c r="J119" s="1" t="s">
        <v>40</v>
      </c>
      <c r="K119" s="1" t="s">
        <v>41</v>
      </c>
      <c r="L119" s="49">
        <v>1</v>
      </c>
      <c r="N119" s="1">
        <v>1</v>
      </c>
      <c r="O119" s="1">
        <v>0.8</v>
      </c>
      <c r="P119" s="1">
        <v>0.9</v>
      </c>
      <c r="Q119" s="7">
        <f t="shared" si="3"/>
        <v>0.85000000000000009</v>
      </c>
      <c r="R119" s="1">
        <v>18.3</v>
      </c>
      <c r="S119" s="1">
        <v>141</v>
      </c>
      <c r="T119" s="2">
        <f t="shared" si="4"/>
        <v>30</v>
      </c>
      <c r="U119" s="1">
        <v>98</v>
      </c>
      <c r="V119" s="2">
        <f t="shared" si="5"/>
        <v>2940</v>
      </c>
      <c r="W119" s="1">
        <v>27</v>
      </c>
      <c r="X119" s="119" t="s">
        <v>51</v>
      </c>
      <c r="Y119" s="127" t="s">
        <v>67</v>
      </c>
      <c r="Z119" s="127" t="s">
        <v>101</v>
      </c>
      <c r="AA119" s="1" t="s">
        <v>122</v>
      </c>
      <c r="AB119" s="1" t="s">
        <v>340</v>
      </c>
    </row>
    <row r="120" spans="1:28" x14ac:dyDescent="0.15">
      <c r="A120" s="49" t="s">
        <v>53</v>
      </c>
      <c r="B120" s="49" t="s">
        <v>336</v>
      </c>
      <c r="C120" s="49">
        <v>2020</v>
      </c>
      <c r="D120" s="88" t="s">
        <v>371</v>
      </c>
      <c r="E120" s="49" t="s">
        <v>384</v>
      </c>
      <c r="F120" s="49" t="s">
        <v>379</v>
      </c>
      <c r="G120" s="49" t="s">
        <v>37</v>
      </c>
      <c r="H120" s="128" t="s">
        <v>82</v>
      </c>
      <c r="I120" s="49" t="s">
        <v>64</v>
      </c>
      <c r="J120" s="1" t="s">
        <v>40</v>
      </c>
      <c r="K120" s="1" t="s">
        <v>41</v>
      </c>
      <c r="L120" s="49">
        <v>2</v>
      </c>
      <c r="N120" s="1">
        <v>1</v>
      </c>
      <c r="O120" s="1">
        <v>0.7</v>
      </c>
      <c r="P120" s="1">
        <v>0.7</v>
      </c>
      <c r="Q120" s="7">
        <f t="shared" si="3"/>
        <v>0.7</v>
      </c>
      <c r="R120" s="1">
        <v>16.7</v>
      </c>
      <c r="S120" s="1">
        <v>138</v>
      </c>
      <c r="T120" s="2">
        <f t="shared" si="4"/>
        <v>30</v>
      </c>
      <c r="U120" s="1">
        <v>98</v>
      </c>
      <c r="V120" s="2">
        <f t="shared" si="5"/>
        <v>2940</v>
      </c>
      <c r="W120" s="1">
        <v>27</v>
      </c>
      <c r="X120" s="119" t="s">
        <v>51</v>
      </c>
      <c r="Y120" s="127" t="s">
        <v>67</v>
      </c>
      <c r="Z120" s="127" t="s">
        <v>101</v>
      </c>
      <c r="AA120" s="1" t="s">
        <v>122</v>
      </c>
      <c r="AB120" s="1" t="s">
        <v>340</v>
      </c>
    </row>
    <row r="121" spans="1:28" x14ac:dyDescent="0.15">
      <c r="A121" s="49" t="s">
        <v>53</v>
      </c>
      <c r="B121" s="49" t="s">
        <v>336</v>
      </c>
      <c r="C121" s="49">
        <v>2020</v>
      </c>
      <c r="D121" s="88" t="s">
        <v>371</v>
      </c>
      <c r="E121" s="49" t="s">
        <v>384</v>
      </c>
      <c r="F121" s="49" t="s">
        <v>379</v>
      </c>
      <c r="G121" s="49" t="s">
        <v>37</v>
      </c>
      <c r="H121" s="128" t="s">
        <v>82</v>
      </c>
      <c r="I121" s="49" t="s">
        <v>64</v>
      </c>
      <c r="J121" s="1" t="s">
        <v>40</v>
      </c>
      <c r="K121" s="1" t="s">
        <v>41</v>
      </c>
      <c r="L121" s="49">
        <v>3</v>
      </c>
      <c r="N121" s="1">
        <v>1</v>
      </c>
      <c r="O121" s="1">
        <v>0.8</v>
      </c>
      <c r="P121" s="1">
        <v>0.75</v>
      </c>
      <c r="Q121" s="7">
        <f t="shared" si="3"/>
        <v>0.77500000000000002</v>
      </c>
      <c r="R121" s="1">
        <v>17.2</v>
      </c>
      <c r="S121" s="1">
        <v>124</v>
      </c>
      <c r="T121" s="2">
        <f t="shared" si="4"/>
        <v>30</v>
      </c>
      <c r="U121" s="1">
        <v>98</v>
      </c>
      <c r="V121" s="2">
        <f t="shared" si="5"/>
        <v>2940</v>
      </c>
      <c r="W121" s="1">
        <v>27</v>
      </c>
      <c r="X121" s="119" t="s">
        <v>51</v>
      </c>
      <c r="Y121" s="127" t="s">
        <v>67</v>
      </c>
      <c r="Z121" s="127" t="s">
        <v>101</v>
      </c>
      <c r="AA121" s="1" t="s">
        <v>122</v>
      </c>
      <c r="AB121" s="1" t="s">
        <v>340</v>
      </c>
    </row>
    <row r="122" spans="1:28" x14ac:dyDescent="0.15">
      <c r="A122" s="49" t="s">
        <v>53</v>
      </c>
      <c r="B122" s="49" t="s">
        <v>336</v>
      </c>
      <c r="C122" s="49">
        <v>2020</v>
      </c>
      <c r="D122" s="88" t="s">
        <v>371</v>
      </c>
      <c r="E122" s="49" t="s">
        <v>384</v>
      </c>
      <c r="F122" s="49" t="s">
        <v>379</v>
      </c>
      <c r="G122" s="49" t="s">
        <v>37</v>
      </c>
      <c r="H122" s="128" t="s">
        <v>82</v>
      </c>
      <c r="I122" s="49" t="s">
        <v>64</v>
      </c>
      <c r="J122" s="1" t="s">
        <v>40</v>
      </c>
      <c r="K122" s="1" t="s">
        <v>41</v>
      </c>
      <c r="L122" s="49">
        <v>1</v>
      </c>
      <c r="N122" s="1">
        <v>4</v>
      </c>
      <c r="O122" s="1">
        <v>0.75</v>
      </c>
      <c r="P122" s="1">
        <v>0.75</v>
      </c>
      <c r="Q122" s="7">
        <f t="shared" si="3"/>
        <v>0.75</v>
      </c>
      <c r="R122" s="1">
        <v>16.8</v>
      </c>
      <c r="S122" s="1">
        <v>111</v>
      </c>
      <c r="T122" s="2">
        <f t="shared" si="4"/>
        <v>33</v>
      </c>
      <c r="U122" s="1">
        <v>498</v>
      </c>
      <c r="V122" s="2">
        <f t="shared" si="5"/>
        <v>4108.5</v>
      </c>
      <c r="W122" s="1">
        <v>27</v>
      </c>
      <c r="X122" s="119" t="s">
        <v>51</v>
      </c>
      <c r="Y122" s="127" t="s">
        <v>67</v>
      </c>
      <c r="Z122" s="127" t="s">
        <v>101</v>
      </c>
      <c r="AA122" s="1" t="s">
        <v>122</v>
      </c>
      <c r="AB122" s="1" t="s">
        <v>340</v>
      </c>
    </row>
    <row r="123" spans="1:28" x14ac:dyDescent="0.15">
      <c r="A123" s="49" t="s">
        <v>53</v>
      </c>
      <c r="B123" s="49" t="s">
        <v>336</v>
      </c>
      <c r="C123" s="49">
        <v>2020</v>
      </c>
      <c r="D123" s="88" t="s">
        <v>371</v>
      </c>
      <c r="E123" s="49" t="s">
        <v>384</v>
      </c>
      <c r="F123" s="49" t="s">
        <v>379</v>
      </c>
      <c r="G123" s="49" t="s">
        <v>37</v>
      </c>
      <c r="H123" s="128" t="s">
        <v>82</v>
      </c>
      <c r="I123" s="49" t="s">
        <v>64</v>
      </c>
      <c r="J123" s="1" t="s">
        <v>40</v>
      </c>
      <c r="K123" s="1" t="s">
        <v>41</v>
      </c>
      <c r="L123" s="49">
        <v>2</v>
      </c>
      <c r="N123" s="1">
        <v>4</v>
      </c>
      <c r="O123" s="1">
        <v>1.1000000000000001</v>
      </c>
      <c r="P123" s="1">
        <v>1.2</v>
      </c>
      <c r="Q123" s="7">
        <f t="shared" si="3"/>
        <v>1.1499999999999999</v>
      </c>
      <c r="R123" s="1">
        <v>13.4</v>
      </c>
      <c r="S123" s="1">
        <v>111</v>
      </c>
      <c r="T123" s="2">
        <f t="shared" si="4"/>
        <v>33</v>
      </c>
      <c r="U123" s="1">
        <v>498</v>
      </c>
      <c r="V123" s="2">
        <f t="shared" si="5"/>
        <v>4108.5</v>
      </c>
      <c r="W123" s="1">
        <v>27</v>
      </c>
      <c r="X123" s="119" t="s">
        <v>51</v>
      </c>
      <c r="Y123" s="127" t="s">
        <v>67</v>
      </c>
      <c r="Z123" s="127" t="s">
        <v>101</v>
      </c>
      <c r="AA123" s="1" t="s">
        <v>122</v>
      </c>
      <c r="AB123" s="1" t="s">
        <v>340</v>
      </c>
    </row>
    <row r="124" spans="1:28" x14ac:dyDescent="0.15">
      <c r="A124" s="49" t="s">
        <v>53</v>
      </c>
      <c r="B124" s="49" t="s">
        <v>336</v>
      </c>
      <c r="C124" s="49">
        <v>2020</v>
      </c>
      <c r="D124" s="88" t="s">
        <v>371</v>
      </c>
      <c r="E124" s="49" t="s">
        <v>384</v>
      </c>
      <c r="F124" s="49" t="s">
        <v>379</v>
      </c>
      <c r="G124" s="49" t="s">
        <v>37</v>
      </c>
      <c r="H124" s="128" t="s">
        <v>82</v>
      </c>
      <c r="I124" s="49" t="s">
        <v>64</v>
      </c>
      <c r="J124" s="1" t="s">
        <v>40</v>
      </c>
      <c r="K124" s="1" t="s">
        <v>41</v>
      </c>
      <c r="L124" s="49">
        <v>3</v>
      </c>
      <c r="N124" s="1">
        <v>4</v>
      </c>
      <c r="O124" s="1">
        <v>1.1499999999999999</v>
      </c>
      <c r="P124" s="1">
        <v>1.2</v>
      </c>
      <c r="Q124" s="7">
        <f t="shared" si="3"/>
        <v>1.1749999999999998</v>
      </c>
      <c r="R124" s="1">
        <v>15.8</v>
      </c>
      <c r="S124" s="1">
        <v>113</v>
      </c>
      <c r="T124" s="2">
        <f t="shared" si="4"/>
        <v>30</v>
      </c>
      <c r="U124" s="1">
        <v>498</v>
      </c>
      <c r="V124" s="2">
        <f t="shared" si="5"/>
        <v>3735</v>
      </c>
      <c r="W124" s="1">
        <v>27</v>
      </c>
      <c r="X124" s="119" t="s">
        <v>51</v>
      </c>
      <c r="Y124" s="127" t="s">
        <v>67</v>
      </c>
      <c r="Z124" s="127" t="s">
        <v>101</v>
      </c>
      <c r="AA124" s="1" t="s">
        <v>122</v>
      </c>
      <c r="AB124" s="1" t="s">
        <v>340</v>
      </c>
    </row>
    <row r="125" spans="1:28" x14ac:dyDescent="0.15">
      <c r="A125" s="49" t="s">
        <v>53</v>
      </c>
      <c r="B125" s="49" t="s">
        <v>336</v>
      </c>
      <c r="C125" s="49">
        <v>2020</v>
      </c>
      <c r="D125" s="88" t="s">
        <v>371</v>
      </c>
      <c r="E125" s="49" t="s">
        <v>384</v>
      </c>
      <c r="F125" s="49" t="s">
        <v>379</v>
      </c>
      <c r="G125" s="49" t="s">
        <v>37</v>
      </c>
      <c r="H125" s="128" t="s">
        <v>82</v>
      </c>
      <c r="I125" s="49" t="s">
        <v>64</v>
      </c>
      <c r="J125" s="1" t="s">
        <v>40</v>
      </c>
      <c r="K125" s="1" t="s">
        <v>41</v>
      </c>
      <c r="L125" s="49">
        <v>1</v>
      </c>
      <c r="N125" s="1">
        <v>1</v>
      </c>
      <c r="O125" s="1">
        <v>0.65</v>
      </c>
      <c r="P125" s="1">
        <v>0.65</v>
      </c>
      <c r="Q125" s="7">
        <f t="shared" si="3"/>
        <v>0.65</v>
      </c>
      <c r="R125" s="1">
        <v>19.100000000000001</v>
      </c>
      <c r="S125" s="1">
        <v>155</v>
      </c>
      <c r="T125" s="2">
        <f t="shared" si="4"/>
        <v>30</v>
      </c>
      <c r="U125" s="1">
        <v>198</v>
      </c>
      <c r="V125" s="2">
        <f t="shared" si="5"/>
        <v>5940</v>
      </c>
      <c r="W125" s="1">
        <v>27</v>
      </c>
      <c r="X125" s="119" t="s">
        <v>51</v>
      </c>
      <c r="Y125" s="127" t="s">
        <v>67</v>
      </c>
      <c r="Z125" s="127" t="s">
        <v>101</v>
      </c>
      <c r="AA125" s="1" t="s">
        <v>122</v>
      </c>
      <c r="AB125" s="1" t="s">
        <v>340</v>
      </c>
    </row>
    <row r="126" spans="1:28" x14ac:dyDescent="0.15">
      <c r="A126" s="49" t="s">
        <v>53</v>
      </c>
      <c r="B126" s="49" t="s">
        <v>336</v>
      </c>
      <c r="C126" s="49">
        <v>2020</v>
      </c>
      <c r="D126" s="88" t="s">
        <v>371</v>
      </c>
      <c r="E126" s="49" t="s">
        <v>384</v>
      </c>
      <c r="F126" s="49" t="s">
        <v>379</v>
      </c>
      <c r="G126" s="49" t="s">
        <v>37</v>
      </c>
      <c r="H126" s="128" t="s">
        <v>82</v>
      </c>
      <c r="I126" s="49" t="s">
        <v>64</v>
      </c>
      <c r="J126" s="1" t="s">
        <v>40</v>
      </c>
      <c r="K126" s="1" t="s">
        <v>41</v>
      </c>
      <c r="L126" s="49">
        <v>2</v>
      </c>
      <c r="N126" s="1">
        <v>1</v>
      </c>
      <c r="O126" s="1">
        <v>0.4</v>
      </c>
      <c r="P126" s="1">
        <v>0.4</v>
      </c>
      <c r="Q126" s="7">
        <f t="shared" si="3"/>
        <v>0.4</v>
      </c>
      <c r="R126" s="1">
        <v>17.3</v>
      </c>
      <c r="S126" s="1">
        <v>173</v>
      </c>
      <c r="T126" s="2">
        <f t="shared" si="4"/>
        <v>30</v>
      </c>
      <c r="U126" s="1">
        <v>198</v>
      </c>
      <c r="V126" s="2">
        <f t="shared" si="5"/>
        <v>5940</v>
      </c>
      <c r="W126" s="1">
        <v>27</v>
      </c>
      <c r="X126" s="119" t="s">
        <v>51</v>
      </c>
      <c r="Y126" s="127" t="s">
        <v>67</v>
      </c>
      <c r="Z126" s="127" t="s">
        <v>101</v>
      </c>
      <c r="AA126" s="1" t="s">
        <v>122</v>
      </c>
      <c r="AB126" s="1" t="s">
        <v>340</v>
      </c>
    </row>
    <row r="127" spans="1:28" x14ac:dyDescent="0.15">
      <c r="A127" s="49" t="s">
        <v>53</v>
      </c>
      <c r="B127" s="49" t="s">
        <v>336</v>
      </c>
      <c r="C127" s="49">
        <v>2020</v>
      </c>
      <c r="D127" s="88" t="s">
        <v>371</v>
      </c>
      <c r="E127" s="49" t="s">
        <v>384</v>
      </c>
      <c r="F127" s="49" t="s">
        <v>379</v>
      </c>
      <c r="G127" s="49" t="s">
        <v>37</v>
      </c>
      <c r="H127" s="128" t="s">
        <v>82</v>
      </c>
      <c r="I127" s="49" t="s">
        <v>390</v>
      </c>
      <c r="J127" s="1" t="s">
        <v>40</v>
      </c>
      <c r="K127" s="1" t="s">
        <v>41</v>
      </c>
      <c r="L127" s="49">
        <v>3</v>
      </c>
      <c r="N127" s="1">
        <v>1</v>
      </c>
      <c r="O127" s="1">
        <v>0.7</v>
      </c>
      <c r="P127" s="1">
        <v>0.65</v>
      </c>
      <c r="Q127" s="7">
        <f t="shared" si="3"/>
        <v>0.67500000000000004</v>
      </c>
      <c r="R127" s="1">
        <v>19</v>
      </c>
      <c r="S127" s="1">
        <v>162</v>
      </c>
      <c r="T127" s="2">
        <f t="shared" si="4"/>
        <v>30</v>
      </c>
      <c r="U127" s="1">
        <v>198</v>
      </c>
      <c r="V127" s="2">
        <f t="shared" si="5"/>
        <v>5940</v>
      </c>
      <c r="W127" s="1">
        <v>27</v>
      </c>
      <c r="X127" s="119" t="s">
        <v>51</v>
      </c>
      <c r="Y127" s="127" t="s">
        <v>67</v>
      </c>
      <c r="Z127" s="127" t="s">
        <v>101</v>
      </c>
      <c r="AA127" s="1" t="s">
        <v>122</v>
      </c>
      <c r="AB127" s="1" t="s">
        <v>340</v>
      </c>
    </row>
    <row r="128" spans="1:28" x14ac:dyDescent="0.15">
      <c r="A128" s="49" t="s">
        <v>53</v>
      </c>
      <c r="B128" s="49" t="s">
        <v>336</v>
      </c>
      <c r="C128" s="49">
        <v>2020</v>
      </c>
      <c r="D128" s="88" t="s">
        <v>371</v>
      </c>
      <c r="E128" s="49" t="s">
        <v>384</v>
      </c>
      <c r="F128" s="49" t="s">
        <v>379</v>
      </c>
      <c r="G128" s="49" t="s">
        <v>37</v>
      </c>
      <c r="H128" s="128" t="s">
        <v>82</v>
      </c>
      <c r="I128" s="128" t="s">
        <v>71</v>
      </c>
      <c r="J128" s="1" t="s">
        <v>40</v>
      </c>
      <c r="K128" s="1" t="s">
        <v>41</v>
      </c>
      <c r="L128" s="49">
        <v>1</v>
      </c>
      <c r="N128" s="1">
        <v>2</v>
      </c>
      <c r="O128" s="1">
        <v>0.75</v>
      </c>
      <c r="P128" s="1">
        <v>0.85</v>
      </c>
      <c r="Q128" s="7">
        <f t="shared" si="3"/>
        <v>0.8</v>
      </c>
      <c r="R128" s="1">
        <v>16.100000000000001</v>
      </c>
      <c r="S128" s="1">
        <v>125</v>
      </c>
      <c r="T128" s="2">
        <f t="shared" si="4"/>
        <v>30</v>
      </c>
      <c r="U128" s="1">
        <v>398</v>
      </c>
      <c r="V128" s="2">
        <f t="shared" si="5"/>
        <v>5970</v>
      </c>
      <c r="W128" s="1">
        <v>27</v>
      </c>
      <c r="X128" s="119" t="s">
        <v>51</v>
      </c>
      <c r="Y128" s="127" t="s">
        <v>67</v>
      </c>
      <c r="Z128" s="127" t="s">
        <v>101</v>
      </c>
      <c r="AA128" s="1" t="s">
        <v>122</v>
      </c>
      <c r="AB128" s="1" t="s">
        <v>340</v>
      </c>
    </row>
    <row r="129" spans="1:28" x14ac:dyDescent="0.15">
      <c r="A129" s="49" t="s">
        <v>53</v>
      </c>
      <c r="B129" s="49" t="s">
        <v>336</v>
      </c>
      <c r="C129" s="49">
        <v>2020</v>
      </c>
      <c r="D129" s="88" t="s">
        <v>371</v>
      </c>
      <c r="E129" s="49" t="s">
        <v>384</v>
      </c>
      <c r="F129" s="49" t="s">
        <v>379</v>
      </c>
      <c r="G129" s="49" t="s">
        <v>37</v>
      </c>
      <c r="H129" s="128" t="s">
        <v>82</v>
      </c>
      <c r="I129" s="128" t="s">
        <v>71</v>
      </c>
      <c r="J129" s="1" t="s">
        <v>40</v>
      </c>
      <c r="K129" s="1" t="s">
        <v>41</v>
      </c>
      <c r="L129" s="49">
        <v>2</v>
      </c>
      <c r="N129" s="1">
        <v>2</v>
      </c>
      <c r="O129" s="1">
        <v>0.75</v>
      </c>
      <c r="P129" s="1">
        <v>0.75</v>
      </c>
      <c r="Q129" s="7">
        <f t="shared" si="3"/>
        <v>0.75</v>
      </c>
      <c r="R129" s="1">
        <v>15.4</v>
      </c>
      <c r="S129" s="1">
        <v>124</v>
      </c>
      <c r="T129" s="2">
        <f t="shared" si="4"/>
        <v>30</v>
      </c>
      <c r="U129" s="1">
        <v>398</v>
      </c>
      <c r="V129" s="2">
        <f t="shared" si="5"/>
        <v>5970</v>
      </c>
      <c r="W129" s="1">
        <v>27</v>
      </c>
      <c r="X129" s="119" t="s">
        <v>51</v>
      </c>
      <c r="Y129" s="127" t="s">
        <v>67</v>
      </c>
      <c r="Z129" s="127" t="s">
        <v>101</v>
      </c>
      <c r="AA129" s="1" t="s">
        <v>122</v>
      </c>
      <c r="AB129" s="1" t="s">
        <v>340</v>
      </c>
    </row>
    <row r="130" spans="1:28" x14ac:dyDescent="0.15">
      <c r="A130" s="49" t="s">
        <v>53</v>
      </c>
      <c r="B130" s="49" t="s">
        <v>336</v>
      </c>
      <c r="C130" s="49">
        <v>2020</v>
      </c>
      <c r="D130" s="88" t="s">
        <v>371</v>
      </c>
      <c r="E130" s="49" t="s">
        <v>384</v>
      </c>
      <c r="F130" s="49" t="s">
        <v>379</v>
      </c>
      <c r="G130" s="49" t="s">
        <v>37</v>
      </c>
      <c r="H130" s="128" t="s">
        <v>82</v>
      </c>
      <c r="I130" s="128" t="s">
        <v>71</v>
      </c>
      <c r="J130" s="1" t="s">
        <v>40</v>
      </c>
      <c r="K130" s="1" t="s">
        <v>41</v>
      </c>
      <c r="L130" s="49">
        <v>3</v>
      </c>
      <c r="N130" s="1">
        <v>2</v>
      </c>
      <c r="O130" s="1">
        <v>0.9</v>
      </c>
      <c r="P130" s="1">
        <v>0.85</v>
      </c>
      <c r="Q130" s="7">
        <f t="shared" ref="Q130" si="6">IF(OR(O130="",P130=""),"",AVERAGE(O130,P130))</f>
        <v>0.875</v>
      </c>
      <c r="R130" s="1">
        <v>15.3</v>
      </c>
      <c r="S130" s="1">
        <v>130</v>
      </c>
      <c r="T130" s="2">
        <f t="shared" ref="T130" si="7">IF(H130="","",IF(OR(H130="GREEN",H130="GK"),IF(S130&gt;=$AX$2,VLOOKUP(S130,$AX$2:$AY$7,2,1),""),IF(S130&gt;=$AZ$2,VLOOKUP(S130,$AZ$2:$BA$7,2,1),"")))</f>
        <v>30</v>
      </c>
      <c r="U130" s="1">
        <v>398</v>
      </c>
      <c r="V130" s="2">
        <f t="shared" ref="V130" si="8">IF(OR(N130="",U130="",T130=""),"",U130/N130*T130)</f>
        <v>5970</v>
      </c>
      <c r="W130" s="1">
        <v>27</v>
      </c>
      <c r="X130" s="119" t="s">
        <v>51</v>
      </c>
      <c r="Y130" s="127" t="s">
        <v>67</v>
      </c>
      <c r="Z130" s="127" t="s">
        <v>101</v>
      </c>
      <c r="AA130" s="1" t="s">
        <v>122</v>
      </c>
      <c r="AB130" s="1" t="s">
        <v>340</v>
      </c>
    </row>
    <row r="131" spans="1:28" x14ac:dyDescent="0.15">
      <c r="A131" s="129"/>
      <c r="B131" s="128"/>
      <c r="C131" s="128"/>
      <c r="D131" s="130"/>
      <c r="E131" s="128"/>
      <c r="F131" s="128"/>
      <c r="G131" s="128"/>
      <c r="H131" s="128"/>
      <c r="I131" s="128"/>
      <c r="L131" s="49"/>
      <c r="Q131" s="7"/>
    </row>
    <row r="132" spans="1:28" x14ac:dyDescent="0.15">
      <c r="A132" s="129"/>
      <c r="B132" s="128"/>
      <c r="C132" s="128"/>
      <c r="D132" s="130"/>
      <c r="E132" s="128"/>
      <c r="F132" s="128"/>
      <c r="G132" s="128"/>
      <c r="H132" s="128"/>
      <c r="I132" s="128"/>
      <c r="L132" s="49"/>
      <c r="Q132" s="7"/>
    </row>
    <row r="133" spans="1:28" x14ac:dyDescent="0.15">
      <c r="A133" s="129"/>
      <c r="B133" s="128"/>
      <c r="C133" s="128"/>
      <c r="D133" s="130"/>
      <c r="E133" s="128"/>
      <c r="F133" s="128"/>
      <c r="G133" s="128"/>
      <c r="H133" s="128"/>
      <c r="I133" s="128"/>
      <c r="L133" s="49"/>
      <c r="Q133" s="7"/>
    </row>
    <row r="134" spans="1:28" x14ac:dyDescent="0.15">
      <c r="A134" s="129"/>
      <c r="B134" s="128"/>
      <c r="C134" s="128"/>
      <c r="D134" s="130"/>
      <c r="E134" s="128"/>
      <c r="F134" s="128"/>
      <c r="G134" s="128"/>
      <c r="H134" s="128"/>
      <c r="I134" s="128"/>
      <c r="L134" s="49"/>
      <c r="Q134" s="7"/>
    </row>
    <row r="135" spans="1:28" x14ac:dyDescent="0.15">
      <c r="A135" s="129"/>
      <c r="B135" s="128"/>
      <c r="C135" s="128"/>
      <c r="D135" s="130"/>
      <c r="E135" s="128"/>
      <c r="F135" s="128"/>
      <c r="G135" s="128"/>
      <c r="H135" s="128"/>
      <c r="I135" s="128"/>
      <c r="L135" s="49"/>
      <c r="Q135" s="7"/>
    </row>
    <row r="136" spans="1:28" x14ac:dyDescent="0.15">
      <c r="A136" s="129"/>
      <c r="B136" s="128"/>
      <c r="C136" s="128"/>
      <c r="D136" s="130"/>
      <c r="E136" s="128"/>
      <c r="F136" s="128"/>
      <c r="G136" s="128"/>
      <c r="H136" s="128"/>
      <c r="I136" s="128"/>
      <c r="L136" s="49"/>
      <c r="Q136" s="7"/>
    </row>
    <row r="137" spans="1:28" x14ac:dyDescent="0.15">
      <c r="A137" s="129"/>
      <c r="B137" s="128"/>
      <c r="C137" s="128"/>
      <c r="D137" s="130"/>
      <c r="E137" s="128"/>
      <c r="F137" s="128"/>
      <c r="G137" s="128"/>
      <c r="H137" s="128"/>
      <c r="I137" s="128"/>
      <c r="L137" s="49"/>
      <c r="Q137" s="7"/>
    </row>
    <row r="138" spans="1:28" x14ac:dyDescent="0.15">
      <c r="A138" s="129"/>
      <c r="B138" s="128"/>
      <c r="C138" s="128"/>
      <c r="D138" s="130"/>
      <c r="E138" s="128"/>
      <c r="F138" s="128"/>
      <c r="G138" s="128"/>
      <c r="H138" s="128"/>
      <c r="I138" s="128"/>
      <c r="L138" s="49"/>
      <c r="Q138" s="7"/>
    </row>
    <row r="139" spans="1:28" x14ac:dyDescent="0.15">
      <c r="A139" s="129"/>
      <c r="B139" s="128"/>
      <c r="C139" s="128"/>
      <c r="D139" s="130"/>
      <c r="E139" s="128"/>
      <c r="F139" s="128"/>
      <c r="G139" s="128"/>
      <c r="H139" s="128"/>
      <c r="I139" s="128"/>
      <c r="L139" s="49"/>
      <c r="Q139" s="7"/>
    </row>
    <row r="140" spans="1:28" x14ac:dyDescent="0.15">
      <c r="A140" s="129"/>
      <c r="B140" s="128"/>
      <c r="C140" s="128"/>
      <c r="D140" s="130"/>
      <c r="E140" s="128"/>
      <c r="F140" s="128"/>
      <c r="G140" s="128"/>
      <c r="H140" s="128"/>
      <c r="I140" s="128"/>
      <c r="L140" s="49"/>
      <c r="Q140" s="7"/>
    </row>
    <row r="141" spans="1:28" x14ac:dyDescent="0.15">
      <c r="A141" s="129"/>
      <c r="B141" s="128"/>
      <c r="C141" s="128"/>
      <c r="D141" s="130"/>
      <c r="E141" s="128"/>
      <c r="F141" s="128"/>
      <c r="G141" s="128"/>
      <c r="H141" s="128"/>
      <c r="I141" s="128"/>
      <c r="L141" s="49"/>
      <c r="Q141" s="7"/>
    </row>
    <row r="142" spans="1:28" x14ac:dyDescent="0.15">
      <c r="A142" s="129"/>
      <c r="B142" s="128"/>
      <c r="C142" s="128"/>
      <c r="D142" s="130"/>
      <c r="E142" s="128"/>
      <c r="F142" s="128"/>
      <c r="G142" s="128"/>
      <c r="H142" s="128"/>
      <c r="I142" s="128"/>
      <c r="L142" s="49"/>
      <c r="Q142" s="7"/>
    </row>
    <row r="143" spans="1:28" x14ac:dyDescent="0.15">
      <c r="A143" s="129"/>
      <c r="B143" s="128"/>
      <c r="C143" s="128"/>
      <c r="D143" s="130"/>
      <c r="E143" s="128"/>
      <c r="F143" s="128"/>
      <c r="G143" s="128"/>
      <c r="H143" s="128"/>
      <c r="I143" s="128"/>
      <c r="L143" s="49"/>
      <c r="Q143" s="7"/>
    </row>
    <row r="144" spans="1:28" x14ac:dyDescent="0.15">
      <c r="A144" s="129"/>
      <c r="B144" s="128"/>
      <c r="C144" s="128"/>
      <c r="D144" s="130"/>
      <c r="E144" s="128"/>
      <c r="F144" s="128"/>
      <c r="G144" s="128"/>
      <c r="H144" s="128"/>
      <c r="I144" s="128"/>
      <c r="L144" s="49"/>
      <c r="Q144" s="7"/>
    </row>
    <row r="145" spans="1:17" x14ac:dyDescent="0.15">
      <c r="A145" s="129"/>
      <c r="B145" s="128"/>
      <c r="C145" s="128"/>
      <c r="D145" s="130"/>
      <c r="E145" s="128"/>
      <c r="F145" s="128"/>
      <c r="G145" s="128"/>
      <c r="H145" s="128"/>
      <c r="I145" s="128"/>
      <c r="L145" s="49"/>
      <c r="Q145" s="7"/>
    </row>
    <row r="146" spans="1:17" x14ac:dyDescent="0.15">
      <c r="A146" s="129"/>
      <c r="B146" s="128"/>
      <c r="C146" s="128"/>
      <c r="D146" s="130"/>
      <c r="E146" s="128"/>
      <c r="F146" s="128"/>
      <c r="G146" s="128"/>
      <c r="H146" s="128"/>
      <c r="I146" s="128"/>
      <c r="L146" s="49"/>
      <c r="Q146" s="7"/>
    </row>
    <row r="147" spans="1:17" x14ac:dyDescent="0.15">
      <c r="A147" s="129"/>
      <c r="B147" s="128"/>
      <c r="C147" s="128"/>
      <c r="D147" s="130"/>
      <c r="E147" s="128"/>
      <c r="F147" s="128"/>
      <c r="G147" s="128"/>
      <c r="H147" s="128"/>
      <c r="I147" s="128"/>
      <c r="L147" s="49"/>
      <c r="Q147" s="7"/>
    </row>
    <row r="148" spans="1:17" x14ac:dyDescent="0.15">
      <c r="A148" s="129"/>
      <c r="B148" s="128"/>
      <c r="C148" s="128"/>
      <c r="D148" s="130"/>
      <c r="E148" s="128"/>
      <c r="F148" s="128"/>
      <c r="G148" s="128"/>
      <c r="H148" s="128"/>
      <c r="I148" s="128"/>
      <c r="L148" s="49"/>
      <c r="Q148" s="7"/>
    </row>
    <row r="149" spans="1:17" x14ac:dyDescent="0.15">
      <c r="A149" s="129"/>
      <c r="B149" s="128"/>
      <c r="C149" s="128"/>
      <c r="D149" s="130"/>
      <c r="E149" s="128"/>
      <c r="F149" s="128"/>
      <c r="G149" s="128"/>
      <c r="H149" s="128"/>
      <c r="I149" s="128"/>
      <c r="L149" s="49"/>
      <c r="Q149" s="7"/>
    </row>
    <row r="150" spans="1:17" x14ac:dyDescent="0.15">
      <c r="A150" s="129"/>
      <c r="B150" s="128"/>
      <c r="C150" s="128"/>
      <c r="D150" s="130"/>
      <c r="E150" s="128"/>
      <c r="F150" s="128"/>
      <c r="G150" s="128"/>
      <c r="H150" s="128"/>
      <c r="I150" s="128"/>
      <c r="L150" s="49"/>
      <c r="Q150" s="7"/>
    </row>
    <row r="151" spans="1:17" x14ac:dyDescent="0.15">
      <c r="A151" s="129"/>
      <c r="B151" s="128"/>
      <c r="C151" s="128"/>
      <c r="D151" s="130"/>
      <c r="E151" s="128"/>
      <c r="F151" s="128"/>
      <c r="G151" s="128"/>
      <c r="H151" s="128"/>
      <c r="I151" s="128"/>
      <c r="L151" s="49"/>
      <c r="Q151" s="7"/>
    </row>
    <row r="152" spans="1:17" x14ac:dyDescent="0.15">
      <c r="A152" s="129"/>
      <c r="B152" s="128"/>
      <c r="C152" s="128"/>
      <c r="D152" s="130"/>
      <c r="E152" s="128"/>
      <c r="F152" s="128"/>
      <c r="G152" s="128"/>
      <c r="H152" s="128"/>
      <c r="I152" s="128"/>
      <c r="L152" s="49"/>
      <c r="Q152" s="7"/>
    </row>
    <row r="153" spans="1:17" x14ac:dyDescent="0.15">
      <c r="A153" s="129"/>
      <c r="B153" s="128"/>
      <c r="C153" s="128"/>
      <c r="D153" s="130"/>
      <c r="E153" s="128"/>
      <c r="F153" s="128"/>
      <c r="G153" s="128"/>
      <c r="H153" s="128"/>
      <c r="I153" s="128"/>
      <c r="L153" s="49"/>
      <c r="Q153" s="7"/>
    </row>
    <row r="154" spans="1:17" x14ac:dyDescent="0.15">
      <c r="A154" s="129"/>
      <c r="B154" s="128"/>
      <c r="C154" s="128"/>
      <c r="D154" s="130"/>
      <c r="E154" s="128"/>
      <c r="F154" s="128"/>
      <c r="G154" s="128"/>
      <c r="H154" s="128"/>
      <c r="I154" s="128"/>
      <c r="L154" s="49"/>
      <c r="Q154" s="7"/>
    </row>
    <row r="155" spans="1:17" x14ac:dyDescent="0.15">
      <c r="A155" s="129"/>
      <c r="B155" s="128"/>
      <c r="C155" s="128"/>
      <c r="D155" s="130"/>
      <c r="E155" s="128"/>
      <c r="F155" s="128"/>
      <c r="G155" s="128"/>
      <c r="H155" s="128"/>
      <c r="I155" s="128"/>
      <c r="L155" s="49"/>
      <c r="Q155" s="7"/>
    </row>
    <row r="156" spans="1:17" x14ac:dyDescent="0.15">
      <c r="A156" s="129"/>
      <c r="B156" s="128"/>
      <c r="C156" s="128"/>
      <c r="D156" s="130"/>
      <c r="E156" s="128"/>
      <c r="F156" s="128"/>
      <c r="G156" s="128"/>
      <c r="H156" s="128"/>
      <c r="I156" s="128"/>
      <c r="L156" s="49"/>
      <c r="Q156" s="7"/>
    </row>
    <row r="157" spans="1:17" x14ac:dyDescent="0.15">
      <c r="A157" s="129"/>
      <c r="B157" s="128"/>
      <c r="C157" s="128"/>
      <c r="D157" s="130"/>
      <c r="E157" s="128"/>
      <c r="F157" s="128"/>
      <c r="G157" s="128"/>
      <c r="H157" s="128"/>
      <c r="I157" s="128"/>
      <c r="L157" s="49"/>
      <c r="Q157" s="7"/>
    </row>
    <row r="158" spans="1:17" x14ac:dyDescent="0.15">
      <c r="A158" s="129"/>
      <c r="B158" s="128"/>
      <c r="C158" s="128"/>
      <c r="D158" s="130"/>
      <c r="E158" s="128"/>
      <c r="F158" s="128"/>
      <c r="G158" s="128"/>
      <c r="H158" s="128"/>
      <c r="I158" s="128"/>
      <c r="L158" s="49"/>
      <c r="Q158" s="7"/>
    </row>
    <row r="159" spans="1:17" x14ac:dyDescent="0.15">
      <c r="A159" s="129"/>
      <c r="B159" s="128"/>
      <c r="C159" s="128"/>
      <c r="D159" s="130"/>
      <c r="E159" s="128"/>
      <c r="F159" s="128"/>
      <c r="G159" s="128"/>
      <c r="H159" s="128"/>
      <c r="I159" s="128"/>
      <c r="L159" s="49"/>
      <c r="Q159" s="7"/>
    </row>
    <row r="160" spans="1:17" x14ac:dyDescent="0.15">
      <c r="A160" s="129"/>
      <c r="B160" s="128"/>
      <c r="C160" s="128"/>
      <c r="D160" s="130"/>
      <c r="E160" s="128"/>
      <c r="F160" s="128"/>
      <c r="G160" s="128"/>
      <c r="H160" s="128"/>
      <c r="I160" s="128"/>
      <c r="L160" s="49"/>
      <c r="Q160" s="7"/>
    </row>
    <row r="161" spans="1:17" x14ac:dyDescent="0.15">
      <c r="A161" s="129"/>
      <c r="B161" s="128"/>
      <c r="C161" s="128"/>
      <c r="D161" s="130"/>
      <c r="E161" s="128"/>
      <c r="F161" s="128"/>
      <c r="G161" s="128"/>
      <c r="H161" s="128"/>
      <c r="I161" s="128"/>
      <c r="L161" s="49"/>
      <c r="Q161" s="7"/>
    </row>
    <row r="162" spans="1:17" x14ac:dyDescent="0.15">
      <c r="A162" s="129"/>
      <c r="B162" s="128"/>
      <c r="C162" s="128"/>
      <c r="D162" s="130"/>
      <c r="E162" s="128"/>
      <c r="F162" s="128"/>
      <c r="G162" s="128"/>
      <c r="H162" s="128"/>
      <c r="I162" s="128"/>
      <c r="L162" s="49"/>
      <c r="Q162" s="7"/>
    </row>
    <row r="163" spans="1:17" x14ac:dyDescent="0.15">
      <c r="A163" s="129"/>
      <c r="B163" s="128"/>
      <c r="C163" s="128"/>
      <c r="D163" s="130"/>
      <c r="E163" s="128"/>
      <c r="F163" s="128"/>
      <c r="G163" s="128"/>
      <c r="H163" s="128"/>
      <c r="I163" s="128"/>
      <c r="L163" s="49"/>
      <c r="Q163" s="7"/>
    </row>
    <row r="164" spans="1:17" x14ac:dyDescent="0.15">
      <c r="A164" s="129"/>
      <c r="B164" s="128"/>
      <c r="C164" s="128"/>
      <c r="D164" s="130"/>
      <c r="E164" s="128"/>
      <c r="F164" s="128"/>
      <c r="G164" s="128"/>
      <c r="H164" s="128"/>
      <c r="I164" s="128"/>
      <c r="L164" s="49"/>
      <c r="Q164" s="7"/>
    </row>
    <row r="165" spans="1:17" x14ac:dyDescent="0.15">
      <c r="A165" s="129"/>
      <c r="B165" s="128"/>
      <c r="C165" s="128"/>
      <c r="D165" s="130"/>
      <c r="E165" s="128"/>
      <c r="F165" s="128"/>
      <c r="G165" s="128"/>
      <c r="H165" s="128"/>
      <c r="I165" s="128"/>
      <c r="L165" s="49"/>
      <c r="Q165" s="7"/>
    </row>
    <row r="166" spans="1:17" x14ac:dyDescent="0.15">
      <c r="A166" s="129"/>
      <c r="B166" s="128"/>
      <c r="C166" s="128"/>
      <c r="D166" s="130"/>
      <c r="E166" s="128"/>
      <c r="F166" s="128"/>
      <c r="G166" s="128"/>
      <c r="H166" s="128"/>
      <c r="I166" s="128"/>
      <c r="L166" s="49"/>
      <c r="Q166" s="7"/>
    </row>
    <row r="167" spans="1:17" x14ac:dyDescent="0.15">
      <c r="A167" s="129"/>
      <c r="B167" s="128"/>
      <c r="C167" s="128"/>
      <c r="D167" s="130"/>
      <c r="E167" s="128"/>
      <c r="F167" s="128"/>
      <c r="G167" s="128"/>
      <c r="H167" s="128"/>
      <c r="I167" s="128"/>
      <c r="L167" s="49"/>
      <c r="Q167" s="7"/>
    </row>
    <row r="168" spans="1:17" x14ac:dyDescent="0.15">
      <c r="A168" s="129"/>
      <c r="B168" s="128"/>
      <c r="C168" s="128"/>
      <c r="D168" s="130"/>
      <c r="E168" s="128"/>
      <c r="F168" s="128"/>
      <c r="G168" s="128"/>
      <c r="H168" s="128"/>
      <c r="I168" s="128"/>
      <c r="L168" s="49"/>
      <c r="Q168" s="7"/>
    </row>
    <row r="169" spans="1:17" x14ac:dyDescent="0.15">
      <c r="A169" s="129"/>
      <c r="B169" s="128"/>
      <c r="C169" s="128"/>
      <c r="D169" s="130"/>
      <c r="E169" s="128"/>
      <c r="F169" s="128"/>
      <c r="G169" s="128"/>
      <c r="H169" s="128"/>
      <c r="I169" s="128"/>
      <c r="L169" s="49"/>
      <c r="Q169" s="7"/>
    </row>
    <row r="170" spans="1:17" x14ac:dyDescent="0.15">
      <c r="A170" s="129"/>
      <c r="B170" s="128"/>
      <c r="C170" s="128"/>
      <c r="D170" s="130"/>
      <c r="E170" s="128"/>
      <c r="F170" s="128"/>
      <c r="G170" s="128"/>
      <c r="H170" s="128"/>
      <c r="I170" s="128"/>
      <c r="L170" s="49"/>
      <c r="Q170" s="7"/>
    </row>
    <row r="171" spans="1:17" x14ac:dyDescent="0.15">
      <c r="A171" s="129"/>
      <c r="B171" s="128"/>
      <c r="C171" s="128"/>
      <c r="D171" s="130"/>
      <c r="E171" s="128"/>
      <c r="F171" s="128"/>
      <c r="G171" s="128"/>
      <c r="H171" s="128"/>
      <c r="I171" s="128"/>
      <c r="L171" s="49"/>
      <c r="Q171" s="7"/>
    </row>
    <row r="172" spans="1:17" x14ac:dyDescent="0.15">
      <c r="A172" s="129"/>
      <c r="B172" s="128"/>
      <c r="C172" s="128"/>
      <c r="D172" s="130"/>
      <c r="E172" s="128"/>
      <c r="F172" s="128"/>
      <c r="G172" s="128"/>
      <c r="H172" s="128"/>
      <c r="I172" s="128"/>
      <c r="L172" s="49"/>
      <c r="Q172" s="7"/>
    </row>
    <row r="173" spans="1:17" x14ac:dyDescent="0.15">
      <c r="A173" s="129"/>
      <c r="B173" s="128"/>
      <c r="C173" s="128"/>
      <c r="D173" s="130"/>
      <c r="E173" s="128"/>
      <c r="F173" s="128"/>
      <c r="G173" s="128"/>
      <c r="H173" s="128"/>
      <c r="I173" s="128"/>
      <c r="L173" s="49"/>
      <c r="Q173" s="7"/>
    </row>
    <row r="174" spans="1:17" x14ac:dyDescent="0.15">
      <c r="A174" s="129"/>
      <c r="B174" s="128"/>
      <c r="C174" s="128"/>
      <c r="D174" s="130"/>
      <c r="E174" s="128"/>
      <c r="F174" s="128"/>
      <c r="G174" s="128"/>
      <c r="H174" s="128"/>
      <c r="I174" s="128"/>
      <c r="L174" s="49"/>
      <c r="Q174" s="7"/>
    </row>
    <row r="175" spans="1:17" x14ac:dyDescent="0.15">
      <c r="A175" s="129"/>
      <c r="B175" s="128"/>
      <c r="C175" s="128"/>
      <c r="D175" s="130"/>
      <c r="E175" s="128"/>
      <c r="F175" s="128"/>
      <c r="G175" s="128"/>
      <c r="H175" s="128"/>
      <c r="I175" s="128"/>
      <c r="L175" s="49"/>
      <c r="Q175" s="7"/>
    </row>
    <row r="176" spans="1:17" x14ac:dyDescent="0.15">
      <c r="A176" s="129"/>
      <c r="B176" s="128"/>
      <c r="C176" s="128"/>
      <c r="D176" s="130"/>
      <c r="E176" s="128"/>
      <c r="F176" s="128"/>
      <c r="G176" s="128"/>
      <c r="H176" s="128"/>
      <c r="I176" s="128"/>
      <c r="L176" s="49"/>
      <c r="Q176" s="7"/>
    </row>
    <row r="177" spans="1:17" x14ac:dyDescent="0.15">
      <c r="A177" s="129"/>
      <c r="B177" s="128"/>
      <c r="C177" s="128"/>
      <c r="D177" s="130"/>
      <c r="E177" s="128"/>
      <c r="F177" s="128"/>
      <c r="G177" s="128"/>
      <c r="H177" s="128"/>
      <c r="I177" s="128"/>
      <c r="L177" s="49"/>
      <c r="Q177" s="7"/>
    </row>
    <row r="178" spans="1:17" x14ac:dyDescent="0.15">
      <c r="A178" s="129"/>
      <c r="B178" s="128"/>
      <c r="C178" s="128"/>
      <c r="D178" s="130"/>
      <c r="E178" s="128"/>
      <c r="F178" s="128"/>
      <c r="G178" s="128"/>
      <c r="H178" s="128"/>
      <c r="I178" s="128"/>
      <c r="L178" s="49"/>
      <c r="Q178" s="7"/>
    </row>
    <row r="179" spans="1:17" x14ac:dyDescent="0.15">
      <c r="A179" s="129"/>
      <c r="B179" s="128"/>
      <c r="C179" s="128"/>
      <c r="D179" s="130"/>
      <c r="E179" s="128"/>
      <c r="F179" s="128"/>
      <c r="G179" s="128"/>
      <c r="H179" s="128"/>
      <c r="I179" s="128"/>
      <c r="L179" s="49"/>
      <c r="Q179" s="7"/>
    </row>
    <row r="180" spans="1:17" x14ac:dyDescent="0.15">
      <c r="A180" s="129"/>
      <c r="B180" s="128"/>
      <c r="C180" s="128"/>
      <c r="D180" s="130"/>
      <c r="E180" s="128"/>
      <c r="F180" s="128"/>
      <c r="G180" s="128"/>
      <c r="H180" s="128"/>
      <c r="I180" s="128"/>
      <c r="L180" s="49"/>
      <c r="Q180" s="7"/>
    </row>
    <row r="181" spans="1:17" x14ac:dyDescent="0.15">
      <c r="A181" s="129"/>
      <c r="B181" s="128"/>
      <c r="C181" s="128"/>
      <c r="D181" s="130"/>
      <c r="E181" s="128"/>
      <c r="F181" s="128"/>
      <c r="G181" s="128"/>
      <c r="H181" s="128"/>
      <c r="I181" s="128"/>
      <c r="L181" s="49"/>
      <c r="Q181" s="7"/>
    </row>
    <row r="182" spans="1:17" x14ac:dyDescent="0.15">
      <c r="A182" s="129"/>
      <c r="B182" s="128"/>
      <c r="C182" s="128"/>
      <c r="D182" s="130"/>
      <c r="E182" s="128"/>
      <c r="F182" s="128"/>
      <c r="G182" s="128"/>
      <c r="H182" s="128"/>
      <c r="I182" s="128"/>
      <c r="L182" s="49"/>
      <c r="Q182" s="7"/>
    </row>
    <row r="183" spans="1:17" x14ac:dyDescent="0.15">
      <c r="A183" s="129"/>
      <c r="B183" s="128"/>
      <c r="C183" s="128"/>
      <c r="D183" s="130"/>
      <c r="E183" s="128"/>
      <c r="F183" s="128"/>
      <c r="G183" s="128"/>
      <c r="H183" s="128"/>
      <c r="I183" s="128"/>
      <c r="L183" s="49"/>
      <c r="Q183" s="7"/>
    </row>
    <row r="184" spans="1:17" x14ac:dyDescent="0.15">
      <c r="A184" s="129"/>
      <c r="B184" s="128"/>
      <c r="C184" s="128"/>
      <c r="D184" s="130"/>
      <c r="E184" s="128"/>
      <c r="F184" s="128"/>
      <c r="G184" s="128"/>
      <c r="H184" s="128"/>
      <c r="I184" s="128"/>
      <c r="L184" s="49"/>
      <c r="Q184" s="7"/>
    </row>
    <row r="185" spans="1:17" x14ac:dyDescent="0.15">
      <c r="A185" s="129"/>
      <c r="B185" s="128"/>
      <c r="C185" s="128"/>
      <c r="D185" s="130"/>
      <c r="E185" s="128"/>
      <c r="F185" s="128"/>
      <c r="G185" s="128"/>
      <c r="H185" s="128"/>
      <c r="I185" s="128"/>
      <c r="L185" s="49"/>
      <c r="Q185" s="7"/>
    </row>
    <row r="186" spans="1:17" x14ac:dyDescent="0.15">
      <c r="A186" s="129"/>
      <c r="B186" s="128"/>
      <c r="C186" s="128"/>
      <c r="D186" s="130"/>
      <c r="E186" s="128"/>
      <c r="F186" s="128"/>
      <c r="G186" s="128"/>
      <c r="H186" s="128"/>
      <c r="I186" s="128"/>
      <c r="L186" s="49"/>
      <c r="Q186" s="7"/>
    </row>
    <row r="187" spans="1:17" x14ac:dyDescent="0.15">
      <c r="A187" s="129"/>
      <c r="B187" s="128"/>
      <c r="C187" s="128"/>
      <c r="D187" s="130"/>
      <c r="E187" s="128"/>
      <c r="F187" s="128"/>
      <c r="G187" s="128"/>
      <c r="H187" s="128"/>
      <c r="I187" s="128"/>
      <c r="L187" s="49"/>
      <c r="Q187" s="7"/>
    </row>
    <row r="188" spans="1:17" x14ac:dyDescent="0.15">
      <c r="A188" s="129"/>
      <c r="B188" s="128"/>
      <c r="C188" s="128"/>
      <c r="D188" s="130"/>
      <c r="E188" s="128"/>
      <c r="F188" s="128"/>
      <c r="G188" s="128"/>
      <c r="H188" s="128"/>
      <c r="I188" s="128"/>
      <c r="Q188" s="7"/>
    </row>
    <row r="189" spans="1:17" x14ac:dyDescent="0.15">
      <c r="A189" s="129"/>
      <c r="B189" s="128"/>
      <c r="C189" s="128"/>
      <c r="D189" s="130"/>
      <c r="E189" s="128"/>
      <c r="F189" s="128"/>
      <c r="G189" s="128"/>
      <c r="H189" s="128"/>
      <c r="I189" s="128"/>
      <c r="Q189" s="7"/>
    </row>
    <row r="190" spans="1:17" x14ac:dyDescent="0.15">
      <c r="A190" s="129"/>
      <c r="B190" s="128"/>
      <c r="C190" s="128"/>
      <c r="D190" s="130"/>
      <c r="E190" s="128"/>
      <c r="F190" s="128"/>
      <c r="G190" s="128"/>
      <c r="H190" s="128"/>
      <c r="I190" s="128"/>
      <c r="Q190" s="7"/>
    </row>
    <row r="191" spans="1:17" x14ac:dyDescent="0.15">
      <c r="A191" s="129"/>
      <c r="B191" s="128"/>
      <c r="C191" s="128"/>
      <c r="D191" s="130"/>
      <c r="E191" s="128"/>
      <c r="F191" s="128"/>
      <c r="G191" s="128"/>
      <c r="H191" s="128"/>
      <c r="I191" s="128"/>
      <c r="Q191" s="7"/>
    </row>
    <row r="192" spans="1:17" x14ac:dyDescent="0.15">
      <c r="A192" s="129"/>
      <c r="B192" s="128"/>
      <c r="C192" s="128"/>
      <c r="D192" s="130"/>
      <c r="E192" s="128"/>
      <c r="F192" s="128"/>
      <c r="G192" s="128"/>
      <c r="H192" s="128"/>
      <c r="I192" s="128"/>
      <c r="Q192" s="7"/>
    </row>
    <row r="193" spans="1:17" x14ac:dyDescent="0.15">
      <c r="A193" s="129"/>
      <c r="B193" s="128"/>
      <c r="C193" s="128"/>
      <c r="D193" s="130"/>
      <c r="E193" s="128"/>
      <c r="F193" s="128"/>
      <c r="G193" s="128"/>
      <c r="H193" s="128"/>
      <c r="I193" s="128"/>
      <c r="Q193" s="7"/>
    </row>
    <row r="194" spans="1:17" x14ac:dyDescent="0.15">
      <c r="A194" s="129"/>
      <c r="B194" s="128"/>
      <c r="C194" s="128"/>
      <c r="D194" s="130"/>
      <c r="E194" s="128"/>
      <c r="F194" s="128"/>
      <c r="G194" s="128"/>
      <c r="H194" s="128"/>
      <c r="I194" s="128"/>
      <c r="Q194" s="7"/>
    </row>
    <row r="195" spans="1:17" x14ac:dyDescent="0.15">
      <c r="A195" s="129"/>
      <c r="B195" s="128"/>
      <c r="C195" s="128"/>
      <c r="D195" s="130"/>
      <c r="E195" s="128"/>
      <c r="F195" s="128"/>
      <c r="G195" s="128"/>
      <c r="H195" s="128"/>
      <c r="I195" s="128"/>
      <c r="Q195" s="7"/>
    </row>
    <row r="196" spans="1:17" x14ac:dyDescent="0.15">
      <c r="A196" s="129"/>
      <c r="B196" s="128"/>
      <c r="C196" s="128"/>
      <c r="D196" s="130"/>
      <c r="E196" s="128"/>
      <c r="F196" s="128"/>
      <c r="G196" s="128"/>
      <c r="H196" s="128"/>
      <c r="I196" s="128"/>
      <c r="Q196" s="7"/>
    </row>
    <row r="197" spans="1:17" x14ac:dyDescent="0.15">
      <c r="A197" s="129"/>
      <c r="B197" s="128"/>
      <c r="C197" s="128"/>
      <c r="D197" s="130"/>
      <c r="E197" s="128"/>
      <c r="F197" s="128"/>
      <c r="G197" s="128"/>
      <c r="H197" s="128"/>
      <c r="I197" s="128"/>
      <c r="Q197" s="7"/>
    </row>
    <row r="198" spans="1:17" x14ac:dyDescent="0.15">
      <c r="A198" s="129"/>
      <c r="B198" s="128"/>
      <c r="C198" s="128"/>
      <c r="D198" s="130"/>
      <c r="E198" s="128"/>
      <c r="F198" s="128"/>
      <c r="G198" s="128"/>
      <c r="H198" s="128"/>
      <c r="I198" s="128"/>
      <c r="Q198" s="7"/>
    </row>
    <row r="199" spans="1:17" x14ac:dyDescent="0.15">
      <c r="A199" s="129"/>
      <c r="B199" s="128"/>
      <c r="C199" s="128"/>
      <c r="D199" s="130"/>
      <c r="E199" s="128"/>
      <c r="F199" s="128"/>
      <c r="G199" s="128"/>
      <c r="H199" s="128"/>
      <c r="I199" s="128"/>
      <c r="Q199" s="7"/>
    </row>
    <row r="200" spans="1:17" x14ac:dyDescent="0.15">
      <c r="A200" s="129"/>
      <c r="B200" s="128"/>
      <c r="C200" s="128"/>
      <c r="D200" s="130"/>
      <c r="E200" s="128"/>
      <c r="F200" s="128"/>
      <c r="G200" s="128"/>
      <c r="H200" s="128"/>
      <c r="I200" s="128"/>
      <c r="Q200" s="7"/>
    </row>
    <row r="201" spans="1:17" x14ac:dyDescent="0.15">
      <c r="A201" s="129"/>
      <c r="B201" s="128"/>
      <c r="C201" s="128"/>
      <c r="D201" s="130"/>
      <c r="E201" s="128"/>
      <c r="F201" s="128"/>
      <c r="G201" s="128"/>
      <c r="H201" s="128"/>
      <c r="I201" s="128"/>
      <c r="Q201" s="7"/>
    </row>
    <row r="202" spans="1:17" x14ac:dyDescent="0.15">
      <c r="A202" s="129"/>
      <c r="B202" s="128"/>
      <c r="C202" s="128"/>
      <c r="D202" s="130"/>
      <c r="E202" s="128"/>
      <c r="F202" s="128"/>
      <c r="G202" s="128"/>
      <c r="H202" s="128"/>
      <c r="I202" s="128"/>
      <c r="Q202" s="7"/>
    </row>
    <row r="203" spans="1:17" x14ac:dyDescent="0.15">
      <c r="A203" s="129"/>
      <c r="B203" s="128"/>
      <c r="C203" s="128"/>
      <c r="D203" s="130"/>
      <c r="E203" s="128"/>
      <c r="F203" s="128"/>
      <c r="G203" s="128"/>
      <c r="H203" s="128"/>
      <c r="I203" s="128"/>
      <c r="Q203" s="7"/>
    </row>
    <row r="204" spans="1:17" x14ac:dyDescent="0.15">
      <c r="A204" s="129"/>
      <c r="B204" s="128"/>
      <c r="C204" s="128"/>
      <c r="D204" s="130"/>
      <c r="E204" s="128"/>
      <c r="F204" s="128"/>
      <c r="G204" s="128"/>
      <c r="H204" s="128"/>
      <c r="I204" s="128"/>
      <c r="Q204" s="7"/>
    </row>
    <row r="205" spans="1:17" x14ac:dyDescent="0.15">
      <c r="A205" s="129"/>
      <c r="B205" s="128"/>
      <c r="C205" s="128"/>
      <c r="D205" s="130"/>
      <c r="E205" s="128"/>
      <c r="F205" s="128"/>
      <c r="G205" s="128"/>
      <c r="H205" s="128"/>
      <c r="I205" s="128"/>
      <c r="Q205" s="7"/>
    </row>
    <row r="206" spans="1:17" x14ac:dyDescent="0.15">
      <c r="A206" s="129"/>
      <c r="B206" s="128"/>
      <c r="C206" s="128"/>
      <c r="D206" s="130"/>
      <c r="E206" s="128"/>
      <c r="F206" s="128"/>
      <c r="G206" s="128"/>
      <c r="H206" s="128"/>
      <c r="I206" s="128"/>
      <c r="Q206" s="7"/>
    </row>
    <row r="207" spans="1:17" x14ac:dyDescent="0.15">
      <c r="A207" s="129"/>
      <c r="B207" s="128"/>
      <c r="C207" s="128"/>
      <c r="D207" s="130"/>
      <c r="E207" s="128"/>
      <c r="F207" s="128"/>
      <c r="G207" s="128"/>
      <c r="H207" s="128"/>
      <c r="I207" s="128"/>
      <c r="Q207" s="7"/>
    </row>
    <row r="208" spans="1:17" x14ac:dyDescent="0.15">
      <c r="A208" s="129"/>
      <c r="B208" s="128"/>
      <c r="C208" s="128"/>
      <c r="D208" s="130"/>
      <c r="E208" s="128"/>
      <c r="F208" s="128"/>
      <c r="G208" s="128"/>
      <c r="H208" s="128"/>
      <c r="I208" s="128"/>
      <c r="Q208" s="7"/>
    </row>
    <row r="209" spans="1:17" x14ac:dyDescent="0.15">
      <c r="A209" s="129"/>
      <c r="B209" s="128"/>
      <c r="C209" s="128"/>
      <c r="D209" s="130"/>
      <c r="E209" s="128"/>
      <c r="F209" s="128"/>
      <c r="G209" s="128"/>
      <c r="H209" s="128"/>
      <c r="I209" s="128"/>
      <c r="Q209" s="7"/>
    </row>
    <row r="210" spans="1:17" x14ac:dyDescent="0.15">
      <c r="A210" s="129"/>
      <c r="B210" s="128"/>
      <c r="C210" s="128"/>
      <c r="D210" s="130"/>
      <c r="E210" s="128"/>
      <c r="F210" s="128"/>
      <c r="G210" s="128"/>
      <c r="H210" s="128"/>
      <c r="I210" s="128"/>
      <c r="Q210" s="7"/>
    </row>
    <row r="211" spans="1:17" x14ac:dyDescent="0.15">
      <c r="A211" s="129"/>
      <c r="B211" s="128"/>
      <c r="C211" s="128"/>
      <c r="D211" s="130"/>
      <c r="E211" s="128"/>
      <c r="F211" s="128"/>
      <c r="G211" s="128"/>
      <c r="H211" s="128"/>
      <c r="I211" s="128"/>
      <c r="Q211" s="7"/>
    </row>
    <row r="212" spans="1:17" x14ac:dyDescent="0.15">
      <c r="A212" s="129"/>
      <c r="B212" s="128"/>
      <c r="C212" s="128"/>
      <c r="D212" s="130"/>
      <c r="E212" s="128"/>
      <c r="F212" s="128"/>
      <c r="G212" s="128"/>
      <c r="H212" s="128"/>
      <c r="I212" s="128"/>
      <c r="Q212" s="7"/>
    </row>
    <row r="213" spans="1:17" x14ac:dyDescent="0.15">
      <c r="A213" s="129"/>
      <c r="B213" s="128"/>
      <c r="C213" s="128"/>
      <c r="D213" s="130"/>
      <c r="E213" s="128"/>
      <c r="F213" s="128"/>
      <c r="G213" s="128"/>
      <c r="H213" s="128"/>
      <c r="I213" s="128"/>
      <c r="Q213" s="7"/>
    </row>
    <row r="214" spans="1:17" x14ac:dyDescent="0.15">
      <c r="A214" s="129"/>
      <c r="B214" s="128"/>
      <c r="C214" s="128"/>
      <c r="D214" s="130"/>
      <c r="E214" s="128"/>
      <c r="F214" s="128"/>
      <c r="G214" s="128"/>
      <c r="H214" s="128"/>
      <c r="I214" s="128"/>
      <c r="Q214" s="7"/>
    </row>
    <row r="215" spans="1:17" x14ac:dyDescent="0.15">
      <c r="A215" s="129"/>
      <c r="B215" s="128"/>
      <c r="C215" s="128"/>
      <c r="D215" s="130"/>
      <c r="E215" s="128"/>
      <c r="F215" s="128"/>
      <c r="G215" s="128"/>
      <c r="H215" s="128"/>
      <c r="I215" s="128"/>
      <c r="Q215" s="7"/>
    </row>
    <row r="216" spans="1:17" x14ac:dyDescent="0.15">
      <c r="A216" s="129"/>
      <c r="B216" s="128"/>
      <c r="C216" s="128"/>
      <c r="D216" s="130"/>
      <c r="E216" s="128"/>
      <c r="F216" s="128"/>
      <c r="G216" s="128"/>
      <c r="H216" s="128"/>
      <c r="I216" s="128"/>
      <c r="Q216" s="7"/>
    </row>
    <row r="217" spans="1:17" x14ac:dyDescent="0.15">
      <c r="A217" s="129"/>
      <c r="B217" s="128"/>
      <c r="C217" s="128"/>
      <c r="D217" s="130"/>
      <c r="E217" s="128"/>
      <c r="F217" s="128"/>
      <c r="G217" s="128"/>
      <c r="H217" s="128"/>
      <c r="I217" s="128"/>
      <c r="Q217" s="7"/>
    </row>
    <row r="218" spans="1:17" x14ac:dyDescent="0.15">
      <c r="A218" s="129"/>
      <c r="B218" s="128"/>
      <c r="C218" s="128"/>
      <c r="D218" s="130"/>
      <c r="E218" s="128"/>
      <c r="F218" s="128"/>
      <c r="G218" s="128"/>
      <c r="H218" s="128"/>
      <c r="I218" s="128"/>
      <c r="Q218" s="7"/>
    </row>
    <row r="219" spans="1:17" x14ac:dyDescent="0.15">
      <c r="A219" s="129"/>
      <c r="B219" s="128"/>
      <c r="C219" s="128"/>
      <c r="D219" s="130"/>
      <c r="E219" s="128"/>
      <c r="F219" s="128"/>
      <c r="G219" s="128"/>
      <c r="H219" s="128"/>
      <c r="I219" s="128"/>
      <c r="Q219" s="7"/>
    </row>
    <row r="220" spans="1:17" x14ac:dyDescent="0.15">
      <c r="A220" s="129"/>
      <c r="B220" s="128"/>
      <c r="C220" s="128"/>
      <c r="D220" s="130"/>
      <c r="E220" s="128"/>
      <c r="F220" s="128"/>
      <c r="G220" s="128"/>
      <c r="H220" s="128"/>
      <c r="I220" s="128"/>
      <c r="Q220" s="7"/>
    </row>
    <row r="221" spans="1:17" x14ac:dyDescent="0.15">
      <c r="A221" s="129"/>
      <c r="B221" s="128"/>
      <c r="C221" s="128"/>
      <c r="D221" s="130"/>
      <c r="E221" s="128"/>
      <c r="F221" s="128"/>
      <c r="G221" s="128"/>
      <c r="H221" s="128"/>
      <c r="I221" s="128"/>
      <c r="Q221" s="7"/>
    </row>
    <row r="222" spans="1:17" x14ac:dyDescent="0.15">
      <c r="A222" s="129"/>
      <c r="B222" s="128"/>
      <c r="C222" s="128"/>
      <c r="D222" s="130"/>
      <c r="E222" s="128"/>
      <c r="F222" s="128"/>
      <c r="G222" s="128"/>
      <c r="H222" s="128"/>
      <c r="I222" s="128"/>
      <c r="Q222" s="7"/>
    </row>
    <row r="223" spans="1:17" x14ac:dyDescent="0.15">
      <c r="A223" s="129"/>
      <c r="B223" s="128"/>
      <c r="C223" s="128"/>
      <c r="D223" s="130"/>
      <c r="E223" s="128"/>
      <c r="F223" s="128"/>
      <c r="G223" s="128"/>
      <c r="H223" s="128"/>
      <c r="I223" s="128"/>
      <c r="Q223" s="7"/>
    </row>
    <row r="224" spans="1:17" x14ac:dyDescent="0.15">
      <c r="A224" s="129"/>
      <c r="B224" s="128"/>
      <c r="C224" s="128"/>
      <c r="D224" s="130"/>
      <c r="E224" s="128"/>
      <c r="F224" s="128"/>
      <c r="G224" s="128"/>
      <c r="H224" s="128"/>
      <c r="I224" s="128"/>
      <c r="Q224" s="7"/>
    </row>
    <row r="225" spans="1:17" x14ac:dyDescent="0.15">
      <c r="A225" s="129"/>
      <c r="B225" s="128"/>
      <c r="C225" s="128"/>
      <c r="D225" s="130"/>
      <c r="E225" s="128"/>
      <c r="F225" s="128"/>
      <c r="G225" s="128"/>
      <c r="H225" s="128"/>
      <c r="I225" s="128"/>
      <c r="Q225" s="7"/>
    </row>
    <row r="226" spans="1:17" x14ac:dyDescent="0.15">
      <c r="A226" s="129"/>
      <c r="B226" s="128"/>
      <c r="C226" s="128"/>
      <c r="D226" s="130"/>
      <c r="E226" s="128"/>
      <c r="F226" s="128"/>
      <c r="G226" s="128"/>
      <c r="H226" s="128"/>
      <c r="I226" s="128"/>
      <c r="Q226" s="7"/>
    </row>
    <row r="227" spans="1:17" x14ac:dyDescent="0.15">
      <c r="A227" s="129"/>
      <c r="B227" s="128"/>
      <c r="C227" s="128"/>
      <c r="D227" s="130"/>
      <c r="E227" s="128"/>
      <c r="F227" s="128"/>
      <c r="G227" s="128"/>
      <c r="H227" s="128"/>
      <c r="I227" s="128"/>
      <c r="Q227" s="7"/>
    </row>
    <row r="228" spans="1:17" x14ac:dyDescent="0.15">
      <c r="A228" s="129"/>
      <c r="B228" s="128"/>
      <c r="C228" s="128"/>
      <c r="D228" s="130"/>
      <c r="E228" s="128"/>
      <c r="F228" s="128"/>
      <c r="G228" s="128"/>
      <c r="H228" s="128"/>
      <c r="I228" s="128"/>
      <c r="Q228" s="7"/>
    </row>
    <row r="229" spans="1:17" x14ac:dyDescent="0.15">
      <c r="A229" s="129"/>
      <c r="B229" s="128"/>
      <c r="C229" s="128"/>
      <c r="D229" s="130"/>
      <c r="E229" s="128"/>
      <c r="F229" s="128"/>
      <c r="G229" s="128"/>
      <c r="H229" s="128"/>
      <c r="I229" s="128"/>
      <c r="Q229" s="7"/>
    </row>
    <row r="230" spans="1:17" x14ac:dyDescent="0.15">
      <c r="A230" s="129"/>
      <c r="B230" s="128"/>
      <c r="C230" s="128"/>
      <c r="D230" s="130"/>
      <c r="E230" s="128"/>
      <c r="F230" s="128"/>
      <c r="G230" s="128"/>
      <c r="H230" s="128"/>
      <c r="I230" s="128"/>
      <c r="Q230" s="7"/>
    </row>
    <row r="231" spans="1:17" x14ac:dyDescent="0.15">
      <c r="A231" s="129"/>
      <c r="B231" s="128"/>
      <c r="C231" s="128"/>
      <c r="D231" s="130"/>
      <c r="E231" s="128"/>
      <c r="F231" s="128"/>
      <c r="G231" s="128"/>
      <c r="H231" s="128"/>
      <c r="I231" s="128"/>
      <c r="Q231" s="7"/>
    </row>
    <row r="232" spans="1:17" x14ac:dyDescent="0.15">
      <c r="A232" s="129"/>
      <c r="B232" s="128"/>
      <c r="C232" s="128"/>
      <c r="D232" s="130"/>
      <c r="E232" s="128"/>
      <c r="F232" s="128"/>
      <c r="G232" s="128"/>
      <c r="H232" s="128"/>
      <c r="I232" s="128"/>
      <c r="Q232" s="7"/>
    </row>
    <row r="233" spans="1:17" x14ac:dyDescent="0.15">
      <c r="A233" s="129"/>
      <c r="B233" s="128"/>
      <c r="C233" s="128"/>
      <c r="D233" s="130"/>
      <c r="E233" s="128"/>
      <c r="F233" s="128"/>
      <c r="G233" s="128"/>
      <c r="H233" s="128"/>
      <c r="I233" s="128"/>
      <c r="Q233" s="7"/>
    </row>
    <row r="234" spans="1:17" x14ac:dyDescent="0.15">
      <c r="A234" s="129"/>
      <c r="B234" s="128"/>
      <c r="C234" s="128"/>
      <c r="D234" s="130"/>
      <c r="E234" s="128"/>
      <c r="F234" s="128"/>
      <c r="G234" s="128"/>
      <c r="H234" s="128"/>
      <c r="I234" s="128"/>
      <c r="Q234" s="7"/>
    </row>
    <row r="235" spans="1:17" x14ac:dyDescent="0.15">
      <c r="A235" s="129"/>
      <c r="B235" s="128"/>
      <c r="C235" s="128"/>
      <c r="D235" s="130"/>
      <c r="E235" s="128"/>
      <c r="F235" s="128"/>
      <c r="G235" s="128"/>
      <c r="H235" s="128"/>
      <c r="I235" s="128"/>
      <c r="Q235" s="7"/>
    </row>
    <row r="236" spans="1:17" x14ac:dyDescent="0.15">
      <c r="A236" s="129"/>
      <c r="B236" s="128"/>
      <c r="C236" s="128"/>
      <c r="D236" s="130"/>
      <c r="E236" s="128"/>
      <c r="F236" s="128"/>
      <c r="G236" s="128"/>
      <c r="H236" s="128"/>
      <c r="I236" s="128"/>
      <c r="Q236" s="7"/>
    </row>
    <row r="237" spans="1:17" x14ac:dyDescent="0.15">
      <c r="A237" s="129"/>
      <c r="B237" s="128"/>
      <c r="C237" s="128"/>
      <c r="D237" s="130"/>
      <c r="E237" s="128"/>
      <c r="F237" s="128"/>
      <c r="G237" s="128"/>
      <c r="H237" s="128"/>
      <c r="I237" s="128"/>
      <c r="Q237" s="7"/>
    </row>
    <row r="238" spans="1:17" x14ac:dyDescent="0.15">
      <c r="A238" s="129"/>
      <c r="B238" s="128"/>
      <c r="C238" s="128"/>
      <c r="D238" s="130"/>
      <c r="E238" s="128"/>
      <c r="F238" s="128"/>
      <c r="G238" s="128"/>
      <c r="H238" s="128"/>
      <c r="I238" s="128"/>
      <c r="Q238" s="7"/>
    </row>
    <row r="239" spans="1:17" x14ac:dyDescent="0.15">
      <c r="A239" s="129"/>
      <c r="B239" s="128"/>
      <c r="C239" s="128"/>
      <c r="D239" s="130"/>
      <c r="E239" s="128"/>
      <c r="F239" s="128"/>
      <c r="G239" s="128"/>
      <c r="H239" s="128"/>
      <c r="I239" s="128"/>
      <c r="Q239" s="7"/>
    </row>
    <row r="240" spans="1:17" x14ac:dyDescent="0.15">
      <c r="A240" s="129"/>
      <c r="B240" s="128"/>
      <c r="C240" s="128"/>
      <c r="D240" s="130"/>
      <c r="E240" s="128"/>
      <c r="F240" s="128"/>
      <c r="G240" s="128"/>
      <c r="H240" s="128"/>
      <c r="I240" s="128"/>
      <c r="Q240" s="7"/>
    </row>
    <row r="241" spans="1:17" x14ac:dyDescent="0.15">
      <c r="A241" s="129"/>
      <c r="B241" s="128"/>
      <c r="C241" s="128"/>
      <c r="D241" s="130"/>
      <c r="E241" s="128"/>
      <c r="F241" s="128"/>
      <c r="G241" s="128"/>
      <c r="H241" s="128"/>
      <c r="I241" s="128"/>
      <c r="Q241" s="7"/>
    </row>
    <row r="242" spans="1:17" x14ac:dyDescent="0.15">
      <c r="A242" s="129"/>
      <c r="B242" s="128"/>
      <c r="C242" s="128"/>
      <c r="D242" s="130"/>
      <c r="E242" s="128"/>
      <c r="F242" s="128"/>
      <c r="G242" s="128"/>
      <c r="H242" s="128"/>
      <c r="I242" s="128"/>
      <c r="Q242" s="7"/>
    </row>
    <row r="243" spans="1:17" x14ac:dyDescent="0.15">
      <c r="A243" s="129"/>
      <c r="B243" s="128"/>
      <c r="C243" s="128"/>
      <c r="D243" s="130"/>
      <c r="E243" s="128"/>
      <c r="F243" s="128"/>
      <c r="G243" s="128"/>
      <c r="H243" s="128"/>
      <c r="I243" s="128"/>
      <c r="Q243" s="7"/>
    </row>
    <row r="244" spans="1:17" x14ac:dyDescent="0.15">
      <c r="A244" s="129"/>
      <c r="B244" s="128"/>
      <c r="C244" s="128"/>
      <c r="D244" s="130"/>
      <c r="E244" s="128"/>
      <c r="F244" s="128"/>
      <c r="G244" s="128"/>
      <c r="H244" s="128"/>
      <c r="I244" s="128"/>
      <c r="Q244" s="7"/>
    </row>
    <row r="245" spans="1:17" x14ac:dyDescent="0.15">
      <c r="A245" s="129"/>
      <c r="B245" s="128"/>
      <c r="C245" s="128"/>
      <c r="D245" s="130"/>
      <c r="E245" s="128"/>
      <c r="F245" s="128"/>
      <c r="G245" s="128"/>
      <c r="H245" s="128"/>
      <c r="I245" s="128"/>
      <c r="Q245" s="7"/>
    </row>
    <row r="246" spans="1:17" x14ac:dyDescent="0.15">
      <c r="A246" s="129"/>
      <c r="B246" s="128"/>
      <c r="C246" s="128"/>
      <c r="D246" s="130"/>
      <c r="E246" s="128"/>
      <c r="F246" s="128"/>
      <c r="G246" s="128"/>
      <c r="H246" s="128"/>
      <c r="I246" s="128"/>
      <c r="Q246" s="7"/>
    </row>
    <row r="247" spans="1:17" x14ac:dyDescent="0.15">
      <c r="A247" s="129"/>
      <c r="B247" s="128"/>
      <c r="C247" s="128"/>
      <c r="D247" s="130"/>
      <c r="E247" s="128"/>
      <c r="F247" s="128"/>
      <c r="G247" s="128"/>
      <c r="H247" s="128"/>
      <c r="I247" s="128"/>
      <c r="Q247" s="7"/>
    </row>
    <row r="248" spans="1:17" x14ac:dyDescent="0.15">
      <c r="A248" s="129"/>
      <c r="B248" s="128"/>
      <c r="C248" s="128"/>
      <c r="D248" s="130"/>
      <c r="E248" s="128"/>
      <c r="F248" s="128"/>
      <c r="G248" s="128"/>
      <c r="H248" s="128"/>
      <c r="I248" s="128"/>
      <c r="Q248" s="7"/>
    </row>
    <row r="249" spans="1:17" x14ac:dyDescent="0.15">
      <c r="A249" s="129"/>
      <c r="B249" s="128"/>
      <c r="C249" s="128"/>
      <c r="D249" s="130"/>
      <c r="E249" s="128"/>
      <c r="F249" s="128"/>
      <c r="G249" s="128"/>
      <c r="H249" s="128"/>
      <c r="I249" s="128"/>
      <c r="Q249" s="7"/>
    </row>
    <row r="250" spans="1:17" x14ac:dyDescent="0.15">
      <c r="A250" s="129"/>
      <c r="B250" s="128"/>
      <c r="C250" s="128"/>
      <c r="D250" s="130"/>
      <c r="E250" s="128"/>
      <c r="F250" s="128"/>
      <c r="G250" s="128"/>
      <c r="H250" s="128"/>
      <c r="I250" s="128"/>
      <c r="Q250" s="7"/>
    </row>
    <row r="251" spans="1:17" x14ac:dyDescent="0.15">
      <c r="A251" s="129"/>
      <c r="B251" s="128"/>
      <c r="C251" s="128"/>
      <c r="D251" s="130"/>
      <c r="E251" s="128"/>
      <c r="F251" s="128"/>
      <c r="G251" s="128"/>
      <c r="H251" s="128"/>
      <c r="I251" s="128"/>
      <c r="Q251" s="7"/>
    </row>
    <row r="252" spans="1:17" x14ac:dyDescent="0.15">
      <c r="A252" s="129"/>
      <c r="B252" s="128"/>
      <c r="C252" s="128"/>
      <c r="D252" s="130"/>
      <c r="E252" s="128"/>
      <c r="F252" s="128"/>
      <c r="G252" s="128"/>
      <c r="H252" s="128"/>
      <c r="I252" s="128"/>
      <c r="Q252" s="7"/>
    </row>
    <row r="253" spans="1:17" x14ac:dyDescent="0.15">
      <c r="A253" s="129"/>
      <c r="B253" s="128"/>
      <c r="C253" s="128"/>
      <c r="D253" s="130"/>
      <c r="E253" s="128"/>
      <c r="F253" s="128"/>
      <c r="G253" s="128"/>
      <c r="H253" s="128"/>
      <c r="I253" s="128"/>
      <c r="Q253" s="7"/>
    </row>
    <row r="254" spans="1:17" x14ac:dyDescent="0.15">
      <c r="A254" s="129"/>
      <c r="B254" s="128"/>
      <c r="C254" s="128"/>
      <c r="D254" s="130"/>
      <c r="E254" s="128"/>
      <c r="F254" s="128"/>
      <c r="G254" s="128"/>
      <c r="H254" s="128"/>
      <c r="I254" s="128"/>
      <c r="Q254" s="7"/>
    </row>
    <row r="255" spans="1:17" x14ac:dyDescent="0.15">
      <c r="A255" s="129"/>
      <c r="B255" s="128"/>
      <c r="C255" s="128"/>
      <c r="D255" s="130"/>
      <c r="E255" s="128"/>
      <c r="F255" s="128"/>
      <c r="G255" s="128"/>
      <c r="H255" s="128"/>
      <c r="I255" s="128"/>
      <c r="Q255" s="7"/>
    </row>
    <row r="256" spans="1:17" x14ac:dyDescent="0.15">
      <c r="A256" s="129"/>
      <c r="B256" s="128"/>
      <c r="C256" s="128"/>
      <c r="D256" s="130"/>
      <c r="E256" s="128"/>
      <c r="F256" s="128"/>
      <c r="G256" s="128"/>
      <c r="H256" s="128"/>
      <c r="I256" s="128"/>
      <c r="Q256" s="7"/>
    </row>
    <row r="257" spans="1:17" x14ac:dyDescent="0.15">
      <c r="A257" s="129"/>
      <c r="B257" s="128"/>
      <c r="C257" s="128"/>
      <c r="D257" s="130"/>
      <c r="E257" s="128"/>
      <c r="F257" s="128"/>
      <c r="G257" s="128"/>
      <c r="H257" s="128"/>
      <c r="I257" s="128"/>
      <c r="Q257" s="7"/>
    </row>
    <row r="258" spans="1:17" x14ac:dyDescent="0.15">
      <c r="A258" s="129"/>
      <c r="B258" s="128"/>
      <c r="C258" s="128"/>
      <c r="D258" s="130"/>
      <c r="E258" s="128"/>
      <c r="F258" s="128"/>
      <c r="G258" s="128"/>
      <c r="H258" s="128"/>
      <c r="I258" s="128"/>
      <c r="Q258" s="7"/>
    </row>
    <row r="259" spans="1:17" x14ac:dyDescent="0.15">
      <c r="A259" s="129"/>
      <c r="B259" s="128"/>
      <c r="C259" s="128"/>
      <c r="D259" s="130"/>
      <c r="E259" s="128"/>
      <c r="F259" s="128"/>
      <c r="G259" s="128"/>
      <c r="H259" s="128"/>
      <c r="I259" s="128"/>
      <c r="Q259" s="7"/>
    </row>
    <row r="260" spans="1:17" x14ac:dyDescent="0.15">
      <c r="A260" s="129"/>
      <c r="B260" s="128"/>
      <c r="C260" s="128"/>
      <c r="D260" s="130"/>
      <c r="E260" s="128"/>
      <c r="F260" s="128"/>
      <c r="G260" s="128"/>
      <c r="H260" s="128"/>
      <c r="I260" s="128"/>
      <c r="Q260" s="7"/>
    </row>
    <row r="261" spans="1:17" x14ac:dyDescent="0.15">
      <c r="A261" s="129"/>
      <c r="B261" s="128"/>
      <c r="C261" s="128"/>
      <c r="D261" s="130"/>
      <c r="E261" s="128"/>
      <c r="F261" s="128"/>
      <c r="G261" s="128"/>
      <c r="H261" s="128"/>
      <c r="I261" s="128"/>
      <c r="Q261" s="7"/>
    </row>
    <row r="262" spans="1:17" x14ac:dyDescent="0.15">
      <c r="A262" s="129"/>
      <c r="B262" s="128"/>
      <c r="C262" s="128"/>
      <c r="D262" s="130"/>
      <c r="E262" s="128"/>
      <c r="F262" s="128"/>
      <c r="G262" s="128"/>
      <c r="H262" s="128"/>
      <c r="I262" s="128"/>
      <c r="Q262" s="7"/>
    </row>
    <row r="263" spans="1:17" x14ac:dyDescent="0.15">
      <c r="A263" s="129"/>
      <c r="B263" s="128"/>
      <c r="C263" s="128"/>
      <c r="D263" s="130"/>
      <c r="E263" s="128"/>
      <c r="F263" s="128"/>
      <c r="G263" s="128"/>
      <c r="H263" s="128"/>
      <c r="I263" s="128"/>
      <c r="Q263" s="7"/>
    </row>
    <row r="264" spans="1:17" x14ac:dyDescent="0.15">
      <c r="A264" s="129"/>
      <c r="B264" s="128"/>
      <c r="C264" s="128"/>
      <c r="D264" s="130"/>
      <c r="E264" s="128"/>
      <c r="F264" s="128"/>
      <c r="G264" s="128"/>
      <c r="H264" s="128"/>
      <c r="I264" s="128"/>
      <c r="Q264" s="7"/>
    </row>
    <row r="265" spans="1:17" x14ac:dyDescent="0.15">
      <c r="A265" s="129"/>
      <c r="B265" s="128"/>
      <c r="C265" s="128"/>
      <c r="D265" s="130"/>
      <c r="E265" s="128"/>
      <c r="F265" s="128"/>
      <c r="G265" s="128"/>
      <c r="H265" s="128"/>
      <c r="I265" s="128"/>
      <c r="Q265" s="7"/>
    </row>
    <row r="266" spans="1:17" x14ac:dyDescent="0.15">
      <c r="A266" s="129"/>
      <c r="B266" s="128"/>
      <c r="C266" s="128"/>
      <c r="D266" s="130"/>
      <c r="E266" s="128"/>
      <c r="F266" s="128"/>
      <c r="G266" s="128"/>
      <c r="H266" s="128"/>
      <c r="I266" s="128"/>
      <c r="Q266" s="7"/>
    </row>
    <row r="267" spans="1:17" x14ac:dyDescent="0.15">
      <c r="A267" s="129"/>
      <c r="B267" s="128"/>
      <c r="C267" s="128"/>
      <c r="D267" s="130"/>
      <c r="E267" s="128"/>
      <c r="F267" s="128"/>
      <c r="G267" s="128"/>
      <c r="H267" s="128"/>
      <c r="I267" s="128"/>
      <c r="Q267" s="7"/>
    </row>
    <row r="268" spans="1:17" x14ac:dyDescent="0.15">
      <c r="A268" s="129"/>
      <c r="B268" s="128"/>
      <c r="C268" s="128"/>
      <c r="D268" s="130"/>
      <c r="E268" s="128"/>
      <c r="F268" s="128"/>
      <c r="G268" s="128"/>
      <c r="H268" s="128"/>
      <c r="I268" s="128"/>
      <c r="Q268" s="7"/>
    </row>
    <row r="269" spans="1:17" x14ac:dyDescent="0.15">
      <c r="A269" s="129"/>
      <c r="B269" s="128"/>
      <c r="C269" s="128"/>
      <c r="D269" s="130"/>
      <c r="E269" s="128"/>
      <c r="F269" s="128"/>
      <c r="G269" s="128"/>
      <c r="H269" s="128"/>
      <c r="I269" s="128"/>
      <c r="Q269" s="7"/>
    </row>
    <row r="270" spans="1:17" x14ac:dyDescent="0.15">
      <c r="A270" s="129"/>
      <c r="B270" s="128"/>
      <c r="C270" s="128"/>
      <c r="D270" s="130"/>
      <c r="E270" s="128"/>
      <c r="F270" s="128"/>
      <c r="G270" s="128"/>
      <c r="H270" s="128"/>
      <c r="I270" s="128"/>
      <c r="Q270" s="7"/>
    </row>
    <row r="271" spans="1:17" x14ac:dyDescent="0.15">
      <c r="A271" s="129"/>
      <c r="B271" s="128"/>
      <c r="C271" s="128"/>
      <c r="D271" s="130"/>
      <c r="E271" s="128"/>
      <c r="F271" s="128"/>
      <c r="G271" s="128"/>
      <c r="H271" s="128"/>
      <c r="I271" s="128"/>
      <c r="Q271" s="7"/>
    </row>
    <row r="272" spans="1:17" x14ac:dyDescent="0.15">
      <c r="A272" s="129"/>
      <c r="B272" s="128"/>
      <c r="C272" s="128"/>
      <c r="D272" s="130"/>
      <c r="E272" s="128"/>
      <c r="F272" s="128"/>
      <c r="G272" s="128"/>
      <c r="H272" s="128"/>
      <c r="I272" s="128"/>
      <c r="Q272" s="7"/>
    </row>
    <row r="273" spans="1:17" x14ac:dyDescent="0.15">
      <c r="A273" s="129"/>
      <c r="B273" s="128"/>
      <c r="C273" s="128"/>
      <c r="D273" s="130"/>
      <c r="E273" s="128"/>
      <c r="F273" s="128"/>
      <c r="G273" s="128"/>
      <c r="H273" s="128"/>
      <c r="I273" s="128"/>
      <c r="Q273" s="7"/>
    </row>
    <row r="274" spans="1:17" x14ac:dyDescent="0.15">
      <c r="A274" s="129"/>
      <c r="B274" s="128"/>
      <c r="C274" s="128"/>
      <c r="D274" s="130"/>
      <c r="E274" s="128"/>
      <c r="F274" s="128"/>
      <c r="G274" s="128"/>
      <c r="H274" s="128"/>
      <c r="I274" s="128"/>
      <c r="Q274" s="7"/>
    </row>
    <row r="275" spans="1:17" x14ac:dyDescent="0.15">
      <c r="A275" s="129"/>
      <c r="B275" s="128"/>
      <c r="C275" s="128"/>
      <c r="D275" s="130"/>
      <c r="E275" s="128"/>
      <c r="F275" s="128"/>
      <c r="G275" s="128"/>
      <c r="H275" s="128"/>
      <c r="I275" s="128"/>
      <c r="Q275" s="7"/>
    </row>
    <row r="276" spans="1:17" x14ac:dyDescent="0.15">
      <c r="A276" s="129"/>
      <c r="B276" s="128"/>
      <c r="C276" s="128"/>
      <c r="D276" s="130"/>
      <c r="E276" s="128"/>
      <c r="F276" s="128"/>
      <c r="G276" s="128"/>
      <c r="H276" s="128"/>
      <c r="I276" s="128"/>
      <c r="Q276" s="7"/>
    </row>
    <row r="277" spans="1:17" x14ac:dyDescent="0.15">
      <c r="A277" s="129"/>
      <c r="B277" s="128"/>
      <c r="C277" s="128"/>
      <c r="D277" s="130"/>
      <c r="E277" s="128"/>
      <c r="F277" s="128"/>
      <c r="G277" s="128"/>
      <c r="H277" s="128"/>
      <c r="I277" s="128"/>
      <c r="Q277" s="7"/>
    </row>
    <row r="278" spans="1:17" x14ac:dyDescent="0.15">
      <c r="A278" s="129"/>
      <c r="B278" s="128"/>
      <c r="C278" s="128"/>
      <c r="D278" s="130"/>
      <c r="E278" s="128"/>
      <c r="F278" s="128"/>
      <c r="G278" s="128"/>
      <c r="H278" s="128"/>
      <c r="I278" s="128"/>
      <c r="Q278" s="7"/>
    </row>
    <row r="279" spans="1:17" x14ac:dyDescent="0.15">
      <c r="A279" s="129"/>
      <c r="B279" s="128"/>
      <c r="C279" s="128"/>
      <c r="D279" s="130"/>
      <c r="E279" s="128"/>
      <c r="F279" s="128"/>
      <c r="G279" s="128"/>
      <c r="H279" s="128"/>
      <c r="I279" s="128"/>
      <c r="Q279" s="7"/>
    </row>
    <row r="280" spans="1:17" x14ac:dyDescent="0.15">
      <c r="A280" s="129"/>
      <c r="B280" s="128"/>
      <c r="C280" s="128"/>
      <c r="D280" s="130"/>
      <c r="E280" s="128"/>
      <c r="F280" s="128"/>
      <c r="G280" s="128"/>
      <c r="H280" s="128"/>
      <c r="I280" s="128"/>
      <c r="Q280" s="7"/>
    </row>
    <row r="281" spans="1:17" x14ac:dyDescent="0.15">
      <c r="A281" s="129"/>
      <c r="B281" s="128"/>
      <c r="C281" s="128"/>
      <c r="D281" s="130"/>
      <c r="E281" s="128"/>
      <c r="F281" s="128"/>
      <c r="G281" s="128"/>
      <c r="H281" s="128"/>
      <c r="I281" s="128"/>
      <c r="Q281" s="7"/>
    </row>
    <row r="282" spans="1:17" x14ac:dyDescent="0.15">
      <c r="A282" s="129"/>
      <c r="B282" s="128"/>
      <c r="C282" s="128"/>
      <c r="D282" s="130"/>
      <c r="E282" s="128"/>
      <c r="F282" s="128"/>
      <c r="G282" s="128"/>
      <c r="H282" s="128"/>
      <c r="I282" s="128"/>
      <c r="Q282" s="7"/>
    </row>
    <row r="283" spans="1:17" x14ac:dyDescent="0.15">
      <c r="A283" s="129"/>
      <c r="B283" s="128"/>
      <c r="C283" s="128"/>
      <c r="D283" s="130"/>
      <c r="E283" s="128"/>
      <c r="F283" s="128"/>
      <c r="G283" s="128"/>
      <c r="H283" s="128"/>
      <c r="I283" s="128"/>
      <c r="Q283" s="7"/>
    </row>
    <row r="284" spans="1:17" x14ac:dyDescent="0.15">
      <c r="A284" s="129"/>
      <c r="B284" s="128"/>
      <c r="C284" s="128"/>
      <c r="D284" s="130"/>
      <c r="E284" s="128"/>
      <c r="F284" s="128"/>
      <c r="G284" s="128"/>
      <c r="H284" s="128"/>
      <c r="I284" s="128"/>
      <c r="Q284" s="7"/>
    </row>
    <row r="285" spans="1:17" x14ac:dyDescent="0.15">
      <c r="A285" s="129"/>
      <c r="B285" s="128"/>
      <c r="C285" s="128"/>
      <c r="D285" s="130"/>
      <c r="E285" s="128"/>
      <c r="F285" s="128"/>
      <c r="G285" s="128"/>
      <c r="H285" s="128"/>
      <c r="I285" s="128"/>
      <c r="Q285" s="7"/>
    </row>
    <row r="286" spans="1:17" x14ac:dyDescent="0.15">
      <c r="A286" s="129"/>
      <c r="B286" s="128"/>
      <c r="C286" s="128"/>
      <c r="D286" s="130"/>
      <c r="E286" s="128"/>
      <c r="F286" s="128"/>
      <c r="G286" s="128"/>
      <c r="H286" s="128"/>
      <c r="I286" s="128"/>
      <c r="Q286" s="7"/>
    </row>
    <row r="287" spans="1:17" x14ac:dyDescent="0.15">
      <c r="A287" s="129"/>
      <c r="B287" s="128"/>
      <c r="C287" s="128"/>
      <c r="D287" s="130"/>
      <c r="E287" s="128"/>
      <c r="F287" s="128"/>
      <c r="G287" s="128"/>
      <c r="H287" s="128"/>
      <c r="I287" s="128"/>
      <c r="Q287" s="7"/>
    </row>
    <row r="288" spans="1:17" x14ac:dyDescent="0.15">
      <c r="A288" s="129"/>
      <c r="B288" s="128"/>
      <c r="C288" s="128"/>
      <c r="D288" s="130"/>
      <c r="E288" s="128"/>
      <c r="F288" s="128"/>
      <c r="G288" s="128"/>
      <c r="H288" s="128"/>
      <c r="I288" s="128"/>
      <c r="Q288" s="7"/>
    </row>
    <row r="289" spans="1:17" x14ac:dyDescent="0.15">
      <c r="A289" s="129"/>
      <c r="B289" s="128"/>
      <c r="C289" s="128"/>
      <c r="D289" s="130"/>
      <c r="E289" s="128"/>
      <c r="F289" s="128"/>
      <c r="G289" s="128"/>
      <c r="H289" s="128"/>
      <c r="I289" s="128"/>
      <c r="Q289" s="7"/>
    </row>
    <row r="290" spans="1:17" x14ac:dyDescent="0.15">
      <c r="A290" s="129"/>
      <c r="B290" s="128"/>
      <c r="C290" s="128"/>
      <c r="D290" s="130"/>
      <c r="E290" s="128"/>
      <c r="F290" s="128"/>
      <c r="G290" s="128"/>
      <c r="H290" s="128"/>
      <c r="I290" s="128"/>
      <c r="Q290" s="7"/>
    </row>
    <row r="291" spans="1:17" x14ac:dyDescent="0.15">
      <c r="A291" s="129"/>
      <c r="B291" s="128"/>
      <c r="C291" s="128"/>
      <c r="D291" s="130"/>
      <c r="E291" s="128"/>
      <c r="F291" s="128"/>
      <c r="G291" s="128"/>
      <c r="H291" s="128"/>
      <c r="I291" s="128"/>
      <c r="Q291" s="7"/>
    </row>
    <row r="292" spans="1:17" x14ac:dyDescent="0.15">
      <c r="A292" s="129"/>
      <c r="B292" s="128"/>
      <c r="C292" s="128"/>
      <c r="D292" s="130"/>
      <c r="E292" s="128"/>
      <c r="F292" s="128"/>
      <c r="G292" s="128"/>
      <c r="H292" s="128"/>
      <c r="I292" s="128"/>
    </row>
    <row r="293" spans="1:17" x14ac:dyDescent="0.15">
      <c r="A293" s="129"/>
      <c r="B293" s="128"/>
      <c r="C293" s="128"/>
      <c r="D293" s="130"/>
      <c r="E293" s="128"/>
      <c r="F293" s="128"/>
      <c r="G293" s="128"/>
      <c r="H293" s="128"/>
      <c r="I293" s="128"/>
    </row>
    <row r="294" spans="1:17" x14ac:dyDescent="0.15">
      <c r="A294" s="129"/>
      <c r="B294" s="128"/>
      <c r="C294" s="128"/>
      <c r="D294" s="130"/>
      <c r="E294" s="128"/>
      <c r="F294" s="128"/>
      <c r="G294" s="128"/>
      <c r="H294" s="128"/>
      <c r="I294" s="128"/>
    </row>
    <row r="295" spans="1:17" x14ac:dyDescent="0.15">
      <c r="A295" s="129"/>
      <c r="B295" s="128"/>
      <c r="C295" s="128"/>
      <c r="D295" s="130"/>
      <c r="E295" s="128"/>
      <c r="F295" s="128"/>
      <c r="G295" s="128"/>
      <c r="H295" s="128"/>
      <c r="I295" s="128"/>
    </row>
    <row r="296" spans="1:17" x14ac:dyDescent="0.15">
      <c r="A296" s="129"/>
      <c r="B296" s="128"/>
      <c r="C296" s="128"/>
      <c r="D296" s="130"/>
      <c r="E296" s="128"/>
      <c r="F296" s="128"/>
      <c r="G296" s="128"/>
      <c r="H296" s="128"/>
      <c r="I296" s="128"/>
    </row>
    <row r="297" spans="1:17" x14ac:dyDescent="0.15">
      <c r="A297" s="129"/>
      <c r="B297" s="128"/>
      <c r="C297" s="128"/>
      <c r="D297" s="130"/>
      <c r="E297" s="128"/>
      <c r="F297" s="128"/>
      <c r="G297" s="128"/>
      <c r="H297" s="128"/>
      <c r="I297" s="128"/>
    </row>
    <row r="298" spans="1:17" x14ac:dyDescent="0.15">
      <c r="A298" s="129"/>
      <c r="B298" s="128"/>
      <c r="C298" s="128"/>
      <c r="D298" s="130"/>
      <c r="E298" s="128"/>
      <c r="F298" s="128"/>
      <c r="G298" s="128"/>
      <c r="H298" s="128"/>
      <c r="I298" s="128"/>
    </row>
    <row r="299" spans="1:17" x14ac:dyDescent="0.15">
      <c r="A299" s="129"/>
      <c r="B299" s="128"/>
      <c r="C299" s="128"/>
      <c r="D299" s="130"/>
      <c r="E299" s="128"/>
      <c r="F299" s="128"/>
      <c r="G299" s="128"/>
      <c r="H299" s="128"/>
      <c r="I299" s="128"/>
    </row>
    <row r="300" spans="1:17" x14ac:dyDescent="0.15">
      <c r="A300" s="129"/>
      <c r="B300" s="128"/>
      <c r="C300" s="128"/>
      <c r="D300" s="130"/>
      <c r="E300" s="128"/>
      <c r="F300" s="128"/>
      <c r="G300" s="128"/>
      <c r="H300" s="128"/>
      <c r="I300" s="128"/>
    </row>
    <row r="301" spans="1:17" x14ac:dyDescent="0.15">
      <c r="A301" s="129"/>
      <c r="B301" s="128"/>
      <c r="C301" s="128"/>
      <c r="D301" s="130"/>
      <c r="E301" s="128"/>
      <c r="F301" s="128"/>
      <c r="G301" s="128"/>
      <c r="H301" s="128"/>
      <c r="I301" s="128"/>
    </row>
    <row r="302" spans="1:17" x14ac:dyDescent="0.15">
      <c r="A302" s="129"/>
      <c r="B302" s="128"/>
      <c r="C302" s="128"/>
      <c r="D302" s="130"/>
      <c r="E302" s="128"/>
      <c r="F302" s="128"/>
      <c r="G302" s="128"/>
      <c r="H302" s="128"/>
      <c r="I302" s="128"/>
    </row>
    <row r="303" spans="1:17" x14ac:dyDescent="0.15">
      <c r="A303" s="129"/>
      <c r="B303" s="128"/>
      <c r="C303" s="128"/>
      <c r="D303" s="130"/>
      <c r="E303" s="128"/>
      <c r="F303" s="128"/>
      <c r="G303" s="128"/>
      <c r="H303" s="128"/>
      <c r="I303" s="128"/>
    </row>
    <row r="304" spans="1:17" x14ac:dyDescent="0.15">
      <c r="A304" s="129"/>
      <c r="B304" s="128"/>
      <c r="C304" s="128"/>
      <c r="D304" s="130"/>
      <c r="E304" s="128"/>
      <c r="F304" s="128"/>
      <c r="G304" s="128"/>
      <c r="H304" s="128"/>
      <c r="I304" s="128"/>
    </row>
    <row r="305" spans="1:9" x14ac:dyDescent="0.15">
      <c r="A305" s="129"/>
      <c r="B305" s="128"/>
      <c r="C305" s="128"/>
      <c r="D305" s="130"/>
      <c r="E305" s="128"/>
      <c r="F305" s="128"/>
      <c r="G305" s="128"/>
      <c r="H305" s="128"/>
      <c r="I305" s="128"/>
    </row>
    <row r="306" spans="1:9" x14ac:dyDescent="0.15">
      <c r="A306" s="129"/>
      <c r="B306" s="128"/>
      <c r="C306" s="128"/>
      <c r="D306" s="130"/>
      <c r="E306" s="128"/>
      <c r="F306" s="128"/>
      <c r="G306" s="128"/>
      <c r="H306" s="128"/>
      <c r="I306" s="128"/>
    </row>
    <row r="307" spans="1:9" x14ac:dyDescent="0.15">
      <c r="A307" s="129"/>
      <c r="B307" s="128"/>
      <c r="C307" s="128"/>
      <c r="D307" s="130"/>
      <c r="E307" s="128"/>
      <c r="F307" s="128"/>
      <c r="G307" s="128"/>
      <c r="H307" s="128"/>
      <c r="I307" s="128"/>
    </row>
    <row r="308" spans="1:9" x14ac:dyDescent="0.15">
      <c r="A308" s="129"/>
      <c r="B308" s="128"/>
      <c r="C308" s="128"/>
      <c r="D308" s="130"/>
      <c r="E308" s="128"/>
      <c r="F308" s="128"/>
      <c r="G308" s="128"/>
      <c r="H308" s="128"/>
      <c r="I308" s="128"/>
    </row>
    <row r="309" spans="1:9" x14ac:dyDescent="0.15">
      <c r="A309" s="129"/>
      <c r="B309" s="128"/>
      <c r="C309" s="128"/>
      <c r="D309" s="130"/>
      <c r="E309" s="128"/>
      <c r="F309" s="128"/>
      <c r="G309" s="128"/>
      <c r="H309" s="128"/>
      <c r="I309" s="128"/>
    </row>
    <row r="310" spans="1:9" x14ac:dyDescent="0.15">
      <c r="A310" s="129"/>
      <c r="B310" s="128"/>
      <c r="C310" s="128"/>
      <c r="D310" s="130"/>
      <c r="E310" s="128"/>
      <c r="F310" s="128"/>
      <c r="G310" s="128"/>
      <c r="H310" s="128"/>
      <c r="I310" s="128"/>
    </row>
    <row r="311" spans="1:9" x14ac:dyDescent="0.15">
      <c r="A311" s="129"/>
      <c r="B311" s="128"/>
      <c r="C311" s="128"/>
      <c r="D311" s="130"/>
      <c r="E311" s="128"/>
      <c r="F311" s="128"/>
      <c r="G311" s="128"/>
      <c r="H311" s="128"/>
      <c r="I311" s="128"/>
    </row>
    <row r="312" spans="1:9" x14ac:dyDescent="0.15">
      <c r="A312" s="129"/>
      <c r="B312" s="128"/>
      <c r="C312" s="128"/>
      <c r="D312" s="130"/>
      <c r="E312" s="128"/>
      <c r="F312" s="128"/>
      <c r="G312" s="128"/>
      <c r="H312" s="128"/>
      <c r="I312" s="128"/>
    </row>
    <row r="313" spans="1:9" x14ac:dyDescent="0.15">
      <c r="A313" s="129"/>
      <c r="B313" s="128"/>
      <c r="C313" s="128"/>
      <c r="D313" s="130"/>
      <c r="E313" s="128"/>
      <c r="F313" s="128"/>
      <c r="G313" s="128"/>
      <c r="H313" s="128"/>
      <c r="I313" s="128"/>
    </row>
    <row r="314" spans="1:9" x14ac:dyDescent="0.15">
      <c r="A314" s="129"/>
      <c r="B314" s="128"/>
      <c r="C314" s="128"/>
      <c r="D314" s="130"/>
      <c r="E314" s="128"/>
      <c r="F314" s="128"/>
      <c r="G314" s="128"/>
      <c r="H314" s="128"/>
      <c r="I314" s="128"/>
    </row>
    <row r="315" spans="1:9" x14ac:dyDescent="0.15">
      <c r="A315" s="129"/>
      <c r="B315" s="128"/>
      <c r="C315" s="128"/>
      <c r="D315" s="130"/>
      <c r="E315" s="128"/>
      <c r="F315" s="128"/>
      <c r="G315" s="128"/>
      <c r="H315" s="128"/>
      <c r="I315" s="128"/>
    </row>
    <row r="316" spans="1:9" x14ac:dyDescent="0.15">
      <c r="A316" s="129"/>
      <c r="B316" s="128"/>
      <c r="C316" s="128"/>
      <c r="D316" s="130"/>
      <c r="E316" s="128"/>
      <c r="F316" s="128"/>
      <c r="G316" s="128"/>
      <c r="H316" s="128"/>
      <c r="I316" s="128"/>
    </row>
    <row r="317" spans="1:9" x14ac:dyDescent="0.15">
      <c r="A317" s="129"/>
      <c r="B317" s="128"/>
      <c r="C317" s="128"/>
      <c r="D317" s="130"/>
      <c r="E317" s="128"/>
      <c r="F317" s="128"/>
      <c r="G317" s="128"/>
      <c r="H317" s="128"/>
      <c r="I317" s="128"/>
    </row>
    <row r="318" spans="1:9" x14ac:dyDescent="0.15">
      <c r="A318" s="129"/>
      <c r="B318" s="128"/>
      <c r="C318" s="128"/>
      <c r="D318" s="130"/>
      <c r="E318" s="128"/>
      <c r="F318" s="128"/>
      <c r="G318" s="128"/>
      <c r="H318" s="128"/>
      <c r="I318" s="128"/>
    </row>
    <row r="319" spans="1:9" x14ac:dyDescent="0.15">
      <c r="A319" s="129"/>
      <c r="B319" s="128"/>
      <c r="C319" s="128"/>
      <c r="D319" s="130"/>
      <c r="E319" s="128"/>
      <c r="F319" s="128"/>
      <c r="G319" s="128"/>
      <c r="H319" s="128"/>
      <c r="I319" s="128"/>
    </row>
    <row r="320" spans="1:9" x14ac:dyDescent="0.15">
      <c r="A320" s="129"/>
      <c r="B320" s="128"/>
      <c r="C320" s="128"/>
      <c r="D320" s="130"/>
      <c r="E320" s="128"/>
      <c r="F320" s="128"/>
      <c r="G320" s="128"/>
      <c r="H320" s="128"/>
      <c r="I320" s="128"/>
    </row>
    <row r="321" spans="1:9" x14ac:dyDescent="0.15">
      <c r="A321" s="129"/>
      <c r="B321" s="128"/>
      <c r="C321" s="128"/>
      <c r="D321" s="130"/>
      <c r="E321" s="128"/>
      <c r="F321" s="128"/>
      <c r="G321" s="128"/>
      <c r="H321" s="128"/>
      <c r="I321" s="128"/>
    </row>
    <row r="322" spans="1:9" x14ac:dyDescent="0.15">
      <c r="A322" s="129"/>
      <c r="B322" s="128"/>
      <c r="C322" s="128"/>
      <c r="D322" s="130"/>
      <c r="E322" s="128"/>
      <c r="F322" s="128"/>
      <c r="G322" s="128"/>
      <c r="H322" s="128"/>
      <c r="I322" s="128"/>
    </row>
    <row r="323" spans="1:9" x14ac:dyDescent="0.15">
      <c r="A323" s="129"/>
      <c r="B323" s="128"/>
      <c r="C323" s="128"/>
      <c r="D323" s="130"/>
      <c r="E323" s="128"/>
      <c r="F323" s="128"/>
      <c r="G323" s="128"/>
      <c r="H323" s="128"/>
      <c r="I323" s="128"/>
    </row>
    <row r="324" spans="1:9" x14ac:dyDescent="0.15">
      <c r="A324" s="129"/>
      <c r="B324" s="128"/>
      <c r="C324" s="128"/>
      <c r="D324" s="130"/>
      <c r="E324" s="128"/>
      <c r="F324" s="128"/>
      <c r="G324" s="128"/>
      <c r="H324" s="128"/>
      <c r="I324" s="128"/>
    </row>
    <row r="325" spans="1:9" x14ac:dyDescent="0.15">
      <c r="A325" s="129"/>
      <c r="B325" s="128"/>
      <c r="C325" s="128"/>
      <c r="D325" s="130"/>
      <c r="E325" s="128"/>
      <c r="F325" s="128"/>
      <c r="G325" s="128"/>
      <c r="H325" s="128"/>
      <c r="I325" s="128"/>
    </row>
    <row r="326" spans="1:9" x14ac:dyDescent="0.15">
      <c r="A326" s="129"/>
      <c r="B326" s="128"/>
      <c r="C326" s="128"/>
      <c r="D326" s="130"/>
      <c r="E326" s="128"/>
      <c r="F326" s="128"/>
      <c r="G326" s="128"/>
      <c r="H326" s="128"/>
      <c r="I326" s="128"/>
    </row>
    <row r="327" spans="1:9" x14ac:dyDescent="0.15">
      <c r="A327" s="129"/>
      <c r="B327" s="128"/>
      <c r="C327" s="128"/>
      <c r="D327" s="130"/>
      <c r="E327" s="128"/>
      <c r="F327" s="128"/>
      <c r="G327" s="128"/>
      <c r="H327" s="128"/>
      <c r="I327" s="128"/>
    </row>
    <row r="328" spans="1:9" x14ac:dyDescent="0.15">
      <c r="A328" s="129"/>
      <c r="B328" s="128"/>
      <c r="C328" s="128"/>
      <c r="D328" s="130"/>
      <c r="E328" s="128"/>
      <c r="F328" s="128"/>
      <c r="G328" s="128"/>
      <c r="H328" s="128"/>
      <c r="I328" s="128"/>
    </row>
    <row r="329" spans="1:9" x14ac:dyDescent="0.15">
      <c r="A329" s="129"/>
      <c r="B329" s="128"/>
      <c r="C329" s="128"/>
      <c r="D329" s="130"/>
      <c r="E329" s="128"/>
      <c r="F329" s="128"/>
      <c r="G329" s="128"/>
      <c r="H329" s="128"/>
      <c r="I329" s="128"/>
    </row>
    <row r="330" spans="1:9" x14ac:dyDescent="0.15">
      <c r="A330" s="129"/>
      <c r="B330" s="128"/>
      <c r="C330" s="128"/>
      <c r="D330" s="130"/>
      <c r="E330" s="128"/>
      <c r="F330" s="128"/>
      <c r="G330" s="128"/>
      <c r="H330" s="128"/>
      <c r="I330" s="128"/>
    </row>
    <row r="331" spans="1:9" x14ac:dyDescent="0.15">
      <c r="A331" s="129"/>
      <c r="B331" s="128"/>
      <c r="C331" s="128"/>
      <c r="D331" s="130"/>
      <c r="E331" s="128"/>
      <c r="F331" s="128"/>
      <c r="G331" s="128"/>
      <c r="H331" s="128"/>
      <c r="I331" s="128"/>
    </row>
    <row r="332" spans="1:9" x14ac:dyDescent="0.15">
      <c r="A332" s="129"/>
      <c r="B332" s="128"/>
      <c r="C332" s="128"/>
      <c r="D332" s="130"/>
      <c r="E332" s="128"/>
      <c r="F332" s="128"/>
      <c r="G332" s="128"/>
      <c r="H332" s="128"/>
      <c r="I332" s="128"/>
    </row>
    <row r="333" spans="1:9" x14ac:dyDescent="0.15">
      <c r="A333" s="129"/>
      <c r="B333" s="128"/>
      <c r="C333" s="128"/>
      <c r="D333" s="130"/>
      <c r="E333" s="128"/>
      <c r="F333" s="128"/>
      <c r="G333" s="128"/>
      <c r="H333" s="128"/>
      <c r="I333" s="128"/>
    </row>
    <row r="334" spans="1:9" x14ac:dyDescent="0.15">
      <c r="A334" s="129"/>
      <c r="B334" s="128"/>
      <c r="C334" s="128"/>
      <c r="D334" s="130"/>
      <c r="E334" s="128"/>
      <c r="F334" s="128"/>
      <c r="G334" s="128"/>
      <c r="H334" s="128"/>
      <c r="I334" s="128"/>
    </row>
    <row r="335" spans="1:9" x14ac:dyDescent="0.15">
      <c r="A335" s="129"/>
      <c r="B335" s="128"/>
      <c r="C335" s="128"/>
      <c r="D335" s="130"/>
      <c r="E335" s="128"/>
      <c r="F335" s="128"/>
      <c r="G335" s="128"/>
      <c r="H335" s="128"/>
      <c r="I335" s="128"/>
    </row>
    <row r="336" spans="1:9" x14ac:dyDescent="0.15">
      <c r="A336" s="129"/>
      <c r="B336" s="128"/>
      <c r="C336" s="128"/>
      <c r="D336" s="130"/>
      <c r="E336" s="128"/>
      <c r="F336" s="128"/>
      <c r="G336" s="128"/>
      <c r="H336" s="128"/>
      <c r="I336" s="128"/>
    </row>
    <row r="337" spans="1:9" x14ac:dyDescent="0.15">
      <c r="A337" s="129"/>
      <c r="B337" s="128"/>
      <c r="C337" s="128"/>
      <c r="D337" s="130"/>
      <c r="E337" s="128"/>
      <c r="F337" s="128"/>
      <c r="G337" s="128"/>
      <c r="H337" s="128"/>
      <c r="I337" s="128"/>
    </row>
    <row r="338" spans="1:9" x14ac:dyDescent="0.15">
      <c r="A338" s="129"/>
      <c r="B338" s="128"/>
      <c r="C338" s="128"/>
      <c r="D338" s="130"/>
      <c r="E338" s="128"/>
      <c r="F338" s="128"/>
      <c r="G338" s="128"/>
      <c r="H338" s="128"/>
      <c r="I338" s="128"/>
    </row>
    <row r="339" spans="1:9" x14ac:dyDescent="0.15">
      <c r="A339" s="129"/>
      <c r="B339" s="128"/>
      <c r="C339" s="128"/>
      <c r="D339" s="130"/>
      <c r="E339" s="128"/>
      <c r="F339" s="128"/>
      <c r="G339" s="128"/>
      <c r="H339" s="128"/>
      <c r="I339" s="128"/>
    </row>
    <row r="340" spans="1:9" x14ac:dyDescent="0.15">
      <c r="A340" s="129"/>
      <c r="B340" s="128"/>
      <c r="C340" s="128"/>
      <c r="D340" s="130"/>
      <c r="E340" s="128"/>
      <c r="F340" s="128"/>
      <c r="G340" s="128"/>
      <c r="H340" s="128"/>
      <c r="I340" s="128"/>
    </row>
    <row r="341" spans="1:9" x14ac:dyDescent="0.15">
      <c r="A341" s="129"/>
      <c r="B341" s="128"/>
      <c r="C341" s="128"/>
      <c r="D341" s="130"/>
      <c r="E341" s="128"/>
      <c r="F341" s="128"/>
      <c r="G341" s="128"/>
      <c r="H341" s="128"/>
      <c r="I341" s="128"/>
    </row>
    <row r="342" spans="1:9" x14ac:dyDescent="0.15">
      <c r="A342" s="129"/>
      <c r="B342" s="128"/>
      <c r="C342" s="128"/>
      <c r="D342" s="130"/>
      <c r="E342" s="128"/>
      <c r="F342" s="128"/>
      <c r="G342" s="128"/>
      <c r="H342" s="128"/>
      <c r="I342" s="128"/>
    </row>
    <row r="343" spans="1:9" x14ac:dyDescent="0.15">
      <c r="A343" s="129"/>
      <c r="B343" s="128"/>
      <c r="C343" s="128"/>
      <c r="D343" s="130"/>
      <c r="E343" s="128"/>
      <c r="F343" s="128"/>
      <c r="G343" s="128"/>
      <c r="H343" s="128"/>
      <c r="I343" s="128"/>
    </row>
    <row r="344" spans="1:9" x14ac:dyDescent="0.15">
      <c r="A344" s="129"/>
      <c r="B344" s="128"/>
      <c r="C344" s="128"/>
      <c r="D344" s="130"/>
      <c r="E344" s="128"/>
      <c r="F344" s="128"/>
      <c r="G344" s="128"/>
      <c r="H344" s="128"/>
      <c r="I344" s="128"/>
    </row>
    <row r="345" spans="1:9" x14ac:dyDescent="0.15">
      <c r="A345" s="129"/>
      <c r="B345" s="128"/>
      <c r="C345" s="128"/>
      <c r="D345" s="130"/>
      <c r="E345" s="128"/>
      <c r="F345" s="128"/>
      <c r="G345" s="128"/>
      <c r="H345" s="128"/>
      <c r="I345" s="128"/>
    </row>
    <row r="346" spans="1:9" x14ac:dyDescent="0.15">
      <c r="A346" s="129"/>
      <c r="B346" s="128"/>
      <c r="C346" s="128"/>
      <c r="D346" s="130"/>
      <c r="E346" s="128"/>
      <c r="F346" s="128"/>
      <c r="G346" s="128"/>
      <c r="H346" s="128"/>
      <c r="I346" s="128"/>
    </row>
    <row r="347" spans="1:9" x14ac:dyDescent="0.15">
      <c r="A347" s="129"/>
      <c r="B347" s="128"/>
      <c r="C347" s="128"/>
      <c r="D347" s="130"/>
      <c r="E347" s="128"/>
      <c r="F347" s="128"/>
      <c r="G347" s="128"/>
      <c r="H347" s="128"/>
      <c r="I347" s="128"/>
    </row>
    <row r="348" spans="1:9" x14ac:dyDescent="0.15">
      <c r="A348" s="129"/>
      <c r="B348" s="128"/>
      <c r="C348" s="128"/>
      <c r="D348" s="130"/>
      <c r="E348" s="128"/>
      <c r="F348" s="128"/>
      <c r="G348" s="128"/>
      <c r="H348" s="128"/>
      <c r="I348" s="128"/>
    </row>
    <row r="349" spans="1:9" x14ac:dyDescent="0.15">
      <c r="A349" s="129"/>
      <c r="B349" s="128"/>
      <c r="C349" s="128"/>
      <c r="D349" s="130"/>
      <c r="E349" s="128"/>
      <c r="F349" s="128"/>
      <c r="G349" s="128"/>
      <c r="H349" s="128"/>
      <c r="I349" s="128"/>
    </row>
    <row r="350" spans="1:9" x14ac:dyDescent="0.15">
      <c r="A350" s="129"/>
      <c r="B350" s="128"/>
      <c r="C350" s="128"/>
      <c r="D350" s="130"/>
      <c r="E350" s="128"/>
      <c r="F350" s="128"/>
      <c r="G350" s="128"/>
      <c r="H350" s="128"/>
      <c r="I350" s="128"/>
    </row>
    <row r="351" spans="1:9" x14ac:dyDescent="0.15">
      <c r="A351" s="129"/>
      <c r="B351" s="128"/>
      <c r="C351" s="128"/>
      <c r="D351" s="130"/>
      <c r="E351" s="128"/>
      <c r="F351" s="128"/>
      <c r="G351" s="128"/>
      <c r="H351" s="128"/>
      <c r="I351" s="128"/>
    </row>
    <row r="352" spans="1:9" x14ac:dyDescent="0.15">
      <c r="A352" s="129"/>
      <c r="B352" s="128"/>
      <c r="C352" s="128"/>
      <c r="D352" s="130"/>
      <c r="E352" s="128"/>
      <c r="F352" s="128"/>
      <c r="G352" s="128"/>
      <c r="H352" s="128"/>
      <c r="I352" s="128"/>
    </row>
    <row r="353" spans="1:9" x14ac:dyDescent="0.15">
      <c r="A353" s="129"/>
      <c r="B353" s="128"/>
      <c r="C353" s="128"/>
      <c r="D353" s="130"/>
      <c r="E353" s="128"/>
      <c r="F353" s="128"/>
      <c r="G353" s="128"/>
      <c r="H353" s="128"/>
      <c r="I353" s="128"/>
    </row>
    <row r="354" spans="1:9" x14ac:dyDescent="0.15">
      <c r="A354" s="129"/>
      <c r="B354" s="128"/>
      <c r="C354" s="128"/>
      <c r="D354" s="130"/>
      <c r="E354" s="128"/>
      <c r="F354" s="128"/>
      <c r="G354" s="128"/>
      <c r="H354" s="128"/>
      <c r="I354" s="128"/>
    </row>
    <row r="355" spans="1:9" x14ac:dyDescent="0.15">
      <c r="A355" s="129"/>
      <c r="B355" s="128"/>
      <c r="C355" s="128"/>
      <c r="D355" s="130"/>
      <c r="E355" s="128"/>
      <c r="F355" s="128"/>
      <c r="G355" s="128"/>
      <c r="H355" s="128"/>
      <c r="I355" s="128"/>
    </row>
    <row r="356" spans="1:9" x14ac:dyDescent="0.15">
      <c r="A356" s="129"/>
      <c r="B356" s="128"/>
      <c r="C356" s="128"/>
      <c r="D356" s="130"/>
      <c r="E356" s="128"/>
      <c r="F356" s="128"/>
      <c r="G356" s="128"/>
      <c r="H356" s="128"/>
      <c r="I356" s="128"/>
    </row>
    <row r="357" spans="1:9" x14ac:dyDescent="0.15">
      <c r="A357" s="129"/>
      <c r="B357" s="128"/>
      <c r="C357" s="128"/>
      <c r="D357" s="130"/>
      <c r="E357" s="128"/>
      <c r="F357" s="128"/>
      <c r="G357" s="128"/>
      <c r="H357" s="128"/>
      <c r="I357" s="128"/>
    </row>
    <row r="358" spans="1:9" x14ac:dyDescent="0.15">
      <c r="A358" s="129"/>
      <c r="B358" s="128"/>
      <c r="C358" s="128"/>
      <c r="D358" s="130"/>
      <c r="E358" s="128"/>
      <c r="F358" s="128"/>
      <c r="G358" s="128"/>
      <c r="H358" s="128"/>
      <c r="I358" s="128"/>
    </row>
    <row r="359" spans="1:9" x14ac:dyDescent="0.15">
      <c r="A359" s="129"/>
      <c r="B359" s="128"/>
      <c r="C359" s="128"/>
      <c r="D359" s="130"/>
      <c r="E359" s="128"/>
      <c r="F359" s="128"/>
      <c r="G359" s="128"/>
      <c r="H359" s="128"/>
      <c r="I359" s="128"/>
    </row>
    <row r="360" spans="1:9" x14ac:dyDescent="0.15">
      <c r="A360" s="129"/>
      <c r="B360" s="128"/>
      <c r="C360" s="128"/>
      <c r="D360" s="130"/>
      <c r="E360" s="128"/>
      <c r="F360" s="128"/>
      <c r="G360" s="128"/>
      <c r="H360" s="128"/>
      <c r="I360" s="128"/>
    </row>
    <row r="361" spans="1:9" x14ac:dyDescent="0.15">
      <c r="A361" s="129"/>
      <c r="B361" s="128"/>
      <c r="C361" s="128"/>
      <c r="D361" s="130"/>
      <c r="E361" s="128"/>
      <c r="F361" s="128"/>
      <c r="G361" s="128"/>
      <c r="H361" s="128"/>
      <c r="I361" s="128"/>
    </row>
    <row r="362" spans="1:9" x14ac:dyDescent="0.15">
      <c r="A362" s="129"/>
      <c r="B362" s="128"/>
      <c r="C362" s="128"/>
      <c r="D362" s="130"/>
      <c r="E362" s="128"/>
      <c r="F362" s="128"/>
      <c r="G362" s="128"/>
      <c r="H362" s="128"/>
      <c r="I362" s="128"/>
    </row>
    <row r="363" spans="1:9" x14ac:dyDescent="0.15">
      <c r="A363" s="129"/>
      <c r="B363" s="128"/>
      <c r="C363" s="128"/>
      <c r="D363" s="130"/>
      <c r="E363" s="128"/>
      <c r="F363" s="128"/>
      <c r="G363" s="128"/>
      <c r="H363" s="128"/>
      <c r="I363" s="128"/>
    </row>
    <row r="364" spans="1:9" x14ac:dyDescent="0.15">
      <c r="A364" s="129"/>
      <c r="B364" s="128"/>
      <c r="C364" s="128"/>
      <c r="D364" s="130"/>
      <c r="E364" s="128"/>
      <c r="F364" s="128"/>
      <c r="G364" s="128"/>
      <c r="H364" s="128"/>
      <c r="I364" s="128"/>
    </row>
    <row r="365" spans="1:9" x14ac:dyDescent="0.15">
      <c r="A365" s="129"/>
      <c r="B365" s="128"/>
      <c r="C365" s="128"/>
      <c r="D365" s="130"/>
      <c r="E365" s="128"/>
      <c r="F365" s="128"/>
      <c r="G365" s="128"/>
      <c r="H365" s="128"/>
      <c r="I365" s="128"/>
    </row>
    <row r="366" spans="1:9" x14ac:dyDescent="0.15">
      <c r="A366" s="129"/>
      <c r="B366" s="128"/>
      <c r="C366" s="128"/>
      <c r="D366" s="130"/>
      <c r="E366" s="128"/>
      <c r="F366" s="128"/>
      <c r="G366" s="128"/>
      <c r="H366" s="128"/>
      <c r="I366" s="128"/>
    </row>
    <row r="367" spans="1:9" x14ac:dyDescent="0.15">
      <c r="A367" s="129"/>
      <c r="B367" s="128"/>
      <c r="C367" s="128"/>
      <c r="D367" s="130"/>
      <c r="E367" s="128"/>
      <c r="F367" s="128"/>
      <c r="G367" s="128"/>
      <c r="H367" s="128"/>
      <c r="I367" s="128"/>
    </row>
    <row r="368" spans="1:9" x14ac:dyDescent="0.15">
      <c r="A368" s="129"/>
      <c r="B368" s="128"/>
      <c r="C368" s="128"/>
      <c r="D368" s="130"/>
      <c r="E368" s="128"/>
      <c r="F368" s="128"/>
      <c r="G368" s="128"/>
      <c r="H368" s="128"/>
      <c r="I368" s="128"/>
    </row>
    <row r="369" spans="1:9" x14ac:dyDescent="0.15">
      <c r="A369" s="129"/>
      <c r="B369" s="128"/>
      <c r="C369" s="128"/>
      <c r="D369" s="130"/>
      <c r="E369" s="128"/>
      <c r="F369" s="128"/>
      <c r="G369" s="128"/>
      <c r="H369" s="128"/>
      <c r="I369" s="128"/>
    </row>
    <row r="370" spans="1:9" x14ac:dyDescent="0.15">
      <c r="A370" s="129"/>
      <c r="B370" s="128"/>
      <c r="C370" s="128"/>
      <c r="D370" s="130"/>
      <c r="E370" s="128"/>
      <c r="F370" s="128"/>
      <c r="G370" s="128"/>
      <c r="H370" s="128"/>
      <c r="I370" s="128"/>
    </row>
    <row r="371" spans="1:9" x14ac:dyDescent="0.15">
      <c r="A371" s="129"/>
      <c r="B371" s="128"/>
      <c r="C371" s="128"/>
      <c r="D371" s="130"/>
      <c r="E371" s="128"/>
      <c r="F371" s="128"/>
      <c r="G371" s="128"/>
      <c r="H371" s="128"/>
      <c r="I371" s="128"/>
    </row>
    <row r="372" spans="1:9" x14ac:dyDescent="0.15">
      <c r="A372" s="129"/>
      <c r="B372" s="128"/>
      <c r="C372" s="128"/>
      <c r="D372" s="130"/>
      <c r="E372" s="128"/>
      <c r="F372" s="128"/>
      <c r="G372" s="128"/>
      <c r="H372" s="128"/>
      <c r="I372" s="128"/>
    </row>
    <row r="373" spans="1:9" x14ac:dyDescent="0.15">
      <c r="A373" s="129"/>
      <c r="B373" s="128"/>
      <c r="C373" s="128"/>
      <c r="D373" s="130"/>
      <c r="E373" s="128"/>
      <c r="F373" s="128"/>
      <c r="G373" s="128"/>
      <c r="H373" s="128"/>
      <c r="I373" s="128"/>
    </row>
    <row r="374" spans="1:9" x14ac:dyDescent="0.15">
      <c r="A374" s="129"/>
      <c r="B374" s="128"/>
      <c r="C374" s="128"/>
      <c r="D374" s="130"/>
      <c r="E374" s="128"/>
      <c r="F374" s="128"/>
      <c r="G374" s="128"/>
      <c r="H374" s="128"/>
      <c r="I374" s="128"/>
    </row>
    <row r="375" spans="1:9" x14ac:dyDescent="0.15">
      <c r="A375" s="129"/>
      <c r="B375" s="128"/>
      <c r="C375" s="128"/>
      <c r="D375" s="130"/>
      <c r="E375" s="128"/>
      <c r="F375" s="128"/>
      <c r="G375" s="128"/>
      <c r="H375" s="128"/>
      <c r="I375" s="128"/>
    </row>
    <row r="376" spans="1:9" x14ac:dyDescent="0.15">
      <c r="A376" s="129"/>
      <c r="B376" s="128"/>
      <c r="C376" s="128"/>
      <c r="D376" s="130"/>
      <c r="E376" s="128"/>
      <c r="F376" s="128"/>
      <c r="G376" s="128"/>
      <c r="H376" s="128"/>
      <c r="I376" s="128"/>
    </row>
    <row r="377" spans="1:9" x14ac:dyDescent="0.15">
      <c r="A377" s="129"/>
      <c r="B377" s="128"/>
      <c r="C377" s="128"/>
      <c r="D377" s="130"/>
      <c r="E377" s="128"/>
      <c r="F377" s="128"/>
      <c r="G377" s="128"/>
      <c r="H377" s="128"/>
      <c r="I377" s="128"/>
    </row>
    <row r="378" spans="1:9" x14ac:dyDescent="0.15">
      <c r="A378" s="129"/>
      <c r="B378" s="128"/>
      <c r="C378" s="128"/>
      <c r="D378" s="130"/>
      <c r="E378" s="128"/>
      <c r="F378" s="128"/>
      <c r="G378" s="128"/>
      <c r="H378" s="128"/>
      <c r="I378" s="128"/>
    </row>
    <row r="379" spans="1:9" x14ac:dyDescent="0.15">
      <c r="A379" s="129"/>
      <c r="B379" s="128"/>
      <c r="C379" s="128"/>
      <c r="D379" s="130"/>
      <c r="E379" s="128"/>
      <c r="F379" s="128"/>
      <c r="G379" s="128"/>
      <c r="H379" s="128"/>
      <c r="I379" s="128"/>
    </row>
    <row r="380" spans="1:9" x14ac:dyDescent="0.15">
      <c r="A380" s="129"/>
      <c r="B380" s="128"/>
      <c r="C380" s="128"/>
      <c r="D380" s="130"/>
      <c r="E380" s="128"/>
      <c r="F380" s="128"/>
      <c r="G380" s="128"/>
      <c r="H380" s="128"/>
      <c r="I380" s="128"/>
    </row>
    <row r="381" spans="1:9" x14ac:dyDescent="0.15">
      <c r="A381" s="129"/>
      <c r="B381" s="128"/>
      <c r="C381" s="128"/>
      <c r="D381" s="130"/>
      <c r="E381" s="128"/>
      <c r="F381" s="128"/>
      <c r="G381" s="128"/>
      <c r="H381" s="128"/>
      <c r="I381" s="128"/>
    </row>
    <row r="382" spans="1:9" x14ac:dyDescent="0.15">
      <c r="A382" s="129"/>
      <c r="B382" s="128"/>
      <c r="C382" s="128"/>
      <c r="D382" s="130"/>
      <c r="E382" s="128"/>
      <c r="F382" s="128"/>
      <c r="G382" s="128"/>
      <c r="H382" s="128"/>
      <c r="I382" s="128"/>
    </row>
    <row r="383" spans="1:9" x14ac:dyDescent="0.15">
      <c r="A383" s="129"/>
      <c r="B383" s="128"/>
      <c r="C383" s="128"/>
      <c r="D383" s="130"/>
      <c r="E383" s="128"/>
      <c r="F383" s="128"/>
      <c r="G383" s="128"/>
      <c r="H383" s="128"/>
      <c r="I383" s="128"/>
    </row>
    <row r="384" spans="1:9" x14ac:dyDescent="0.15">
      <c r="A384" s="129"/>
      <c r="B384" s="128"/>
      <c r="C384" s="128"/>
      <c r="D384" s="130"/>
      <c r="E384" s="128"/>
      <c r="F384" s="128"/>
      <c r="G384" s="128"/>
      <c r="H384" s="128"/>
      <c r="I384" s="128"/>
    </row>
    <row r="385" spans="1:9" x14ac:dyDescent="0.15">
      <c r="A385" s="129"/>
      <c r="B385" s="128"/>
      <c r="C385" s="128"/>
      <c r="D385" s="130"/>
      <c r="E385" s="128"/>
      <c r="F385" s="128"/>
      <c r="G385" s="128"/>
      <c r="H385" s="128"/>
      <c r="I385" s="128"/>
    </row>
    <row r="386" spans="1:9" x14ac:dyDescent="0.15">
      <c r="A386" s="129"/>
      <c r="B386" s="128"/>
      <c r="C386" s="128"/>
      <c r="D386" s="130"/>
      <c r="E386" s="128"/>
      <c r="F386" s="128"/>
      <c r="G386" s="128"/>
      <c r="H386" s="128"/>
      <c r="I386" s="128"/>
    </row>
    <row r="387" spans="1:9" x14ac:dyDescent="0.15">
      <c r="A387" s="129"/>
      <c r="B387" s="128"/>
      <c r="C387" s="128"/>
      <c r="D387" s="130"/>
      <c r="E387" s="128"/>
      <c r="F387" s="128"/>
      <c r="G387" s="128"/>
      <c r="H387" s="128"/>
      <c r="I387" s="128"/>
    </row>
    <row r="388" spans="1:9" x14ac:dyDescent="0.15">
      <c r="A388" s="129"/>
      <c r="B388" s="128"/>
      <c r="C388" s="128"/>
      <c r="D388" s="130"/>
      <c r="E388" s="128"/>
      <c r="F388" s="128"/>
      <c r="G388" s="128"/>
      <c r="H388" s="128"/>
      <c r="I388" s="128"/>
    </row>
    <row r="389" spans="1:9" x14ac:dyDescent="0.15">
      <c r="A389" s="129"/>
      <c r="B389" s="128"/>
      <c r="C389" s="128"/>
      <c r="D389" s="130"/>
      <c r="E389" s="128"/>
      <c r="F389" s="128"/>
      <c r="G389" s="128"/>
      <c r="H389" s="128"/>
      <c r="I389" s="128"/>
    </row>
    <row r="390" spans="1:9" x14ac:dyDescent="0.15">
      <c r="A390" s="129"/>
      <c r="B390" s="128"/>
      <c r="C390" s="128"/>
      <c r="D390" s="130"/>
      <c r="E390" s="128"/>
      <c r="F390" s="128"/>
      <c r="G390" s="128"/>
      <c r="H390" s="128"/>
      <c r="I390" s="128"/>
    </row>
    <row r="391" spans="1:9" x14ac:dyDescent="0.15">
      <c r="A391" s="129"/>
      <c r="B391" s="128"/>
      <c r="C391" s="128"/>
      <c r="D391" s="130"/>
      <c r="E391" s="128"/>
      <c r="F391" s="128"/>
      <c r="G391" s="128"/>
      <c r="H391" s="128"/>
      <c r="I391" s="128"/>
    </row>
    <row r="392" spans="1:9" x14ac:dyDescent="0.15">
      <c r="A392" s="129"/>
      <c r="B392" s="128"/>
      <c r="C392" s="128"/>
      <c r="D392" s="130"/>
      <c r="E392" s="128"/>
      <c r="F392" s="128"/>
      <c r="G392" s="128"/>
      <c r="H392" s="128"/>
      <c r="I392" s="128"/>
    </row>
    <row r="393" spans="1:9" x14ac:dyDescent="0.15">
      <c r="A393" s="129"/>
      <c r="B393" s="128"/>
      <c r="C393" s="128"/>
      <c r="D393" s="130"/>
      <c r="E393" s="128"/>
      <c r="F393" s="128"/>
      <c r="G393" s="128"/>
      <c r="H393" s="128"/>
      <c r="I393" s="128"/>
    </row>
    <row r="394" spans="1:9" x14ac:dyDescent="0.15">
      <c r="A394" s="129"/>
      <c r="B394" s="128"/>
      <c r="C394" s="128"/>
      <c r="D394" s="130"/>
      <c r="E394" s="128"/>
      <c r="F394" s="128"/>
      <c r="G394" s="128"/>
      <c r="H394" s="128"/>
      <c r="I394" s="128"/>
    </row>
    <row r="395" spans="1:9" x14ac:dyDescent="0.15">
      <c r="A395" s="129"/>
      <c r="B395" s="128"/>
      <c r="C395" s="128"/>
      <c r="D395" s="130"/>
      <c r="E395" s="128"/>
      <c r="F395" s="128"/>
      <c r="G395" s="128"/>
      <c r="H395" s="128"/>
      <c r="I395" s="128"/>
    </row>
    <row r="396" spans="1:9" x14ac:dyDescent="0.15">
      <c r="A396" s="129"/>
      <c r="B396" s="128"/>
      <c r="C396" s="128"/>
      <c r="D396" s="130"/>
      <c r="E396" s="128"/>
      <c r="F396" s="128"/>
      <c r="G396" s="128"/>
      <c r="H396" s="128"/>
      <c r="I396" s="128"/>
    </row>
    <row r="397" spans="1:9" x14ac:dyDescent="0.15">
      <c r="A397" s="129"/>
      <c r="B397" s="128"/>
      <c r="C397" s="128"/>
      <c r="D397" s="130"/>
      <c r="E397" s="128"/>
      <c r="F397" s="128"/>
      <c r="G397" s="128"/>
      <c r="H397" s="128"/>
      <c r="I397" s="128"/>
    </row>
    <row r="398" spans="1:9" x14ac:dyDescent="0.15">
      <c r="A398" s="129"/>
      <c r="B398" s="128"/>
      <c r="C398" s="128"/>
      <c r="D398" s="130"/>
      <c r="E398" s="128"/>
      <c r="F398" s="128"/>
      <c r="G398" s="128"/>
      <c r="H398" s="128"/>
      <c r="I398" s="128"/>
    </row>
    <row r="399" spans="1:9" x14ac:dyDescent="0.15">
      <c r="A399" s="129"/>
      <c r="B399" s="128"/>
      <c r="C399" s="128"/>
      <c r="D399" s="130"/>
      <c r="E399" s="128"/>
      <c r="F399" s="128"/>
      <c r="G399" s="128"/>
      <c r="H399" s="128"/>
      <c r="I399" s="128"/>
    </row>
    <row r="400" spans="1:9" x14ac:dyDescent="0.15">
      <c r="A400" s="129"/>
      <c r="B400" s="128"/>
      <c r="C400" s="128"/>
      <c r="D400" s="130"/>
      <c r="E400" s="128"/>
      <c r="F400" s="128"/>
      <c r="G400" s="128"/>
      <c r="H400" s="128"/>
      <c r="I400" s="128"/>
    </row>
    <row r="401" spans="1:9" x14ac:dyDescent="0.15">
      <c r="A401" s="129"/>
      <c r="B401" s="128"/>
      <c r="C401" s="128"/>
      <c r="D401" s="130"/>
      <c r="E401" s="128"/>
      <c r="F401" s="128"/>
      <c r="G401" s="128"/>
      <c r="H401" s="128"/>
      <c r="I401" s="128"/>
    </row>
    <row r="402" spans="1:9" x14ac:dyDescent="0.15">
      <c r="A402" s="129"/>
      <c r="B402" s="128"/>
      <c r="C402" s="128"/>
      <c r="D402" s="130"/>
      <c r="E402" s="128"/>
      <c r="F402" s="128"/>
      <c r="G402" s="128"/>
      <c r="H402" s="128"/>
      <c r="I402" s="128"/>
    </row>
    <row r="403" spans="1:9" x14ac:dyDescent="0.15">
      <c r="A403" s="129"/>
      <c r="B403" s="128"/>
      <c r="C403" s="128"/>
      <c r="D403" s="130"/>
      <c r="E403" s="128"/>
      <c r="F403" s="128"/>
      <c r="G403" s="128"/>
      <c r="H403" s="128"/>
      <c r="I403" s="128"/>
    </row>
    <row r="404" spans="1:9" x14ac:dyDescent="0.15">
      <c r="A404" s="129"/>
      <c r="B404" s="128"/>
      <c r="C404" s="128"/>
      <c r="D404" s="130"/>
      <c r="E404" s="128"/>
      <c r="F404" s="128"/>
      <c r="G404" s="128"/>
      <c r="H404" s="128"/>
      <c r="I404" s="128"/>
    </row>
    <row r="405" spans="1:9" x14ac:dyDescent="0.15">
      <c r="A405" s="129"/>
      <c r="B405" s="128"/>
      <c r="C405" s="128"/>
      <c r="D405" s="130"/>
      <c r="E405" s="128"/>
      <c r="F405" s="128"/>
      <c r="G405" s="128"/>
      <c r="H405" s="128"/>
      <c r="I405" s="128"/>
    </row>
    <row r="406" spans="1:9" x14ac:dyDescent="0.15">
      <c r="A406" s="129"/>
      <c r="B406" s="128"/>
      <c r="C406" s="128"/>
      <c r="D406" s="130"/>
      <c r="E406" s="128"/>
      <c r="F406" s="128"/>
      <c r="G406" s="128"/>
      <c r="H406" s="128"/>
      <c r="I406" s="128"/>
    </row>
    <row r="407" spans="1:9" x14ac:dyDescent="0.15">
      <c r="A407" s="129"/>
      <c r="B407" s="128"/>
      <c r="C407" s="128"/>
      <c r="D407" s="130"/>
      <c r="E407" s="128"/>
      <c r="F407" s="128"/>
      <c r="G407" s="128"/>
      <c r="H407" s="128"/>
      <c r="I407" s="128"/>
    </row>
    <row r="408" spans="1:9" x14ac:dyDescent="0.15">
      <c r="A408" s="129"/>
      <c r="B408" s="128"/>
      <c r="C408" s="128"/>
      <c r="D408" s="130"/>
      <c r="E408" s="128"/>
      <c r="F408" s="128"/>
      <c r="G408" s="128"/>
      <c r="H408" s="128"/>
      <c r="I408" s="128"/>
    </row>
    <row r="409" spans="1:9" x14ac:dyDescent="0.15">
      <c r="A409" s="129"/>
      <c r="B409" s="128"/>
      <c r="C409" s="128"/>
      <c r="D409" s="130"/>
      <c r="E409" s="128"/>
      <c r="F409" s="128"/>
      <c r="G409" s="128"/>
      <c r="H409" s="128"/>
      <c r="I409" s="128"/>
    </row>
    <row r="410" spans="1:9" x14ac:dyDescent="0.15">
      <c r="A410" s="129"/>
      <c r="B410" s="128"/>
      <c r="C410" s="128"/>
      <c r="D410" s="130"/>
      <c r="E410" s="128"/>
      <c r="F410" s="128"/>
      <c r="G410" s="128"/>
      <c r="H410" s="128"/>
      <c r="I410" s="128"/>
    </row>
    <row r="411" spans="1:9" x14ac:dyDescent="0.15">
      <c r="A411" s="129"/>
      <c r="B411" s="128"/>
      <c r="C411" s="128"/>
      <c r="D411" s="130"/>
      <c r="E411" s="128"/>
      <c r="F411" s="128"/>
      <c r="G411" s="128"/>
      <c r="H411" s="128"/>
      <c r="I411" s="128"/>
    </row>
    <row r="412" spans="1:9" x14ac:dyDescent="0.15">
      <c r="A412" s="129"/>
      <c r="B412" s="128"/>
      <c r="C412" s="128"/>
      <c r="D412" s="130"/>
      <c r="E412" s="128"/>
      <c r="F412" s="128"/>
      <c r="G412" s="128"/>
      <c r="H412" s="128"/>
      <c r="I412" s="128"/>
    </row>
    <row r="413" spans="1:9" x14ac:dyDescent="0.15">
      <c r="A413" s="129"/>
      <c r="B413" s="128"/>
      <c r="C413" s="128"/>
      <c r="D413" s="130"/>
      <c r="E413" s="128"/>
      <c r="F413" s="128"/>
      <c r="G413" s="128"/>
      <c r="H413" s="128"/>
      <c r="I413" s="128"/>
    </row>
    <row r="414" spans="1:9" x14ac:dyDescent="0.15">
      <c r="A414" s="129"/>
      <c r="B414" s="128"/>
      <c r="C414" s="128"/>
      <c r="D414" s="130"/>
      <c r="E414" s="128"/>
      <c r="F414" s="128"/>
      <c r="G414" s="128"/>
      <c r="H414" s="128"/>
      <c r="I414" s="128"/>
    </row>
    <row r="415" spans="1:9" x14ac:dyDescent="0.15">
      <c r="A415" s="129"/>
      <c r="B415" s="128"/>
      <c r="C415" s="128"/>
      <c r="D415" s="130"/>
      <c r="E415" s="128"/>
      <c r="F415" s="128"/>
      <c r="G415" s="128"/>
      <c r="H415" s="128"/>
      <c r="I415" s="128"/>
    </row>
    <row r="416" spans="1:9" x14ac:dyDescent="0.15">
      <c r="A416" s="129"/>
      <c r="B416" s="128"/>
      <c r="C416" s="128"/>
      <c r="D416" s="130"/>
      <c r="E416" s="128"/>
      <c r="F416" s="128"/>
      <c r="G416" s="128"/>
      <c r="H416" s="128"/>
      <c r="I416" s="128"/>
    </row>
    <row r="417" spans="1:9" x14ac:dyDescent="0.15">
      <c r="A417" s="129"/>
      <c r="B417" s="128"/>
      <c r="C417" s="128"/>
      <c r="D417" s="130"/>
      <c r="E417" s="128"/>
      <c r="F417" s="128"/>
      <c r="G417" s="128"/>
      <c r="H417" s="128"/>
      <c r="I417" s="128"/>
    </row>
    <row r="418" spans="1:9" x14ac:dyDescent="0.15">
      <c r="A418" s="129"/>
      <c r="B418" s="128"/>
      <c r="C418" s="128"/>
      <c r="D418" s="130"/>
      <c r="E418" s="128"/>
      <c r="F418" s="128"/>
      <c r="G418" s="128"/>
      <c r="H418" s="128"/>
      <c r="I418" s="128"/>
    </row>
    <row r="419" spans="1:9" x14ac:dyDescent="0.15">
      <c r="A419" s="129"/>
      <c r="B419" s="128"/>
      <c r="C419" s="128"/>
      <c r="D419" s="130"/>
      <c r="E419" s="128"/>
      <c r="F419" s="128"/>
      <c r="G419" s="128"/>
      <c r="H419" s="128"/>
      <c r="I419" s="128"/>
    </row>
    <row r="420" spans="1:9" x14ac:dyDescent="0.15">
      <c r="A420" s="129"/>
      <c r="B420" s="128"/>
      <c r="C420" s="128"/>
      <c r="D420" s="130"/>
      <c r="E420" s="128"/>
      <c r="F420" s="128"/>
      <c r="G420" s="128"/>
      <c r="H420" s="128"/>
      <c r="I420" s="128"/>
    </row>
    <row r="421" spans="1:9" x14ac:dyDescent="0.15">
      <c r="A421" s="129"/>
      <c r="B421" s="128"/>
      <c r="C421" s="128"/>
      <c r="D421" s="130"/>
      <c r="E421" s="128"/>
      <c r="F421" s="128"/>
      <c r="G421" s="128"/>
      <c r="H421" s="128"/>
      <c r="I421" s="128"/>
    </row>
    <row r="422" spans="1:9" x14ac:dyDescent="0.15">
      <c r="A422" s="129"/>
      <c r="B422" s="128"/>
      <c r="C422" s="128"/>
      <c r="D422" s="130"/>
      <c r="E422" s="128"/>
      <c r="F422" s="128"/>
      <c r="G422" s="128"/>
      <c r="H422" s="128"/>
      <c r="I422" s="128"/>
    </row>
    <row r="423" spans="1:9" x14ac:dyDescent="0.15">
      <c r="A423" s="129"/>
      <c r="B423" s="128"/>
      <c r="C423" s="128"/>
      <c r="D423" s="130"/>
      <c r="E423" s="128"/>
      <c r="F423" s="128"/>
      <c r="G423" s="128"/>
      <c r="H423" s="128"/>
      <c r="I423" s="128"/>
    </row>
    <row r="424" spans="1:9" x14ac:dyDescent="0.15">
      <c r="A424" s="129"/>
      <c r="B424" s="128"/>
      <c r="C424" s="128"/>
      <c r="D424" s="130"/>
      <c r="E424" s="128"/>
      <c r="F424" s="128"/>
      <c r="G424" s="128"/>
      <c r="H424" s="128"/>
      <c r="I424" s="128"/>
    </row>
    <row r="425" spans="1:9" x14ac:dyDescent="0.15">
      <c r="A425" s="129"/>
      <c r="B425" s="128"/>
      <c r="C425" s="128"/>
      <c r="D425" s="130"/>
      <c r="E425" s="128"/>
      <c r="F425" s="128"/>
      <c r="G425" s="128"/>
      <c r="H425" s="128"/>
      <c r="I425" s="128"/>
    </row>
    <row r="426" spans="1:9" x14ac:dyDescent="0.15">
      <c r="A426" s="129"/>
      <c r="B426" s="128"/>
      <c r="C426" s="128"/>
      <c r="D426" s="130"/>
      <c r="E426" s="128"/>
      <c r="F426" s="128"/>
      <c r="G426" s="128"/>
      <c r="H426" s="128"/>
      <c r="I426" s="128"/>
    </row>
    <row r="427" spans="1:9" x14ac:dyDescent="0.15">
      <c r="A427" s="129"/>
      <c r="B427" s="128"/>
      <c r="C427" s="128"/>
      <c r="D427" s="130"/>
      <c r="E427" s="128"/>
      <c r="F427" s="128"/>
      <c r="G427" s="128"/>
      <c r="H427" s="128"/>
      <c r="I427" s="128"/>
    </row>
    <row r="428" spans="1:9" x14ac:dyDescent="0.15">
      <c r="A428" s="129"/>
      <c r="B428" s="128"/>
      <c r="C428" s="128"/>
      <c r="D428" s="130"/>
      <c r="E428" s="128"/>
      <c r="F428" s="128"/>
      <c r="G428" s="128"/>
      <c r="H428" s="128"/>
      <c r="I428" s="128"/>
    </row>
    <row r="429" spans="1:9" x14ac:dyDescent="0.15">
      <c r="A429" s="129"/>
      <c r="B429" s="128"/>
      <c r="C429" s="128"/>
      <c r="D429" s="130"/>
      <c r="E429" s="128"/>
      <c r="F429" s="128"/>
      <c r="G429" s="128"/>
      <c r="H429" s="128"/>
      <c r="I429" s="128"/>
    </row>
    <row r="430" spans="1:9" x14ac:dyDescent="0.15">
      <c r="A430" s="129"/>
      <c r="B430" s="128"/>
      <c r="C430" s="128"/>
      <c r="D430" s="130"/>
      <c r="E430" s="128"/>
      <c r="F430" s="128"/>
      <c r="G430" s="128"/>
      <c r="H430" s="128"/>
      <c r="I430" s="128"/>
    </row>
    <row r="431" spans="1:9" x14ac:dyDescent="0.15">
      <c r="A431" s="129"/>
      <c r="B431" s="128"/>
      <c r="C431" s="128"/>
      <c r="D431" s="130"/>
      <c r="E431" s="128"/>
      <c r="F431" s="128"/>
      <c r="G431" s="128"/>
      <c r="H431" s="128"/>
      <c r="I431" s="128"/>
    </row>
    <row r="432" spans="1:9" x14ac:dyDescent="0.15">
      <c r="A432" s="129"/>
      <c r="B432" s="128"/>
      <c r="C432" s="128"/>
      <c r="D432" s="130"/>
      <c r="E432" s="128"/>
      <c r="F432" s="128"/>
      <c r="G432" s="128"/>
      <c r="H432" s="128"/>
      <c r="I432" s="128"/>
    </row>
    <row r="433" spans="1:9" x14ac:dyDescent="0.15">
      <c r="A433" s="129"/>
      <c r="B433" s="128"/>
      <c r="C433" s="128"/>
      <c r="D433" s="130"/>
      <c r="E433" s="128"/>
      <c r="F433" s="128"/>
      <c r="G433" s="128"/>
      <c r="H433" s="128"/>
      <c r="I433" s="128"/>
    </row>
    <row r="434" spans="1:9" x14ac:dyDescent="0.15">
      <c r="A434" s="129"/>
      <c r="B434" s="128"/>
      <c r="C434" s="128"/>
      <c r="D434" s="130"/>
      <c r="E434" s="128"/>
      <c r="F434" s="128"/>
      <c r="G434" s="128"/>
      <c r="H434" s="128"/>
      <c r="I434" s="128"/>
    </row>
    <row r="435" spans="1:9" x14ac:dyDescent="0.15">
      <c r="A435" s="129"/>
      <c r="B435" s="128"/>
      <c r="C435" s="128"/>
      <c r="D435" s="130"/>
      <c r="E435" s="128"/>
      <c r="F435" s="128"/>
      <c r="G435" s="128"/>
      <c r="H435" s="128"/>
      <c r="I435" s="128"/>
    </row>
    <row r="436" spans="1:9" x14ac:dyDescent="0.15">
      <c r="A436" s="129"/>
      <c r="B436" s="128"/>
      <c r="C436" s="128"/>
      <c r="D436" s="130"/>
      <c r="E436" s="128"/>
      <c r="F436" s="128"/>
      <c r="G436" s="128"/>
      <c r="H436" s="128"/>
      <c r="I436" s="128"/>
    </row>
    <row r="437" spans="1:9" x14ac:dyDescent="0.15">
      <c r="A437" s="129"/>
      <c r="B437" s="128"/>
      <c r="C437" s="128"/>
      <c r="D437" s="130"/>
      <c r="E437" s="128"/>
      <c r="F437" s="128"/>
      <c r="G437" s="128"/>
      <c r="H437" s="128"/>
      <c r="I437" s="128"/>
    </row>
    <row r="438" spans="1:9" x14ac:dyDescent="0.15">
      <c r="A438" s="129"/>
      <c r="B438" s="128"/>
      <c r="C438" s="128"/>
      <c r="D438" s="130"/>
      <c r="E438" s="128"/>
      <c r="F438" s="128"/>
      <c r="G438" s="128"/>
      <c r="H438" s="128"/>
      <c r="I438" s="128"/>
    </row>
    <row r="439" spans="1:9" x14ac:dyDescent="0.15">
      <c r="A439" s="129"/>
      <c r="B439" s="128"/>
      <c r="C439" s="128"/>
      <c r="D439" s="130"/>
      <c r="E439" s="128"/>
      <c r="F439" s="128"/>
      <c r="G439" s="128"/>
      <c r="H439" s="128"/>
      <c r="I439" s="128"/>
    </row>
    <row r="440" spans="1:9" x14ac:dyDescent="0.15">
      <c r="A440" s="129"/>
      <c r="B440" s="128"/>
      <c r="C440" s="128"/>
      <c r="D440" s="130"/>
      <c r="E440" s="128"/>
      <c r="F440" s="128"/>
      <c r="G440" s="128"/>
      <c r="H440" s="128"/>
      <c r="I440" s="128"/>
    </row>
    <row r="441" spans="1:9" x14ac:dyDescent="0.15">
      <c r="A441" s="129"/>
      <c r="B441" s="128"/>
      <c r="C441" s="128"/>
      <c r="D441" s="130"/>
      <c r="E441" s="128"/>
      <c r="F441" s="128"/>
      <c r="G441" s="128"/>
      <c r="H441" s="128"/>
      <c r="I441" s="128"/>
    </row>
    <row r="442" spans="1:9" x14ac:dyDescent="0.15">
      <c r="A442" s="129"/>
      <c r="B442" s="128"/>
      <c r="C442" s="128"/>
      <c r="D442" s="130"/>
      <c r="E442" s="128"/>
      <c r="F442" s="128"/>
      <c r="G442" s="128"/>
      <c r="H442" s="128"/>
      <c r="I442" s="128"/>
    </row>
    <row r="443" spans="1:9" x14ac:dyDescent="0.15">
      <c r="A443" s="129"/>
      <c r="B443" s="128"/>
      <c r="C443" s="128"/>
      <c r="D443" s="130"/>
      <c r="E443" s="128"/>
      <c r="F443" s="128"/>
      <c r="G443" s="128"/>
      <c r="H443" s="128"/>
      <c r="I443" s="128"/>
    </row>
    <row r="444" spans="1:9" x14ac:dyDescent="0.15">
      <c r="A444" s="129"/>
      <c r="B444" s="128"/>
      <c r="C444" s="128"/>
      <c r="D444" s="130"/>
      <c r="E444" s="128"/>
      <c r="F444" s="128"/>
      <c r="G444" s="128"/>
      <c r="H444" s="128"/>
      <c r="I444" s="128"/>
    </row>
    <row r="445" spans="1:9" x14ac:dyDescent="0.15">
      <c r="A445" s="129"/>
      <c r="B445" s="128"/>
      <c r="C445" s="128"/>
      <c r="D445" s="130"/>
      <c r="E445" s="128"/>
      <c r="F445" s="128"/>
      <c r="G445" s="128"/>
      <c r="H445" s="128"/>
      <c r="I445" s="128"/>
    </row>
    <row r="446" spans="1:9" x14ac:dyDescent="0.15">
      <c r="A446" s="129"/>
      <c r="B446" s="128"/>
      <c r="C446" s="128"/>
      <c r="D446" s="130"/>
      <c r="E446" s="128"/>
      <c r="F446" s="128"/>
      <c r="G446" s="128"/>
      <c r="H446" s="128"/>
      <c r="I446" s="128"/>
    </row>
    <row r="447" spans="1:9" x14ac:dyDescent="0.15">
      <c r="A447" s="129"/>
      <c r="B447" s="128"/>
      <c r="C447" s="128"/>
      <c r="D447" s="130"/>
      <c r="E447" s="128"/>
      <c r="F447" s="128"/>
      <c r="G447" s="128"/>
      <c r="H447" s="128"/>
      <c r="I447" s="128"/>
    </row>
    <row r="448" spans="1:9" x14ac:dyDescent="0.15">
      <c r="A448" s="129"/>
      <c r="B448" s="128"/>
      <c r="C448" s="128"/>
      <c r="D448" s="130"/>
      <c r="E448" s="128"/>
      <c r="F448" s="128"/>
      <c r="G448" s="128"/>
      <c r="H448" s="128"/>
      <c r="I448" s="128"/>
    </row>
    <row r="449" spans="1:9" x14ac:dyDescent="0.15">
      <c r="A449" s="129"/>
      <c r="B449" s="128"/>
      <c r="C449" s="128"/>
      <c r="D449" s="130"/>
      <c r="E449" s="128"/>
      <c r="F449" s="128"/>
      <c r="G449" s="128"/>
      <c r="H449" s="128"/>
      <c r="I449" s="128"/>
    </row>
    <row r="450" spans="1:9" x14ac:dyDescent="0.15">
      <c r="A450" s="129"/>
      <c r="B450" s="128"/>
      <c r="C450" s="128"/>
      <c r="D450" s="130"/>
      <c r="E450" s="128"/>
      <c r="F450" s="128"/>
      <c r="G450" s="128"/>
      <c r="H450" s="128"/>
      <c r="I450" s="128"/>
    </row>
    <row r="451" spans="1:9" x14ac:dyDescent="0.15">
      <c r="A451" s="129"/>
      <c r="B451" s="128"/>
      <c r="C451" s="128"/>
      <c r="D451" s="130"/>
      <c r="E451" s="128"/>
      <c r="F451" s="128"/>
      <c r="G451" s="128"/>
      <c r="H451" s="128"/>
      <c r="I451" s="128"/>
    </row>
    <row r="452" spans="1:9" x14ac:dyDescent="0.15">
      <c r="A452" s="129"/>
      <c r="B452" s="128"/>
      <c r="C452" s="128"/>
      <c r="D452" s="130"/>
      <c r="E452" s="128"/>
      <c r="F452" s="128"/>
      <c r="G452" s="128"/>
      <c r="H452" s="128"/>
      <c r="I452" s="128"/>
    </row>
    <row r="453" spans="1:9" x14ac:dyDescent="0.15">
      <c r="A453" s="129"/>
      <c r="B453" s="128"/>
      <c r="C453" s="128"/>
      <c r="D453" s="130"/>
      <c r="E453" s="128"/>
      <c r="F453" s="128"/>
      <c r="G453" s="128"/>
      <c r="H453" s="128"/>
      <c r="I453" s="128"/>
    </row>
    <row r="454" spans="1:9" x14ac:dyDescent="0.15">
      <c r="A454" s="129"/>
      <c r="B454" s="128"/>
      <c r="C454" s="128"/>
      <c r="D454" s="130"/>
      <c r="E454" s="128"/>
      <c r="F454" s="128"/>
      <c r="G454" s="128"/>
      <c r="H454" s="128"/>
      <c r="I454" s="128"/>
    </row>
    <row r="455" spans="1:9" x14ac:dyDescent="0.15">
      <c r="A455" s="129"/>
      <c r="B455" s="128"/>
      <c r="C455" s="128"/>
      <c r="D455" s="130"/>
      <c r="E455" s="128"/>
      <c r="F455" s="128"/>
      <c r="G455" s="128"/>
      <c r="H455" s="128"/>
      <c r="I455" s="128"/>
    </row>
    <row r="456" spans="1:9" x14ac:dyDescent="0.15">
      <c r="A456" s="129"/>
      <c r="B456" s="128"/>
      <c r="C456" s="128"/>
      <c r="D456" s="130"/>
      <c r="E456" s="128"/>
      <c r="F456" s="128"/>
      <c r="G456" s="128"/>
      <c r="H456" s="128"/>
      <c r="I456" s="128"/>
    </row>
    <row r="457" spans="1:9" x14ac:dyDescent="0.15">
      <c r="A457" s="129"/>
      <c r="B457" s="128"/>
      <c r="C457" s="128"/>
      <c r="D457" s="130"/>
      <c r="E457" s="128"/>
      <c r="F457" s="128"/>
      <c r="G457" s="128"/>
      <c r="H457" s="128"/>
      <c r="I457" s="128"/>
    </row>
    <row r="458" spans="1:9" x14ac:dyDescent="0.15">
      <c r="A458" s="129"/>
      <c r="B458" s="128"/>
      <c r="C458" s="128"/>
      <c r="D458" s="130"/>
      <c r="E458" s="128"/>
      <c r="F458" s="128"/>
      <c r="G458" s="128"/>
      <c r="H458" s="128"/>
      <c r="I458" s="128"/>
    </row>
    <row r="459" spans="1:9" x14ac:dyDescent="0.15">
      <c r="A459" s="129"/>
      <c r="B459" s="128"/>
      <c r="C459" s="128"/>
      <c r="D459" s="130"/>
      <c r="E459" s="128"/>
      <c r="F459" s="128"/>
      <c r="G459" s="128"/>
      <c r="H459" s="128"/>
      <c r="I459" s="128"/>
    </row>
    <row r="460" spans="1:9" x14ac:dyDescent="0.15">
      <c r="A460" s="129"/>
      <c r="B460" s="128"/>
      <c r="C460" s="128"/>
      <c r="D460" s="130"/>
      <c r="E460" s="128"/>
      <c r="F460" s="128"/>
      <c r="G460" s="128"/>
      <c r="H460" s="128"/>
      <c r="I460" s="128"/>
    </row>
    <row r="461" spans="1:9" x14ac:dyDescent="0.15">
      <c r="A461" s="129"/>
      <c r="B461" s="128"/>
      <c r="C461" s="128"/>
      <c r="D461" s="130"/>
      <c r="E461" s="128"/>
      <c r="F461" s="128"/>
      <c r="G461" s="128"/>
      <c r="H461" s="128"/>
      <c r="I461" s="128"/>
    </row>
    <row r="462" spans="1:9" x14ac:dyDescent="0.15">
      <c r="A462" s="129"/>
      <c r="B462" s="128"/>
      <c r="C462" s="128"/>
      <c r="D462" s="130"/>
      <c r="E462" s="128"/>
      <c r="F462" s="128"/>
      <c r="G462" s="128"/>
      <c r="H462" s="128"/>
      <c r="I462" s="128"/>
    </row>
    <row r="463" spans="1:9" x14ac:dyDescent="0.15">
      <c r="A463" s="129"/>
      <c r="B463" s="128"/>
      <c r="C463" s="128"/>
      <c r="D463" s="130"/>
      <c r="E463" s="128"/>
      <c r="F463" s="128"/>
      <c r="G463" s="128"/>
      <c r="H463" s="128"/>
      <c r="I463" s="128"/>
    </row>
    <row r="464" spans="1:9" x14ac:dyDescent="0.15">
      <c r="A464" s="129"/>
      <c r="B464" s="128"/>
      <c r="C464" s="128"/>
      <c r="D464" s="130"/>
      <c r="E464" s="128"/>
      <c r="F464" s="128"/>
      <c r="G464" s="128"/>
      <c r="H464" s="128"/>
      <c r="I464" s="128"/>
    </row>
    <row r="465" spans="1:9" x14ac:dyDescent="0.15">
      <c r="A465" s="129"/>
      <c r="B465" s="128"/>
      <c r="C465" s="128"/>
      <c r="D465" s="130"/>
      <c r="E465" s="128"/>
      <c r="F465" s="128"/>
      <c r="G465" s="128"/>
      <c r="H465" s="128"/>
      <c r="I465" s="128"/>
    </row>
    <row r="466" spans="1:9" x14ac:dyDescent="0.15">
      <c r="A466" s="129"/>
      <c r="B466" s="128"/>
      <c r="C466" s="128"/>
      <c r="D466" s="130"/>
      <c r="E466" s="128"/>
      <c r="F466" s="128"/>
      <c r="G466" s="128"/>
      <c r="H466" s="128"/>
      <c r="I466" s="128"/>
    </row>
    <row r="467" spans="1:9" x14ac:dyDescent="0.15">
      <c r="A467" s="129"/>
      <c r="B467" s="128"/>
      <c r="C467" s="128"/>
      <c r="D467" s="130"/>
      <c r="E467" s="128"/>
      <c r="F467" s="128"/>
      <c r="G467" s="128"/>
      <c r="H467" s="128"/>
      <c r="I467" s="128"/>
    </row>
    <row r="468" spans="1:9" x14ac:dyDescent="0.15">
      <c r="A468" s="129"/>
      <c r="B468" s="128"/>
      <c r="C468" s="128"/>
      <c r="D468" s="130"/>
      <c r="E468" s="128"/>
      <c r="F468" s="128"/>
      <c r="G468" s="128"/>
      <c r="H468" s="128"/>
      <c r="I468" s="128"/>
    </row>
    <row r="469" spans="1:9" x14ac:dyDescent="0.15">
      <c r="A469" s="129"/>
      <c r="B469" s="128"/>
      <c r="C469" s="128"/>
      <c r="D469" s="130"/>
      <c r="E469" s="128"/>
      <c r="F469" s="128"/>
      <c r="G469" s="128"/>
      <c r="H469" s="128"/>
      <c r="I469" s="128"/>
    </row>
    <row r="470" spans="1:9" x14ac:dyDescent="0.15">
      <c r="A470" s="129"/>
      <c r="B470" s="128"/>
      <c r="C470" s="128"/>
      <c r="D470" s="130"/>
      <c r="E470" s="128"/>
      <c r="F470" s="128"/>
      <c r="G470" s="128"/>
      <c r="H470" s="128"/>
      <c r="I470" s="128"/>
    </row>
    <row r="471" spans="1:9" x14ac:dyDescent="0.15">
      <c r="A471" s="129"/>
      <c r="B471" s="128"/>
      <c r="C471" s="128"/>
      <c r="D471" s="130"/>
      <c r="E471" s="128"/>
      <c r="F471" s="128"/>
      <c r="G471" s="128"/>
      <c r="H471" s="128"/>
      <c r="I471" s="128"/>
    </row>
    <row r="472" spans="1:9" x14ac:dyDescent="0.15">
      <c r="A472" s="129"/>
      <c r="B472" s="128"/>
      <c r="C472" s="128"/>
      <c r="D472" s="130"/>
      <c r="E472" s="128"/>
      <c r="F472" s="128"/>
      <c r="G472" s="128"/>
      <c r="H472" s="128"/>
      <c r="I472" s="128"/>
    </row>
    <row r="473" spans="1:9" x14ac:dyDescent="0.15">
      <c r="A473" s="129"/>
      <c r="B473" s="128"/>
      <c r="C473" s="128"/>
      <c r="D473" s="130"/>
      <c r="E473" s="128"/>
      <c r="F473" s="128"/>
      <c r="G473" s="128"/>
      <c r="H473" s="128"/>
      <c r="I473" s="128"/>
    </row>
    <row r="474" spans="1:9" x14ac:dyDescent="0.15">
      <c r="A474" s="129"/>
      <c r="B474" s="128"/>
      <c r="C474" s="128"/>
      <c r="D474" s="130"/>
      <c r="E474" s="128"/>
      <c r="F474" s="128"/>
      <c r="G474" s="128"/>
      <c r="H474" s="128"/>
      <c r="I474" s="128"/>
    </row>
    <row r="475" spans="1:9" x14ac:dyDescent="0.15">
      <c r="A475" s="129"/>
      <c r="B475" s="128"/>
      <c r="C475" s="128"/>
      <c r="D475" s="130"/>
      <c r="E475" s="128"/>
      <c r="F475" s="128"/>
      <c r="G475" s="128"/>
      <c r="H475" s="128"/>
      <c r="I475" s="128"/>
    </row>
    <row r="476" spans="1:9" x14ac:dyDescent="0.15">
      <c r="A476" s="129"/>
      <c r="B476" s="128"/>
      <c r="C476" s="128"/>
      <c r="D476" s="130"/>
      <c r="E476" s="128"/>
      <c r="F476" s="128"/>
      <c r="G476" s="128"/>
      <c r="H476" s="128"/>
      <c r="I476" s="128"/>
    </row>
    <row r="477" spans="1:9" x14ac:dyDescent="0.15">
      <c r="A477" s="129"/>
      <c r="B477" s="128"/>
      <c r="C477" s="128"/>
      <c r="D477" s="130"/>
      <c r="E477" s="128"/>
      <c r="F477" s="128"/>
      <c r="G477" s="128"/>
      <c r="H477" s="128"/>
      <c r="I477" s="128"/>
    </row>
    <row r="478" spans="1:9" x14ac:dyDescent="0.15">
      <c r="A478" s="129"/>
      <c r="B478" s="128"/>
      <c r="C478" s="128"/>
      <c r="D478" s="130"/>
      <c r="E478" s="128"/>
      <c r="F478" s="128"/>
      <c r="G478" s="128"/>
      <c r="H478" s="128"/>
      <c r="I478" s="128"/>
    </row>
    <row r="479" spans="1:9" x14ac:dyDescent="0.15">
      <c r="A479" s="129"/>
      <c r="B479" s="128"/>
      <c r="C479" s="128"/>
      <c r="D479" s="130"/>
      <c r="E479" s="128"/>
      <c r="F479" s="128"/>
      <c r="G479" s="128"/>
      <c r="H479" s="128"/>
      <c r="I479" s="128"/>
    </row>
    <row r="480" spans="1:9" x14ac:dyDescent="0.15">
      <c r="A480" s="129"/>
      <c r="B480" s="128"/>
      <c r="C480" s="128"/>
      <c r="D480" s="130"/>
      <c r="E480" s="128"/>
      <c r="F480" s="128"/>
      <c r="G480" s="128"/>
      <c r="H480" s="128"/>
      <c r="I480" s="128"/>
    </row>
    <row r="481" spans="1:9" x14ac:dyDescent="0.15">
      <c r="A481" s="129"/>
      <c r="B481" s="128"/>
      <c r="C481" s="128"/>
      <c r="D481" s="130"/>
      <c r="E481" s="128"/>
      <c r="F481" s="128"/>
      <c r="G481" s="128"/>
      <c r="H481" s="128"/>
      <c r="I481" s="128"/>
    </row>
    <row r="482" spans="1:9" x14ac:dyDescent="0.15">
      <c r="A482" s="129"/>
      <c r="B482" s="128"/>
      <c r="C482" s="128"/>
      <c r="D482" s="130"/>
      <c r="E482" s="128"/>
      <c r="F482" s="128"/>
      <c r="G482" s="128"/>
      <c r="H482" s="128"/>
      <c r="I482" s="128"/>
    </row>
    <row r="483" spans="1:9" x14ac:dyDescent="0.15">
      <c r="A483" s="129"/>
      <c r="B483" s="128"/>
      <c r="C483" s="128"/>
      <c r="D483" s="130"/>
      <c r="E483" s="128"/>
      <c r="F483" s="128"/>
      <c r="G483" s="128"/>
      <c r="H483" s="128"/>
      <c r="I483" s="128"/>
    </row>
    <row r="484" spans="1:9" x14ac:dyDescent="0.15">
      <c r="A484" s="129"/>
      <c r="B484" s="128"/>
      <c r="C484" s="128"/>
      <c r="D484" s="130"/>
      <c r="E484" s="128"/>
      <c r="F484" s="128"/>
      <c r="G484" s="128"/>
      <c r="H484" s="128"/>
      <c r="I484" s="128"/>
    </row>
    <row r="485" spans="1:9" x14ac:dyDescent="0.15">
      <c r="A485" s="129"/>
      <c r="B485" s="128"/>
      <c r="C485" s="128"/>
      <c r="D485" s="130"/>
      <c r="E485" s="128"/>
      <c r="F485" s="128"/>
      <c r="G485" s="128"/>
      <c r="H485" s="128"/>
      <c r="I485" s="128"/>
    </row>
    <row r="486" spans="1:9" x14ac:dyDescent="0.15">
      <c r="A486" s="129"/>
      <c r="B486" s="128"/>
      <c r="C486" s="128"/>
      <c r="D486" s="130"/>
      <c r="E486" s="128"/>
      <c r="F486" s="128"/>
      <c r="G486" s="128"/>
      <c r="H486" s="128"/>
      <c r="I486" s="128"/>
    </row>
    <row r="487" spans="1:9" x14ac:dyDescent="0.15">
      <c r="A487" s="129"/>
      <c r="B487" s="128"/>
      <c r="C487" s="128"/>
      <c r="D487" s="130"/>
      <c r="E487" s="128"/>
      <c r="F487" s="128"/>
      <c r="G487" s="128"/>
      <c r="H487" s="128"/>
      <c r="I487" s="128"/>
    </row>
    <row r="488" spans="1:9" x14ac:dyDescent="0.15">
      <c r="A488" s="129"/>
      <c r="B488" s="128"/>
      <c r="C488" s="128"/>
      <c r="D488" s="130"/>
      <c r="E488" s="128"/>
      <c r="F488" s="128"/>
      <c r="G488" s="128"/>
      <c r="H488" s="128"/>
      <c r="I488" s="128"/>
    </row>
    <row r="489" spans="1:9" x14ac:dyDescent="0.15">
      <c r="A489" s="129"/>
      <c r="B489" s="128"/>
      <c r="C489" s="128"/>
      <c r="D489" s="130"/>
      <c r="E489" s="128"/>
      <c r="F489" s="128"/>
      <c r="G489" s="128"/>
      <c r="H489" s="128"/>
      <c r="I489" s="128"/>
    </row>
    <row r="490" spans="1:9" x14ac:dyDescent="0.15">
      <c r="A490" s="129"/>
      <c r="B490" s="128"/>
      <c r="C490" s="128"/>
      <c r="D490" s="130"/>
      <c r="E490" s="128"/>
      <c r="F490" s="128"/>
      <c r="G490" s="128"/>
      <c r="H490" s="128"/>
      <c r="I490" s="128"/>
    </row>
    <row r="491" spans="1:9" x14ac:dyDescent="0.15">
      <c r="A491" s="129"/>
      <c r="B491" s="128"/>
      <c r="C491" s="128"/>
      <c r="D491" s="130"/>
      <c r="E491" s="128"/>
      <c r="F491" s="128"/>
      <c r="G491" s="128"/>
      <c r="H491" s="128"/>
      <c r="I491" s="128"/>
    </row>
    <row r="492" spans="1:9" x14ac:dyDescent="0.15">
      <c r="A492" s="129"/>
      <c r="B492" s="128"/>
      <c r="C492" s="128"/>
      <c r="D492" s="130"/>
      <c r="E492" s="128"/>
      <c r="F492" s="128"/>
      <c r="G492" s="128"/>
      <c r="H492" s="128"/>
      <c r="I492" s="128"/>
    </row>
    <row r="493" spans="1:9" x14ac:dyDescent="0.15">
      <c r="A493" s="129"/>
      <c r="B493" s="128"/>
      <c r="C493" s="128"/>
      <c r="D493" s="130"/>
      <c r="E493" s="128"/>
      <c r="F493" s="128"/>
      <c r="G493" s="128"/>
      <c r="H493" s="128"/>
      <c r="I493" s="128"/>
    </row>
    <row r="494" spans="1:9" x14ac:dyDescent="0.15">
      <c r="A494" s="129"/>
      <c r="B494" s="128"/>
      <c r="C494" s="128"/>
      <c r="D494" s="130"/>
      <c r="E494" s="128"/>
      <c r="F494" s="128"/>
      <c r="G494" s="128"/>
      <c r="H494" s="128"/>
      <c r="I494" s="128"/>
    </row>
    <row r="495" spans="1:9" x14ac:dyDescent="0.15">
      <c r="A495" s="129"/>
      <c r="B495" s="128"/>
      <c r="C495" s="128"/>
      <c r="D495" s="130"/>
      <c r="E495" s="128"/>
      <c r="F495" s="128"/>
      <c r="G495" s="128"/>
      <c r="H495" s="128"/>
      <c r="I495" s="128"/>
    </row>
    <row r="496" spans="1:9" x14ac:dyDescent="0.15">
      <c r="A496" s="129"/>
      <c r="B496" s="128"/>
      <c r="C496" s="128"/>
      <c r="D496" s="130"/>
      <c r="E496" s="128"/>
      <c r="F496" s="128"/>
      <c r="G496" s="128"/>
      <c r="H496" s="128"/>
      <c r="I496" s="128"/>
    </row>
    <row r="497" spans="1:9" x14ac:dyDescent="0.15">
      <c r="A497" s="129"/>
      <c r="B497" s="128"/>
      <c r="C497" s="128"/>
      <c r="D497" s="130"/>
      <c r="E497" s="128"/>
      <c r="F497" s="128"/>
      <c r="G497" s="128"/>
      <c r="H497" s="128"/>
      <c r="I497" s="128"/>
    </row>
    <row r="498" spans="1:9" x14ac:dyDescent="0.15">
      <c r="A498" s="129"/>
      <c r="B498" s="128"/>
      <c r="C498" s="128"/>
      <c r="D498" s="130"/>
      <c r="E498" s="128"/>
      <c r="F498" s="128"/>
      <c r="G498" s="128"/>
      <c r="H498" s="128"/>
      <c r="I498" s="128"/>
    </row>
    <row r="499" spans="1:9" x14ac:dyDescent="0.15">
      <c r="A499" s="129"/>
      <c r="B499" s="128"/>
      <c r="C499" s="128"/>
      <c r="D499" s="130"/>
      <c r="E499" s="128"/>
      <c r="F499" s="128"/>
      <c r="G499" s="128"/>
      <c r="H499" s="128"/>
      <c r="I499" s="128"/>
    </row>
    <row r="500" spans="1:9" x14ac:dyDescent="0.15">
      <c r="A500" s="129"/>
      <c r="B500" s="128"/>
      <c r="C500" s="128"/>
      <c r="D500" s="130"/>
      <c r="E500" s="128"/>
      <c r="F500" s="128"/>
      <c r="G500" s="128"/>
      <c r="H500" s="128"/>
      <c r="I500" s="128"/>
    </row>
    <row r="501" spans="1:9" x14ac:dyDescent="0.15">
      <c r="A501" s="129"/>
      <c r="B501" s="128"/>
      <c r="C501" s="128"/>
      <c r="D501" s="130"/>
      <c r="E501" s="128"/>
      <c r="F501" s="128"/>
      <c r="G501" s="128"/>
      <c r="H501" s="128"/>
      <c r="I501" s="128"/>
    </row>
    <row r="502" spans="1:9" x14ac:dyDescent="0.15">
      <c r="A502" s="129"/>
      <c r="B502" s="128"/>
      <c r="C502" s="128"/>
      <c r="D502" s="130"/>
      <c r="E502" s="128"/>
      <c r="F502" s="128"/>
      <c r="G502" s="128"/>
      <c r="H502" s="128"/>
      <c r="I502" s="128"/>
    </row>
    <row r="503" spans="1:9" x14ac:dyDescent="0.15">
      <c r="A503" s="129"/>
      <c r="B503" s="128"/>
      <c r="C503" s="128"/>
      <c r="D503" s="130"/>
      <c r="E503" s="128"/>
      <c r="F503" s="128"/>
      <c r="G503" s="128"/>
      <c r="H503" s="128"/>
      <c r="I503" s="128"/>
    </row>
    <row r="504" spans="1:9" x14ac:dyDescent="0.15">
      <c r="A504" s="129"/>
      <c r="B504" s="128"/>
      <c r="C504" s="128"/>
      <c r="D504" s="130"/>
      <c r="E504" s="128"/>
      <c r="F504" s="128"/>
      <c r="G504" s="128"/>
      <c r="H504" s="128"/>
      <c r="I504" s="128"/>
    </row>
    <row r="505" spans="1:9" x14ac:dyDescent="0.15">
      <c r="A505" s="129"/>
      <c r="B505" s="128"/>
      <c r="C505" s="128"/>
      <c r="D505" s="130"/>
      <c r="E505" s="128"/>
      <c r="F505" s="128"/>
      <c r="G505" s="128"/>
      <c r="H505" s="128"/>
      <c r="I505" s="128"/>
    </row>
    <row r="506" spans="1:9" x14ac:dyDescent="0.15">
      <c r="A506" s="129"/>
      <c r="B506" s="128"/>
      <c r="C506" s="128"/>
      <c r="D506" s="130"/>
      <c r="E506" s="128"/>
      <c r="F506" s="128"/>
      <c r="G506" s="128"/>
      <c r="H506" s="128"/>
      <c r="I506" s="128"/>
    </row>
    <row r="507" spans="1:9" x14ac:dyDescent="0.15">
      <c r="A507" s="129"/>
      <c r="B507" s="128"/>
      <c r="C507" s="128"/>
      <c r="D507" s="130"/>
      <c r="E507" s="128"/>
      <c r="F507" s="128"/>
      <c r="G507" s="128"/>
      <c r="H507" s="128"/>
      <c r="I507" s="128"/>
    </row>
    <row r="508" spans="1:9" x14ac:dyDescent="0.15">
      <c r="A508" s="129"/>
      <c r="B508" s="128"/>
      <c r="C508" s="128"/>
      <c r="D508" s="130"/>
      <c r="E508" s="128"/>
      <c r="F508" s="128"/>
      <c r="G508" s="128"/>
      <c r="H508" s="128"/>
      <c r="I508" s="128"/>
    </row>
    <row r="509" spans="1:9" x14ac:dyDescent="0.15">
      <c r="A509" s="129"/>
      <c r="B509" s="128"/>
      <c r="C509" s="128"/>
      <c r="D509" s="130"/>
      <c r="E509" s="128"/>
      <c r="F509" s="128"/>
      <c r="G509" s="128"/>
      <c r="H509" s="128"/>
      <c r="I509" s="128"/>
    </row>
    <row r="510" spans="1:9" x14ac:dyDescent="0.15">
      <c r="A510" s="129"/>
      <c r="B510" s="128"/>
      <c r="C510" s="128"/>
      <c r="D510" s="130"/>
      <c r="E510" s="128"/>
      <c r="F510" s="128"/>
      <c r="G510" s="128"/>
      <c r="H510" s="128"/>
      <c r="I510" s="128"/>
    </row>
    <row r="511" spans="1:9" x14ac:dyDescent="0.15">
      <c r="A511" s="129"/>
      <c r="B511" s="128"/>
      <c r="C511" s="128"/>
      <c r="D511" s="130"/>
      <c r="E511" s="128"/>
      <c r="F511" s="128"/>
      <c r="G511" s="128"/>
      <c r="H511" s="128"/>
      <c r="I511" s="128"/>
    </row>
    <row r="512" spans="1:9" x14ac:dyDescent="0.15">
      <c r="A512" s="129"/>
      <c r="B512" s="128"/>
      <c r="C512" s="128"/>
      <c r="D512" s="130"/>
      <c r="E512" s="128"/>
      <c r="F512" s="128"/>
      <c r="G512" s="128"/>
      <c r="H512" s="128"/>
      <c r="I512" s="128"/>
    </row>
    <row r="513" spans="1:9" x14ac:dyDescent="0.15">
      <c r="A513" s="129"/>
      <c r="B513" s="128"/>
      <c r="C513" s="128"/>
      <c r="D513" s="130"/>
      <c r="E513" s="128"/>
      <c r="F513" s="128"/>
      <c r="G513" s="128"/>
      <c r="H513" s="128"/>
      <c r="I513" s="128"/>
    </row>
    <row r="514" spans="1:9" x14ac:dyDescent="0.15">
      <c r="A514" s="129"/>
      <c r="B514" s="128"/>
      <c r="C514" s="128"/>
      <c r="D514" s="130"/>
      <c r="E514" s="128"/>
      <c r="F514" s="128"/>
      <c r="G514" s="128"/>
      <c r="H514" s="128"/>
      <c r="I514" s="128"/>
    </row>
    <row r="515" spans="1:9" x14ac:dyDescent="0.15">
      <c r="A515" s="129"/>
      <c r="B515" s="128"/>
      <c r="C515" s="128"/>
      <c r="D515" s="130"/>
      <c r="E515" s="128"/>
      <c r="F515" s="128"/>
      <c r="G515" s="128"/>
      <c r="H515" s="128"/>
      <c r="I515" s="128"/>
    </row>
    <row r="516" spans="1:9" x14ac:dyDescent="0.15">
      <c r="A516" s="129"/>
      <c r="B516" s="128"/>
      <c r="C516" s="128"/>
      <c r="D516" s="130"/>
      <c r="E516" s="128"/>
      <c r="F516" s="128"/>
      <c r="G516" s="128"/>
      <c r="H516" s="128"/>
      <c r="I516" s="128"/>
    </row>
    <row r="517" spans="1:9" x14ac:dyDescent="0.15">
      <c r="A517" s="129"/>
      <c r="B517" s="128"/>
      <c r="C517" s="128"/>
      <c r="D517" s="130"/>
      <c r="E517" s="128"/>
      <c r="F517" s="128"/>
      <c r="G517" s="128"/>
      <c r="H517" s="128"/>
      <c r="I517" s="128"/>
    </row>
    <row r="518" spans="1:9" x14ac:dyDescent="0.15">
      <c r="A518" s="129"/>
      <c r="B518" s="128"/>
      <c r="C518" s="128"/>
      <c r="D518" s="130"/>
      <c r="E518" s="128"/>
      <c r="F518" s="128"/>
      <c r="G518" s="128"/>
      <c r="H518" s="128"/>
      <c r="I518" s="128"/>
    </row>
    <row r="519" spans="1:9" x14ac:dyDescent="0.15">
      <c r="A519" s="129"/>
      <c r="B519" s="128"/>
      <c r="C519" s="128"/>
      <c r="D519" s="130"/>
      <c r="E519" s="128"/>
      <c r="F519" s="128"/>
      <c r="G519" s="128"/>
      <c r="H519" s="128"/>
      <c r="I519" s="128"/>
    </row>
    <row r="520" spans="1:9" x14ac:dyDescent="0.15">
      <c r="A520" s="129"/>
      <c r="B520" s="128"/>
      <c r="C520" s="128"/>
      <c r="D520" s="130"/>
      <c r="E520" s="128"/>
      <c r="F520" s="128"/>
      <c r="G520" s="128"/>
      <c r="H520" s="128"/>
      <c r="I520" s="128"/>
    </row>
    <row r="521" spans="1:9" x14ac:dyDescent="0.15">
      <c r="A521" s="129"/>
      <c r="B521" s="128"/>
      <c r="C521" s="128"/>
      <c r="D521" s="130"/>
      <c r="E521" s="128"/>
      <c r="F521" s="128"/>
      <c r="G521" s="128"/>
      <c r="H521" s="128"/>
      <c r="I521" s="128"/>
    </row>
    <row r="522" spans="1:9" x14ac:dyDescent="0.15">
      <c r="A522" s="129"/>
      <c r="B522" s="128"/>
      <c r="C522" s="128"/>
      <c r="D522" s="130"/>
      <c r="E522" s="128"/>
      <c r="F522" s="128"/>
      <c r="G522" s="128"/>
      <c r="H522" s="128"/>
      <c r="I522" s="128"/>
    </row>
    <row r="523" spans="1:9" x14ac:dyDescent="0.15">
      <c r="A523" s="129"/>
      <c r="B523" s="128"/>
      <c r="C523" s="128"/>
      <c r="D523" s="130"/>
      <c r="E523" s="128"/>
      <c r="F523" s="128"/>
      <c r="G523" s="128"/>
      <c r="H523" s="128"/>
      <c r="I523" s="128"/>
    </row>
    <row r="524" spans="1:9" x14ac:dyDescent="0.15">
      <c r="A524" s="129"/>
      <c r="B524" s="128"/>
      <c r="C524" s="128"/>
      <c r="D524" s="130"/>
      <c r="E524" s="128"/>
      <c r="F524" s="128"/>
      <c r="G524" s="128"/>
      <c r="H524" s="128"/>
      <c r="I524" s="128"/>
    </row>
    <row r="525" spans="1:9" x14ac:dyDescent="0.15">
      <c r="A525" s="129"/>
      <c r="B525" s="128"/>
      <c r="C525" s="128"/>
      <c r="D525" s="130"/>
      <c r="E525" s="128"/>
      <c r="F525" s="128"/>
      <c r="G525" s="128"/>
      <c r="H525" s="128"/>
      <c r="I525" s="128"/>
    </row>
    <row r="526" spans="1:9" x14ac:dyDescent="0.15">
      <c r="A526" s="129"/>
      <c r="B526" s="128"/>
      <c r="C526" s="128"/>
      <c r="D526" s="130"/>
      <c r="E526" s="128"/>
      <c r="F526" s="128"/>
      <c r="G526" s="128"/>
      <c r="H526" s="128"/>
      <c r="I526" s="128"/>
    </row>
    <row r="527" spans="1:9" x14ac:dyDescent="0.15">
      <c r="A527" s="129"/>
      <c r="B527" s="128"/>
      <c r="C527" s="128"/>
      <c r="D527" s="130"/>
      <c r="E527" s="128"/>
      <c r="F527" s="128"/>
      <c r="G527" s="128"/>
      <c r="H527" s="128"/>
      <c r="I527" s="128"/>
    </row>
    <row r="528" spans="1:9" x14ac:dyDescent="0.15">
      <c r="A528" s="129"/>
      <c r="B528" s="128"/>
      <c r="C528" s="128"/>
      <c r="D528" s="130"/>
      <c r="E528" s="128"/>
      <c r="F528" s="128"/>
      <c r="G528" s="128"/>
      <c r="H528" s="128"/>
      <c r="I528" s="128"/>
    </row>
    <row r="529" spans="1:9" x14ac:dyDescent="0.15">
      <c r="A529" s="129"/>
      <c r="B529" s="128"/>
      <c r="C529" s="128"/>
      <c r="D529" s="130"/>
      <c r="E529" s="128"/>
      <c r="F529" s="128"/>
      <c r="G529" s="128"/>
      <c r="H529" s="128"/>
      <c r="I529" s="128"/>
    </row>
    <row r="530" spans="1:9" x14ac:dyDescent="0.15">
      <c r="A530" s="129"/>
      <c r="B530" s="128"/>
      <c r="C530" s="128"/>
      <c r="D530" s="130"/>
      <c r="E530" s="128"/>
      <c r="F530" s="128"/>
      <c r="G530" s="128"/>
      <c r="H530" s="128"/>
      <c r="I530" s="128"/>
    </row>
    <row r="531" spans="1:9" x14ac:dyDescent="0.15">
      <c r="A531" s="129"/>
      <c r="B531" s="128"/>
      <c r="C531" s="128"/>
      <c r="D531" s="130"/>
      <c r="E531" s="128"/>
      <c r="F531" s="128"/>
      <c r="G531" s="128"/>
      <c r="H531" s="128"/>
      <c r="I531" s="128"/>
    </row>
    <row r="532" spans="1:9" x14ac:dyDescent="0.15">
      <c r="A532" s="129"/>
      <c r="B532" s="128"/>
      <c r="C532" s="128"/>
      <c r="D532" s="130"/>
      <c r="E532" s="128"/>
      <c r="F532" s="128"/>
      <c r="G532" s="128"/>
      <c r="H532" s="128"/>
      <c r="I532" s="128"/>
    </row>
    <row r="533" spans="1:9" x14ac:dyDescent="0.15">
      <c r="A533" s="129"/>
      <c r="B533" s="128"/>
      <c r="C533" s="128"/>
      <c r="D533" s="130"/>
      <c r="E533" s="128"/>
      <c r="F533" s="128"/>
      <c r="G533" s="128"/>
      <c r="H533" s="128"/>
      <c r="I533" s="128"/>
    </row>
    <row r="534" spans="1:9" x14ac:dyDescent="0.15">
      <c r="A534" s="129"/>
      <c r="B534" s="128"/>
      <c r="C534" s="128"/>
      <c r="D534" s="130"/>
      <c r="E534" s="128"/>
      <c r="F534" s="128"/>
      <c r="G534" s="128"/>
      <c r="H534" s="128"/>
      <c r="I534" s="128"/>
    </row>
    <row r="535" spans="1:9" x14ac:dyDescent="0.15">
      <c r="A535" s="129"/>
      <c r="B535" s="128"/>
      <c r="C535" s="128"/>
      <c r="D535" s="130"/>
      <c r="E535" s="128"/>
      <c r="F535" s="128"/>
      <c r="G535" s="128"/>
      <c r="H535" s="128"/>
      <c r="I535" s="128"/>
    </row>
    <row r="536" spans="1:9" x14ac:dyDescent="0.15">
      <c r="A536" s="129"/>
      <c r="B536" s="128"/>
      <c r="C536" s="128"/>
      <c r="D536" s="130"/>
      <c r="E536" s="128"/>
      <c r="F536" s="128"/>
      <c r="G536" s="128"/>
      <c r="H536" s="128"/>
      <c r="I536" s="128"/>
    </row>
    <row r="537" spans="1:9" x14ac:dyDescent="0.15">
      <c r="A537" s="129"/>
      <c r="B537" s="128"/>
      <c r="C537" s="128"/>
      <c r="D537" s="130"/>
      <c r="E537" s="128"/>
      <c r="F537" s="128"/>
      <c r="G537" s="128"/>
      <c r="H537" s="128"/>
      <c r="I537" s="128"/>
    </row>
    <row r="538" spans="1:9" x14ac:dyDescent="0.15">
      <c r="A538" s="129"/>
      <c r="B538" s="128"/>
      <c r="C538" s="128"/>
      <c r="D538" s="130"/>
      <c r="E538" s="128"/>
      <c r="F538" s="128"/>
      <c r="G538" s="128"/>
      <c r="H538" s="128"/>
      <c r="I538" s="128"/>
    </row>
    <row r="539" spans="1:9" x14ac:dyDescent="0.15">
      <c r="A539" s="129"/>
      <c r="B539" s="128"/>
      <c r="C539" s="128"/>
      <c r="D539" s="130"/>
      <c r="E539" s="128"/>
      <c r="F539" s="128"/>
      <c r="G539" s="128"/>
      <c r="H539" s="128"/>
      <c r="I539" s="128"/>
    </row>
    <row r="540" spans="1:9" x14ac:dyDescent="0.15">
      <c r="A540" s="129"/>
      <c r="B540" s="128"/>
      <c r="C540" s="128"/>
      <c r="D540" s="130"/>
      <c r="E540" s="128"/>
      <c r="F540" s="128"/>
      <c r="G540" s="128"/>
      <c r="H540" s="128"/>
      <c r="I540" s="128"/>
    </row>
    <row r="541" spans="1:9" x14ac:dyDescent="0.15">
      <c r="A541" s="129"/>
      <c r="B541" s="128"/>
      <c r="C541" s="128"/>
      <c r="D541" s="130"/>
      <c r="E541" s="128"/>
      <c r="F541" s="128"/>
      <c r="G541" s="128"/>
      <c r="H541" s="128"/>
      <c r="I541" s="128"/>
    </row>
    <row r="542" spans="1:9" x14ac:dyDescent="0.15">
      <c r="A542" s="129"/>
      <c r="B542" s="128"/>
      <c r="C542" s="128"/>
      <c r="D542" s="130"/>
      <c r="E542" s="128"/>
      <c r="F542" s="128"/>
      <c r="G542" s="128"/>
      <c r="H542" s="128"/>
      <c r="I542" s="128"/>
    </row>
    <row r="543" spans="1:9" x14ac:dyDescent="0.15">
      <c r="A543" s="129"/>
      <c r="B543" s="128"/>
      <c r="C543" s="128"/>
      <c r="D543" s="130"/>
      <c r="E543" s="128"/>
      <c r="F543" s="128"/>
      <c r="G543" s="128"/>
      <c r="H543" s="128"/>
      <c r="I543" s="128"/>
    </row>
    <row r="544" spans="1:9" x14ac:dyDescent="0.15">
      <c r="A544" s="129"/>
      <c r="B544" s="128"/>
      <c r="C544" s="128"/>
      <c r="D544" s="130"/>
      <c r="E544" s="128"/>
      <c r="F544" s="128"/>
      <c r="G544" s="128"/>
      <c r="H544" s="128"/>
      <c r="I544" s="128"/>
    </row>
    <row r="545" spans="1:9" x14ac:dyDescent="0.15">
      <c r="A545" s="129"/>
      <c r="B545" s="128"/>
      <c r="C545" s="128"/>
      <c r="D545" s="130"/>
      <c r="E545" s="128"/>
      <c r="F545" s="128"/>
      <c r="G545" s="128"/>
      <c r="H545" s="128"/>
      <c r="I545" s="128"/>
    </row>
    <row r="546" spans="1:9" x14ac:dyDescent="0.15">
      <c r="A546" s="129"/>
      <c r="B546" s="128"/>
      <c r="C546" s="128"/>
      <c r="D546" s="130"/>
      <c r="E546" s="128"/>
      <c r="F546" s="128"/>
      <c r="G546" s="128"/>
      <c r="H546" s="128"/>
      <c r="I546" s="128"/>
    </row>
    <row r="547" spans="1:9" x14ac:dyDescent="0.15">
      <c r="A547" s="129"/>
      <c r="B547" s="128"/>
      <c r="C547" s="128"/>
      <c r="D547" s="130"/>
      <c r="E547" s="128"/>
      <c r="F547" s="128"/>
      <c r="G547" s="128"/>
      <c r="H547" s="128"/>
      <c r="I547" s="128"/>
    </row>
    <row r="548" spans="1:9" x14ac:dyDescent="0.15">
      <c r="A548" s="129"/>
      <c r="B548" s="128"/>
      <c r="C548" s="128"/>
      <c r="D548" s="130"/>
      <c r="E548" s="128"/>
      <c r="F548" s="128"/>
      <c r="G548" s="128"/>
      <c r="H548" s="128"/>
      <c r="I548" s="128"/>
    </row>
    <row r="549" spans="1:9" x14ac:dyDescent="0.15">
      <c r="A549" s="129"/>
      <c r="B549" s="128"/>
      <c r="C549" s="128"/>
      <c r="D549" s="130"/>
      <c r="E549" s="128"/>
      <c r="F549" s="128"/>
      <c r="G549" s="128"/>
      <c r="H549" s="128"/>
      <c r="I549" s="128"/>
    </row>
    <row r="550" spans="1:9" x14ac:dyDescent="0.15">
      <c r="A550" s="129"/>
      <c r="B550" s="128"/>
      <c r="C550" s="128"/>
      <c r="D550" s="130"/>
      <c r="E550" s="128"/>
      <c r="F550" s="128"/>
      <c r="G550" s="128"/>
      <c r="H550" s="128"/>
      <c r="I550" s="128"/>
    </row>
    <row r="551" spans="1:9" x14ac:dyDescent="0.15">
      <c r="A551" s="129"/>
      <c r="B551" s="128"/>
      <c r="C551" s="128"/>
      <c r="D551" s="130"/>
      <c r="E551" s="128"/>
      <c r="F551" s="128"/>
      <c r="G551" s="128"/>
      <c r="H551" s="128"/>
      <c r="I551" s="128"/>
    </row>
    <row r="552" spans="1:9" x14ac:dyDescent="0.15">
      <c r="A552" s="129"/>
      <c r="B552" s="128"/>
      <c r="C552" s="128"/>
      <c r="D552" s="130"/>
      <c r="E552" s="128"/>
      <c r="F552" s="128"/>
      <c r="G552" s="128"/>
      <c r="H552" s="128"/>
      <c r="I552" s="128"/>
    </row>
    <row r="553" spans="1:9" x14ac:dyDescent="0.15">
      <c r="A553" s="129"/>
      <c r="B553" s="128"/>
      <c r="C553" s="128"/>
      <c r="D553" s="130"/>
      <c r="E553" s="128"/>
      <c r="F553" s="128"/>
      <c r="G553" s="128"/>
      <c r="H553" s="128"/>
      <c r="I553" s="128"/>
    </row>
    <row r="554" spans="1:9" x14ac:dyDescent="0.15">
      <c r="A554" s="129"/>
      <c r="B554" s="128"/>
      <c r="C554" s="128"/>
      <c r="D554" s="130"/>
      <c r="E554" s="128"/>
      <c r="F554" s="128"/>
      <c r="G554" s="128"/>
      <c r="H554" s="128"/>
      <c r="I554" s="128"/>
    </row>
    <row r="555" spans="1:9" x14ac:dyDescent="0.15">
      <c r="A555" s="129"/>
      <c r="B555" s="128"/>
      <c r="C555" s="128"/>
      <c r="D555" s="130"/>
      <c r="E555" s="128"/>
      <c r="F555" s="128"/>
      <c r="G555" s="128"/>
      <c r="H555" s="128"/>
      <c r="I555" s="128"/>
    </row>
    <row r="556" spans="1:9" x14ac:dyDescent="0.15">
      <c r="A556" s="129"/>
      <c r="B556" s="128"/>
      <c r="C556" s="128"/>
      <c r="D556" s="130"/>
      <c r="E556" s="128"/>
      <c r="F556" s="128"/>
      <c r="G556" s="128"/>
      <c r="H556" s="128"/>
      <c r="I556" s="128"/>
    </row>
    <row r="557" spans="1:9" x14ac:dyDescent="0.15">
      <c r="A557" s="129"/>
      <c r="B557" s="128"/>
      <c r="C557" s="128"/>
      <c r="D557" s="130"/>
      <c r="E557" s="128"/>
      <c r="F557" s="128"/>
      <c r="G557" s="128"/>
      <c r="H557" s="128"/>
      <c r="I557" s="128"/>
    </row>
    <row r="558" spans="1:9" x14ac:dyDescent="0.15">
      <c r="A558" s="129"/>
      <c r="B558" s="128"/>
      <c r="C558" s="128"/>
      <c r="D558" s="130"/>
      <c r="E558" s="128"/>
      <c r="F558" s="128"/>
      <c r="G558" s="128"/>
      <c r="H558" s="128"/>
      <c r="I558" s="128"/>
    </row>
    <row r="559" spans="1:9" x14ac:dyDescent="0.15">
      <c r="A559" s="129"/>
      <c r="B559" s="128"/>
      <c r="C559" s="128"/>
      <c r="D559" s="130"/>
      <c r="E559" s="128"/>
      <c r="F559" s="128"/>
      <c r="G559" s="128"/>
      <c r="H559" s="128"/>
      <c r="I559" s="128"/>
    </row>
    <row r="560" spans="1:9" x14ac:dyDescent="0.15">
      <c r="A560" s="129"/>
      <c r="B560" s="128"/>
      <c r="C560" s="128"/>
      <c r="D560" s="130"/>
      <c r="E560" s="128"/>
      <c r="F560" s="128"/>
      <c r="G560" s="128"/>
      <c r="H560" s="128"/>
      <c r="I560" s="128"/>
    </row>
    <row r="561" spans="1:9" x14ac:dyDescent="0.15">
      <c r="A561" s="129"/>
      <c r="B561" s="128"/>
      <c r="C561" s="128"/>
      <c r="D561" s="130"/>
      <c r="E561" s="128"/>
      <c r="F561" s="128"/>
      <c r="G561" s="128"/>
      <c r="H561" s="128"/>
      <c r="I561" s="128"/>
    </row>
    <row r="562" spans="1:9" x14ac:dyDescent="0.15">
      <c r="A562" s="129"/>
      <c r="B562" s="128"/>
      <c r="C562" s="128"/>
      <c r="D562" s="130"/>
      <c r="E562" s="128"/>
      <c r="F562" s="128"/>
      <c r="G562" s="128"/>
      <c r="H562" s="128"/>
      <c r="I562" s="128"/>
    </row>
    <row r="563" spans="1:9" x14ac:dyDescent="0.15">
      <c r="A563" s="129"/>
      <c r="B563" s="128"/>
      <c r="C563" s="128"/>
      <c r="D563" s="130"/>
      <c r="E563" s="128"/>
      <c r="F563" s="128"/>
      <c r="G563" s="128"/>
      <c r="H563" s="128"/>
      <c r="I563" s="128"/>
    </row>
    <row r="564" spans="1:9" x14ac:dyDescent="0.15">
      <c r="A564" s="129"/>
      <c r="B564" s="128"/>
      <c r="C564" s="128"/>
      <c r="D564" s="130"/>
      <c r="E564" s="128"/>
      <c r="F564" s="128"/>
      <c r="G564" s="128"/>
      <c r="H564" s="128"/>
      <c r="I564" s="128"/>
    </row>
    <row r="565" spans="1:9" x14ac:dyDescent="0.15">
      <c r="A565" s="129"/>
      <c r="B565" s="128"/>
      <c r="C565" s="128"/>
      <c r="D565" s="130"/>
      <c r="E565" s="128"/>
      <c r="F565" s="128"/>
      <c r="G565" s="128"/>
      <c r="H565" s="128"/>
      <c r="I565" s="128"/>
    </row>
    <row r="566" spans="1:9" x14ac:dyDescent="0.15">
      <c r="A566" s="129"/>
      <c r="B566" s="128"/>
      <c r="C566" s="128"/>
      <c r="D566" s="130"/>
      <c r="E566" s="128"/>
      <c r="F566" s="128"/>
      <c r="G566" s="128"/>
      <c r="H566" s="128"/>
      <c r="I566" s="128"/>
    </row>
    <row r="567" spans="1:9" x14ac:dyDescent="0.15">
      <c r="A567" s="129"/>
      <c r="B567" s="128"/>
      <c r="C567" s="128"/>
      <c r="D567" s="130"/>
      <c r="E567" s="128"/>
      <c r="F567" s="128"/>
      <c r="G567" s="128"/>
      <c r="H567" s="128"/>
      <c r="I567" s="128"/>
    </row>
    <row r="568" spans="1:9" x14ac:dyDescent="0.15">
      <c r="A568" s="129"/>
      <c r="B568" s="128"/>
      <c r="C568" s="128"/>
      <c r="D568" s="130"/>
      <c r="E568" s="128"/>
      <c r="F568" s="128"/>
      <c r="G568" s="128"/>
      <c r="H568" s="128"/>
      <c r="I568" s="128"/>
    </row>
    <row r="569" spans="1:9" x14ac:dyDescent="0.15">
      <c r="A569" s="129"/>
      <c r="B569" s="128"/>
      <c r="C569" s="128"/>
      <c r="D569" s="130"/>
      <c r="E569" s="128"/>
      <c r="F569" s="128"/>
      <c r="G569" s="128"/>
      <c r="H569" s="128"/>
      <c r="I569" s="128"/>
    </row>
    <row r="570" spans="1:9" x14ac:dyDescent="0.15">
      <c r="A570" s="129"/>
      <c r="B570" s="128"/>
      <c r="C570" s="128"/>
      <c r="D570" s="130"/>
      <c r="E570" s="128"/>
      <c r="F570" s="128"/>
      <c r="G570" s="128"/>
      <c r="H570" s="128"/>
      <c r="I570" s="128"/>
    </row>
    <row r="571" spans="1:9" x14ac:dyDescent="0.15">
      <c r="A571" s="129"/>
      <c r="B571" s="128"/>
      <c r="C571" s="128"/>
      <c r="D571" s="130"/>
      <c r="E571" s="128"/>
      <c r="F571" s="128"/>
      <c r="G571" s="128"/>
      <c r="H571" s="128"/>
      <c r="I571" s="128"/>
    </row>
    <row r="572" spans="1:9" x14ac:dyDescent="0.15">
      <c r="A572" s="129"/>
      <c r="B572" s="128"/>
      <c r="C572" s="128"/>
      <c r="D572" s="130"/>
      <c r="E572" s="128"/>
      <c r="F572" s="128"/>
      <c r="G572" s="128"/>
      <c r="H572" s="128"/>
      <c r="I572" s="128"/>
    </row>
    <row r="573" spans="1:9" x14ac:dyDescent="0.15">
      <c r="A573" s="129"/>
      <c r="B573" s="128"/>
      <c r="C573" s="128"/>
      <c r="D573" s="130"/>
      <c r="E573" s="128"/>
      <c r="F573" s="128"/>
      <c r="G573" s="128"/>
      <c r="H573" s="128"/>
      <c r="I573" s="128"/>
    </row>
    <row r="574" spans="1:9" x14ac:dyDescent="0.15">
      <c r="A574" s="129"/>
      <c r="B574" s="128"/>
      <c r="C574" s="128"/>
      <c r="D574" s="130"/>
      <c r="E574" s="128"/>
      <c r="F574" s="128"/>
      <c r="G574" s="128"/>
      <c r="H574" s="128"/>
      <c r="I574" s="128"/>
    </row>
    <row r="575" spans="1:9" x14ac:dyDescent="0.15">
      <c r="A575" s="129"/>
      <c r="B575" s="128"/>
      <c r="C575" s="128"/>
      <c r="D575" s="130"/>
      <c r="E575" s="128"/>
      <c r="F575" s="128"/>
      <c r="G575" s="128"/>
      <c r="H575" s="128"/>
      <c r="I575" s="128"/>
    </row>
    <row r="576" spans="1:9" x14ac:dyDescent="0.15">
      <c r="A576" s="129"/>
      <c r="B576" s="128"/>
      <c r="C576" s="128"/>
      <c r="D576" s="130"/>
      <c r="E576" s="128"/>
      <c r="F576" s="128"/>
      <c r="G576" s="128"/>
      <c r="H576" s="128"/>
      <c r="I576" s="128"/>
    </row>
    <row r="577" spans="1:9" x14ac:dyDescent="0.15">
      <c r="A577" s="129"/>
      <c r="B577" s="128"/>
      <c r="C577" s="128"/>
      <c r="D577" s="130"/>
      <c r="E577" s="128"/>
      <c r="F577" s="128"/>
      <c r="G577" s="128"/>
      <c r="H577" s="128"/>
      <c r="I577" s="128"/>
    </row>
    <row r="578" spans="1:9" x14ac:dyDescent="0.15">
      <c r="A578" s="129"/>
      <c r="B578" s="128"/>
      <c r="C578" s="128"/>
      <c r="D578" s="130"/>
      <c r="E578" s="128"/>
      <c r="F578" s="128"/>
      <c r="G578" s="128"/>
      <c r="H578" s="128"/>
      <c r="I578" s="128"/>
    </row>
    <row r="579" spans="1:9" x14ac:dyDescent="0.15">
      <c r="A579" s="129"/>
      <c r="B579" s="128"/>
      <c r="C579" s="128"/>
      <c r="D579" s="130"/>
      <c r="E579" s="128"/>
      <c r="F579" s="128"/>
      <c r="G579" s="128"/>
      <c r="H579" s="128"/>
      <c r="I579" s="128"/>
    </row>
    <row r="580" spans="1:9" x14ac:dyDescent="0.15">
      <c r="A580" s="129"/>
      <c r="B580" s="128"/>
      <c r="C580" s="128"/>
      <c r="D580" s="130"/>
      <c r="E580" s="128"/>
      <c r="F580" s="128"/>
      <c r="G580" s="128"/>
      <c r="H580" s="128"/>
      <c r="I580" s="128"/>
    </row>
    <row r="581" spans="1:9" x14ac:dyDescent="0.15">
      <c r="A581" s="129"/>
      <c r="B581" s="128"/>
      <c r="C581" s="128"/>
      <c r="D581" s="130"/>
      <c r="E581" s="128"/>
      <c r="F581" s="128"/>
      <c r="G581" s="128"/>
      <c r="H581" s="128"/>
      <c r="I581" s="128"/>
    </row>
    <row r="582" spans="1:9" x14ac:dyDescent="0.15">
      <c r="A582" s="129"/>
      <c r="B582" s="128"/>
      <c r="C582" s="128"/>
      <c r="D582" s="130"/>
      <c r="E582" s="128"/>
      <c r="F582" s="128"/>
      <c r="G582" s="128"/>
      <c r="H582" s="128"/>
      <c r="I582" s="128"/>
    </row>
    <row r="583" spans="1:9" x14ac:dyDescent="0.15">
      <c r="A583" s="129"/>
      <c r="B583" s="128"/>
      <c r="C583" s="128"/>
      <c r="D583" s="130"/>
      <c r="E583" s="128"/>
      <c r="F583" s="128"/>
      <c r="G583" s="128"/>
      <c r="H583" s="128"/>
      <c r="I583" s="128"/>
    </row>
    <row r="584" spans="1:9" x14ac:dyDescent="0.15">
      <c r="A584" s="129"/>
      <c r="B584" s="128"/>
      <c r="C584" s="128"/>
      <c r="D584" s="130"/>
      <c r="E584" s="128"/>
      <c r="F584" s="128"/>
      <c r="G584" s="128"/>
      <c r="H584" s="128"/>
      <c r="I584" s="128"/>
    </row>
    <row r="585" spans="1:9" x14ac:dyDescent="0.15">
      <c r="A585" s="129"/>
      <c r="B585" s="128"/>
      <c r="C585" s="128"/>
      <c r="D585" s="130"/>
      <c r="E585" s="128"/>
      <c r="F585" s="128"/>
      <c r="G585" s="128"/>
      <c r="H585" s="128"/>
      <c r="I585" s="128"/>
    </row>
    <row r="586" spans="1:9" x14ac:dyDescent="0.15">
      <c r="A586" s="129"/>
      <c r="B586" s="128"/>
      <c r="C586" s="128"/>
      <c r="D586" s="130"/>
      <c r="E586" s="128"/>
      <c r="F586" s="128"/>
      <c r="G586" s="128"/>
      <c r="H586" s="128"/>
      <c r="I586" s="128"/>
    </row>
    <row r="587" spans="1:9" x14ac:dyDescent="0.15">
      <c r="A587" s="129"/>
      <c r="B587" s="128"/>
      <c r="C587" s="128"/>
      <c r="D587" s="130"/>
      <c r="E587" s="128"/>
      <c r="F587" s="128"/>
      <c r="G587" s="128"/>
      <c r="H587" s="128"/>
      <c r="I587" s="128"/>
    </row>
    <row r="588" spans="1:9" x14ac:dyDescent="0.15">
      <c r="A588" s="129"/>
      <c r="B588" s="128"/>
      <c r="C588" s="128"/>
      <c r="D588" s="130"/>
      <c r="E588" s="128"/>
      <c r="F588" s="128"/>
      <c r="G588" s="128"/>
      <c r="H588" s="128"/>
      <c r="I588" s="128"/>
    </row>
    <row r="589" spans="1:9" x14ac:dyDescent="0.15">
      <c r="A589" s="129"/>
      <c r="B589" s="128"/>
      <c r="C589" s="128"/>
      <c r="D589" s="130"/>
      <c r="E589" s="128"/>
      <c r="F589" s="128"/>
      <c r="G589" s="128"/>
      <c r="H589" s="128"/>
      <c r="I589" s="128"/>
    </row>
    <row r="590" spans="1:9" x14ac:dyDescent="0.15">
      <c r="A590" s="129"/>
      <c r="B590" s="128"/>
      <c r="C590" s="128"/>
      <c r="D590" s="130"/>
      <c r="E590" s="128"/>
      <c r="F590" s="128"/>
      <c r="G590" s="128"/>
      <c r="H590" s="128"/>
      <c r="I590" s="128"/>
    </row>
    <row r="591" spans="1:9" x14ac:dyDescent="0.15">
      <c r="A591" s="129"/>
      <c r="B591" s="128"/>
      <c r="C591" s="128"/>
      <c r="D591" s="130"/>
      <c r="E591" s="128"/>
      <c r="F591" s="128"/>
      <c r="G591" s="128"/>
      <c r="H591" s="128"/>
      <c r="I591" s="128"/>
    </row>
    <row r="592" spans="1:9" x14ac:dyDescent="0.15">
      <c r="A592" s="129"/>
      <c r="B592" s="128"/>
      <c r="C592" s="128"/>
      <c r="D592" s="130"/>
      <c r="E592" s="128"/>
      <c r="F592" s="128"/>
      <c r="G592" s="128"/>
      <c r="H592" s="128"/>
      <c r="I592" s="128"/>
    </row>
    <row r="593" spans="1:9" x14ac:dyDescent="0.15">
      <c r="A593" s="129"/>
      <c r="B593" s="128"/>
      <c r="C593" s="128"/>
      <c r="D593" s="130"/>
      <c r="E593" s="128"/>
      <c r="F593" s="128"/>
      <c r="G593" s="128"/>
      <c r="H593" s="128"/>
      <c r="I593" s="128"/>
    </row>
    <row r="594" spans="1:9" x14ac:dyDescent="0.15">
      <c r="A594" s="129"/>
      <c r="B594" s="128"/>
      <c r="C594" s="128"/>
      <c r="D594" s="130"/>
      <c r="E594" s="128"/>
      <c r="F594" s="128"/>
      <c r="G594" s="128"/>
      <c r="H594" s="128"/>
      <c r="I594" s="128"/>
    </row>
    <row r="595" spans="1:9" x14ac:dyDescent="0.15">
      <c r="A595" s="129"/>
      <c r="B595" s="128"/>
      <c r="C595" s="128"/>
      <c r="D595" s="130"/>
      <c r="E595" s="128"/>
      <c r="F595" s="128"/>
      <c r="G595" s="128"/>
      <c r="H595" s="128"/>
      <c r="I595" s="128"/>
    </row>
    <row r="596" spans="1:9" x14ac:dyDescent="0.15">
      <c r="A596" s="129"/>
      <c r="B596" s="128"/>
      <c r="C596" s="128"/>
      <c r="D596" s="130"/>
      <c r="E596" s="128"/>
      <c r="F596" s="128"/>
      <c r="G596" s="128"/>
      <c r="H596" s="128"/>
      <c r="I596" s="128"/>
    </row>
    <row r="597" spans="1:9" x14ac:dyDescent="0.15">
      <c r="A597" s="129"/>
      <c r="B597" s="128"/>
      <c r="C597" s="128"/>
      <c r="D597" s="130"/>
      <c r="E597" s="128"/>
      <c r="F597" s="128"/>
      <c r="G597" s="128"/>
      <c r="H597" s="128"/>
      <c r="I597" s="128"/>
    </row>
    <row r="598" spans="1:9" x14ac:dyDescent="0.15">
      <c r="A598" s="129"/>
      <c r="B598" s="128"/>
      <c r="C598" s="128"/>
      <c r="D598" s="130"/>
      <c r="E598" s="128"/>
      <c r="F598" s="128"/>
      <c r="G598" s="128"/>
      <c r="H598" s="128"/>
      <c r="I598" s="128"/>
    </row>
    <row r="599" spans="1:9" x14ac:dyDescent="0.15">
      <c r="A599" s="129"/>
      <c r="B599" s="128"/>
      <c r="C599" s="128"/>
      <c r="D599" s="130"/>
      <c r="E599" s="128"/>
      <c r="F599" s="128"/>
      <c r="G599" s="128"/>
      <c r="H599" s="128"/>
      <c r="I599" s="128"/>
    </row>
    <row r="600" spans="1:9" x14ac:dyDescent="0.15">
      <c r="A600" s="129"/>
      <c r="B600" s="128"/>
      <c r="C600" s="128"/>
      <c r="D600" s="130"/>
      <c r="E600" s="128"/>
      <c r="F600" s="128"/>
      <c r="G600" s="128"/>
      <c r="H600" s="128"/>
      <c r="I600" s="128"/>
    </row>
    <row r="601" spans="1:9" x14ac:dyDescent="0.15">
      <c r="A601" s="129"/>
      <c r="B601" s="128"/>
      <c r="C601" s="128"/>
      <c r="D601" s="130"/>
      <c r="E601" s="128"/>
      <c r="F601" s="128"/>
      <c r="G601" s="128"/>
      <c r="H601" s="128"/>
      <c r="I601" s="128"/>
    </row>
    <row r="602" spans="1:9" x14ac:dyDescent="0.15">
      <c r="A602" s="129"/>
      <c r="B602" s="128"/>
      <c r="C602" s="128"/>
      <c r="D602" s="130"/>
      <c r="E602" s="128"/>
      <c r="F602" s="128"/>
      <c r="G602" s="128"/>
      <c r="H602" s="128"/>
      <c r="I602" s="128"/>
    </row>
    <row r="603" spans="1:9" x14ac:dyDescent="0.15">
      <c r="A603" s="129"/>
      <c r="B603" s="128"/>
      <c r="C603" s="128"/>
      <c r="D603" s="130"/>
      <c r="E603" s="128"/>
      <c r="F603" s="128"/>
      <c r="G603" s="128"/>
      <c r="H603" s="128"/>
      <c r="I603" s="128"/>
    </row>
    <row r="604" spans="1:9" x14ac:dyDescent="0.15">
      <c r="A604" s="129"/>
      <c r="B604" s="128"/>
      <c r="C604" s="128"/>
      <c r="D604" s="130"/>
      <c r="E604" s="128"/>
      <c r="F604" s="128"/>
      <c r="G604" s="128"/>
      <c r="H604" s="128"/>
      <c r="I604" s="128"/>
    </row>
    <row r="605" spans="1:9" x14ac:dyDescent="0.15">
      <c r="A605" s="129"/>
      <c r="B605" s="128"/>
      <c r="C605" s="128"/>
      <c r="D605" s="130"/>
      <c r="E605" s="128"/>
      <c r="F605" s="128"/>
      <c r="G605" s="128"/>
      <c r="H605" s="128"/>
      <c r="I605" s="128"/>
    </row>
    <row r="606" spans="1:9" x14ac:dyDescent="0.15">
      <c r="A606" s="129"/>
      <c r="B606" s="128"/>
      <c r="C606" s="128"/>
      <c r="D606" s="130"/>
      <c r="E606" s="128"/>
      <c r="F606" s="128"/>
      <c r="G606" s="128"/>
      <c r="H606" s="128"/>
      <c r="I606" s="128"/>
    </row>
    <row r="607" spans="1:9" x14ac:dyDescent="0.15">
      <c r="A607" s="129"/>
      <c r="B607" s="128"/>
      <c r="C607" s="128"/>
      <c r="D607" s="130"/>
      <c r="E607" s="128"/>
      <c r="F607" s="128"/>
      <c r="G607" s="128"/>
      <c r="H607" s="128"/>
      <c r="I607" s="128"/>
    </row>
    <row r="608" spans="1:9" x14ac:dyDescent="0.15">
      <c r="A608" s="129"/>
      <c r="B608" s="128"/>
      <c r="C608" s="128"/>
      <c r="D608" s="130"/>
      <c r="E608" s="128"/>
      <c r="F608" s="128"/>
      <c r="G608" s="128"/>
      <c r="H608" s="128"/>
      <c r="I608" s="128"/>
    </row>
    <row r="609" spans="1:9" x14ac:dyDescent="0.15">
      <c r="A609" s="129"/>
      <c r="B609" s="128"/>
      <c r="C609" s="128"/>
      <c r="D609" s="130"/>
      <c r="E609" s="128"/>
      <c r="F609" s="128"/>
      <c r="G609" s="128"/>
      <c r="H609" s="128"/>
      <c r="I609" s="128"/>
    </row>
    <row r="610" spans="1:9" x14ac:dyDescent="0.15">
      <c r="A610" s="129"/>
      <c r="B610" s="128"/>
      <c r="C610" s="128"/>
      <c r="D610" s="130"/>
      <c r="E610" s="128"/>
      <c r="F610" s="128"/>
      <c r="G610" s="128"/>
      <c r="H610" s="128"/>
      <c r="I610" s="128"/>
    </row>
    <row r="611" spans="1:9" x14ac:dyDescent="0.15">
      <c r="A611" s="129"/>
      <c r="B611" s="128"/>
      <c r="C611" s="128"/>
      <c r="D611" s="130"/>
      <c r="E611" s="128"/>
      <c r="F611" s="128"/>
      <c r="G611" s="128"/>
      <c r="H611" s="128"/>
      <c r="I611" s="128"/>
    </row>
    <row r="612" spans="1:9" x14ac:dyDescent="0.15">
      <c r="A612" s="129"/>
      <c r="B612" s="128"/>
      <c r="C612" s="128"/>
      <c r="D612" s="130"/>
      <c r="E612" s="128"/>
      <c r="F612" s="128"/>
      <c r="G612" s="128"/>
      <c r="H612" s="128"/>
      <c r="I612" s="128"/>
    </row>
    <row r="613" spans="1:9" x14ac:dyDescent="0.15">
      <c r="A613" s="129"/>
      <c r="B613" s="128"/>
      <c r="C613" s="128"/>
      <c r="D613" s="130"/>
      <c r="E613" s="128"/>
      <c r="F613" s="128"/>
      <c r="G613" s="128"/>
      <c r="H613" s="128"/>
      <c r="I613" s="128"/>
    </row>
    <row r="614" spans="1:9" x14ac:dyDescent="0.15">
      <c r="A614" s="129"/>
      <c r="B614" s="128"/>
      <c r="C614" s="128"/>
      <c r="D614" s="130"/>
      <c r="E614" s="128"/>
      <c r="F614" s="128"/>
      <c r="G614" s="128"/>
      <c r="H614" s="128"/>
      <c r="I614" s="128"/>
    </row>
    <row r="615" spans="1:9" x14ac:dyDescent="0.15">
      <c r="A615" s="129"/>
      <c r="B615" s="128"/>
      <c r="C615" s="128"/>
      <c r="D615" s="130"/>
      <c r="E615" s="128"/>
      <c r="F615" s="128"/>
      <c r="G615" s="128"/>
      <c r="H615" s="128"/>
      <c r="I615" s="128"/>
    </row>
    <row r="616" spans="1:9" x14ac:dyDescent="0.15">
      <c r="A616" s="129"/>
      <c r="B616" s="128"/>
      <c r="C616" s="128"/>
      <c r="D616" s="130"/>
      <c r="E616" s="128"/>
      <c r="F616" s="128"/>
      <c r="G616" s="128"/>
      <c r="H616" s="128"/>
      <c r="I616" s="128"/>
    </row>
    <row r="617" spans="1:9" x14ac:dyDescent="0.15">
      <c r="A617" s="129"/>
      <c r="B617" s="128"/>
      <c r="C617" s="128"/>
      <c r="D617" s="130"/>
      <c r="E617" s="128"/>
      <c r="F617" s="128"/>
      <c r="G617" s="128"/>
      <c r="H617" s="128"/>
      <c r="I617" s="128"/>
    </row>
    <row r="618" spans="1:9" x14ac:dyDescent="0.15">
      <c r="A618" s="129"/>
      <c r="B618" s="128"/>
      <c r="C618" s="128"/>
      <c r="D618" s="130"/>
      <c r="E618" s="128"/>
      <c r="F618" s="128"/>
      <c r="G618" s="128"/>
      <c r="H618" s="128"/>
      <c r="I618" s="128"/>
    </row>
    <row r="619" spans="1:9" x14ac:dyDescent="0.15">
      <c r="A619" s="129"/>
      <c r="B619" s="128"/>
      <c r="C619" s="128"/>
      <c r="D619" s="130"/>
      <c r="E619" s="128"/>
      <c r="F619" s="128"/>
      <c r="G619" s="128"/>
      <c r="H619" s="128"/>
      <c r="I619" s="128"/>
    </row>
    <row r="620" spans="1:9" x14ac:dyDescent="0.15">
      <c r="A620" s="129"/>
      <c r="B620" s="128"/>
      <c r="C620" s="128"/>
      <c r="D620" s="130"/>
      <c r="E620" s="128"/>
      <c r="F620" s="128"/>
      <c r="G620" s="128"/>
      <c r="H620" s="128"/>
      <c r="I620" s="128"/>
    </row>
    <row r="621" spans="1:9" x14ac:dyDescent="0.15">
      <c r="A621" s="129"/>
      <c r="B621" s="128"/>
      <c r="C621" s="128"/>
      <c r="D621" s="130"/>
      <c r="E621" s="128"/>
      <c r="F621" s="128"/>
      <c r="G621" s="128"/>
      <c r="H621" s="128"/>
      <c r="I621" s="128"/>
    </row>
    <row r="622" spans="1:9" x14ac:dyDescent="0.15">
      <c r="A622" s="129"/>
      <c r="B622" s="128"/>
      <c r="C622" s="128"/>
      <c r="D622" s="130"/>
      <c r="E622" s="128"/>
      <c r="F622" s="128"/>
      <c r="G622" s="128"/>
      <c r="H622" s="128"/>
      <c r="I622" s="128"/>
    </row>
    <row r="623" spans="1:9" x14ac:dyDescent="0.15">
      <c r="A623" s="129"/>
      <c r="B623" s="128"/>
      <c r="C623" s="128"/>
      <c r="D623" s="130"/>
      <c r="E623" s="128"/>
      <c r="F623" s="128"/>
      <c r="G623" s="128"/>
      <c r="H623" s="128"/>
      <c r="I623" s="128"/>
    </row>
    <row r="624" spans="1:9" x14ac:dyDescent="0.15">
      <c r="A624" s="129"/>
      <c r="B624" s="128"/>
      <c r="C624" s="128"/>
      <c r="D624" s="130"/>
      <c r="E624" s="128"/>
      <c r="F624" s="128"/>
      <c r="G624" s="128"/>
      <c r="H624" s="128"/>
      <c r="I624" s="128"/>
    </row>
    <row r="625" spans="1:9" x14ac:dyDescent="0.15">
      <c r="A625" s="129"/>
      <c r="B625" s="128"/>
      <c r="C625" s="128"/>
      <c r="D625" s="130"/>
      <c r="E625" s="128"/>
      <c r="F625" s="128"/>
      <c r="G625" s="128"/>
      <c r="H625" s="128"/>
      <c r="I625" s="128"/>
    </row>
    <row r="626" spans="1:9" x14ac:dyDescent="0.15">
      <c r="A626" s="129"/>
      <c r="B626" s="128"/>
      <c r="C626" s="128"/>
      <c r="D626" s="130"/>
      <c r="E626" s="128"/>
      <c r="F626" s="128"/>
      <c r="G626" s="128"/>
      <c r="H626" s="128"/>
      <c r="I626" s="128"/>
    </row>
    <row r="627" spans="1:9" x14ac:dyDescent="0.15">
      <c r="A627" s="129"/>
      <c r="B627" s="128"/>
      <c r="C627" s="128"/>
      <c r="D627" s="130"/>
      <c r="E627" s="128"/>
      <c r="F627" s="128"/>
      <c r="G627" s="128"/>
      <c r="H627" s="128"/>
      <c r="I627" s="128"/>
    </row>
    <row r="628" spans="1:9" x14ac:dyDescent="0.15">
      <c r="A628" s="129"/>
      <c r="B628" s="128"/>
      <c r="C628" s="128"/>
      <c r="D628" s="130"/>
      <c r="E628" s="128"/>
      <c r="F628" s="128"/>
      <c r="G628" s="128"/>
      <c r="H628" s="128"/>
      <c r="I628" s="128"/>
    </row>
    <row r="629" spans="1:9" x14ac:dyDescent="0.15">
      <c r="A629" s="129"/>
      <c r="B629" s="128"/>
      <c r="C629" s="128"/>
      <c r="D629" s="130"/>
      <c r="E629" s="128"/>
      <c r="F629" s="128"/>
      <c r="G629" s="128"/>
      <c r="H629" s="128"/>
      <c r="I629" s="128"/>
    </row>
    <row r="630" spans="1:9" x14ac:dyDescent="0.15">
      <c r="A630" s="129"/>
      <c r="B630" s="128"/>
      <c r="C630" s="128"/>
      <c r="D630" s="130"/>
      <c r="E630" s="128"/>
      <c r="F630" s="128"/>
      <c r="G630" s="128"/>
      <c r="H630" s="128"/>
      <c r="I630" s="128"/>
    </row>
    <row r="631" spans="1:9" x14ac:dyDescent="0.15">
      <c r="A631" s="129"/>
      <c r="B631" s="128"/>
      <c r="C631" s="128"/>
      <c r="D631" s="130"/>
      <c r="E631" s="128"/>
      <c r="F631" s="128"/>
      <c r="G631" s="128"/>
      <c r="H631" s="128"/>
      <c r="I631" s="128"/>
    </row>
    <row r="632" spans="1:9" x14ac:dyDescent="0.15">
      <c r="A632" s="129"/>
      <c r="B632" s="128"/>
      <c r="C632" s="128"/>
      <c r="D632" s="130"/>
      <c r="E632" s="128"/>
      <c r="F632" s="128"/>
      <c r="G632" s="128"/>
      <c r="H632" s="128"/>
      <c r="I632" s="128"/>
    </row>
    <row r="633" spans="1:9" x14ac:dyDescent="0.15">
      <c r="A633" s="129"/>
      <c r="B633" s="128"/>
      <c r="C633" s="128"/>
      <c r="D633" s="130"/>
      <c r="E633" s="128"/>
      <c r="F633" s="128"/>
      <c r="G633" s="128"/>
      <c r="H633" s="128"/>
      <c r="I633" s="128"/>
    </row>
    <row r="634" spans="1:9" x14ac:dyDescent="0.15">
      <c r="A634" s="129"/>
      <c r="B634" s="128"/>
      <c r="C634" s="128"/>
      <c r="D634" s="130"/>
      <c r="E634" s="128"/>
      <c r="F634" s="128"/>
      <c r="G634" s="128"/>
      <c r="H634" s="128"/>
      <c r="I634" s="128"/>
    </row>
    <row r="635" spans="1:9" x14ac:dyDescent="0.15">
      <c r="A635" s="129"/>
      <c r="B635" s="128"/>
      <c r="C635" s="128"/>
      <c r="D635" s="130"/>
      <c r="E635" s="128"/>
      <c r="F635" s="128"/>
      <c r="G635" s="128"/>
      <c r="H635" s="128"/>
      <c r="I635" s="128"/>
    </row>
    <row r="636" spans="1:9" x14ac:dyDescent="0.15">
      <c r="A636" s="129"/>
      <c r="B636" s="128"/>
      <c r="C636" s="128"/>
      <c r="D636" s="130"/>
      <c r="E636" s="128"/>
      <c r="F636" s="128"/>
      <c r="G636" s="128"/>
      <c r="H636" s="128"/>
      <c r="I636" s="128"/>
    </row>
    <row r="637" spans="1:9" x14ac:dyDescent="0.15">
      <c r="A637" s="129"/>
      <c r="B637" s="128"/>
      <c r="C637" s="128"/>
      <c r="D637" s="130"/>
      <c r="E637" s="128"/>
      <c r="F637" s="128"/>
      <c r="G637" s="128"/>
      <c r="H637" s="128"/>
      <c r="I637" s="128"/>
    </row>
    <row r="638" spans="1:9" x14ac:dyDescent="0.15">
      <c r="A638" s="129"/>
      <c r="B638" s="128"/>
      <c r="C638" s="128"/>
      <c r="D638" s="130"/>
      <c r="E638" s="128"/>
      <c r="F638" s="128"/>
      <c r="G638" s="128"/>
      <c r="H638" s="128"/>
      <c r="I638" s="128"/>
    </row>
    <row r="639" spans="1:9" x14ac:dyDescent="0.15">
      <c r="A639" s="129"/>
      <c r="B639" s="128"/>
      <c r="C639" s="128"/>
      <c r="D639" s="130"/>
      <c r="E639" s="128"/>
      <c r="F639" s="128"/>
      <c r="G639" s="128"/>
      <c r="H639" s="128"/>
      <c r="I639" s="128"/>
    </row>
    <row r="640" spans="1:9" x14ac:dyDescent="0.15">
      <c r="A640" s="129"/>
      <c r="B640" s="128"/>
      <c r="C640" s="128"/>
      <c r="D640" s="130"/>
      <c r="E640" s="128"/>
      <c r="F640" s="128"/>
      <c r="G640" s="128"/>
      <c r="H640" s="128"/>
      <c r="I640" s="128"/>
    </row>
    <row r="641" spans="1:9" x14ac:dyDescent="0.15">
      <c r="A641" s="129"/>
      <c r="B641" s="128"/>
      <c r="C641" s="128"/>
      <c r="D641" s="130"/>
      <c r="E641" s="128"/>
      <c r="F641" s="128"/>
      <c r="G641" s="128"/>
      <c r="H641" s="128"/>
      <c r="I641" s="128"/>
    </row>
    <row r="642" spans="1:9" x14ac:dyDescent="0.15">
      <c r="A642" s="129"/>
      <c r="B642" s="128"/>
      <c r="C642" s="128"/>
      <c r="D642" s="130"/>
      <c r="E642" s="128"/>
      <c r="F642" s="128"/>
      <c r="G642" s="128"/>
      <c r="H642" s="128"/>
      <c r="I642" s="128"/>
    </row>
    <row r="643" spans="1:9" x14ac:dyDescent="0.15">
      <c r="A643" s="129"/>
      <c r="B643" s="128"/>
      <c r="C643" s="128"/>
      <c r="D643" s="130"/>
      <c r="E643" s="128"/>
      <c r="F643" s="128"/>
      <c r="G643" s="128"/>
      <c r="H643" s="128"/>
      <c r="I643" s="128"/>
    </row>
    <row r="644" spans="1:9" x14ac:dyDescent="0.15">
      <c r="A644" s="129"/>
      <c r="B644" s="128"/>
      <c r="C644" s="128"/>
      <c r="D644" s="130"/>
      <c r="E644" s="128"/>
      <c r="F644" s="128"/>
      <c r="G644" s="128"/>
      <c r="H644" s="128"/>
      <c r="I644" s="128"/>
    </row>
    <row r="645" spans="1:9" x14ac:dyDescent="0.15">
      <c r="A645" s="129"/>
      <c r="B645" s="128"/>
      <c r="C645" s="128"/>
      <c r="D645" s="130"/>
      <c r="E645" s="128"/>
      <c r="F645" s="128"/>
      <c r="G645" s="128"/>
      <c r="H645" s="128"/>
      <c r="I645" s="128"/>
    </row>
    <row r="646" spans="1:9" x14ac:dyDescent="0.15">
      <c r="A646" s="129"/>
      <c r="B646" s="128"/>
      <c r="C646" s="128"/>
      <c r="D646" s="130"/>
      <c r="E646" s="128"/>
      <c r="F646" s="128"/>
      <c r="G646" s="128"/>
      <c r="H646" s="128"/>
      <c r="I646" s="128"/>
    </row>
    <row r="647" spans="1:9" x14ac:dyDescent="0.15">
      <c r="A647" s="129"/>
      <c r="B647" s="128"/>
      <c r="C647" s="128"/>
      <c r="D647" s="130"/>
      <c r="E647" s="128"/>
      <c r="F647" s="128"/>
      <c r="G647" s="128"/>
      <c r="H647" s="128"/>
      <c r="I647" s="128"/>
    </row>
    <row r="648" spans="1:9" x14ac:dyDescent="0.15">
      <c r="A648" s="129"/>
      <c r="B648" s="128"/>
      <c r="C648" s="128"/>
      <c r="D648" s="130"/>
      <c r="E648" s="128"/>
      <c r="F648" s="128"/>
      <c r="G648" s="128"/>
      <c r="H648" s="128"/>
      <c r="I648" s="128"/>
    </row>
    <row r="649" spans="1:9" x14ac:dyDescent="0.15">
      <c r="A649" s="129"/>
      <c r="B649" s="128"/>
      <c r="C649" s="128"/>
      <c r="D649" s="130"/>
      <c r="E649" s="128"/>
      <c r="F649" s="128"/>
      <c r="G649" s="128"/>
      <c r="H649" s="128"/>
      <c r="I649" s="128"/>
    </row>
    <row r="650" spans="1:9" x14ac:dyDescent="0.15">
      <c r="A650" s="129"/>
      <c r="B650" s="128"/>
      <c r="C650" s="128"/>
      <c r="D650" s="130"/>
      <c r="E650" s="128"/>
      <c r="F650" s="128"/>
      <c r="G650" s="128"/>
      <c r="H650" s="128"/>
      <c r="I650" s="128"/>
    </row>
    <row r="651" spans="1:9" x14ac:dyDescent="0.15">
      <c r="A651" s="129"/>
      <c r="B651" s="128"/>
      <c r="C651" s="128"/>
      <c r="D651" s="130"/>
      <c r="E651" s="128"/>
      <c r="F651" s="128"/>
      <c r="G651" s="128"/>
      <c r="H651" s="128"/>
      <c r="I651" s="128"/>
    </row>
    <row r="652" spans="1:9" x14ac:dyDescent="0.15">
      <c r="A652" s="129"/>
      <c r="B652" s="128"/>
      <c r="C652" s="128"/>
      <c r="D652" s="130"/>
      <c r="E652" s="128"/>
      <c r="F652" s="128"/>
      <c r="G652" s="128"/>
      <c r="H652" s="128"/>
      <c r="I652" s="128"/>
    </row>
    <row r="653" spans="1:9" x14ac:dyDescent="0.15">
      <c r="A653" s="129"/>
      <c r="B653" s="128"/>
      <c r="C653" s="128"/>
      <c r="D653" s="130"/>
      <c r="E653" s="128"/>
      <c r="F653" s="128"/>
      <c r="G653" s="128"/>
      <c r="H653" s="128"/>
      <c r="I653" s="128"/>
    </row>
    <row r="654" spans="1:9" x14ac:dyDescent="0.15">
      <c r="A654" s="129"/>
      <c r="B654" s="128"/>
      <c r="C654" s="128"/>
      <c r="D654" s="130"/>
      <c r="E654" s="128"/>
      <c r="F654" s="128"/>
      <c r="G654" s="128"/>
      <c r="H654" s="128"/>
      <c r="I654" s="128"/>
    </row>
    <row r="655" spans="1:9" x14ac:dyDescent="0.15">
      <c r="A655" s="129"/>
      <c r="B655" s="128"/>
      <c r="C655" s="128"/>
      <c r="D655" s="130"/>
      <c r="E655" s="128"/>
      <c r="F655" s="128"/>
      <c r="G655" s="128"/>
      <c r="H655" s="128"/>
      <c r="I655" s="128"/>
    </row>
    <row r="656" spans="1:9" x14ac:dyDescent="0.15">
      <c r="A656" s="129"/>
      <c r="B656" s="128"/>
      <c r="C656" s="128"/>
      <c r="D656" s="130"/>
      <c r="E656" s="128"/>
      <c r="F656" s="128"/>
      <c r="G656" s="128"/>
      <c r="H656" s="128"/>
      <c r="I656" s="128"/>
    </row>
    <row r="657" spans="1:9" x14ac:dyDescent="0.15">
      <c r="A657" s="129"/>
      <c r="B657" s="128"/>
      <c r="C657" s="128"/>
      <c r="D657" s="130"/>
      <c r="E657" s="128"/>
      <c r="F657" s="128"/>
      <c r="G657" s="128"/>
      <c r="H657" s="128"/>
      <c r="I657" s="128"/>
    </row>
    <row r="658" spans="1:9" x14ac:dyDescent="0.15">
      <c r="A658" s="129"/>
      <c r="B658" s="128"/>
      <c r="C658" s="128"/>
      <c r="D658" s="130"/>
      <c r="E658" s="128"/>
      <c r="F658" s="128"/>
      <c r="G658" s="128"/>
      <c r="H658" s="128"/>
      <c r="I658" s="128"/>
    </row>
    <row r="659" spans="1:9" x14ac:dyDescent="0.15">
      <c r="A659" s="129"/>
      <c r="B659" s="128"/>
      <c r="C659" s="128"/>
      <c r="D659" s="130"/>
      <c r="E659" s="128"/>
      <c r="F659" s="128"/>
      <c r="G659" s="128"/>
      <c r="H659" s="128"/>
      <c r="I659" s="128"/>
    </row>
    <row r="660" spans="1:9" x14ac:dyDescent="0.15">
      <c r="A660" s="129"/>
      <c r="B660" s="128"/>
      <c r="C660" s="128"/>
      <c r="D660" s="130"/>
      <c r="E660" s="128"/>
      <c r="F660" s="128"/>
      <c r="G660" s="128"/>
      <c r="H660" s="128"/>
      <c r="I660" s="128"/>
    </row>
    <row r="661" spans="1:9" x14ac:dyDescent="0.15">
      <c r="A661" s="129"/>
      <c r="B661" s="128"/>
      <c r="C661" s="128"/>
      <c r="D661" s="130"/>
      <c r="E661" s="128"/>
      <c r="F661" s="128"/>
      <c r="G661" s="128"/>
      <c r="H661" s="128"/>
      <c r="I661" s="128"/>
    </row>
    <row r="662" spans="1:9" x14ac:dyDescent="0.15">
      <c r="A662" s="129"/>
      <c r="B662" s="128"/>
      <c r="C662" s="128"/>
      <c r="D662" s="130"/>
      <c r="E662" s="128"/>
      <c r="F662" s="128"/>
      <c r="G662" s="128"/>
      <c r="H662" s="128"/>
      <c r="I662" s="128"/>
    </row>
    <row r="663" spans="1:9" x14ac:dyDescent="0.15">
      <c r="A663" s="129"/>
      <c r="B663" s="128"/>
      <c r="C663" s="128"/>
      <c r="D663" s="130"/>
      <c r="E663" s="128"/>
      <c r="F663" s="128"/>
      <c r="G663" s="128"/>
      <c r="H663" s="128"/>
      <c r="I663" s="128"/>
    </row>
    <row r="664" spans="1:9" x14ac:dyDescent="0.15">
      <c r="A664" s="129"/>
      <c r="B664" s="128"/>
      <c r="C664" s="128"/>
      <c r="D664" s="130"/>
      <c r="E664" s="128"/>
      <c r="F664" s="128"/>
      <c r="G664" s="128"/>
      <c r="H664" s="128"/>
      <c r="I664" s="128"/>
    </row>
    <row r="665" spans="1:9" x14ac:dyDescent="0.15">
      <c r="A665" s="129"/>
      <c r="B665" s="128"/>
      <c r="C665" s="128"/>
      <c r="D665" s="130"/>
      <c r="E665" s="128"/>
      <c r="F665" s="128"/>
      <c r="G665" s="128"/>
      <c r="H665" s="128"/>
      <c r="I665" s="128"/>
    </row>
    <row r="666" spans="1:9" x14ac:dyDescent="0.15">
      <c r="A666" s="129"/>
      <c r="B666" s="128"/>
      <c r="C666" s="128"/>
      <c r="D666" s="130"/>
      <c r="E666" s="128"/>
      <c r="F666" s="128"/>
      <c r="G666" s="128"/>
      <c r="H666" s="128"/>
      <c r="I666" s="128"/>
    </row>
    <row r="667" spans="1:9" x14ac:dyDescent="0.15">
      <c r="A667" s="129"/>
      <c r="B667" s="128"/>
      <c r="C667" s="128"/>
      <c r="D667" s="130"/>
      <c r="E667" s="128"/>
      <c r="F667" s="128"/>
      <c r="G667" s="128"/>
      <c r="H667" s="128"/>
      <c r="I667" s="128"/>
    </row>
    <row r="668" spans="1:9" x14ac:dyDescent="0.15">
      <c r="A668" s="129"/>
      <c r="B668" s="128"/>
      <c r="C668" s="128"/>
      <c r="D668" s="130"/>
      <c r="E668" s="128"/>
      <c r="F668" s="128"/>
      <c r="G668" s="128"/>
      <c r="H668" s="128"/>
      <c r="I668" s="128"/>
    </row>
    <row r="669" spans="1:9" x14ac:dyDescent="0.15">
      <c r="A669" s="129"/>
      <c r="B669" s="128"/>
      <c r="C669" s="128"/>
      <c r="D669" s="130"/>
      <c r="E669" s="128"/>
      <c r="F669" s="128"/>
      <c r="G669" s="128"/>
      <c r="H669" s="128"/>
      <c r="I669" s="128"/>
    </row>
    <row r="670" spans="1:9" x14ac:dyDescent="0.15">
      <c r="A670" s="129"/>
      <c r="B670" s="128"/>
      <c r="C670" s="128"/>
      <c r="D670" s="130"/>
      <c r="E670" s="128"/>
      <c r="F670" s="128"/>
      <c r="G670" s="128"/>
      <c r="H670" s="128"/>
      <c r="I670" s="128"/>
    </row>
    <row r="671" spans="1:9" x14ac:dyDescent="0.15">
      <c r="A671" s="129"/>
      <c r="B671" s="128"/>
      <c r="C671" s="128"/>
      <c r="D671" s="130"/>
      <c r="E671" s="128"/>
      <c r="F671" s="128"/>
      <c r="G671" s="128"/>
      <c r="H671" s="128"/>
      <c r="I671" s="128"/>
    </row>
    <row r="672" spans="1:9" x14ac:dyDescent="0.15">
      <c r="A672" s="129"/>
      <c r="B672" s="128"/>
      <c r="C672" s="128"/>
      <c r="D672" s="130"/>
      <c r="E672" s="128"/>
      <c r="F672" s="128"/>
      <c r="G672" s="128"/>
      <c r="H672" s="128"/>
      <c r="I672" s="128"/>
    </row>
    <row r="673" spans="1:9" x14ac:dyDescent="0.15">
      <c r="A673" s="129"/>
      <c r="B673" s="128"/>
      <c r="C673" s="128"/>
      <c r="D673" s="130"/>
      <c r="E673" s="128"/>
      <c r="F673" s="128"/>
      <c r="G673" s="128"/>
      <c r="H673" s="128"/>
      <c r="I673" s="128"/>
    </row>
    <row r="674" spans="1:9" x14ac:dyDescent="0.15">
      <c r="A674" s="129"/>
      <c r="B674" s="128"/>
      <c r="C674" s="128"/>
      <c r="D674" s="130"/>
      <c r="E674" s="128"/>
      <c r="F674" s="128"/>
      <c r="G674" s="128"/>
      <c r="H674" s="128"/>
      <c r="I674" s="128"/>
    </row>
    <row r="675" spans="1:9" x14ac:dyDescent="0.15">
      <c r="A675" s="129"/>
      <c r="B675" s="128"/>
      <c r="C675" s="128"/>
      <c r="D675" s="130"/>
      <c r="E675" s="128"/>
      <c r="F675" s="128"/>
      <c r="G675" s="128"/>
      <c r="H675" s="128"/>
      <c r="I675" s="128"/>
    </row>
    <row r="676" spans="1:9" x14ac:dyDescent="0.15">
      <c r="A676" s="129"/>
      <c r="B676" s="128"/>
      <c r="C676" s="128"/>
      <c r="D676" s="130"/>
      <c r="E676" s="128"/>
      <c r="F676" s="128"/>
      <c r="G676" s="128"/>
      <c r="H676" s="128"/>
      <c r="I676" s="128"/>
    </row>
    <row r="677" spans="1:9" x14ac:dyDescent="0.15">
      <c r="A677" s="129"/>
      <c r="B677" s="128"/>
      <c r="C677" s="128"/>
      <c r="D677" s="130"/>
      <c r="E677" s="128"/>
      <c r="F677" s="128"/>
      <c r="G677" s="128"/>
      <c r="H677" s="128"/>
      <c r="I677" s="128"/>
    </row>
    <row r="678" spans="1:9" x14ac:dyDescent="0.15">
      <c r="A678" s="129"/>
      <c r="B678" s="128"/>
      <c r="C678" s="128"/>
      <c r="D678" s="130"/>
      <c r="E678" s="128"/>
      <c r="F678" s="128"/>
      <c r="G678" s="128"/>
      <c r="H678" s="128"/>
      <c r="I678" s="128"/>
    </row>
    <row r="679" spans="1:9" x14ac:dyDescent="0.15">
      <c r="A679" s="129"/>
      <c r="B679" s="128"/>
      <c r="C679" s="128"/>
      <c r="D679" s="130"/>
      <c r="E679" s="128"/>
      <c r="F679" s="128"/>
      <c r="G679" s="128"/>
      <c r="H679" s="128"/>
      <c r="I679" s="128"/>
    </row>
    <row r="680" spans="1:9" x14ac:dyDescent="0.15">
      <c r="A680" s="129"/>
      <c r="B680" s="128"/>
      <c r="C680" s="128"/>
      <c r="D680" s="130"/>
      <c r="E680" s="128"/>
      <c r="F680" s="128"/>
      <c r="G680" s="128"/>
      <c r="H680" s="128"/>
      <c r="I680" s="128"/>
    </row>
    <row r="681" spans="1:9" x14ac:dyDescent="0.15">
      <c r="A681" s="129"/>
      <c r="B681" s="128"/>
      <c r="C681" s="128"/>
      <c r="D681" s="130"/>
      <c r="E681" s="128"/>
      <c r="F681" s="128"/>
      <c r="G681" s="128"/>
      <c r="H681" s="128"/>
      <c r="I681" s="128"/>
    </row>
    <row r="682" spans="1:9" x14ac:dyDescent="0.15">
      <c r="A682" s="129"/>
      <c r="B682" s="128"/>
      <c r="C682" s="128"/>
      <c r="D682" s="130"/>
      <c r="E682" s="128"/>
      <c r="F682" s="128"/>
      <c r="G682" s="128"/>
      <c r="H682" s="128"/>
      <c r="I682" s="128"/>
    </row>
    <row r="683" spans="1:9" x14ac:dyDescent="0.15">
      <c r="A683" s="129"/>
      <c r="B683" s="128"/>
      <c r="C683" s="128"/>
      <c r="D683" s="130"/>
      <c r="E683" s="128"/>
      <c r="F683" s="128"/>
      <c r="G683" s="128"/>
      <c r="H683" s="128"/>
      <c r="I683" s="128"/>
    </row>
    <row r="684" spans="1:9" x14ac:dyDescent="0.15">
      <c r="A684" s="129"/>
      <c r="B684" s="128"/>
      <c r="C684" s="128"/>
      <c r="D684" s="130"/>
      <c r="E684" s="128"/>
      <c r="F684" s="128"/>
      <c r="G684" s="128"/>
      <c r="H684" s="128"/>
      <c r="I684" s="128"/>
    </row>
    <row r="685" spans="1:9" x14ac:dyDescent="0.15">
      <c r="A685" s="129"/>
      <c r="B685" s="128"/>
      <c r="C685" s="128"/>
      <c r="D685" s="130"/>
      <c r="E685" s="128"/>
      <c r="F685" s="128"/>
      <c r="G685" s="128"/>
      <c r="H685" s="128"/>
      <c r="I685" s="128"/>
    </row>
    <row r="686" spans="1:9" x14ac:dyDescent="0.15">
      <c r="A686" s="129"/>
      <c r="B686" s="128"/>
      <c r="C686" s="128"/>
      <c r="D686" s="130"/>
      <c r="E686" s="128"/>
      <c r="F686" s="128"/>
      <c r="G686" s="128"/>
      <c r="H686" s="128"/>
      <c r="I686" s="128"/>
    </row>
    <row r="687" spans="1:9" x14ac:dyDescent="0.15">
      <c r="A687" s="129"/>
      <c r="B687" s="128"/>
      <c r="C687" s="128"/>
      <c r="D687" s="130"/>
      <c r="E687" s="128"/>
      <c r="F687" s="128"/>
      <c r="G687" s="128"/>
      <c r="H687" s="128"/>
      <c r="I687" s="128"/>
    </row>
    <row r="688" spans="1:9" x14ac:dyDescent="0.15">
      <c r="A688" s="129"/>
      <c r="B688" s="128"/>
      <c r="C688" s="128"/>
      <c r="D688" s="130"/>
      <c r="E688" s="128"/>
      <c r="F688" s="128"/>
      <c r="G688" s="128"/>
      <c r="H688" s="128"/>
      <c r="I688" s="128"/>
    </row>
    <row r="689" spans="1:9" x14ac:dyDescent="0.15">
      <c r="A689" s="129"/>
      <c r="B689" s="128"/>
      <c r="C689" s="128"/>
      <c r="D689" s="130"/>
      <c r="E689" s="128"/>
      <c r="F689" s="128"/>
      <c r="G689" s="128"/>
      <c r="H689" s="128"/>
      <c r="I689" s="128"/>
    </row>
    <row r="690" spans="1:9" x14ac:dyDescent="0.15">
      <c r="A690" s="129"/>
      <c r="B690" s="128"/>
      <c r="C690" s="128"/>
      <c r="D690" s="130"/>
      <c r="E690" s="128"/>
      <c r="F690" s="128"/>
      <c r="G690" s="128"/>
      <c r="H690" s="128"/>
      <c r="I690" s="128"/>
    </row>
    <row r="691" spans="1:9" x14ac:dyDescent="0.15">
      <c r="A691" s="129"/>
      <c r="B691" s="128"/>
      <c r="C691" s="128"/>
      <c r="D691" s="130"/>
      <c r="E691" s="128"/>
      <c r="F691" s="128"/>
      <c r="G691" s="128"/>
      <c r="H691" s="128"/>
      <c r="I691" s="128"/>
    </row>
    <row r="692" spans="1:9" x14ac:dyDescent="0.15">
      <c r="A692" s="129"/>
      <c r="B692" s="128"/>
      <c r="C692" s="128"/>
      <c r="D692" s="130"/>
      <c r="E692" s="128"/>
      <c r="F692" s="128"/>
      <c r="G692" s="128"/>
      <c r="H692" s="128"/>
      <c r="I692" s="128"/>
    </row>
    <row r="693" spans="1:9" x14ac:dyDescent="0.15">
      <c r="A693" s="129"/>
      <c r="B693" s="128"/>
      <c r="C693" s="128"/>
      <c r="D693" s="130"/>
      <c r="E693" s="128"/>
      <c r="F693" s="128"/>
      <c r="G693" s="128"/>
      <c r="H693" s="128"/>
      <c r="I693" s="128"/>
    </row>
    <row r="694" spans="1:9" x14ac:dyDescent="0.15">
      <c r="A694" s="129"/>
      <c r="B694" s="128"/>
      <c r="C694" s="128"/>
      <c r="D694" s="130"/>
      <c r="E694" s="128"/>
      <c r="F694" s="128"/>
      <c r="G694" s="128"/>
      <c r="H694" s="128"/>
      <c r="I694" s="128"/>
    </row>
    <row r="695" spans="1:9" x14ac:dyDescent="0.15">
      <c r="A695" s="129"/>
      <c r="B695" s="128"/>
      <c r="C695" s="128"/>
      <c r="D695" s="130"/>
      <c r="E695" s="128"/>
      <c r="F695" s="128"/>
      <c r="G695" s="128"/>
      <c r="H695" s="128"/>
      <c r="I695" s="128"/>
    </row>
    <row r="696" spans="1:9" x14ac:dyDescent="0.15">
      <c r="A696" s="129"/>
      <c r="B696" s="128"/>
      <c r="C696" s="128"/>
      <c r="D696" s="130"/>
      <c r="E696" s="128"/>
      <c r="F696" s="128"/>
      <c r="G696" s="128"/>
      <c r="H696" s="128"/>
      <c r="I696" s="128"/>
    </row>
    <row r="697" spans="1:9" x14ac:dyDescent="0.15">
      <c r="A697" s="129"/>
      <c r="B697" s="128"/>
      <c r="C697" s="128"/>
      <c r="D697" s="130"/>
      <c r="E697" s="128"/>
      <c r="F697" s="128"/>
      <c r="G697" s="128"/>
      <c r="H697" s="128"/>
      <c r="I697" s="128"/>
    </row>
    <row r="698" spans="1:9" x14ac:dyDescent="0.15">
      <c r="A698" s="129"/>
      <c r="B698" s="128"/>
      <c r="C698" s="128"/>
      <c r="D698" s="130"/>
      <c r="E698" s="128"/>
      <c r="F698" s="128"/>
      <c r="G698" s="128"/>
      <c r="H698" s="128"/>
      <c r="I698" s="128"/>
    </row>
    <row r="699" spans="1:9" x14ac:dyDescent="0.15">
      <c r="A699" s="129"/>
      <c r="B699" s="128"/>
      <c r="C699" s="128"/>
      <c r="D699" s="130"/>
      <c r="E699" s="128"/>
      <c r="F699" s="128"/>
      <c r="G699" s="128"/>
      <c r="H699" s="128"/>
      <c r="I699" s="128"/>
    </row>
    <row r="700" spans="1:9" x14ac:dyDescent="0.15">
      <c r="A700" s="129"/>
      <c r="B700" s="128"/>
      <c r="C700" s="128"/>
      <c r="D700" s="130"/>
      <c r="E700" s="128"/>
      <c r="F700" s="128"/>
      <c r="G700" s="128"/>
      <c r="H700" s="128"/>
      <c r="I700" s="128"/>
    </row>
    <row r="701" spans="1:9" x14ac:dyDescent="0.15">
      <c r="A701" s="129"/>
      <c r="B701" s="128"/>
      <c r="C701" s="128"/>
      <c r="D701" s="130"/>
      <c r="E701" s="128"/>
      <c r="F701" s="128"/>
      <c r="G701" s="128"/>
      <c r="H701" s="128"/>
      <c r="I701" s="128"/>
    </row>
    <row r="702" spans="1:9" x14ac:dyDescent="0.15">
      <c r="A702" s="129"/>
      <c r="B702" s="128"/>
      <c r="C702" s="128"/>
      <c r="D702" s="130"/>
      <c r="E702" s="128"/>
      <c r="F702" s="128"/>
      <c r="G702" s="128"/>
      <c r="H702" s="128"/>
      <c r="I702" s="128"/>
    </row>
    <row r="703" spans="1:9" x14ac:dyDescent="0.15">
      <c r="A703" s="129"/>
      <c r="B703" s="128"/>
      <c r="C703" s="128"/>
      <c r="D703" s="130"/>
      <c r="E703" s="128"/>
      <c r="F703" s="128"/>
      <c r="G703" s="128"/>
      <c r="H703" s="128"/>
      <c r="I703" s="128"/>
    </row>
    <row r="704" spans="1:9" x14ac:dyDescent="0.15">
      <c r="A704" s="129"/>
      <c r="B704" s="128"/>
      <c r="C704" s="128"/>
      <c r="D704" s="130"/>
      <c r="E704" s="128"/>
      <c r="F704" s="128"/>
      <c r="G704" s="128"/>
      <c r="H704" s="128"/>
      <c r="I704" s="128"/>
    </row>
    <row r="705" spans="1:9" x14ac:dyDescent="0.15">
      <c r="A705" s="129"/>
      <c r="B705" s="128"/>
      <c r="C705" s="128"/>
      <c r="D705" s="130"/>
      <c r="E705" s="128"/>
      <c r="F705" s="128"/>
      <c r="G705" s="128"/>
      <c r="H705" s="128"/>
      <c r="I705" s="128"/>
    </row>
    <row r="706" spans="1:9" x14ac:dyDescent="0.15">
      <c r="A706" s="129"/>
      <c r="B706" s="128"/>
      <c r="C706" s="128"/>
      <c r="D706" s="130"/>
      <c r="E706" s="128"/>
      <c r="F706" s="128"/>
      <c r="G706" s="128"/>
      <c r="H706" s="128"/>
      <c r="I706" s="128"/>
    </row>
    <row r="707" spans="1:9" x14ac:dyDescent="0.15">
      <c r="A707" s="129"/>
      <c r="B707" s="128"/>
      <c r="C707" s="128"/>
      <c r="D707" s="130"/>
      <c r="E707" s="128"/>
      <c r="F707" s="128"/>
      <c r="G707" s="128"/>
      <c r="H707" s="128"/>
      <c r="I707" s="128"/>
    </row>
    <row r="708" spans="1:9" x14ac:dyDescent="0.15">
      <c r="A708" s="129"/>
      <c r="B708" s="128"/>
      <c r="C708" s="128"/>
      <c r="D708" s="130"/>
      <c r="E708" s="128"/>
      <c r="F708" s="128"/>
      <c r="G708" s="128"/>
      <c r="H708" s="128"/>
      <c r="I708" s="128"/>
    </row>
    <row r="709" spans="1:9" x14ac:dyDescent="0.15">
      <c r="A709" s="129"/>
      <c r="B709" s="128"/>
      <c r="C709" s="128"/>
      <c r="D709" s="130"/>
      <c r="E709" s="128"/>
      <c r="F709" s="128"/>
      <c r="G709" s="128"/>
      <c r="H709" s="128"/>
      <c r="I709" s="128"/>
    </row>
    <row r="710" spans="1:9" x14ac:dyDescent="0.15">
      <c r="A710" s="129"/>
      <c r="B710" s="128"/>
      <c r="C710" s="128"/>
      <c r="D710" s="130"/>
      <c r="E710" s="128"/>
      <c r="F710" s="128"/>
      <c r="G710" s="128"/>
      <c r="H710" s="128"/>
      <c r="I710" s="128"/>
    </row>
    <row r="711" spans="1:9" x14ac:dyDescent="0.15">
      <c r="A711" s="129"/>
      <c r="B711" s="128"/>
      <c r="C711" s="128"/>
      <c r="D711" s="130"/>
      <c r="E711" s="128"/>
      <c r="F711" s="128"/>
      <c r="G711" s="128"/>
      <c r="H711" s="128"/>
      <c r="I711" s="128"/>
    </row>
    <row r="712" spans="1:9" x14ac:dyDescent="0.15">
      <c r="A712" s="129"/>
      <c r="B712" s="128"/>
      <c r="C712" s="128"/>
      <c r="D712" s="130"/>
      <c r="E712" s="128"/>
      <c r="F712" s="128"/>
      <c r="G712" s="128"/>
      <c r="H712" s="128"/>
      <c r="I712" s="128"/>
    </row>
    <row r="713" spans="1:9" x14ac:dyDescent="0.15">
      <c r="A713" s="129"/>
      <c r="B713" s="128"/>
      <c r="C713" s="128"/>
      <c r="D713" s="130"/>
      <c r="E713" s="128"/>
      <c r="F713" s="128"/>
      <c r="G713" s="128"/>
      <c r="H713" s="128"/>
      <c r="I713" s="128"/>
    </row>
    <row r="714" spans="1:9" x14ac:dyDescent="0.15">
      <c r="A714" s="129"/>
      <c r="B714" s="128"/>
      <c r="C714" s="128"/>
      <c r="D714" s="130"/>
      <c r="E714" s="128"/>
      <c r="F714" s="128"/>
      <c r="G714" s="128"/>
      <c r="H714" s="128"/>
      <c r="I714" s="128"/>
    </row>
    <row r="715" spans="1:9" x14ac:dyDescent="0.15">
      <c r="A715" s="129"/>
      <c r="B715" s="128"/>
      <c r="C715" s="128"/>
      <c r="D715" s="130"/>
      <c r="E715" s="128"/>
      <c r="F715" s="128"/>
      <c r="G715" s="128"/>
      <c r="H715" s="128"/>
      <c r="I715" s="128"/>
    </row>
    <row r="716" spans="1:9" x14ac:dyDescent="0.15">
      <c r="A716" s="129"/>
      <c r="B716" s="128"/>
      <c r="C716" s="128"/>
      <c r="D716" s="130"/>
      <c r="E716" s="128"/>
      <c r="F716" s="128"/>
      <c r="G716" s="128"/>
      <c r="H716" s="128"/>
      <c r="I716" s="128"/>
    </row>
    <row r="717" spans="1:9" x14ac:dyDescent="0.15">
      <c r="A717" s="129"/>
      <c r="B717" s="128"/>
      <c r="C717" s="128"/>
      <c r="D717" s="130"/>
      <c r="E717" s="128"/>
      <c r="F717" s="128"/>
      <c r="G717" s="128"/>
      <c r="H717" s="128"/>
      <c r="I717" s="128"/>
    </row>
    <row r="718" spans="1:9" x14ac:dyDescent="0.15">
      <c r="A718" s="129"/>
      <c r="B718" s="128"/>
      <c r="C718" s="128"/>
      <c r="D718" s="130"/>
      <c r="E718" s="128"/>
      <c r="F718" s="128"/>
      <c r="G718" s="128"/>
      <c r="H718" s="128"/>
      <c r="I718" s="128"/>
    </row>
    <row r="719" spans="1:9" x14ac:dyDescent="0.15">
      <c r="A719" s="129"/>
      <c r="B719" s="128"/>
      <c r="C719" s="128"/>
      <c r="D719" s="130"/>
      <c r="E719" s="128"/>
      <c r="F719" s="128"/>
      <c r="G719" s="128"/>
      <c r="H719" s="128"/>
      <c r="I719" s="128"/>
    </row>
    <row r="720" spans="1:9" x14ac:dyDescent="0.15">
      <c r="A720" s="129"/>
      <c r="B720" s="128"/>
      <c r="C720" s="128"/>
      <c r="D720" s="130"/>
      <c r="E720" s="128"/>
      <c r="F720" s="128"/>
      <c r="G720" s="128"/>
      <c r="H720" s="128"/>
      <c r="I720" s="128"/>
    </row>
    <row r="721" spans="1:9" x14ac:dyDescent="0.15">
      <c r="A721" s="129"/>
      <c r="B721" s="128"/>
      <c r="C721" s="128"/>
      <c r="D721" s="130"/>
      <c r="E721" s="128"/>
      <c r="F721" s="128"/>
      <c r="G721" s="128"/>
      <c r="H721" s="128"/>
      <c r="I721" s="128"/>
    </row>
    <row r="722" spans="1:9" x14ac:dyDescent="0.15">
      <c r="A722" s="129"/>
      <c r="B722" s="128"/>
      <c r="C722" s="128"/>
      <c r="D722" s="130"/>
      <c r="E722" s="128"/>
      <c r="F722" s="128"/>
      <c r="G722" s="128"/>
      <c r="H722" s="128"/>
      <c r="I722" s="128"/>
    </row>
    <row r="723" spans="1:9" x14ac:dyDescent="0.15">
      <c r="A723" s="129"/>
      <c r="B723" s="128"/>
      <c r="C723" s="128"/>
      <c r="D723" s="130"/>
      <c r="E723" s="128"/>
      <c r="F723" s="128"/>
      <c r="G723" s="128"/>
      <c r="H723" s="128"/>
      <c r="I723" s="128"/>
    </row>
    <row r="724" spans="1:9" x14ac:dyDescent="0.15">
      <c r="A724" s="129"/>
      <c r="B724" s="128"/>
      <c r="C724" s="128"/>
      <c r="D724" s="130"/>
      <c r="E724" s="128"/>
      <c r="F724" s="128"/>
      <c r="G724" s="128"/>
      <c r="H724" s="128"/>
      <c r="I724" s="128"/>
    </row>
    <row r="725" spans="1:9" x14ac:dyDescent="0.15">
      <c r="A725" s="129"/>
      <c r="B725" s="128"/>
      <c r="C725" s="128"/>
      <c r="D725" s="130"/>
      <c r="E725" s="128"/>
      <c r="F725" s="128"/>
      <c r="G725" s="128"/>
      <c r="H725" s="128"/>
      <c r="I725" s="128"/>
    </row>
    <row r="726" spans="1:9" x14ac:dyDescent="0.15">
      <c r="A726" s="129"/>
      <c r="B726" s="128"/>
      <c r="C726" s="128"/>
      <c r="D726" s="130"/>
      <c r="E726" s="128"/>
      <c r="F726" s="128"/>
      <c r="G726" s="128"/>
      <c r="H726" s="128"/>
      <c r="I726" s="128"/>
    </row>
    <row r="727" spans="1:9" x14ac:dyDescent="0.15">
      <c r="A727" s="129"/>
      <c r="B727" s="128"/>
      <c r="C727" s="128"/>
      <c r="D727" s="130"/>
      <c r="E727" s="128"/>
      <c r="F727" s="128"/>
      <c r="G727" s="128"/>
      <c r="H727" s="128"/>
      <c r="I727" s="128"/>
    </row>
    <row r="728" spans="1:9" x14ac:dyDescent="0.15">
      <c r="A728" s="129"/>
      <c r="B728" s="128"/>
      <c r="C728" s="128"/>
      <c r="D728" s="130"/>
      <c r="E728" s="128"/>
      <c r="F728" s="128"/>
      <c r="G728" s="128"/>
      <c r="H728" s="128"/>
      <c r="I728" s="128"/>
    </row>
    <row r="729" spans="1:9" x14ac:dyDescent="0.15">
      <c r="A729" s="129"/>
      <c r="B729" s="128"/>
      <c r="C729" s="128"/>
      <c r="D729" s="130"/>
      <c r="E729" s="128"/>
      <c r="F729" s="128"/>
      <c r="G729" s="128"/>
      <c r="H729" s="128"/>
      <c r="I729" s="128"/>
    </row>
    <row r="730" spans="1:9" x14ac:dyDescent="0.15">
      <c r="A730" s="129"/>
      <c r="B730" s="128"/>
      <c r="C730" s="128"/>
      <c r="D730" s="130"/>
      <c r="E730" s="128"/>
      <c r="F730" s="128"/>
      <c r="G730" s="128"/>
      <c r="H730" s="128"/>
      <c r="I730" s="128"/>
    </row>
    <row r="731" spans="1:9" x14ac:dyDescent="0.15">
      <c r="A731" s="129"/>
      <c r="B731" s="128"/>
      <c r="C731" s="128"/>
      <c r="D731" s="130"/>
      <c r="E731" s="128"/>
      <c r="F731" s="128"/>
      <c r="G731" s="128"/>
      <c r="H731" s="128"/>
      <c r="I731" s="128"/>
    </row>
    <row r="732" spans="1:9" x14ac:dyDescent="0.15">
      <c r="A732" s="129"/>
      <c r="B732" s="128"/>
      <c r="C732" s="128"/>
      <c r="D732" s="130"/>
      <c r="E732" s="128"/>
      <c r="F732" s="128"/>
      <c r="G732" s="128"/>
      <c r="H732" s="128"/>
      <c r="I732" s="128"/>
    </row>
    <row r="733" spans="1:9" x14ac:dyDescent="0.15">
      <c r="A733" s="129"/>
      <c r="B733" s="128"/>
      <c r="C733" s="128"/>
      <c r="D733" s="130"/>
      <c r="E733" s="128"/>
      <c r="F733" s="128"/>
      <c r="G733" s="128"/>
      <c r="H733" s="128"/>
      <c r="I733" s="128"/>
    </row>
    <row r="734" spans="1:9" x14ac:dyDescent="0.15">
      <c r="A734" s="129"/>
      <c r="B734" s="128"/>
      <c r="C734" s="128"/>
      <c r="D734" s="130"/>
      <c r="E734" s="128"/>
      <c r="F734" s="128"/>
      <c r="G734" s="128"/>
      <c r="H734" s="128"/>
      <c r="I734" s="128"/>
    </row>
    <row r="735" spans="1:9" x14ac:dyDescent="0.15">
      <c r="A735" s="129"/>
      <c r="B735" s="128"/>
      <c r="C735" s="128"/>
      <c r="D735" s="130"/>
      <c r="E735" s="128"/>
      <c r="F735" s="128"/>
      <c r="G735" s="128"/>
      <c r="H735" s="128"/>
      <c r="I735" s="128"/>
    </row>
    <row r="736" spans="1:9" x14ac:dyDescent="0.15">
      <c r="A736" s="129"/>
      <c r="B736" s="128"/>
      <c r="C736" s="128"/>
      <c r="D736" s="130"/>
      <c r="E736" s="128"/>
      <c r="F736" s="128"/>
      <c r="G736" s="128"/>
      <c r="H736" s="128"/>
      <c r="I736" s="128"/>
    </row>
    <row r="737" spans="1:9" x14ac:dyDescent="0.15">
      <c r="A737" s="129"/>
      <c r="B737" s="128"/>
      <c r="C737" s="128"/>
      <c r="D737" s="130"/>
      <c r="E737" s="128"/>
      <c r="F737" s="128"/>
      <c r="G737" s="128"/>
      <c r="H737" s="128"/>
      <c r="I737" s="128"/>
    </row>
    <row r="738" spans="1:9" x14ac:dyDescent="0.15">
      <c r="A738" s="129"/>
      <c r="B738" s="128"/>
      <c r="C738" s="128"/>
      <c r="D738" s="130"/>
      <c r="E738" s="128"/>
      <c r="F738" s="128"/>
      <c r="G738" s="128"/>
      <c r="H738" s="128"/>
      <c r="I738" s="128"/>
    </row>
    <row r="739" spans="1:9" x14ac:dyDescent="0.15">
      <c r="A739" s="129"/>
      <c r="B739" s="128"/>
      <c r="C739" s="128"/>
      <c r="D739" s="130"/>
      <c r="E739" s="128"/>
      <c r="F739" s="128"/>
      <c r="G739" s="128"/>
      <c r="H739" s="128"/>
      <c r="I739" s="128"/>
    </row>
    <row r="740" spans="1:9" x14ac:dyDescent="0.15">
      <c r="A740" s="129"/>
      <c r="B740" s="128"/>
      <c r="C740" s="128"/>
      <c r="D740" s="130"/>
      <c r="E740" s="128"/>
      <c r="F740" s="128"/>
      <c r="G740" s="128"/>
      <c r="H740" s="128"/>
      <c r="I740" s="128"/>
    </row>
    <row r="741" spans="1:9" x14ac:dyDescent="0.15">
      <c r="A741" s="129"/>
      <c r="B741" s="128"/>
      <c r="C741" s="128"/>
      <c r="D741" s="130"/>
      <c r="E741" s="128"/>
      <c r="F741" s="128"/>
      <c r="G741" s="128"/>
      <c r="H741" s="128"/>
      <c r="I741" s="128"/>
    </row>
    <row r="742" spans="1:9" x14ac:dyDescent="0.15">
      <c r="A742" s="129"/>
      <c r="B742" s="128"/>
      <c r="C742" s="128"/>
      <c r="D742" s="130"/>
      <c r="E742" s="128"/>
      <c r="F742" s="128"/>
      <c r="G742" s="128"/>
      <c r="H742" s="128"/>
      <c r="I742" s="128"/>
    </row>
    <row r="743" spans="1:9" x14ac:dyDescent="0.15">
      <c r="A743" s="129"/>
      <c r="B743" s="128"/>
      <c r="C743" s="128"/>
      <c r="D743" s="130"/>
      <c r="E743" s="128"/>
      <c r="F743" s="128"/>
      <c r="G743" s="128"/>
      <c r="H743" s="128"/>
      <c r="I743" s="128"/>
    </row>
    <row r="744" spans="1:9" x14ac:dyDescent="0.15">
      <c r="A744" s="129"/>
      <c r="B744" s="128"/>
      <c r="C744" s="128"/>
      <c r="D744" s="130"/>
      <c r="E744" s="128"/>
      <c r="F744" s="128"/>
      <c r="G744" s="128"/>
      <c r="H744" s="128"/>
      <c r="I744" s="128"/>
    </row>
    <row r="745" spans="1:9" x14ac:dyDescent="0.15">
      <c r="A745" s="129"/>
      <c r="B745" s="128"/>
      <c r="C745" s="128"/>
      <c r="D745" s="130"/>
      <c r="E745" s="128"/>
      <c r="F745" s="128"/>
      <c r="G745" s="128"/>
      <c r="H745" s="128"/>
      <c r="I745" s="128"/>
    </row>
    <row r="746" spans="1:9" x14ac:dyDescent="0.15">
      <c r="A746" s="129"/>
      <c r="B746" s="128"/>
      <c r="C746" s="128"/>
      <c r="D746" s="130"/>
      <c r="E746" s="128"/>
      <c r="F746" s="128"/>
      <c r="G746" s="128"/>
      <c r="H746" s="128"/>
      <c r="I746" s="128"/>
    </row>
    <row r="747" spans="1:9" x14ac:dyDescent="0.15">
      <c r="A747" s="129"/>
      <c r="B747" s="128"/>
      <c r="C747" s="128"/>
      <c r="D747" s="130"/>
      <c r="E747" s="128"/>
      <c r="F747" s="128"/>
      <c r="G747" s="128"/>
      <c r="H747" s="128"/>
      <c r="I747" s="128"/>
    </row>
    <row r="748" spans="1:9" x14ac:dyDescent="0.15">
      <c r="A748" s="129"/>
      <c r="B748" s="128"/>
      <c r="C748" s="128"/>
      <c r="D748" s="130"/>
      <c r="E748" s="128"/>
      <c r="F748" s="128"/>
      <c r="G748" s="128"/>
      <c r="H748" s="128"/>
      <c r="I748" s="128"/>
    </row>
    <row r="749" spans="1:9" x14ac:dyDescent="0.15">
      <c r="A749" s="129"/>
      <c r="B749" s="128"/>
      <c r="C749" s="128"/>
      <c r="D749" s="130"/>
      <c r="E749" s="128"/>
      <c r="F749" s="128"/>
      <c r="G749" s="128"/>
      <c r="H749" s="128"/>
      <c r="I749" s="128"/>
    </row>
    <row r="750" spans="1:9" x14ac:dyDescent="0.15">
      <c r="A750" s="129"/>
      <c r="B750" s="128"/>
      <c r="C750" s="128"/>
      <c r="D750" s="130"/>
      <c r="E750" s="128"/>
      <c r="F750" s="128"/>
      <c r="G750" s="128"/>
      <c r="H750" s="128"/>
      <c r="I750" s="128"/>
    </row>
    <row r="751" spans="1:9" x14ac:dyDescent="0.15">
      <c r="A751" s="129"/>
      <c r="B751" s="128"/>
      <c r="C751" s="128"/>
      <c r="D751" s="130"/>
      <c r="E751" s="128"/>
      <c r="F751" s="128"/>
      <c r="G751" s="128"/>
      <c r="H751" s="128"/>
      <c r="I751" s="128"/>
    </row>
    <row r="752" spans="1:9" x14ac:dyDescent="0.15">
      <c r="A752" s="129"/>
      <c r="B752" s="128"/>
      <c r="C752" s="128"/>
      <c r="D752" s="130"/>
      <c r="E752" s="128"/>
      <c r="F752" s="128"/>
      <c r="G752" s="128"/>
      <c r="H752" s="128"/>
      <c r="I752" s="128"/>
    </row>
    <row r="753" spans="1:9" x14ac:dyDescent="0.15">
      <c r="A753" s="129"/>
      <c r="B753" s="128"/>
      <c r="C753" s="128"/>
      <c r="D753" s="130"/>
      <c r="E753" s="128"/>
      <c r="F753" s="128"/>
      <c r="G753" s="128"/>
      <c r="H753" s="128"/>
      <c r="I753" s="128"/>
    </row>
    <row r="754" spans="1:9" x14ac:dyDescent="0.15">
      <c r="A754" s="129"/>
      <c r="B754" s="128"/>
      <c r="C754" s="128"/>
      <c r="D754" s="130"/>
      <c r="E754" s="128"/>
      <c r="F754" s="128"/>
      <c r="G754" s="128"/>
      <c r="H754" s="128"/>
      <c r="I754" s="128"/>
    </row>
    <row r="755" spans="1:9" x14ac:dyDescent="0.15">
      <c r="A755" s="129"/>
      <c r="B755" s="128"/>
      <c r="C755" s="128"/>
      <c r="D755" s="130"/>
      <c r="E755" s="128"/>
      <c r="F755" s="128"/>
      <c r="G755" s="128"/>
      <c r="H755" s="128"/>
      <c r="I755" s="128"/>
    </row>
    <row r="756" spans="1:9" x14ac:dyDescent="0.15">
      <c r="A756" s="129"/>
      <c r="B756" s="128"/>
      <c r="C756" s="128"/>
      <c r="D756" s="130"/>
      <c r="E756" s="128"/>
      <c r="F756" s="128"/>
      <c r="G756" s="128"/>
      <c r="H756" s="128"/>
      <c r="I756" s="128"/>
    </row>
    <row r="757" spans="1:9" x14ac:dyDescent="0.15">
      <c r="A757" s="129"/>
      <c r="B757" s="128"/>
      <c r="C757" s="128"/>
      <c r="D757" s="130"/>
      <c r="E757" s="128"/>
      <c r="F757" s="128"/>
      <c r="G757" s="128"/>
      <c r="H757" s="128"/>
      <c r="I757" s="128"/>
    </row>
    <row r="758" spans="1:9" x14ac:dyDescent="0.15">
      <c r="A758" s="129"/>
      <c r="B758" s="128"/>
      <c r="C758" s="128"/>
      <c r="D758" s="130"/>
      <c r="E758" s="128"/>
      <c r="F758" s="128"/>
      <c r="G758" s="128"/>
      <c r="H758" s="128"/>
      <c r="I758" s="128"/>
    </row>
    <row r="759" spans="1:9" x14ac:dyDescent="0.15">
      <c r="A759" s="129"/>
      <c r="B759" s="128"/>
      <c r="C759" s="128"/>
      <c r="D759" s="130"/>
      <c r="E759" s="128"/>
      <c r="F759" s="128"/>
      <c r="G759" s="128"/>
      <c r="H759" s="128"/>
      <c r="I759" s="128"/>
    </row>
    <row r="760" spans="1:9" x14ac:dyDescent="0.15">
      <c r="A760" s="129"/>
      <c r="B760" s="128"/>
      <c r="C760" s="128"/>
      <c r="D760" s="130"/>
      <c r="E760" s="128"/>
      <c r="F760" s="128"/>
      <c r="G760" s="128"/>
      <c r="H760" s="128"/>
      <c r="I760" s="128"/>
    </row>
    <row r="761" spans="1:9" x14ac:dyDescent="0.15">
      <c r="A761" s="129"/>
      <c r="B761" s="128"/>
      <c r="C761" s="128"/>
      <c r="D761" s="130"/>
      <c r="E761" s="128"/>
      <c r="F761" s="128"/>
      <c r="G761" s="128"/>
      <c r="H761" s="128"/>
      <c r="I761" s="128"/>
    </row>
    <row r="762" spans="1:9" x14ac:dyDescent="0.15">
      <c r="A762" s="129"/>
      <c r="B762" s="128"/>
      <c r="C762" s="128"/>
      <c r="D762" s="130"/>
      <c r="E762" s="128"/>
      <c r="F762" s="128"/>
      <c r="G762" s="128"/>
      <c r="H762" s="128"/>
      <c r="I762" s="128"/>
    </row>
    <row r="763" spans="1:9" x14ac:dyDescent="0.15">
      <c r="A763" s="129"/>
      <c r="B763" s="128"/>
      <c r="C763" s="128"/>
      <c r="D763" s="130"/>
      <c r="E763" s="128"/>
      <c r="F763" s="128"/>
      <c r="G763" s="128"/>
      <c r="H763" s="128"/>
      <c r="I763" s="128"/>
    </row>
    <row r="764" spans="1:9" x14ac:dyDescent="0.15">
      <c r="A764" s="129"/>
      <c r="B764" s="128"/>
      <c r="C764" s="128"/>
      <c r="D764" s="130"/>
      <c r="E764" s="128"/>
      <c r="F764" s="128"/>
      <c r="G764" s="128"/>
      <c r="H764" s="128"/>
      <c r="I764" s="128"/>
    </row>
    <row r="765" spans="1:9" x14ac:dyDescent="0.15">
      <c r="A765" s="129"/>
      <c r="B765" s="128"/>
      <c r="C765" s="128"/>
      <c r="D765" s="130"/>
      <c r="E765" s="128"/>
      <c r="F765" s="128"/>
      <c r="G765" s="128"/>
      <c r="H765" s="128"/>
      <c r="I765" s="128"/>
    </row>
    <row r="766" spans="1:9" x14ac:dyDescent="0.15">
      <c r="A766" s="129"/>
      <c r="B766" s="128"/>
      <c r="C766" s="128"/>
      <c r="D766" s="130"/>
      <c r="E766" s="128"/>
      <c r="F766" s="128"/>
      <c r="G766" s="128"/>
      <c r="H766" s="128"/>
      <c r="I766" s="128"/>
    </row>
    <row r="767" spans="1:9" x14ac:dyDescent="0.15">
      <c r="A767" s="129"/>
      <c r="B767" s="128"/>
      <c r="C767" s="128"/>
      <c r="D767" s="130"/>
      <c r="E767" s="128"/>
      <c r="F767" s="128"/>
      <c r="G767" s="128"/>
      <c r="H767" s="128"/>
      <c r="I767" s="128"/>
    </row>
    <row r="768" spans="1:9" x14ac:dyDescent="0.15">
      <c r="A768" s="129"/>
      <c r="B768" s="128"/>
      <c r="C768" s="128"/>
      <c r="D768" s="130"/>
      <c r="E768" s="128"/>
      <c r="F768" s="128"/>
      <c r="G768" s="128"/>
      <c r="H768" s="128"/>
      <c r="I768" s="128"/>
    </row>
    <row r="769" spans="1:9" x14ac:dyDescent="0.15">
      <c r="A769" s="129"/>
      <c r="B769" s="128"/>
      <c r="C769" s="128"/>
      <c r="D769" s="130"/>
      <c r="E769" s="128"/>
      <c r="F769" s="128"/>
      <c r="G769" s="128"/>
      <c r="H769" s="128"/>
      <c r="I769" s="128"/>
    </row>
    <row r="770" spans="1:9" x14ac:dyDescent="0.15">
      <c r="A770" s="129"/>
      <c r="B770" s="128"/>
      <c r="C770" s="128"/>
      <c r="D770" s="130"/>
      <c r="E770" s="128"/>
      <c r="F770" s="128"/>
      <c r="G770" s="128"/>
      <c r="H770" s="128"/>
      <c r="I770" s="128"/>
    </row>
    <row r="771" spans="1:9" x14ac:dyDescent="0.15">
      <c r="A771" s="129"/>
      <c r="B771" s="128"/>
      <c r="C771" s="128"/>
      <c r="D771" s="130"/>
      <c r="E771" s="128"/>
      <c r="F771" s="128"/>
      <c r="G771" s="128"/>
      <c r="H771" s="128"/>
      <c r="I771" s="128"/>
    </row>
    <row r="772" spans="1:9" x14ac:dyDescent="0.15">
      <c r="A772" s="129"/>
      <c r="B772" s="128"/>
      <c r="C772" s="128"/>
      <c r="D772" s="130"/>
      <c r="E772" s="128"/>
      <c r="F772" s="128"/>
      <c r="G772" s="128"/>
      <c r="H772" s="128"/>
      <c r="I772" s="128"/>
    </row>
    <row r="773" spans="1:9" x14ac:dyDescent="0.15">
      <c r="A773" s="129"/>
      <c r="B773" s="128"/>
      <c r="C773" s="128"/>
      <c r="D773" s="130"/>
      <c r="E773" s="128"/>
      <c r="F773" s="128"/>
      <c r="G773" s="128"/>
      <c r="H773" s="128"/>
      <c r="I773" s="128"/>
    </row>
    <row r="774" spans="1:9" x14ac:dyDescent="0.15">
      <c r="A774" s="129"/>
      <c r="B774" s="128"/>
      <c r="C774" s="128"/>
      <c r="D774" s="130"/>
      <c r="E774" s="128"/>
      <c r="F774" s="128"/>
      <c r="G774" s="128"/>
      <c r="H774" s="128"/>
      <c r="I774" s="128"/>
    </row>
    <row r="775" spans="1:9" x14ac:dyDescent="0.15">
      <c r="A775" s="129"/>
      <c r="B775" s="128"/>
      <c r="C775" s="128"/>
      <c r="D775" s="130"/>
      <c r="E775" s="128"/>
      <c r="F775" s="128"/>
      <c r="G775" s="128"/>
      <c r="H775" s="128"/>
      <c r="I775" s="128"/>
    </row>
    <row r="776" spans="1:9" x14ac:dyDescent="0.15">
      <c r="A776" s="129"/>
      <c r="B776" s="128"/>
      <c r="C776" s="128"/>
      <c r="D776" s="130"/>
      <c r="E776" s="128"/>
      <c r="F776" s="128"/>
      <c r="G776" s="128"/>
      <c r="H776" s="128"/>
      <c r="I776" s="128"/>
    </row>
    <row r="777" spans="1:9" x14ac:dyDescent="0.15">
      <c r="A777" s="129"/>
      <c r="B777" s="128"/>
      <c r="C777" s="128"/>
      <c r="D777" s="130"/>
      <c r="E777" s="128"/>
      <c r="F777" s="128"/>
      <c r="G777" s="128"/>
      <c r="H777" s="128"/>
      <c r="I777" s="128"/>
    </row>
    <row r="778" spans="1:9" x14ac:dyDescent="0.15">
      <c r="A778" s="129"/>
      <c r="B778" s="128"/>
      <c r="C778" s="128"/>
      <c r="D778" s="130"/>
      <c r="E778" s="128"/>
      <c r="F778" s="128"/>
      <c r="G778" s="128"/>
      <c r="H778" s="128"/>
      <c r="I778" s="128"/>
    </row>
    <row r="779" spans="1:9" x14ac:dyDescent="0.15">
      <c r="A779" s="129"/>
      <c r="B779" s="128"/>
      <c r="C779" s="128"/>
      <c r="D779" s="130"/>
      <c r="E779" s="128"/>
      <c r="F779" s="128"/>
      <c r="G779" s="128"/>
      <c r="H779" s="128"/>
      <c r="I779" s="128"/>
    </row>
    <row r="780" spans="1:9" x14ac:dyDescent="0.15">
      <c r="A780" s="129"/>
      <c r="B780" s="128"/>
      <c r="C780" s="128"/>
      <c r="D780" s="130"/>
      <c r="E780" s="128"/>
      <c r="F780" s="128"/>
      <c r="G780" s="128"/>
      <c r="H780" s="128"/>
      <c r="I780" s="128"/>
    </row>
    <row r="781" spans="1:9" x14ac:dyDescent="0.15">
      <c r="A781" s="129"/>
      <c r="B781" s="128"/>
      <c r="C781" s="128"/>
      <c r="D781" s="130"/>
      <c r="E781" s="128"/>
      <c r="F781" s="128"/>
      <c r="G781" s="128"/>
      <c r="H781" s="128"/>
      <c r="I781" s="128"/>
    </row>
    <row r="782" spans="1:9" x14ac:dyDescent="0.15">
      <c r="A782" s="129"/>
      <c r="B782" s="128"/>
      <c r="C782" s="128"/>
      <c r="D782" s="130"/>
      <c r="E782" s="128"/>
      <c r="F782" s="128"/>
      <c r="G782" s="128"/>
      <c r="H782" s="128"/>
      <c r="I782" s="128"/>
    </row>
    <row r="783" spans="1:9" x14ac:dyDescent="0.15">
      <c r="A783" s="129"/>
      <c r="B783" s="128"/>
      <c r="C783" s="128"/>
      <c r="D783" s="130"/>
      <c r="E783" s="128"/>
      <c r="F783" s="128"/>
      <c r="G783" s="128"/>
      <c r="H783" s="128"/>
      <c r="I783" s="128"/>
    </row>
    <row r="784" spans="1:9" x14ac:dyDescent="0.15">
      <c r="A784" s="129"/>
      <c r="B784" s="128"/>
      <c r="C784" s="128"/>
      <c r="D784" s="130"/>
      <c r="E784" s="128"/>
      <c r="F784" s="128"/>
      <c r="G784" s="128"/>
      <c r="H784" s="128"/>
      <c r="I784" s="128"/>
    </row>
    <row r="785" spans="1:9" x14ac:dyDescent="0.15">
      <c r="A785" s="129"/>
      <c r="B785" s="128"/>
      <c r="C785" s="128"/>
      <c r="D785" s="130"/>
      <c r="E785" s="128"/>
      <c r="F785" s="128"/>
      <c r="G785" s="128"/>
      <c r="H785" s="128"/>
      <c r="I785" s="128"/>
    </row>
    <row r="786" spans="1:9" x14ac:dyDescent="0.15">
      <c r="A786" s="129"/>
      <c r="B786" s="128"/>
      <c r="C786" s="128"/>
      <c r="D786" s="130"/>
      <c r="E786" s="128"/>
      <c r="F786" s="128"/>
      <c r="G786" s="128"/>
      <c r="H786" s="128"/>
      <c r="I786" s="128"/>
    </row>
    <row r="787" spans="1:9" x14ac:dyDescent="0.15">
      <c r="A787" s="129"/>
      <c r="B787" s="128"/>
      <c r="C787" s="128"/>
      <c r="D787" s="130"/>
      <c r="E787" s="128"/>
      <c r="F787" s="128"/>
      <c r="G787" s="128"/>
      <c r="H787" s="128"/>
      <c r="I787" s="128"/>
    </row>
    <row r="788" spans="1:9" x14ac:dyDescent="0.15">
      <c r="A788" s="129"/>
      <c r="B788" s="128"/>
      <c r="C788" s="128"/>
      <c r="D788" s="130"/>
      <c r="E788" s="128"/>
      <c r="F788" s="128"/>
      <c r="G788" s="128"/>
      <c r="H788" s="128"/>
      <c r="I788" s="128"/>
    </row>
    <row r="789" spans="1:9" x14ac:dyDescent="0.15">
      <c r="A789" s="129"/>
      <c r="B789" s="128"/>
      <c r="C789" s="128"/>
      <c r="D789" s="130"/>
      <c r="E789" s="128"/>
      <c r="F789" s="128"/>
      <c r="G789" s="128"/>
      <c r="H789" s="128"/>
      <c r="I789" s="128"/>
    </row>
    <row r="790" spans="1:9" x14ac:dyDescent="0.15">
      <c r="A790" s="129"/>
      <c r="B790" s="128"/>
      <c r="C790" s="128"/>
      <c r="D790" s="130"/>
      <c r="E790" s="128"/>
      <c r="F790" s="128"/>
      <c r="G790" s="128"/>
      <c r="H790" s="128"/>
      <c r="I790" s="128"/>
    </row>
    <row r="791" spans="1:9" x14ac:dyDescent="0.15">
      <c r="A791" s="129"/>
      <c r="B791" s="128"/>
      <c r="C791" s="128"/>
      <c r="D791" s="130"/>
      <c r="E791" s="128"/>
      <c r="F791" s="128"/>
      <c r="G791" s="128"/>
      <c r="H791" s="128"/>
      <c r="I791" s="128"/>
    </row>
    <row r="792" spans="1:9" x14ac:dyDescent="0.15">
      <c r="A792" s="129"/>
      <c r="B792" s="128"/>
      <c r="C792" s="128"/>
      <c r="D792" s="130"/>
      <c r="E792" s="128"/>
      <c r="F792" s="128"/>
      <c r="G792" s="128"/>
      <c r="H792" s="128"/>
      <c r="I792" s="128"/>
    </row>
    <row r="793" spans="1:9" x14ac:dyDescent="0.15">
      <c r="A793" s="129"/>
      <c r="B793" s="128"/>
      <c r="C793" s="128"/>
      <c r="D793" s="130"/>
      <c r="E793" s="128"/>
      <c r="F793" s="128"/>
      <c r="G793" s="128"/>
      <c r="H793" s="128"/>
      <c r="I793" s="128"/>
    </row>
    <row r="794" spans="1:9" x14ac:dyDescent="0.15">
      <c r="A794" s="129"/>
      <c r="B794" s="128"/>
      <c r="C794" s="128"/>
      <c r="D794" s="130"/>
      <c r="E794" s="128"/>
      <c r="F794" s="128"/>
      <c r="G794" s="128"/>
      <c r="H794" s="128"/>
      <c r="I794" s="128"/>
    </row>
    <row r="795" spans="1:9" x14ac:dyDescent="0.15">
      <c r="A795" s="129"/>
      <c r="B795" s="128"/>
      <c r="C795" s="128"/>
      <c r="D795" s="130"/>
      <c r="E795" s="128"/>
      <c r="F795" s="128"/>
      <c r="G795" s="128"/>
      <c r="H795" s="128"/>
      <c r="I795" s="128"/>
    </row>
    <row r="796" spans="1:9" x14ac:dyDescent="0.15">
      <c r="A796" s="129"/>
      <c r="B796" s="128"/>
      <c r="C796" s="128"/>
      <c r="D796" s="130"/>
      <c r="E796" s="128"/>
      <c r="F796" s="128"/>
      <c r="G796" s="128"/>
      <c r="H796" s="128"/>
      <c r="I796" s="128"/>
    </row>
    <row r="797" spans="1:9" x14ac:dyDescent="0.15">
      <c r="A797" s="129"/>
      <c r="B797" s="128"/>
      <c r="C797" s="128"/>
      <c r="D797" s="130"/>
      <c r="E797" s="128"/>
      <c r="F797" s="128"/>
      <c r="G797" s="128"/>
      <c r="H797" s="128"/>
      <c r="I797" s="128"/>
    </row>
    <row r="798" spans="1:9" x14ac:dyDescent="0.15">
      <c r="A798" s="129"/>
      <c r="B798" s="128"/>
      <c r="C798" s="128"/>
      <c r="D798" s="130"/>
      <c r="E798" s="128"/>
      <c r="F798" s="128"/>
      <c r="G798" s="128"/>
      <c r="H798" s="128"/>
      <c r="I798" s="128"/>
    </row>
    <row r="799" spans="1:9" x14ac:dyDescent="0.15">
      <c r="A799" s="129"/>
      <c r="B799" s="128"/>
      <c r="C799" s="128"/>
      <c r="D799" s="130"/>
      <c r="E799" s="128"/>
      <c r="F799" s="128"/>
      <c r="G799" s="128"/>
      <c r="H799" s="128"/>
      <c r="I799" s="128"/>
    </row>
    <row r="800" spans="1:9" x14ac:dyDescent="0.15">
      <c r="A800" s="129"/>
      <c r="B800" s="128"/>
      <c r="C800" s="128"/>
      <c r="D800" s="130"/>
      <c r="E800" s="128"/>
      <c r="F800" s="128"/>
      <c r="G800" s="128"/>
      <c r="H800" s="128"/>
      <c r="I800" s="128"/>
    </row>
    <row r="801" spans="1:9" x14ac:dyDescent="0.15">
      <c r="A801" s="129"/>
      <c r="B801" s="128"/>
      <c r="C801" s="128"/>
      <c r="D801" s="130"/>
      <c r="E801" s="128"/>
      <c r="F801" s="128"/>
      <c r="G801" s="128"/>
      <c r="H801" s="128"/>
      <c r="I801" s="128"/>
    </row>
    <row r="802" spans="1:9" x14ac:dyDescent="0.15">
      <c r="A802" s="129"/>
      <c r="B802" s="128"/>
      <c r="C802" s="128"/>
      <c r="D802" s="130"/>
      <c r="E802" s="128"/>
      <c r="F802" s="128"/>
      <c r="G802" s="128"/>
      <c r="H802" s="128"/>
      <c r="I802" s="128"/>
    </row>
    <row r="803" spans="1:9" x14ac:dyDescent="0.15">
      <c r="A803" s="129"/>
      <c r="B803" s="128"/>
      <c r="C803" s="128"/>
      <c r="D803" s="130"/>
      <c r="E803" s="128"/>
      <c r="F803" s="128"/>
      <c r="G803" s="128"/>
      <c r="H803" s="128"/>
      <c r="I803" s="128"/>
    </row>
    <row r="804" spans="1:9" x14ac:dyDescent="0.15">
      <c r="A804" s="129"/>
      <c r="B804" s="128"/>
      <c r="C804" s="128"/>
      <c r="D804" s="130"/>
      <c r="E804" s="128"/>
      <c r="F804" s="128"/>
      <c r="G804" s="128"/>
      <c r="H804" s="128"/>
      <c r="I804" s="128"/>
    </row>
    <row r="805" spans="1:9" x14ac:dyDescent="0.15">
      <c r="A805" s="129"/>
      <c r="B805" s="128"/>
      <c r="C805" s="128"/>
      <c r="D805" s="130"/>
      <c r="E805" s="128"/>
      <c r="F805" s="128"/>
      <c r="G805" s="128"/>
      <c r="H805" s="128"/>
      <c r="I805" s="128"/>
    </row>
    <row r="806" spans="1:9" x14ac:dyDescent="0.15">
      <c r="A806" s="129"/>
      <c r="B806" s="128"/>
      <c r="C806" s="128"/>
      <c r="D806" s="130"/>
      <c r="E806" s="128"/>
      <c r="F806" s="128"/>
      <c r="G806" s="128"/>
      <c r="H806" s="128"/>
      <c r="I806" s="128"/>
    </row>
    <row r="807" spans="1:9" x14ac:dyDescent="0.15">
      <c r="A807" s="129"/>
      <c r="B807" s="128"/>
      <c r="C807" s="128"/>
      <c r="D807" s="130"/>
      <c r="E807" s="128"/>
      <c r="F807" s="128"/>
      <c r="G807" s="128"/>
      <c r="H807" s="128"/>
      <c r="I807" s="128"/>
    </row>
    <row r="808" spans="1:9" x14ac:dyDescent="0.15">
      <c r="A808" s="129"/>
      <c r="B808" s="128"/>
      <c r="C808" s="128"/>
      <c r="D808" s="130"/>
      <c r="E808" s="128"/>
      <c r="F808" s="128"/>
      <c r="G808" s="128"/>
      <c r="H808" s="128"/>
      <c r="I808" s="128"/>
    </row>
    <row r="809" spans="1:9" x14ac:dyDescent="0.15">
      <c r="A809" s="129"/>
      <c r="B809" s="128"/>
      <c r="C809" s="128"/>
      <c r="D809" s="130"/>
      <c r="E809" s="128"/>
      <c r="F809" s="128"/>
      <c r="G809" s="128"/>
      <c r="H809" s="128"/>
      <c r="I809" s="128"/>
    </row>
    <row r="810" spans="1:9" x14ac:dyDescent="0.15">
      <c r="A810" s="129"/>
      <c r="B810" s="128"/>
      <c r="C810" s="128"/>
      <c r="D810" s="130"/>
      <c r="E810" s="128"/>
      <c r="F810" s="128"/>
      <c r="G810" s="128"/>
      <c r="H810" s="128"/>
      <c r="I810" s="128"/>
    </row>
    <row r="811" spans="1:9" x14ac:dyDescent="0.15">
      <c r="A811" s="129"/>
      <c r="B811" s="128"/>
      <c r="C811" s="128"/>
      <c r="D811" s="130"/>
      <c r="E811" s="128"/>
      <c r="F811" s="128"/>
      <c r="G811" s="128"/>
      <c r="H811" s="128"/>
      <c r="I811" s="128"/>
    </row>
    <row r="812" spans="1:9" x14ac:dyDescent="0.15">
      <c r="A812" s="129"/>
      <c r="B812" s="128"/>
      <c r="C812" s="128"/>
      <c r="D812" s="130"/>
      <c r="E812" s="128"/>
      <c r="F812" s="128"/>
      <c r="G812" s="128"/>
      <c r="H812" s="128"/>
      <c r="I812" s="128"/>
    </row>
    <row r="813" spans="1:9" x14ac:dyDescent="0.15">
      <c r="A813" s="129"/>
      <c r="B813" s="128"/>
      <c r="C813" s="128"/>
      <c r="D813" s="130"/>
      <c r="E813" s="128"/>
      <c r="F813" s="128"/>
      <c r="G813" s="128"/>
      <c r="H813" s="128"/>
      <c r="I813" s="128"/>
    </row>
    <row r="814" spans="1:9" x14ac:dyDescent="0.15">
      <c r="A814" s="129"/>
      <c r="B814" s="128"/>
      <c r="C814" s="128"/>
      <c r="D814" s="130"/>
      <c r="E814" s="128"/>
      <c r="F814" s="128"/>
      <c r="G814" s="128"/>
      <c r="H814" s="128"/>
      <c r="I814" s="128"/>
    </row>
    <row r="815" spans="1:9" x14ac:dyDescent="0.15">
      <c r="A815" s="129"/>
      <c r="B815" s="128"/>
      <c r="C815" s="128"/>
      <c r="D815" s="130"/>
      <c r="E815" s="128"/>
      <c r="F815" s="128"/>
      <c r="G815" s="128"/>
      <c r="H815" s="128"/>
      <c r="I815" s="128"/>
    </row>
    <row r="816" spans="1:9" x14ac:dyDescent="0.15">
      <c r="A816" s="129"/>
      <c r="B816" s="128"/>
      <c r="C816" s="128"/>
      <c r="D816" s="130"/>
      <c r="E816" s="128"/>
      <c r="F816" s="128"/>
      <c r="G816" s="128"/>
      <c r="H816" s="128"/>
      <c r="I816" s="128"/>
    </row>
    <row r="817" spans="1:9" x14ac:dyDescent="0.15">
      <c r="A817" s="129"/>
      <c r="B817" s="128"/>
      <c r="C817" s="128"/>
      <c r="D817" s="130"/>
      <c r="E817" s="128"/>
      <c r="F817" s="128"/>
      <c r="G817" s="128"/>
      <c r="H817" s="128"/>
      <c r="I817" s="128"/>
    </row>
    <row r="818" spans="1:9" x14ac:dyDescent="0.15">
      <c r="A818" s="129"/>
      <c r="B818" s="128"/>
      <c r="C818" s="128"/>
      <c r="D818" s="130"/>
      <c r="E818" s="128"/>
      <c r="F818" s="128"/>
      <c r="G818" s="128"/>
      <c r="H818" s="128"/>
      <c r="I818" s="128"/>
    </row>
    <row r="819" spans="1:9" x14ac:dyDescent="0.15">
      <c r="A819" s="129"/>
      <c r="B819" s="128"/>
      <c r="C819" s="128"/>
      <c r="D819" s="130"/>
      <c r="E819" s="128"/>
      <c r="F819" s="128"/>
      <c r="G819" s="128"/>
      <c r="H819" s="128"/>
      <c r="I819" s="128"/>
    </row>
    <row r="820" spans="1:9" x14ac:dyDescent="0.15">
      <c r="A820" s="129"/>
      <c r="B820" s="128"/>
      <c r="C820" s="128"/>
      <c r="D820" s="130"/>
      <c r="E820" s="128"/>
      <c r="F820" s="128"/>
      <c r="G820" s="128"/>
      <c r="H820" s="128"/>
      <c r="I820" s="128"/>
    </row>
    <row r="821" spans="1:9" x14ac:dyDescent="0.15">
      <c r="A821" s="129"/>
      <c r="B821" s="128"/>
      <c r="C821" s="128"/>
      <c r="D821" s="130"/>
      <c r="E821" s="128"/>
      <c r="F821" s="128"/>
      <c r="G821" s="128"/>
      <c r="H821" s="128"/>
      <c r="I821" s="128"/>
    </row>
    <row r="822" spans="1:9" x14ac:dyDescent="0.15">
      <c r="A822" s="129"/>
      <c r="B822" s="128"/>
      <c r="C822" s="128"/>
      <c r="D822" s="130"/>
      <c r="E822" s="128"/>
      <c r="F822" s="128"/>
      <c r="G822" s="128"/>
      <c r="H822" s="128"/>
      <c r="I822" s="128"/>
    </row>
    <row r="823" spans="1:9" x14ac:dyDescent="0.15">
      <c r="A823" s="129"/>
      <c r="B823" s="128"/>
      <c r="C823" s="128"/>
      <c r="D823" s="130"/>
      <c r="E823" s="128"/>
      <c r="F823" s="128"/>
      <c r="G823" s="128"/>
      <c r="H823" s="128"/>
      <c r="I823" s="128"/>
    </row>
    <row r="824" spans="1:9" x14ac:dyDescent="0.15">
      <c r="A824" s="129"/>
      <c r="B824" s="128"/>
      <c r="C824" s="128"/>
      <c r="D824" s="130"/>
      <c r="E824" s="128"/>
      <c r="F824" s="128"/>
      <c r="G824" s="128"/>
      <c r="H824" s="128"/>
      <c r="I824" s="128"/>
    </row>
    <row r="825" spans="1:9" x14ac:dyDescent="0.15">
      <c r="A825" s="129"/>
      <c r="B825" s="128"/>
      <c r="C825" s="128"/>
      <c r="D825" s="130"/>
      <c r="E825" s="128"/>
      <c r="F825" s="128"/>
      <c r="G825" s="128"/>
      <c r="H825" s="128"/>
      <c r="I825" s="128"/>
    </row>
    <row r="826" spans="1:9" x14ac:dyDescent="0.15">
      <c r="A826" s="129"/>
      <c r="B826" s="128"/>
      <c r="C826" s="128"/>
      <c r="D826" s="130"/>
      <c r="E826" s="128"/>
      <c r="F826" s="128"/>
      <c r="G826" s="128"/>
      <c r="H826" s="128"/>
      <c r="I826" s="128"/>
    </row>
    <row r="827" spans="1:9" x14ac:dyDescent="0.15">
      <c r="A827" s="129"/>
      <c r="B827" s="128"/>
      <c r="C827" s="128"/>
      <c r="D827" s="130"/>
      <c r="E827" s="128"/>
      <c r="F827" s="128"/>
      <c r="G827" s="128"/>
      <c r="H827" s="128"/>
      <c r="I827" s="128"/>
    </row>
    <row r="828" spans="1:9" x14ac:dyDescent="0.15">
      <c r="A828" s="129"/>
      <c r="B828" s="128"/>
      <c r="C828" s="128"/>
      <c r="D828" s="130"/>
      <c r="E828" s="128"/>
      <c r="F828" s="128"/>
      <c r="G828" s="128"/>
      <c r="H828" s="128"/>
      <c r="I828" s="128"/>
    </row>
    <row r="829" spans="1:9" x14ac:dyDescent="0.15">
      <c r="A829" s="129"/>
      <c r="B829" s="128"/>
      <c r="C829" s="128"/>
      <c r="D829" s="130"/>
      <c r="E829" s="128"/>
      <c r="F829" s="128"/>
      <c r="G829" s="128"/>
      <c r="H829" s="128"/>
      <c r="I829" s="128"/>
    </row>
    <row r="830" spans="1:9" x14ac:dyDescent="0.15">
      <c r="A830" s="129"/>
      <c r="B830" s="128"/>
      <c r="C830" s="128"/>
      <c r="D830" s="130"/>
      <c r="E830" s="128"/>
      <c r="F830" s="128"/>
      <c r="G830" s="128"/>
      <c r="H830" s="128"/>
      <c r="I830" s="128"/>
    </row>
    <row r="831" spans="1:9" x14ac:dyDescent="0.15">
      <c r="A831" s="129"/>
      <c r="B831" s="128"/>
      <c r="C831" s="128"/>
      <c r="D831" s="130"/>
      <c r="E831" s="128"/>
      <c r="F831" s="128"/>
      <c r="G831" s="128"/>
      <c r="H831" s="128"/>
      <c r="I831" s="128"/>
    </row>
    <row r="832" spans="1:9" x14ac:dyDescent="0.15">
      <c r="A832" s="129"/>
      <c r="B832" s="128"/>
      <c r="C832" s="128"/>
      <c r="D832" s="130"/>
      <c r="E832" s="128"/>
      <c r="F832" s="128"/>
      <c r="G832" s="128"/>
      <c r="H832" s="128"/>
      <c r="I832" s="128"/>
    </row>
    <row r="833" spans="1:9" x14ac:dyDescent="0.15">
      <c r="A833" s="129"/>
      <c r="B833" s="128"/>
      <c r="C833" s="128"/>
      <c r="D833" s="130"/>
      <c r="E833" s="128"/>
      <c r="F833" s="128"/>
      <c r="G833" s="128"/>
      <c r="H833" s="128"/>
      <c r="I833" s="128"/>
    </row>
    <row r="834" spans="1:9" x14ac:dyDescent="0.15">
      <c r="A834" s="129"/>
      <c r="B834" s="128"/>
      <c r="C834" s="128"/>
      <c r="D834" s="130"/>
      <c r="E834" s="128"/>
      <c r="F834" s="128"/>
      <c r="G834" s="128"/>
      <c r="H834" s="128"/>
      <c r="I834" s="128"/>
    </row>
    <row r="835" spans="1:9" x14ac:dyDescent="0.15">
      <c r="A835" s="129"/>
      <c r="B835" s="128"/>
      <c r="C835" s="128"/>
      <c r="D835" s="130"/>
      <c r="E835" s="128"/>
      <c r="F835" s="128"/>
      <c r="G835" s="128"/>
      <c r="H835" s="128"/>
      <c r="I835" s="128"/>
    </row>
    <row r="836" spans="1:9" x14ac:dyDescent="0.15">
      <c r="A836" s="129"/>
      <c r="B836" s="128"/>
      <c r="C836" s="128"/>
      <c r="D836" s="130"/>
      <c r="E836" s="128"/>
      <c r="F836" s="128"/>
      <c r="G836" s="128"/>
      <c r="H836" s="128"/>
      <c r="I836" s="128"/>
    </row>
    <row r="837" spans="1:9" x14ac:dyDescent="0.15">
      <c r="A837" s="129"/>
      <c r="B837" s="128"/>
      <c r="C837" s="128"/>
      <c r="D837" s="130"/>
      <c r="E837" s="128"/>
      <c r="F837" s="128"/>
      <c r="G837" s="128"/>
      <c r="H837" s="128"/>
      <c r="I837" s="128"/>
    </row>
    <row r="838" spans="1:9" x14ac:dyDescent="0.15">
      <c r="A838" s="129"/>
      <c r="B838" s="128"/>
      <c r="C838" s="128"/>
      <c r="D838" s="130"/>
      <c r="E838" s="128"/>
      <c r="F838" s="128"/>
      <c r="G838" s="128"/>
      <c r="H838" s="128"/>
      <c r="I838" s="128"/>
    </row>
    <row r="839" spans="1:9" x14ac:dyDescent="0.15">
      <c r="A839" s="129"/>
      <c r="B839" s="128"/>
      <c r="C839" s="128"/>
      <c r="D839" s="130"/>
      <c r="E839" s="128"/>
      <c r="F839" s="128"/>
      <c r="G839" s="128"/>
      <c r="H839" s="128"/>
      <c r="I839" s="128"/>
    </row>
    <row r="840" spans="1:9" x14ac:dyDescent="0.15">
      <c r="A840" s="129"/>
      <c r="B840" s="128"/>
      <c r="C840" s="128"/>
      <c r="D840" s="130"/>
      <c r="E840" s="128"/>
      <c r="F840" s="128"/>
      <c r="G840" s="128"/>
      <c r="H840" s="128"/>
      <c r="I840" s="128"/>
    </row>
    <row r="841" spans="1:9" x14ac:dyDescent="0.15">
      <c r="A841" s="129"/>
      <c r="B841" s="128"/>
      <c r="C841" s="128"/>
      <c r="D841" s="130"/>
      <c r="E841" s="128"/>
      <c r="F841" s="128"/>
      <c r="G841" s="128"/>
      <c r="H841" s="128"/>
      <c r="I841" s="128"/>
    </row>
    <row r="842" spans="1:9" x14ac:dyDescent="0.15">
      <c r="A842" s="129"/>
      <c r="B842" s="128"/>
      <c r="C842" s="128"/>
      <c r="D842" s="130"/>
      <c r="E842" s="128"/>
      <c r="F842" s="128"/>
      <c r="G842" s="128"/>
      <c r="H842" s="128"/>
      <c r="I842" s="128"/>
    </row>
    <row r="843" spans="1:9" x14ac:dyDescent="0.15">
      <c r="A843" s="129"/>
      <c r="B843" s="128"/>
      <c r="C843" s="128"/>
      <c r="D843" s="130"/>
      <c r="E843" s="128"/>
      <c r="F843" s="128"/>
      <c r="G843" s="128"/>
      <c r="H843" s="128"/>
      <c r="I843" s="128"/>
    </row>
    <row r="844" spans="1:9" x14ac:dyDescent="0.15">
      <c r="A844" s="129"/>
      <c r="B844" s="128"/>
      <c r="C844" s="128"/>
      <c r="D844" s="130"/>
      <c r="E844" s="128"/>
      <c r="F844" s="128"/>
      <c r="G844" s="128"/>
      <c r="H844" s="128"/>
      <c r="I844" s="128"/>
    </row>
    <row r="845" spans="1:9" x14ac:dyDescent="0.15">
      <c r="A845" s="129"/>
      <c r="B845" s="128"/>
      <c r="C845" s="128"/>
      <c r="D845" s="130"/>
      <c r="E845" s="128"/>
      <c r="F845" s="128"/>
      <c r="G845" s="128"/>
      <c r="H845" s="128"/>
      <c r="I845" s="128"/>
    </row>
    <row r="846" spans="1:9" x14ac:dyDescent="0.15">
      <c r="A846" s="129"/>
      <c r="B846" s="128"/>
      <c r="C846" s="128"/>
      <c r="D846" s="130"/>
      <c r="E846" s="128"/>
      <c r="F846" s="128"/>
      <c r="G846" s="128"/>
      <c r="H846" s="128"/>
      <c r="I846" s="128"/>
    </row>
    <row r="847" spans="1:9" x14ac:dyDescent="0.15">
      <c r="A847" s="129"/>
      <c r="B847" s="128"/>
      <c r="C847" s="128"/>
      <c r="D847" s="130"/>
      <c r="E847" s="128"/>
      <c r="F847" s="128"/>
      <c r="G847" s="128"/>
      <c r="H847" s="128"/>
      <c r="I847" s="128"/>
    </row>
    <row r="848" spans="1:9" x14ac:dyDescent="0.15">
      <c r="A848" s="129"/>
      <c r="B848" s="128"/>
      <c r="C848" s="128"/>
      <c r="D848" s="130"/>
      <c r="E848" s="128"/>
      <c r="F848" s="128"/>
      <c r="G848" s="128"/>
      <c r="H848" s="128"/>
      <c r="I848" s="128"/>
    </row>
    <row r="849" spans="1:9" x14ac:dyDescent="0.15">
      <c r="A849" s="129"/>
      <c r="B849" s="128"/>
      <c r="C849" s="128"/>
      <c r="D849" s="130"/>
      <c r="E849" s="128"/>
      <c r="F849" s="128"/>
      <c r="G849" s="128"/>
      <c r="H849" s="128"/>
      <c r="I849" s="128"/>
    </row>
    <row r="850" spans="1:9" x14ac:dyDescent="0.15">
      <c r="A850" s="129"/>
      <c r="B850" s="128"/>
      <c r="C850" s="128"/>
      <c r="D850" s="130"/>
      <c r="E850" s="128"/>
      <c r="F850" s="128"/>
      <c r="G850" s="128"/>
      <c r="H850" s="128"/>
      <c r="I850" s="128"/>
    </row>
    <row r="851" spans="1:9" x14ac:dyDescent="0.15">
      <c r="A851" s="129"/>
      <c r="B851" s="128"/>
      <c r="C851" s="128"/>
      <c r="D851" s="130"/>
      <c r="E851" s="128"/>
      <c r="F851" s="128"/>
      <c r="G851" s="128"/>
      <c r="H851" s="128"/>
      <c r="I851" s="128"/>
    </row>
    <row r="852" spans="1:9" x14ac:dyDescent="0.15">
      <c r="A852" s="129"/>
      <c r="B852" s="128"/>
      <c r="C852" s="128"/>
      <c r="D852" s="130"/>
      <c r="E852" s="128"/>
      <c r="F852" s="128"/>
      <c r="G852" s="128"/>
      <c r="H852" s="128"/>
      <c r="I852" s="128"/>
    </row>
    <row r="853" spans="1:9" x14ac:dyDescent="0.15">
      <c r="A853" s="129"/>
      <c r="B853" s="128"/>
      <c r="C853" s="128"/>
      <c r="D853" s="130"/>
      <c r="E853" s="128"/>
      <c r="F853" s="128"/>
      <c r="G853" s="128"/>
      <c r="H853" s="128"/>
      <c r="I853" s="128"/>
    </row>
    <row r="854" spans="1:9" x14ac:dyDescent="0.15">
      <c r="A854" s="129"/>
      <c r="B854" s="128"/>
      <c r="C854" s="128"/>
      <c r="D854" s="130"/>
      <c r="E854" s="128"/>
      <c r="F854" s="128"/>
      <c r="G854" s="128"/>
      <c r="H854" s="128"/>
      <c r="I854" s="128"/>
    </row>
    <row r="855" spans="1:9" x14ac:dyDescent="0.15">
      <c r="A855" s="129"/>
      <c r="B855" s="128"/>
      <c r="C855" s="128"/>
      <c r="D855" s="130"/>
      <c r="E855" s="128"/>
      <c r="F855" s="128"/>
      <c r="G855" s="128"/>
      <c r="H855" s="128"/>
      <c r="I855" s="128"/>
    </row>
    <row r="856" spans="1:9" x14ac:dyDescent="0.15">
      <c r="A856" s="129"/>
      <c r="B856" s="128"/>
      <c r="C856" s="128"/>
      <c r="D856" s="130"/>
      <c r="E856" s="128"/>
      <c r="F856" s="128"/>
      <c r="G856" s="128"/>
      <c r="H856" s="128"/>
      <c r="I856" s="128"/>
    </row>
    <row r="857" spans="1:9" x14ac:dyDescent="0.15">
      <c r="A857" s="129"/>
      <c r="B857" s="128"/>
      <c r="C857" s="128"/>
      <c r="D857" s="130"/>
      <c r="E857" s="128"/>
      <c r="F857" s="128"/>
      <c r="G857" s="128"/>
      <c r="H857" s="128"/>
      <c r="I857" s="128"/>
    </row>
    <row r="858" spans="1:9" x14ac:dyDescent="0.15">
      <c r="A858" s="129"/>
      <c r="B858" s="128"/>
      <c r="C858" s="128"/>
      <c r="D858" s="130"/>
      <c r="E858" s="128"/>
      <c r="F858" s="128"/>
      <c r="G858" s="128"/>
      <c r="H858" s="128"/>
      <c r="I858" s="128"/>
    </row>
    <row r="859" spans="1:9" x14ac:dyDescent="0.15">
      <c r="A859" s="129"/>
      <c r="B859" s="128"/>
      <c r="C859" s="128"/>
      <c r="D859" s="130"/>
      <c r="E859" s="128"/>
      <c r="F859" s="128"/>
      <c r="G859" s="128"/>
      <c r="H859" s="128"/>
      <c r="I859" s="128"/>
    </row>
    <row r="860" spans="1:9" x14ac:dyDescent="0.15">
      <c r="A860" s="129"/>
      <c r="B860" s="128"/>
      <c r="C860" s="128"/>
      <c r="D860" s="130"/>
      <c r="E860" s="128"/>
      <c r="F860" s="128"/>
      <c r="G860" s="128"/>
      <c r="H860" s="128"/>
      <c r="I860" s="128"/>
    </row>
    <row r="861" spans="1:9" x14ac:dyDescent="0.15">
      <c r="A861" s="129"/>
      <c r="B861" s="128"/>
      <c r="C861" s="128"/>
      <c r="D861" s="130"/>
      <c r="E861" s="128"/>
      <c r="F861" s="128"/>
      <c r="G861" s="128"/>
      <c r="H861" s="128"/>
      <c r="I861" s="128"/>
    </row>
    <row r="862" spans="1:9" x14ac:dyDescent="0.15">
      <c r="A862" s="129"/>
      <c r="B862" s="128"/>
      <c r="C862" s="128"/>
      <c r="D862" s="130"/>
      <c r="E862" s="128"/>
      <c r="F862" s="128"/>
      <c r="G862" s="128"/>
      <c r="H862" s="128"/>
      <c r="I862" s="128"/>
    </row>
    <row r="863" spans="1:9" x14ac:dyDescent="0.15">
      <c r="A863" s="129"/>
      <c r="B863" s="128"/>
      <c r="C863" s="128"/>
      <c r="D863" s="130"/>
      <c r="E863" s="128"/>
      <c r="F863" s="128"/>
      <c r="G863" s="128"/>
      <c r="H863" s="128"/>
      <c r="I863" s="128"/>
    </row>
    <row r="864" spans="1:9" x14ac:dyDescent="0.15">
      <c r="A864" s="129"/>
      <c r="B864" s="128"/>
      <c r="C864" s="128"/>
      <c r="D864" s="130"/>
      <c r="E864" s="128"/>
      <c r="F864" s="128"/>
      <c r="G864" s="128"/>
      <c r="H864" s="128"/>
      <c r="I864" s="128"/>
    </row>
    <row r="865" spans="1:9" x14ac:dyDescent="0.15">
      <c r="A865" s="129"/>
      <c r="B865" s="128"/>
      <c r="C865" s="128"/>
      <c r="D865" s="130"/>
      <c r="E865" s="128"/>
      <c r="F865" s="128"/>
      <c r="G865" s="128"/>
      <c r="H865" s="128"/>
      <c r="I865" s="128"/>
    </row>
    <row r="866" spans="1:9" x14ac:dyDescent="0.15">
      <c r="A866" s="129"/>
      <c r="B866" s="128"/>
      <c r="C866" s="128"/>
      <c r="D866" s="130"/>
      <c r="E866" s="128"/>
      <c r="F866" s="128"/>
      <c r="G866" s="128"/>
      <c r="H866" s="128"/>
      <c r="I866" s="128"/>
    </row>
    <row r="867" spans="1:9" x14ac:dyDescent="0.15">
      <c r="A867" s="129"/>
      <c r="B867" s="128"/>
      <c r="C867" s="128"/>
      <c r="D867" s="130"/>
      <c r="E867" s="128"/>
      <c r="F867" s="128"/>
      <c r="G867" s="128"/>
      <c r="H867" s="128"/>
      <c r="I867" s="128"/>
    </row>
    <row r="868" spans="1:9" x14ac:dyDescent="0.15">
      <c r="A868" s="129"/>
      <c r="B868" s="128"/>
      <c r="C868" s="128"/>
      <c r="D868" s="130"/>
      <c r="E868" s="128"/>
      <c r="F868" s="128"/>
      <c r="G868" s="128"/>
      <c r="H868" s="128"/>
      <c r="I868" s="128"/>
    </row>
    <row r="869" spans="1:9" x14ac:dyDescent="0.15">
      <c r="A869" s="129"/>
      <c r="B869" s="128"/>
      <c r="C869" s="128"/>
      <c r="D869" s="130"/>
      <c r="E869" s="128"/>
      <c r="F869" s="128"/>
      <c r="G869" s="128"/>
      <c r="H869" s="128"/>
      <c r="I869" s="128"/>
    </row>
    <row r="870" spans="1:9" x14ac:dyDescent="0.15">
      <c r="A870" s="129"/>
      <c r="B870" s="128"/>
      <c r="C870" s="128"/>
      <c r="D870" s="130"/>
      <c r="E870" s="128"/>
      <c r="F870" s="128"/>
      <c r="G870" s="128"/>
      <c r="H870" s="128"/>
      <c r="I870" s="128"/>
    </row>
    <row r="871" spans="1:9" x14ac:dyDescent="0.15">
      <c r="A871" s="129"/>
      <c r="B871" s="128"/>
      <c r="C871" s="128"/>
      <c r="D871" s="130"/>
      <c r="E871" s="128"/>
      <c r="F871" s="128"/>
      <c r="G871" s="128"/>
      <c r="H871" s="128"/>
      <c r="I871" s="128"/>
    </row>
    <row r="872" spans="1:9" x14ac:dyDescent="0.15">
      <c r="A872" s="129"/>
      <c r="B872" s="128"/>
      <c r="C872" s="128"/>
      <c r="D872" s="130"/>
      <c r="E872" s="128"/>
      <c r="F872" s="128"/>
      <c r="G872" s="128"/>
      <c r="H872" s="128"/>
      <c r="I872" s="128"/>
    </row>
    <row r="873" spans="1:9" x14ac:dyDescent="0.15">
      <c r="A873" s="129"/>
      <c r="B873" s="128"/>
      <c r="C873" s="128"/>
      <c r="D873" s="130"/>
      <c r="E873" s="128"/>
      <c r="F873" s="128"/>
      <c r="G873" s="128"/>
      <c r="H873" s="128"/>
      <c r="I873" s="128"/>
    </row>
    <row r="874" spans="1:9" x14ac:dyDescent="0.15">
      <c r="A874" s="129"/>
      <c r="B874" s="128"/>
      <c r="C874" s="128"/>
      <c r="D874" s="130"/>
      <c r="E874" s="128"/>
      <c r="F874" s="128"/>
      <c r="G874" s="128"/>
      <c r="H874" s="128"/>
      <c r="I874" s="128"/>
    </row>
    <row r="875" spans="1:9" x14ac:dyDescent="0.15">
      <c r="A875" s="129"/>
      <c r="B875" s="128"/>
      <c r="C875" s="128"/>
      <c r="D875" s="130"/>
      <c r="E875" s="128"/>
      <c r="F875" s="128"/>
      <c r="G875" s="128"/>
      <c r="H875" s="128"/>
      <c r="I875" s="128"/>
    </row>
    <row r="876" spans="1:9" x14ac:dyDescent="0.15">
      <c r="A876" s="129"/>
      <c r="B876" s="128"/>
      <c r="C876" s="128"/>
      <c r="D876" s="130"/>
      <c r="E876" s="128"/>
      <c r="F876" s="128"/>
      <c r="G876" s="128"/>
      <c r="H876" s="128"/>
      <c r="I876" s="128"/>
    </row>
    <row r="877" spans="1:9" x14ac:dyDescent="0.15">
      <c r="A877" s="129"/>
      <c r="B877" s="128"/>
      <c r="C877" s="128"/>
      <c r="D877" s="130"/>
      <c r="E877" s="128"/>
      <c r="F877" s="128"/>
      <c r="G877" s="128"/>
      <c r="H877" s="128"/>
      <c r="I877" s="128"/>
    </row>
    <row r="878" spans="1:9" x14ac:dyDescent="0.15">
      <c r="A878" s="129"/>
      <c r="B878" s="128"/>
      <c r="C878" s="128"/>
      <c r="D878" s="130"/>
      <c r="E878" s="128"/>
      <c r="F878" s="128"/>
      <c r="G878" s="128"/>
      <c r="H878" s="128"/>
      <c r="I878" s="128"/>
    </row>
    <row r="879" spans="1:9" x14ac:dyDescent="0.15">
      <c r="A879" s="129"/>
      <c r="B879" s="128"/>
      <c r="C879" s="128"/>
      <c r="D879" s="130"/>
      <c r="E879" s="128"/>
      <c r="F879" s="128"/>
      <c r="G879" s="128"/>
      <c r="H879" s="128"/>
      <c r="I879" s="128"/>
    </row>
    <row r="880" spans="1:9" x14ac:dyDescent="0.15">
      <c r="A880" s="129"/>
      <c r="B880" s="128"/>
      <c r="C880" s="128"/>
      <c r="D880" s="130"/>
      <c r="E880" s="128"/>
      <c r="F880" s="128"/>
      <c r="G880" s="128"/>
      <c r="H880" s="128"/>
      <c r="I880" s="128"/>
    </row>
    <row r="881" spans="1:9" x14ac:dyDescent="0.15">
      <c r="A881" s="129"/>
      <c r="B881" s="128"/>
      <c r="C881" s="128"/>
      <c r="D881" s="130"/>
      <c r="E881" s="128"/>
      <c r="F881" s="128"/>
      <c r="G881" s="128"/>
      <c r="H881" s="128"/>
      <c r="I881" s="128"/>
    </row>
    <row r="882" spans="1:9" x14ac:dyDescent="0.15">
      <c r="A882" s="129"/>
      <c r="B882" s="128"/>
      <c r="C882" s="128"/>
      <c r="D882" s="130"/>
      <c r="E882" s="128"/>
      <c r="F882" s="128"/>
      <c r="G882" s="128"/>
      <c r="H882" s="128"/>
      <c r="I882" s="128"/>
    </row>
    <row r="883" spans="1:9" x14ac:dyDescent="0.15">
      <c r="A883" s="129"/>
      <c r="B883" s="128"/>
      <c r="C883" s="128"/>
      <c r="D883" s="130"/>
      <c r="E883" s="128"/>
      <c r="F883" s="128"/>
      <c r="G883" s="128"/>
      <c r="H883" s="128"/>
      <c r="I883" s="128"/>
    </row>
    <row r="884" spans="1:9" x14ac:dyDescent="0.15">
      <c r="A884" s="129"/>
      <c r="B884" s="128"/>
      <c r="C884" s="128"/>
      <c r="D884" s="130"/>
      <c r="E884" s="128"/>
      <c r="F884" s="128"/>
      <c r="G884" s="128"/>
      <c r="H884" s="128"/>
      <c r="I884" s="128"/>
    </row>
    <row r="885" spans="1:9" x14ac:dyDescent="0.15">
      <c r="A885" s="129"/>
      <c r="B885" s="128"/>
      <c r="C885" s="128"/>
      <c r="D885" s="130"/>
      <c r="E885" s="128"/>
      <c r="F885" s="128"/>
      <c r="G885" s="128"/>
      <c r="H885" s="128"/>
      <c r="I885" s="128"/>
    </row>
    <row r="886" spans="1:9" x14ac:dyDescent="0.15">
      <c r="A886" s="129"/>
      <c r="B886" s="128"/>
      <c r="C886" s="128"/>
      <c r="D886" s="130"/>
      <c r="E886" s="128"/>
      <c r="F886" s="128"/>
      <c r="G886" s="128"/>
      <c r="H886" s="128"/>
      <c r="I886" s="128"/>
    </row>
    <row r="887" spans="1:9" x14ac:dyDescent="0.15">
      <c r="A887" s="129"/>
      <c r="B887" s="128"/>
      <c r="C887" s="128"/>
      <c r="D887" s="130"/>
      <c r="E887" s="128"/>
      <c r="F887" s="128"/>
      <c r="G887" s="128"/>
      <c r="H887" s="128"/>
      <c r="I887" s="128"/>
    </row>
    <row r="888" spans="1:9" x14ac:dyDescent="0.15">
      <c r="A888" s="129"/>
      <c r="B888" s="128"/>
      <c r="C888" s="128"/>
      <c r="D888" s="130"/>
      <c r="E888" s="128"/>
      <c r="F888" s="128"/>
      <c r="G888" s="128"/>
      <c r="H888" s="128"/>
      <c r="I888" s="128"/>
    </row>
    <row r="889" spans="1:9" x14ac:dyDescent="0.15">
      <c r="A889" s="129"/>
      <c r="B889" s="128"/>
      <c r="C889" s="128"/>
      <c r="D889" s="130"/>
      <c r="E889" s="128"/>
      <c r="F889" s="128"/>
      <c r="G889" s="128"/>
      <c r="H889" s="128"/>
      <c r="I889" s="128"/>
    </row>
    <row r="890" spans="1:9" x14ac:dyDescent="0.15">
      <c r="A890" s="129"/>
      <c r="B890" s="128"/>
      <c r="C890" s="128"/>
      <c r="D890" s="130"/>
      <c r="E890" s="128"/>
      <c r="F890" s="128"/>
      <c r="G890" s="128"/>
      <c r="H890" s="128"/>
      <c r="I890" s="128"/>
    </row>
    <row r="891" spans="1:9" x14ac:dyDescent="0.15">
      <c r="A891" s="129"/>
      <c r="B891" s="128"/>
      <c r="C891" s="128"/>
      <c r="D891" s="130"/>
      <c r="E891" s="128"/>
      <c r="F891" s="128"/>
      <c r="G891" s="128"/>
      <c r="H891" s="128"/>
      <c r="I891" s="128"/>
    </row>
    <row r="892" spans="1:9" x14ac:dyDescent="0.15">
      <c r="A892" s="129"/>
      <c r="B892" s="128"/>
      <c r="C892" s="128"/>
      <c r="D892" s="130"/>
      <c r="E892" s="128"/>
      <c r="F892" s="128"/>
      <c r="G892" s="128"/>
      <c r="H892" s="128"/>
      <c r="I892" s="128"/>
    </row>
    <row r="893" spans="1:9" x14ac:dyDescent="0.15">
      <c r="A893" s="129"/>
      <c r="B893" s="128"/>
      <c r="C893" s="128"/>
      <c r="D893" s="130"/>
      <c r="E893" s="128"/>
      <c r="F893" s="128"/>
      <c r="G893" s="128"/>
      <c r="H893" s="128"/>
      <c r="I893" s="128"/>
    </row>
    <row r="894" spans="1:9" x14ac:dyDescent="0.15">
      <c r="A894" s="129"/>
      <c r="B894" s="128"/>
      <c r="C894" s="128"/>
      <c r="D894" s="130"/>
      <c r="E894" s="128"/>
      <c r="F894" s="128"/>
      <c r="G894" s="128"/>
      <c r="H894" s="128"/>
      <c r="I894" s="128"/>
    </row>
    <row r="895" spans="1:9" x14ac:dyDescent="0.15">
      <c r="A895" s="129"/>
      <c r="B895" s="128"/>
      <c r="C895" s="128"/>
      <c r="D895" s="130"/>
      <c r="E895" s="128"/>
      <c r="F895" s="128"/>
      <c r="G895" s="128"/>
      <c r="H895" s="128"/>
      <c r="I895" s="128"/>
    </row>
    <row r="896" spans="1:9" x14ac:dyDescent="0.15">
      <c r="A896" s="129"/>
      <c r="B896" s="128"/>
      <c r="C896" s="128"/>
      <c r="D896" s="130"/>
      <c r="E896" s="128"/>
      <c r="F896" s="128"/>
      <c r="G896" s="128"/>
      <c r="H896" s="128"/>
      <c r="I896" s="128"/>
    </row>
    <row r="897" spans="1:9" x14ac:dyDescent="0.15">
      <c r="A897" s="129"/>
      <c r="B897" s="128"/>
      <c r="C897" s="128"/>
      <c r="D897" s="130"/>
      <c r="E897" s="128"/>
      <c r="F897" s="128"/>
      <c r="G897" s="128"/>
      <c r="H897" s="128"/>
      <c r="I897" s="128"/>
    </row>
    <row r="898" spans="1:9" x14ac:dyDescent="0.15">
      <c r="A898" s="129"/>
      <c r="B898" s="128"/>
      <c r="C898" s="128"/>
      <c r="D898" s="130"/>
      <c r="E898" s="128"/>
      <c r="F898" s="128"/>
      <c r="G898" s="128"/>
      <c r="H898" s="128"/>
      <c r="I898" s="128"/>
    </row>
    <row r="899" spans="1:9" x14ac:dyDescent="0.15">
      <c r="A899" s="129"/>
      <c r="B899" s="128"/>
      <c r="C899" s="128"/>
      <c r="D899" s="130"/>
      <c r="E899" s="128"/>
      <c r="F899" s="128"/>
      <c r="G899" s="128"/>
      <c r="H899" s="128"/>
      <c r="I899" s="128"/>
    </row>
    <row r="900" spans="1:9" x14ac:dyDescent="0.15">
      <c r="A900" s="129"/>
      <c r="B900" s="128"/>
      <c r="C900" s="128"/>
      <c r="D900" s="130"/>
      <c r="E900" s="128"/>
      <c r="F900" s="128"/>
      <c r="G900" s="128"/>
      <c r="H900" s="128"/>
      <c r="I900" s="128"/>
    </row>
    <row r="901" spans="1:9" x14ac:dyDescent="0.15">
      <c r="A901" s="129"/>
      <c r="B901" s="128"/>
      <c r="C901" s="128"/>
      <c r="D901" s="130"/>
      <c r="E901" s="128"/>
      <c r="F901" s="128"/>
      <c r="G901" s="128"/>
      <c r="H901" s="128"/>
      <c r="I901" s="128"/>
    </row>
    <row r="902" spans="1:9" x14ac:dyDescent="0.15">
      <c r="A902" s="129"/>
      <c r="B902" s="128"/>
      <c r="C902" s="128"/>
      <c r="D902" s="130"/>
      <c r="E902" s="128"/>
      <c r="F902" s="128"/>
      <c r="G902" s="128"/>
      <c r="H902" s="128"/>
      <c r="I902" s="128"/>
    </row>
    <row r="903" spans="1:9" x14ac:dyDescent="0.15">
      <c r="A903" s="129"/>
      <c r="B903" s="128"/>
      <c r="C903" s="128"/>
      <c r="D903" s="130"/>
      <c r="E903" s="128"/>
      <c r="F903" s="128"/>
      <c r="G903" s="128"/>
      <c r="H903" s="128"/>
      <c r="I903" s="128"/>
    </row>
    <row r="904" spans="1:9" x14ac:dyDescent="0.15">
      <c r="A904" s="129"/>
      <c r="B904" s="128"/>
      <c r="C904" s="128"/>
      <c r="D904" s="130"/>
      <c r="E904" s="128"/>
      <c r="F904" s="128"/>
      <c r="G904" s="128"/>
      <c r="H904" s="128"/>
      <c r="I904" s="128"/>
    </row>
    <row r="905" spans="1:9" x14ac:dyDescent="0.15">
      <c r="A905" s="129"/>
      <c r="B905" s="128"/>
      <c r="C905" s="128"/>
      <c r="D905" s="130"/>
      <c r="E905" s="128"/>
      <c r="F905" s="128"/>
      <c r="G905" s="128"/>
      <c r="H905" s="128"/>
      <c r="I905" s="128"/>
    </row>
    <row r="906" spans="1:9" x14ac:dyDescent="0.15">
      <c r="A906" s="129"/>
      <c r="B906" s="128"/>
      <c r="C906" s="128"/>
      <c r="D906" s="130"/>
      <c r="E906" s="128"/>
      <c r="F906" s="128"/>
      <c r="G906" s="128"/>
      <c r="H906" s="128"/>
      <c r="I906" s="128"/>
    </row>
    <row r="907" spans="1:9" x14ac:dyDescent="0.15">
      <c r="A907" s="129"/>
      <c r="B907" s="128"/>
      <c r="C907" s="128"/>
      <c r="D907" s="130"/>
      <c r="E907" s="128"/>
      <c r="F907" s="128"/>
      <c r="G907" s="128"/>
      <c r="H907" s="128"/>
      <c r="I907" s="128"/>
    </row>
    <row r="908" spans="1:9" x14ac:dyDescent="0.15">
      <c r="A908" s="129"/>
      <c r="B908" s="128"/>
      <c r="C908" s="128"/>
      <c r="D908" s="130"/>
      <c r="E908" s="128"/>
      <c r="F908" s="128"/>
      <c r="G908" s="128"/>
      <c r="H908" s="128"/>
      <c r="I908" s="128"/>
    </row>
    <row r="909" spans="1:9" x14ac:dyDescent="0.15">
      <c r="A909" s="129"/>
      <c r="B909" s="128"/>
      <c r="C909" s="128"/>
      <c r="D909" s="130"/>
      <c r="E909" s="128"/>
      <c r="F909" s="128"/>
      <c r="G909" s="128"/>
      <c r="H909" s="128"/>
      <c r="I909" s="128"/>
    </row>
    <row r="910" spans="1:9" x14ac:dyDescent="0.15">
      <c r="A910" s="129"/>
      <c r="B910" s="128"/>
      <c r="C910" s="128"/>
      <c r="D910" s="130"/>
      <c r="E910" s="128"/>
      <c r="F910" s="128"/>
      <c r="G910" s="128"/>
      <c r="H910" s="128"/>
      <c r="I910" s="128"/>
    </row>
    <row r="911" spans="1:9" x14ac:dyDescent="0.15">
      <c r="A911" s="129"/>
      <c r="B911" s="128"/>
      <c r="C911" s="128"/>
      <c r="D911" s="130"/>
      <c r="E911" s="128"/>
      <c r="F911" s="128"/>
      <c r="G911" s="128"/>
      <c r="H911" s="128"/>
      <c r="I911" s="128"/>
    </row>
    <row r="912" spans="1:9" x14ac:dyDescent="0.15">
      <c r="A912" s="129"/>
      <c r="B912" s="128"/>
      <c r="C912" s="128"/>
      <c r="D912" s="130"/>
      <c r="E912" s="128"/>
      <c r="F912" s="128"/>
      <c r="G912" s="128"/>
      <c r="H912" s="128"/>
      <c r="I912" s="128"/>
    </row>
    <row r="913" spans="1:9" x14ac:dyDescent="0.15">
      <c r="A913" s="129"/>
      <c r="B913" s="128"/>
      <c r="C913" s="128"/>
      <c r="D913" s="130"/>
      <c r="E913" s="128"/>
      <c r="F913" s="128"/>
      <c r="G913" s="128"/>
      <c r="H913" s="128"/>
      <c r="I913" s="128"/>
    </row>
    <row r="914" spans="1:9" x14ac:dyDescent="0.15">
      <c r="A914" s="129"/>
      <c r="B914" s="128"/>
      <c r="C914" s="128"/>
      <c r="D914" s="130"/>
      <c r="E914" s="128"/>
      <c r="F914" s="128"/>
      <c r="G914" s="128"/>
      <c r="H914" s="128"/>
      <c r="I914" s="128"/>
    </row>
    <row r="915" spans="1:9" x14ac:dyDescent="0.15">
      <c r="A915" s="129"/>
      <c r="B915" s="128"/>
      <c r="C915" s="128"/>
      <c r="D915" s="130"/>
      <c r="E915" s="128"/>
      <c r="F915" s="128"/>
      <c r="G915" s="128"/>
      <c r="H915" s="128"/>
      <c r="I915" s="128"/>
    </row>
    <row r="916" spans="1:9" x14ac:dyDescent="0.15">
      <c r="A916" s="129"/>
      <c r="B916" s="128"/>
      <c r="C916" s="128"/>
      <c r="D916" s="130"/>
      <c r="E916" s="128"/>
      <c r="F916" s="128"/>
      <c r="G916" s="128"/>
      <c r="H916" s="128"/>
      <c r="I916" s="128"/>
    </row>
    <row r="917" spans="1:9" x14ac:dyDescent="0.15">
      <c r="A917" s="129"/>
      <c r="B917" s="128"/>
      <c r="C917" s="128"/>
      <c r="D917" s="130"/>
      <c r="E917" s="128"/>
      <c r="F917" s="128"/>
      <c r="G917" s="128"/>
      <c r="H917" s="128"/>
      <c r="I917" s="128"/>
    </row>
    <row r="918" spans="1:9" x14ac:dyDescent="0.15">
      <c r="A918" s="129"/>
      <c r="B918" s="128"/>
      <c r="C918" s="128"/>
      <c r="D918" s="130"/>
      <c r="E918" s="128"/>
      <c r="F918" s="128"/>
      <c r="G918" s="128"/>
      <c r="H918" s="128"/>
      <c r="I918" s="128"/>
    </row>
    <row r="919" spans="1:9" x14ac:dyDescent="0.15">
      <c r="A919" s="129"/>
      <c r="B919" s="128"/>
      <c r="C919" s="128"/>
      <c r="D919" s="130"/>
      <c r="E919" s="128"/>
      <c r="F919" s="128"/>
      <c r="G919" s="128"/>
      <c r="H919" s="128"/>
      <c r="I919" s="128"/>
    </row>
    <row r="920" spans="1:9" x14ac:dyDescent="0.15">
      <c r="A920" s="129"/>
      <c r="B920" s="128"/>
      <c r="C920" s="128"/>
      <c r="D920" s="130"/>
      <c r="E920" s="128"/>
      <c r="F920" s="128"/>
      <c r="G920" s="128"/>
      <c r="H920" s="128"/>
      <c r="I920" s="128"/>
    </row>
    <row r="921" spans="1:9" x14ac:dyDescent="0.15">
      <c r="A921" s="129"/>
      <c r="B921" s="128"/>
      <c r="C921" s="128"/>
      <c r="D921" s="130"/>
      <c r="E921" s="128"/>
      <c r="F921" s="128"/>
      <c r="G921" s="128"/>
      <c r="H921" s="128"/>
      <c r="I921" s="128"/>
    </row>
    <row r="922" spans="1:9" x14ac:dyDescent="0.15">
      <c r="A922" s="129"/>
      <c r="B922" s="128"/>
      <c r="C922" s="128"/>
      <c r="D922" s="130"/>
      <c r="E922" s="128"/>
      <c r="F922" s="128"/>
      <c r="G922" s="128"/>
      <c r="H922" s="128"/>
      <c r="I922" s="128"/>
    </row>
    <row r="923" spans="1:9" x14ac:dyDescent="0.15">
      <c r="A923" s="129"/>
      <c r="B923" s="128"/>
      <c r="C923" s="128"/>
      <c r="D923" s="130"/>
      <c r="E923" s="128"/>
      <c r="F923" s="128"/>
      <c r="G923" s="128"/>
      <c r="H923" s="128"/>
      <c r="I923" s="128"/>
    </row>
    <row r="924" spans="1:9" x14ac:dyDescent="0.15">
      <c r="A924" s="129"/>
      <c r="B924" s="128"/>
      <c r="C924" s="128"/>
      <c r="D924" s="130"/>
      <c r="E924" s="128"/>
      <c r="F924" s="128"/>
      <c r="G924" s="128"/>
      <c r="H924" s="128"/>
      <c r="I924" s="128"/>
    </row>
    <row r="925" spans="1:9" x14ac:dyDescent="0.15">
      <c r="A925" s="129"/>
      <c r="B925" s="128"/>
      <c r="C925" s="128"/>
      <c r="D925" s="130"/>
      <c r="E925" s="128"/>
      <c r="F925" s="128"/>
      <c r="G925" s="128"/>
      <c r="H925" s="128"/>
      <c r="I925" s="128"/>
    </row>
    <row r="926" spans="1:9" x14ac:dyDescent="0.15">
      <c r="A926" s="129"/>
      <c r="B926" s="128"/>
      <c r="C926" s="128"/>
      <c r="D926" s="130"/>
      <c r="E926" s="128"/>
      <c r="F926" s="128"/>
      <c r="G926" s="128"/>
      <c r="H926" s="128"/>
      <c r="I926" s="128"/>
    </row>
    <row r="927" spans="1:9" x14ac:dyDescent="0.15">
      <c r="A927" s="129"/>
      <c r="B927" s="128"/>
      <c r="C927" s="128"/>
      <c r="D927" s="130"/>
      <c r="E927" s="128"/>
      <c r="F927" s="128"/>
      <c r="G927" s="128"/>
      <c r="H927" s="128"/>
      <c r="I927" s="128"/>
    </row>
    <row r="928" spans="1:9" x14ac:dyDescent="0.15">
      <c r="A928" s="129"/>
      <c r="B928" s="128"/>
      <c r="C928" s="128"/>
      <c r="D928" s="130"/>
      <c r="E928" s="128"/>
      <c r="F928" s="128"/>
      <c r="G928" s="128"/>
      <c r="H928" s="128"/>
      <c r="I928" s="128"/>
    </row>
    <row r="929" spans="1:9" x14ac:dyDescent="0.15">
      <c r="A929" s="129"/>
      <c r="B929" s="128"/>
      <c r="C929" s="128"/>
      <c r="D929" s="130"/>
      <c r="E929" s="128"/>
      <c r="F929" s="128"/>
      <c r="G929" s="128"/>
      <c r="H929" s="128"/>
      <c r="I929" s="128"/>
    </row>
    <row r="930" spans="1:9" x14ac:dyDescent="0.15">
      <c r="A930" s="129"/>
      <c r="B930" s="128"/>
      <c r="C930" s="128"/>
      <c r="D930" s="130"/>
      <c r="E930" s="128"/>
      <c r="F930" s="128"/>
      <c r="G930" s="128"/>
      <c r="H930" s="128"/>
      <c r="I930" s="128"/>
    </row>
    <row r="931" spans="1:9" x14ac:dyDescent="0.15">
      <c r="A931" s="129"/>
      <c r="B931" s="128"/>
      <c r="C931" s="128"/>
      <c r="D931" s="130"/>
      <c r="E931" s="128"/>
      <c r="F931" s="128"/>
      <c r="G931" s="128"/>
      <c r="H931" s="128"/>
      <c r="I931" s="128"/>
    </row>
    <row r="932" spans="1:9" x14ac:dyDescent="0.15">
      <c r="A932" s="129"/>
      <c r="B932" s="128"/>
      <c r="C932" s="128"/>
      <c r="D932" s="130"/>
      <c r="E932" s="128"/>
      <c r="F932" s="128"/>
      <c r="G932" s="128"/>
      <c r="H932" s="128"/>
      <c r="I932" s="128"/>
    </row>
    <row r="933" spans="1:9" x14ac:dyDescent="0.15">
      <c r="A933" s="129"/>
      <c r="B933" s="128"/>
      <c r="C933" s="128"/>
      <c r="D933" s="130"/>
      <c r="E933" s="128"/>
      <c r="F933" s="128"/>
      <c r="G933" s="128"/>
      <c r="H933" s="128"/>
      <c r="I933" s="128"/>
    </row>
    <row r="934" spans="1:9" x14ac:dyDescent="0.15">
      <c r="A934" s="129"/>
      <c r="B934" s="128"/>
      <c r="C934" s="128"/>
      <c r="D934" s="130"/>
      <c r="E934" s="128"/>
      <c r="F934" s="128"/>
      <c r="G934" s="128"/>
      <c r="H934" s="128"/>
      <c r="I934" s="128"/>
    </row>
    <row r="935" spans="1:9" x14ac:dyDescent="0.15">
      <c r="A935" s="129"/>
      <c r="B935" s="128"/>
      <c r="C935" s="128"/>
      <c r="D935" s="130"/>
      <c r="E935" s="128"/>
      <c r="F935" s="128"/>
      <c r="G935" s="128"/>
      <c r="H935" s="128"/>
      <c r="I935" s="128"/>
    </row>
    <row r="936" spans="1:9" x14ac:dyDescent="0.15">
      <c r="A936" s="129"/>
      <c r="B936" s="128"/>
      <c r="C936" s="128"/>
      <c r="D936" s="130"/>
      <c r="E936" s="128"/>
      <c r="F936" s="128"/>
      <c r="G936" s="128"/>
      <c r="H936" s="128"/>
      <c r="I936" s="128"/>
    </row>
    <row r="937" spans="1:9" x14ac:dyDescent="0.15">
      <c r="A937" s="129"/>
      <c r="B937" s="128"/>
      <c r="C937" s="128"/>
      <c r="D937" s="130"/>
      <c r="E937" s="128"/>
      <c r="F937" s="128"/>
      <c r="G937" s="128"/>
      <c r="H937" s="128"/>
      <c r="I937" s="128"/>
    </row>
    <row r="938" spans="1:9" x14ac:dyDescent="0.15">
      <c r="A938" s="129"/>
      <c r="B938" s="128"/>
      <c r="C938" s="128"/>
      <c r="D938" s="130"/>
      <c r="E938" s="128"/>
      <c r="F938" s="128"/>
      <c r="G938" s="128"/>
      <c r="H938" s="128"/>
      <c r="I938" s="128"/>
    </row>
    <row r="939" spans="1:9" x14ac:dyDescent="0.15">
      <c r="A939" s="129"/>
      <c r="B939" s="128"/>
      <c r="C939" s="128"/>
      <c r="D939" s="130"/>
      <c r="E939" s="128"/>
      <c r="F939" s="128"/>
      <c r="G939" s="128"/>
      <c r="H939" s="128"/>
      <c r="I939" s="128"/>
    </row>
    <row r="940" spans="1:9" x14ac:dyDescent="0.15">
      <c r="A940" s="129"/>
      <c r="B940" s="128"/>
      <c r="C940" s="128"/>
      <c r="D940" s="130"/>
      <c r="E940" s="128"/>
      <c r="F940" s="128"/>
      <c r="G940" s="128"/>
      <c r="H940" s="128"/>
      <c r="I940" s="128"/>
    </row>
    <row r="941" spans="1:9" x14ac:dyDescent="0.15">
      <c r="A941" s="129"/>
      <c r="B941" s="128"/>
      <c r="C941" s="128"/>
      <c r="D941" s="130"/>
      <c r="E941" s="128"/>
      <c r="F941" s="128"/>
      <c r="G941" s="128"/>
      <c r="H941" s="128"/>
      <c r="I941" s="128"/>
    </row>
    <row r="942" spans="1:9" x14ac:dyDescent="0.15">
      <c r="A942" s="129"/>
      <c r="B942" s="128"/>
      <c r="C942" s="128"/>
      <c r="D942" s="130"/>
      <c r="E942" s="128"/>
      <c r="F942" s="128"/>
      <c r="G942" s="128"/>
      <c r="H942" s="128"/>
      <c r="I942" s="128"/>
    </row>
    <row r="943" spans="1:9" x14ac:dyDescent="0.15">
      <c r="A943" s="129"/>
      <c r="B943" s="128"/>
      <c r="C943" s="128"/>
      <c r="D943" s="130"/>
      <c r="E943" s="128"/>
      <c r="F943" s="128"/>
      <c r="G943" s="128"/>
      <c r="H943" s="128"/>
      <c r="I943" s="128"/>
    </row>
    <row r="944" spans="1:9" x14ac:dyDescent="0.15">
      <c r="A944" s="129"/>
      <c r="B944" s="128"/>
      <c r="C944" s="128"/>
      <c r="D944" s="130"/>
      <c r="E944" s="128"/>
      <c r="F944" s="128"/>
      <c r="G944" s="128"/>
      <c r="H944" s="128"/>
      <c r="I944" s="128"/>
    </row>
    <row r="945" spans="1:9" x14ac:dyDescent="0.15">
      <c r="A945" s="129"/>
      <c r="B945" s="128"/>
      <c r="C945" s="128"/>
      <c r="D945" s="130"/>
      <c r="E945" s="128"/>
      <c r="F945" s="128"/>
      <c r="G945" s="128"/>
      <c r="H945" s="128"/>
      <c r="I945" s="128"/>
    </row>
    <row r="946" spans="1:9" x14ac:dyDescent="0.15">
      <c r="A946" s="129"/>
      <c r="B946" s="128"/>
      <c r="C946" s="128"/>
      <c r="D946" s="130"/>
      <c r="E946" s="128"/>
      <c r="F946" s="128"/>
      <c r="G946" s="128"/>
      <c r="H946" s="128"/>
      <c r="I946" s="128"/>
    </row>
    <row r="947" spans="1:9" x14ac:dyDescent="0.15">
      <c r="A947" s="129"/>
      <c r="B947" s="128"/>
      <c r="C947" s="128"/>
      <c r="D947" s="130"/>
      <c r="E947" s="128"/>
      <c r="F947" s="128"/>
      <c r="G947" s="128"/>
      <c r="H947" s="128"/>
      <c r="I947" s="128"/>
    </row>
    <row r="948" spans="1:9" x14ac:dyDescent="0.15">
      <c r="A948" s="129"/>
      <c r="B948" s="128"/>
      <c r="C948" s="128"/>
      <c r="D948" s="130"/>
      <c r="E948" s="128"/>
      <c r="F948" s="128"/>
      <c r="G948" s="128"/>
      <c r="H948" s="128"/>
      <c r="I948" s="128"/>
    </row>
    <row r="949" spans="1:9" x14ac:dyDescent="0.15">
      <c r="A949" s="129"/>
      <c r="B949" s="128"/>
      <c r="C949" s="128"/>
      <c r="D949" s="130"/>
      <c r="E949" s="128"/>
      <c r="F949" s="128"/>
      <c r="G949" s="128"/>
      <c r="H949" s="128"/>
      <c r="I949" s="128"/>
    </row>
    <row r="950" spans="1:9" x14ac:dyDescent="0.15">
      <c r="A950" s="129"/>
      <c r="B950" s="128"/>
      <c r="C950" s="128"/>
      <c r="D950" s="130"/>
      <c r="E950" s="128"/>
      <c r="F950" s="128"/>
      <c r="G950" s="128"/>
      <c r="H950" s="128"/>
      <c r="I950" s="128"/>
    </row>
    <row r="951" spans="1:9" x14ac:dyDescent="0.15">
      <c r="A951" s="129"/>
      <c r="B951" s="128"/>
      <c r="C951" s="128"/>
      <c r="D951" s="130"/>
      <c r="E951" s="128"/>
      <c r="F951" s="128"/>
      <c r="G951" s="128"/>
      <c r="H951" s="128"/>
      <c r="I951" s="128"/>
    </row>
    <row r="952" spans="1:9" x14ac:dyDescent="0.15">
      <c r="A952" s="129"/>
      <c r="B952" s="128"/>
      <c r="C952" s="128"/>
      <c r="D952" s="130"/>
      <c r="E952" s="128"/>
      <c r="F952" s="128"/>
      <c r="G952" s="128"/>
      <c r="H952" s="128"/>
      <c r="I952" s="128"/>
    </row>
    <row r="953" spans="1:9" x14ac:dyDescent="0.15">
      <c r="A953" s="129"/>
      <c r="B953" s="128"/>
      <c r="C953" s="128"/>
      <c r="D953" s="130"/>
      <c r="E953" s="128"/>
      <c r="F953" s="128"/>
      <c r="G953" s="128"/>
      <c r="H953" s="128"/>
      <c r="I953" s="128"/>
    </row>
    <row r="954" spans="1:9" x14ac:dyDescent="0.15">
      <c r="A954" s="129"/>
      <c r="B954" s="128"/>
      <c r="C954" s="128"/>
      <c r="D954" s="130"/>
      <c r="E954" s="128"/>
      <c r="F954" s="128"/>
      <c r="G954" s="128"/>
      <c r="H954" s="128"/>
      <c r="I954" s="128"/>
    </row>
    <row r="955" spans="1:9" x14ac:dyDescent="0.15">
      <c r="A955" s="129"/>
      <c r="B955" s="128"/>
      <c r="C955" s="128"/>
      <c r="D955" s="130"/>
      <c r="E955" s="128"/>
      <c r="F955" s="128"/>
      <c r="G955" s="128"/>
      <c r="H955" s="128"/>
      <c r="I955" s="128"/>
    </row>
    <row r="956" spans="1:9" x14ac:dyDescent="0.15">
      <c r="A956" s="129"/>
      <c r="B956" s="128"/>
      <c r="C956" s="128"/>
      <c r="D956" s="130"/>
      <c r="E956" s="128"/>
      <c r="F956" s="128"/>
      <c r="G956" s="128"/>
      <c r="H956" s="128"/>
      <c r="I956" s="128"/>
    </row>
    <row r="957" spans="1:9" x14ac:dyDescent="0.15">
      <c r="A957" s="129"/>
      <c r="B957" s="128"/>
      <c r="C957" s="128"/>
      <c r="D957" s="130"/>
      <c r="E957" s="128"/>
      <c r="F957" s="128"/>
      <c r="G957" s="128"/>
      <c r="H957" s="128"/>
      <c r="I957" s="128"/>
    </row>
    <row r="958" spans="1:9" x14ac:dyDescent="0.15">
      <c r="A958" s="129"/>
      <c r="B958" s="128"/>
      <c r="C958" s="128"/>
      <c r="D958" s="130"/>
      <c r="E958" s="128"/>
      <c r="F958" s="128"/>
      <c r="G958" s="128"/>
      <c r="H958" s="128"/>
      <c r="I958" s="128"/>
    </row>
    <row r="959" spans="1:9" x14ac:dyDescent="0.15">
      <c r="A959" s="129"/>
      <c r="B959" s="128"/>
      <c r="C959" s="128"/>
      <c r="D959" s="130"/>
      <c r="E959" s="128"/>
      <c r="F959" s="128"/>
      <c r="G959" s="128"/>
      <c r="H959" s="128"/>
      <c r="I959" s="128"/>
    </row>
    <row r="960" spans="1:9" x14ac:dyDescent="0.15">
      <c r="A960" s="129"/>
      <c r="B960" s="128"/>
      <c r="C960" s="128"/>
      <c r="D960" s="130"/>
      <c r="E960" s="128"/>
      <c r="F960" s="128"/>
      <c r="G960" s="128"/>
      <c r="H960" s="128"/>
      <c r="I960" s="128"/>
    </row>
    <row r="961" spans="1:9" x14ac:dyDescent="0.15">
      <c r="A961" s="129"/>
      <c r="B961" s="128"/>
      <c r="C961" s="128"/>
      <c r="D961" s="130"/>
      <c r="E961" s="128"/>
      <c r="F961" s="128"/>
      <c r="G961" s="128"/>
      <c r="H961" s="128"/>
      <c r="I961" s="128"/>
    </row>
    <row r="962" spans="1:9" x14ac:dyDescent="0.15">
      <c r="A962" s="129"/>
      <c r="B962" s="128"/>
      <c r="C962" s="128"/>
      <c r="D962" s="130"/>
      <c r="E962" s="128"/>
      <c r="F962" s="128"/>
      <c r="G962" s="128"/>
      <c r="H962" s="128"/>
      <c r="I962" s="128"/>
    </row>
    <row r="963" spans="1:9" x14ac:dyDescent="0.15">
      <c r="A963" s="129"/>
      <c r="B963" s="128"/>
      <c r="C963" s="128"/>
      <c r="D963" s="130"/>
      <c r="E963" s="128"/>
      <c r="F963" s="128"/>
      <c r="G963" s="128"/>
      <c r="H963" s="128"/>
      <c r="I963" s="128"/>
    </row>
    <row r="964" spans="1:9" x14ac:dyDescent="0.15">
      <c r="A964" s="129"/>
      <c r="B964" s="128"/>
      <c r="C964" s="128"/>
      <c r="D964" s="130"/>
      <c r="E964" s="128"/>
      <c r="F964" s="128"/>
      <c r="G964" s="128"/>
      <c r="H964" s="128"/>
      <c r="I964" s="128"/>
    </row>
    <row r="965" spans="1:9" x14ac:dyDescent="0.15">
      <c r="A965" s="129"/>
      <c r="B965" s="128"/>
      <c r="C965" s="128"/>
      <c r="D965" s="130"/>
      <c r="E965" s="128"/>
      <c r="F965" s="128"/>
      <c r="G965" s="128"/>
      <c r="H965" s="128"/>
      <c r="I965" s="128"/>
    </row>
    <row r="966" spans="1:9" x14ac:dyDescent="0.15">
      <c r="A966" s="129"/>
      <c r="B966" s="128"/>
      <c r="C966" s="128"/>
      <c r="D966" s="130"/>
      <c r="E966" s="128"/>
      <c r="F966" s="128"/>
      <c r="G966" s="128"/>
      <c r="H966" s="128"/>
      <c r="I966" s="128"/>
    </row>
    <row r="967" spans="1:9" x14ac:dyDescent="0.15">
      <c r="A967" s="129"/>
      <c r="B967" s="128"/>
      <c r="C967" s="128"/>
      <c r="D967" s="130"/>
      <c r="E967" s="128"/>
      <c r="F967" s="128"/>
      <c r="G967" s="128"/>
      <c r="H967" s="128"/>
      <c r="I967" s="128"/>
    </row>
    <row r="968" spans="1:9" x14ac:dyDescent="0.15">
      <c r="A968" s="129"/>
      <c r="B968" s="128"/>
      <c r="C968" s="128"/>
      <c r="D968" s="130"/>
      <c r="E968" s="128"/>
      <c r="F968" s="128"/>
      <c r="G968" s="128"/>
      <c r="H968" s="128"/>
      <c r="I968" s="128"/>
    </row>
    <row r="969" spans="1:9" x14ac:dyDescent="0.15">
      <c r="A969" s="129"/>
      <c r="B969" s="128"/>
      <c r="C969" s="128"/>
      <c r="D969" s="130"/>
      <c r="E969" s="128"/>
      <c r="F969" s="128"/>
      <c r="G969" s="128"/>
      <c r="H969" s="128"/>
      <c r="I969" s="128"/>
    </row>
    <row r="970" spans="1:9" x14ac:dyDescent="0.15">
      <c r="A970" s="129"/>
      <c r="B970" s="128"/>
      <c r="C970" s="128"/>
      <c r="D970" s="130"/>
      <c r="E970" s="128"/>
      <c r="F970" s="128"/>
      <c r="G970" s="128"/>
      <c r="H970" s="128"/>
      <c r="I970" s="128"/>
    </row>
    <row r="971" spans="1:9" x14ac:dyDescent="0.15">
      <c r="A971" s="129"/>
      <c r="B971" s="128"/>
      <c r="C971" s="128"/>
      <c r="D971" s="130"/>
      <c r="E971" s="128"/>
      <c r="F971" s="128"/>
      <c r="G971" s="128"/>
      <c r="H971" s="128"/>
      <c r="I971" s="128"/>
    </row>
    <row r="972" spans="1:9" x14ac:dyDescent="0.15">
      <c r="A972" s="129"/>
      <c r="B972" s="128"/>
      <c r="C972" s="128"/>
      <c r="D972" s="130"/>
      <c r="E972" s="128"/>
      <c r="F972" s="128"/>
      <c r="G972" s="128"/>
      <c r="H972" s="128"/>
      <c r="I972" s="128"/>
    </row>
    <row r="973" spans="1:9" x14ac:dyDescent="0.15">
      <c r="A973" s="129"/>
      <c r="B973" s="128"/>
      <c r="C973" s="128"/>
      <c r="D973" s="130"/>
      <c r="E973" s="128"/>
      <c r="F973" s="128"/>
      <c r="G973" s="128"/>
      <c r="H973" s="128"/>
      <c r="I973" s="128"/>
    </row>
    <row r="974" spans="1:9" x14ac:dyDescent="0.15">
      <c r="A974" s="129"/>
      <c r="B974" s="128"/>
      <c r="C974" s="128"/>
      <c r="D974" s="130"/>
      <c r="E974" s="128"/>
      <c r="F974" s="128"/>
      <c r="G974" s="128"/>
      <c r="H974" s="128"/>
      <c r="I974" s="128"/>
    </row>
    <row r="975" spans="1:9" x14ac:dyDescent="0.15">
      <c r="A975" s="129"/>
      <c r="B975" s="128"/>
      <c r="C975" s="128"/>
      <c r="D975" s="130"/>
      <c r="E975" s="128"/>
      <c r="F975" s="128"/>
      <c r="G975" s="128"/>
      <c r="H975" s="128"/>
      <c r="I975" s="128"/>
    </row>
    <row r="976" spans="1:9" x14ac:dyDescent="0.15">
      <c r="A976" s="129"/>
      <c r="B976" s="128"/>
      <c r="C976" s="128"/>
      <c r="D976" s="130"/>
      <c r="E976" s="128"/>
      <c r="F976" s="128"/>
      <c r="G976" s="128"/>
      <c r="H976" s="128"/>
      <c r="I976" s="128"/>
    </row>
    <row r="977" spans="1:9" x14ac:dyDescent="0.15">
      <c r="A977" s="129"/>
      <c r="B977" s="128"/>
      <c r="C977" s="128"/>
      <c r="D977" s="130"/>
      <c r="E977" s="128"/>
      <c r="F977" s="128"/>
      <c r="G977" s="128"/>
      <c r="H977" s="128"/>
      <c r="I977" s="128"/>
    </row>
    <row r="978" spans="1:9" x14ac:dyDescent="0.15">
      <c r="A978" s="129"/>
      <c r="B978" s="128"/>
      <c r="C978" s="128"/>
      <c r="D978" s="130"/>
      <c r="E978" s="128"/>
      <c r="F978" s="128"/>
      <c r="G978" s="128"/>
      <c r="H978" s="128"/>
      <c r="I978" s="128"/>
    </row>
    <row r="979" spans="1:9" x14ac:dyDescent="0.15">
      <c r="A979" s="129"/>
      <c r="B979" s="128"/>
      <c r="C979" s="128"/>
      <c r="D979" s="130"/>
      <c r="E979" s="128"/>
      <c r="F979" s="128"/>
      <c r="G979" s="128"/>
      <c r="H979" s="128"/>
      <c r="I979" s="128"/>
    </row>
    <row r="980" spans="1:9" x14ac:dyDescent="0.15">
      <c r="A980" s="129"/>
      <c r="B980" s="128"/>
      <c r="C980" s="128"/>
      <c r="D980" s="130"/>
      <c r="E980" s="128"/>
      <c r="F980" s="128"/>
      <c r="G980" s="128"/>
      <c r="H980" s="128"/>
      <c r="I980" s="128"/>
    </row>
    <row r="981" spans="1:9" x14ac:dyDescent="0.15">
      <c r="A981" s="129"/>
      <c r="B981" s="128"/>
      <c r="C981" s="128"/>
      <c r="D981" s="130"/>
      <c r="E981" s="128"/>
      <c r="F981" s="128"/>
      <c r="G981" s="128"/>
      <c r="H981" s="128"/>
      <c r="I981" s="128"/>
    </row>
    <row r="982" spans="1:9" x14ac:dyDescent="0.15">
      <c r="A982" s="129"/>
      <c r="B982" s="128"/>
      <c r="C982" s="128"/>
      <c r="D982" s="130"/>
      <c r="E982" s="128"/>
      <c r="F982" s="128"/>
      <c r="G982" s="128"/>
      <c r="H982" s="128"/>
      <c r="I982" s="128"/>
    </row>
    <row r="983" spans="1:9" x14ac:dyDescent="0.15">
      <c r="A983" s="129"/>
      <c r="B983" s="128"/>
      <c r="C983" s="128"/>
      <c r="D983" s="130"/>
      <c r="E983" s="128"/>
      <c r="F983" s="128"/>
      <c r="G983" s="128"/>
      <c r="H983" s="128"/>
      <c r="I983" s="128"/>
    </row>
    <row r="984" spans="1:9" x14ac:dyDescent="0.15">
      <c r="A984" s="129"/>
      <c r="B984" s="128"/>
      <c r="C984" s="128"/>
      <c r="D984" s="130"/>
      <c r="E984" s="128"/>
      <c r="F984" s="128"/>
      <c r="G984" s="128"/>
      <c r="H984" s="128"/>
      <c r="I984" s="128"/>
    </row>
    <row r="985" spans="1:9" x14ac:dyDescent="0.15">
      <c r="A985" s="129"/>
      <c r="B985" s="128"/>
      <c r="C985" s="128"/>
      <c r="D985" s="130"/>
      <c r="E985" s="128"/>
      <c r="F985" s="128"/>
      <c r="G985" s="128"/>
      <c r="H985" s="128"/>
      <c r="I985" s="128"/>
    </row>
    <row r="986" spans="1:9" x14ac:dyDescent="0.15">
      <c r="A986" s="129"/>
      <c r="B986" s="128"/>
      <c r="C986" s="128"/>
      <c r="D986" s="130"/>
      <c r="E986" s="128"/>
      <c r="F986" s="128"/>
      <c r="G986" s="128"/>
      <c r="H986" s="128"/>
      <c r="I986" s="128"/>
    </row>
    <row r="987" spans="1:9" x14ac:dyDescent="0.15">
      <c r="A987" s="129"/>
      <c r="B987" s="128"/>
      <c r="C987" s="128"/>
      <c r="D987" s="130"/>
      <c r="E987" s="128"/>
      <c r="F987" s="128"/>
      <c r="G987" s="128"/>
      <c r="H987" s="128"/>
      <c r="I987" s="128"/>
    </row>
    <row r="988" spans="1:9" x14ac:dyDescent="0.15">
      <c r="A988" s="129"/>
      <c r="B988" s="128"/>
      <c r="C988" s="128"/>
      <c r="D988" s="130"/>
      <c r="E988" s="128"/>
      <c r="F988" s="128"/>
      <c r="G988" s="128"/>
      <c r="H988" s="128"/>
      <c r="I988" s="128"/>
    </row>
    <row r="989" spans="1:9" x14ac:dyDescent="0.15">
      <c r="A989" s="129"/>
      <c r="B989" s="128"/>
      <c r="C989" s="128"/>
      <c r="D989" s="130"/>
      <c r="E989" s="128"/>
      <c r="F989" s="128"/>
      <c r="G989" s="128"/>
      <c r="H989" s="128"/>
      <c r="I989" s="128"/>
    </row>
    <row r="990" spans="1:9" x14ac:dyDescent="0.15">
      <c r="A990" s="129"/>
      <c r="B990" s="128"/>
      <c r="C990" s="128"/>
      <c r="D990" s="130"/>
      <c r="E990" s="128"/>
      <c r="F990" s="128"/>
      <c r="G990" s="128"/>
      <c r="H990" s="128"/>
      <c r="I990" s="128"/>
    </row>
    <row r="991" spans="1:9" x14ac:dyDescent="0.15">
      <c r="A991" s="129"/>
      <c r="B991" s="128"/>
      <c r="C991" s="128"/>
      <c r="D991" s="130"/>
      <c r="E991" s="128"/>
      <c r="F991" s="128"/>
      <c r="G991" s="128"/>
      <c r="H991" s="128"/>
      <c r="I991" s="128"/>
    </row>
    <row r="992" spans="1:9" x14ac:dyDescent="0.15">
      <c r="A992" s="129"/>
      <c r="B992" s="128"/>
      <c r="C992" s="128"/>
      <c r="D992" s="130"/>
      <c r="E992" s="128"/>
      <c r="F992" s="128"/>
      <c r="G992" s="128"/>
      <c r="H992" s="128"/>
      <c r="I992" s="128"/>
    </row>
    <row r="993" spans="1:9" x14ac:dyDescent="0.15">
      <c r="A993" s="129"/>
      <c r="B993" s="128"/>
      <c r="C993" s="128"/>
      <c r="D993" s="130"/>
      <c r="E993" s="128"/>
      <c r="F993" s="128"/>
      <c r="G993" s="128"/>
      <c r="H993" s="128"/>
      <c r="I993" s="128"/>
    </row>
    <row r="994" spans="1:9" x14ac:dyDescent="0.15">
      <c r="A994" s="129"/>
      <c r="B994" s="128"/>
      <c r="C994" s="128"/>
      <c r="D994" s="130"/>
      <c r="E994" s="128"/>
      <c r="F994" s="128"/>
      <c r="G994" s="128"/>
      <c r="H994" s="128"/>
      <c r="I994" s="128"/>
    </row>
    <row r="995" spans="1:9" x14ac:dyDescent="0.15">
      <c r="A995" s="129"/>
      <c r="B995" s="128"/>
      <c r="C995" s="128"/>
      <c r="D995" s="130"/>
      <c r="E995" s="128"/>
      <c r="F995" s="128"/>
      <c r="G995" s="128"/>
      <c r="H995" s="128"/>
      <c r="I995" s="128"/>
    </row>
    <row r="996" spans="1:9" x14ac:dyDescent="0.15">
      <c r="A996" s="129"/>
      <c r="B996" s="128"/>
      <c r="C996" s="128"/>
      <c r="D996" s="130"/>
      <c r="E996" s="128"/>
      <c r="F996" s="128"/>
      <c r="G996" s="128"/>
      <c r="H996" s="128"/>
      <c r="I996" s="128"/>
    </row>
    <row r="997" spans="1:9" x14ac:dyDescent="0.15">
      <c r="A997" s="129"/>
      <c r="B997" s="128"/>
      <c r="C997" s="128"/>
      <c r="D997" s="130"/>
      <c r="E997" s="128"/>
      <c r="F997" s="128"/>
      <c r="G997" s="128"/>
      <c r="H997" s="128"/>
      <c r="I997" s="128"/>
    </row>
    <row r="998" spans="1:9" x14ac:dyDescent="0.15">
      <c r="A998" s="129"/>
      <c r="B998" s="128"/>
      <c r="C998" s="128"/>
      <c r="D998" s="130"/>
      <c r="E998" s="128"/>
      <c r="F998" s="128"/>
      <c r="G998" s="128"/>
      <c r="H998" s="128"/>
      <c r="I998" s="128"/>
    </row>
    <row r="999" spans="1:9" x14ac:dyDescent="0.15">
      <c r="A999" s="129"/>
      <c r="B999" s="128"/>
      <c r="C999" s="128"/>
      <c r="D999" s="130"/>
      <c r="E999" s="128"/>
      <c r="F999" s="128"/>
      <c r="G999" s="128"/>
      <c r="H999" s="128"/>
      <c r="I999" s="128"/>
    </row>
    <row r="1000" spans="1:9" x14ac:dyDescent="0.15">
      <c r="A1000" s="129"/>
      <c r="B1000" s="128"/>
      <c r="C1000" s="128"/>
      <c r="D1000" s="130"/>
      <c r="E1000" s="128"/>
      <c r="F1000" s="128"/>
      <c r="G1000" s="128"/>
      <c r="H1000" s="128"/>
      <c r="I1000" s="128"/>
    </row>
    <row r="1001" spans="1:9" x14ac:dyDescent="0.15">
      <c r="H1001" s="29"/>
    </row>
    <row r="1002" spans="1:9" x14ac:dyDescent="0.15">
      <c r="H1002" s="29"/>
    </row>
    <row r="1003" spans="1:9" x14ac:dyDescent="0.15">
      <c r="H1003" s="29"/>
    </row>
    <row r="1004" spans="1:9" x14ac:dyDescent="0.15">
      <c r="H1004" s="29"/>
    </row>
    <row r="1005" spans="1:9" x14ac:dyDescent="0.15">
      <c r="H1005" s="29"/>
    </row>
    <row r="1006" spans="1:9" x14ac:dyDescent="0.15">
      <c r="H1006" s="29"/>
    </row>
    <row r="1007" spans="1:9" x14ac:dyDescent="0.15">
      <c r="H1007" s="29"/>
    </row>
    <row r="1008" spans="1:9" x14ac:dyDescent="0.15">
      <c r="H1008" s="29"/>
    </row>
    <row r="1009" spans="8:8" x14ac:dyDescent="0.15">
      <c r="H1009" s="29"/>
    </row>
    <row r="1010" spans="8:8" x14ac:dyDescent="0.15">
      <c r="H1010" s="29"/>
    </row>
    <row r="1011" spans="8:8" x14ac:dyDescent="0.15">
      <c r="H1011" s="29"/>
    </row>
    <row r="1012" spans="8:8" x14ac:dyDescent="0.15">
      <c r="H1012" s="29"/>
    </row>
    <row r="1013" spans="8:8" x14ac:dyDescent="0.15">
      <c r="H1013" s="29"/>
    </row>
    <row r="1014" spans="8:8" x14ac:dyDescent="0.15">
      <c r="H1014" s="29"/>
    </row>
    <row r="1015" spans="8:8" x14ac:dyDescent="0.15">
      <c r="H1015" s="29"/>
    </row>
    <row r="1016" spans="8:8" x14ac:dyDescent="0.15">
      <c r="H1016" s="29"/>
    </row>
    <row r="1017" spans="8:8" x14ac:dyDescent="0.15">
      <c r="H1017" s="29"/>
    </row>
    <row r="1018" spans="8:8" x14ac:dyDescent="0.15">
      <c r="H1018" s="29"/>
    </row>
    <row r="1019" spans="8:8" x14ac:dyDescent="0.15">
      <c r="H1019" s="29"/>
    </row>
    <row r="1020" spans="8:8" x14ac:dyDescent="0.15">
      <c r="H1020" s="29"/>
    </row>
    <row r="1021" spans="8:8" x14ac:dyDescent="0.15">
      <c r="H1021" s="29"/>
    </row>
    <row r="1022" spans="8:8" x14ac:dyDescent="0.15">
      <c r="H1022" s="29"/>
    </row>
    <row r="1023" spans="8:8" x14ac:dyDescent="0.15">
      <c r="H1023" s="29"/>
    </row>
    <row r="1024" spans="8:8" x14ac:dyDescent="0.15">
      <c r="H1024" s="29"/>
    </row>
    <row r="1025" spans="8:8" x14ac:dyDescent="0.15">
      <c r="H1025" s="29"/>
    </row>
    <row r="1026" spans="8:8" x14ac:dyDescent="0.15">
      <c r="H1026" s="29"/>
    </row>
    <row r="1027" spans="8:8" x14ac:dyDescent="0.15">
      <c r="H1027" s="29"/>
    </row>
    <row r="1028" spans="8:8" x14ac:dyDescent="0.15">
      <c r="H1028" s="29"/>
    </row>
    <row r="1029" spans="8:8" x14ac:dyDescent="0.15">
      <c r="H1029" s="29"/>
    </row>
    <row r="1030" spans="8:8" x14ac:dyDescent="0.15">
      <c r="H1030" s="29"/>
    </row>
    <row r="1031" spans="8:8" x14ac:dyDescent="0.15">
      <c r="H1031" s="29"/>
    </row>
    <row r="1032" spans="8:8" x14ac:dyDescent="0.15">
      <c r="H1032" s="29"/>
    </row>
    <row r="1033" spans="8:8" x14ac:dyDescent="0.15">
      <c r="H1033" s="29"/>
    </row>
    <row r="1034" spans="8:8" x14ac:dyDescent="0.15">
      <c r="H1034" s="29"/>
    </row>
    <row r="1035" spans="8:8" x14ac:dyDescent="0.15">
      <c r="H1035" s="29"/>
    </row>
    <row r="1036" spans="8:8" x14ac:dyDescent="0.15">
      <c r="H1036" s="29"/>
    </row>
    <row r="1037" spans="8:8" x14ac:dyDescent="0.15">
      <c r="H1037" s="29"/>
    </row>
    <row r="1038" spans="8:8" x14ac:dyDescent="0.15">
      <c r="H1038" s="29"/>
    </row>
    <row r="1039" spans="8:8" x14ac:dyDescent="0.15">
      <c r="H1039" s="29"/>
    </row>
    <row r="1040" spans="8:8" x14ac:dyDescent="0.15">
      <c r="H1040" s="29"/>
    </row>
    <row r="1041" spans="8:8" x14ac:dyDescent="0.15">
      <c r="H1041" s="29"/>
    </row>
    <row r="1042" spans="8:8" x14ac:dyDescent="0.15">
      <c r="H1042" s="29"/>
    </row>
    <row r="1043" spans="8:8" x14ac:dyDescent="0.15">
      <c r="H1043" s="29"/>
    </row>
    <row r="1044" spans="8:8" x14ac:dyDescent="0.15">
      <c r="H1044" s="29"/>
    </row>
    <row r="1045" spans="8:8" x14ac:dyDescent="0.15">
      <c r="H1045" s="29"/>
    </row>
    <row r="1046" spans="8:8" x14ac:dyDescent="0.15">
      <c r="H1046" s="29"/>
    </row>
    <row r="1047" spans="8:8" x14ac:dyDescent="0.15">
      <c r="H1047" s="29"/>
    </row>
    <row r="1048" spans="8:8" x14ac:dyDescent="0.15">
      <c r="H1048" s="29"/>
    </row>
    <row r="1049" spans="8:8" x14ac:dyDescent="0.15">
      <c r="H1049" s="29"/>
    </row>
    <row r="1050" spans="8:8" x14ac:dyDescent="0.15">
      <c r="H1050" s="29"/>
    </row>
    <row r="1051" spans="8:8" x14ac:dyDescent="0.15">
      <c r="H1051" s="29"/>
    </row>
    <row r="1052" spans="8:8" x14ac:dyDescent="0.15">
      <c r="H1052" s="29"/>
    </row>
    <row r="1053" spans="8:8" x14ac:dyDescent="0.15">
      <c r="H1053" s="29"/>
    </row>
    <row r="1054" spans="8:8" x14ac:dyDescent="0.15">
      <c r="H1054" s="29"/>
    </row>
    <row r="1055" spans="8:8" x14ac:dyDescent="0.15">
      <c r="H1055" s="29"/>
    </row>
    <row r="1056" spans="8:8" x14ac:dyDescent="0.15">
      <c r="H1056" s="29"/>
    </row>
    <row r="1057" spans="8:8" x14ac:dyDescent="0.15">
      <c r="H1057" s="29"/>
    </row>
    <row r="1058" spans="8:8" x14ac:dyDescent="0.15">
      <c r="H1058" s="29"/>
    </row>
    <row r="1059" spans="8:8" x14ac:dyDescent="0.15">
      <c r="H1059" s="29"/>
    </row>
    <row r="1060" spans="8:8" x14ac:dyDescent="0.15">
      <c r="H1060" s="29"/>
    </row>
    <row r="1061" spans="8:8" x14ac:dyDescent="0.15">
      <c r="H1061" s="29"/>
    </row>
    <row r="1062" spans="8:8" x14ac:dyDescent="0.15">
      <c r="H1062" s="29"/>
    </row>
    <row r="1063" spans="8:8" x14ac:dyDescent="0.15">
      <c r="H1063" s="29"/>
    </row>
    <row r="1064" spans="8:8" x14ac:dyDescent="0.15">
      <c r="H1064" s="29"/>
    </row>
    <row r="1065" spans="8:8" x14ac:dyDescent="0.15">
      <c r="H1065" s="29"/>
    </row>
    <row r="1066" spans="8:8" x14ac:dyDescent="0.15">
      <c r="H1066" s="29"/>
    </row>
    <row r="1067" spans="8:8" x14ac:dyDescent="0.15">
      <c r="H1067" s="29"/>
    </row>
    <row r="1068" spans="8:8" x14ac:dyDescent="0.15">
      <c r="H1068" s="29"/>
    </row>
    <row r="1069" spans="8:8" x14ac:dyDescent="0.15">
      <c r="H1069" s="29"/>
    </row>
    <row r="1070" spans="8:8" x14ac:dyDescent="0.15">
      <c r="H1070" s="29"/>
    </row>
    <row r="1071" spans="8:8" x14ac:dyDescent="0.15">
      <c r="H1071" s="29"/>
    </row>
    <row r="1072" spans="8:8" x14ac:dyDescent="0.15">
      <c r="H1072" s="29"/>
    </row>
    <row r="1073" spans="8:8" x14ac:dyDescent="0.15">
      <c r="H1073" s="29"/>
    </row>
    <row r="1074" spans="8:8" x14ac:dyDescent="0.15">
      <c r="H1074" s="29"/>
    </row>
    <row r="1075" spans="8:8" x14ac:dyDescent="0.15">
      <c r="H1075" s="29"/>
    </row>
    <row r="1076" spans="8:8" x14ac:dyDescent="0.15">
      <c r="H1076" s="29"/>
    </row>
    <row r="1077" spans="8:8" x14ac:dyDescent="0.15">
      <c r="H1077" s="29"/>
    </row>
    <row r="1078" spans="8:8" x14ac:dyDescent="0.15">
      <c r="H1078" s="29"/>
    </row>
    <row r="1079" spans="8:8" x14ac:dyDescent="0.15">
      <c r="H1079" s="29"/>
    </row>
    <row r="1080" spans="8:8" x14ac:dyDescent="0.15">
      <c r="H1080" s="29"/>
    </row>
    <row r="1081" spans="8:8" x14ac:dyDescent="0.15">
      <c r="H1081" s="29"/>
    </row>
    <row r="1082" spans="8:8" x14ac:dyDescent="0.15">
      <c r="H1082" s="29"/>
    </row>
    <row r="1083" spans="8:8" x14ac:dyDescent="0.15">
      <c r="H1083" s="29"/>
    </row>
    <row r="1084" spans="8:8" x14ac:dyDescent="0.15">
      <c r="H1084" s="29"/>
    </row>
    <row r="1085" spans="8:8" x14ac:dyDescent="0.15">
      <c r="H1085" s="29"/>
    </row>
    <row r="1086" spans="8:8" x14ac:dyDescent="0.15">
      <c r="H1086" s="29"/>
    </row>
    <row r="1087" spans="8:8" x14ac:dyDescent="0.15">
      <c r="H1087" s="29"/>
    </row>
    <row r="1088" spans="8:8" x14ac:dyDescent="0.15">
      <c r="H1088" s="29"/>
    </row>
    <row r="1089" spans="8:8" x14ac:dyDescent="0.15">
      <c r="H1089" s="29"/>
    </row>
    <row r="1090" spans="8:8" x14ac:dyDescent="0.15">
      <c r="H1090" s="29"/>
    </row>
    <row r="1091" spans="8:8" x14ac:dyDescent="0.15">
      <c r="H1091" s="29"/>
    </row>
    <row r="1092" spans="8:8" x14ac:dyDescent="0.15">
      <c r="H1092" s="29"/>
    </row>
    <row r="1093" spans="8:8" x14ac:dyDescent="0.15">
      <c r="H1093" s="29"/>
    </row>
    <row r="1094" spans="8:8" x14ac:dyDescent="0.15">
      <c r="H1094" s="29"/>
    </row>
    <row r="1095" spans="8:8" x14ac:dyDescent="0.15">
      <c r="H1095" s="29"/>
    </row>
    <row r="1096" spans="8:8" x14ac:dyDescent="0.15">
      <c r="H1096" s="29"/>
    </row>
    <row r="1097" spans="8:8" x14ac:dyDescent="0.15">
      <c r="H1097" s="29"/>
    </row>
    <row r="1098" spans="8:8" x14ac:dyDescent="0.15">
      <c r="H1098" s="29"/>
    </row>
    <row r="1099" spans="8:8" x14ac:dyDescent="0.15">
      <c r="H1099" s="29"/>
    </row>
    <row r="1100" spans="8:8" x14ac:dyDescent="0.15">
      <c r="H1100" s="29"/>
    </row>
    <row r="1101" spans="8:8" x14ac:dyDescent="0.15">
      <c r="H1101" s="29"/>
    </row>
    <row r="1102" spans="8:8" x14ac:dyDescent="0.15">
      <c r="H1102" s="29"/>
    </row>
    <row r="1103" spans="8:8" x14ac:dyDescent="0.15">
      <c r="H1103" s="29"/>
    </row>
    <row r="1104" spans="8:8" x14ac:dyDescent="0.15">
      <c r="H1104" s="29"/>
    </row>
    <row r="1105" spans="8:8" x14ac:dyDescent="0.15">
      <c r="H1105" s="29"/>
    </row>
    <row r="1106" spans="8:8" x14ac:dyDescent="0.15">
      <c r="H1106" s="29"/>
    </row>
    <row r="1107" spans="8:8" x14ac:dyDescent="0.15">
      <c r="H1107" s="29"/>
    </row>
    <row r="1108" spans="8:8" x14ac:dyDescent="0.15">
      <c r="H1108" s="29"/>
    </row>
    <row r="1109" spans="8:8" x14ac:dyDescent="0.15">
      <c r="H1109" s="29"/>
    </row>
    <row r="1110" spans="8:8" x14ac:dyDescent="0.15">
      <c r="H1110" s="29"/>
    </row>
    <row r="1111" spans="8:8" x14ac:dyDescent="0.15">
      <c r="H1111" s="29"/>
    </row>
    <row r="1112" spans="8:8" x14ac:dyDescent="0.15">
      <c r="H1112" s="29"/>
    </row>
    <row r="1113" spans="8:8" x14ac:dyDescent="0.15">
      <c r="H1113" s="29"/>
    </row>
    <row r="1114" spans="8:8" x14ac:dyDescent="0.15">
      <c r="H1114" s="29"/>
    </row>
    <row r="1115" spans="8:8" x14ac:dyDescent="0.15">
      <c r="H1115" s="29"/>
    </row>
    <row r="1116" spans="8:8" x14ac:dyDescent="0.15">
      <c r="H1116" s="29"/>
    </row>
    <row r="1117" spans="8:8" x14ac:dyDescent="0.15">
      <c r="H1117" s="29"/>
    </row>
    <row r="1118" spans="8:8" x14ac:dyDescent="0.15">
      <c r="H1118" s="29"/>
    </row>
    <row r="1119" spans="8:8" x14ac:dyDescent="0.15">
      <c r="H1119" s="29"/>
    </row>
    <row r="1120" spans="8:8" x14ac:dyDescent="0.15">
      <c r="H1120" s="29"/>
    </row>
    <row r="1121" spans="8:8" x14ac:dyDescent="0.15">
      <c r="H1121" s="29"/>
    </row>
    <row r="1122" spans="8:8" x14ac:dyDescent="0.15">
      <c r="H1122" s="29"/>
    </row>
    <row r="1123" spans="8:8" x14ac:dyDescent="0.15">
      <c r="H1123" s="29"/>
    </row>
    <row r="1124" spans="8:8" x14ac:dyDescent="0.15">
      <c r="H1124" s="29"/>
    </row>
    <row r="1125" spans="8:8" x14ac:dyDescent="0.15">
      <c r="H1125" s="29"/>
    </row>
    <row r="1126" spans="8:8" x14ac:dyDescent="0.15">
      <c r="H1126" s="29"/>
    </row>
    <row r="1127" spans="8:8" x14ac:dyDescent="0.15">
      <c r="H1127" s="29"/>
    </row>
    <row r="1128" spans="8:8" x14ac:dyDescent="0.15">
      <c r="H1128" s="29"/>
    </row>
    <row r="1129" spans="8:8" x14ac:dyDescent="0.15">
      <c r="H1129" s="29"/>
    </row>
    <row r="1130" spans="8:8" x14ac:dyDescent="0.15">
      <c r="H1130" s="29"/>
    </row>
    <row r="1131" spans="8:8" x14ac:dyDescent="0.15">
      <c r="H1131" s="29"/>
    </row>
    <row r="1132" spans="8:8" x14ac:dyDescent="0.15">
      <c r="H1132" s="29"/>
    </row>
    <row r="1133" spans="8:8" x14ac:dyDescent="0.15">
      <c r="H1133" s="29"/>
    </row>
    <row r="1134" spans="8:8" x14ac:dyDescent="0.15">
      <c r="H1134" s="29"/>
    </row>
    <row r="1135" spans="8:8" x14ac:dyDescent="0.15">
      <c r="H1135" s="29"/>
    </row>
    <row r="1136" spans="8:8" x14ac:dyDescent="0.15">
      <c r="H1136" s="29"/>
    </row>
    <row r="1137" spans="8:8" x14ac:dyDescent="0.15">
      <c r="H1137" s="29"/>
    </row>
    <row r="1138" spans="8:8" x14ac:dyDescent="0.15">
      <c r="H1138" s="29"/>
    </row>
    <row r="1139" spans="8:8" x14ac:dyDescent="0.15">
      <c r="H1139" s="29"/>
    </row>
    <row r="1140" spans="8:8" x14ac:dyDescent="0.15">
      <c r="H1140" s="29"/>
    </row>
    <row r="1141" spans="8:8" x14ac:dyDescent="0.15">
      <c r="H1141" s="29"/>
    </row>
    <row r="1142" spans="8:8" x14ac:dyDescent="0.15">
      <c r="H1142" s="29"/>
    </row>
    <row r="1143" spans="8:8" x14ac:dyDescent="0.15">
      <c r="H1143" s="29"/>
    </row>
    <row r="1144" spans="8:8" x14ac:dyDescent="0.15">
      <c r="H1144" s="29"/>
    </row>
    <row r="1145" spans="8:8" x14ac:dyDescent="0.15">
      <c r="H1145" s="29"/>
    </row>
    <row r="1146" spans="8:8" x14ac:dyDescent="0.15">
      <c r="H1146" s="29"/>
    </row>
    <row r="1147" spans="8:8" x14ac:dyDescent="0.15">
      <c r="H1147" s="29"/>
    </row>
    <row r="1148" spans="8:8" x14ac:dyDescent="0.15">
      <c r="H1148" s="29"/>
    </row>
    <row r="1149" spans="8:8" x14ac:dyDescent="0.15">
      <c r="H1149" s="29"/>
    </row>
    <row r="1150" spans="8:8" x14ac:dyDescent="0.15">
      <c r="H1150" s="29"/>
    </row>
    <row r="1151" spans="8:8" x14ac:dyDescent="0.15">
      <c r="H1151" s="29"/>
    </row>
    <row r="1152" spans="8:8" x14ac:dyDescent="0.15">
      <c r="H1152" s="29"/>
    </row>
    <row r="1153" spans="8:8" x14ac:dyDescent="0.15">
      <c r="H1153" s="29"/>
    </row>
    <row r="1154" spans="8:8" x14ac:dyDescent="0.15">
      <c r="H1154" s="29"/>
    </row>
    <row r="1155" spans="8:8" x14ac:dyDescent="0.15">
      <c r="H1155" s="29"/>
    </row>
    <row r="1156" spans="8:8" x14ac:dyDescent="0.15">
      <c r="H1156" s="29"/>
    </row>
    <row r="1157" spans="8:8" x14ac:dyDescent="0.15">
      <c r="H1157" s="29"/>
    </row>
    <row r="1158" spans="8:8" x14ac:dyDescent="0.15">
      <c r="H1158" s="29"/>
    </row>
    <row r="1159" spans="8:8" x14ac:dyDescent="0.15">
      <c r="H1159" s="29"/>
    </row>
    <row r="1160" spans="8:8" x14ac:dyDescent="0.15">
      <c r="H1160" s="29"/>
    </row>
    <row r="1161" spans="8:8" x14ac:dyDescent="0.15">
      <c r="H1161" s="29"/>
    </row>
    <row r="1162" spans="8:8" x14ac:dyDescent="0.15">
      <c r="H1162" s="29"/>
    </row>
    <row r="1163" spans="8:8" x14ac:dyDescent="0.15">
      <c r="H1163" s="29"/>
    </row>
    <row r="1164" spans="8:8" x14ac:dyDescent="0.15">
      <c r="H1164" s="29"/>
    </row>
    <row r="1165" spans="8:8" x14ac:dyDescent="0.15">
      <c r="H1165" s="29"/>
    </row>
    <row r="1166" spans="8:8" x14ac:dyDescent="0.15">
      <c r="H1166" s="29"/>
    </row>
    <row r="1167" spans="8:8" x14ac:dyDescent="0.15">
      <c r="H1167" s="29"/>
    </row>
    <row r="1168" spans="8:8" x14ac:dyDescent="0.15">
      <c r="H1168" s="29"/>
    </row>
    <row r="1169" spans="8:8" x14ac:dyDescent="0.15">
      <c r="H1169" s="29"/>
    </row>
    <row r="1170" spans="8:8" x14ac:dyDescent="0.15">
      <c r="H1170" s="29"/>
    </row>
    <row r="1171" spans="8:8" x14ac:dyDescent="0.15">
      <c r="H1171" s="29"/>
    </row>
    <row r="1172" spans="8:8" x14ac:dyDescent="0.15">
      <c r="H1172" s="29"/>
    </row>
    <row r="1173" spans="8:8" x14ac:dyDescent="0.15">
      <c r="H1173" s="29"/>
    </row>
    <row r="1174" spans="8:8" x14ac:dyDescent="0.15">
      <c r="H1174" s="29"/>
    </row>
    <row r="1175" spans="8:8" x14ac:dyDescent="0.15">
      <c r="H1175" s="29"/>
    </row>
    <row r="1176" spans="8:8" x14ac:dyDescent="0.15">
      <c r="H1176" s="29"/>
    </row>
    <row r="1177" spans="8:8" x14ac:dyDescent="0.15">
      <c r="H1177" s="29"/>
    </row>
    <row r="1178" spans="8:8" x14ac:dyDescent="0.15">
      <c r="H1178" s="29"/>
    </row>
    <row r="1179" spans="8:8" x14ac:dyDescent="0.15">
      <c r="H1179" s="29"/>
    </row>
    <row r="1180" spans="8:8" x14ac:dyDescent="0.15">
      <c r="H1180" s="29"/>
    </row>
    <row r="1181" spans="8:8" x14ac:dyDescent="0.15">
      <c r="H1181" s="29"/>
    </row>
    <row r="1182" spans="8:8" x14ac:dyDescent="0.15">
      <c r="H1182" s="29"/>
    </row>
    <row r="1183" spans="8:8" x14ac:dyDescent="0.15">
      <c r="H1183" s="29"/>
    </row>
    <row r="1184" spans="8:8" x14ac:dyDescent="0.15">
      <c r="H1184" s="29"/>
    </row>
    <row r="1185" spans="8:8" x14ac:dyDescent="0.15">
      <c r="H1185" s="29"/>
    </row>
    <row r="1186" spans="8:8" x14ac:dyDescent="0.15">
      <c r="H1186" s="29"/>
    </row>
    <row r="1187" spans="8:8" x14ac:dyDescent="0.15">
      <c r="H1187" s="29"/>
    </row>
    <row r="1188" spans="8:8" x14ac:dyDescent="0.15">
      <c r="H1188" s="29"/>
    </row>
    <row r="1189" spans="8:8" x14ac:dyDescent="0.15">
      <c r="H1189" s="29"/>
    </row>
    <row r="1190" spans="8:8" x14ac:dyDescent="0.15">
      <c r="H1190" s="29"/>
    </row>
    <row r="1191" spans="8:8" x14ac:dyDescent="0.15">
      <c r="H1191" s="29"/>
    </row>
    <row r="1192" spans="8:8" x14ac:dyDescent="0.15">
      <c r="H1192" s="29"/>
    </row>
    <row r="1193" spans="8:8" x14ac:dyDescent="0.15">
      <c r="H1193" s="29"/>
    </row>
    <row r="1194" spans="8:8" x14ac:dyDescent="0.15">
      <c r="H1194" s="29"/>
    </row>
    <row r="1195" spans="8:8" x14ac:dyDescent="0.15">
      <c r="H1195" s="29"/>
    </row>
    <row r="1196" spans="8:8" x14ac:dyDescent="0.15">
      <c r="H1196" s="29"/>
    </row>
    <row r="1197" spans="8:8" x14ac:dyDescent="0.15">
      <c r="H1197" s="29"/>
    </row>
    <row r="1198" spans="8:8" x14ac:dyDescent="0.15">
      <c r="H1198" s="29"/>
    </row>
    <row r="1199" spans="8:8" x14ac:dyDescent="0.15">
      <c r="H1199" s="29"/>
    </row>
    <row r="1200" spans="8:8" x14ac:dyDescent="0.15">
      <c r="H1200" s="29"/>
    </row>
    <row r="1201" spans="8:8" x14ac:dyDescent="0.15">
      <c r="H1201" s="29"/>
    </row>
    <row r="1202" spans="8:8" x14ac:dyDescent="0.15">
      <c r="H1202" s="29"/>
    </row>
    <row r="1203" spans="8:8" x14ac:dyDescent="0.15">
      <c r="H1203" s="29"/>
    </row>
    <row r="1204" spans="8:8" x14ac:dyDescent="0.15">
      <c r="H1204" s="29"/>
    </row>
    <row r="1205" spans="8:8" x14ac:dyDescent="0.15">
      <c r="H1205" s="29"/>
    </row>
    <row r="1206" spans="8:8" x14ac:dyDescent="0.15">
      <c r="H1206" s="29"/>
    </row>
    <row r="1207" spans="8:8" x14ac:dyDescent="0.15">
      <c r="H1207" s="29"/>
    </row>
    <row r="1208" spans="8:8" x14ac:dyDescent="0.15">
      <c r="H1208" s="29"/>
    </row>
    <row r="1209" spans="8:8" x14ac:dyDescent="0.15">
      <c r="H1209" s="29"/>
    </row>
    <row r="1210" spans="8:8" x14ac:dyDescent="0.15">
      <c r="H1210" s="29"/>
    </row>
    <row r="1211" spans="8:8" x14ac:dyDescent="0.15">
      <c r="H1211" s="29"/>
    </row>
    <row r="1212" spans="8:8" x14ac:dyDescent="0.15">
      <c r="H1212" s="29"/>
    </row>
    <row r="1213" spans="8:8" x14ac:dyDescent="0.15">
      <c r="H1213" s="29"/>
    </row>
    <row r="1214" spans="8:8" x14ac:dyDescent="0.15">
      <c r="H1214" s="29"/>
    </row>
    <row r="1215" spans="8:8" x14ac:dyDescent="0.15">
      <c r="H1215" s="29"/>
    </row>
    <row r="1216" spans="8:8" x14ac:dyDescent="0.15">
      <c r="H1216" s="29"/>
    </row>
    <row r="1217" spans="8:8" x14ac:dyDescent="0.15">
      <c r="H1217" s="29"/>
    </row>
    <row r="1218" spans="8:8" x14ac:dyDescent="0.15">
      <c r="H1218" s="29"/>
    </row>
    <row r="1219" spans="8:8" x14ac:dyDescent="0.15">
      <c r="H1219" s="29"/>
    </row>
    <row r="1220" spans="8:8" x14ac:dyDescent="0.15">
      <c r="H1220" s="29"/>
    </row>
    <row r="1221" spans="8:8" x14ac:dyDescent="0.15">
      <c r="H1221" s="29"/>
    </row>
    <row r="1222" spans="8:8" x14ac:dyDescent="0.15">
      <c r="H1222" s="29"/>
    </row>
    <row r="1223" spans="8:8" x14ac:dyDescent="0.15">
      <c r="H1223" s="29"/>
    </row>
    <row r="1224" spans="8:8" x14ac:dyDescent="0.15">
      <c r="H1224" s="29"/>
    </row>
    <row r="1225" spans="8:8" x14ac:dyDescent="0.15">
      <c r="H1225" s="29"/>
    </row>
    <row r="1226" spans="8:8" x14ac:dyDescent="0.15">
      <c r="H1226" s="29"/>
    </row>
    <row r="1227" spans="8:8" x14ac:dyDescent="0.15">
      <c r="H1227" s="29"/>
    </row>
    <row r="1228" spans="8:8" x14ac:dyDescent="0.15">
      <c r="H1228" s="29"/>
    </row>
    <row r="1229" spans="8:8" x14ac:dyDescent="0.15">
      <c r="H1229" s="29"/>
    </row>
    <row r="1230" spans="8:8" x14ac:dyDescent="0.15">
      <c r="H1230" s="29"/>
    </row>
    <row r="1231" spans="8:8" x14ac:dyDescent="0.15">
      <c r="H1231" s="29"/>
    </row>
    <row r="1232" spans="8:8" x14ac:dyDescent="0.15">
      <c r="H1232" s="29"/>
    </row>
    <row r="1233" spans="8:8" x14ac:dyDescent="0.15">
      <c r="H1233" s="29"/>
    </row>
    <row r="1234" spans="8:8" x14ac:dyDescent="0.15">
      <c r="H1234" s="29"/>
    </row>
    <row r="1235" spans="8:8" x14ac:dyDescent="0.15">
      <c r="H1235" s="29"/>
    </row>
    <row r="1236" spans="8:8" x14ac:dyDescent="0.15">
      <c r="H1236" s="29"/>
    </row>
    <row r="1237" spans="8:8" x14ac:dyDescent="0.15">
      <c r="H1237" s="29"/>
    </row>
    <row r="1238" spans="8:8" x14ac:dyDescent="0.15">
      <c r="H1238" s="29"/>
    </row>
    <row r="1239" spans="8:8" x14ac:dyDescent="0.15">
      <c r="H1239" s="29"/>
    </row>
    <row r="1240" spans="8:8" x14ac:dyDescent="0.15">
      <c r="H1240" s="29"/>
    </row>
    <row r="1241" spans="8:8" x14ac:dyDescent="0.15">
      <c r="H1241" s="29"/>
    </row>
    <row r="1242" spans="8:8" x14ac:dyDescent="0.15">
      <c r="H1242" s="29"/>
    </row>
    <row r="1243" spans="8:8" x14ac:dyDescent="0.15">
      <c r="H1243" s="29"/>
    </row>
    <row r="1244" spans="8:8" x14ac:dyDescent="0.15">
      <c r="H1244" s="29"/>
    </row>
    <row r="1245" spans="8:8" x14ac:dyDescent="0.15">
      <c r="H1245" s="29"/>
    </row>
    <row r="1246" spans="8:8" x14ac:dyDescent="0.15">
      <c r="H1246" s="29"/>
    </row>
    <row r="1247" spans="8:8" x14ac:dyDescent="0.15">
      <c r="H1247" s="29"/>
    </row>
    <row r="1248" spans="8:8" x14ac:dyDescent="0.15">
      <c r="H1248" s="29"/>
    </row>
    <row r="1249" spans="8:8" x14ac:dyDescent="0.15">
      <c r="H1249" s="29"/>
    </row>
    <row r="1250" spans="8:8" x14ac:dyDescent="0.15">
      <c r="H1250" s="29"/>
    </row>
    <row r="1251" spans="8:8" x14ac:dyDescent="0.15">
      <c r="H1251" s="29"/>
    </row>
    <row r="1252" spans="8:8" x14ac:dyDescent="0.15">
      <c r="H1252" s="29"/>
    </row>
    <row r="1253" spans="8:8" x14ac:dyDescent="0.15">
      <c r="H1253" s="29"/>
    </row>
    <row r="1254" spans="8:8" x14ac:dyDescent="0.15">
      <c r="H1254" s="29"/>
    </row>
    <row r="1255" spans="8:8" x14ac:dyDescent="0.15">
      <c r="H1255" s="29"/>
    </row>
    <row r="1256" spans="8:8" x14ac:dyDescent="0.15">
      <c r="H1256" s="29"/>
    </row>
    <row r="1257" spans="8:8" x14ac:dyDescent="0.15">
      <c r="H1257" s="29"/>
    </row>
    <row r="1258" spans="8:8" x14ac:dyDescent="0.15">
      <c r="H1258" s="29"/>
    </row>
    <row r="1259" spans="8:8" x14ac:dyDescent="0.15">
      <c r="H1259" s="29"/>
    </row>
    <row r="1260" spans="8:8" x14ac:dyDescent="0.15">
      <c r="H1260" s="29"/>
    </row>
    <row r="1261" spans="8:8" x14ac:dyDescent="0.15">
      <c r="H1261" s="29"/>
    </row>
    <row r="1262" spans="8:8" x14ac:dyDescent="0.15">
      <c r="H1262" s="29"/>
    </row>
    <row r="1263" spans="8:8" x14ac:dyDescent="0.15">
      <c r="H1263" s="29"/>
    </row>
    <row r="1264" spans="8:8" x14ac:dyDescent="0.15">
      <c r="H1264" s="29"/>
    </row>
    <row r="1265" spans="8:8" x14ac:dyDescent="0.15">
      <c r="H1265" s="29"/>
    </row>
    <row r="1266" spans="8:8" x14ac:dyDescent="0.15">
      <c r="H1266" s="29"/>
    </row>
    <row r="1267" spans="8:8" x14ac:dyDescent="0.15">
      <c r="H1267" s="29"/>
    </row>
    <row r="1268" spans="8:8" x14ac:dyDescent="0.15">
      <c r="H1268" s="29"/>
    </row>
    <row r="1269" spans="8:8" x14ac:dyDescent="0.15">
      <c r="H1269" s="29"/>
    </row>
    <row r="1270" spans="8:8" x14ac:dyDescent="0.15">
      <c r="H1270" s="29"/>
    </row>
    <row r="1271" spans="8:8" x14ac:dyDescent="0.15">
      <c r="H1271" s="29"/>
    </row>
    <row r="1272" spans="8:8" x14ac:dyDescent="0.15">
      <c r="H1272" s="29"/>
    </row>
    <row r="1273" spans="8:8" x14ac:dyDescent="0.15">
      <c r="H1273" s="29"/>
    </row>
    <row r="1274" spans="8:8" x14ac:dyDescent="0.15">
      <c r="H1274" s="29"/>
    </row>
    <row r="1275" spans="8:8" x14ac:dyDescent="0.15">
      <c r="H1275" s="29"/>
    </row>
    <row r="1276" spans="8:8" x14ac:dyDescent="0.15">
      <c r="H1276" s="29"/>
    </row>
    <row r="1277" spans="8:8" x14ac:dyDescent="0.15">
      <c r="H1277" s="29"/>
    </row>
    <row r="1278" spans="8:8" x14ac:dyDescent="0.15">
      <c r="H1278" s="29"/>
    </row>
    <row r="1279" spans="8:8" x14ac:dyDescent="0.15">
      <c r="H1279" s="29"/>
    </row>
    <row r="1280" spans="8:8" x14ac:dyDescent="0.15">
      <c r="H1280" s="29"/>
    </row>
    <row r="1281" spans="8:8" x14ac:dyDescent="0.15">
      <c r="H1281" s="29"/>
    </row>
    <row r="1282" spans="8:8" x14ac:dyDescent="0.15">
      <c r="H1282" s="29"/>
    </row>
    <row r="1283" spans="8:8" x14ac:dyDescent="0.15">
      <c r="H1283" s="29"/>
    </row>
    <row r="1284" spans="8:8" x14ac:dyDescent="0.15">
      <c r="H1284" s="29"/>
    </row>
    <row r="1285" spans="8:8" x14ac:dyDescent="0.15">
      <c r="H1285" s="29"/>
    </row>
    <row r="1286" spans="8:8" x14ac:dyDescent="0.15">
      <c r="H1286" s="29"/>
    </row>
    <row r="1287" spans="8:8" x14ac:dyDescent="0.15">
      <c r="H1287" s="29"/>
    </row>
    <row r="1288" spans="8:8" x14ac:dyDescent="0.15">
      <c r="H1288" s="29"/>
    </row>
    <row r="1289" spans="8:8" x14ac:dyDescent="0.15">
      <c r="H1289" s="29"/>
    </row>
    <row r="1290" spans="8:8" x14ac:dyDescent="0.15">
      <c r="H1290" s="29"/>
    </row>
    <row r="1291" spans="8:8" x14ac:dyDescent="0.15">
      <c r="H1291" s="29"/>
    </row>
    <row r="1292" spans="8:8" x14ac:dyDescent="0.15">
      <c r="H1292" s="29"/>
    </row>
    <row r="1293" spans="8:8" x14ac:dyDescent="0.15">
      <c r="H1293" s="29"/>
    </row>
    <row r="1294" spans="8:8" x14ac:dyDescent="0.15">
      <c r="H1294" s="29"/>
    </row>
    <row r="1295" spans="8:8" x14ac:dyDescent="0.15">
      <c r="H1295" s="29"/>
    </row>
    <row r="1296" spans="8:8" x14ac:dyDescent="0.15">
      <c r="H1296" s="29"/>
    </row>
    <row r="1297" spans="8:8" x14ac:dyDescent="0.15">
      <c r="H1297" s="29"/>
    </row>
    <row r="1298" spans="8:8" x14ac:dyDescent="0.15">
      <c r="H1298" s="29"/>
    </row>
    <row r="1299" spans="8:8" x14ac:dyDescent="0.15">
      <c r="H1299" s="29"/>
    </row>
    <row r="1300" spans="8:8" x14ac:dyDescent="0.15">
      <c r="H1300" s="29"/>
    </row>
    <row r="1301" spans="8:8" x14ac:dyDescent="0.15">
      <c r="H1301" s="29"/>
    </row>
    <row r="1302" spans="8:8" x14ac:dyDescent="0.15">
      <c r="H1302" s="29"/>
    </row>
    <row r="1303" spans="8:8" x14ac:dyDescent="0.15">
      <c r="H1303" s="29"/>
    </row>
    <row r="1304" spans="8:8" x14ac:dyDescent="0.15">
      <c r="H1304" s="29"/>
    </row>
    <row r="1305" spans="8:8" x14ac:dyDescent="0.15">
      <c r="H1305" s="29"/>
    </row>
    <row r="1306" spans="8:8" x14ac:dyDescent="0.15">
      <c r="H1306" s="29"/>
    </row>
    <row r="1307" spans="8:8" x14ac:dyDescent="0.15">
      <c r="H1307" s="29"/>
    </row>
    <row r="1308" spans="8:8" x14ac:dyDescent="0.15">
      <c r="H1308" s="29"/>
    </row>
    <row r="1309" spans="8:8" x14ac:dyDescent="0.15">
      <c r="H1309" s="29"/>
    </row>
    <row r="1310" spans="8:8" x14ac:dyDescent="0.15">
      <c r="H1310" s="29"/>
    </row>
    <row r="1311" spans="8:8" x14ac:dyDescent="0.15">
      <c r="H1311" s="29"/>
    </row>
    <row r="1312" spans="8:8" x14ac:dyDescent="0.15">
      <c r="H1312" s="29"/>
    </row>
    <row r="1313" spans="8:8" x14ac:dyDescent="0.15">
      <c r="H1313" s="29"/>
    </row>
    <row r="1314" spans="8:8" x14ac:dyDescent="0.15">
      <c r="H1314" s="29"/>
    </row>
    <row r="1315" spans="8:8" x14ac:dyDescent="0.15">
      <c r="H1315" s="29"/>
    </row>
    <row r="1316" spans="8:8" x14ac:dyDescent="0.15">
      <c r="H1316" s="29"/>
    </row>
    <row r="1317" spans="8:8" x14ac:dyDescent="0.15">
      <c r="H1317" s="29"/>
    </row>
  </sheetData>
  <autoFilter ref="A1:BA130" xr:uid="{00000000-0009-0000-0000-000006000000}"/>
  <phoneticPr fontId="13"/>
  <dataValidations count="25">
    <dataValidation type="list" allowBlank="1" showInputMessage="1" showErrorMessage="1" sqref="F2:F130" xr:uid="{EBE450DA-0192-45CC-AA89-D59A9319BF2B}">
      <formula1>$AH$2:$AH$11</formula1>
    </dataValidation>
    <dataValidation allowBlank="1" showInputMessage="1" showErrorMessage="1" sqref="B2" xr:uid="{FDD4A9D1-4F48-4CC0-A00E-CC36711D044A}"/>
    <dataValidation type="list" allowBlank="1" showInputMessage="1" showErrorMessage="1" sqref="E2:E130" xr:uid="{E0E1C4C4-04E9-4A16-A5B8-8514A034C641}">
      <formula1>$AG$2:$AG$11</formula1>
    </dataValidation>
    <dataValidation type="list" allowBlank="1" showInputMessage="1" showErrorMessage="1" sqref="J2:J130" xr:uid="{1212FC01-D035-4FCD-876D-E7C8C4C74681}">
      <formula1>$AP$2:$AP$29</formula1>
    </dataValidation>
    <dataValidation type="list" allowBlank="1" showInputMessage="1" showErrorMessage="1" sqref="K2:K130" xr:uid="{9141A876-4087-4C0B-9DFE-354624C8B638}">
      <formula1>$AR$2:$AR$28</formula1>
    </dataValidation>
    <dataValidation type="list" allowBlank="1" showInputMessage="1" showErrorMessage="1" sqref="K131:K1000" xr:uid="{BE6D0FB7-3F72-40CB-A020-3421EA70C3FD}">
      <formula1>$AR$2:$AR$25</formula1>
    </dataValidation>
    <dataValidation type="list" allowBlank="1" showInputMessage="1" showErrorMessage="1" sqref="J131:J1000" xr:uid="{1E3761DE-F6CD-4748-94AB-42B36C5EE36B}">
      <formula1>$AP$2:$AP$26</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5599C6ED-54CD-46C7-982D-FD336DE817E2}">
      <formula1>$AP$2:$AP$15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46C9C93C-9E13-4A2C-B3F7-06BDE7B32F9C}">
      <formula1>$AR$2:$AR$30</formula1>
    </dataValidation>
    <dataValidation type="list" allowBlank="1" showInputMessage="1" showErrorMessage="1" sqref="H113:H115 H119:H1000" xr:uid="{97F88105-8CF3-4DB5-B139-7CDB47139C0F}">
      <formula1>$AL$2:$AL$15</formula1>
    </dataValidation>
    <dataValidation type="list" allowBlank="1" showInputMessage="1" showErrorMessage="1" sqref="H1001:H1317 H2:H112 H116:H118" xr:uid="{8F5A06C4-D1E8-40CE-AFE9-927F038D558F}">
      <formula1>$AL$2:$AL$9</formula1>
    </dataValidation>
    <dataValidation type="list" allowBlank="1" showInputMessage="1" showErrorMessage="1" sqref="I1001:I64242" xr:uid="{C5B7D832-EBF4-48F0-9A37-061C115F47B6}">
      <formula1>$AN$2:$AN$6</formula1>
    </dataValidation>
    <dataValidation type="list" allowBlank="1" showInputMessage="1" showErrorMessage="1" sqref="Y492:AA64242" xr:uid="{6437BAF4-8C2E-48AB-8EB6-5511E3B56B90}">
      <formula1>$AV$2:$AV$26</formula1>
    </dataValidation>
    <dataValidation type="list" allowBlank="1" showInputMessage="1" showErrorMessage="1" sqref="H1318:H64242" xr:uid="{D8FEBF99-5D70-4827-9446-9F29D0CDD103}">
      <formula1>$AL$2:$AL$10</formula1>
    </dataValidation>
    <dataValidation type="list" allowBlank="1" showInputMessage="1" showErrorMessage="1" sqref="E1001:E64242" xr:uid="{6A6A30C2-22B1-4379-9B3F-374393D07373}">
      <formula1>$AG$2:$AG$9</formula1>
    </dataValidation>
    <dataValidation type="list" allowBlank="1" showInputMessage="1" showErrorMessage="1" sqref="F1001:F64242" xr:uid="{3CB6D328-C83B-4C6B-8E0E-9A2E600A27C6}">
      <formula1>$AH$2:$AH$8</formula1>
    </dataValidation>
    <dataValidation operator="equal" allowBlank="1" showInputMessage="1" showErrorMessage="1" sqref="B131:B1000" xr:uid="{D3F60D10-1EEA-44AD-B12F-C32E09E0A4AD}"/>
    <dataValidation type="list" allowBlank="1" showInputMessage="1" showErrorMessage="1" sqref="G2:G1000" xr:uid="{7C76B20F-F2F9-444D-9608-84B6AB7605B8}">
      <formula1>$AJ$2:$AJ$4</formula1>
    </dataValidation>
    <dataValidation type="list" allowBlank="1" showInputMessage="1" showErrorMessage="1" sqref="X2:X491" xr:uid="{12D1B71D-4657-458D-A052-FE36E0374BB0}">
      <formula1>$AT$2:$AT$3</formula1>
    </dataValidation>
    <dataValidation type="list" allowBlank="1" showInputMessage="1" showErrorMessage="1" sqref="A2:A1000" xr:uid="{3BFFDF15-9515-41DC-A7D9-F9D0C6250C6A}">
      <formula1>$AE$2:$AE$19</formula1>
    </dataValidation>
    <dataValidation type="list" allowBlank="1" showInputMessage="1" showErrorMessage="1" sqref="I2:I1000" xr:uid="{0F8B479D-7855-451D-B51A-E56595244C5F}">
      <formula1>$AN$5:$AN$6</formula1>
    </dataValidation>
    <dataValidation type="list" allowBlank="1" showInputMessage="1" showErrorMessage="1" sqref="Y2:AA491" xr:uid="{40F69A6F-A853-4006-B797-3315BBCBA15E}">
      <formula1>$AV$2:$AV$21</formula1>
    </dataValidation>
    <dataValidation type="decimal" allowBlank="1" showInputMessage="1" showErrorMessage="1" error="硬度を正しく入力して下さい。" sqref="O2:P491" xr:uid="{638ADC2D-1761-4379-B346-C888BAB4943C}">
      <formula1>0</formula1>
      <formula2>7</formula2>
    </dataValidation>
    <dataValidation type="list" allowBlank="1" showInputMessage="1" showErrorMessage="1" sqref="E131:E1000" xr:uid="{6DC100E0-ADE6-49E3-936F-1515419C210C}">
      <formula1>$AG$2:$AG$10</formula1>
    </dataValidation>
    <dataValidation type="list" allowBlank="1" showInputMessage="1" showErrorMessage="1" sqref="F131:F1000" xr:uid="{CBC48F5A-6476-4E14-A4F3-27D7245E5393}">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5E0-5B6F-4293-B5AB-0F3872A78D03}">
  <dimension ref="A1:BA151"/>
  <sheetViews>
    <sheetView tabSelected="1"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1" bestFit="1" customWidth="1"/>
    <col min="2" max="2" width="8.5" style="1" bestFit="1" customWidth="1"/>
    <col min="3" max="3" width="9.25" style="1" bestFit="1" customWidth="1"/>
    <col min="4" max="4" width="10.25" style="1" bestFit="1" customWidth="1"/>
    <col min="5" max="5" width="10.875" style="1" bestFit="1" customWidth="1"/>
    <col min="6" max="6" width="18.875" style="1" bestFit="1" customWidth="1"/>
    <col min="7" max="8" width="9" style="1"/>
    <col min="9" max="9" width="9.375" style="1" bestFit="1" customWidth="1"/>
    <col min="10" max="10" width="11.25" style="1" bestFit="1" customWidth="1"/>
    <col min="11" max="11" width="9" style="1"/>
    <col min="12" max="12" width="9.375" style="1" bestFit="1" customWidth="1"/>
    <col min="13" max="13" width="10.875" style="1" bestFit="1" customWidth="1"/>
    <col min="14" max="14" width="11.125" style="1" bestFit="1" customWidth="1"/>
    <col min="15" max="16" width="9" style="1"/>
    <col min="17" max="17" width="9" style="2"/>
    <col min="18" max="19" width="9" style="1"/>
    <col min="20" max="20" width="9" style="2"/>
    <col min="21" max="21" width="9" style="1"/>
    <col min="22" max="22" width="14.25" style="2" customWidth="1"/>
    <col min="23" max="23" width="9" style="1"/>
    <col min="24" max="24" width="9.625" style="1" customWidth="1"/>
    <col min="25" max="26" width="9" style="1"/>
    <col min="27" max="27" width="12.125" style="1" customWidth="1"/>
    <col min="28" max="32" width="9" style="1"/>
    <col min="33" max="33" width="15.125" style="1" bestFit="1" customWidth="1"/>
    <col min="34" max="34" width="19.625" style="1" bestFit="1" customWidth="1"/>
    <col min="35" max="16384" width="9" style="1"/>
  </cols>
  <sheetData>
    <row r="1" spans="1:53" ht="45" x14ac:dyDescent="0.15">
      <c r="A1" s="3" t="s">
        <v>0</v>
      </c>
      <c r="B1" s="70" t="s">
        <v>217</v>
      </c>
      <c r="C1" s="70" t="s">
        <v>218</v>
      </c>
      <c r="D1" s="71" t="s">
        <v>3</v>
      </c>
      <c r="E1" s="4" t="s">
        <v>4</v>
      </c>
      <c r="F1" s="4" t="s">
        <v>5</v>
      </c>
      <c r="G1" s="4" t="s">
        <v>6</v>
      </c>
      <c r="H1" s="4" t="s">
        <v>7</v>
      </c>
      <c r="I1" s="4" t="s">
        <v>8</v>
      </c>
      <c r="J1" s="4" t="s">
        <v>9</v>
      </c>
      <c r="K1" s="4" t="s">
        <v>10</v>
      </c>
      <c r="L1" s="71" t="s">
        <v>219</v>
      </c>
      <c r="M1" s="71" t="s">
        <v>220</v>
      </c>
      <c r="N1" s="71" t="s">
        <v>13</v>
      </c>
      <c r="O1" s="71" t="s">
        <v>221</v>
      </c>
      <c r="P1" s="71" t="s">
        <v>222</v>
      </c>
      <c r="Q1" s="5" t="s">
        <v>223</v>
      </c>
      <c r="R1" s="71" t="s">
        <v>224</v>
      </c>
      <c r="S1" s="71" t="s">
        <v>225</v>
      </c>
      <c r="T1" s="5" t="s">
        <v>19</v>
      </c>
      <c r="U1" s="72" t="s">
        <v>305</v>
      </c>
      <c r="V1" s="6" t="s">
        <v>21</v>
      </c>
      <c r="W1" s="71" t="s">
        <v>226</v>
      </c>
      <c r="X1" s="4" t="s">
        <v>23</v>
      </c>
      <c r="Y1" s="4" t="s">
        <v>24</v>
      </c>
      <c r="Z1" s="4" t="s">
        <v>391</v>
      </c>
      <c r="AA1" s="8" t="s">
        <v>26</v>
      </c>
      <c r="AB1" s="73" t="s">
        <v>227</v>
      </c>
      <c r="AE1" s="74" t="s">
        <v>0</v>
      </c>
      <c r="AF1" s="75"/>
      <c r="AG1" s="131" t="s">
        <v>4</v>
      </c>
      <c r="AH1" s="74" t="s">
        <v>5</v>
      </c>
      <c r="AI1" s="75"/>
      <c r="AJ1" s="74" t="s">
        <v>6</v>
      </c>
      <c r="AK1" s="75"/>
      <c r="AL1" s="11" t="s">
        <v>7</v>
      </c>
      <c r="AM1" s="75"/>
      <c r="AN1" s="11" t="s">
        <v>8</v>
      </c>
      <c r="AO1" s="75"/>
      <c r="AP1" s="11" t="s">
        <v>28</v>
      </c>
      <c r="AQ1" s="75"/>
      <c r="AR1" s="11" t="s">
        <v>10</v>
      </c>
      <c r="AS1" s="75"/>
      <c r="AT1" s="18" t="s">
        <v>229</v>
      </c>
      <c r="AU1" s="75"/>
      <c r="AV1" s="11" t="s">
        <v>30</v>
      </c>
      <c r="AX1" s="20" t="s">
        <v>230</v>
      </c>
      <c r="AY1" s="21" t="s">
        <v>231</v>
      </c>
      <c r="AZ1" s="21" t="s">
        <v>232</v>
      </c>
      <c r="BA1" s="22" t="s">
        <v>233</v>
      </c>
    </row>
    <row r="2" spans="1:53" x14ac:dyDescent="0.15">
      <c r="A2" s="1" t="s">
        <v>53</v>
      </c>
      <c r="B2" s="1" t="s">
        <v>336</v>
      </c>
      <c r="C2" s="1">
        <v>2020</v>
      </c>
      <c r="D2" s="132" t="s">
        <v>234</v>
      </c>
      <c r="E2" s="1" t="s">
        <v>212</v>
      </c>
      <c r="F2" s="1" t="s">
        <v>392</v>
      </c>
      <c r="G2" s="1" t="s">
        <v>46</v>
      </c>
      <c r="H2" s="1" t="s">
        <v>63</v>
      </c>
      <c r="I2" s="1" t="s">
        <v>64</v>
      </c>
      <c r="J2" s="1" t="s">
        <v>40</v>
      </c>
      <c r="K2" s="1" t="s">
        <v>41</v>
      </c>
      <c r="L2" s="1">
        <v>1</v>
      </c>
      <c r="N2" s="1">
        <v>1</v>
      </c>
      <c r="O2" s="1">
        <v>0.7</v>
      </c>
      <c r="P2" s="1">
        <v>0.65</v>
      </c>
      <c r="Q2" s="7">
        <f t="shared" ref="Q2:Q82" si="0">IF(OR(O2="",P2=""),"",AVERAGE(O2,P2))</f>
        <v>0.67500000000000004</v>
      </c>
      <c r="R2" s="1">
        <v>16.100000000000001</v>
      </c>
      <c r="S2" s="1">
        <v>112.5</v>
      </c>
      <c r="T2" s="2">
        <f t="shared" ref="T2:T133" si="1">IF(H2="","",IF(OR(H2="GREEN",H2="GK"),IF(S2&gt;=$AX$2,VLOOKUP(S2,$AX$2:$AY$9,2,1),""),IF(S2&gt;=$AZ$2,VLOOKUP(S2,$AZ$2:$BA$9,2,1),"")))</f>
        <v>33</v>
      </c>
      <c r="U2" s="1">
        <v>96</v>
      </c>
      <c r="V2" s="2">
        <f t="shared" ref="V2:V133" si="2">IF(OR(N2="",U2="",T2=""),"",U2/N2*T2)</f>
        <v>3168</v>
      </c>
      <c r="W2" s="1">
        <v>8</v>
      </c>
      <c r="X2" s="1" t="s">
        <v>51</v>
      </c>
      <c r="Y2" s="1" t="s">
        <v>67</v>
      </c>
      <c r="Z2" s="1" t="s">
        <v>74</v>
      </c>
      <c r="AA2" s="1" t="s">
        <v>101</v>
      </c>
      <c r="AE2" s="77" t="s">
        <v>35</v>
      </c>
      <c r="AG2" s="133" t="s">
        <v>393</v>
      </c>
      <c r="AH2" s="19" t="s">
        <v>392</v>
      </c>
      <c r="AJ2" s="19" t="s">
        <v>37</v>
      </c>
      <c r="AL2" s="79" t="s">
        <v>238</v>
      </c>
      <c r="AN2" s="19" t="s">
        <v>39</v>
      </c>
      <c r="AP2" s="19" t="s">
        <v>40</v>
      </c>
      <c r="AR2" s="19" t="s">
        <v>239</v>
      </c>
      <c r="AT2" s="19" t="s">
        <v>42</v>
      </c>
      <c r="AV2" s="19" t="s">
        <v>43</v>
      </c>
      <c r="AX2" s="40">
        <v>1</v>
      </c>
      <c r="AY2" s="41">
        <v>50</v>
      </c>
      <c r="AZ2" s="41">
        <v>1</v>
      </c>
      <c r="BA2" s="42">
        <v>50</v>
      </c>
    </row>
    <row r="3" spans="1:53" x14ac:dyDescent="0.15">
      <c r="A3" s="1" t="s">
        <v>53</v>
      </c>
      <c r="B3" s="1" t="s">
        <v>336</v>
      </c>
      <c r="C3" s="1">
        <v>2020</v>
      </c>
      <c r="D3" s="132" t="s">
        <v>234</v>
      </c>
      <c r="E3" s="1" t="s">
        <v>212</v>
      </c>
      <c r="F3" s="1" t="s">
        <v>392</v>
      </c>
      <c r="G3" s="1" t="s">
        <v>46</v>
      </c>
      <c r="H3" s="1" t="s">
        <v>63</v>
      </c>
      <c r="I3" s="1" t="s">
        <v>64</v>
      </c>
      <c r="J3" s="1" t="s">
        <v>40</v>
      </c>
      <c r="K3" s="1" t="s">
        <v>41</v>
      </c>
      <c r="L3" s="1">
        <v>2</v>
      </c>
      <c r="N3" s="1">
        <v>1</v>
      </c>
      <c r="O3" s="1">
        <v>0.5</v>
      </c>
      <c r="P3" s="1">
        <v>0.55000000000000004</v>
      </c>
      <c r="Q3" s="7">
        <f t="shared" si="0"/>
        <v>0.52500000000000002</v>
      </c>
      <c r="R3" s="1">
        <v>16.2</v>
      </c>
      <c r="S3" s="1">
        <v>112</v>
      </c>
      <c r="T3" s="2">
        <f t="shared" si="1"/>
        <v>33</v>
      </c>
      <c r="U3" s="1">
        <v>96</v>
      </c>
      <c r="V3" s="2">
        <f t="shared" si="2"/>
        <v>3168</v>
      </c>
      <c r="W3" s="1">
        <v>8</v>
      </c>
      <c r="X3" s="1" t="s">
        <v>51</v>
      </c>
      <c r="Y3" s="1" t="s">
        <v>67</v>
      </c>
      <c r="Z3" s="1" t="s">
        <v>74</v>
      </c>
      <c r="AA3" s="1" t="s">
        <v>101</v>
      </c>
      <c r="AE3" s="9" t="s">
        <v>44</v>
      </c>
      <c r="AG3" s="134" t="s">
        <v>394</v>
      </c>
      <c r="AH3" s="19" t="s">
        <v>395</v>
      </c>
      <c r="AJ3" s="12" t="s">
        <v>46</v>
      </c>
      <c r="AL3" s="12" t="s">
        <v>241</v>
      </c>
      <c r="AN3" s="12" t="s">
        <v>48</v>
      </c>
      <c r="AP3" s="12" t="s">
        <v>49</v>
      </c>
      <c r="AR3" s="12" t="s">
        <v>50</v>
      </c>
      <c r="AT3" s="12" t="s">
        <v>51</v>
      </c>
      <c r="AV3" s="12" t="s">
        <v>52</v>
      </c>
      <c r="AX3" s="23">
        <v>72</v>
      </c>
      <c r="AY3" s="24">
        <v>46</v>
      </c>
      <c r="AZ3" s="24">
        <v>71</v>
      </c>
      <c r="BA3" s="25">
        <v>42</v>
      </c>
    </row>
    <row r="4" spans="1:53" x14ac:dyDescent="0.15">
      <c r="A4" s="1" t="s">
        <v>53</v>
      </c>
      <c r="B4" s="1" t="s">
        <v>336</v>
      </c>
      <c r="C4" s="1">
        <v>2020</v>
      </c>
      <c r="D4" s="132" t="s">
        <v>234</v>
      </c>
      <c r="E4" s="1" t="s">
        <v>212</v>
      </c>
      <c r="F4" s="1" t="s">
        <v>392</v>
      </c>
      <c r="G4" s="1" t="s">
        <v>46</v>
      </c>
      <c r="H4" s="1" t="s">
        <v>63</v>
      </c>
      <c r="I4" s="1" t="s">
        <v>64</v>
      </c>
      <c r="J4" s="1" t="s">
        <v>40</v>
      </c>
      <c r="K4" s="1" t="s">
        <v>41</v>
      </c>
      <c r="L4" s="1">
        <v>3</v>
      </c>
      <c r="N4" s="1">
        <v>1</v>
      </c>
      <c r="O4" s="1">
        <v>0.2</v>
      </c>
      <c r="P4" s="1">
        <v>0.2</v>
      </c>
      <c r="Q4" s="7">
        <f t="shared" si="0"/>
        <v>0.2</v>
      </c>
      <c r="R4" s="1">
        <v>15.5</v>
      </c>
      <c r="S4" s="1">
        <v>111.5</v>
      </c>
      <c r="T4" s="2">
        <f t="shared" si="1"/>
        <v>33</v>
      </c>
      <c r="U4" s="1">
        <v>96</v>
      </c>
      <c r="V4" s="2">
        <f t="shared" si="2"/>
        <v>3168</v>
      </c>
      <c r="W4" s="1">
        <v>8</v>
      </c>
      <c r="X4" s="1" t="s">
        <v>51</v>
      </c>
      <c r="Y4" s="1" t="s">
        <v>67</v>
      </c>
      <c r="Z4" s="1" t="s">
        <v>74</v>
      </c>
      <c r="AA4" s="1" t="s">
        <v>101</v>
      </c>
      <c r="AE4" s="9" t="s">
        <v>53</v>
      </c>
      <c r="AG4" s="134" t="s">
        <v>396</v>
      </c>
      <c r="AH4" s="19" t="s">
        <v>397</v>
      </c>
      <c r="AJ4" s="13" t="s">
        <v>55</v>
      </c>
      <c r="AL4" s="12" t="s">
        <v>244</v>
      </c>
      <c r="AN4" s="14" t="s">
        <v>245</v>
      </c>
      <c r="AP4" s="12" t="s">
        <v>246</v>
      </c>
      <c r="AR4" s="12" t="s">
        <v>247</v>
      </c>
      <c r="AT4" s="14"/>
      <c r="AV4" s="12" t="s">
        <v>60</v>
      </c>
      <c r="AX4" s="23">
        <v>75</v>
      </c>
      <c r="AY4" s="24">
        <v>42</v>
      </c>
      <c r="AZ4" s="24">
        <v>76</v>
      </c>
      <c r="BA4" s="25">
        <v>39</v>
      </c>
    </row>
    <row r="5" spans="1:53" x14ac:dyDescent="0.15">
      <c r="A5" s="1" t="s">
        <v>53</v>
      </c>
      <c r="B5" s="1" t="s">
        <v>336</v>
      </c>
      <c r="C5" s="1">
        <v>2020</v>
      </c>
      <c r="D5" s="132" t="s">
        <v>234</v>
      </c>
      <c r="E5" s="1" t="s">
        <v>212</v>
      </c>
      <c r="F5" s="1" t="s">
        <v>392</v>
      </c>
      <c r="G5" s="1" t="s">
        <v>46</v>
      </c>
      <c r="H5" s="1" t="s">
        <v>63</v>
      </c>
      <c r="I5" s="1" t="s">
        <v>64</v>
      </c>
      <c r="J5" s="1" t="s">
        <v>40</v>
      </c>
      <c r="K5" s="1" t="s">
        <v>41</v>
      </c>
      <c r="L5" s="1">
        <v>1</v>
      </c>
      <c r="N5" s="1">
        <v>4</v>
      </c>
      <c r="O5" s="1">
        <v>1</v>
      </c>
      <c r="P5" s="1">
        <v>0.7</v>
      </c>
      <c r="Q5" s="7">
        <f t="shared" si="0"/>
        <v>0.85</v>
      </c>
      <c r="R5" s="1">
        <v>14.8</v>
      </c>
      <c r="S5" s="1">
        <v>88.5</v>
      </c>
      <c r="T5" s="2">
        <f t="shared" si="1"/>
        <v>36</v>
      </c>
      <c r="U5" s="1">
        <v>296</v>
      </c>
      <c r="V5" s="2">
        <f t="shared" si="2"/>
        <v>2664</v>
      </c>
      <c r="W5" s="1">
        <v>8</v>
      </c>
      <c r="X5" s="1" t="s">
        <v>51</v>
      </c>
      <c r="Y5" s="1" t="s">
        <v>67</v>
      </c>
      <c r="Z5" s="1" t="s">
        <v>74</v>
      </c>
      <c r="AA5" s="1" t="s">
        <v>101</v>
      </c>
      <c r="AE5" s="9" t="s">
        <v>61</v>
      </c>
      <c r="AG5" s="134" t="s">
        <v>398</v>
      </c>
      <c r="AH5" s="19" t="s">
        <v>399</v>
      </c>
      <c r="AJ5" s="14"/>
      <c r="AL5" s="12" t="s">
        <v>249</v>
      </c>
      <c r="AN5" s="43" t="s">
        <v>250</v>
      </c>
      <c r="AP5" s="12" t="s">
        <v>251</v>
      </c>
      <c r="AR5" s="12" t="s">
        <v>66</v>
      </c>
      <c r="AV5" s="12" t="s">
        <v>67</v>
      </c>
      <c r="AX5" s="23">
        <v>84</v>
      </c>
      <c r="AY5" s="24">
        <v>39</v>
      </c>
      <c r="AZ5" s="24">
        <v>84</v>
      </c>
      <c r="BA5" s="25">
        <v>36</v>
      </c>
    </row>
    <row r="6" spans="1:53" x14ac:dyDescent="0.15">
      <c r="A6" s="1" t="s">
        <v>53</v>
      </c>
      <c r="B6" s="1" t="s">
        <v>336</v>
      </c>
      <c r="C6" s="1">
        <v>2020</v>
      </c>
      <c r="D6" s="132" t="s">
        <v>234</v>
      </c>
      <c r="E6" s="1" t="s">
        <v>212</v>
      </c>
      <c r="F6" s="1" t="s">
        <v>392</v>
      </c>
      <c r="G6" s="1" t="s">
        <v>46</v>
      </c>
      <c r="H6" s="1" t="s">
        <v>63</v>
      </c>
      <c r="I6" s="1" t="s">
        <v>64</v>
      </c>
      <c r="J6" s="1" t="s">
        <v>40</v>
      </c>
      <c r="K6" s="1" t="s">
        <v>41</v>
      </c>
      <c r="L6" s="1">
        <v>2</v>
      </c>
      <c r="N6" s="1">
        <v>4</v>
      </c>
      <c r="O6" s="1">
        <v>0.85</v>
      </c>
      <c r="P6" s="1">
        <v>0.75</v>
      </c>
      <c r="Q6" s="7">
        <f t="shared" si="0"/>
        <v>0.8</v>
      </c>
      <c r="R6" s="1">
        <v>14.7</v>
      </c>
      <c r="S6" s="1">
        <v>90</v>
      </c>
      <c r="T6" s="2">
        <f t="shared" si="1"/>
        <v>36</v>
      </c>
      <c r="U6" s="1">
        <v>296</v>
      </c>
      <c r="V6" s="2">
        <f t="shared" si="2"/>
        <v>2664</v>
      </c>
      <c r="W6" s="1">
        <v>8</v>
      </c>
      <c r="X6" s="1" t="s">
        <v>51</v>
      </c>
      <c r="Y6" s="1" t="s">
        <v>67</v>
      </c>
      <c r="Z6" s="1" t="s">
        <v>74</v>
      </c>
      <c r="AA6" s="1" t="s">
        <v>101</v>
      </c>
      <c r="AE6" s="9" t="s">
        <v>68</v>
      </c>
      <c r="AG6" s="134" t="s">
        <v>400</v>
      </c>
      <c r="AH6" s="19" t="s">
        <v>401</v>
      </c>
      <c r="AL6" s="12" t="s">
        <v>253</v>
      </c>
      <c r="AN6" s="43" t="s">
        <v>254</v>
      </c>
      <c r="AP6" s="12" t="s">
        <v>72</v>
      </c>
      <c r="AR6" s="12" t="s">
        <v>73</v>
      </c>
      <c r="AV6" s="12" t="s">
        <v>74</v>
      </c>
      <c r="AX6" s="23">
        <v>97</v>
      </c>
      <c r="AY6" s="24">
        <v>36</v>
      </c>
      <c r="AZ6" s="24">
        <v>99</v>
      </c>
      <c r="BA6" s="25">
        <v>33</v>
      </c>
    </row>
    <row r="7" spans="1:53" x14ac:dyDescent="0.15">
      <c r="A7" s="1" t="s">
        <v>53</v>
      </c>
      <c r="B7" s="1" t="s">
        <v>336</v>
      </c>
      <c r="C7" s="1">
        <v>2020</v>
      </c>
      <c r="D7" s="132" t="s">
        <v>234</v>
      </c>
      <c r="E7" s="1" t="s">
        <v>212</v>
      </c>
      <c r="F7" s="1" t="s">
        <v>392</v>
      </c>
      <c r="G7" s="1" t="s">
        <v>46</v>
      </c>
      <c r="H7" s="1" t="s">
        <v>63</v>
      </c>
      <c r="I7" s="1" t="s">
        <v>64</v>
      </c>
      <c r="J7" s="1" t="s">
        <v>40</v>
      </c>
      <c r="K7" s="1" t="s">
        <v>41</v>
      </c>
      <c r="L7" s="1">
        <v>3</v>
      </c>
      <c r="N7" s="1">
        <v>4</v>
      </c>
      <c r="O7" s="1">
        <v>0.8</v>
      </c>
      <c r="P7" s="1">
        <v>0.75</v>
      </c>
      <c r="Q7" s="7">
        <f t="shared" si="0"/>
        <v>0.77500000000000002</v>
      </c>
      <c r="R7" s="1">
        <v>13.8</v>
      </c>
      <c r="S7" s="1">
        <v>91</v>
      </c>
      <c r="T7" s="2">
        <f t="shared" si="1"/>
        <v>36</v>
      </c>
      <c r="U7" s="1">
        <v>296</v>
      </c>
      <c r="V7" s="2">
        <f t="shared" si="2"/>
        <v>2664</v>
      </c>
      <c r="W7" s="1">
        <v>8</v>
      </c>
      <c r="X7" s="1" t="s">
        <v>51</v>
      </c>
      <c r="Y7" s="1" t="s">
        <v>67</v>
      </c>
      <c r="Z7" s="1" t="s">
        <v>74</v>
      </c>
      <c r="AA7" s="1" t="s">
        <v>101</v>
      </c>
      <c r="AE7" s="9" t="s">
        <v>75</v>
      </c>
      <c r="AG7" s="134" t="s">
        <v>235</v>
      </c>
      <c r="AH7" s="19" t="s">
        <v>402</v>
      </c>
      <c r="AL7" s="15" t="s">
        <v>256</v>
      </c>
      <c r="AP7" s="12" t="s">
        <v>78</v>
      </c>
      <c r="AR7" s="12" t="s">
        <v>257</v>
      </c>
      <c r="AV7" s="12" t="s">
        <v>80</v>
      </c>
      <c r="AX7" s="23">
        <v>109</v>
      </c>
      <c r="AY7" s="24">
        <v>33</v>
      </c>
      <c r="AZ7" s="24">
        <v>113</v>
      </c>
      <c r="BA7" s="25">
        <v>30</v>
      </c>
    </row>
    <row r="8" spans="1:53" x14ac:dyDescent="0.15">
      <c r="A8" s="1" t="s">
        <v>53</v>
      </c>
      <c r="B8" s="1" t="s">
        <v>336</v>
      </c>
      <c r="C8" s="1">
        <v>2020</v>
      </c>
      <c r="D8" s="132" t="s">
        <v>234</v>
      </c>
      <c r="E8" s="1" t="s">
        <v>212</v>
      </c>
      <c r="F8" s="1" t="s">
        <v>392</v>
      </c>
      <c r="G8" s="1" t="s">
        <v>46</v>
      </c>
      <c r="H8" s="1" t="s">
        <v>82</v>
      </c>
      <c r="I8" s="1" t="s">
        <v>64</v>
      </c>
      <c r="J8" s="1" t="s">
        <v>40</v>
      </c>
      <c r="K8" s="1" t="s">
        <v>41</v>
      </c>
      <c r="L8" s="1">
        <v>1</v>
      </c>
      <c r="N8" s="1">
        <v>1</v>
      </c>
      <c r="O8" s="1">
        <v>0.7</v>
      </c>
      <c r="P8" s="1">
        <v>0.75</v>
      </c>
      <c r="Q8" s="7">
        <f t="shared" si="0"/>
        <v>0.72499999999999998</v>
      </c>
      <c r="R8" s="1">
        <v>15.4</v>
      </c>
      <c r="S8" s="1">
        <v>125</v>
      </c>
      <c r="T8" s="2">
        <f t="shared" si="1"/>
        <v>30</v>
      </c>
      <c r="U8" s="1">
        <v>96</v>
      </c>
      <c r="V8" s="2">
        <f t="shared" si="2"/>
        <v>2880</v>
      </c>
      <c r="W8" s="1">
        <v>8</v>
      </c>
      <c r="X8" s="1" t="s">
        <v>51</v>
      </c>
      <c r="Y8" s="1" t="s">
        <v>67</v>
      </c>
      <c r="Z8" s="1" t="s">
        <v>74</v>
      </c>
      <c r="AA8" s="1" t="s">
        <v>101</v>
      </c>
      <c r="AE8" s="9" t="s">
        <v>73</v>
      </c>
      <c r="AG8" s="134" t="s">
        <v>403</v>
      </c>
      <c r="AH8" s="19" t="s">
        <v>404</v>
      </c>
      <c r="AL8" s="15" t="s">
        <v>258</v>
      </c>
      <c r="AP8" s="12" t="s">
        <v>83</v>
      </c>
      <c r="AR8" s="12" t="s">
        <v>84</v>
      </c>
      <c r="AV8" s="12" t="s">
        <v>85</v>
      </c>
      <c r="AX8" s="23">
        <v>151</v>
      </c>
      <c r="AY8" s="24">
        <v>22</v>
      </c>
      <c r="AZ8" s="24">
        <v>152</v>
      </c>
      <c r="BA8" s="25">
        <v>18</v>
      </c>
    </row>
    <row r="9" spans="1:53" x14ac:dyDescent="0.15">
      <c r="A9" s="1" t="s">
        <v>53</v>
      </c>
      <c r="B9" s="1" t="s">
        <v>336</v>
      </c>
      <c r="C9" s="1">
        <v>2020</v>
      </c>
      <c r="D9" s="132" t="s">
        <v>234</v>
      </c>
      <c r="E9" s="1" t="s">
        <v>212</v>
      </c>
      <c r="F9" s="1" t="s">
        <v>392</v>
      </c>
      <c r="G9" s="1" t="s">
        <v>46</v>
      </c>
      <c r="H9" s="1" t="s">
        <v>82</v>
      </c>
      <c r="I9" s="1" t="s">
        <v>64</v>
      </c>
      <c r="J9" s="1" t="s">
        <v>40</v>
      </c>
      <c r="K9" s="1" t="s">
        <v>41</v>
      </c>
      <c r="L9" s="1">
        <v>2</v>
      </c>
      <c r="N9" s="1">
        <v>1</v>
      </c>
      <c r="O9" s="1">
        <v>0.75</v>
      </c>
      <c r="P9" s="1">
        <v>0.75</v>
      </c>
      <c r="Q9" s="7">
        <f t="shared" si="0"/>
        <v>0.75</v>
      </c>
      <c r="R9" s="1">
        <v>16.600000000000001</v>
      </c>
      <c r="S9" s="1">
        <v>116.5</v>
      </c>
      <c r="T9" s="2">
        <f t="shared" si="1"/>
        <v>30</v>
      </c>
      <c r="U9" s="1">
        <v>96</v>
      </c>
      <c r="V9" s="2">
        <f t="shared" si="2"/>
        <v>2880</v>
      </c>
      <c r="W9" s="1">
        <v>8</v>
      </c>
      <c r="X9" s="1" t="s">
        <v>51</v>
      </c>
      <c r="Y9" s="1" t="s">
        <v>67</v>
      </c>
      <c r="Z9" s="1" t="s">
        <v>74</v>
      </c>
      <c r="AA9" s="1" t="s">
        <v>101</v>
      </c>
      <c r="AE9" s="9" t="s">
        <v>259</v>
      </c>
      <c r="AG9" s="134" t="s">
        <v>405</v>
      </c>
      <c r="AH9" s="19" t="s">
        <v>406</v>
      </c>
      <c r="AL9" s="12" t="s">
        <v>261</v>
      </c>
      <c r="AP9" s="12" t="s">
        <v>89</v>
      </c>
      <c r="AR9" s="12" t="s">
        <v>262</v>
      </c>
      <c r="AV9" s="12" t="s">
        <v>91</v>
      </c>
      <c r="AX9" s="26">
        <v>180</v>
      </c>
      <c r="AY9" s="27">
        <v>18</v>
      </c>
      <c r="AZ9" s="27">
        <v>181</v>
      </c>
      <c r="BA9" s="28">
        <v>16</v>
      </c>
    </row>
    <row r="10" spans="1:53" x14ac:dyDescent="0.15">
      <c r="A10" s="1" t="s">
        <v>53</v>
      </c>
      <c r="B10" s="1" t="s">
        <v>336</v>
      </c>
      <c r="C10" s="1">
        <v>2020</v>
      </c>
      <c r="D10" s="132" t="s">
        <v>234</v>
      </c>
      <c r="E10" s="1" t="s">
        <v>212</v>
      </c>
      <c r="F10" s="1" t="s">
        <v>392</v>
      </c>
      <c r="G10" s="1" t="s">
        <v>46</v>
      </c>
      <c r="H10" s="1" t="s">
        <v>82</v>
      </c>
      <c r="I10" s="1" t="s">
        <v>64</v>
      </c>
      <c r="J10" s="1" t="s">
        <v>40</v>
      </c>
      <c r="K10" s="1" t="s">
        <v>41</v>
      </c>
      <c r="L10" s="1">
        <v>3</v>
      </c>
      <c r="N10" s="1">
        <v>1</v>
      </c>
      <c r="O10" s="1">
        <v>0.5</v>
      </c>
      <c r="P10" s="1">
        <v>0.75</v>
      </c>
      <c r="Q10" s="7">
        <f t="shared" si="0"/>
        <v>0.625</v>
      </c>
      <c r="R10" s="1">
        <v>16</v>
      </c>
      <c r="S10" s="1">
        <v>120</v>
      </c>
      <c r="T10" s="2">
        <f t="shared" si="1"/>
        <v>30</v>
      </c>
      <c r="U10" s="1">
        <v>96</v>
      </c>
      <c r="V10" s="2">
        <f t="shared" si="2"/>
        <v>2880</v>
      </c>
      <c r="W10" s="1">
        <v>8</v>
      </c>
      <c r="X10" s="1" t="s">
        <v>51</v>
      </c>
      <c r="Y10" s="1" t="s">
        <v>67</v>
      </c>
      <c r="Z10" s="1" t="s">
        <v>74</v>
      </c>
      <c r="AA10" s="1" t="s">
        <v>101</v>
      </c>
      <c r="AE10" s="9" t="s">
        <v>263</v>
      </c>
      <c r="AG10" s="134" t="s">
        <v>407</v>
      </c>
      <c r="AH10" s="19" t="s">
        <v>408</v>
      </c>
      <c r="AL10" s="16"/>
      <c r="AP10" s="12" t="s">
        <v>94</v>
      </c>
      <c r="AR10" s="12" t="s">
        <v>266</v>
      </c>
      <c r="AV10" s="12" t="s">
        <v>96</v>
      </c>
    </row>
    <row r="11" spans="1:53" x14ac:dyDescent="0.15">
      <c r="A11" s="1" t="s">
        <v>53</v>
      </c>
      <c r="B11" s="1" t="s">
        <v>336</v>
      </c>
      <c r="C11" s="1">
        <v>2020</v>
      </c>
      <c r="D11" s="132" t="s">
        <v>234</v>
      </c>
      <c r="E11" s="1" t="s">
        <v>212</v>
      </c>
      <c r="F11" s="1" t="s">
        <v>392</v>
      </c>
      <c r="G11" s="1" t="s">
        <v>46</v>
      </c>
      <c r="H11" s="1" t="s">
        <v>82</v>
      </c>
      <c r="I11" s="1" t="s">
        <v>64</v>
      </c>
      <c r="J11" s="1" t="s">
        <v>40</v>
      </c>
      <c r="K11" s="1" t="s">
        <v>41</v>
      </c>
      <c r="L11" s="1">
        <v>1</v>
      </c>
      <c r="N11" s="1">
        <v>4</v>
      </c>
      <c r="O11" s="1">
        <v>1.3</v>
      </c>
      <c r="P11" s="1">
        <v>0.2</v>
      </c>
      <c r="Q11" s="7">
        <f t="shared" si="0"/>
        <v>0.75</v>
      </c>
      <c r="R11" s="1">
        <v>15.8</v>
      </c>
      <c r="S11" s="1">
        <v>99.5</v>
      </c>
      <c r="T11" s="2">
        <f t="shared" si="1"/>
        <v>33</v>
      </c>
      <c r="U11" s="1">
        <v>396</v>
      </c>
      <c r="V11" s="2">
        <f t="shared" si="2"/>
        <v>3267</v>
      </c>
      <c r="W11" s="1">
        <v>8</v>
      </c>
      <c r="X11" s="1" t="s">
        <v>51</v>
      </c>
      <c r="Y11" s="1" t="s">
        <v>67</v>
      </c>
      <c r="Z11" s="1" t="s">
        <v>74</v>
      </c>
      <c r="AA11" s="1" t="s">
        <v>101</v>
      </c>
      <c r="AE11" s="9" t="s">
        <v>267</v>
      </c>
      <c r="AG11" s="134" t="s">
        <v>409</v>
      </c>
      <c r="AH11" s="19" t="s">
        <v>410</v>
      </c>
      <c r="AL11" s="16"/>
      <c r="AP11" s="12" t="s">
        <v>99</v>
      </c>
      <c r="AR11" s="12" t="s">
        <v>268</v>
      </c>
      <c r="AV11" s="12" t="s">
        <v>101</v>
      </c>
    </row>
    <row r="12" spans="1:53" x14ac:dyDescent="0.15">
      <c r="A12" s="1" t="s">
        <v>53</v>
      </c>
      <c r="B12" s="1" t="s">
        <v>336</v>
      </c>
      <c r="C12" s="1">
        <v>2020</v>
      </c>
      <c r="D12" s="132" t="s">
        <v>234</v>
      </c>
      <c r="E12" s="1" t="s">
        <v>212</v>
      </c>
      <c r="F12" s="1" t="s">
        <v>392</v>
      </c>
      <c r="G12" s="1" t="s">
        <v>46</v>
      </c>
      <c r="H12" s="1" t="s">
        <v>82</v>
      </c>
      <c r="I12" s="1" t="s">
        <v>64</v>
      </c>
      <c r="J12" s="1" t="s">
        <v>40</v>
      </c>
      <c r="K12" s="1" t="s">
        <v>41</v>
      </c>
      <c r="L12" s="1">
        <v>2</v>
      </c>
      <c r="N12" s="1">
        <v>4</v>
      </c>
      <c r="O12" s="1">
        <v>0.2</v>
      </c>
      <c r="P12" s="1">
        <v>0.2</v>
      </c>
      <c r="Q12" s="7">
        <f t="shared" si="0"/>
        <v>0.2</v>
      </c>
      <c r="R12" s="1">
        <v>17.399999999999999</v>
      </c>
      <c r="S12" s="1">
        <v>105</v>
      </c>
      <c r="T12" s="2">
        <f t="shared" si="1"/>
        <v>33</v>
      </c>
      <c r="U12" s="1">
        <v>396</v>
      </c>
      <c r="V12" s="2">
        <f t="shared" si="2"/>
        <v>3267</v>
      </c>
      <c r="W12" s="1">
        <v>8</v>
      </c>
      <c r="X12" s="1" t="s">
        <v>51</v>
      </c>
      <c r="Y12" s="1" t="s">
        <v>67</v>
      </c>
      <c r="Z12" s="1" t="s">
        <v>74</v>
      </c>
      <c r="AA12" s="1" t="s">
        <v>101</v>
      </c>
      <c r="AE12" s="9" t="s">
        <v>269</v>
      </c>
      <c r="AG12" s="14"/>
      <c r="AH12" s="12"/>
      <c r="AL12" s="16"/>
      <c r="AP12" s="12" t="s">
        <v>103</v>
      </c>
      <c r="AR12" s="12" t="s">
        <v>270</v>
      </c>
      <c r="AV12" s="12" t="s">
        <v>105</v>
      </c>
    </row>
    <row r="13" spans="1:53" x14ac:dyDescent="0.15">
      <c r="A13" s="1" t="s">
        <v>53</v>
      </c>
      <c r="B13" s="1" t="s">
        <v>336</v>
      </c>
      <c r="C13" s="1">
        <v>2020</v>
      </c>
      <c r="D13" s="132" t="s">
        <v>234</v>
      </c>
      <c r="E13" s="1" t="s">
        <v>212</v>
      </c>
      <c r="F13" s="1" t="s">
        <v>392</v>
      </c>
      <c r="G13" s="1" t="s">
        <v>46</v>
      </c>
      <c r="H13" s="1" t="s">
        <v>82</v>
      </c>
      <c r="I13" s="1" t="s">
        <v>64</v>
      </c>
      <c r="J13" s="1" t="s">
        <v>40</v>
      </c>
      <c r="K13" s="1" t="s">
        <v>41</v>
      </c>
      <c r="L13" s="1">
        <v>3</v>
      </c>
      <c r="N13" s="1">
        <v>4</v>
      </c>
      <c r="O13" s="1">
        <v>0.6</v>
      </c>
      <c r="P13" s="1">
        <v>0.5</v>
      </c>
      <c r="Q13" s="7">
        <f t="shared" si="0"/>
        <v>0.55000000000000004</v>
      </c>
      <c r="R13" s="1">
        <v>15.8</v>
      </c>
      <c r="S13" s="1">
        <v>100.5</v>
      </c>
      <c r="T13" s="2">
        <f t="shared" si="1"/>
        <v>33</v>
      </c>
      <c r="U13" s="1">
        <v>396</v>
      </c>
      <c r="V13" s="2">
        <f t="shared" si="2"/>
        <v>3267</v>
      </c>
      <c r="W13" s="1">
        <v>8</v>
      </c>
      <c r="X13" s="1" t="s">
        <v>51</v>
      </c>
      <c r="Y13" s="1" t="s">
        <v>67</v>
      </c>
      <c r="Z13" s="1" t="s">
        <v>74</v>
      </c>
      <c r="AA13" s="1" t="s">
        <v>101</v>
      </c>
      <c r="AE13" s="9" t="s">
        <v>271</v>
      </c>
      <c r="AH13" s="14"/>
      <c r="AP13" s="12" t="s">
        <v>107</v>
      </c>
      <c r="AR13" s="12" t="s">
        <v>263</v>
      </c>
      <c r="AV13" s="12" t="s">
        <v>108</v>
      </c>
    </row>
    <row r="14" spans="1:53" x14ac:dyDescent="0.15">
      <c r="A14" s="1" t="s">
        <v>53</v>
      </c>
      <c r="B14" s="1" t="s">
        <v>336</v>
      </c>
      <c r="C14" s="1">
        <v>2020</v>
      </c>
      <c r="D14" s="132" t="s">
        <v>234</v>
      </c>
      <c r="E14" s="1" t="s">
        <v>209</v>
      </c>
      <c r="F14" s="1" t="s">
        <v>210</v>
      </c>
      <c r="G14" s="1" t="s">
        <v>37</v>
      </c>
      <c r="H14" s="1" t="s">
        <v>63</v>
      </c>
      <c r="I14" s="1" t="s">
        <v>64</v>
      </c>
      <c r="J14" s="1" t="s">
        <v>40</v>
      </c>
      <c r="K14" s="1" t="s">
        <v>41</v>
      </c>
      <c r="L14" s="1">
        <v>1</v>
      </c>
      <c r="N14" s="1">
        <v>1</v>
      </c>
      <c r="O14" s="1">
        <v>0.6</v>
      </c>
      <c r="P14" s="1">
        <v>0.7</v>
      </c>
      <c r="Q14" s="7">
        <f t="shared" si="0"/>
        <v>0.64999999999999991</v>
      </c>
      <c r="R14" s="1">
        <v>16.2</v>
      </c>
      <c r="S14" s="1">
        <v>142</v>
      </c>
      <c r="T14" s="2">
        <f t="shared" si="1"/>
        <v>30</v>
      </c>
      <c r="U14" s="1">
        <v>108</v>
      </c>
      <c r="V14" s="2">
        <f t="shared" si="2"/>
        <v>3240</v>
      </c>
      <c r="W14" s="1">
        <v>7</v>
      </c>
      <c r="X14" s="1" t="s">
        <v>51</v>
      </c>
      <c r="Y14" s="1" t="s">
        <v>67</v>
      </c>
      <c r="Z14" s="1" t="s">
        <v>101</v>
      </c>
      <c r="AA14" s="1" t="s">
        <v>112</v>
      </c>
      <c r="AE14" s="9" t="s">
        <v>272</v>
      </c>
      <c r="AG14" s="17"/>
      <c r="AP14" s="12" t="s">
        <v>110</v>
      </c>
      <c r="AR14" s="12" t="s">
        <v>273</v>
      </c>
      <c r="AV14" s="12" t="s">
        <v>112</v>
      </c>
    </row>
    <row r="15" spans="1:53" x14ac:dyDescent="0.15">
      <c r="A15" s="1" t="s">
        <v>53</v>
      </c>
      <c r="B15" s="1" t="s">
        <v>336</v>
      </c>
      <c r="C15" s="1">
        <v>2020</v>
      </c>
      <c r="D15" s="132" t="s">
        <v>234</v>
      </c>
      <c r="E15" s="1" t="s">
        <v>209</v>
      </c>
      <c r="F15" s="1" t="s">
        <v>210</v>
      </c>
      <c r="G15" s="1" t="s">
        <v>37</v>
      </c>
      <c r="H15" s="1" t="s">
        <v>63</v>
      </c>
      <c r="I15" s="1" t="s">
        <v>64</v>
      </c>
      <c r="J15" s="1" t="s">
        <v>40</v>
      </c>
      <c r="K15" s="1" t="s">
        <v>41</v>
      </c>
      <c r="L15" s="1">
        <v>2</v>
      </c>
      <c r="N15" s="1">
        <v>1</v>
      </c>
      <c r="O15" s="1">
        <v>0.9</v>
      </c>
      <c r="P15" s="1">
        <v>0.75</v>
      </c>
      <c r="Q15" s="7">
        <f t="shared" si="0"/>
        <v>0.82499999999999996</v>
      </c>
      <c r="R15" s="1">
        <v>15.4</v>
      </c>
      <c r="S15" s="1">
        <v>127</v>
      </c>
      <c r="T15" s="2">
        <f t="shared" si="1"/>
        <v>30</v>
      </c>
      <c r="U15" s="1">
        <v>108</v>
      </c>
      <c r="V15" s="2">
        <f t="shared" si="2"/>
        <v>3240</v>
      </c>
      <c r="W15" s="1">
        <v>7</v>
      </c>
      <c r="X15" s="1" t="s">
        <v>51</v>
      </c>
      <c r="Y15" s="1" t="s">
        <v>67</v>
      </c>
      <c r="Z15" s="1" t="s">
        <v>101</v>
      </c>
      <c r="AA15" s="1" t="s">
        <v>112</v>
      </c>
      <c r="AE15" s="9" t="s">
        <v>274</v>
      </c>
      <c r="AP15" s="12" t="s">
        <v>114</v>
      </c>
      <c r="AR15" s="12" t="s">
        <v>275</v>
      </c>
      <c r="AV15" s="12" t="s">
        <v>116</v>
      </c>
    </row>
    <row r="16" spans="1:53" x14ac:dyDescent="0.15">
      <c r="A16" s="1" t="s">
        <v>53</v>
      </c>
      <c r="B16" s="1" t="s">
        <v>336</v>
      </c>
      <c r="C16" s="1">
        <v>2020</v>
      </c>
      <c r="D16" s="132" t="s">
        <v>234</v>
      </c>
      <c r="E16" s="1" t="s">
        <v>209</v>
      </c>
      <c r="F16" s="1" t="s">
        <v>210</v>
      </c>
      <c r="G16" s="1" t="s">
        <v>37</v>
      </c>
      <c r="H16" s="1" t="s">
        <v>63</v>
      </c>
      <c r="I16" s="1" t="s">
        <v>64</v>
      </c>
      <c r="J16" s="1" t="s">
        <v>40</v>
      </c>
      <c r="K16" s="1" t="s">
        <v>41</v>
      </c>
      <c r="L16" s="1">
        <v>3</v>
      </c>
      <c r="N16" s="1">
        <v>1</v>
      </c>
      <c r="O16" s="1">
        <v>0.9</v>
      </c>
      <c r="P16" s="1">
        <v>1</v>
      </c>
      <c r="Q16" s="7">
        <f t="shared" si="0"/>
        <v>0.95</v>
      </c>
      <c r="R16" s="1">
        <v>15</v>
      </c>
      <c r="S16" s="1">
        <v>135.5</v>
      </c>
      <c r="T16" s="2">
        <f t="shared" si="1"/>
        <v>30</v>
      </c>
      <c r="U16" s="1">
        <v>108</v>
      </c>
      <c r="V16" s="2">
        <f t="shared" si="2"/>
        <v>3240</v>
      </c>
      <c r="W16" s="1">
        <v>7</v>
      </c>
      <c r="X16" s="1" t="s">
        <v>51</v>
      </c>
      <c r="Y16" s="1" t="s">
        <v>67</v>
      </c>
      <c r="Z16" s="1" t="s">
        <v>101</v>
      </c>
      <c r="AA16" s="1" t="s">
        <v>112</v>
      </c>
      <c r="AE16" s="9" t="s">
        <v>276</v>
      </c>
      <c r="AP16" s="12" t="s">
        <v>115</v>
      </c>
      <c r="AR16" s="12" t="s">
        <v>118</v>
      </c>
      <c r="AV16" s="12" t="s">
        <v>119</v>
      </c>
    </row>
    <row r="17" spans="1:48" x14ac:dyDescent="0.15">
      <c r="A17" s="1" t="s">
        <v>53</v>
      </c>
      <c r="B17" s="1" t="s">
        <v>336</v>
      </c>
      <c r="C17" s="1">
        <v>2020</v>
      </c>
      <c r="D17" s="132" t="s">
        <v>234</v>
      </c>
      <c r="E17" s="1" t="s">
        <v>209</v>
      </c>
      <c r="F17" s="1" t="s">
        <v>210</v>
      </c>
      <c r="G17" s="1" t="s">
        <v>37</v>
      </c>
      <c r="H17" s="1" t="s">
        <v>77</v>
      </c>
      <c r="I17" s="1" t="s">
        <v>64</v>
      </c>
      <c r="J17" s="1" t="s">
        <v>40</v>
      </c>
      <c r="K17" s="1" t="s">
        <v>41</v>
      </c>
      <c r="L17" s="1">
        <v>1</v>
      </c>
      <c r="N17" s="1">
        <v>5</v>
      </c>
      <c r="O17" s="1">
        <v>0.6</v>
      </c>
      <c r="P17" s="1">
        <v>0.7</v>
      </c>
      <c r="Q17" s="7">
        <f t="shared" si="0"/>
        <v>0.64999999999999991</v>
      </c>
      <c r="R17" s="1">
        <v>16.100000000000001</v>
      </c>
      <c r="S17" s="1">
        <v>88</v>
      </c>
      <c r="T17" s="2">
        <f t="shared" si="1"/>
        <v>36</v>
      </c>
      <c r="U17" s="1">
        <v>398</v>
      </c>
      <c r="V17" s="2">
        <f t="shared" si="2"/>
        <v>2865.6</v>
      </c>
      <c r="W17" s="1">
        <v>7</v>
      </c>
      <c r="X17" s="1" t="s">
        <v>51</v>
      </c>
      <c r="Y17" s="1" t="s">
        <v>67</v>
      </c>
      <c r="Z17" s="1" t="s">
        <v>101</v>
      </c>
      <c r="AA17" s="1" t="s">
        <v>112</v>
      </c>
      <c r="AE17" s="9" t="s">
        <v>277</v>
      </c>
      <c r="AP17" s="13" t="s">
        <v>278</v>
      </c>
      <c r="AR17" s="12" t="s">
        <v>109</v>
      </c>
      <c r="AV17" s="12" t="s">
        <v>122</v>
      </c>
    </row>
    <row r="18" spans="1:48" x14ac:dyDescent="0.15">
      <c r="A18" s="1" t="s">
        <v>53</v>
      </c>
      <c r="B18" s="1" t="s">
        <v>336</v>
      </c>
      <c r="C18" s="1">
        <v>2020</v>
      </c>
      <c r="D18" s="132" t="s">
        <v>234</v>
      </c>
      <c r="E18" s="1" t="s">
        <v>209</v>
      </c>
      <c r="F18" s="1" t="s">
        <v>210</v>
      </c>
      <c r="G18" s="1" t="s">
        <v>37</v>
      </c>
      <c r="H18" s="1" t="s">
        <v>77</v>
      </c>
      <c r="I18" s="1" t="s">
        <v>64</v>
      </c>
      <c r="J18" s="1" t="s">
        <v>40</v>
      </c>
      <c r="K18" s="1" t="s">
        <v>41</v>
      </c>
      <c r="L18" s="1">
        <v>2</v>
      </c>
      <c r="N18" s="1">
        <v>5</v>
      </c>
      <c r="O18" s="1">
        <v>0.75</v>
      </c>
      <c r="P18" s="1">
        <v>0.75</v>
      </c>
      <c r="Q18" s="7">
        <f t="shared" si="0"/>
        <v>0.75</v>
      </c>
      <c r="R18" s="1">
        <v>19.3</v>
      </c>
      <c r="S18" s="1">
        <v>87</v>
      </c>
      <c r="T18" s="2">
        <f t="shared" si="1"/>
        <v>36</v>
      </c>
      <c r="U18" s="1">
        <v>398</v>
      </c>
      <c r="V18" s="2">
        <f t="shared" si="2"/>
        <v>2865.6</v>
      </c>
      <c r="W18" s="1">
        <v>7</v>
      </c>
      <c r="X18" s="1" t="s">
        <v>51</v>
      </c>
      <c r="Y18" s="1" t="s">
        <v>67</v>
      </c>
      <c r="Z18" s="1" t="s">
        <v>101</v>
      </c>
      <c r="AA18" s="1" t="s">
        <v>112</v>
      </c>
      <c r="AE18" s="9" t="s">
        <v>268</v>
      </c>
      <c r="AP18" s="13" t="s">
        <v>279</v>
      </c>
      <c r="AR18" s="12" t="s">
        <v>124</v>
      </c>
      <c r="AV18" s="12" t="s">
        <v>125</v>
      </c>
    </row>
    <row r="19" spans="1:48" x14ac:dyDescent="0.15">
      <c r="A19" s="1" t="s">
        <v>53</v>
      </c>
      <c r="B19" s="1" t="s">
        <v>336</v>
      </c>
      <c r="C19" s="1">
        <v>2020</v>
      </c>
      <c r="D19" s="132" t="s">
        <v>234</v>
      </c>
      <c r="E19" s="1" t="s">
        <v>209</v>
      </c>
      <c r="F19" s="1" t="s">
        <v>210</v>
      </c>
      <c r="G19" s="1" t="s">
        <v>37</v>
      </c>
      <c r="H19" s="1" t="s">
        <v>77</v>
      </c>
      <c r="I19" s="1" t="s">
        <v>64</v>
      </c>
      <c r="J19" s="1" t="s">
        <v>40</v>
      </c>
      <c r="K19" s="1" t="s">
        <v>41</v>
      </c>
      <c r="L19" s="1">
        <v>3</v>
      </c>
      <c r="N19" s="1">
        <v>5</v>
      </c>
      <c r="O19" s="1">
        <v>0.7</v>
      </c>
      <c r="P19" s="1">
        <v>0.7</v>
      </c>
      <c r="Q19" s="7">
        <f t="shared" si="0"/>
        <v>0.7</v>
      </c>
      <c r="R19" s="1">
        <v>18.899999999999999</v>
      </c>
      <c r="S19" s="1">
        <v>89.5</v>
      </c>
      <c r="T19" s="2">
        <f t="shared" si="1"/>
        <v>36</v>
      </c>
      <c r="U19" s="1">
        <v>398</v>
      </c>
      <c r="V19" s="2">
        <f t="shared" si="2"/>
        <v>2865.6</v>
      </c>
      <c r="W19" s="1">
        <v>7</v>
      </c>
      <c r="X19" s="1" t="s">
        <v>51</v>
      </c>
      <c r="Y19" s="1" t="s">
        <v>67</v>
      </c>
      <c r="Z19" s="1" t="s">
        <v>101</v>
      </c>
      <c r="AA19" s="1" t="s">
        <v>112</v>
      </c>
      <c r="AE19" s="10" t="s">
        <v>262</v>
      </c>
      <c r="AP19" s="13" t="s">
        <v>280</v>
      </c>
      <c r="AR19" s="12" t="s">
        <v>281</v>
      </c>
      <c r="AV19" s="12" t="s">
        <v>128</v>
      </c>
    </row>
    <row r="20" spans="1:48" x14ac:dyDescent="0.15">
      <c r="A20" s="1" t="s">
        <v>53</v>
      </c>
      <c r="B20" s="1" t="s">
        <v>336</v>
      </c>
      <c r="C20" s="1">
        <v>2020</v>
      </c>
      <c r="D20" s="132" t="s">
        <v>234</v>
      </c>
      <c r="E20" s="1" t="s">
        <v>209</v>
      </c>
      <c r="F20" s="1" t="s">
        <v>210</v>
      </c>
      <c r="G20" s="1" t="s">
        <v>37</v>
      </c>
      <c r="H20" s="1" t="s">
        <v>63</v>
      </c>
      <c r="I20" s="1" t="s">
        <v>64</v>
      </c>
      <c r="J20" s="1" t="s">
        <v>40</v>
      </c>
      <c r="K20" s="1" t="s">
        <v>41</v>
      </c>
      <c r="L20" s="1">
        <v>1</v>
      </c>
      <c r="N20" s="1">
        <v>5</v>
      </c>
      <c r="O20" s="1">
        <v>0.55000000000000004</v>
      </c>
      <c r="P20" s="1">
        <v>0.5</v>
      </c>
      <c r="Q20" s="7">
        <f t="shared" si="0"/>
        <v>0.52500000000000002</v>
      </c>
      <c r="R20" s="1">
        <v>16.600000000000001</v>
      </c>
      <c r="S20" s="1">
        <v>106.5</v>
      </c>
      <c r="T20" s="2">
        <f t="shared" si="1"/>
        <v>33</v>
      </c>
      <c r="U20" s="1">
        <v>398</v>
      </c>
      <c r="V20" s="2">
        <f t="shared" si="2"/>
        <v>2626.7999999999997</v>
      </c>
      <c r="W20" s="1">
        <v>7</v>
      </c>
      <c r="X20" s="1" t="s">
        <v>51</v>
      </c>
      <c r="Y20" s="1" t="s">
        <v>67</v>
      </c>
      <c r="Z20" s="1" t="s">
        <v>101</v>
      </c>
      <c r="AA20" s="1" t="s">
        <v>112</v>
      </c>
      <c r="AP20" s="13" t="s">
        <v>282</v>
      </c>
      <c r="AR20" s="12" t="s">
        <v>130</v>
      </c>
      <c r="AV20" s="13" t="s">
        <v>283</v>
      </c>
    </row>
    <row r="21" spans="1:48" x14ac:dyDescent="0.15">
      <c r="A21" s="1" t="s">
        <v>53</v>
      </c>
      <c r="B21" s="1" t="s">
        <v>336</v>
      </c>
      <c r="C21" s="1">
        <v>2020</v>
      </c>
      <c r="D21" s="132" t="s">
        <v>234</v>
      </c>
      <c r="E21" s="1" t="s">
        <v>209</v>
      </c>
      <c r="F21" s="1" t="s">
        <v>210</v>
      </c>
      <c r="G21" s="1" t="s">
        <v>37</v>
      </c>
      <c r="H21" s="1" t="s">
        <v>63</v>
      </c>
      <c r="I21" s="1" t="s">
        <v>64</v>
      </c>
      <c r="J21" s="1" t="s">
        <v>40</v>
      </c>
      <c r="K21" s="1" t="s">
        <v>41</v>
      </c>
      <c r="L21" s="1">
        <v>2</v>
      </c>
      <c r="N21" s="1">
        <v>5</v>
      </c>
      <c r="O21" s="1">
        <v>0.7</v>
      </c>
      <c r="P21" s="1">
        <v>0.75</v>
      </c>
      <c r="Q21" s="7">
        <f t="shared" si="0"/>
        <v>0.72499999999999998</v>
      </c>
      <c r="R21" s="1">
        <v>16.2</v>
      </c>
      <c r="S21" s="1">
        <v>111.5</v>
      </c>
      <c r="T21" s="2">
        <f t="shared" si="1"/>
        <v>33</v>
      </c>
      <c r="U21" s="1">
        <v>398</v>
      </c>
      <c r="V21" s="2">
        <f t="shared" si="2"/>
        <v>2626.7999999999997</v>
      </c>
      <c r="W21" s="1">
        <v>7</v>
      </c>
      <c r="X21" s="1" t="s">
        <v>51</v>
      </c>
      <c r="Y21" s="1" t="s">
        <v>67</v>
      </c>
      <c r="Z21" s="1" t="s">
        <v>101</v>
      </c>
      <c r="AA21" s="1" t="s">
        <v>112</v>
      </c>
      <c r="AP21" s="13" t="s">
        <v>284</v>
      </c>
      <c r="AR21" s="12" t="s">
        <v>97</v>
      </c>
      <c r="AV21" s="13" t="s">
        <v>285</v>
      </c>
    </row>
    <row r="22" spans="1:48" x14ac:dyDescent="0.15">
      <c r="A22" s="1" t="s">
        <v>53</v>
      </c>
      <c r="B22" s="1" t="s">
        <v>336</v>
      </c>
      <c r="C22" s="1">
        <v>2020</v>
      </c>
      <c r="D22" s="132" t="s">
        <v>234</v>
      </c>
      <c r="E22" s="1" t="s">
        <v>209</v>
      </c>
      <c r="F22" s="1" t="s">
        <v>210</v>
      </c>
      <c r="G22" s="1" t="s">
        <v>37</v>
      </c>
      <c r="H22" s="1" t="s">
        <v>63</v>
      </c>
      <c r="I22" s="1" t="s">
        <v>64</v>
      </c>
      <c r="J22" s="1" t="s">
        <v>40</v>
      </c>
      <c r="K22" s="1" t="s">
        <v>41</v>
      </c>
      <c r="L22" s="1">
        <v>3</v>
      </c>
      <c r="N22" s="1">
        <v>5</v>
      </c>
      <c r="O22" s="1">
        <v>1.2</v>
      </c>
      <c r="P22" s="1">
        <v>0.75</v>
      </c>
      <c r="Q22" s="7">
        <f t="shared" si="0"/>
        <v>0.97499999999999998</v>
      </c>
      <c r="R22" s="1">
        <v>15.3</v>
      </c>
      <c r="S22" s="1">
        <v>109</v>
      </c>
      <c r="T22" s="2">
        <f t="shared" si="1"/>
        <v>33</v>
      </c>
      <c r="U22" s="1">
        <v>398</v>
      </c>
      <c r="V22" s="2">
        <f t="shared" si="2"/>
        <v>2626.7999999999997</v>
      </c>
      <c r="W22" s="1">
        <v>7</v>
      </c>
      <c r="X22" s="1" t="s">
        <v>51</v>
      </c>
      <c r="Y22" s="1" t="s">
        <v>67</v>
      </c>
      <c r="Z22" s="1" t="s">
        <v>101</v>
      </c>
      <c r="AA22" s="1" t="s">
        <v>112</v>
      </c>
      <c r="AP22" s="13" t="s">
        <v>286</v>
      </c>
      <c r="AR22" s="12" t="s">
        <v>135</v>
      </c>
      <c r="AV22" s="13"/>
    </row>
    <row r="23" spans="1:48" x14ac:dyDescent="0.15">
      <c r="A23" s="1" t="s">
        <v>53</v>
      </c>
      <c r="B23" s="1" t="s">
        <v>336</v>
      </c>
      <c r="C23" s="1">
        <v>2020</v>
      </c>
      <c r="D23" s="132" t="s">
        <v>234</v>
      </c>
      <c r="E23" s="1" t="s">
        <v>209</v>
      </c>
      <c r="F23" s="1" t="s">
        <v>210</v>
      </c>
      <c r="G23" s="1" t="s">
        <v>37</v>
      </c>
      <c r="H23" s="1" t="s">
        <v>82</v>
      </c>
      <c r="I23" s="1" t="s">
        <v>64</v>
      </c>
      <c r="J23" s="1" t="s">
        <v>40</v>
      </c>
      <c r="K23" s="1" t="s">
        <v>41</v>
      </c>
      <c r="L23" s="1">
        <v>1</v>
      </c>
      <c r="N23" s="1">
        <v>1</v>
      </c>
      <c r="O23" s="1">
        <v>0.65</v>
      </c>
      <c r="P23" s="1">
        <v>0.7</v>
      </c>
      <c r="Q23" s="7">
        <f t="shared" si="0"/>
        <v>0.67500000000000004</v>
      </c>
      <c r="R23" s="1">
        <v>15.8</v>
      </c>
      <c r="S23" s="1">
        <v>140</v>
      </c>
      <c r="T23" s="2">
        <f t="shared" si="1"/>
        <v>30</v>
      </c>
      <c r="U23" s="1">
        <v>108</v>
      </c>
      <c r="V23" s="2">
        <f t="shared" si="2"/>
        <v>3240</v>
      </c>
      <c r="W23" s="1">
        <v>7</v>
      </c>
      <c r="X23" s="1" t="s">
        <v>51</v>
      </c>
      <c r="Y23" s="1" t="s">
        <v>67</v>
      </c>
      <c r="Z23" s="1" t="s">
        <v>101</v>
      </c>
      <c r="AA23" s="1" t="s">
        <v>112</v>
      </c>
      <c r="AP23" s="13" t="s">
        <v>291</v>
      </c>
      <c r="AR23" s="12" t="s">
        <v>292</v>
      </c>
    </row>
    <row r="24" spans="1:48" x14ac:dyDescent="0.15">
      <c r="A24" s="1" t="s">
        <v>53</v>
      </c>
      <c r="B24" s="1" t="s">
        <v>336</v>
      </c>
      <c r="C24" s="1">
        <v>2020</v>
      </c>
      <c r="D24" s="132" t="s">
        <v>234</v>
      </c>
      <c r="E24" s="1" t="s">
        <v>209</v>
      </c>
      <c r="F24" s="1" t="s">
        <v>210</v>
      </c>
      <c r="G24" s="1" t="s">
        <v>37</v>
      </c>
      <c r="H24" s="1" t="s">
        <v>82</v>
      </c>
      <c r="I24" s="1" t="s">
        <v>64</v>
      </c>
      <c r="J24" s="1" t="s">
        <v>40</v>
      </c>
      <c r="K24" s="1" t="s">
        <v>41</v>
      </c>
      <c r="L24" s="1">
        <v>2</v>
      </c>
      <c r="N24" s="1">
        <v>1</v>
      </c>
      <c r="O24" s="1">
        <v>1.45</v>
      </c>
      <c r="P24" s="1">
        <v>0.75</v>
      </c>
      <c r="Q24" s="7">
        <f t="shared" si="0"/>
        <v>1.1000000000000001</v>
      </c>
      <c r="R24" s="1">
        <v>17.2</v>
      </c>
      <c r="S24" s="1">
        <v>143</v>
      </c>
      <c r="T24" s="2">
        <f t="shared" si="1"/>
        <v>30</v>
      </c>
      <c r="U24" s="1">
        <v>108</v>
      </c>
      <c r="V24" s="2">
        <f t="shared" si="2"/>
        <v>3240</v>
      </c>
      <c r="W24" s="1">
        <v>7</v>
      </c>
      <c r="X24" s="1" t="s">
        <v>51</v>
      </c>
      <c r="Y24" s="1" t="s">
        <v>67</v>
      </c>
      <c r="Z24" s="1" t="s">
        <v>101</v>
      </c>
      <c r="AA24" s="1" t="s">
        <v>112</v>
      </c>
      <c r="AP24" s="13" t="s">
        <v>293</v>
      </c>
      <c r="AR24" s="12" t="s">
        <v>294</v>
      </c>
    </row>
    <row r="25" spans="1:48" x14ac:dyDescent="0.15">
      <c r="A25" s="1" t="s">
        <v>53</v>
      </c>
      <c r="B25" s="1" t="s">
        <v>336</v>
      </c>
      <c r="C25" s="1">
        <v>2020</v>
      </c>
      <c r="D25" s="132" t="s">
        <v>234</v>
      </c>
      <c r="E25" s="1" t="s">
        <v>209</v>
      </c>
      <c r="F25" s="1" t="s">
        <v>210</v>
      </c>
      <c r="G25" s="1" t="s">
        <v>37</v>
      </c>
      <c r="H25" s="1" t="s">
        <v>82</v>
      </c>
      <c r="I25" s="1" t="s">
        <v>64</v>
      </c>
      <c r="J25" s="1" t="s">
        <v>40</v>
      </c>
      <c r="K25" s="1" t="s">
        <v>41</v>
      </c>
      <c r="L25" s="1">
        <v>3</v>
      </c>
      <c r="N25" s="1">
        <v>1</v>
      </c>
      <c r="O25" s="1">
        <v>0.75</v>
      </c>
      <c r="P25" s="1">
        <v>0.7</v>
      </c>
      <c r="Q25" s="7">
        <f t="shared" si="0"/>
        <v>0.72499999999999998</v>
      </c>
      <c r="R25" s="1">
        <v>16.399999999999999</v>
      </c>
      <c r="S25" s="1">
        <v>144</v>
      </c>
      <c r="T25" s="2">
        <f t="shared" si="1"/>
        <v>30</v>
      </c>
      <c r="U25" s="1">
        <v>108</v>
      </c>
      <c r="V25" s="2">
        <f t="shared" si="2"/>
        <v>3240</v>
      </c>
      <c r="W25" s="1">
        <v>7</v>
      </c>
      <c r="X25" s="1" t="s">
        <v>51</v>
      </c>
      <c r="Y25" s="1" t="s">
        <v>67</v>
      </c>
      <c r="Z25" s="1" t="s">
        <v>101</v>
      </c>
      <c r="AA25" s="1" t="s">
        <v>112</v>
      </c>
      <c r="AP25" s="13" t="s">
        <v>295</v>
      </c>
      <c r="AR25" s="12" t="s">
        <v>296</v>
      </c>
    </row>
    <row r="26" spans="1:48" x14ac:dyDescent="0.15">
      <c r="A26" s="1" t="s">
        <v>53</v>
      </c>
      <c r="B26" s="1" t="s">
        <v>336</v>
      </c>
      <c r="C26" s="1">
        <v>2020</v>
      </c>
      <c r="D26" s="132" t="s">
        <v>234</v>
      </c>
      <c r="E26" s="1" t="s">
        <v>209</v>
      </c>
      <c r="F26" s="1" t="s">
        <v>210</v>
      </c>
      <c r="G26" s="1" t="s">
        <v>37</v>
      </c>
      <c r="H26" s="1" t="s">
        <v>82</v>
      </c>
      <c r="I26" s="1" t="s">
        <v>64</v>
      </c>
      <c r="J26" s="1" t="s">
        <v>40</v>
      </c>
      <c r="K26" s="1" t="s">
        <v>41</v>
      </c>
      <c r="L26" s="1">
        <v>1</v>
      </c>
      <c r="N26" s="1">
        <v>5</v>
      </c>
      <c r="O26" s="1">
        <v>0.8</v>
      </c>
      <c r="P26" s="1">
        <v>0.8</v>
      </c>
      <c r="Q26" s="7">
        <f t="shared" si="0"/>
        <v>0.8</v>
      </c>
      <c r="R26" s="1">
        <v>15.9</v>
      </c>
      <c r="S26" s="1">
        <v>98</v>
      </c>
      <c r="T26" s="2">
        <f t="shared" si="1"/>
        <v>36</v>
      </c>
      <c r="U26" s="1">
        <v>398</v>
      </c>
      <c r="V26" s="2">
        <f t="shared" si="2"/>
        <v>2865.6</v>
      </c>
      <c r="W26" s="1">
        <v>7</v>
      </c>
      <c r="X26" s="1" t="s">
        <v>51</v>
      </c>
      <c r="Y26" s="1" t="s">
        <v>67</v>
      </c>
      <c r="Z26" s="1" t="s">
        <v>101</v>
      </c>
      <c r="AA26" s="1" t="s">
        <v>112</v>
      </c>
      <c r="AP26" s="13" t="s">
        <v>297</v>
      </c>
      <c r="AR26" s="14"/>
    </row>
    <row r="27" spans="1:48" x14ac:dyDescent="0.15">
      <c r="A27" s="1" t="s">
        <v>53</v>
      </c>
      <c r="B27" s="1" t="s">
        <v>336</v>
      </c>
      <c r="C27" s="1">
        <v>2020</v>
      </c>
      <c r="D27" s="132" t="s">
        <v>234</v>
      </c>
      <c r="E27" s="1" t="s">
        <v>209</v>
      </c>
      <c r="F27" s="1" t="s">
        <v>210</v>
      </c>
      <c r="G27" s="1" t="s">
        <v>37</v>
      </c>
      <c r="H27" s="1" t="s">
        <v>82</v>
      </c>
      <c r="I27" s="1" t="s">
        <v>64</v>
      </c>
      <c r="J27" s="1" t="s">
        <v>40</v>
      </c>
      <c r="K27" s="1" t="s">
        <v>41</v>
      </c>
      <c r="L27" s="1">
        <v>2</v>
      </c>
      <c r="N27" s="1">
        <v>5</v>
      </c>
      <c r="O27" s="1">
        <v>0.75</v>
      </c>
      <c r="P27" s="1">
        <v>0.8</v>
      </c>
      <c r="Q27" s="7">
        <f t="shared" si="0"/>
        <v>0.77500000000000002</v>
      </c>
      <c r="R27" s="1">
        <v>14.7</v>
      </c>
      <c r="S27" s="1">
        <v>93.5</v>
      </c>
      <c r="T27" s="2">
        <f t="shared" si="1"/>
        <v>36</v>
      </c>
      <c r="U27" s="1">
        <v>398</v>
      </c>
      <c r="V27" s="2">
        <f t="shared" si="2"/>
        <v>2865.6</v>
      </c>
      <c r="W27" s="1">
        <v>7</v>
      </c>
      <c r="X27" s="1" t="s">
        <v>51</v>
      </c>
      <c r="Y27" s="1" t="s">
        <v>67</v>
      </c>
      <c r="Z27" s="1" t="s">
        <v>101</v>
      </c>
      <c r="AA27" s="1" t="s">
        <v>112</v>
      </c>
    </row>
    <row r="28" spans="1:48" x14ac:dyDescent="0.15">
      <c r="A28" s="1" t="s">
        <v>53</v>
      </c>
      <c r="B28" s="1" t="s">
        <v>336</v>
      </c>
      <c r="C28" s="1">
        <v>2020</v>
      </c>
      <c r="D28" s="132" t="s">
        <v>234</v>
      </c>
      <c r="E28" s="1" t="s">
        <v>209</v>
      </c>
      <c r="F28" s="1" t="s">
        <v>210</v>
      </c>
      <c r="G28" s="1" t="s">
        <v>37</v>
      </c>
      <c r="H28" s="1" t="s">
        <v>82</v>
      </c>
      <c r="I28" s="1" t="s">
        <v>64</v>
      </c>
      <c r="J28" s="1" t="s">
        <v>40</v>
      </c>
      <c r="K28" s="1" t="s">
        <v>41</v>
      </c>
      <c r="L28" s="1">
        <v>3</v>
      </c>
      <c r="N28" s="1">
        <v>5</v>
      </c>
      <c r="O28" s="1">
        <v>0.8</v>
      </c>
      <c r="P28" s="1">
        <v>0.75</v>
      </c>
      <c r="Q28" s="7">
        <f>IF(OR(O28="",P28=""),"",AVERAGE(O28,P28))</f>
        <v>0.77500000000000002</v>
      </c>
      <c r="R28" s="1">
        <v>14.8</v>
      </c>
      <c r="S28" s="1">
        <v>95.5</v>
      </c>
      <c r="T28" s="2">
        <f t="shared" si="1"/>
        <v>36</v>
      </c>
      <c r="U28" s="1">
        <v>398</v>
      </c>
      <c r="V28" s="2">
        <f t="shared" si="2"/>
        <v>2865.6</v>
      </c>
      <c r="W28" s="1">
        <v>7</v>
      </c>
      <c r="X28" s="1" t="s">
        <v>51</v>
      </c>
      <c r="Y28" s="1" t="s">
        <v>67</v>
      </c>
      <c r="Z28" s="1" t="s">
        <v>101</v>
      </c>
      <c r="AA28" s="1" t="s">
        <v>112</v>
      </c>
    </row>
    <row r="29" spans="1:48" x14ac:dyDescent="0.15">
      <c r="A29" s="1" t="s">
        <v>53</v>
      </c>
      <c r="B29" s="1" t="s">
        <v>336</v>
      </c>
      <c r="C29" s="1">
        <v>2020</v>
      </c>
      <c r="D29" s="132" t="s">
        <v>234</v>
      </c>
      <c r="E29" s="1" t="s">
        <v>174</v>
      </c>
      <c r="F29" s="1" t="s">
        <v>397</v>
      </c>
      <c r="G29" s="1" t="s">
        <v>37</v>
      </c>
      <c r="H29" s="1" t="s">
        <v>63</v>
      </c>
      <c r="I29" s="1" t="s">
        <v>64</v>
      </c>
      <c r="J29" s="1" t="s">
        <v>40</v>
      </c>
      <c r="K29" s="1" t="s">
        <v>41</v>
      </c>
      <c r="L29" s="1">
        <v>1</v>
      </c>
      <c r="N29" s="1">
        <v>1</v>
      </c>
      <c r="O29" s="1">
        <v>1.2</v>
      </c>
      <c r="P29" s="1">
        <v>1</v>
      </c>
      <c r="Q29" s="7">
        <f t="shared" si="0"/>
        <v>1.1000000000000001</v>
      </c>
      <c r="R29" s="1">
        <v>18.600000000000001</v>
      </c>
      <c r="S29" s="1">
        <v>115</v>
      </c>
      <c r="T29" s="2">
        <f t="shared" si="1"/>
        <v>30</v>
      </c>
      <c r="U29" s="1">
        <v>98</v>
      </c>
      <c r="V29" s="2">
        <f t="shared" si="2"/>
        <v>2940</v>
      </c>
      <c r="W29" s="1">
        <v>12</v>
      </c>
      <c r="X29" s="1" t="s">
        <v>51</v>
      </c>
      <c r="Y29" s="1" t="s">
        <v>67</v>
      </c>
      <c r="Z29" s="1" t="s">
        <v>101</v>
      </c>
      <c r="AA29" s="1" t="s">
        <v>74</v>
      </c>
    </row>
    <row r="30" spans="1:48" x14ac:dyDescent="0.15">
      <c r="A30" s="1" t="s">
        <v>53</v>
      </c>
      <c r="B30" s="1" t="s">
        <v>336</v>
      </c>
      <c r="C30" s="1">
        <v>2020</v>
      </c>
      <c r="D30" s="132" t="s">
        <v>234</v>
      </c>
      <c r="E30" s="1" t="s">
        <v>174</v>
      </c>
      <c r="F30" s="1" t="s">
        <v>397</v>
      </c>
      <c r="G30" s="1" t="s">
        <v>37</v>
      </c>
      <c r="H30" s="1" t="s">
        <v>63</v>
      </c>
      <c r="I30" s="1" t="s">
        <v>64</v>
      </c>
      <c r="J30" s="1" t="s">
        <v>40</v>
      </c>
      <c r="K30" s="1" t="s">
        <v>41</v>
      </c>
      <c r="L30" s="1">
        <v>2</v>
      </c>
      <c r="N30" s="1">
        <v>1</v>
      </c>
      <c r="O30" s="1">
        <v>0.2</v>
      </c>
      <c r="P30" s="1">
        <v>0.2</v>
      </c>
      <c r="Q30" s="7">
        <f t="shared" si="0"/>
        <v>0.2</v>
      </c>
      <c r="R30" s="1">
        <v>15.8</v>
      </c>
      <c r="S30" s="1">
        <v>114.5</v>
      </c>
      <c r="T30" s="2">
        <f t="shared" si="1"/>
        <v>30</v>
      </c>
      <c r="U30" s="1">
        <v>98</v>
      </c>
      <c r="V30" s="2">
        <f t="shared" si="2"/>
        <v>2940</v>
      </c>
      <c r="W30" s="1">
        <v>12</v>
      </c>
      <c r="X30" s="1" t="s">
        <v>51</v>
      </c>
      <c r="Y30" s="1" t="s">
        <v>67</v>
      </c>
      <c r="Z30" s="1" t="s">
        <v>101</v>
      </c>
      <c r="AA30" s="1" t="s">
        <v>74</v>
      </c>
    </row>
    <row r="31" spans="1:48" x14ac:dyDescent="0.15">
      <c r="A31" s="1" t="s">
        <v>53</v>
      </c>
      <c r="B31" s="1" t="s">
        <v>336</v>
      </c>
      <c r="C31" s="1">
        <v>2020</v>
      </c>
      <c r="D31" s="132" t="s">
        <v>234</v>
      </c>
      <c r="E31" s="1" t="s">
        <v>174</v>
      </c>
      <c r="F31" s="1" t="s">
        <v>397</v>
      </c>
      <c r="G31" s="1" t="s">
        <v>37</v>
      </c>
      <c r="H31" s="1" t="s">
        <v>63</v>
      </c>
      <c r="I31" s="1" t="s">
        <v>64</v>
      </c>
      <c r="J31" s="1" t="s">
        <v>40</v>
      </c>
      <c r="K31" s="1" t="s">
        <v>41</v>
      </c>
      <c r="L31" s="1">
        <v>3</v>
      </c>
      <c r="N31" s="1">
        <v>1</v>
      </c>
      <c r="O31" s="1">
        <v>0.75</v>
      </c>
      <c r="P31" s="1">
        <v>0.75</v>
      </c>
      <c r="Q31" s="7">
        <v>5</v>
      </c>
      <c r="R31" s="1">
        <v>15.4</v>
      </c>
      <c r="S31" s="1">
        <v>115.5</v>
      </c>
      <c r="T31" s="2">
        <f t="shared" si="1"/>
        <v>30</v>
      </c>
      <c r="U31" s="1">
        <v>98</v>
      </c>
      <c r="V31" s="2">
        <f t="shared" si="2"/>
        <v>2940</v>
      </c>
      <c r="W31" s="1">
        <v>12</v>
      </c>
      <c r="X31" s="1" t="s">
        <v>51</v>
      </c>
      <c r="Y31" s="1" t="s">
        <v>67</v>
      </c>
      <c r="Z31" s="1" t="s">
        <v>101</v>
      </c>
      <c r="AA31" s="1" t="s">
        <v>74</v>
      </c>
    </row>
    <row r="32" spans="1:48" x14ac:dyDescent="0.15">
      <c r="A32" s="1" t="s">
        <v>53</v>
      </c>
      <c r="B32" s="1" t="s">
        <v>336</v>
      </c>
      <c r="C32" s="1">
        <v>2020</v>
      </c>
      <c r="D32" s="132" t="s">
        <v>234</v>
      </c>
      <c r="E32" s="1" t="s">
        <v>174</v>
      </c>
      <c r="F32" s="1" t="s">
        <v>397</v>
      </c>
      <c r="G32" s="1" t="s">
        <v>37</v>
      </c>
      <c r="H32" s="1" t="s">
        <v>63</v>
      </c>
      <c r="I32" s="1" t="s">
        <v>64</v>
      </c>
      <c r="J32" s="1" t="s">
        <v>40</v>
      </c>
      <c r="K32" s="1" t="s">
        <v>41</v>
      </c>
      <c r="L32" s="1">
        <v>1</v>
      </c>
      <c r="N32" s="1">
        <v>4</v>
      </c>
      <c r="O32" s="1">
        <v>0.5</v>
      </c>
      <c r="P32" s="1">
        <v>0.45</v>
      </c>
      <c r="Q32" s="7">
        <f t="shared" si="0"/>
        <v>0.47499999999999998</v>
      </c>
      <c r="R32" s="1">
        <v>16.5</v>
      </c>
      <c r="S32" s="1">
        <v>93.5</v>
      </c>
      <c r="T32" s="2">
        <f t="shared" si="1"/>
        <v>36</v>
      </c>
      <c r="U32" s="1">
        <v>298</v>
      </c>
      <c r="V32" s="2">
        <f t="shared" si="2"/>
        <v>2682</v>
      </c>
      <c r="W32" s="1">
        <v>12</v>
      </c>
      <c r="X32" s="1" t="s">
        <v>51</v>
      </c>
      <c r="Y32" s="1" t="s">
        <v>67</v>
      </c>
      <c r="Z32" s="1" t="s">
        <v>101</v>
      </c>
      <c r="AA32" s="1" t="s">
        <v>74</v>
      </c>
    </row>
    <row r="33" spans="1:27" x14ac:dyDescent="0.15">
      <c r="A33" s="1" t="s">
        <v>53</v>
      </c>
      <c r="B33" s="1" t="s">
        <v>336</v>
      </c>
      <c r="C33" s="1">
        <v>2020</v>
      </c>
      <c r="D33" s="132" t="s">
        <v>234</v>
      </c>
      <c r="E33" s="1" t="s">
        <v>174</v>
      </c>
      <c r="F33" s="1" t="s">
        <v>397</v>
      </c>
      <c r="G33" s="1" t="s">
        <v>37</v>
      </c>
      <c r="H33" s="1" t="s">
        <v>63</v>
      </c>
      <c r="I33" s="1" t="s">
        <v>64</v>
      </c>
      <c r="J33" s="1" t="s">
        <v>40</v>
      </c>
      <c r="K33" s="1" t="s">
        <v>41</v>
      </c>
      <c r="L33" s="1">
        <v>2</v>
      </c>
      <c r="N33" s="1">
        <v>4</v>
      </c>
      <c r="O33" s="1">
        <v>0.5</v>
      </c>
      <c r="P33" s="1">
        <v>0.6</v>
      </c>
      <c r="Q33" s="7">
        <f t="shared" si="0"/>
        <v>0.55000000000000004</v>
      </c>
      <c r="R33" s="1">
        <v>16</v>
      </c>
      <c r="S33" s="1">
        <v>102</v>
      </c>
      <c r="T33" s="2">
        <f t="shared" si="1"/>
        <v>33</v>
      </c>
      <c r="U33" s="1">
        <v>298</v>
      </c>
      <c r="V33" s="2">
        <f t="shared" si="2"/>
        <v>2458.5</v>
      </c>
      <c r="W33" s="1">
        <v>12</v>
      </c>
      <c r="X33" s="1" t="s">
        <v>51</v>
      </c>
      <c r="Y33" s="1" t="s">
        <v>67</v>
      </c>
      <c r="Z33" s="1" t="s">
        <v>101</v>
      </c>
      <c r="AA33" s="1" t="s">
        <v>74</v>
      </c>
    </row>
    <row r="34" spans="1:27" x14ac:dyDescent="0.15">
      <c r="A34" s="1" t="s">
        <v>53</v>
      </c>
      <c r="B34" s="1" t="s">
        <v>336</v>
      </c>
      <c r="C34" s="1">
        <v>2020</v>
      </c>
      <c r="D34" s="132" t="s">
        <v>234</v>
      </c>
      <c r="E34" s="1" t="s">
        <v>174</v>
      </c>
      <c r="F34" s="1" t="s">
        <v>397</v>
      </c>
      <c r="G34" s="1" t="s">
        <v>37</v>
      </c>
      <c r="H34" s="1" t="s">
        <v>63</v>
      </c>
      <c r="I34" s="1" t="s">
        <v>64</v>
      </c>
      <c r="J34" s="1" t="s">
        <v>40</v>
      </c>
      <c r="K34" s="1" t="s">
        <v>41</v>
      </c>
      <c r="L34" s="1">
        <v>3</v>
      </c>
      <c r="N34" s="1">
        <v>4</v>
      </c>
      <c r="O34" s="1">
        <v>1</v>
      </c>
      <c r="P34" s="1">
        <v>0.75</v>
      </c>
      <c r="Q34" s="7">
        <f>IF(OR(O34="",P34=""),"",AVERAGE(O34,P34))</f>
        <v>0.875</v>
      </c>
      <c r="R34" s="1">
        <v>16.2</v>
      </c>
      <c r="S34" s="1">
        <v>103.5</v>
      </c>
      <c r="T34" s="2">
        <f t="shared" si="1"/>
        <v>33</v>
      </c>
      <c r="U34" s="1">
        <v>298</v>
      </c>
      <c r="V34" s="2">
        <f t="shared" si="2"/>
        <v>2458.5</v>
      </c>
      <c r="W34" s="1">
        <v>12</v>
      </c>
      <c r="X34" s="1" t="s">
        <v>51</v>
      </c>
      <c r="Y34" s="1" t="s">
        <v>67</v>
      </c>
      <c r="Z34" s="1" t="s">
        <v>101</v>
      </c>
      <c r="AA34" s="1" t="s">
        <v>74</v>
      </c>
    </row>
    <row r="35" spans="1:27" x14ac:dyDescent="0.15">
      <c r="A35" s="1" t="s">
        <v>53</v>
      </c>
      <c r="B35" s="1" t="s">
        <v>336</v>
      </c>
      <c r="C35" s="1">
        <v>2020</v>
      </c>
      <c r="D35" s="132" t="s">
        <v>234</v>
      </c>
      <c r="E35" s="1" t="s">
        <v>174</v>
      </c>
      <c r="F35" s="1" t="s">
        <v>397</v>
      </c>
      <c r="G35" s="1" t="s">
        <v>37</v>
      </c>
      <c r="H35" s="1" t="s">
        <v>82</v>
      </c>
      <c r="I35" s="1" t="s">
        <v>64</v>
      </c>
      <c r="J35" s="1" t="s">
        <v>40</v>
      </c>
      <c r="K35" s="1" t="s">
        <v>41</v>
      </c>
      <c r="L35" s="1">
        <v>1</v>
      </c>
      <c r="N35" s="1">
        <v>1</v>
      </c>
      <c r="O35" s="1">
        <v>1.25</v>
      </c>
      <c r="P35" s="1">
        <v>1</v>
      </c>
      <c r="Q35" s="7">
        <f t="shared" ref="Q35:Q36" si="3">IF(OR(O35="",P35=""),"",AVERAGE(O35,P35))</f>
        <v>1.125</v>
      </c>
      <c r="R35" s="1">
        <v>18.899999999999999</v>
      </c>
      <c r="S35" s="1">
        <v>130</v>
      </c>
      <c r="T35" s="2">
        <f t="shared" si="1"/>
        <v>30</v>
      </c>
      <c r="U35" s="1">
        <v>128</v>
      </c>
      <c r="V35" s="2">
        <f t="shared" si="2"/>
        <v>3840</v>
      </c>
      <c r="W35" s="1">
        <v>12</v>
      </c>
      <c r="X35" s="1" t="s">
        <v>51</v>
      </c>
      <c r="Y35" s="1" t="s">
        <v>67</v>
      </c>
      <c r="Z35" s="1" t="s">
        <v>101</v>
      </c>
      <c r="AA35" s="1" t="s">
        <v>74</v>
      </c>
    </row>
    <row r="36" spans="1:27" x14ac:dyDescent="0.15">
      <c r="A36" s="1" t="s">
        <v>53</v>
      </c>
      <c r="B36" s="1" t="s">
        <v>336</v>
      </c>
      <c r="C36" s="1">
        <v>2020</v>
      </c>
      <c r="D36" s="132" t="s">
        <v>234</v>
      </c>
      <c r="E36" s="1" t="s">
        <v>174</v>
      </c>
      <c r="F36" s="1" t="s">
        <v>397</v>
      </c>
      <c r="G36" s="1" t="s">
        <v>37</v>
      </c>
      <c r="H36" s="1" t="s">
        <v>82</v>
      </c>
      <c r="I36" s="1" t="s">
        <v>64</v>
      </c>
      <c r="J36" s="1" t="s">
        <v>40</v>
      </c>
      <c r="K36" s="1" t="s">
        <v>41</v>
      </c>
      <c r="L36" s="1">
        <v>2</v>
      </c>
      <c r="N36" s="1">
        <v>1</v>
      </c>
      <c r="O36" s="1">
        <v>0.6</v>
      </c>
      <c r="P36" s="1">
        <v>0.6</v>
      </c>
      <c r="Q36" s="7">
        <f t="shared" si="3"/>
        <v>0.6</v>
      </c>
      <c r="R36" s="1">
        <v>19</v>
      </c>
      <c r="S36" s="1">
        <v>128</v>
      </c>
      <c r="T36" s="2">
        <f t="shared" si="1"/>
        <v>30</v>
      </c>
      <c r="U36" s="1">
        <v>128</v>
      </c>
      <c r="V36" s="2">
        <f t="shared" si="2"/>
        <v>3840</v>
      </c>
      <c r="W36" s="1">
        <v>12</v>
      </c>
      <c r="X36" s="1" t="s">
        <v>51</v>
      </c>
      <c r="Y36" s="1" t="s">
        <v>67</v>
      </c>
      <c r="Z36" s="1" t="s">
        <v>101</v>
      </c>
      <c r="AA36" s="1" t="s">
        <v>74</v>
      </c>
    </row>
    <row r="37" spans="1:27" x14ac:dyDescent="0.15">
      <c r="A37" s="1" t="s">
        <v>53</v>
      </c>
      <c r="B37" s="1" t="s">
        <v>336</v>
      </c>
      <c r="C37" s="1">
        <v>2020</v>
      </c>
      <c r="D37" s="132" t="s">
        <v>234</v>
      </c>
      <c r="E37" s="1" t="s">
        <v>174</v>
      </c>
      <c r="F37" s="1" t="s">
        <v>397</v>
      </c>
      <c r="G37" s="1" t="s">
        <v>37</v>
      </c>
      <c r="H37" s="1" t="s">
        <v>82</v>
      </c>
      <c r="I37" s="1" t="s">
        <v>64</v>
      </c>
      <c r="J37" s="1" t="s">
        <v>40</v>
      </c>
      <c r="K37" s="1" t="s">
        <v>41</v>
      </c>
      <c r="L37" s="1">
        <v>3</v>
      </c>
      <c r="N37" s="1">
        <v>1</v>
      </c>
      <c r="O37" s="1">
        <v>0.65</v>
      </c>
      <c r="P37" s="1">
        <v>1.1499999999999999</v>
      </c>
      <c r="Q37" s="7">
        <f>IF(OR(O37="",P37=""),"",AVERAGE(O37,P37))</f>
        <v>0.89999999999999991</v>
      </c>
      <c r="R37" s="1">
        <v>17.399999999999999</v>
      </c>
      <c r="S37" s="1">
        <v>126.5</v>
      </c>
      <c r="T37" s="2">
        <f t="shared" si="1"/>
        <v>30</v>
      </c>
      <c r="U37" s="1">
        <v>128</v>
      </c>
      <c r="V37" s="2">
        <f t="shared" si="2"/>
        <v>3840</v>
      </c>
      <c r="W37" s="1">
        <v>12</v>
      </c>
      <c r="X37" s="1" t="s">
        <v>51</v>
      </c>
      <c r="Y37" s="1" t="s">
        <v>67</v>
      </c>
      <c r="Z37" s="1" t="s">
        <v>101</v>
      </c>
      <c r="AA37" s="1" t="s">
        <v>74</v>
      </c>
    </row>
    <row r="38" spans="1:27" x14ac:dyDescent="0.15">
      <c r="A38" s="1" t="s">
        <v>53</v>
      </c>
      <c r="B38" s="1" t="s">
        <v>336</v>
      </c>
      <c r="C38" s="1">
        <v>2020</v>
      </c>
      <c r="D38" s="132" t="s">
        <v>234</v>
      </c>
      <c r="E38" s="1" t="s">
        <v>174</v>
      </c>
      <c r="F38" s="1" t="s">
        <v>397</v>
      </c>
      <c r="G38" s="1" t="s">
        <v>37</v>
      </c>
      <c r="H38" s="1" t="s">
        <v>82</v>
      </c>
      <c r="I38" s="1" t="s">
        <v>64</v>
      </c>
      <c r="J38" s="1" t="s">
        <v>40</v>
      </c>
      <c r="K38" s="1" t="s">
        <v>41</v>
      </c>
      <c r="L38" s="1">
        <v>1</v>
      </c>
      <c r="N38" s="1">
        <v>4</v>
      </c>
      <c r="O38" s="1">
        <v>0.8</v>
      </c>
      <c r="P38" s="1">
        <v>0.75</v>
      </c>
      <c r="Q38" s="7">
        <f t="shared" ref="Q38:Q39" si="4">IF(OR(O38="",P38=""),"",AVERAGE(O38,P38))</f>
        <v>0.77500000000000002</v>
      </c>
      <c r="R38" s="1">
        <v>15.8</v>
      </c>
      <c r="S38" s="1">
        <v>107.5</v>
      </c>
      <c r="T38" s="2">
        <f t="shared" si="1"/>
        <v>33</v>
      </c>
      <c r="U38" s="1">
        <v>398</v>
      </c>
      <c r="V38" s="2">
        <f t="shared" si="2"/>
        <v>3283.5</v>
      </c>
      <c r="W38" s="1">
        <v>12</v>
      </c>
      <c r="X38" s="1" t="s">
        <v>51</v>
      </c>
      <c r="Y38" s="1" t="s">
        <v>67</v>
      </c>
      <c r="Z38" s="1" t="s">
        <v>101</v>
      </c>
      <c r="AA38" s="1" t="s">
        <v>74</v>
      </c>
    </row>
    <row r="39" spans="1:27" x14ac:dyDescent="0.15">
      <c r="A39" s="1" t="s">
        <v>53</v>
      </c>
      <c r="B39" s="1" t="s">
        <v>336</v>
      </c>
      <c r="C39" s="1">
        <v>2020</v>
      </c>
      <c r="D39" s="132" t="s">
        <v>234</v>
      </c>
      <c r="E39" s="1" t="s">
        <v>174</v>
      </c>
      <c r="F39" s="1" t="s">
        <v>397</v>
      </c>
      <c r="G39" s="1" t="s">
        <v>37</v>
      </c>
      <c r="H39" s="1" t="s">
        <v>82</v>
      </c>
      <c r="I39" s="1" t="s">
        <v>64</v>
      </c>
      <c r="J39" s="1" t="s">
        <v>40</v>
      </c>
      <c r="K39" s="1" t="s">
        <v>41</v>
      </c>
      <c r="L39" s="1">
        <v>2</v>
      </c>
      <c r="N39" s="1">
        <v>4</v>
      </c>
      <c r="O39" s="1">
        <v>0.2</v>
      </c>
      <c r="P39" s="1">
        <v>0.2</v>
      </c>
      <c r="Q39" s="7">
        <f t="shared" si="4"/>
        <v>0.2</v>
      </c>
      <c r="R39" s="1">
        <v>15.9</v>
      </c>
      <c r="S39" s="1">
        <v>110.5</v>
      </c>
      <c r="T39" s="2">
        <f t="shared" si="1"/>
        <v>33</v>
      </c>
      <c r="U39" s="1">
        <v>398</v>
      </c>
      <c r="V39" s="2">
        <f t="shared" si="2"/>
        <v>3283.5</v>
      </c>
      <c r="W39" s="1">
        <v>12</v>
      </c>
      <c r="X39" s="1" t="s">
        <v>51</v>
      </c>
      <c r="Y39" s="1" t="s">
        <v>67</v>
      </c>
      <c r="Z39" s="1" t="s">
        <v>101</v>
      </c>
      <c r="AA39" s="1" t="s">
        <v>74</v>
      </c>
    </row>
    <row r="40" spans="1:27" x14ac:dyDescent="0.15">
      <c r="A40" s="1" t="s">
        <v>53</v>
      </c>
      <c r="B40" s="1" t="s">
        <v>336</v>
      </c>
      <c r="C40" s="1">
        <v>2020</v>
      </c>
      <c r="D40" s="132" t="s">
        <v>234</v>
      </c>
      <c r="E40" s="1" t="s">
        <v>174</v>
      </c>
      <c r="F40" s="1" t="s">
        <v>397</v>
      </c>
      <c r="G40" s="1" t="s">
        <v>37</v>
      </c>
      <c r="H40" s="1" t="s">
        <v>82</v>
      </c>
      <c r="I40" s="1" t="s">
        <v>64</v>
      </c>
      <c r="J40" s="1" t="s">
        <v>40</v>
      </c>
      <c r="K40" s="1" t="s">
        <v>41</v>
      </c>
      <c r="L40" s="1">
        <v>3</v>
      </c>
      <c r="N40" s="1">
        <v>4</v>
      </c>
      <c r="O40" s="1">
        <v>0.85</v>
      </c>
      <c r="P40" s="1">
        <v>0.65</v>
      </c>
      <c r="Q40" s="7">
        <f>IF(OR(O40="",P40=""),"",AVERAGE(O40,P40))</f>
        <v>0.75</v>
      </c>
      <c r="R40" s="1">
        <v>16.399999999999999</v>
      </c>
      <c r="S40" s="1">
        <v>106</v>
      </c>
      <c r="T40" s="2">
        <f t="shared" si="1"/>
        <v>33</v>
      </c>
      <c r="U40" s="1">
        <v>398</v>
      </c>
      <c r="V40" s="2">
        <f t="shared" si="2"/>
        <v>3283.5</v>
      </c>
      <c r="W40" s="1">
        <v>12</v>
      </c>
      <c r="X40" s="1" t="s">
        <v>51</v>
      </c>
      <c r="Y40" s="1" t="s">
        <v>67</v>
      </c>
      <c r="Z40" s="1" t="s">
        <v>101</v>
      </c>
      <c r="AA40" s="1" t="s">
        <v>74</v>
      </c>
    </row>
    <row r="41" spans="1:27" x14ac:dyDescent="0.15">
      <c r="A41" s="1" t="s">
        <v>53</v>
      </c>
      <c r="B41" s="1" t="s">
        <v>336</v>
      </c>
      <c r="C41" s="1">
        <v>2020</v>
      </c>
      <c r="D41" s="132" t="s">
        <v>234</v>
      </c>
      <c r="E41" s="1" t="s">
        <v>174</v>
      </c>
      <c r="F41" s="1" t="s">
        <v>397</v>
      </c>
      <c r="G41" s="1" t="s">
        <v>37</v>
      </c>
      <c r="H41" s="1" t="s">
        <v>82</v>
      </c>
      <c r="I41" s="1" t="s">
        <v>64</v>
      </c>
      <c r="J41" s="1" t="s">
        <v>40</v>
      </c>
      <c r="K41" s="1" t="s">
        <v>41</v>
      </c>
      <c r="L41" s="1">
        <v>1</v>
      </c>
      <c r="N41" s="1">
        <v>4</v>
      </c>
      <c r="O41" s="1">
        <v>0.7</v>
      </c>
      <c r="P41" s="1">
        <v>1.2</v>
      </c>
      <c r="Q41" s="7">
        <f t="shared" si="0"/>
        <v>0.95</v>
      </c>
      <c r="R41" s="1">
        <v>16.100000000000001</v>
      </c>
      <c r="S41" s="1">
        <v>125.5</v>
      </c>
      <c r="T41" s="2">
        <f t="shared" si="1"/>
        <v>30</v>
      </c>
      <c r="U41" s="1">
        <v>498</v>
      </c>
      <c r="V41" s="2">
        <f t="shared" si="2"/>
        <v>3735</v>
      </c>
      <c r="W41" s="1">
        <v>12</v>
      </c>
      <c r="X41" s="1" t="s">
        <v>51</v>
      </c>
      <c r="Y41" s="1" t="s">
        <v>67</v>
      </c>
      <c r="Z41" s="1" t="s">
        <v>101</v>
      </c>
      <c r="AA41" s="1" t="s">
        <v>74</v>
      </c>
    </row>
    <row r="42" spans="1:27" x14ac:dyDescent="0.15">
      <c r="A42" s="1" t="s">
        <v>53</v>
      </c>
      <c r="B42" s="1" t="s">
        <v>336</v>
      </c>
      <c r="C42" s="1">
        <v>2020</v>
      </c>
      <c r="D42" s="132" t="s">
        <v>234</v>
      </c>
      <c r="E42" s="1" t="s">
        <v>174</v>
      </c>
      <c r="F42" s="1" t="s">
        <v>397</v>
      </c>
      <c r="G42" s="1" t="s">
        <v>37</v>
      </c>
      <c r="H42" s="1" t="s">
        <v>82</v>
      </c>
      <c r="I42" s="1" t="s">
        <v>64</v>
      </c>
      <c r="J42" s="1" t="s">
        <v>40</v>
      </c>
      <c r="K42" s="1" t="s">
        <v>41</v>
      </c>
      <c r="L42" s="1">
        <v>2</v>
      </c>
      <c r="N42" s="1">
        <v>4</v>
      </c>
      <c r="O42" s="1">
        <v>0.75</v>
      </c>
      <c r="P42" s="1">
        <v>0.6</v>
      </c>
      <c r="Q42" s="7">
        <f t="shared" si="0"/>
        <v>0.67500000000000004</v>
      </c>
      <c r="R42" s="1">
        <v>17.5</v>
      </c>
      <c r="S42" s="1">
        <v>128</v>
      </c>
      <c r="T42" s="2">
        <f t="shared" si="1"/>
        <v>30</v>
      </c>
      <c r="U42" s="1">
        <v>498</v>
      </c>
      <c r="V42" s="2">
        <f t="shared" si="2"/>
        <v>3735</v>
      </c>
      <c r="W42" s="1">
        <v>12</v>
      </c>
      <c r="X42" s="1" t="s">
        <v>51</v>
      </c>
      <c r="Y42" s="1" t="s">
        <v>67</v>
      </c>
      <c r="Z42" s="1" t="s">
        <v>101</v>
      </c>
      <c r="AA42" s="1" t="s">
        <v>74</v>
      </c>
    </row>
    <row r="43" spans="1:27" x14ac:dyDescent="0.15">
      <c r="A43" s="1" t="s">
        <v>53</v>
      </c>
      <c r="B43" s="1" t="s">
        <v>336</v>
      </c>
      <c r="C43" s="1">
        <v>2020</v>
      </c>
      <c r="D43" s="132" t="s">
        <v>234</v>
      </c>
      <c r="E43" s="1" t="s">
        <v>174</v>
      </c>
      <c r="F43" s="1" t="s">
        <v>397</v>
      </c>
      <c r="G43" s="1" t="s">
        <v>37</v>
      </c>
      <c r="H43" s="1" t="s">
        <v>82</v>
      </c>
      <c r="I43" s="1" t="s">
        <v>64</v>
      </c>
      <c r="J43" s="1" t="s">
        <v>40</v>
      </c>
      <c r="K43" s="1" t="s">
        <v>41</v>
      </c>
      <c r="L43" s="1">
        <v>3</v>
      </c>
      <c r="N43" s="1">
        <v>4</v>
      </c>
      <c r="O43" s="1">
        <v>0.2</v>
      </c>
      <c r="P43" s="1">
        <v>0.6</v>
      </c>
      <c r="Q43" s="7">
        <f t="shared" si="0"/>
        <v>0.4</v>
      </c>
      <c r="R43" s="1">
        <v>17.899999999999999</v>
      </c>
      <c r="S43" s="1">
        <v>125.5</v>
      </c>
      <c r="T43" s="2">
        <f t="shared" si="1"/>
        <v>30</v>
      </c>
      <c r="U43" s="1">
        <v>498</v>
      </c>
      <c r="V43" s="2">
        <f t="shared" si="2"/>
        <v>3735</v>
      </c>
      <c r="W43" s="1">
        <v>12</v>
      </c>
      <c r="X43" s="1" t="s">
        <v>51</v>
      </c>
      <c r="Y43" s="1" t="s">
        <v>67</v>
      </c>
      <c r="Z43" s="1" t="s">
        <v>101</v>
      </c>
      <c r="AA43" s="1" t="s">
        <v>74</v>
      </c>
    </row>
    <row r="44" spans="1:27" x14ac:dyDescent="0.15">
      <c r="A44" s="1" t="s">
        <v>53</v>
      </c>
      <c r="B44" s="1" t="s">
        <v>336</v>
      </c>
      <c r="C44" s="1">
        <v>2020</v>
      </c>
      <c r="D44" s="132" t="s">
        <v>234</v>
      </c>
      <c r="E44" s="1" t="s">
        <v>174</v>
      </c>
      <c r="F44" s="1" t="s">
        <v>397</v>
      </c>
      <c r="G44" s="1" t="s">
        <v>37</v>
      </c>
      <c r="H44" s="1" t="s">
        <v>82</v>
      </c>
      <c r="I44" s="1" t="s">
        <v>71</v>
      </c>
      <c r="J44" s="1" t="s">
        <v>40</v>
      </c>
      <c r="K44" s="1" t="s">
        <v>41</v>
      </c>
      <c r="L44" s="1">
        <v>1</v>
      </c>
      <c r="N44" s="1">
        <v>4</v>
      </c>
      <c r="O44" s="1">
        <v>0.55000000000000004</v>
      </c>
      <c r="P44" s="1">
        <v>0.45</v>
      </c>
      <c r="Q44" s="7">
        <f t="shared" si="0"/>
        <v>0.5</v>
      </c>
      <c r="R44" s="1">
        <v>15.8</v>
      </c>
      <c r="S44" s="1">
        <v>102</v>
      </c>
      <c r="T44" s="2">
        <f t="shared" si="1"/>
        <v>33</v>
      </c>
      <c r="U44" s="1">
        <v>498</v>
      </c>
      <c r="V44" s="2">
        <f t="shared" si="2"/>
        <v>4108.5</v>
      </c>
      <c r="W44" s="1">
        <v>12</v>
      </c>
      <c r="X44" s="1" t="s">
        <v>51</v>
      </c>
      <c r="Y44" s="1" t="s">
        <v>67</v>
      </c>
      <c r="Z44" s="1" t="s">
        <v>101</v>
      </c>
      <c r="AA44" s="1" t="s">
        <v>74</v>
      </c>
    </row>
    <row r="45" spans="1:27" x14ac:dyDescent="0.15">
      <c r="A45" s="1" t="s">
        <v>53</v>
      </c>
      <c r="B45" s="1" t="s">
        <v>336</v>
      </c>
      <c r="C45" s="1">
        <v>2020</v>
      </c>
      <c r="D45" s="132" t="s">
        <v>234</v>
      </c>
      <c r="E45" s="1" t="s">
        <v>174</v>
      </c>
      <c r="F45" s="1" t="s">
        <v>397</v>
      </c>
      <c r="G45" s="1" t="s">
        <v>37</v>
      </c>
      <c r="H45" s="1" t="s">
        <v>82</v>
      </c>
      <c r="I45" s="1" t="s">
        <v>71</v>
      </c>
      <c r="J45" s="1" t="s">
        <v>40</v>
      </c>
      <c r="K45" s="1" t="s">
        <v>41</v>
      </c>
      <c r="L45" s="1">
        <v>2</v>
      </c>
      <c r="N45" s="1">
        <v>4</v>
      </c>
      <c r="O45" s="1">
        <v>0.5</v>
      </c>
      <c r="P45" s="1">
        <v>0.55000000000000004</v>
      </c>
      <c r="Q45" s="7">
        <f t="shared" si="0"/>
        <v>0.52500000000000002</v>
      </c>
      <c r="R45" s="1">
        <v>15</v>
      </c>
      <c r="S45" s="1">
        <v>99.5</v>
      </c>
      <c r="T45" s="2">
        <f t="shared" si="1"/>
        <v>33</v>
      </c>
      <c r="U45" s="1">
        <v>498</v>
      </c>
      <c r="V45" s="2">
        <f t="shared" si="2"/>
        <v>4108.5</v>
      </c>
      <c r="W45" s="1">
        <v>12</v>
      </c>
      <c r="X45" s="1" t="s">
        <v>51</v>
      </c>
      <c r="Y45" s="1" t="s">
        <v>67</v>
      </c>
      <c r="Z45" s="1" t="s">
        <v>101</v>
      </c>
      <c r="AA45" s="1" t="s">
        <v>74</v>
      </c>
    </row>
    <row r="46" spans="1:27" x14ac:dyDescent="0.15">
      <c r="A46" s="1" t="s">
        <v>53</v>
      </c>
      <c r="B46" s="1" t="s">
        <v>336</v>
      </c>
      <c r="C46" s="1">
        <v>2020</v>
      </c>
      <c r="D46" s="132" t="s">
        <v>234</v>
      </c>
      <c r="E46" s="1" t="s">
        <v>174</v>
      </c>
      <c r="F46" s="1" t="s">
        <v>397</v>
      </c>
      <c r="G46" s="1" t="s">
        <v>37</v>
      </c>
      <c r="H46" s="1" t="s">
        <v>82</v>
      </c>
      <c r="I46" s="1" t="s">
        <v>71</v>
      </c>
      <c r="J46" s="1" t="s">
        <v>40</v>
      </c>
      <c r="K46" s="1" t="s">
        <v>41</v>
      </c>
      <c r="L46" s="1">
        <v>3</v>
      </c>
      <c r="N46" s="1">
        <v>4</v>
      </c>
      <c r="O46" s="1">
        <v>0.55000000000000004</v>
      </c>
      <c r="P46" s="1">
        <v>0.7</v>
      </c>
      <c r="Q46" s="7">
        <f t="shared" si="0"/>
        <v>0.625</v>
      </c>
      <c r="R46" s="1">
        <v>14.7</v>
      </c>
      <c r="S46" s="1">
        <v>98</v>
      </c>
      <c r="T46" s="2">
        <f t="shared" si="1"/>
        <v>36</v>
      </c>
      <c r="U46" s="1">
        <v>498</v>
      </c>
      <c r="V46" s="2">
        <f t="shared" si="2"/>
        <v>4482</v>
      </c>
      <c r="W46" s="1">
        <v>12</v>
      </c>
      <c r="X46" s="1" t="s">
        <v>51</v>
      </c>
      <c r="Y46" s="1" t="s">
        <v>67</v>
      </c>
      <c r="Z46" s="1" t="s">
        <v>101</v>
      </c>
      <c r="AA46" s="1" t="s">
        <v>74</v>
      </c>
    </row>
    <row r="47" spans="1:27" x14ac:dyDescent="0.15">
      <c r="A47" s="1" t="s">
        <v>53</v>
      </c>
      <c r="B47" s="1" t="s">
        <v>336</v>
      </c>
      <c r="C47" s="1">
        <v>2020</v>
      </c>
      <c r="D47" s="132" t="s">
        <v>234</v>
      </c>
      <c r="E47" s="1" t="s">
        <v>206</v>
      </c>
      <c r="F47" s="1" t="s">
        <v>399</v>
      </c>
      <c r="G47" s="1" t="s">
        <v>46</v>
      </c>
      <c r="H47" s="1" t="s">
        <v>63</v>
      </c>
      <c r="I47" s="1" t="s">
        <v>64</v>
      </c>
      <c r="J47" s="1" t="s">
        <v>40</v>
      </c>
      <c r="K47" s="1" t="s">
        <v>41</v>
      </c>
      <c r="L47" s="1">
        <v>1</v>
      </c>
      <c r="N47" s="1">
        <v>1</v>
      </c>
      <c r="O47" s="1">
        <v>0.95</v>
      </c>
      <c r="P47" s="1">
        <v>1.1499999999999999</v>
      </c>
      <c r="Q47" s="7">
        <f t="shared" si="0"/>
        <v>1.0499999999999998</v>
      </c>
      <c r="R47" s="1">
        <v>14.1</v>
      </c>
      <c r="S47" s="1">
        <v>134.5</v>
      </c>
      <c r="T47" s="2">
        <f t="shared" si="1"/>
        <v>30</v>
      </c>
      <c r="U47" s="1">
        <v>100</v>
      </c>
      <c r="V47" s="2">
        <f t="shared" si="2"/>
        <v>3000</v>
      </c>
      <c r="W47" s="1">
        <v>9</v>
      </c>
      <c r="X47" s="1" t="s">
        <v>51</v>
      </c>
      <c r="Y47" s="1" t="s">
        <v>67</v>
      </c>
      <c r="Z47" s="1" t="s">
        <v>101</v>
      </c>
      <c r="AA47" s="1" t="s">
        <v>43</v>
      </c>
    </row>
    <row r="48" spans="1:27" x14ac:dyDescent="0.15">
      <c r="A48" s="1" t="s">
        <v>53</v>
      </c>
      <c r="B48" s="1" t="s">
        <v>336</v>
      </c>
      <c r="C48" s="1">
        <v>2020</v>
      </c>
      <c r="D48" s="132" t="s">
        <v>234</v>
      </c>
      <c r="E48" s="1" t="s">
        <v>206</v>
      </c>
      <c r="F48" s="1" t="s">
        <v>399</v>
      </c>
      <c r="G48" s="1" t="s">
        <v>46</v>
      </c>
      <c r="H48" s="1" t="s">
        <v>63</v>
      </c>
      <c r="I48" s="1" t="s">
        <v>64</v>
      </c>
      <c r="J48" s="1" t="s">
        <v>40</v>
      </c>
      <c r="K48" s="1" t="s">
        <v>41</v>
      </c>
      <c r="L48" s="1">
        <v>2</v>
      </c>
      <c r="N48" s="1">
        <v>1</v>
      </c>
      <c r="O48" s="1">
        <v>1.1000000000000001</v>
      </c>
      <c r="P48" s="1">
        <v>0.75</v>
      </c>
      <c r="Q48" s="7">
        <f t="shared" si="0"/>
        <v>0.92500000000000004</v>
      </c>
      <c r="R48" s="1">
        <v>15</v>
      </c>
      <c r="S48" s="1">
        <v>132</v>
      </c>
      <c r="T48" s="2">
        <f t="shared" si="1"/>
        <v>30</v>
      </c>
      <c r="U48" s="1">
        <v>100</v>
      </c>
      <c r="V48" s="2">
        <f t="shared" si="2"/>
        <v>3000</v>
      </c>
      <c r="W48" s="1">
        <v>9</v>
      </c>
      <c r="X48" s="1" t="s">
        <v>51</v>
      </c>
      <c r="Y48" s="1" t="s">
        <v>67</v>
      </c>
      <c r="Z48" s="1" t="s">
        <v>101</v>
      </c>
      <c r="AA48" s="1" t="s">
        <v>43</v>
      </c>
    </row>
    <row r="49" spans="1:27" x14ac:dyDescent="0.15">
      <c r="A49" s="1" t="s">
        <v>53</v>
      </c>
      <c r="B49" s="1" t="s">
        <v>336</v>
      </c>
      <c r="C49" s="1">
        <v>2020</v>
      </c>
      <c r="D49" s="132" t="s">
        <v>234</v>
      </c>
      <c r="E49" s="1" t="s">
        <v>206</v>
      </c>
      <c r="F49" s="1" t="s">
        <v>399</v>
      </c>
      <c r="G49" s="1" t="s">
        <v>46</v>
      </c>
      <c r="H49" s="1" t="s">
        <v>63</v>
      </c>
      <c r="I49" s="1" t="s">
        <v>64</v>
      </c>
      <c r="J49" s="1" t="s">
        <v>40</v>
      </c>
      <c r="K49" s="1" t="s">
        <v>41</v>
      </c>
      <c r="L49" s="1">
        <v>3</v>
      </c>
      <c r="N49" s="1">
        <v>1</v>
      </c>
      <c r="O49" s="1">
        <v>1.2</v>
      </c>
      <c r="P49" s="1">
        <v>1.25</v>
      </c>
      <c r="Q49" s="7">
        <f t="shared" si="0"/>
        <v>1.2250000000000001</v>
      </c>
      <c r="R49" s="1">
        <v>12.7</v>
      </c>
      <c r="S49" s="1">
        <v>124</v>
      </c>
      <c r="T49" s="2">
        <f t="shared" si="1"/>
        <v>30</v>
      </c>
      <c r="U49" s="1">
        <v>100</v>
      </c>
      <c r="V49" s="2">
        <f t="shared" si="2"/>
        <v>3000</v>
      </c>
      <c r="W49" s="1">
        <v>9</v>
      </c>
      <c r="X49" s="1" t="s">
        <v>51</v>
      </c>
      <c r="Y49" s="1" t="s">
        <v>67</v>
      </c>
      <c r="Z49" s="1" t="s">
        <v>101</v>
      </c>
      <c r="AA49" s="1" t="s">
        <v>43</v>
      </c>
    </row>
    <row r="50" spans="1:27" x14ac:dyDescent="0.15">
      <c r="A50" s="1" t="s">
        <v>53</v>
      </c>
      <c r="B50" s="1" t="s">
        <v>336</v>
      </c>
      <c r="C50" s="1">
        <v>2020</v>
      </c>
      <c r="D50" s="132" t="s">
        <v>234</v>
      </c>
      <c r="E50" s="1" t="s">
        <v>206</v>
      </c>
      <c r="F50" s="1" t="s">
        <v>399</v>
      </c>
      <c r="G50" s="1" t="s">
        <v>46</v>
      </c>
      <c r="H50" s="1" t="s">
        <v>63</v>
      </c>
      <c r="I50" s="1" t="s">
        <v>64</v>
      </c>
      <c r="J50" s="1" t="s">
        <v>40</v>
      </c>
      <c r="K50" s="1" t="s">
        <v>41</v>
      </c>
      <c r="L50" s="1">
        <v>1</v>
      </c>
      <c r="N50" s="1">
        <v>5</v>
      </c>
      <c r="O50" s="1">
        <v>0.9</v>
      </c>
      <c r="P50" s="1">
        <v>0.75</v>
      </c>
      <c r="Q50" s="7">
        <f t="shared" si="0"/>
        <v>0.82499999999999996</v>
      </c>
      <c r="R50" s="1">
        <v>15.9</v>
      </c>
      <c r="S50" s="1">
        <v>93</v>
      </c>
      <c r="T50" s="2">
        <f t="shared" si="1"/>
        <v>36</v>
      </c>
      <c r="U50" s="1">
        <v>398</v>
      </c>
      <c r="V50" s="2">
        <f t="shared" si="2"/>
        <v>2865.6</v>
      </c>
      <c r="W50" s="1">
        <v>9</v>
      </c>
      <c r="X50" s="1" t="s">
        <v>51</v>
      </c>
      <c r="Y50" s="1" t="s">
        <v>67</v>
      </c>
      <c r="Z50" s="1" t="s">
        <v>101</v>
      </c>
      <c r="AA50" s="1" t="s">
        <v>43</v>
      </c>
    </row>
    <row r="51" spans="1:27" x14ac:dyDescent="0.15">
      <c r="A51" s="1" t="s">
        <v>53</v>
      </c>
      <c r="B51" s="1" t="s">
        <v>336</v>
      </c>
      <c r="C51" s="1">
        <v>2020</v>
      </c>
      <c r="D51" s="132" t="s">
        <v>234</v>
      </c>
      <c r="E51" s="1" t="s">
        <v>206</v>
      </c>
      <c r="F51" s="1" t="s">
        <v>399</v>
      </c>
      <c r="G51" s="1" t="s">
        <v>46</v>
      </c>
      <c r="H51" s="1" t="s">
        <v>63</v>
      </c>
      <c r="I51" s="1" t="s">
        <v>64</v>
      </c>
      <c r="J51" s="1" t="s">
        <v>40</v>
      </c>
      <c r="K51" s="1" t="s">
        <v>41</v>
      </c>
      <c r="L51" s="1">
        <v>2</v>
      </c>
      <c r="N51" s="1">
        <v>5</v>
      </c>
      <c r="O51" s="1">
        <v>0.95</v>
      </c>
      <c r="P51" s="1">
        <v>0.8</v>
      </c>
      <c r="Q51" s="7">
        <f t="shared" si="0"/>
        <v>0.875</v>
      </c>
      <c r="R51" s="1">
        <v>15.4</v>
      </c>
      <c r="S51" s="1">
        <v>102.5</v>
      </c>
      <c r="T51" s="2">
        <f t="shared" si="1"/>
        <v>33</v>
      </c>
      <c r="U51" s="1">
        <v>398</v>
      </c>
      <c r="V51" s="2">
        <f t="shared" si="2"/>
        <v>2626.7999999999997</v>
      </c>
      <c r="W51" s="1">
        <v>9</v>
      </c>
      <c r="X51" s="1" t="s">
        <v>51</v>
      </c>
      <c r="Y51" s="1" t="s">
        <v>67</v>
      </c>
      <c r="Z51" s="1" t="s">
        <v>101</v>
      </c>
      <c r="AA51" s="1" t="s">
        <v>43</v>
      </c>
    </row>
    <row r="52" spans="1:27" x14ac:dyDescent="0.15">
      <c r="A52" s="1" t="s">
        <v>53</v>
      </c>
      <c r="B52" s="1" t="s">
        <v>336</v>
      </c>
      <c r="C52" s="1">
        <v>2020</v>
      </c>
      <c r="D52" s="132" t="s">
        <v>234</v>
      </c>
      <c r="E52" s="1" t="s">
        <v>206</v>
      </c>
      <c r="F52" s="1" t="s">
        <v>399</v>
      </c>
      <c r="G52" s="1" t="s">
        <v>46</v>
      </c>
      <c r="H52" s="1" t="s">
        <v>63</v>
      </c>
      <c r="I52" s="1" t="s">
        <v>64</v>
      </c>
      <c r="J52" s="1" t="s">
        <v>40</v>
      </c>
      <c r="K52" s="1" t="s">
        <v>41</v>
      </c>
      <c r="L52" s="1">
        <v>3</v>
      </c>
      <c r="N52" s="1">
        <v>5</v>
      </c>
      <c r="O52" s="1">
        <v>0.85</v>
      </c>
      <c r="P52" s="1">
        <v>0.9</v>
      </c>
      <c r="Q52" s="7">
        <f t="shared" si="0"/>
        <v>0.875</v>
      </c>
      <c r="R52" s="1">
        <v>15.6</v>
      </c>
      <c r="S52" s="1">
        <v>95</v>
      </c>
      <c r="T52" s="2">
        <f t="shared" si="1"/>
        <v>36</v>
      </c>
      <c r="U52" s="1">
        <v>398</v>
      </c>
      <c r="V52" s="2">
        <f t="shared" si="2"/>
        <v>2865.6</v>
      </c>
      <c r="W52" s="1">
        <v>9</v>
      </c>
      <c r="X52" s="1" t="s">
        <v>51</v>
      </c>
      <c r="Y52" s="1" t="s">
        <v>67</v>
      </c>
      <c r="Z52" s="1" t="s">
        <v>101</v>
      </c>
      <c r="AA52" s="1" t="s">
        <v>43</v>
      </c>
    </row>
    <row r="53" spans="1:27" x14ac:dyDescent="0.15">
      <c r="A53" s="1" t="s">
        <v>53</v>
      </c>
      <c r="B53" s="1" t="s">
        <v>336</v>
      </c>
      <c r="C53" s="1">
        <v>2020</v>
      </c>
      <c r="D53" s="132" t="s">
        <v>234</v>
      </c>
      <c r="E53" s="1" t="s">
        <v>206</v>
      </c>
      <c r="F53" s="1" t="s">
        <v>399</v>
      </c>
      <c r="G53" s="1" t="s">
        <v>46</v>
      </c>
      <c r="H53" s="1" t="s">
        <v>82</v>
      </c>
      <c r="I53" s="1" t="s">
        <v>64</v>
      </c>
      <c r="J53" s="1" t="s">
        <v>40</v>
      </c>
      <c r="K53" s="1" t="s">
        <v>41</v>
      </c>
      <c r="L53" s="1">
        <v>1</v>
      </c>
      <c r="N53" s="1">
        <v>1</v>
      </c>
      <c r="O53" s="1">
        <v>1</v>
      </c>
      <c r="P53" s="1">
        <v>0.7</v>
      </c>
      <c r="Q53" s="7">
        <f t="shared" si="0"/>
        <v>0.85</v>
      </c>
      <c r="R53" s="1">
        <v>17.8</v>
      </c>
      <c r="S53" s="1">
        <v>136.5</v>
      </c>
      <c r="T53" s="2">
        <f t="shared" si="1"/>
        <v>30</v>
      </c>
      <c r="U53" s="1">
        <v>128</v>
      </c>
      <c r="V53" s="2">
        <f t="shared" si="2"/>
        <v>3840</v>
      </c>
      <c r="W53" s="1">
        <v>9</v>
      </c>
      <c r="X53" s="1" t="s">
        <v>51</v>
      </c>
      <c r="Y53" s="1" t="s">
        <v>67</v>
      </c>
      <c r="Z53" s="1" t="s">
        <v>101</v>
      </c>
      <c r="AA53" s="1" t="s">
        <v>43</v>
      </c>
    </row>
    <row r="54" spans="1:27" x14ac:dyDescent="0.15">
      <c r="A54" s="1" t="s">
        <v>53</v>
      </c>
      <c r="B54" s="1" t="s">
        <v>336</v>
      </c>
      <c r="C54" s="1">
        <v>2020</v>
      </c>
      <c r="D54" s="132" t="s">
        <v>234</v>
      </c>
      <c r="E54" s="1" t="s">
        <v>206</v>
      </c>
      <c r="F54" s="1" t="s">
        <v>399</v>
      </c>
      <c r="G54" s="1" t="s">
        <v>46</v>
      </c>
      <c r="H54" s="1" t="s">
        <v>82</v>
      </c>
      <c r="I54" s="1" t="s">
        <v>64</v>
      </c>
      <c r="J54" s="1" t="s">
        <v>40</v>
      </c>
      <c r="K54" s="1" t="s">
        <v>41</v>
      </c>
      <c r="L54" s="1">
        <v>2</v>
      </c>
      <c r="N54" s="1">
        <v>1</v>
      </c>
      <c r="O54" s="1">
        <v>0.6</v>
      </c>
      <c r="P54" s="1">
        <v>0.7</v>
      </c>
      <c r="Q54" s="7">
        <f t="shared" si="0"/>
        <v>0.64999999999999991</v>
      </c>
      <c r="R54" s="1">
        <v>16.600000000000001</v>
      </c>
      <c r="S54" s="1">
        <v>138.5</v>
      </c>
      <c r="T54" s="2">
        <f t="shared" si="1"/>
        <v>30</v>
      </c>
      <c r="U54" s="1">
        <v>128</v>
      </c>
      <c r="V54" s="2">
        <f t="shared" si="2"/>
        <v>3840</v>
      </c>
      <c r="W54" s="1">
        <v>9</v>
      </c>
      <c r="X54" s="1" t="s">
        <v>51</v>
      </c>
      <c r="Y54" s="1" t="s">
        <v>67</v>
      </c>
      <c r="Z54" s="1" t="s">
        <v>101</v>
      </c>
      <c r="AA54" s="1" t="s">
        <v>43</v>
      </c>
    </row>
    <row r="55" spans="1:27" x14ac:dyDescent="0.15">
      <c r="A55" s="1" t="s">
        <v>53</v>
      </c>
      <c r="B55" s="1" t="s">
        <v>336</v>
      </c>
      <c r="C55" s="1">
        <v>2020</v>
      </c>
      <c r="D55" s="132" t="s">
        <v>234</v>
      </c>
      <c r="E55" s="1" t="s">
        <v>206</v>
      </c>
      <c r="F55" s="1" t="s">
        <v>399</v>
      </c>
      <c r="G55" s="1" t="s">
        <v>46</v>
      </c>
      <c r="H55" s="1" t="s">
        <v>82</v>
      </c>
      <c r="I55" s="1" t="s">
        <v>64</v>
      </c>
      <c r="J55" s="1" t="s">
        <v>40</v>
      </c>
      <c r="K55" s="1" t="s">
        <v>41</v>
      </c>
      <c r="L55" s="1">
        <v>3</v>
      </c>
      <c r="N55" s="1">
        <v>1</v>
      </c>
      <c r="O55" s="1">
        <v>0.5</v>
      </c>
      <c r="P55" s="1">
        <v>0.75</v>
      </c>
      <c r="Q55" s="7">
        <f t="shared" si="0"/>
        <v>0.625</v>
      </c>
      <c r="R55" s="1">
        <v>16.100000000000001</v>
      </c>
      <c r="S55" s="1">
        <v>140</v>
      </c>
      <c r="T55" s="2">
        <f t="shared" si="1"/>
        <v>30</v>
      </c>
      <c r="U55" s="1">
        <v>128</v>
      </c>
      <c r="V55" s="2">
        <f t="shared" si="2"/>
        <v>3840</v>
      </c>
      <c r="W55" s="1">
        <v>9</v>
      </c>
      <c r="X55" s="1" t="s">
        <v>51</v>
      </c>
      <c r="Y55" s="1" t="s">
        <v>67</v>
      </c>
      <c r="Z55" s="1" t="s">
        <v>101</v>
      </c>
      <c r="AA55" s="1" t="s">
        <v>43</v>
      </c>
    </row>
    <row r="56" spans="1:27" x14ac:dyDescent="0.15">
      <c r="A56" s="1" t="s">
        <v>53</v>
      </c>
      <c r="B56" s="1" t="s">
        <v>336</v>
      </c>
      <c r="C56" s="1">
        <v>2020</v>
      </c>
      <c r="D56" s="132" t="s">
        <v>234</v>
      </c>
      <c r="E56" s="1" t="s">
        <v>206</v>
      </c>
      <c r="F56" s="1" t="s">
        <v>399</v>
      </c>
      <c r="G56" s="1" t="s">
        <v>46</v>
      </c>
      <c r="H56" s="1" t="s">
        <v>82</v>
      </c>
      <c r="I56" s="1" t="s">
        <v>64</v>
      </c>
      <c r="J56" s="1" t="s">
        <v>40</v>
      </c>
      <c r="K56" s="1" t="s">
        <v>41</v>
      </c>
      <c r="L56" s="1">
        <v>1</v>
      </c>
      <c r="N56" s="1">
        <v>4</v>
      </c>
      <c r="O56" s="1">
        <v>1.1499999999999999</v>
      </c>
      <c r="P56" s="1">
        <v>0.7</v>
      </c>
      <c r="Q56" s="7">
        <f t="shared" si="0"/>
        <v>0.92499999999999993</v>
      </c>
      <c r="R56" s="1">
        <v>15.4</v>
      </c>
      <c r="S56" s="1">
        <v>99.5</v>
      </c>
      <c r="T56" s="2">
        <f t="shared" si="1"/>
        <v>33</v>
      </c>
      <c r="U56" s="1">
        <v>398</v>
      </c>
      <c r="V56" s="2">
        <f t="shared" si="2"/>
        <v>3283.5</v>
      </c>
      <c r="W56" s="1">
        <v>9</v>
      </c>
      <c r="X56" s="1" t="s">
        <v>51</v>
      </c>
      <c r="Y56" s="1" t="s">
        <v>67</v>
      </c>
      <c r="Z56" s="1" t="s">
        <v>101</v>
      </c>
      <c r="AA56" s="1" t="s">
        <v>43</v>
      </c>
    </row>
    <row r="57" spans="1:27" x14ac:dyDescent="0.15">
      <c r="A57" s="1" t="s">
        <v>53</v>
      </c>
      <c r="B57" s="1" t="s">
        <v>336</v>
      </c>
      <c r="C57" s="1">
        <v>2020</v>
      </c>
      <c r="D57" s="132" t="s">
        <v>234</v>
      </c>
      <c r="E57" s="1" t="s">
        <v>206</v>
      </c>
      <c r="F57" s="1" t="s">
        <v>399</v>
      </c>
      <c r="G57" s="1" t="s">
        <v>46</v>
      </c>
      <c r="H57" s="1" t="s">
        <v>82</v>
      </c>
      <c r="I57" s="1" t="s">
        <v>64</v>
      </c>
      <c r="J57" s="1" t="s">
        <v>40</v>
      </c>
      <c r="K57" s="1" t="s">
        <v>41</v>
      </c>
      <c r="L57" s="1">
        <v>2</v>
      </c>
      <c r="N57" s="1">
        <v>4</v>
      </c>
      <c r="O57" s="1">
        <v>0.6</v>
      </c>
      <c r="P57" s="1">
        <v>0.6</v>
      </c>
      <c r="Q57" s="7">
        <f t="shared" si="0"/>
        <v>0.6</v>
      </c>
      <c r="R57" s="1">
        <v>15</v>
      </c>
      <c r="S57" s="1">
        <v>99</v>
      </c>
      <c r="T57" s="2">
        <f t="shared" si="1"/>
        <v>33</v>
      </c>
      <c r="U57" s="1">
        <v>398</v>
      </c>
      <c r="V57" s="2">
        <f t="shared" si="2"/>
        <v>3283.5</v>
      </c>
      <c r="W57" s="1">
        <v>9</v>
      </c>
      <c r="X57" s="1" t="s">
        <v>51</v>
      </c>
      <c r="Y57" s="1" t="s">
        <v>67</v>
      </c>
      <c r="Z57" s="1" t="s">
        <v>101</v>
      </c>
      <c r="AA57" s="1" t="s">
        <v>43</v>
      </c>
    </row>
    <row r="58" spans="1:27" x14ac:dyDescent="0.15">
      <c r="A58" s="1" t="s">
        <v>53</v>
      </c>
      <c r="B58" s="1" t="s">
        <v>336</v>
      </c>
      <c r="C58" s="1">
        <v>2020</v>
      </c>
      <c r="D58" s="132" t="s">
        <v>234</v>
      </c>
      <c r="E58" s="1" t="s">
        <v>206</v>
      </c>
      <c r="F58" s="1" t="s">
        <v>399</v>
      </c>
      <c r="G58" s="1" t="s">
        <v>46</v>
      </c>
      <c r="H58" s="1" t="s">
        <v>82</v>
      </c>
      <c r="I58" s="1" t="s">
        <v>64</v>
      </c>
      <c r="J58" s="1" t="s">
        <v>40</v>
      </c>
      <c r="K58" s="1" t="s">
        <v>41</v>
      </c>
      <c r="L58" s="1">
        <v>3</v>
      </c>
      <c r="N58" s="1">
        <v>4</v>
      </c>
      <c r="O58" s="1">
        <v>0.9</v>
      </c>
      <c r="P58" s="1">
        <v>0.5</v>
      </c>
      <c r="Q58" s="7">
        <f t="shared" si="0"/>
        <v>0.7</v>
      </c>
      <c r="R58" s="1">
        <v>15.4</v>
      </c>
      <c r="S58" s="1">
        <v>104.5</v>
      </c>
      <c r="T58" s="2">
        <f t="shared" si="1"/>
        <v>33</v>
      </c>
      <c r="U58" s="1">
        <v>398</v>
      </c>
      <c r="V58" s="2">
        <f t="shared" si="2"/>
        <v>3283.5</v>
      </c>
      <c r="W58" s="1">
        <v>9</v>
      </c>
      <c r="X58" s="1" t="s">
        <v>51</v>
      </c>
      <c r="Y58" s="1" t="s">
        <v>67</v>
      </c>
      <c r="Z58" s="1" t="s">
        <v>101</v>
      </c>
      <c r="AA58" s="1" t="s">
        <v>43</v>
      </c>
    </row>
    <row r="59" spans="1:27" x14ac:dyDescent="0.15">
      <c r="A59" s="1" t="s">
        <v>53</v>
      </c>
      <c r="B59" s="1" t="s">
        <v>336</v>
      </c>
      <c r="C59" s="1">
        <v>2020</v>
      </c>
      <c r="D59" s="132" t="s">
        <v>234</v>
      </c>
      <c r="E59" s="1" t="s">
        <v>211</v>
      </c>
      <c r="F59" s="1" t="s">
        <v>401</v>
      </c>
      <c r="G59" s="1" t="s">
        <v>37</v>
      </c>
      <c r="H59" s="1" t="s">
        <v>63</v>
      </c>
      <c r="I59" s="1" t="s">
        <v>64</v>
      </c>
      <c r="J59" s="1" t="s">
        <v>40</v>
      </c>
      <c r="K59" s="1" t="s">
        <v>41</v>
      </c>
      <c r="L59" s="1">
        <v>1</v>
      </c>
      <c r="N59" s="1">
        <v>1</v>
      </c>
      <c r="O59" s="1">
        <v>0.65</v>
      </c>
      <c r="P59" s="1">
        <v>0.6</v>
      </c>
      <c r="Q59" s="7">
        <f t="shared" si="0"/>
        <v>0.625</v>
      </c>
      <c r="R59" s="1">
        <v>16.100000000000001</v>
      </c>
      <c r="S59" s="1">
        <v>121</v>
      </c>
      <c r="T59" s="2">
        <f t="shared" si="1"/>
        <v>30</v>
      </c>
      <c r="U59" s="1">
        <v>128</v>
      </c>
      <c r="V59" s="2">
        <f t="shared" si="2"/>
        <v>3840</v>
      </c>
      <c r="W59" s="1">
        <v>12</v>
      </c>
      <c r="X59" s="1" t="s">
        <v>51</v>
      </c>
      <c r="Y59" s="1" t="s">
        <v>67</v>
      </c>
      <c r="Z59" s="1" t="s">
        <v>112</v>
      </c>
      <c r="AA59" s="1" t="s">
        <v>101</v>
      </c>
    </row>
    <row r="60" spans="1:27" x14ac:dyDescent="0.15">
      <c r="A60" s="1" t="s">
        <v>53</v>
      </c>
      <c r="B60" s="1" t="s">
        <v>336</v>
      </c>
      <c r="C60" s="1">
        <v>2020</v>
      </c>
      <c r="D60" s="132" t="s">
        <v>234</v>
      </c>
      <c r="E60" s="1" t="s">
        <v>211</v>
      </c>
      <c r="F60" s="1" t="s">
        <v>401</v>
      </c>
      <c r="G60" s="1" t="s">
        <v>37</v>
      </c>
      <c r="H60" s="1" t="s">
        <v>63</v>
      </c>
      <c r="I60" s="1" t="s">
        <v>64</v>
      </c>
      <c r="J60" s="1" t="s">
        <v>40</v>
      </c>
      <c r="K60" s="1" t="s">
        <v>41</v>
      </c>
      <c r="L60" s="1">
        <v>2</v>
      </c>
      <c r="N60" s="1">
        <v>1</v>
      </c>
      <c r="O60" s="1">
        <v>0.85</v>
      </c>
      <c r="P60" s="1">
        <v>1</v>
      </c>
      <c r="Q60" s="7">
        <f t="shared" si="0"/>
        <v>0.92500000000000004</v>
      </c>
      <c r="R60" s="1">
        <v>15.2</v>
      </c>
      <c r="S60" s="1">
        <v>113</v>
      </c>
      <c r="T60" s="2">
        <f t="shared" si="1"/>
        <v>30</v>
      </c>
      <c r="U60" s="1">
        <v>128</v>
      </c>
      <c r="V60" s="2">
        <f t="shared" si="2"/>
        <v>3840</v>
      </c>
      <c r="W60" s="1">
        <v>12</v>
      </c>
      <c r="X60" s="1" t="s">
        <v>51</v>
      </c>
      <c r="Y60" s="1" t="s">
        <v>67</v>
      </c>
      <c r="Z60" s="1" t="s">
        <v>112</v>
      </c>
      <c r="AA60" s="1" t="s">
        <v>101</v>
      </c>
    </row>
    <row r="61" spans="1:27" x14ac:dyDescent="0.15">
      <c r="A61" s="1" t="s">
        <v>53</v>
      </c>
      <c r="B61" s="1" t="s">
        <v>336</v>
      </c>
      <c r="C61" s="1">
        <v>2020</v>
      </c>
      <c r="D61" s="132" t="s">
        <v>234</v>
      </c>
      <c r="E61" s="1" t="s">
        <v>211</v>
      </c>
      <c r="F61" s="1" t="s">
        <v>401</v>
      </c>
      <c r="G61" s="1" t="s">
        <v>37</v>
      </c>
      <c r="H61" s="1" t="s">
        <v>63</v>
      </c>
      <c r="I61" s="1" t="s">
        <v>64</v>
      </c>
      <c r="J61" s="1" t="s">
        <v>40</v>
      </c>
      <c r="K61" s="1" t="s">
        <v>41</v>
      </c>
      <c r="L61" s="1">
        <v>3</v>
      </c>
      <c r="N61" s="1">
        <v>1</v>
      </c>
      <c r="O61" s="1">
        <v>0.75</v>
      </c>
      <c r="P61" s="1">
        <v>0.75</v>
      </c>
      <c r="Q61" s="7">
        <f t="shared" si="0"/>
        <v>0.75</v>
      </c>
      <c r="R61" s="1">
        <v>15.2</v>
      </c>
      <c r="S61" s="1">
        <v>113.5</v>
      </c>
      <c r="T61" s="2">
        <f t="shared" si="1"/>
        <v>30</v>
      </c>
      <c r="U61" s="1">
        <v>128</v>
      </c>
      <c r="V61" s="2">
        <f t="shared" si="2"/>
        <v>3840</v>
      </c>
      <c r="W61" s="1">
        <v>12</v>
      </c>
      <c r="X61" s="1" t="s">
        <v>51</v>
      </c>
      <c r="Y61" s="1" t="s">
        <v>67</v>
      </c>
      <c r="Z61" s="1" t="s">
        <v>112</v>
      </c>
      <c r="AA61" s="1" t="s">
        <v>101</v>
      </c>
    </row>
    <row r="62" spans="1:27" x14ac:dyDescent="0.15">
      <c r="A62" s="1" t="s">
        <v>53</v>
      </c>
      <c r="B62" s="1" t="s">
        <v>336</v>
      </c>
      <c r="C62" s="1">
        <v>2020</v>
      </c>
      <c r="D62" s="132" t="s">
        <v>234</v>
      </c>
      <c r="E62" s="1" t="s">
        <v>211</v>
      </c>
      <c r="F62" s="1" t="s">
        <v>401</v>
      </c>
      <c r="G62" s="1" t="s">
        <v>37</v>
      </c>
      <c r="H62" s="1" t="s">
        <v>63</v>
      </c>
      <c r="I62" s="1" t="s">
        <v>64</v>
      </c>
      <c r="J62" s="1" t="s">
        <v>40</v>
      </c>
      <c r="K62" s="1" t="s">
        <v>41</v>
      </c>
      <c r="L62" s="1">
        <v>1</v>
      </c>
      <c r="N62" s="1">
        <v>4</v>
      </c>
      <c r="O62" s="1">
        <v>1</v>
      </c>
      <c r="P62" s="1">
        <v>1</v>
      </c>
      <c r="Q62" s="7">
        <f t="shared" si="0"/>
        <v>1</v>
      </c>
      <c r="R62" s="1">
        <v>15.5</v>
      </c>
      <c r="S62" s="1">
        <v>83.5</v>
      </c>
      <c r="T62" s="2">
        <f t="shared" si="1"/>
        <v>39</v>
      </c>
      <c r="U62" s="1">
        <v>358</v>
      </c>
      <c r="V62" s="2">
        <f t="shared" si="2"/>
        <v>3490.5</v>
      </c>
      <c r="W62" s="1">
        <v>12</v>
      </c>
      <c r="X62" s="1" t="s">
        <v>51</v>
      </c>
      <c r="Y62" s="1" t="s">
        <v>67</v>
      </c>
      <c r="Z62" s="1" t="s">
        <v>112</v>
      </c>
      <c r="AA62" s="1" t="s">
        <v>101</v>
      </c>
    </row>
    <row r="63" spans="1:27" x14ac:dyDescent="0.15">
      <c r="A63" s="1" t="s">
        <v>53</v>
      </c>
      <c r="B63" s="1" t="s">
        <v>336</v>
      </c>
      <c r="C63" s="1">
        <v>2020</v>
      </c>
      <c r="D63" s="132" t="s">
        <v>234</v>
      </c>
      <c r="E63" s="1" t="s">
        <v>211</v>
      </c>
      <c r="F63" s="1" t="s">
        <v>401</v>
      </c>
      <c r="G63" s="1" t="s">
        <v>37</v>
      </c>
      <c r="H63" s="1" t="s">
        <v>63</v>
      </c>
      <c r="I63" s="1" t="s">
        <v>64</v>
      </c>
      <c r="J63" s="1" t="s">
        <v>40</v>
      </c>
      <c r="K63" s="1" t="s">
        <v>41</v>
      </c>
      <c r="L63" s="1">
        <v>2</v>
      </c>
      <c r="N63" s="1">
        <v>4</v>
      </c>
      <c r="O63" s="1">
        <v>1.1499999999999999</v>
      </c>
      <c r="P63" s="1">
        <v>0.95</v>
      </c>
      <c r="Q63" s="7">
        <f t="shared" si="0"/>
        <v>1.0499999999999998</v>
      </c>
      <c r="R63" s="1">
        <v>18</v>
      </c>
      <c r="S63" s="1">
        <v>95</v>
      </c>
      <c r="T63" s="2">
        <f t="shared" si="1"/>
        <v>36</v>
      </c>
      <c r="U63" s="1">
        <v>358</v>
      </c>
      <c r="V63" s="2">
        <f t="shared" si="2"/>
        <v>3222</v>
      </c>
      <c r="W63" s="1">
        <v>12</v>
      </c>
      <c r="X63" s="1" t="s">
        <v>51</v>
      </c>
      <c r="Y63" s="1" t="s">
        <v>67</v>
      </c>
      <c r="Z63" s="1" t="s">
        <v>112</v>
      </c>
      <c r="AA63" s="1" t="s">
        <v>101</v>
      </c>
    </row>
    <row r="64" spans="1:27" x14ac:dyDescent="0.15">
      <c r="A64" s="1" t="s">
        <v>53</v>
      </c>
      <c r="B64" s="1" t="s">
        <v>336</v>
      </c>
      <c r="C64" s="1">
        <v>2020</v>
      </c>
      <c r="D64" s="132" t="s">
        <v>234</v>
      </c>
      <c r="E64" s="1" t="s">
        <v>211</v>
      </c>
      <c r="F64" s="1" t="s">
        <v>401</v>
      </c>
      <c r="G64" s="1" t="s">
        <v>37</v>
      </c>
      <c r="H64" s="1" t="s">
        <v>63</v>
      </c>
      <c r="I64" s="1" t="s">
        <v>64</v>
      </c>
      <c r="J64" s="1" t="s">
        <v>40</v>
      </c>
      <c r="K64" s="1" t="s">
        <v>41</v>
      </c>
      <c r="L64" s="1">
        <v>3</v>
      </c>
      <c r="N64" s="1">
        <v>4</v>
      </c>
      <c r="O64" s="1">
        <v>1.05</v>
      </c>
      <c r="P64" s="1">
        <v>1.05</v>
      </c>
      <c r="Q64" s="7">
        <f t="shared" si="0"/>
        <v>1.05</v>
      </c>
      <c r="R64" s="1">
        <v>16.8</v>
      </c>
      <c r="S64" s="1">
        <v>89</v>
      </c>
      <c r="T64" s="2">
        <f t="shared" si="1"/>
        <v>36</v>
      </c>
      <c r="U64" s="1">
        <v>358</v>
      </c>
      <c r="V64" s="2">
        <f t="shared" si="2"/>
        <v>3222</v>
      </c>
      <c r="W64" s="1">
        <v>12</v>
      </c>
      <c r="X64" s="1" t="s">
        <v>51</v>
      </c>
      <c r="Y64" s="1" t="s">
        <v>67</v>
      </c>
      <c r="Z64" s="1" t="s">
        <v>112</v>
      </c>
      <c r="AA64" s="1" t="s">
        <v>101</v>
      </c>
    </row>
    <row r="65" spans="1:27" x14ac:dyDescent="0.15">
      <c r="A65" s="1" t="s">
        <v>53</v>
      </c>
      <c r="B65" s="1" t="s">
        <v>336</v>
      </c>
      <c r="C65" s="1">
        <v>2020</v>
      </c>
      <c r="D65" s="132" t="s">
        <v>234</v>
      </c>
      <c r="E65" s="1" t="s">
        <v>211</v>
      </c>
      <c r="F65" s="1" t="s">
        <v>401</v>
      </c>
      <c r="G65" s="1" t="s">
        <v>37</v>
      </c>
      <c r="H65" s="1" t="s">
        <v>63</v>
      </c>
      <c r="I65" s="1" t="s">
        <v>64</v>
      </c>
      <c r="J65" s="1" t="s">
        <v>40</v>
      </c>
      <c r="K65" s="1" t="s">
        <v>41</v>
      </c>
      <c r="L65" s="1">
        <v>1</v>
      </c>
      <c r="N65" s="1">
        <v>8</v>
      </c>
      <c r="O65" s="1">
        <v>0.55000000000000004</v>
      </c>
      <c r="P65" s="1">
        <v>0.9</v>
      </c>
      <c r="Q65" s="7">
        <f t="shared" si="0"/>
        <v>0.72500000000000009</v>
      </c>
      <c r="R65" s="1">
        <v>15.7</v>
      </c>
      <c r="S65" s="1">
        <v>98.5</v>
      </c>
      <c r="T65" s="2">
        <f t="shared" si="1"/>
        <v>36</v>
      </c>
      <c r="U65" s="1">
        <v>698</v>
      </c>
      <c r="V65" s="2">
        <f t="shared" si="2"/>
        <v>3141</v>
      </c>
      <c r="W65" s="1">
        <v>12</v>
      </c>
      <c r="X65" s="1" t="s">
        <v>51</v>
      </c>
      <c r="Y65" s="1" t="s">
        <v>67</v>
      </c>
      <c r="Z65" s="1" t="s">
        <v>112</v>
      </c>
      <c r="AA65" s="1" t="s">
        <v>101</v>
      </c>
    </row>
    <row r="66" spans="1:27" x14ac:dyDescent="0.15">
      <c r="A66" s="1" t="s">
        <v>53</v>
      </c>
      <c r="B66" s="1" t="s">
        <v>336</v>
      </c>
      <c r="C66" s="1">
        <v>2020</v>
      </c>
      <c r="D66" s="132" t="s">
        <v>234</v>
      </c>
      <c r="E66" s="1" t="s">
        <v>211</v>
      </c>
      <c r="F66" s="1" t="s">
        <v>401</v>
      </c>
      <c r="G66" s="1" t="s">
        <v>37</v>
      </c>
      <c r="H66" s="1" t="s">
        <v>63</v>
      </c>
      <c r="I66" s="1" t="s">
        <v>64</v>
      </c>
      <c r="J66" s="1" t="s">
        <v>40</v>
      </c>
      <c r="K66" s="1" t="s">
        <v>41</v>
      </c>
      <c r="L66" s="1">
        <v>2</v>
      </c>
      <c r="N66" s="1">
        <v>8</v>
      </c>
      <c r="O66" s="1">
        <v>0.75</v>
      </c>
      <c r="P66" s="1">
        <v>0.6</v>
      </c>
      <c r="Q66" s="7">
        <f t="shared" si="0"/>
        <v>0.67500000000000004</v>
      </c>
      <c r="R66" s="1">
        <v>15.7</v>
      </c>
      <c r="S66" s="1">
        <v>93.5</v>
      </c>
      <c r="T66" s="2">
        <f t="shared" si="1"/>
        <v>36</v>
      </c>
      <c r="U66" s="1">
        <v>698</v>
      </c>
      <c r="V66" s="2">
        <f t="shared" si="2"/>
        <v>3141</v>
      </c>
      <c r="W66" s="1">
        <v>12</v>
      </c>
      <c r="X66" s="1" t="s">
        <v>51</v>
      </c>
      <c r="Y66" s="1" t="s">
        <v>67</v>
      </c>
      <c r="Z66" s="1" t="s">
        <v>112</v>
      </c>
      <c r="AA66" s="1" t="s">
        <v>101</v>
      </c>
    </row>
    <row r="67" spans="1:27" x14ac:dyDescent="0.15">
      <c r="A67" s="1" t="s">
        <v>53</v>
      </c>
      <c r="B67" s="1" t="s">
        <v>336</v>
      </c>
      <c r="C67" s="1">
        <v>2020</v>
      </c>
      <c r="D67" s="132" t="s">
        <v>234</v>
      </c>
      <c r="E67" s="1" t="s">
        <v>211</v>
      </c>
      <c r="F67" s="1" t="s">
        <v>401</v>
      </c>
      <c r="G67" s="1" t="s">
        <v>37</v>
      </c>
      <c r="H67" s="1" t="s">
        <v>63</v>
      </c>
      <c r="I67" s="1" t="s">
        <v>64</v>
      </c>
      <c r="J67" s="1" t="s">
        <v>40</v>
      </c>
      <c r="K67" s="1" t="s">
        <v>41</v>
      </c>
      <c r="L67" s="1">
        <v>3</v>
      </c>
      <c r="N67" s="1">
        <v>8</v>
      </c>
      <c r="O67" s="1">
        <v>0.65</v>
      </c>
      <c r="P67" s="1">
        <v>0.9</v>
      </c>
      <c r="Q67" s="7">
        <f t="shared" si="0"/>
        <v>0.77500000000000002</v>
      </c>
      <c r="R67" s="1">
        <v>15.9</v>
      </c>
      <c r="S67" s="1">
        <v>97.5</v>
      </c>
      <c r="T67" s="2">
        <f t="shared" si="1"/>
        <v>36</v>
      </c>
      <c r="U67" s="1">
        <v>698</v>
      </c>
      <c r="V67" s="2">
        <f t="shared" si="2"/>
        <v>3141</v>
      </c>
      <c r="W67" s="1">
        <v>12</v>
      </c>
      <c r="X67" s="1" t="s">
        <v>51</v>
      </c>
      <c r="Y67" s="1" t="s">
        <v>67</v>
      </c>
      <c r="Z67" s="1" t="s">
        <v>112</v>
      </c>
      <c r="AA67" s="1" t="s">
        <v>101</v>
      </c>
    </row>
    <row r="68" spans="1:27" x14ac:dyDescent="0.15">
      <c r="A68" s="1" t="s">
        <v>53</v>
      </c>
      <c r="B68" s="1" t="s">
        <v>336</v>
      </c>
      <c r="C68" s="1">
        <v>2020</v>
      </c>
      <c r="D68" s="132" t="s">
        <v>234</v>
      </c>
      <c r="E68" s="1" t="s">
        <v>211</v>
      </c>
      <c r="F68" s="1" t="s">
        <v>401</v>
      </c>
      <c r="G68" s="1" t="s">
        <v>37</v>
      </c>
      <c r="H68" s="1" t="s">
        <v>82</v>
      </c>
      <c r="I68" s="1" t="s">
        <v>64</v>
      </c>
      <c r="J68" s="1" t="s">
        <v>40</v>
      </c>
      <c r="K68" s="1" t="s">
        <v>41</v>
      </c>
      <c r="L68" s="1">
        <v>1</v>
      </c>
      <c r="N68" s="1">
        <v>1</v>
      </c>
      <c r="O68" s="1">
        <v>0.9</v>
      </c>
      <c r="P68" s="1">
        <v>1.4</v>
      </c>
      <c r="Q68" s="7">
        <f t="shared" si="0"/>
        <v>1.1499999999999999</v>
      </c>
      <c r="R68" s="1">
        <v>14.8</v>
      </c>
      <c r="S68" s="1">
        <v>137.5</v>
      </c>
      <c r="T68" s="2">
        <f t="shared" si="1"/>
        <v>30</v>
      </c>
      <c r="U68" s="1">
        <v>138</v>
      </c>
      <c r="V68" s="2">
        <f t="shared" si="2"/>
        <v>4140</v>
      </c>
      <c r="W68" s="1">
        <v>12</v>
      </c>
      <c r="X68" s="1" t="s">
        <v>51</v>
      </c>
      <c r="Y68" s="1" t="s">
        <v>67</v>
      </c>
      <c r="Z68" s="1" t="s">
        <v>112</v>
      </c>
      <c r="AA68" s="1" t="s">
        <v>101</v>
      </c>
    </row>
    <row r="69" spans="1:27" x14ac:dyDescent="0.15">
      <c r="A69" s="1" t="s">
        <v>53</v>
      </c>
      <c r="B69" s="1" t="s">
        <v>336</v>
      </c>
      <c r="C69" s="1">
        <v>2020</v>
      </c>
      <c r="D69" s="132" t="s">
        <v>234</v>
      </c>
      <c r="E69" s="1" t="s">
        <v>211</v>
      </c>
      <c r="F69" s="1" t="s">
        <v>401</v>
      </c>
      <c r="G69" s="1" t="s">
        <v>37</v>
      </c>
      <c r="H69" s="1" t="s">
        <v>82</v>
      </c>
      <c r="I69" s="1" t="s">
        <v>64</v>
      </c>
      <c r="J69" s="1" t="s">
        <v>40</v>
      </c>
      <c r="K69" s="1" t="s">
        <v>41</v>
      </c>
      <c r="L69" s="1">
        <v>2</v>
      </c>
      <c r="N69" s="1">
        <v>1</v>
      </c>
      <c r="O69" s="1">
        <v>0.75</v>
      </c>
      <c r="P69" s="1">
        <v>0.7</v>
      </c>
      <c r="Q69" s="7">
        <f t="shared" si="0"/>
        <v>0.72499999999999998</v>
      </c>
      <c r="R69" s="1">
        <v>15.8</v>
      </c>
      <c r="S69" s="1">
        <v>142.5</v>
      </c>
      <c r="T69" s="2">
        <f t="shared" si="1"/>
        <v>30</v>
      </c>
      <c r="U69" s="1">
        <v>138</v>
      </c>
      <c r="V69" s="2">
        <f t="shared" si="2"/>
        <v>4140</v>
      </c>
      <c r="W69" s="1">
        <v>12</v>
      </c>
      <c r="X69" s="1" t="s">
        <v>51</v>
      </c>
      <c r="Y69" s="1" t="s">
        <v>67</v>
      </c>
      <c r="Z69" s="1" t="s">
        <v>112</v>
      </c>
      <c r="AA69" s="1" t="s">
        <v>101</v>
      </c>
    </row>
    <row r="70" spans="1:27" x14ac:dyDescent="0.15">
      <c r="A70" s="1" t="s">
        <v>53</v>
      </c>
      <c r="B70" s="1" t="s">
        <v>336</v>
      </c>
      <c r="C70" s="1">
        <v>2020</v>
      </c>
      <c r="D70" s="132" t="s">
        <v>234</v>
      </c>
      <c r="E70" s="1" t="s">
        <v>211</v>
      </c>
      <c r="F70" s="1" t="s">
        <v>401</v>
      </c>
      <c r="G70" s="1" t="s">
        <v>37</v>
      </c>
      <c r="H70" s="1" t="s">
        <v>82</v>
      </c>
      <c r="I70" s="1" t="s">
        <v>64</v>
      </c>
      <c r="J70" s="1" t="s">
        <v>40</v>
      </c>
      <c r="K70" s="1" t="s">
        <v>41</v>
      </c>
      <c r="L70" s="1">
        <v>3</v>
      </c>
      <c r="N70" s="1">
        <v>1</v>
      </c>
      <c r="O70" s="1">
        <v>0.75</v>
      </c>
      <c r="P70" s="1">
        <v>0.8</v>
      </c>
      <c r="Q70" s="7">
        <f t="shared" si="0"/>
        <v>0.77500000000000002</v>
      </c>
      <c r="R70" s="1">
        <v>15.7</v>
      </c>
      <c r="S70" s="1">
        <v>137</v>
      </c>
      <c r="T70" s="2">
        <f t="shared" si="1"/>
        <v>30</v>
      </c>
      <c r="U70" s="1">
        <v>138</v>
      </c>
      <c r="V70" s="2">
        <f t="shared" si="2"/>
        <v>4140</v>
      </c>
      <c r="W70" s="1">
        <v>12</v>
      </c>
      <c r="X70" s="1" t="s">
        <v>51</v>
      </c>
      <c r="Y70" s="1" t="s">
        <v>67</v>
      </c>
      <c r="Z70" s="1" t="s">
        <v>112</v>
      </c>
      <c r="AA70" s="1" t="s">
        <v>101</v>
      </c>
    </row>
    <row r="71" spans="1:27" x14ac:dyDescent="0.15">
      <c r="A71" s="1" t="s">
        <v>53</v>
      </c>
      <c r="B71" s="1" t="s">
        <v>336</v>
      </c>
      <c r="C71" s="1">
        <v>2020</v>
      </c>
      <c r="D71" s="132" t="s">
        <v>234</v>
      </c>
      <c r="E71" s="1" t="s">
        <v>211</v>
      </c>
      <c r="F71" s="1" t="s">
        <v>401</v>
      </c>
      <c r="G71" s="1" t="s">
        <v>37</v>
      </c>
      <c r="H71" s="1" t="s">
        <v>82</v>
      </c>
      <c r="I71" s="1" t="s">
        <v>64</v>
      </c>
      <c r="J71" s="1" t="s">
        <v>40</v>
      </c>
      <c r="K71" s="1" t="s">
        <v>41</v>
      </c>
      <c r="L71" s="1">
        <v>1</v>
      </c>
      <c r="N71" s="1">
        <v>4</v>
      </c>
      <c r="O71" s="1">
        <v>0.6</v>
      </c>
      <c r="P71" s="1">
        <v>0.65</v>
      </c>
      <c r="Q71" s="7">
        <f t="shared" si="0"/>
        <v>0.625</v>
      </c>
      <c r="R71" s="1">
        <v>16.2</v>
      </c>
      <c r="S71" s="1">
        <v>102.5</v>
      </c>
      <c r="T71" s="2">
        <f t="shared" si="1"/>
        <v>33</v>
      </c>
      <c r="U71" s="1">
        <v>498</v>
      </c>
      <c r="V71" s="2">
        <f t="shared" si="2"/>
        <v>4108.5</v>
      </c>
      <c r="W71" s="1">
        <v>12</v>
      </c>
      <c r="X71" s="1" t="s">
        <v>51</v>
      </c>
      <c r="Y71" s="1" t="s">
        <v>67</v>
      </c>
      <c r="Z71" s="1" t="s">
        <v>112</v>
      </c>
      <c r="AA71" s="1" t="s">
        <v>101</v>
      </c>
    </row>
    <row r="72" spans="1:27" x14ac:dyDescent="0.15">
      <c r="A72" s="1" t="s">
        <v>53</v>
      </c>
      <c r="B72" s="1" t="s">
        <v>336</v>
      </c>
      <c r="C72" s="1">
        <v>2020</v>
      </c>
      <c r="D72" s="132" t="s">
        <v>234</v>
      </c>
      <c r="E72" s="1" t="s">
        <v>211</v>
      </c>
      <c r="F72" s="1" t="s">
        <v>401</v>
      </c>
      <c r="G72" s="1" t="s">
        <v>37</v>
      </c>
      <c r="H72" s="1" t="s">
        <v>82</v>
      </c>
      <c r="I72" s="1" t="s">
        <v>64</v>
      </c>
      <c r="J72" s="1" t="s">
        <v>40</v>
      </c>
      <c r="K72" s="1" t="s">
        <v>41</v>
      </c>
      <c r="L72" s="1">
        <v>2</v>
      </c>
      <c r="N72" s="1">
        <v>4</v>
      </c>
      <c r="O72" s="1">
        <v>0.8</v>
      </c>
      <c r="P72" s="1">
        <v>0.65</v>
      </c>
      <c r="Q72" s="7">
        <f t="shared" si="0"/>
        <v>0.72500000000000009</v>
      </c>
      <c r="R72" s="1">
        <v>17.100000000000001</v>
      </c>
      <c r="S72" s="1">
        <v>102</v>
      </c>
      <c r="T72" s="2">
        <f t="shared" si="1"/>
        <v>33</v>
      </c>
      <c r="U72" s="1">
        <v>498</v>
      </c>
      <c r="V72" s="2">
        <f t="shared" si="2"/>
        <v>4108.5</v>
      </c>
      <c r="W72" s="1">
        <v>12</v>
      </c>
      <c r="X72" s="1" t="s">
        <v>51</v>
      </c>
      <c r="Y72" s="1" t="s">
        <v>67</v>
      </c>
      <c r="Z72" s="1" t="s">
        <v>112</v>
      </c>
      <c r="AA72" s="1" t="s">
        <v>101</v>
      </c>
    </row>
    <row r="73" spans="1:27" x14ac:dyDescent="0.15">
      <c r="A73" s="1" t="s">
        <v>53</v>
      </c>
      <c r="B73" s="1" t="s">
        <v>336</v>
      </c>
      <c r="C73" s="1">
        <v>2020</v>
      </c>
      <c r="D73" s="132" t="s">
        <v>234</v>
      </c>
      <c r="E73" s="1" t="s">
        <v>211</v>
      </c>
      <c r="F73" s="1" t="s">
        <v>401</v>
      </c>
      <c r="G73" s="1" t="s">
        <v>37</v>
      </c>
      <c r="H73" s="1" t="s">
        <v>82</v>
      </c>
      <c r="I73" s="1" t="s">
        <v>64</v>
      </c>
      <c r="J73" s="1" t="s">
        <v>40</v>
      </c>
      <c r="K73" s="1" t="s">
        <v>41</v>
      </c>
      <c r="L73" s="1">
        <v>3</v>
      </c>
      <c r="N73" s="1">
        <v>4</v>
      </c>
      <c r="O73" s="1">
        <v>0.9</v>
      </c>
      <c r="P73" s="1">
        <v>0.9</v>
      </c>
      <c r="Q73" s="7">
        <f t="shared" si="0"/>
        <v>0.9</v>
      </c>
      <c r="R73" s="1">
        <v>15.9</v>
      </c>
      <c r="S73" s="1">
        <v>104</v>
      </c>
      <c r="T73" s="2">
        <f t="shared" si="1"/>
        <v>33</v>
      </c>
      <c r="U73" s="1">
        <v>498</v>
      </c>
      <c r="V73" s="2">
        <f t="shared" si="2"/>
        <v>4108.5</v>
      </c>
      <c r="W73" s="1">
        <v>12</v>
      </c>
      <c r="X73" s="1" t="s">
        <v>51</v>
      </c>
      <c r="Y73" s="1" t="s">
        <v>67</v>
      </c>
      <c r="Z73" s="1" t="s">
        <v>112</v>
      </c>
      <c r="AA73" s="1" t="s">
        <v>101</v>
      </c>
    </row>
    <row r="74" spans="1:27" x14ac:dyDescent="0.15">
      <c r="A74" s="1" t="s">
        <v>53</v>
      </c>
      <c r="B74" s="1" t="s">
        <v>336</v>
      </c>
      <c r="C74" s="1">
        <v>2020</v>
      </c>
      <c r="D74" s="132" t="s">
        <v>234</v>
      </c>
      <c r="E74" s="1" t="s">
        <v>211</v>
      </c>
      <c r="F74" s="1" t="s">
        <v>401</v>
      </c>
      <c r="G74" s="1" t="s">
        <v>37</v>
      </c>
      <c r="H74" s="1" t="s">
        <v>82</v>
      </c>
      <c r="I74" s="1" t="s">
        <v>64</v>
      </c>
      <c r="J74" s="1" t="s">
        <v>40</v>
      </c>
      <c r="K74" s="1" t="s">
        <v>41</v>
      </c>
      <c r="L74" s="1">
        <v>1</v>
      </c>
      <c r="N74" s="1">
        <v>8</v>
      </c>
      <c r="O74" s="1">
        <v>0.55000000000000004</v>
      </c>
      <c r="P74" s="1">
        <v>1.25</v>
      </c>
      <c r="Q74" s="7">
        <f t="shared" si="0"/>
        <v>0.9</v>
      </c>
      <c r="R74" s="1">
        <v>15.9</v>
      </c>
      <c r="S74" s="1">
        <v>104.5</v>
      </c>
      <c r="T74" s="2">
        <f t="shared" si="1"/>
        <v>33</v>
      </c>
      <c r="U74" s="1">
        <v>980</v>
      </c>
      <c r="V74" s="2">
        <f t="shared" si="2"/>
        <v>4042.5</v>
      </c>
      <c r="W74" s="1">
        <v>12</v>
      </c>
      <c r="X74" s="1" t="s">
        <v>51</v>
      </c>
      <c r="Y74" s="1" t="s">
        <v>67</v>
      </c>
      <c r="Z74" s="1" t="s">
        <v>112</v>
      </c>
      <c r="AA74" s="1" t="s">
        <v>101</v>
      </c>
    </row>
    <row r="75" spans="1:27" x14ac:dyDescent="0.15">
      <c r="A75" s="1" t="s">
        <v>53</v>
      </c>
      <c r="B75" s="1" t="s">
        <v>336</v>
      </c>
      <c r="C75" s="1">
        <v>2020</v>
      </c>
      <c r="D75" s="132" t="s">
        <v>234</v>
      </c>
      <c r="E75" s="1" t="s">
        <v>211</v>
      </c>
      <c r="F75" s="1" t="s">
        <v>401</v>
      </c>
      <c r="G75" s="1" t="s">
        <v>37</v>
      </c>
      <c r="H75" s="1" t="s">
        <v>82</v>
      </c>
      <c r="I75" s="1" t="s">
        <v>64</v>
      </c>
      <c r="J75" s="1" t="s">
        <v>40</v>
      </c>
      <c r="K75" s="1" t="s">
        <v>41</v>
      </c>
      <c r="L75" s="1">
        <v>2</v>
      </c>
      <c r="N75" s="1">
        <v>8</v>
      </c>
      <c r="O75" s="1">
        <v>0.75</v>
      </c>
      <c r="P75" s="1">
        <v>0.7</v>
      </c>
      <c r="Q75" s="7">
        <f t="shared" si="0"/>
        <v>0.72499999999999998</v>
      </c>
      <c r="R75" s="1">
        <v>15.5</v>
      </c>
      <c r="S75" s="1">
        <v>99.5</v>
      </c>
      <c r="T75" s="2">
        <f t="shared" si="1"/>
        <v>33</v>
      </c>
      <c r="U75" s="1">
        <v>980</v>
      </c>
      <c r="V75" s="2">
        <f t="shared" si="2"/>
        <v>4042.5</v>
      </c>
      <c r="W75" s="1">
        <v>12</v>
      </c>
      <c r="X75" s="1" t="s">
        <v>51</v>
      </c>
      <c r="Y75" s="1" t="s">
        <v>67</v>
      </c>
      <c r="Z75" s="1" t="s">
        <v>112</v>
      </c>
      <c r="AA75" s="1" t="s">
        <v>101</v>
      </c>
    </row>
    <row r="76" spans="1:27" x14ac:dyDescent="0.15">
      <c r="A76" s="1" t="s">
        <v>53</v>
      </c>
      <c r="B76" s="1" t="s">
        <v>336</v>
      </c>
      <c r="C76" s="1">
        <v>2020</v>
      </c>
      <c r="D76" s="132" t="s">
        <v>234</v>
      </c>
      <c r="E76" s="1" t="s">
        <v>211</v>
      </c>
      <c r="F76" s="1" t="s">
        <v>401</v>
      </c>
      <c r="G76" s="1" t="s">
        <v>37</v>
      </c>
      <c r="H76" s="1" t="s">
        <v>82</v>
      </c>
      <c r="I76" s="1" t="s">
        <v>64</v>
      </c>
      <c r="J76" s="1" t="s">
        <v>40</v>
      </c>
      <c r="K76" s="1" t="s">
        <v>41</v>
      </c>
      <c r="L76" s="1">
        <v>3</v>
      </c>
      <c r="N76" s="1">
        <v>8</v>
      </c>
      <c r="O76" s="1">
        <v>0.75</v>
      </c>
      <c r="P76" s="1">
        <v>0.7</v>
      </c>
      <c r="Q76" s="7">
        <f t="shared" si="0"/>
        <v>0.72499999999999998</v>
      </c>
      <c r="R76" s="1">
        <v>18.2</v>
      </c>
      <c r="S76" s="1">
        <v>101</v>
      </c>
      <c r="T76" s="2">
        <f t="shared" si="1"/>
        <v>33</v>
      </c>
      <c r="U76" s="1">
        <v>980</v>
      </c>
      <c r="V76" s="2">
        <f t="shared" si="2"/>
        <v>4042.5</v>
      </c>
      <c r="W76" s="1">
        <v>12</v>
      </c>
      <c r="X76" s="1" t="s">
        <v>51</v>
      </c>
      <c r="Y76" s="1" t="s">
        <v>67</v>
      </c>
      <c r="Z76" s="1" t="s">
        <v>112</v>
      </c>
      <c r="AA76" s="1" t="s">
        <v>101</v>
      </c>
    </row>
    <row r="77" spans="1:27" x14ac:dyDescent="0.15">
      <c r="A77" s="1" t="s">
        <v>53</v>
      </c>
      <c r="B77" s="1" t="s">
        <v>336</v>
      </c>
      <c r="C77" s="1">
        <v>2020</v>
      </c>
      <c r="D77" s="132" t="s">
        <v>234</v>
      </c>
      <c r="E77" s="1" t="s">
        <v>235</v>
      </c>
      <c r="F77" s="1" t="s">
        <v>402</v>
      </c>
      <c r="G77" s="1" t="s">
        <v>37</v>
      </c>
      <c r="H77" s="1" t="s">
        <v>63</v>
      </c>
      <c r="I77" s="1" t="s">
        <v>64</v>
      </c>
      <c r="J77" s="1" t="s">
        <v>40</v>
      </c>
      <c r="K77" s="1" t="s">
        <v>41</v>
      </c>
      <c r="L77" s="1">
        <v>1</v>
      </c>
      <c r="N77" s="1">
        <v>1</v>
      </c>
      <c r="O77" s="1">
        <v>0.2</v>
      </c>
      <c r="P77" s="1">
        <v>0.2</v>
      </c>
      <c r="Q77" s="7">
        <f t="shared" si="0"/>
        <v>0.2</v>
      </c>
      <c r="R77" s="1">
        <v>17.399999999999999</v>
      </c>
      <c r="S77" s="1">
        <v>114.5</v>
      </c>
      <c r="T77" s="2">
        <f t="shared" si="1"/>
        <v>30</v>
      </c>
      <c r="U77" s="1">
        <v>127</v>
      </c>
      <c r="V77" s="2">
        <f t="shared" si="2"/>
        <v>3810</v>
      </c>
      <c r="W77" s="1">
        <v>14</v>
      </c>
      <c r="X77" s="1" t="s">
        <v>51</v>
      </c>
      <c r="Y77" s="1" t="s">
        <v>67</v>
      </c>
      <c r="Z77" s="1" t="s">
        <v>74</v>
      </c>
      <c r="AA77" s="1" t="s">
        <v>122</v>
      </c>
    </row>
    <row r="78" spans="1:27" x14ac:dyDescent="0.15">
      <c r="A78" s="1" t="s">
        <v>53</v>
      </c>
      <c r="B78" s="1" t="s">
        <v>336</v>
      </c>
      <c r="C78" s="1">
        <v>2020</v>
      </c>
      <c r="D78" s="132" t="s">
        <v>234</v>
      </c>
      <c r="E78" s="1" t="s">
        <v>235</v>
      </c>
      <c r="F78" s="1" t="s">
        <v>402</v>
      </c>
      <c r="G78" s="1" t="s">
        <v>37</v>
      </c>
      <c r="H78" s="1" t="s">
        <v>63</v>
      </c>
      <c r="I78" s="1" t="s">
        <v>64</v>
      </c>
      <c r="J78" s="1" t="s">
        <v>40</v>
      </c>
      <c r="K78" s="1" t="s">
        <v>41</v>
      </c>
      <c r="L78" s="1">
        <v>2</v>
      </c>
      <c r="N78" s="1">
        <v>1</v>
      </c>
      <c r="O78" s="1">
        <v>0.6</v>
      </c>
      <c r="P78" s="1">
        <v>0.5</v>
      </c>
      <c r="Q78" s="7">
        <f t="shared" si="0"/>
        <v>0.55000000000000004</v>
      </c>
      <c r="R78" s="1">
        <v>16</v>
      </c>
      <c r="S78" s="1">
        <v>115</v>
      </c>
      <c r="T78" s="2">
        <f t="shared" si="1"/>
        <v>30</v>
      </c>
      <c r="U78" s="1">
        <v>127</v>
      </c>
      <c r="V78" s="2">
        <f t="shared" si="2"/>
        <v>3810</v>
      </c>
      <c r="W78" s="1">
        <v>14</v>
      </c>
      <c r="X78" s="1" t="s">
        <v>51</v>
      </c>
      <c r="Y78" s="1" t="s">
        <v>67</v>
      </c>
      <c r="Z78" s="1" t="s">
        <v>74</v>
      </c>
      <c r="AA78" s="1" t="s">
        <v>122</v>
      </c>
    </row>
    <row r="79" spans="1:27" x14ac:dyDescent="0.15">
      <c r="A79" s="1" t="s">
        <v>53</v>
      </c>
      <c r="B79" s="1" t="s">
        <v>336</v>
      </c>
      <c r="C79" s="1">
        <v>2020</v>
      </c>
      <c r="D79" s="132" t="s">
        <v>234</v>
      </c>
      <c r="E79" s="1" t="s">
        <v>235</v>
      </c>
      <c r="F79" s="1" t="s">
        <v>402</v>
      </c>
      <c r="G79" s="1" t="s">
        <v>37</v>
      </c>
      <c r="H79" s="1" t="s">
        <v>63</v>
      </c>
      <c r="I79" s="1" t="s">
        <v>64</v>
      </c>
      <c r="J79" s="1" t="s">
        <v>40</v>
      </c>
      <c r="K79" s="1" t="s">
        <v>41</v>
      </c>
      <c r="L79" s="1">
        <v>3</v>
      </c>
      <c r="N79" s="1">
        <v>1</v>
      </c>
      <c r="O79" s="1">
        <v>0.75</v>
      </c>
      <c r="P79" s="1">
        <v>0.75</v>
      </c>
      <c r="Q79" s="7">
        <f t="shared" si="0"/>
        <v>0.75</v>
      </c>
      <c r="R79" s="1">
        <v>14.8</v>
      </c>
      <c r="S79" s="1">
        <v>114.5</v>
      </c>
      <c r="T79" s="2">
        <f t="shared" si="1"/>
        <v>30</v>
      </c>
      <c r="U79" s="1">
        <v>127</v>
      </c>
      <c r="V79" s="2">
        <f t="shared" si="2"/>
        <v>3810</v>
      </c>
      <c r="W79" s="1">
        <v>14</v>
      </c>
      <c r="X79" s="1" t="s">
        <v>51</v>
      </c>
      <c r="Y79" s="1" t="s">
        <v>67</v>
      </c>
      <c r="Z79" s="1" t="s">
        <v>74</v>
      </c>
      <c r="AA79" s="1" t="s">
        <v>122</v>
      </c>
    </row>
    <row r="80" spans="1:27" x14ac:dyDescent="0.15">
      <c r="A80" s="1" t="s">
        <v>53</v>
      </c>
      <c r="B80" s="1" t="s">
        <v>336</v>
      </c>
      <c r="C80" s="1">
        <v>2020</v>
      </c>
      <c r="D80" s="132" t="s">
        <v>234</v>
      </c>
      <c r="E80" s="1" t="s">
        <v>235</v>
      </c>
      <c r="F80" s="1" t="s">
        <v>402</v>
      </c>
      <c r="G80" s="1" t="s">
        <v>37</v>
      </c>
      <c r="H80" s="1" t="s">
        <v>63</v>
      </c>
      <c r="I80" s="1" t="s">
        <v>64</v>
      </c>
      <c r="J80" s="1" t="s">
        <v>40</v>
      </c>
      <c r="K80" s="1" t="s">
        <v>41</v>
      </c>
      <c r="L80" s="1">
        <v>1</v>
      </c>
      <c r="N80" s="1">
        <v>5</v>
      </c>
      <c r="O80" s="1">
        <v>0.8</v>
      </c>
      <c r="P80" s="1">
        <v>0.8</v>
      </c>
      <c r="Q80" s="7">
        <f t="shared" si="0"/>
        <v>0.8</v>
      </c>
      <c r="R80" s="1">
        <v>15.5</v>
      </c>
      <c r="S80" s="1">
        <v>87</v>
      </c>
      <c r="T80" s="2">
        <f t="shared" si="1"/>
        <v>36</v>
      </c>
      <c r="U80" s="1">
        <v>297</v>
      </c>
      <c r="V80" s="2">
        <f t="shared" si="2"/>
        <v>2138.4</v>
      </c>
      <c r="W80" s="1">
        <v>14</v>
      </c>
      <c r="X80" s="1" t="s">
        <v>51</v>
      </c>
      <c r="Y80" s="1" t="s">
        <v>67</v>
      </c>
      <c r="Z80" s="1" t="s">
        <v>74</v>
      </c>
      <c r="AA80" s="1" t="s">
        <v>122</v>
      </c>
    </row>
    <row r="81" spans="1:27" x14ac:dyDescent="0.15">
      <c r="A81" s="1" t="s">
        <v>53</v>
      </c>
      <c r="B81" s="1" t="s">
        <v>336</v>
      </c>
      <c r="C81" s="1">
        <v>2020</v>
      </c>
      <c r="D81" s="132" t="s">
        <v>234</v>
      </c>
      <c r="E81" s="1" t="s">
        <v>235</v>
      </c>
      <c r="F81" s="1" t="s">
        <v>402</v>
      </c>
      <c r="G81" s="1" t="s">
        <v>37</v>
      </c>
      <c r="H81" s="1" t="s">
        <v>63</v>
      </c>
      <c r="I81" s="1" t="s">
        <v>64</v>
      </c>
      <c r="J81" s="1" t="s">
        <v>40</v>
      </c>
      <c r="K81" s="1" t="s">
        <v>41</v>
      </c>
      <c r="L81" s="1">
        <v>2</v>
      </c>
      <c r="N81" s="1">
        <v>5</v>
      </c>
      <c r="O81" s="1">
        <v>0.8</v>
      </c>
      <c r="P81" s="1">
        <v>0.65</v>
      </c>
      <c r="Q81" s="7">
        <f t="shared" si="0"/>
        <v>0.72500000000000009</v>
      </c>
      <c r="R81" s="1">
        <v>17.399999999999999</v>
      </c>
      <c r="S81" s="1">
        <v>83.5</v>
      </c>
      <c r="T81" s="2">
        <f t="shared" si="1"/>
        <v>39</v>
      </c>
      <c r="U81" s="1">
        <v>297</v>
      </c>
      <c r="V81" s="2">
        <f t="shared" si="2"/>
        <v>2316.6</v>
      </c>
      <c r="W81" s="1">
        <v>14</v>
      </c>
      <c r="X81" s="1" t="s">
        <v>51</v>
      </c>
      <c r="Y81" s="1" t="s">
        <v>67</v>
      </c>
      <c r="Z81" s="1" t="s">
        <v>74</v>
      </c>
      <c r="AA81" s="1" t="s">
        <v>122</v>
      </c>
    </row>
    <row r="82" spans="1:27" x14ac:dyDescent="0.15">
      <c r="A82" s="1" t="s">
        <v>53</v>
      </c>
      <c r="B82" s="1" t="s">
        <v>336</v>
      </c>
      <c r="C82" s="1">
        <v>2020</v>
      </c>
      <c r="D82" s="132" t="s">
        <v>234</v>
      </c>
      <c r="E82" s="1" t="s">
        <v>235</v>
      </c>
      <c r="F82" s="1" t="s">
        <v>402</v>
      </c>
      <c r="G82" s="1" t="s">
        <v>37</v>
      </c>
      <c r="H82" s="1" t="s">
        <v>63</v>
      </c>
      <c r="I82" s="1" t="s">
        <v>64</v>
      </c>
      <c r="J82" s="1" t="s">
        <v>40</v>
      </c>
      <c r="K82" s="1" t="s">
        <v>41</v>
      </c>
      <c r="L82" s="1">
        <v>3</v>
      </c>
      <c r="N82" s="1">
        <v>5</v>
      </c>
      <c r="O82" s="1">
        <v>1</v>
      </c>
      <c r="P82" s="1">
        <v>0.75</v>
      </c>
      <c r="Q82" s="7">
        <f t="shared" si="0"/>
        <v>0.875</v>
      </c>
      <c r="R82" s="1">
        <v>16.399999999999999</v>
      </c>
      <c r="S82" s="1">
        <v>92</v>
      </c>
      <c r="T82" s="2">
        <f t="shared" si="1"/>
        <v>36</v>
      </c>
      <c r="U82" s="1">
        <v>297</v>
      </c>
      <c r="V82" s="2">
        <f t="shared" si="2"/>
        <v>2138.4</v>
      </c>
      <c r="W82" s="1">
        <v>14</v>
      </c>
      <c r="X82" s="1" t="s">
        <v>51</v>
      </c>
      <c r="Y82" s="1" t="s">
        <v>67</v>
      </c>
      <c r="Z82" s="1" t="s">
        <v>74</v>
      </c>
      <c r="AA82" s="1" t="s">
        <v>122</v>
      </c>
    </row>
    <row r="83" spans="1:27" x14ac:dyDescent="0.15">
      <c r="A83" s="1" t="s">
        <v>53</v>
      </c>
      <c r="B83" s="1" t="s">
        <v>336</v>
      </c>
      <c r="C83" s="1">
        <v>2020</v>
      </c>
      <c r="D83" s="132" t="s">
        <v>234</v>
      </c>
      <c r="E83" s="1" t="s">
        <v>235</v>
      </c>
      <c r="F83" s="1" t="s">
        <v>402</v>
      </c>
      <c r="G83" s="1" t="s">
        <v>37</v>
      </c>
      <c r="H83" s="1" t="s">
        <v>63</v>
      </c>
      <c r="I83" s="1" t="s">
        <v>64</v>
      </c>
      <c r="J83" s="1" t="s">
        <v>40</v>
      </c>
      <c r="K83" s="1" t="s">
        <v>41</v>
      </c>
      <c r="L83" s="1">
        <v>1</v>
      </c>
      <c r="N83" s="1">
        <v>8</v>
      </c>
      <c r="O83" s="1">
        <v>0.9</v>
      </c>
      <c r="P83" s="1">
        <v>0.9</v>
      </c>
      <c r="Q83" s="7">
        <f t="shared" ref="Q83:Q151" si="5">IF(OR(O83="",P83=""),"",AVERAGE(O83,P83))</f>
        <v>0.9</v>
      </c>
      <c r="R83" s="1">
        <v>15.1</v>
      </c>
      <c r="S83" s="1">
        <v>90.5</v>
      </c>
      <c r="T83" s="2">
        <f t="shared" si="1"/>
        <v>36</v>
      </c>
      <c r="U83" s="1">
        <v>447</v>
      </c>
      <c r="V83" s="2">
        <f t="shared" si="2"/>
        <v>2011.5</v>
      </c>
      <c r="W83" s="1">
        <v>14</v>
      </c>
      <c r="X83" s="1" t="s">
        <v>51</v>
      </c>
      <c r="Y83" s="1" t="s">
        <v>67</v>
      </c>
      <c r="Z83" s="1" t="s">
        <v>74</v>
      </c>
      <c r="AA83" s="1" t="s">
        <v>122</v>
      </c>
    </row>
    <row r="84" spans="1:27" x14ac:dyDescent="0.15">
      <c r="A84" s="1" t="s">
        <v>53</v>
      </c>
      <c r="B84" s="1" t="s">
        <v>336</v>
      </c>
      <c r="C84" s="1">
        <v>2020</v>
      </c>
      <c r="D84" s="132" t="s">
        <v>234</v>
      </c>
      <c r="E84" s="1" t="s">
        <v>235</v>
      </c>
      <c r="F84" s="1" t="s">
        <v>402</v>
      </c>
      <c r="G84" s="1" t="s">
        <v>37</v>
      </c>
      <c r="H84" s="1" t="s">
        <v>63</v>
      </c>
      <c r="I84" s="1" t="s">
        <v>64</v>
      </c>
      <c r="J84" s="1" t="s">
        <v>40</v>
      </c>
      <c r="K84" s="1" t="s">
        <v>41</v>
      </c>
      <c r="L84" s="1">
        <v>2</v>
      </c>
      <c r="N84" s="1">
        <v>8</v>
      </c>
      <c r="O84" s="1">
        <v>0.9</v>
      </c>
      <c r="P84" s="1">
        <v>0.8</v>
      </c>
      <c r="Q84" s="7">
        <f t="shared" si="5"/>
        <v>0.85000000000000009</v>
      </c>
      <c r="R84" s="1">
        <v>15.1</v>
      </c>
      <c r="S84" s="1">
        <v>86</v>
      </c>
      <c r="T84" s="2">
        <f t="shared" si="1"/>
        <v>36</v>
      </c>
      <c r="U84" s="1">
        <v>447</v>
      </c>
      <c r="V84" s="2">
        <f t="shared" si="2"/>
        <v>2011.5</v>
      </c>
      <c r="W84" s="1">
        <v>14</v>
      </c>
      <c r="X84" s="1" t="s">
        <v>51</v>
      </c>
      <c r="Y84" s="1" t="s">
        <v>67</v>
      </c>
      <c r="Z84" s="1" t="s">
        <v>74</v>
      </c>
      <c r="AA84" s="1" t="s">
        <v>122</v>
      </c>
    </row>
    <row r="85" spans="1:27" x14ac:dyDescent="0.15">
      <c r="A85" s="1" t="s">
        <v>53</v>
      </c>
      <c r="B85" s="1" t="s">
        <v>336</v>
      </c>
      <c r="C85" s="1">
        <v>2020</v>
      </c>
      <c r="D85" s="132" t="s">
        <v>234</v>
      </c>
      <c r="E85" s="1" t="s">
        <v>235</v>
      </c>
      <c r="F85" s="1" t="s">
        <v>402</v>
      </c>
      <c r="G85" s="1" t="s">
        <v>37</v>
      </c>
      <c r="H85" s="1" t="s">
        <v>63</v>
      </c>
      <c r="I85" s="1" t="s">
        <v>64</v>
      </c>
      <c r="J85" s="1" t="s">
        <v>40</v>
      </c>
      <c r="K85" s="1" t="s">
        <v>41</v>
      </c>
      <c r="L85" s="1">
        <v>3</v>
      </c>
      <c r="N85" s="1">
        <v>8</v>
      </c>
      <c r="O85" s="1">
        <v>0.85</v>
      </c>
      <c r="P85" s="1">
        <v>0.75</v>
      </c>
      <c r="Q85" s="2">
        <f t="shared" si="5"/>
        <v>0.8</v>
      </c>
      <c r="R85" s="1">
        <v>15.1</v>
      </c>
      <c r="S85" s="1">
        <v>90.5</v>
      </c>
      <c r="T85" s="2">
        <f t="shared" si="1"/>
        <v>36</v>
      </c>
      <c r="U85" s="1">
        <v>447</v>
      </c>
      <c r="V85" s="2">
        <f t="shared" si="2"/>
        <v>2011.5</v>
      </c>
      <c r="W85" s="1">
        <v>14</v>
      </c>
      <c r="X85" s="1" t="s">
        <v>51</v>
      </c>
      <c r="Y85" s="1" t="s">
        <v>67</v>
      </c>
      <c r="Z85" s="1" t="s">
        <v>74</v>
      </c>
      <c r="AA85" s="1" t="s">
        <v>122</v>
      </c>
    </row>
    <row r="86" spans="1:27" x14ac:dyDescent="0.15">
      <c r="A86" s="1" t="s">
        <v>53</v>
      </c>
      <c r="B86" s="1" t="s">
        <v>336</v>
      </c>
      <c r="C86" s="1">
        <v>2020</v>
      </c>
      <c r="D86" s="132" t="s">
        <v>234</v>
      </c>
      <c r="E86" s="1" t="s">
        <v>235</v>
      </c>
      <c r="F86" s="1" t="s">
        <v>402</v>
      </c>
      <c r="G86" s="1" t="s">
        <v>37</v>
      </c>
      <c r="H86" s="1" t="s">
        <v>82</v>
      </c>
      <c r="I86" s="1" t="s">
        <v>64</v>
      </c>
      <c r="J86" s="1" t="s">
        <v>40</v>
      </c>
      <c r="K86" s="1" t="s">
        <v>41</v>
      </c>
      <c r="L86" s="1">
        <v>1</v>
      </c>
      <c r="N86" s="1">
        <v>1</v>
      </c>
      <c r="O86" s="1">
        <v>1.6</v>
      </c>
      <c r="P86" s="1">
        <v>0.95</v>
      </c>
      <c r="Q86" s="2">
        <f t="shared" si="5"/>
        <v>1.2749999999999999</v>
      </c>
      <c r="R86" s="1">
        <v>17</v>
      </c>
      <c r="S86" s="1">
        <v>145.5</v>
      </c>
      <c r="T86" s="2">
        <f t="shared" si="1"/>
        <v>30</v>
      </c>
      <c r="U86" s="1">
        <v>127</v>
      </c>
      <c r="V86" s="2">
        <f t="shared" si="2"/>
        <v>3810</v>
      </c>
      <c r="W86" s="1">
        <v>14</v>
      </c>
      <c r="X86" s="1" t="s">
        <v>51</v>
      </c>
      <c r="Y86" s="1" t="s">
        <v>67</v>
      </c>
      <c r="Z86" s="1" t="s">
        <v>74</v>
      </c>
      <c r="AA86" s="1" t="s">
        <v>122</v>
      </c>
    </row>
    <row r="87" spans="1:27" x14ac:dyDescent="0.15">
      <c r="A87" s="1" t="s">
        <v>53</v>
      </c>
      <c r="B87" s="1" t="s">
        <v>336</v>
      </c>
      <c r="C87" s="1">
        <v>2020</v>
      </c>
      <c r="D87" s="132" t="s">
        <v>234</v>
      </c>
      <c r="E87" s="1" t="s">
        <v>235</v>
      </c>
      <c r="F87" s="1" t="s">
        <v>402</v>
      </c>
      <c r="G87" s="1" t="s">
        <v>37</v>
      </c>
      <c r="H87" s="1" t="s">
        <v>82</v>
      </c>
      <c r="I87" s="1" t="s">
        <v>64</v>
      </c>
      <c r="J87" s="1" t="s">
        <v>40</v>
      </c>
      <c r="K87" s="1" t="s">
        <v>41</v>
      </c>
      <c r="L87" s="1">
        <v>2</v>
      </c>
      <c r="N87" s="1">
        <v>1</v>
      </c>
      <c r="O87" s="1">
        <v>0.95</v>
      </c>
      <c r="P87" s="1">
        <v>0.9</v>
      </c>
      <c r="Q87" s="2">
        <f t="shared" si="5"/>
        <v>0.92500000000000004</v>
      </c>
      <c r="R87" s="1">
        <v>16</v>
      </c>
      <c r="S87" s="1">
        <v>145.5</v>
      </c>
      <c r="T87" s="2">
        <f t="shared" si="1"/>
        <v>30</v>
      </c>
      <c r="U87" s="1">
        <v>127</v>
      </c>
      <c r="V87" s="2">
        <f t="shared" si="2"/>
        <v>3810</v>
      </c>
      <c r="W87" s="1">
        <v>14</v>
      </c>
      <c r="X87" s="1" t="s">
        <v>51</v>
      </c>
      <c r="Y87" s="1" t="s">
        <v>67</v>
      </c>
      <c r="Z87" s="1" t="s">
        <v>74</v>
      </c>
      <c r="AA87" s="1" t="s">
        <v>122</v>
      </c>
    </row>
    <row r="88" spans="1:27" x14ac:dyDescent="0.15">
      <c r="A88" s="1" t="s">
        <v>53</v>
      </c>
      <c r="B88" s="1" t="s">
        <v>336</v>
      </c>
      <c r="C88" s="1">
        <v>2020</v>
      </c>
      <c r="D88" s="132" t="s">
        <v>234</v>
      </c>
      <c r="E88" s="1" t="s">
        <v>235</v>
      </c>
      <c r="F88" s="1" t="s">
        <v>402</v>
      </c>
      <c r="G88" s="1" t="s">
        <v>37</v>
      </c>
      <c r="H88" s="1" t="s">
        <v>82</v>
      </c>
      <c r="I88" s="1" t="s">
        <v>64</v>
      </c>
      <c r="J88" s="1" t="s">
        <v>40</v>
      </c>
      <c r="K88" s="1" t="s">
        <v>41</v>
      </c>
      <c r="L88" s="1">
        <v>3</v>
      </c>
      <c r="N88" s="1">
        <v>1</v>
      </c>
      <c r="O88" s="1">
        <v>0.75</v>
      </c>
      <c r="P88" s="1">
        <v>0.75</v>
      </c>
      <c r="Q88" s="2">
        <f t="shared" si="5"/>
        <v>0.75</v>
      </c>
      <c r="R88" s="1">
        <v>16</v>
      </c>
      <c r="S88" s="1">
        <v>150.5</v>
      </c>
      <c r="T88" s="2">
        <f t="shared" si="1"/>
        <v>30</v>
      </c>
      <c r="U88" s="1">
        <v>127</v>
      </c>
      <c r="V88" s="2">
        <f t="shared" si="2"/>
        <v>3810</v>
      </c>
      <c r="W88" s="1">
        <v>14</v>
      </c>
      <c r="X88" s="1" t="s">
        <v>51</v>
      </c>
      <c r="Y88" s="1" t="s">
        <v>67</v>
      </c>
      <c r="Z88" s="1" t="s">
        <v>74</v>
      </c>
      <c r="AA88" s="1" t="s">
        <v>122</v>
      </c>
    </row>
    <row r="89" spans="1:27" x14ac:dyDescent="0.15">
      <c r="A89" s="1" t="s">
        <v>53</v>
      </c>
      <c r="B89" s="1" t="s">
        <v>336</v>
      </c>
      <c r="C89" s="1">
        <v>2020</v>
      </c>
      <c r="D89" s="132" t="s">
        <v>234</v>
      </c>
      <c r="E89" s="1" t="s">
        <v>235</v>
      </c>
      <c r="F89" s="1" t="s">
        <v>402</v>
      </c>
      <c r="G89" s="1" t="s">
        <v>37</v>
      </c>
      <c r="H89" s="1" t="s">
        <v>82</v>
      </c>
      <c r="I89" s="1" t="s">
        <v>64</v>
      </c>
      <c r="J89" s="1" t="s">
        <v>40</v>
      </c>
      <c r="K89" s="1" t="s">
        <v>41</v>
      </c>
      <c r="L89" s="1">
        <v>1</v>
      </c>
      <c r="N89" s="1">
        <v>4</v>
      </c>
      <c r="O89" s="1">
        <v>0.75</v>
      </c>
      <c r="P89" s="1">
        <v>0.6</v>
      </c>
      <c r="Q89" s="2">
        <f t="shared" si="5"/>
        <v>0.67500000000000004</v>
      </c>
      <c r="R89" s="1">
        <v>16.8</v>
      </c>
      <c r="S89" s="1">
        <v>113.5</v>
      </c>
      <c r="T89" s="2">
        <f t="shared" si="1"/>
        <v>30</v>
      </c>
      <c r="U89" s="1">
        <v>397</v>
      </c>
      <c r="V89" s="2">
        <f t="shared" si="2"/>
        <v>2977.5</v>
      </c>
      <c r="W89" s="1">
        <v>14</v>
      </c>
      <c r="X89" s="1" t="s">
        <v>51</v>
      </c>
      <c r="Y89" s="1" t="s">
        <v>67</v>
      </c>
      <c r="Z89" s="1" t="s">
        <v>74</v>
      </c>
      <c r="AA89" s="1" t="s">
        <v>122</v>
      </c>
    </row>
    <row r="90" spans="1:27" x14ac:dyDescent="0.15">
      <c r="A90" s="1" t="s">
        <v>53</v>
      </c>
      <c r="B90" s="1" t="s">
        <v>336</v>
      </c>
      <c r="C90" s="1">
        <v>2020</v>
      </c>
      <c r="D90" s="132" t="s">
        <v>234</v>
      </c>
      <c r="E90" s="1" t="s">
        <v>235</v>
      </c>
      <c r="F90" s="1" t="s">
        <v>402</v>
      </c>
      <c r="G90" s="1" t="s">
        <v>37</v>
      </c>
      <c r="H90" s="1" t="s">
        <v>82</v>
      </c>
      <c r="I90" s="1" t="s">
        <v>64</v>
      </c>
      <c r="J90" s="1" t="s">
        <v>40</v>
      </c>
      <c r="K90" s="1" t="s">
        <v>41</v>
      </c>
      <c r="L90" s="1">
        <v>2</v>
      </c>
      <c r="N90" s="1">
        <v>4</v>
      </c>
      <c r="O90" s="1">
        <v>0.7</v>
      </c>
      <c r="P90" s="1">
        <v>0.9</v>
      </c>
      <c r="Q90" s="2">
        <f t="shared" si="5"/>
        <v>0.8</v>
      </c>
      <c r="R90" s="1">
        <v>18.3</v>
      </c>
      <c r="S90" s="1">
        <v>121.5</v>
      </c>
      <c r="T90" s="2">
        <f t="shared" si="1"/>
        <v>30</v>
      </c>
      <c r="U90" s="1">
        <v>397</v>
      </c>
      <c r="V90" s="2">
        <f t="shared" si="2"/>
        <v>2977.5</v>
      </c>
      <c r="W90" s="1">
        <v>14</v>
      </c>
      <c r="X90" s="1" t="s">
        <v>51</v>
      </c>
      <c r="Y90" s="1" t="s">
        <v>67</v>
      </c>
      <c r="Z90" s="1" t="s">
        <v>74</v>
      </c>
      <c r="AA90" s="1" t="s">
        <v>122</v>
      </c>
    </row>
    <row r="91" spans="1:27" x14ac:dyDescent="0.15">
      <c r="A91" s="1" t="s">
        <v>53</v>
      </c>
      <c r="B91" s="1" t="s">
        <v>336</v>
      </c>
      <c r="C91" s="1">
        <v>2020</v>
      </c>
      <c r="D91" s="132" t="s">
        <v>234</v>
      </c>
      <c r="E91" s="1" t="s">
        <v>235</v>
      </c>
      <c r="F91" s="1" t="s">
        <v>402</v>
      </c>
      <c r="G91" s="1" t="s">
        <v>37</v>
      </c>
      <c r="H91" s="1" t="s">
        <v>82</v>
      </c>
      <c r="I91" s="1" t="s">
        <v>64</v>
      </c>
      <c r="J91" s="1" t="s">
        <v>40</v>
      </c>
      <c r="K91" s="1" t="s">
        <v>41</v>
      </c>
      <c r="L91" s="1">
        <v>3</v>
      </c>
      <c r="N91" s="1">
        <v>4</v>
      </c>
      <c r="O91" s="1">
        <v>0.6</v>
      </c>
      <c r="P91" s="1">
        <v>0.75</v>
      </c>
      <c r="Q91" s="2">
        <f t="shared" si="5"/>
        <v>0.67500000000000004</v>
      </c>
      <c r="R91" s="1">
        <v>18.7</v>
      </c>
      <c r="S91" s="1">
        <v>110</v>
      </c>
      <c r="T91" s="2">
        <f t="shared" si="1"/>
        <v>33</v>
      </c>
      <c r="U91" s="1">
        <v>397</v>
      </c>
      <c r="V91" s="2">
        <f t="shared" si="2"/>
        <v>3275.25</v>
      </c>
      <c r="W91" s="1">
        <v>14</v>
      </c>
      <c r="X91" s="1" t="s">
        <v>51</v>
      </c>
      <c r="Y91" s="1" t="s">
        <v>67</v>
      </c>
      <c r="Z91" s="1" t="s">
        <v>74</v>
      </c>
      <c r="AA91" s="1" t="s">
        <v>122</v>
      </c>
    </row>
    <row r="92" spans="1:27" x14ac:dyDescent="0.15">
      <c r="A92" s="1" t="s">
        <v>53</v>
      </c>
      <c r="B92" s="1" t="s">
        <v>336</v>
      </c>
      <c r="C92" s="1">
        <v>2020</v>
      </c>
      <c r="D92" s="132" t="s">
        <v>234</v>
      </c>
      <c r="E92" s="1" t="s">
        <v>205</v>
      </c>
      <c r="F92" s="1" t="s">
        <v>404</v>
      </c>
      <c r="G92" s="1" t="s">
        <v>37</v>
      </c>
      <c r="H92" s="1" t="s">
        <v>63</v>
      </c>
      <c r="I92" s="1" t="s">
        <v>64</v>
      </c>
      <c r="J92" s="1" t="s">
        <v>40</v>
      </c>
      <c r="K92" s="1" t="s">
        <v>41</v>
      </c>
      <c r="L92" s="1">
        <v>1</v>
      </c>
      <c r="N92" s="1">
        <v>1</v>
      </c>
      <c r="O92" s="1">
        <v>0.75</v>
      </c>
      <c r="P92" s="1">
        <v>0.9</v>
      </c>
      <c r="Q92" s="2">
        <f t="shared" si="5"/>
        <v>0.82499999999999996</v>
      </c>
      <c r="R92" s="1">
        <v>15.1</v>
      </c>
      <c r="S92" s="1">
        <v>119.5</v>
      </c>
      <c r="T92" s="2">
        <f t="shared" si="1"/>
        <v>30</v>
      </c>
      <c r="U92" s="1">
        <v>100</v>
      </c>
      <c r="V92" s="2">
        <f t="shared" si="2"/>
        <v>3000</v>
      </c>
      <c r="W92" s="1">
        <v>10</v>
      </c>
      <c r="X92" s="1" t="s">
        <v>51</v>
      </c>
      <c r="Y92" s="1" t="s">
        <v>67</v>
      </c>
      <c r="Z92" s="1" t="s">
        <v>101</v>
      </c>
      <c r="AA92" s="1" t="s">
        <v>43</v>
      </c>
    </row>
    <row r="93" spans="1:27" x14ac:dyDescent="0.15">
      <c r="A93" s="1" t="s">
        <v>53</v>
      </c>
      <c r="B93" s="1" t="s">
        <v>336</v>
      </c>
      <c r="C93" s="1">
        <v>2020</v>
      </c>
      <c r="D93" s="132" t="s">
        <v>234</v>
      </c>
      <c r="E93" s="1" t="s">
        <v>205</v>
      </c>
      <c r="F93" s="1" t="s">
        <v>404</v>
      </c>
      <c r="G93" s="1" t="s">
        <v>37</v>
      </c>
      <c r="H93" s="1" t="s">
        <v>63</v>
      </c>
      <c r="I93" s="1" t="s">
        <v>64</v>
      </c>
      <c r="J93" s="1" t="s">
        <v>40</v>
      </c>
      <c r="K93" s="1" t="s">
        <v>41</v>
      </c>
      <c r="L93" s="1">
        <v>2</v>
      </c>
      <c r="N93" s="1">
        <v>1</v>
      </c>
      <c r="O93" s="1">
        <v>0.9</v>
      </c>
      <c r="P93" s="1">
        <v>0.85</v>
      </c>
      <c r="Q93" s="2">
        <f t="shared" si="5"/>
        <v>0.875</v>
      </c>
      <c r="R93" s="1">
        <v>15.1</v>
      </c>
      <c r="S93" s="1">
        <v>122</v>
      </c>
      <c r="T93" s="2">
        <f t="shared" si="1"/>
        <v>30</v>
      </c>
      <c r="U93" s="1">
        <v>100</v>
      </c>
      <c r="V93" s="2">
        <f t="shared" si="2"/>
        <v>3000</v>
      </c>
      <c r="W93" s="1">
        <v>10</v>
      </c>
      <c r="X93" s="1" t="s">
        <v>51</v>
      </c>
      <c r="Y93" s="1" t="s">
        <v>67</v>
      </c>
      <c r="Z93" s="1" t="s">
        <v>101</v>
      </c>
      <c r="AA93" s="1" t="s">
        <v>43</v>
      </c>
    </row>
    <row r="94" spans="1:27" x14ac:dyDescent="0.15">
      <c r="A94" s="1" t="s">
        <v>53</v>
      </c>
      <c r="B94" s="1" t="s">
        <v>336</v>
      </c>
      <c r="C94" s="1">
        <v>2020</v>
      </c>
      <c r="D94" s="132" t="s">
        <v>234</v>
      </c>
      <c r="E94" s="1" t="s">
        <v>205</v>
      </c>
      <c r="F94" s="1" t="s">
        <v>404</v>
      </c>
      <c r="G94" s="1" t="s">
        <v>37</v>
      </c>
      <c r="H94" s="1" t="s">
        <v>63</v>
      </c>
      <c r="I94" s="1" t="s">
        <v>64</v>
      </c>
      <c r="J94" s="1" t="s">
        <v>40</v>
      </c>
      <c r="K94" s="1" t="s">
        <v>41</v>
      </c>
      <c r="L94" s="1">
        <v>3</v>
      </c>
      <c r="N94" s="1">
        <v>1</v>
      </c>
      <c r="O94" s="1">
        <v>0.8</v>
      </c>
      <c r="P94" s="1">
        <v>0.95</v>
      </c>
      <c r="Q94" s="2">
        <f t="shared" si="5"/>
        <v>0.875</v>
      </c>
      <c r="R94" s="1">
        <v>15.2</v>
      </c>
      <c r="S94" s="1">
        <v>117</v>
      </c>
      <c r="T94" s="2">
        <f t="shared" si="1"/>
        <v>30</v>
      </c>
      <c r="U94" s="1">
        <v>100</v>
      </c>
      <c r="V94" s="2">
        <f t="shared" si="2"/>
        <v>3000</v>
      </c>
      <c r="W94" s="1">
        <v>10</v>
      </c>
      <c r="X94" s="1" t="s">
        <v>51</v>
      </c>
      <c r="Y94" s="1" t="s">
        <v>67</v>
      </c>
      <c r="Z94" s="1" t="s">
        <v>101</v>
      </c>
      <c r="AA94" s="1" t="s">
        <v>43</v>
      </c>
    </row>
    <row r="95" spans="1:27" x14ac:dyDescent="0.15">
      <c r="A95" s="1" t="s">
        <v>53</v>
      </c>
      <c r="B95" s="1" t="s">
        <v>336</v>
      </c>
      <c r="C95" s="1">
        <v>2020</v>
      </c>
      <c r="D95" s="132" t="s">
        <v>234</v>
      </c>
      <c r="E95" s="1" t="s">
        <v>205</v>
      </c>
      <c r="F95" s="1" t="s">
        <v>404</v>
      </c>
      <c r="G95" s="1" t="s">
        <v>37</v>
      </c>
      <c r="H95" s="1" t="s">
        <v>63</v>
      </c>
      <c r="I95" s="1" t="s">
        <v>64</v>
      </c>
      <c r="J95" s="1" t="s">
        <v>40</v>
      </c>
      <c r="K95" s="1" t="s">
        <v>41</v>
      </c>
      <c r="L95" s="1">
        <v>1</v>
      </c>
      <c r="N95" s="1">
        <v>5</v>
      </c>
      <c r="O95" s="1">
        <v>0.75</v>
      </c>
      <c r="P95" s="1">
        <v>0.8</v>
      </c>
      <c r="Q95" s="2">
        <f t="shared" si="5"/>
        <v>0.77500000000000002</v>
      </c>
      <c r="R95" s="1">
        <v>16.399999999999999</v>
      </c>
      <c r="S95" s="1">
        <v>82.5</v>
      </c>
      <c r="T95" s="2">
        <f t="shared" si="1"/>
        <v>39</v>
      </c>
      <c r="U95" s="1">
        <v>398</v>
      </c>
      <c r="V95" s="2">
        <f t="shared" si="2"/>
        <v>3104.3999999999996</v>
      </c>
      <c r="W95" s="1">
        <v>10</v>
      </c>
      <c r="X95" s="1" t="s">
        <v>51</v>
      </c>
      <c r="Y95" s="1" t="s">
        <v>67</v>
      </c>
      <c r="Z95" s="1" t="s">
        <v>101</v>
      </c>
      <c r="AA95" s="1" t="s">
        <v>43</v>
      </c>
    </row>
    <row r="96" spans="1:27" x14ac:dyDescent="0.15">
      <c r="A96" s="1" t="s">
        <v>53</v>
      </c>
      <c r="B96" s="1" t="s">
        <v>336</v>
      </c>
      <c r="C96" s="1">
        <v>2020</v>
      </c>
      <c r="D96" s="132" t="s">
        <v>234</v>
      </c>
      <c r="E96" s="1" t="s">
        <v>205</v>
      </c>
      <c r="F96" s="1" t="s">
        <v>404</v>
      </c>
      <c r="G96" s="1" t="s">
        <v>37</v>
      </c>
      <c r="H96" s="1" t="s">
        <v>63</v>
      </c>
      <c r="I96" s="1" t="s">
        <v>64</v>
      </c>
      <c r="J96" s="1" t="s">
        <v>40</v>
      </c>
      <c r="K96" s="1" t="s">
        <v>41</v>
      </c>
      <c r="L96" s="1">
        <v>2</v>
      </c>
      <c r="N96" s="1">
        <v>5</v>
      </c>
      <c r="O96" s="1">
        <v>0.85</v>
      </c>
      <c r="P96" s="1">
        <v>0.95</v>
      </c>
      <c r="Q96" s="2">
        <f t="shared" si="5"/>
        <v>0.89999999999999991</v>
      </c>
      <c r="R96" s="1">
        <v>16.7</v>
      </c>
      <c r="S96" s="1">
        <v>81</v>
      </c>
      <c r="T96" s="2">
        <f t="shared" si="1"/>
        <v>39</v>
      </c>
      <c r="U96" s="1">
        <v>398</v>
      </c>
      <c r="V96" s="2">
        <f t="shared" si="2"/>
        <v>3104.3999999999996</v>
      </c>
      <c r="W96" s="1">
        <v>10</v>
      </c>
      <c r="X96" s="1" t="s">
        <v>51</v>
      </c>
      <c r="Y96" s="1" t="s">
        <v>67</v>
      </c>
      <c r="Z96" s="1" t="s">
        <v>101</v>
      </c>
      <c r="AA96" s="1" t="s">
        <v>43</v>
      </c>
    </row>
    <row r="97" spans="1:27" x14ac:dyDescent="0.15">
      <c r="A97" s="1" t="s">
        <v>53</v>
      </c>
      <c r="B97" s="1" t="s">
        <v>336</v>
      </c>
      <c r="C97" s="1">
        <v>2020</v>
      </c>
      <c r="D97" s="132" t="s">
        <v>234</v>
      </c>
      <c r="E97" s="1" t="s">
        <v>205</v>
      </c>
      <c r="F97" s="1" t="s">
        <v>404</v>
      </c>
      <c r="G97" s="1" t="s">
        <v>37</v>
      </c>
      <c r="H97" s="1" t="s">
        <v>63</v>
      </c>
      <c r="I97" s="1" t="s">
        <v>64</v>
      </c>
      <c r="J97" s="1" t="s">
        <v>40</v>
      </c>
      <c r="K97" s="1" t="s">
        <v>41</v>
      </c>
      <c r="L97" s="1">
        <v>3</v>
      </c>
      <c r="N97" s="1">
        <v>5</v>
      </c>
      <c r="O97" s="1">
        <v>0.95</v>
      </c>
      <c r="P97" s="1">
        <v>1</v>
      </c>
      <c r="Q97" s="2">
        <f t="shared" si="5"/>
        <v>0.97499999999999998</v>
      </c>
      <c r="R97" s="1">
        <v>17</v>
      </c>
      <c r="S97" s="1">
        <v>84</v>
      </c>
      <c r="T97" s="2">
        <f t="shared" si="1"/>
        <v>36</v>
      </c>
      <c r="U97" s="1">
        <v>398</v>
      </c>
      <c r="V97" s="2">
        <f t="shared" si="2"/>
        <v>2865.6</v>
      </c>
      <c r="W97" s="1">
        <v>10</v>
      </c>
      <c r="X97" s="1" t="s">
        <v>51</v>
      </c>
      <c r="Y97" s="1" t="s">
        <v>67</v>
      </c>
      <c r="Z97" s="1" t="s">
        <v>101</v>
      </c>
      <c r="AA97" s="1" t="s">
        <v>43</v>
      </c>
    </row>
    <row r="98" spans="1:27" x14ac:dyDescent="0.15">
      <c r="A98" s="1" t="s">
        <v>53</v>
      </c>
      <c r="B98" s="1" t="s">
        <v>336</v>
      </c>
      <c r="C98" s="1">
        <v>2020</v>
      </c>
      <c r="D98" s="132" t="s">
        <v>234</v>
      </c>
      <c r="E98" s="1" t="s">
        <v>205</v>
      </c>
      <c r="F98" s="1" t="s">
        <v>404</v>
      </c>
      <c r="G98" s="1" t="s">
        <v>37</v>
      </c>
      <c r="H98" s="1" t="s">
        <v>82</v>
      </c>
      <c r="I98" s="1" t="s">
        <v>64</v>
      </c>
      <c r="J98" s="1" t="s">
        <v>40</v>
      </c>
      <c r="K98" s="1" t="s">
        <v>41</v>
      </c>
      <c r="L98" s="1">
        <v>1</v>
      </c>
      <c r="N98" s="1">
        <v>1</v>
      </c>
      <c r="O98" s="1">
        <v>0.75</v>
      </c>
      <c r="P98" s="1">
        <v>0.7</v>
      </c>
      <c r="Q98" s="2">
        <f t="shared" si="5"/>
        <v>0.72499999999999998</v>
      </c>
      <c r="R98" s="1">
        <v>15.8</v>
      </c>
      <c r="S98" s="1">
        <v>123</v>
      </c>
      <c r="T98" s="2">
        <f t="shared" si="1"/>
        <v>30</v>
      </c>
      <c r="U98" s="1">
        <v>100</v>
      </c>
      <c r="V98" s="2">
        <f t="shared" si="2"/>
        <v>3000</v>
      </c>
      <c r="W98" s="1">
        <v>10</v>
      </c>
      <c r="X98" s="1" t="s">
        <v>51</v>
      </c>
      <c r="Y98" s="1" t="s">
        <v>67</v>
      </c>
      <c r="Z98" s="1" t="s">
        <v>101</v>
      </c>
      <c r="AA98" s="1" t="s">
        <v>43</v>
      </c>
    </row>
    <row r="99" spans="1:27" x14ac:dyDescent="0.15">
      <c r="A99" s="1" t="s">
        <v>53</v>
      </c>
      <c r="B99" s="1" t="s">
        <v>336</v>
      </c>
      <c r="C99" s="1">
        <v>2020</v>
      </c>
      <c r="D99" s="132" t="s">
        <v>234</v>
      </c>
      <c r="E99" s="1" t="s">
        <v>205</v>
      </c>
      <c r="F99" s="1" t="s">
        <v>404</v>
      </c>
      <c r="G99" s="1" t="s">
        <v>37</v>
      </c>
      <c r="H99" s="1" t="s">
        <v>82</v>
      </c>
      <c r="I99" s="1" t="s">
        <v>64</v>
      </c>
      <c r="J99" s="1" t="s">
        <v>40</v>
      </c>
      <c r="K99" s="1" t="s">
        <v>41</v>
      </c>
      <c r="L99" s="1">
        <v>2</v>
      </c>
      <c r="N99" s="1">
        <v>1</v>
      </c>
      <c r="O99" s="1">
        <v>1.1499999999999999</v>
      </c>
      <c r="P99" s="1">
        <v>0.7</v>
      </c>
      <c r="Q99" s="2">
        <f t="shared" si="5"/>
        <v>0.92499999999999993</v>
      </c>
      <c r="R99" s="1">
        <v>16.899999999999999</v>
      </c>
      <c r="S99" s="1">
        <v>117</v>
      </c>
      <c r="T99" s="2">
        <f t="shared" si="1"/>
        <v>30</v>
      </c>
      <c r="U99" s="1">
        <v>100</v>
      </c>
      <c r="V99" s="2">
        <f t="shared" si="2"/>
        <v>3000</v>
      </c>
      <c r="W99" s="1">
        <v>10</v>
      </c>
      <c r="X99" s="1" t="s">
        <v>51</v>
      </c>
      <c r="Y99" s="1" t="s">
        <v>67</v>
      </c>
      <c r="Z99" s="1" t="s">
        <v>101</v>
      </c>
      <c r="AA99" s="1" t="s">
        <v>43</v>
      </c>
    </row>
    <row r="100" spans="1:27" x14ac:dyDescent="0.15">
      <c r="A100" s="1" t="s">
        <v>53</v>
      </c>
      <c r="B100" s="1" t="s">
        <v>336</v>
      </c>
      <c r="C100" s="1">
        <v>2020</v>
      </c>
      <c r="D100" s="132" t="s">
        <v>234</v>
      </c>
      <c r="E100" s="1" t="s">
        <v>205</v>
      </c>
      <c r="F100" s="1" t="s">
        <v>404</v>
      </c>
      <c r="G100" s="1" t="s">
        <v>37</v>
      </c>
      <c r="H100" s="1" t="s">
        <v>82</v>
      </c>
      <c r="I100" s="1" t="s">
        <v>64</v>
      </c>
      <c r="J100" s="1" t="s">
        <v>40</v>
      </c>
      <c r="K100" s="1" t="s">
        <v>41</v>
      </c>
      <c r="L100" s="1">
        <v>3</v>
      </c>
      <c r="N100" s="1">
        <v>1</v>
      </c>
      <c r="O100" s="1">
        <v>0.95</v>
      </c>
      <c r="P100" s="1">
        <v>0.95</v>
      </c>
      <c r="Q100" s="2">
        <f t="shared" si="5"/>
        <v>0.95</v>
      </c>
      <c r="R100" s="1">
        <v>15.6</v>
      </c>
      <c r="S100" s="1">
        <v>118.5</v>
      </c>
      <c r="T100" s="2">
        <f t="shared" si="1"/>
        <v>30</v>
      </c>
      <c r="U100" s="1">
        <v>100</v>
      </c>
      <c r="V100" s="2">
        <f t="shared" si="2"/>
        <v>3000</v>
      </c>
      <c r="W100" s="1">
        <v>10</v>
      </c>
      <c r="X100" s="1" t="s">
        <v>51</v>
      </c>
      <c r="Y100" s="1" t="s">
        <v>67</v>
      </c>
      <c r="Z100" s="1" t="s">
        <v>101</v>
      </c>
      <c r="AA100" s="1" t="s">
        <v>43</v>
      </c>
    </row>
    <row r="101" spans="1:27" x14ac:dyDescent="0.15">
      <c r="A101" s="1" t="s">
        <v>53</v>
      </c>
      <c r="B101" s="1" t="s">
        <v>336</v>
      </c>
      <c r="C101" s="1">
        <v>2020</v>
      </c>
      <c r="D101" s="132" t="s">
        <v>234</v>
      </c>
      <c r="E101" s="1" t="s">
        <v>205</v>
      </c>
      <c r="F101" s="1" t="s">
        <v>404</v>
      </c>
      <c r="G101" s="1" t="s">
        <v>37</v>
      </c>
      <c r="H101" s="1" t="s">
        <v>82</v>
      </c>
      <c r="I101" s="1" t="s">
        <v>64</v>
      </c>
      <c r="J101" s="1" t="s">
        <v>40</v>
      </c>
      <c r="K101" s="1" t="s">
        <v>41</v>
      </c>
      <c r="L101" s="1">
        <v>1</v>
      </c>
      <c r="N101" s="1">
        <v>4</v>
      </c>
      <c r="O101" s="1">
        <v>0.7</v>
      </c>
      <c r="P101" s="1">
        <v>0.65</v>
      </c>
      <c r="Q101" s="2">
        <f t="shared" si="5"/>
        <v>0.67500000000000004</v>
      </c>
      <c r="R101" s="1">
        <v>16.5</v>
      </c>
      <c r="S101" s="1">
        <v>114.5</v>
      </c>
      <c r="T101" s="2">
        <f t="shared" si="1"/>
        <v>30</v>
      </c>
      <c r="U101" s="1">
        <v>398</v>
      </c>
      <c r="V101" s="2">
        <f t="shared" si="2"/>
        <v>2985</v>
      </c>
      <c r="W101" s="1">
        <v>10</v>
      </c>
      <c r="X101" s="1" t="s">
        <v>51</v>
      </c>
      <c r="Y101" s="1" t="s">
        <v>67</v>
      </c>
      <c r="Z101" s="1" t="s">
        <v>101</v>
      </c>
      <c r="AA101" s="1" t="s">
        <v>43</v>
      </c>
    </row>
    <row r="102" spans="1:27" x14ac:dyDescent="0.15">
      <c r="A102" s="1" t="s">
        <v>53</v>
      </c>
      <c r="B102" s="1" t="s">
        <v>336</v>
      </c>
      <c r="C102" s="1">
        <v>2020</v>
      </c>
      <c r="D102" s="132" t="s">
        <v>234</v>
      </c>
      <c r="E102" s="1" t="s">
        <v>205</v>
      </c>
      <c r="F102" s="1" t="s">
        <v>404</v>
      </c>
      <c r="G102" s="1" t="s">
        <v>37</v>
      </c>
      <c r="H102" s="1" t="s">
        <v>82</v>
      </c>
      <c r="I102" s="1" t="s">
        <v>64</v>
      </c>
      <c r="J102" s="1" t="s">
        <v>40</v>
      </c>
      <c r="K102" s="1" t="s">
        <v>41</v>
      </c>
      <c r="L102" s="1">
        <v>2</v>
      </c>
      <c r="N102" s="1">
        <v>4</v>
      </c>
      <c r="O102" s="1">
        <v>0.75</v>
      </c>
      <c r="P102" s="1">
        <v>0.75</v>
      </c>
      <c r="Q102" s="2">
        <f t="shared" si="5"/>
        <v>0.75</v>
      </c>
      <c r="R102" s="1">
        <v>15.9</v>
      </c>
      <c r="S102" s="1">
        <v>114.5</v>
      </c>
      <c r="T102" s="2">
        <f t="shared" si="1"/>
        <v>30</v>
      </c>
      <c r="U102" s="1">
        <v>398</v>
      </c>
      <c r="V102" s="2">
        <f t="shared" si="2"/>
        <v>2985</v>
      </c>
      <c r="W102" s="1">
        <v>10</v>
      </c>
      <c r="X102" s="1" t="s">
        <v>51</v>
      </c>
      <c r="Y102" s="1" t="s">
        <v>67</v>
      </c>
      <c r="Z102" s="1" t="s">
        <v>101</v>
      </c>
      <c r="AA102" s="1" t="s">
        <v>43</v>
      </c>
    </row>
    <row r="103" spans="1:27" x14ac:dyDescent="0.15">
      <c r="A103" s="1" t="s">
        <v>53</v>
      </c>
      <c r="B103" s="1" t="s">
        <v>336</v>
      </c>
      <c r="C103" s="1">
        <v>2020</v>
      </c>
      <c r="D103" s="132" t="s">
        <v>234</v>
      </c>
      <c r="E103" s="1" t="s">
        <v>205</v>
      </c>
      <c r="F103" s="1" t="s">
        <v>404</v>
      </c>
      <c r="G103" s="1" t="s">
        <v>37</v>
      </c>
      <c r="H103" s="1" t="s">
        <v>82</v>
      </c>
      <c r="I103" s="1" t="s">
        <v>64</v>
      </c>
      <c r="J103" s="1" t="s">
        <v>40</v>
      </c>
      <c r="K103" s="1" t="s">
        <v>41</v>
      </c>
      <c r="L103" s="1">
        <v>3</v>
      </c>
      <c r="N103" s="1">
        <v>4</v>
      </c>
      <c r="O103" s="1">
        <v>0.85</v>
      </c>
      <c r="P103" s="1">
        <v>0.7</v>
      </c>
      <c r="Q103" s="2">
        <f t="shared" si="5"/>
        <v>0.77499999999999991</v>
      </c>
      <c r="R103" s="1">
        <v>16.100000000000001</v>
      </c>
      <c r="S103" s="1">
        <v>108.5</v>
      </c>
      <c r="T103" s="2">
        <f t="shared" si="1"/>
        <v>33</v>
      </c>
      <c r="U103" s="1">
        <v>398</v>
      </c>
      <c r="V103" s="2">
        <f t="shared" si="2"/>
        <v>3283.5</v>
      </c>
      <c r="W103" s="1">
        <v>10</v>
      </c>
      <c r="X103" s="1" t="s">
        <v>51</v>
      </c>
      <c r="Y103" s="1" t="s">
        <v>67</v>
      </c>
      <c r="Z103" s="1" t="s">
        <v>101</v>
      </c>
      <c r="AA103" s="1" t="s">
        <v>43</v>
      </c>
    </row>
    <row r="104" spans="1:27" x14ac:dyDescent="0.15">
      <c r="A104" s="1" t="s">
        <v>53</v>
      </c>
      <c r="B104" s="1" t="s">
        <v>336</v>
      </c>
      <c r="C104" s="1">
        <v>2020</v>
      </c>
      <c r="D104" s="132" t="s">
        <v>234</v>
      </c>
      <c r="E104" s="1" t="s">
        <v>205</v>
      </c>
      <c r="F104" s="1" t="s">
        <v>404</v>
      </c>
      <c r="G104" s="1" t="s">
        <v>37</v>
      </c>
      <c r="H104" s="1" t="s">
        <v>82</v>
      </c>
      <c r="I104" s="1" t="s">
        <v>64</v>
      </c>
      <c r="J104" s="1" t="s">
        <v>40</v>
      </c>
      <c r="K104" s="1" t="s">
        <v>41</v>
      </c>
      <c r="L104" s="1">
        <v>1</v>
      </c>
      <c r="N104" s="1">
        <v>4</v>
      </c>
      <c r="O104" s="1">
        <v>0.85</v>
      </c>
      <c r="P104" s="1">
        <v>0.9</v>
      </c>
      <c r="Q104" s="2">
        <f t="shared" si="5"/>
        <v>0.875</v>
      </c>
      <c r="R104" s="1">
        <v>15.1</v>
      </c>
      <c r="S104" s="1">
        <v>150</v>
      </c>
      <c r="T104" s="2">
        <f t="shared" si="1"/>
        <v>30</v>
      </c>
      <c r="U104" s="1">
        <v>680</v>
      </c>
      <c r="V104" s="2">
        <f t="shared" si="2"/>
        <v>5100</v>
      </c>
      <c r="W104" s="1">
        <v>10</v>
      </c>
      <c r="X104" s="1" t="s">
        <v>51</v>
      </c>
      <c r="Y104" s="1" t="s">
        <v>67</v>
      </c>
      <c r="Z104" s="1" t="s">
        <v>101</v>
      </c>
      <c r="AA104" s="1" t="s">
        <v>43</v>
      </c>
    </row>
    <row r="105" spans="1:27" x14ac:dyDescent="0.15">
      <c r="A105" s="1" t="s">
        <v>53</v>
      </c>
      <c r="B105" s="1" t="s">
        <v>336</v>
      </c>
      <c r="C105" s="1">
        <v>2020</v>
      </c>
      <c r="D105" s="132" t="s">
        <v>234</v>
      </c>
      <c r="E105" s="1" t="s">
        <v>205</v>
      </c>
      <c r="F105" s="1" t="s">
        <v>404</v>
      </c>
      <c r="G105" s="1" t="s">
        <v>37</v>
      </c>
      <c r="H105" s="1" t="s">
        <v>82</v>
      </c>
      <c r="I105" s="1" t="s">
        <v>64</v>
      </c>
      <c r="J105" s="1" t="s">
        <v>40</v>
      </c>
      <c r="K105" s="1" t="s">
        <v>41</v>
      </c>
      <c r="L105" s="1">
        <v>2</v>
      </c>
      <c r="N105" s="1">
        <v>4</v>
      </c>
      <c r="O105" s="1">
        <v>1</v>
      </c>
      <c r="P105" s="1">
        <v>0.85</v>
      </c>
      <c r="Q105" s="2">
        <f t="shared" si="5"/>
        <v>0.92500000000000004</v>
      </c>
      <c r="R105" s="1">
        <v>15.7</v>
      </c>
      <c r="S105" s="1">
        <v>121</v>
      </c>
      <c r="T105" s="2">
        <f t="shared" si="1"/>
        <v>30</v>
      </c>
      <c r="U105" s="1">
        <v>680</v>
      </c>
      <c r="V105" s="2">
        <f t="shared" si="2"/>
        <v>5100</v>
      </c>
      <c r="W105" s="1">
        <v>10</v>
      </c>
      <c r="X105" s="1" t="s">
        <v>51</v>
      </c>
      <c r="Y105" s="1" t="s">
        <v>67</v>
      </c>
      <c r="Z105" s="1" t="s">
        <v>101</v>
      </c>
      <c r="AA105" s="1" t="s">
        <v>43</v>
      </c>
    </row>
    <row r="106" spans="1:27" x14ac:dyDescent="0.15">
      <c r="A106" s="1" t="s">
        <v>53</v>
      </c>
      <c r="B106" s="1" t="s">
        <v>336</v>
      </c>
      <c r="C106" s="1">
        <v>2020</v>
      </c>
      <c r="D106" s="132" t="s">
        <v>234</v>
      </c>
      <c r="E106" s="1" t="s">
        <v>205</v>
      </c>
      <c r="F106" s="1" t="s">
        <v>404</v>
      </c>
      <c r="G106" s="1" t="s">
        <v>37</v>
      </c>
      <c r="H106" s="1" t="s">
        <v>82</v>
      </c>
      <c r="I106" s="1" t="s">
        <v>64</v>
      </c>
      <c r="J106" s="1" t="s">
        <v>40</v>
      </c>
      <c r="K106" s="1" t="s">
        <v>41</v>
      </c>
      <c r="L106" s="1">
        <v>3</v>
      </c>
      <c r="N106" s="1">
        <v>4</v>
      </c>
      <c r="O106" s="1">
        <v>0.75</v>
      </c>
      <c r="P106" s="1">
        <v>0.9</v>
      </c>
      <c r="Q106" s="2">
        <f t="shared" si="5"/>
        <v>0.82499999999999996</v>
      </c>
      <c r="R106" s="1">
        <v>18.399999999999999</v>
      </c>
      <c r="S106" s="1">
        <v>153.5</v>
      </c>
      <c r="T106" s="2">
        <f t="shared" si="1"/>
        <v>18</v>
      </c>
      <c r="U106" s="1">
        <v>680</v>
      </c>
      <c r="V106" s="2">
        <f t="shared" si="2"/>
        <v>3060</v>
      </c>
      <c r="W106" s="1">
        <v>10</v>
      </c>
      <c r="X106" s="1" t="s">
        <v>51</v>
      </c>
      <c r="Y106" s="1" t="s">
        <v>67</v>
      </c>
      <c r="Z106" s="1" t="s">
        <v>101</v>
      </c>
      <c r="AA106" s="1" t="s">
        <v>43</v>
      </c>
    </row>
    <row r="107" spans="1:27" x14ac:dyDescent="0.15">
      <c r="A107" s="1" t="s">
        <v>53</v>
      </c>
      <c r="B107" s="1" t="s">
        <v>336</v>
      </c>
      <c r="C107" s="1">
        <v>2020</v>
      </c>
      <c r="D107" s="132" t="s">
        <v>234</v>
      </c>
      <c r="E107" s="1" t="s">
        <v>203</v>
      </c>
      <c r="F107" s="1" t="s">
        <v>204</v>
      </c>
      <c r="G107" s="1" t="s">
        <v>37</v>
      </c>
      <c r="H107" s="1" t="s">
        <v>63</v>
      </c>
      <c r="I107" s="1" t="s">
        <v>64</v>
      </c>
      <c r="J107" s="1" t="s">
        <v>40</v>
      </c>
      <c r="K107" s="1" t="s">
        <v>41</v>
      </c>
      <c r="L107" s="1">
        <v>1</v>
      </c>
      <c r="N107" s="1">
        <v>1</v>
      </c>
      <c r="O107" s="1">
        <v>0.6</v>
      </c>
      <c r="P107" s="1">
        <v>0.55000000000000004</v>
      </c>
      <c r="Q107" s="2">
        <f t="shared" si="5"/>
        <v>0.57499999999999996</v>
      </c>
      <c r="R107" s="1">
        <v>15.4</v>
      </c>
      <c r="S107" s="1">
        <v>110.5</v>
      </c>
      <c r="T107" s="2">
        <f t="shared" si="1"/>
        <v>33</v>
      </c>
      <c r="U107" s="1">
        <v>79</v>
      </c>
      <c r="V107" s="2">
        <f t="shared" si="2"/>
        <v>2607</v>
      </c>
      <c r="W107" s="1">
        <v>9</v>
      </c>
      <c r="X107" s="1" t="s">
        <v>51</v>
      </c>
      <c r="Y107" s="1" t="s">
        <v>67</v>
      </c>
      <c r="Z107" s="1" t="s">
        <v>43</v>
      </c>
      <c r="AA107" s="1" t="s">
        <v>101</v>
      </c>
    </row>
    <row r="108" spans="1:27" x14ac:dyDescent="0.15">
      <c r="A108" s="1" t="s">
        <v>53</v>
      </c>
      <c r="B108" s="1" t="s">
        <v>336</v>
      </c>
      <c r="C108" s="1">
        <v>2020</v>
      </c>
      <c r="D108" s="132" t="s">
        <v>234</v>
      </c>
      <c r="E108" s="1" t="s">
        <v>203</v>
      </c>
      <c r="F108" s="1" t="s">
        <v>204</v>
      </c>
      <c r="G108" s="1" t="s">
        <v>37</v>
      </c>
      <c r="H108" s="1" t="s">
        <v>63</v>
      </c>
      <c r="I108" s="1" t="s">
        <v>64</v>
      </c>
      <c r="J108" s="1" t="s">
        <v>40</v>
      </c>
      <c r="K108" s="1" t="s">
        <v>41</v>
      </c>
      <c r="L108" s="1">
        <v>2</v>
      </c>
      <c r="N108" s="1">
        <v>1</v>
      </c>
      <c r="O108" s="1">
        <v>0.6</v>
      </c>
      <c r="P108" s="1">
        <v>0.6</v>
      </c>
      <c r="Q108" s="2">
        <f t="shared" si="5"/>
        <v>0.6</v>
      </c>
      <c r="R108" s="1">
        <v>15.3</v>
      </c>
      <c r="S108" s="1">
        <v>113</v>
      </c>
      <c r="T108" s="2">
        <f t="shared" si="1"/>
        <v>30</v>
      </c>
      <c r="U108" s="1">
        <v>79</v>
      </c>
      <c r="V108" s="2">
        <f t="shared" si="2"/>
        <v>2370</v>
      </c>
      <c r="W108" s="1">
        <v>9</v>
      </c>
      <c r="X108" s="1" t="s">
        <v>51</v>
      </c>
      <c r="Y108" s="1" t="s">
        <v>67</v>
      </c>
      <c r="Z108" s="1" t="s">
        <v>43</v>
      </c>
      <c r="AA108" s="1" t="s">
        <v>101</v>
      </c>
    </row>
    <row r="109" spans="1:27" x14ac:dyDescent="0.15">
      <c r="A109" s="1" t="s">
        <v>53</v>
      </c>
      <c r="B109" s="1" t="s">
        <v>336</v>
      </c>
      <c r="C109" s="1">
        <v>2020</v>
      </c>
      <c r="D109" s="132" t="s">
        <v>234</v>
      </c>
      <c r="E109" s="1" t="s">
        <v>203</v>
      </c>
      <c r="F109" s="1" t="s">
        <v>204</v>
      </c>
      <c r="G109" s="1" t="s">
        <v>37</v>
      </c>
      <c r="H109" s="1" t="s">
        <v>63</v>
      </c>
      <c r="I109" s="1" t="s">
        <v>64</v>
      </c>
      <c r="J109" s="1" t="s">
        <v>40</v>
      </c>
      <c r="K109" s="1" t="s">
        <v>41</v>
      </c>
      <c r="L109" s="1">
        <v>3</v>
      </c>
      <c r="N109" s="1">
        <v>1</v>
      </c>
      <c r="O109" s="1">
        <v>0.75</v>
      </c>
      <c r="P109" s="1">
        <v>0.6</v>
      </c>
      <c r="Q109" s="2">
        <f t="shared" si="5"/>
        <v>0.67500000000000004</v>
      </c>
      <c r="R109" s="1">
        <v>15.2</v>
      </c>
      <c r="S109" s="1">
        <v>108.5</v>
      </c>
      <c r="T109" s="2">
        <f t="shared" si="1"/>
        <v>33</v>
      </c>
      <c r="U109" s="1">
        <v>79</v>
      </c>
      <c r="V109" s="2">
        <f t="shared" si="2"/>
        <v>2607</v>
      </c>
      <c r="W109" s="1">
        <v>9</v>
      </c>
      <c r="X109" s="1" t="s">
        <v>51</v>
      </c>
      <c r="Y109" s="1" t="s">
        <v>67</v>
      </c>
      <c r="Z109" s="1" t="s">
        <v>43</v>
      </c>
      <c r="AA109" s="1" t="s">
        <v>101</v>
      </c>
    </row>
    <row r="110" spans="1:27" x14ac:dyDescent="0.15">
      <c r="A110" s="1" t="s">
        <v>53</v>
      </c>
      <c r="B110" s="1" t="s">
        <v>336</v>
      </c>
      <c r="C110" s="1">
        <v>2020</v>
      </c>
      <c r="D110" s="132" t="s">
        <v>234</v>
      </c>
      <c r="E110" s="1" t="s">
        <v>203</v>
      </c>
      <c r="F110" s="1" t="s">
        <v>204</v>
      </c>
      <c r="G110" s="1" t="s">
        <v>37</v>
      </c>
      <c r="H110" s="1" t="s">
        <v>82</v>
      </c>
      <c r="I110" s="1" t="s">
        <v>64</v>
      </c>
      <c r="J110" s="1" t="s">
        <v>40</v>
      </c>
      <c r="K110" s="1" t="s">
        <v>41</v>
      </c>
      <c r="L110" s="1">
        <v>1</v>
      </c>
      <c r="N110" s="1">
        <v>1</v>
      </c>
      <c r="O110" s="1">
        <v>1</v>
      </c>
      <c r="P110" s="1">
        <v>0.7</v>
      </c>
      <c r="Q110" s="2">
        <f t="shared" si="5"/>
        <v>0.85</v>
      </c>
      <c r="R110" s="1">
        <v>18.600000000000001</v>
      </c>
      <c r="S110" s="1">
        <v>173.5</v>
      </c>
      <c r="T110" s="2">
        <f t="shared" si="1"/>
        <v>18</v>
      </c>
      <c r="U110" s="1">
        <v>98</v>
      </c>
      <c r="V110" s="2">
        <f t="shared" si="2"/>
        <v>1764</v>
      </c>
      <c r="W110" s="1">
        <v>9</v>
      </c>
      <c r="X110" s="1" t="s">
        <v>51</v>
      </c>
      <c r="Y110" s="1" t="s">
        <v>67</v>
      </c>
      <c r="Z110" s="1" t="s">
        <v>43</v>
      </c>
      <c r="AA110" s="1" t="s">
        <v>101</v>
      </c>
    </row>
    <row r="111" spans="1:27" x14ac:dyDescent="0.15">
      <c r="A111" s="1" t="s">
        <v>53</v>
      </c>
      <c r="B111" s="1" t="s">
        <v>336</v>
      </c>
      <c r="C111" s="1">
        <v>2020</v>
      </c>
      <c r="D111" s="132" t="s">
        <v>234</v>
      </c>
      <c r="E111" s="1" t="s">
        <v>203</v>
      </c>
      <c r="F111" s="1" t="s">
        <v>204</v>
      </c>
      <c r="G111" s="1" t="s">
        <v>37</v>
      </c>
      <c r="H111" s="1" t="s">
        <v>82</v>
      </c>
      <c r="I111" s="1" t="s">
        <v>64</v>
      </c>
      <c r="J111" s="1" t="s">
        <v>40</v>
      </c>
      <c r="K111" s="1" t="s">
        <v>41</v>
      </c>
      <c r="L111" s="1">
        <v>2</v>
      </c>
      <c r="N111" s="1">
        <v>1</v>
      </c>
      <c r="O111" s="1">
        <v>0.7</v>
      </c>
      <c r="P111" s="1">
        <v>0.5</v>
      </c>
      <c r="Q111" s="2">
        <f t="shared" si="5"/>
        <v>0.6</v>
      </c>
      <c r="R111" s="1">
        <v>18.899999999999999</v>
      </c>
      <c r="S111" s="1">
        <v>127.5</v>
      </c>
      <c r="T111" s="2">
        <f t="shared" si="1"/>
        <v>30</v>
      </c>
      <c r="U111" s="1">
        <v>98</v>
      </c>
      <c r="V111" s="2">
        <f t="shared" si="2"/>
        <v>2940</v>
      </c>
      <c r="W111" s="1">
        <v>9</v>
      </c>
      <c r="X111" s="1" t="s">
        <v>51</v>
      </c>
      <c r="Y111" s="1" t="s">
        <v>67</v>
      </c>
      <c r="Z111" s="1" t="s">
        <v>43</v>
      </c>
      <c r="AA111" s="1" t="s">
        <v>101</v>
      </c>
    </row>
    <row r="112" spans="1:27" x14ac:dyDescent="0.15">
      <c r="A112" s="1" t="s">
        <v>53</v>
      </c>
      <c r="B112" s="1" t="s">
        <v>336</v>
      </c>
      <c r="C112" s="1">
        <v>2020</v>
      </c>
      <c r="D112" s="132" t="s">
        <v>234</v>
      </c>
      <c r="E112" s="1" t="s">
        <v>203</v>
      </c>
      <c r="F112" s="1" t="s">
        <v>204</v>
      </c>
      <c r="G112" s="1" t="s">
        <v>37</v>
      </c>
      <c r="H112" s="1" t="s">
        <v>82</v>
      </c>
      <c r="I112" s="1" t="s">
        <v>64</v>
      </c>
      <c r="J112" s="1" t="s">
        <v>40</v>
      </c>
      <c r="K112" s="1" t="s">
        <v>41</v>
      </c>
      <c r="L112" s="1">
        <v>3</v>
      </c>
      <c r="N112" s="1">
        <v>1</v>
      </c>
      <c r="O112" s="1">
        <v>0.7</v>
      </c>
      <c r="P112" s="1">
        <v>0.75</v>
      </c>
      <c r="Q112" s="2">
        <f t="shared" si="5"/>
        <v>0.72499999999999998</v>
      </c>
      <c r="R112" s="1">
        <v>18.8</v>
      </c>
      <c r="S112" s="1">
        <v>155</v>
      </c>
      <c r="T112" s="2">
        <f t="shared" si="1"/>
        <v>18</v>
      </c>
      <c r="U112" s="1">
        <v>98</v>
      </c>
      <c r="V112" s="2">
        <f t="shared" si="2"/>
        <v>1764</v>
      </c>
      <c r="W112" s="1">
        <v>9</v>
      </c>
      <c r="X112" s="1" t="s">
        <v>51</v>
      </c>
      <c r="Y112" s="1" t="s">
        <v>67</v>
      </c>
      <c r="Z112" s="1" t="s">
        <v>43</v>
      </c>
      <c r="AA112" s="1" t="s">
        <v>101</v>
      </c>
    </row>
    <row r="113" spans="1:27" x14ac:dyDescent="0.15">
      <c r="A113" s="1" t="s">
        <v>53</v>
      </c>
      <c r="B113" s="1" t="s">
        <v>336</v>
      </c>
      <c r="C113" s="1">
        <v>2020</v>
      </c>
      <c r="D113" s="132" t="s">
        <v>234</v>
      </c>
      <c r="E113" s="1" t="s">
        <v>203</v>
      </c>
      <c r="F113" s="1" t="s">
        <v>204</v>
      </c>
      <c r="G113" s="1" t="s">
        <v>37</v>
      </c>
      <c r="H113" s="1" t="s">
        <v>82</v>
      </c>
      <c r="I113" s="1" t="s">
        <v>64</v>
      </c>
      <c r="J113" s="1" t="s">
        <v>40</v>
      </c>
      <c r="K113" s="1" t="s">
        <v>41</v>
      </c>
      <c r="L113" s="1">
        <v>1</v>
      </c>
      <c r="N113" s="1">
        <v>5</v>
      </c>
      <c r="O113" s="1">
        <v>0.7</v>
      </c>
      <c r="P113" s="1">
        <v>1.2</v>
      </c>
      <c r="Q113" s="2">
        <f t="shared" si="5"/>
        <v>0.95</v>
      </c>
      <c r="R113" s="1">
        <v>15.7</v>
      </c>
      <c r="S113" s="1">
        <v>100.5</v>
      </c>
      <c r="T113" s="2">
        <f t="shared" si="1"/>
        <v>33</v>
      </c>
      <c r="U113" s="1">
        <v>428</v>
      </c>
      <c r="V113" s="2">
        <f t="shared" si="2"/>
        <v>2824.7999999999997</v>
      </c>
      <c r="W113" s="1">
        <v>9</v>
      </c>
      <c r="X113" s="1" t="s">
        <v>51</v>
      </c>
      <c r="Y113" s="1" t="s">
        <v>67</v>
      </c>
      <c r="Z113" s="1" t="s">
        <v>43</v>
      </c>
      <c r="AA113" s="1" t="s">
        <v>101</v>
      </c>
    </row>
    <row r="114" spans="1:27" x14ac:dyDescent="0.15">
      <c r="A114" s="1" t="s">
        <v>53</v>
      </c>
      <c r="B114" s="1" t="s">
        <v>336</v>
      </c>
      <c r="C114" s="1">
        <v>2020</v>
      </c>
      <c r="D114" s="132" t="s">
        <v>234</v>
      </c>
      <c r="E114" s="1" t="s">
        <v>203</v>
      </c>
      <c r="F114" s="1" t="s">
        <v>204</v>
      </c>
      <c r="G114" s="1" t="s">
        <v>37</v>
      </c>
      <c r="H114" s="1" t="s">
        <v>82</v>
      </c>
      <c r="I114" s="1" t="s">
        <v>64</v>
      </c>
      <c r="J114" s="1" t="s">
        <v>40</v>
      </c>
      <c r="K114" s="1" t="s">
        <v>41</v>
      </c>
      <c r="L114" s="1">
        <v>2</v>
      </c>
      <c r="N114" s="1">
        <v>5</v>
      </c>
      <c r="O114" s="1">
        <v>0.7</v>
      </c>
      <c r="P114" s="1">
        <v>0.75</v>
      </c>
      <c r="Q114" s="2">
        <f t="shared" si="5"/>
        <v>0.72499999999999998</v>
      </c>
      <c r="R114" s="1">
        <v>15.6</v>
      </c>
      <c r="S114" s="1">
        <v>105</v>
      </c>
      <c r="T114" s="2">
        <f t="shared" si="1"/>
        <v>33</v>
      </c>
      <c r="U114" s="1">
        <v>428</v>
      </c>
      <c r="V114" s="2">
        <f t="shared" si="2"/>
        <v>2824.7999999999997</v>
      </c>
      <c r="W114" s="1">
        <v>9</v>
      </c>
      <c r="X114" s="1" t="s">
        <v>51</v>
      </c>
      <c r="Y114" s="1" t="s">
        <v>67</v>
      </c>
      <c r="Z114" s="1" t="s">
        <v>43</v>
      </c>
      <c r="AA114" s="1" t="s">
        <v>101</v>
      </c>
    </row>
    <row r="115" spans="1:27" x14ac:dyDescent="0.15">
      <c r="A115" s="1" t="s">
        <v>53</v>
      </c>
      <c r="B115" s="1" t="s">
        <v>336</v>
      </c>
      <c r="C115" s="1">
        <v>2020</v>
      </c>
      <c r="D115" s="132" t="s">
        <v>234</v>
      </c>
      <c r="E115" s="1" t="s">
        <v>203</v>
      </c>
      <c r="F115" s="1" t="s">
        <v>204</v>
      </c>
      <c r="G115" s="1" t="s">
        <v>37</v>
      </c>
      <c r="H115" s="1" t="s">
        <v>82</v>
      </c>
      <c r="I115" s="1" t="s">
        <v>64</v>
      </c>
      <c r="J115" s="1" t="s">
        <v>40</v>
      </c>
      <c r="K115" s="1" t="s">
        <v>41</v>
      </c>
      <c r="L115" s="1">
        <v>3</v>
      </c>
      <c r="N115" s="1">
        <v>5</v>
      </c>
      <c r="O115" s="1">
        <v>1.05</v>
      </c>
      <c r="P115" s="1">
        <v>0.5</v>
      </c>
      <c r="Q115" s="2">
        <f t="shared" si="5"/>
        <v>0.77500000000000002</v>
      </c>
      <c r="R115" s="1">
        <v>16.3</v>
      </c>
      <c r="S115" s="1">
        <v>95.5</v>
      </c>
      <c r="T115" s="2">
        <f t="shared" si="1"/>
        <v>36</v>
      </c>
      <c r="U115" s="1">
        <v>428</v>
      </c>
      <c r="V115" s="2">
        <f t="shared" si="2"/>
        <v>3081.6</v>
      </c>
      <c r="W115" s="1">
        <v>9</v>
      </c>
      <c r="X115" s="1" t="s">
        <v>51</v>
      </c>
      <c r="Y115" s="1" t="s">
        <v>67</v>
      </c>
      <c r="Z115" s="1" t="s">
        <v>43</v>
      </c>
      <c r="AA115" s="1" t="s">
        <v>101</v>
      </c>
    </row>
    <row r="116" spans="1:27" x14ac:dyDescent="0.15">
      <c r="A116" s="1" t="s">
        <v>53</v>
      </c>
      <c r="B116" s="1" t="s">
        <v>336</v>
      </c>
      <c r="C116" s="1">
        <v>2020</v>
      </c>
      <c r="D116" s="132" t="s">
        <v>234</v>
      </c>
      <c r="E116" s="1" t="s">
        <v>203</v>
      </c>
      <c r="F116" s="1" t="s">
        <v>204</v>
      </c>
      <c r="G116" s="1" t="s">
        <v>37</v>
      </c>
      <c r="H116" s="1" t="s">
        <v>82</v>
      </c>
      <c r="I116" s="1" t="s">
        <v>64</v>
      </c>
      <c r="J116" s="1" t="s">
        <v>40</v>
      </c>
      <c r="K116" s="1" t="s">
        <v>41</v>
      </c>
      <c r="L116" s="1">
        <v>1</v>
      </c>
      <c r="N116" s="1">
        <v>8</v>
      </c>
      <c r="O116" s="1">
        <v>0.6</v>
      </c>
      <c r="P116" s="1">
        <v>0.55000000000000004</v>
      </c>
      <c r="Q116" s="2">
        <f t="shared" si="5"/>
        <v>0.57499999999999996</v>
      </c>
      <c r="R116" s="1">
        <v>17.100000000000001</v>
      </c>
      <c r="S116" s="1">
        <v>129.5</v>
      </c>
      <c r="T116" s="2">
        <f t="shared" si="1"/>
        <v>30</v>
      </c>
      <c r="U116" s="1">
        <v>777</v>
      </c>
      <c r="V116" s="2">
        <f t="shared" si="2"/>
        <v>2913.75</v>
      </c>
      <c r="W116" s="1">
        <v>9</v>
      </c>
      <c r="X116" s="1" t="s">
        <v>51</v>
      </c>
      <c r="Y116" s="1" t="s">
        <v>67</v>
      </c>
      <c r="Z116" s="1" t="s">
        <v>43</v>
      </c>
      <c r="AA116" s="1" t="s">
        <v>101</v>
      </c>
    </row>
    <row r="117" spans="1:27" x14ac:dyDescent="0.15">
      <c r="A117" s="1" t="s">
        <v>53</v>
      </c>
      <c r="B117" s="1" t="s">
        <v>336</v>
      </c>
      <c r="C117" s="1">
        <v>2020</v>
      </c>
      <c r="D117" s="132" t="s">
        <v>234</v>
      </c>
      <c r="E117" s="1" t="s">
        <v>203</v>
      </c>
      <c r="F117" s="1" t="s">
        <v>204</v>
      </c>
      <c r="G117" s="1" t="s">
        <v>37</v>
      </c>
      <c r="H117" s="1" t="s">
        <v>82</v>
      </c>
      <c r="I117" s="1" t="s">
        <v>64</v>
      </c>
      <c r="J117" s="1" t="s">
        <v>40</v>
      </c>
      <c r="K117" s="1" t="s">
        <v>41</v>
      </c>
      <c r="L117" s="1">
        <v>2</v>
      </c>
      <c r="N117" s="1">
        <v>8</v>
      </c>
      <c r="O117" s="1">
        <v>0.55000000000000004</v>
      </c>
      <c r="P117" s="1">
        <v>0.7</v>
      </c>
      <c r="Q117" s="2">
        <f t="shared" si="5"/>
        <v>0.625</v>
      </c>
      <c r="R117" s="1">
        <v>17.3</v>
      </c>
      <c r="S117" s="1">
        <v>130.5</v>
      </c>
      <c r="T117" s="2">
        <f t="shared" si="1"/>
        <v>30</v>
      </c>
      <c r="U117" s="1">
        <v>777</v>
      </c>
      <c r="V117" s="2">
        <f t="shared" si="2"/>
        <v>2913.75</v>
      </c>
      <c r="W117" s="1">
        <v>9</v>
      </c>
      <c r="X117" s="1" t="s">
        <v>51</v>
      </c>
      <c r="Y117" s="1" t="s">
        <v>67</v>
      </c>
      <c r="Z117" s="1" t="s">
        <v>43</v>
      </c>
      <c r="AA117" s="1" t="s">
        <v>101</v>
      </c>
    </row>
    <row r="118" spans="1:27" x14ac:dyDescent="0.15">
      <c r="A118" s="1" t="s">
        <v>53</v>
      </c>
      <c r="B118" s="1" t="s">
        <v>336</v>
      </c>
      <c r="C118" s="1">
        <v>2020</v>
      </c>
      <c r="D118" s="132" t="s">
        <v>234</v>
      </c>
      <c r="E118" s="1" t="s">
        <v>203</v>
      </c>
      <c r="F118" s="1" t="s">
        <v>204</v>
      </c>
      <c r="G118" s="1" t="s">
        <v>37</v>
      </c>
      <c r="H118" s="1" t="s">
        <v>82</v>
      </c>
      <c r="I118" s="1" t="s">
        <v>64</v>
      </c>
      <c r="J118" s="1" t="s">
        <v>40</v>
      </c>
      <c r="K118" s="1" t="s">
        <v>41</v>
      </c>
      <c r="L118" s="1">
        <v>3</v>
      </c>
      <c r="N118" s="1">
        <v>8</v>
      </c>
      <c r="O118" s="1">
        <v>0.55000000000000004</v>
      </c>
      <c r="P118" s="1">
        <v>1.05</v>
      </c>
      <c r="Q118" s="2">
        <f t="shared" si="5"/>
        <v>0.8</v>
      </c>
      <c r="R118" s="1">
        <v>16.399999999999999</v>
      </c>
      <c r="S118" s="1">
        <v>131.5</v>
      </c>
      <c r="T118" s="2">
        <f t="shared" si="1"/>
        <v>30</v>
      </c>
      <c r="U118" s="1">
        <v>777</v>
      </c>
      <c r="V118" s="2">
        <f t="shared" si="2"/>
        <v>2913.75</v>
      </c>
      <c r="W118" s="1">
        <v>9</v>
      </c>
      <c r="X118" s="1" t="s">
        <v>51</v>
      </c>
      <c r="Y118" s="1" t="s">
        <v>67</v>
      </c>
      <c r="Z118" s="1" t="s">
        <v>112</v>
      </c>
      <c r="AA118" s="1" t="s">
        <v>101</v>
      </c>
    </row>
    <row r="119" spans="1:27" x14ac:dyDescent="0.15">
      <c r="A119" s="1" t="s">
        <v>53</v>
      </c>
      <c r="B119" s="1" t="s">
        <v>336</v>
      </c>
      <c r="C119" s="1">
        <v>2020</v>
      </c>
      <c r="D119" s="132" t="s">
        <v>234</v>
      </c>
      <c r="E119" s="1" t="s">
        <v>207</v>
      </c>
      <c r="F119" s="1" t="s">
        <v>408</v>
      </c>
      <c r="G119" s="1" t="s">
        <v>46</v>
      </c>
      <c r="H119" s="1" t="s">
        <v>63</v>
      </c>
      <c r="I119" s="1" t="s">
        <v>64</v>
      </c>
      <c r="J119" s="1" t="s">
        <v>40</v>
      </c>
      <c r="K119" s="1" t="s">
        <v>41</v>
      </c>
      <c r="L119" s="1">
        <v>1</v>
      </c>
      <c r="N119" s="1">
        <v>1</v>
      </c>
      <c r="O119" s="1">
        <v>1</v>
      </c>
      <c r="P119" s="1">
        <v>1.1000000000000001</v>
      </c>
      <c r="Q119" s="2">
        <f t="shared" si="5"/>
        <v>1.05</v>
      </c>
      <c r="R119" s="1">
        <v>15.6</v>
      </c>
      <c r="S119" s="1">
        <v>125</v>
      </c>
      <c r="T119" s="2">
        <f t="shared" si="1"/>
        <v>30</v>
      </c>
      <c r="U119" s="1">
        <v>138</v>
      </c>
      <c r="V119" s="2">
        <f t="shared" si="2"/>
        <v>4140</v>
      </c>
      <c r="W119" s="1">
        <v>14</v>
      </c>
      <c r="X119" s="1" t="s">
        <v>51</v>
      </c>
      <c r="Y119" s="1" t="s">
        <v>67</v>
      </c>
      <c r="Z119" s="1" t="s">
        <v>112</v>
      </c>
      <c r="AA119" s="1" t="s">
        <v>101</v>
      </c>
    </row>
    <row r="120" spans="1:27" x14ac:dyDescent="0.15">
      <c r="A120" s="1" t="s">
        <v>53</v>
      </c>
      <c r="B120" s="1" t="s">
        <v>336</v>
      </c>
      <c r="C120" s="1">
        <v>2020</v>
      </c>
      <c r="D120" s="132" t="s">
        <v>234</v>
      </c>
      <c r="E120" s="1" t="s">
        <v>207</v>
      </c>
      <c r="F120" s="1" t="s">
        <v>408</v>
      </c>
      <c r="G120" s="1" t="s">
        <v>46</v>
      </c>
      <c r="H120" s="1" t="s">
        <v>63</v>
      </c>
      <c r="I120" s="1" t="s">
        <v>64</v>
      </c>
      <c r="J120" s="1" t="s">
        <v>40</v>
      </c>
      <c r="K120" s="1" t="s">
        <v>41</v>
      </c>
      <c r="L120" s="1">
        <v>2</v>
      </c>
      <c r="N120" s="1">
        <v>1</v>
      </c>
      <c r="O120" s="1">
        <v>0.9</v>
      </c>
      <c r="P120" s="1">
        <v>0.9</v>
      </c>
      <c r="Q120" s="2">
        <f t="shared" si="5"/>
        <v>0.9</v>
      </c>
      <c r="R120" s="1">
        <v>14.7</v>
      </c>
      <c r="S120" s="1">
        <v>127.5</v>
      </c>
      <c r="T120" s="2">
        <f t="shared" si="1"/>
        <v>30</v>
      </c>
      <c r="U120" s="1">
        <v>138</v>
      </c>
      <c r="V120" s="2">
        <f t="shared" si="2"/>
        <v>4140</v>
      </c>
      <c r="W120" s="1">
        <v>14</v>
      </c>
      <c r="X120" s="1" t="s">
        <v>51</v>
      </c>
      <c r="Y120" s="1" t="s">
        <v>67</v>
      </c>
      <c r="Z120" s="1" t="s">
        <v>112</v>
      </c>
      <c r="AA120" s="1" t="s">
        <v>101</v>
      </c>
    </row>
    <row r="121" spans="1:27" x14ac:dyDescent="0.15">
      <c r="A121" s="1" t="s">
        <v>53</v>
      </c>
      <c r="B121" s="1" t="s">
        <v>336</v>
      </c>
      <c r="C121" s="1">
        <v>2020</v>
      </c>
      <c r="D121" s="132" t="s">
        <v>234</v>
      </c>
      <c r="E121" s="1" t="s">
        <v>207</v>
      </c>
      <c r="F121" s="1" t="s">
        <v>408</v>
      </c>
      <c r="G121" s="1" t="s">
        <v>46</v>
      </c>
      <c r="H121" s="1" t="s">
        <v>63</v>
      </c>
      <c r="I121" s="1" t="s">
        <v>64</v>
      </c>
      <c r="J121" s="1" t="s">
        <v>40</v>
      </c>
      <c r="K121" s="1" t="s">
        <v>41</v>
      </c>
      <c r="L121" s="1">
        <v>3</v>
      </c>
      <c r="N121" s="1">
        <v>1</v>
      </c>
      <c r="O121" s="1">
        <v>1.1499999999999999</v>
      </c>
      <c r="P121" s="1">
        <v>1.25</v>
      </c>
      <c r="Q121" s="2">
        <f t="shared" si="5"/>
        <v>1.2</v>
      </c>
      <c r="R121" s="1">
        <v>14.7</v>
      </c>
      <c r="S121" s="1">
        <v>126</v>
      </c>
      <c r="T121" s="2">
        <f t="shared" si="1"/>
        <v>30</v>
      </c>
      <c r="U121" s="1">
        <v>138</v>
      </c>
      <c r="V121" s="2">
        <f t="shared" si="2"/>
        <v>4140</v>
      </c>
      <c r="W121" s="1">
        <v>14</v>
      </c>
      <c r="X121" s="1" t="s">
        <v>51</v>
      </c>
      <c r="Y121" s="1" t="s">
        <v>67</v>
      </c>
      <c r="Z121" s="1" t="s">
        <v>112</v>
      </c>
      <c r="AA121" s="1" t="s">
        <v>101</v>
      </c>
    </row>
    <row r="122" spans="1:27" x14ac:dyDescent="0.15">
      <c r="A122" s="1" t="s">
        <v>53</v>
      </c>
      <c r="B122" s="1" t="s">
        <v>336</v>
      </c>
      <c r="C122" s="1">
        <v>2020</v>
      </c>
      <c r="D122" s="132" t="s">
        <v>234</v>
      </c>
      <c r="E122" s="1" t="s">
        <v>207</v>
      </c>
      <c r="F122" s="1" t="s">
        <v>408</v>
      </c>
      <c r="G122" s="1" t="s">
        <v>46</v>
      </c>
      <c r="H122" s="1" t="s">
        <v>63</v>
      </c>
      <c r="I122" s="1" t="s">
        <v>64</v>
      </c>
      <c r="J122" s="1" t="s">
        <v>40</v>
      </c>
      <c r="K122" s="1" t="s">
        <v>41</v>
      </c>
      <c r="L122" s="1">
        <v>1</v>
      </c>
      <c r="N122" s="1">
        <v>4</v>
      </c>
      <c r="O122" s="1">
        <v>1.1000000000000001</v>
      </c>
      <c r="P122" s="1">
        <v>1.1499999999999999</v>
      </c>
      <c r="Q122" s="2">
        <f t="shared" si="5"/>
        <v>1.125</v>
      </c>
      <c r="R122" s="1">
        <v>15.7</v>
      </c>
      <c r="S122" s="1">
        <v>82</v>
      </c>
      <c r="T122" s="2">
        <f t="shared" si="1"/>
        <v>39</v>
      </c>
      <c r="U122" s="1">
        <v>398</v>
      </c>
      <c r="V122" s="2">
        <f t="shared" si="2"/>
        <v>3880.5</v>
      </c>
      <c r="W122" s="1">
        <v>14</v>
      </c>
      <c r="X122" s="1" t="s">
        <v>51</v>
      </c>
      <c r="Y122" s="1" t="s">
        <v>67</v>
      </c>
      <c r="Z122" s="1" t="s">
        <v>112</v>
      </c>
      <c r="AA122" s="1" t="s">
        <v>101</v>
      </c>
    </row>
    <row r="123" spans="1:27" x14ac:dyDescent="0.15">
      <c r="A123" s="1" t="s">
        <v>53</v>
      </c>
      <c r="B123" s="1" t="s">
        <v>336</v>
      </c>
      <c r="C123" s="1">
        <v>2020</v>
      </c>
      <c r="D123" s="132" t="s">
        <v>234</v>
      </c>
      <c r="E123" s="1" t="s">
        <v>207</v>
      </c>
      <c r="F123" s="1" t="s">
        <v>408</v>
      </c>
      <c r="G123" s="1" t="s">
        <v>46</v>
      </c>
      <c r="H123" s="1" t="s">
        <v>63</v>
      </c>
      <c r="I123" s="1" t="s">
        <v>64</v>
      </c>
      <c r="J123" s="1" t="s">
        <v>40</v>
      </c>
      <c r="K123" s="1" t="s">
        <v>41</v>
      </c>
      <c r="L123" s="1">
        <v>2</v>
      </c>
      <c r="N123" s="1">
        <v>4</v>
      </c>
      <c r="O123" s="1">
        <v>1</v>
      </c>
      <c r="P123" s="1">
        <v>1.25</v>
      </c>
      <c r="Q123" s="2">
        <f t="shared" si="5"/>
        <v>1.125</v>
      </c>
      <c r="R123" s="1">
        <v>13.3</v>
      </c>
      <c r="S123" s="1">
        <v>75.5</v>
      </c>
      <c r="T123" s="2">
        <f t="shared" si="1"/>
        <v>42</v>
      </c>
      <c r="U123" s="1">
        <v>398</v>
      </c>
      <c r="V123" s="2">
        <f t="shared" si="2"/>
        <v>4179</v>
      </c>
      <c r="W123" s="1">
        <v>14</v>
      </c>
      <c r="X123" s="1" t="s">
        <v>51</v>
      </c>
      <c r="Y123" s="1" t="s">
        <v>67</v>
      </c>
      <c r="Z123" s="1" t="s">
        <v>112</v>
      </c>
      <c r="AA123" s="1" t="s">
        <v>101</v>
      </c>
    </row>
    <row r="124" spans="1:27" x14ac:dyDescent="0.15">
      <c r="A124" s="1" t="s">
        <v>53</v>
      </c>
      <c r="B124" s="1" t="s">
        <v>336</v>
      </c>
      <c r="C124" s="1">
        <v>2020</v>
      </c>
      <c r="D124" s="132" t="s">
        <v>234</v>
      </c>
      <c r="E124" s="1" t="s">
        <v>207</v>
      </c>
      <c r="F124" s="1" t="s">
        <v>408</v>
      </c>
      <c r="G124" s="1" t="s">
        <v>46</v>
      </c>
      <c r="H124" s="1" t="s">
        <v>63</v>
      </c>
      <c r="I124" s="1" t="s">
        <v>64</v>
      </c>
      <c r="J124" s="1" t="s">
        <v>40</v>
      </c>
      <c r="K124" s="1" t="s">
        <v>41</v>
      </c>
      <c r="L124" s="1">
        <v>3</v>
      </c>
      <c r="N124" s="1">
        <v>4</v>
      </c>
      <c r="O124" s="1">
        <v>1.45</v>
      </c>
      <c r="P124" s="1">
        <v>1.5</v>
      </c>
      <c r="Q124" s="2">
        <f t="shared" si="5"/>
        <v>1.4750000000000001</v>
      </c>
      <c r="R124" s="1">
        <v>13.4</v>
      </c>
      <c r="S124" s="1">
        <v>82</v>
      </c>
      <c r="T124" s="2">
        <f t="shared" si="1"/>
        <v>39</v>
      </c>
      <c r="U124" s="1">
        <v>398</v>
      </c>
      <c r="V124" s="2">
        <f t="shared" si="2"/>
        <v>3880.5</v>
      </c>
      <c r="W124" s="1">
        <v>14</v>
      </c>
      <c r="X124" s="1" t="s">
        <v>51</v>
      </c>
      <c r="Y124" s="1" t="s">
        <v>67</v>
      </c>
      <c r="Z124" s="1" t="s">
        <v>112</v>
      </c>
      <c r="AA124" s="1" t="s">
        <v>101</v>
      </c>
    </row>
    <row r="125" spans="1:27" x14ac:dyDescent="0.15">
      <c r="A125" s="1" t="s">
        <v>53</v>
      </c>
      <c r="B125" s="1" t="s">
        <v>336</v>
      </c>
      <c r="C125" s="1">
        <v>2020</v>
      </c>
      <c r="D125" s="132" t="s">
        <v>234</v>
      </c>
      <c r="E125" s="1" t="s">
        <v>207</v>
      </c>
      <c r="F125" s="1" t="s">
        <v>408</v>
      </c>
      <c r="G125" s="1" t="s">
        <v>46</v>
      </c>
      <c r="H125" s="1" t="s">
        <v>82</v>
      </c>
      <c r="I125" s="1" t="s">
        <v>64</v>
      </c>
      <c r="J125" s="1" t="s">
        <v>40</v>
      </c>
      <c r="K125" s="1" t="s">
        <v>41</v>
      </c>
      <c r="L125" s="1">
        <v>1</v>
      </c>
      <c r="N125" s="1">
        <v>1</v>
      </c>
      <c r="O125" s="1">
        <v>0.6</v>
      </c>
      <c r="P125" s="1">
        <v>0.55000000000000004</v>
      </c>
      <c r="Q125" s="2">
        <f t="shared" si="5"/>
        <v>0.57499999999999996</v>
      </c>
      <c r="R125" s="1">
        <v>17.3</v>
      </c>
      <c r="S125" s="1">
        <v>125.5</v>
      </c>
      <c r="T125" s="2">
        <f t="shared" si="1"/>
        <v>30</v>
      </c>
      <c r="U125" s="1">
        <v>100</v>
      </c>
      <c r="V125" s="2">
        <f t="shared" si="2"/>
        <v>3000</v>
      </c>
      <c r="W125" s="1">
        <v>14</v>
      </c>
      <c r="X125" s="1" t="s">
        <v>51</v>
      </c>
      <c r="Y125" s="1" t="s">
        <v>67</v>
      </c>
      <c r="Z125" s="1" t="s">
        <v>112</v>
      </c>
      <c r="AA125" s="1" t="s">
        <v>101</v>
      </c>
    </row>
    <row r="126" spans="1:27" x14ac:dyDescent="0.15">
      <c r="A126" s="1" t="s">
        <v>53</v>
      </c>
      <c r="B126" s="1" t="s">
        <v>336</v>
      </c>
      <c r="C126" s="1">
        <v>2020</v>
      </c>
      <c r="D126" s="132" t="s">
        <v>234</v>
      </c>
      <c r="E126" s="1" t="s">
        <v>207</v>
      </c>
      <c r="F126" s="1" t="s">
        <v>408</v>
      </c>
      <c r="G126" s="1" t="s">
        <v>46</v>
      </c>
      <c r="H126" s="1" t="s">
        <v>82</v>
      </c>
      <c r="I126" s="1" t="s">
        <v>64</v>
      </c>
      <c r="J126" s="1" t="s">
        <v>40</v>
      </c>
      <c r="K126" s="1" t="s">
        <v>41</v>
      </c>
      <c r="L126" s="1">
        <v>2</v>
      </c>
      <c r="N126" s="1">
        <v>1</v>
      </c>
      <c r="O126" s="1">
        <v>0.8</v>
      </c>
      <c r="P126" s="1">
        <v>0.9</v>
      </c>
      <c r="Q126" s="2">
        <f t="shared" si="5"/>
        <v>0.85000000000000009</v>
      </c>
      <c r="R126" s="1">
        <v>15.2</v>
      </c>
      <c r="S126" s="1">
        <v>130</v>
      </c>
      <c r="T126" s="2">
        <f t="shared" si="1"/>
        <v>30</v>
      </c>
      <c r="U126" s="1">
        <v>100</v>
      </c>
      <c r="V126" s="2">
        <f t="shared" si="2"/>
        <v>3000</v>
      </c>
      <c r="W126" s="1">
        <v>14</v>
      </c>
      <c r="X126" s="1" t="s">
        <v>51</v>
      </c>
      <c r="Y126" s="1" t="s">
        <v>67</v>
      </c>
      <c r="Z126" s="1" t="s">
        <v>112</v>
      </c>
      <c r="AA126" s="1" t="s">
        <v>101</v>
      </c>
    </row>
    <row r="127" spans="1:27" x14ac:dyDescent="0.15">
      <c r="A127" s="1" t="s">
        <v>53</v>
      </c>
      <c r="B127" s="1" t="s">
        <v>336</v>
      </c>
      <c r="C127" s="1">
        <v>2020</v>
      </c>
      <c r="D127" s="132" t="s">
        <v>234</v>
      </c>
      <c r="E127" s="1" t="s">
        <v>207</v>
      </c>
      <c r="F127" s="1" t="s">
        <v>408</v>
      </c>
      <c r="G127" s="1" t="s">
        <v>46</v>
      </c>
      <c r="H127" s="1" t="s">
        <v>82</v>
      </c>
      <c r="I127" s="1" t="s">
        <v>64</v>
      </c>
      <c r="J127" s="1" t="s">
        <v>40</v>
      </c>
      <c r="K127" s="1" t="s">
        <v>41</v>
      </c>
      <c r="L127" s="1">
        <v>3</v>
      </c>
      <c r="N127" s="1">
        <v>1</v>
      </c>
      <c r="O127" s="1">
        <v>1.35</v>
      </c>
      <c r="P127" s="1">
        <v>0.9</v>
      </c>
      <c r="Q127" s="2">
        <f t="shared" si="5"/>
        <v>1.125</v>
      </c>
      <c r="R127" s="1">
        <v>15.2</v>
      </c>
      <c r="S127" s="1">
        <v>123</v>
      </c>
      <c r="T127" s="2">
        <f t="shared" si="1"/>
        <v>30</v>
      </c>
      <c r="U127" s="1">
        <v>100</v>
      </c>
      <c r="V127" s="2">
        <f t="shared" si="2"/>
        <v>3000</v>
      </c>
      <c r="W127" s="1">
        <v>14</v>
      </c>
      <c r="X127" s="1" t="s">
        <v>51</v>
      </c>
      <c r="Y127" s="1" t="s">
        <v>67</v>
      </c>
      <c r="Z127" s="1" t="s">
        <v>112</v>
      </c>
      <c r="AA127" s="1" t="s">
        <v>101</v>
      </c>
    </row>
    <row r="128" spans="1:27" x14ac:dyDescent="0.15">
      <c r="A128" s="1" t="s">
        <v>53</v>
      </c>
      <c r="B128" s="1" t="s">
        <v>336</v>
      </c>
      <c r="C128" s="1">
        <v>2020</v>
      </c>
      <c r="D128" s="132" t="s">
        <v>234</v>
      </c>
      <c r="E128" s="1" t="s">
        <v>207</v>
      </c>
      <c r="F128" s="1" t="s">
        <v>408</v>
      </c>
      <c r="G128" s="1" t="s">
        <v>46</v>
      </c>
      <c r="H128" s="1" t="s">
        <v>82</v>
      </c>
      <c r="I128" s="1" t="s">
        <v>64</v>
      </c>
      <c r="J128" s="1" t="s">
        <v>40</v>
      </c>
      <c r="K128" s="1" t="s">
        <v>41</v>
      </c>
      <c r="L128" s="1">
        <v>1</v>
      </c>
      <c r="N128" s="1">
        <v>4</v>
      </c>
      <c r="O128" s="1">
        <v>0.75</v>
      </c>
      <c r="P128" s="1">
        <v>0.8</v>
      </c>
      <c r="Q128" s="2">
        <f t="shared" si="5"/>
        <v>0.77500000000000002</v>
      </c>
      <c r="R128" s="1">
        <v>17.100000000000001</v>
      </c>
      <c r="S128" s="1">
        <v>125.5</v>
      </c>
      <c r="T128" s="2">
        <f t="shared" si="1"/>
        <v>30</v>
      </c>
      <c r="U128" s="1">
        <v>458</v>
      </c>
      <c r="V128" s="2">
        <f t="shared" si="2"/>
        <v>3435</v>
      </c>
      <c r="W128" s="1">
        <v>14</v>
      </c>
      <c r="X128" s="1" t="s">
        <v>51</v>
      </c>
      <c r="Y128" s="1" t="s">
        <v>67</v>
      </c>
      <c r="Z128" s="1" t="s">
        <v>112</v>
      </c>
      <c r="AA128" s="1" t="s">
        <v>101</v>
      </c>
    </row>
    <row r="129" spans="1:27" x14ac:dyDescent="0.15">
      <c r="A129" s="1" t="s">
        <v>53</v>
      </c>
      <c r="B129" s="1" t="s">
        <v>336</v>
      </c>
      <c r="C129" s="1">
        <v>2020</v>
      </c>
      <c r="D129" s="132" t="s">
        <v>234</v>
      </c>
      <c r="E129" s="1" t="s">
        <v>207</v>
      </c>
      <c r="F129" s="1" t="s">
        <v>408</v>
      </c>
      <c r="G129" s="1" t="s">
        <v>46</v>
      </c>
      <c r="H129" s="1" t="s">
        <v>82</v>
      </c>
      <c r="I129" s="1" t="s">
        <v>64</v>
      </c>
      <c r="J129" s="1" t="s">
        <v>40</v>
      </c>
      <c r="K129" s="1" t="s">
        <v>41</v>
      </c>
      <c r="L129" s="1">
        <v>2</v>
      </c>
      <c r="N129" s="1">
        <v>4</v>
      </c>
      <c r="O129" s="1">
        <v>0.6</v>
      </c>
      <c r="P129" s="1">
        <v>0.5</v>
      </c>
      <c r="Q129" s="2">
        <f t="shared" si="5"/>
        <v>0.55000000000000004</v>
      </c>
      <c r="R129" s="1">
        <v>15.7</v>
      </c>
      <c r="S129" s="1">
        <v>126.5</v>
      </c>
      <c r="T129" s="2">
        <f t="shared" si="1"/>
        <v>30</v>
      </c>
      <c r="U129" s="1">
        <v>458</v>
      </c>
      <c r="V129" s="2">
        <f t="shared" si="2"/>
        <v>3435</v>
      </c>
      <c r="W129" s="1">
        <v>14</v>
      </c>
      <c r="X129" s="1" t="s">
        <v>51</v>
      </c>
      <c r="Y129" s="1" t="s">
        <v>67</v>
      </c>
      <c r="Z129" s="1" t="s">
        <v>112</v>
      </c>
      <c r="AA129" s="1" t="s">
        <v>101</v>
      </c>
    </row>
    <row r="130" spans="1:27" x14ac:dyDescent="0.15">
      <c r="A130" s="1" t="s">
        <v>53</v>
      </c>
      <c r="B130" s="1" t="s">
        <v>336</v>
      </c>
      <c r="C130" s="1">
        <v>2020</v>
      </c>
      <c r="D130" s="132" t="s">
        <v>234</v>
      </c>
      <c r="E130" s="1" t="s">
        <v>207</v>
      </c>
      <c r="F130" s="1" t="s">
        <v>408</v>
      </c>
      <c r="G130" s="1" t="s">
        <v>46</v>
      </c>
      <c r="H130" s="1" t="s">
        <v>82</v>
      </c>
      <c r="I130" s="1" t="s">
        <v>64</v>
      </c>
      <c r="J130" s="1" t="s">
        <v>40</v>
      </c>
      <c r="K130" s="1" t="s">
        <v>41</v>
      </c>
      <c r="L130" s="1">
        <v>3</v>
      </c>
      <c r="N130" s="1">
        <v>4</v>
      </c>
      <c r="O130" s="1">
        <v>0.95</v>
      </c>
      <c r="P130" s="1">
        <v>0.45</v>
      </c>
      <c r="Q130" s="2">
        <f t="shared" si="5"/>
        <v>0.7</v>
      </c>
      <c r="R130" s="1">
        <v>17.2</v>
      </c>
      <c r="S130" s="1">
        <v>127.5</v>
      </c>
      <c r="T130" s="2">
        <f t="shared" si="1"/>
        <v>30</v>
      </c>
      <c r="U130" s="1">
        <v>458</v>
      </c>
      <c r="V130" s="2">
        <f t="shared" si="2"/>
        <v>3435</v>
      </c>
      <c r="W130" s="1">
        <v>14</v>
      </c>
      <c r="X130" s="1" t="s">
        <v>51</v>
      </c>
      <c r="Y130" s="1" t="s">
        <v>67</v>
      </c>
      <c r="Z130" s="1" t="s">
        <v>112</v>
      </c>
      <c r="AA130" s="1" t="s">
        <v>101</v>
      </c>
    </row>
    <row r="131" spans="1:27" x14ac:dyDescent="0.15">
      <c r="A131" s="1" t="s">
        <v>53</v>
      </c>
      <c r="B131" s="1" t="s">
        <v>336</v>
      </c>
      <c r="C131" s="1">
        <v>2020</v>
      </c>
      <c r="D131" s="132" t="s">
        <v>234</v>
      </c>
      <c r="E131" s="1" t="s">
        <v>207</v>
      </c>
      <c r="F131" s="1" t="s">
        <v>408</v>
      </c>
      <c r="G131" s="1" t="s">
        <v>46</v>
      </c>
      <c r="H131" s="1" t="s">
        <v>82</v>
      </c>
      <c r="I131" s="1" t="s">
        <v>64</v>
      </c>
      <c r="J131" s="1" t="s">
        <v>40</v>
      </c>
      <c r="K131" s="1" t="s">
        <v>41</v>
      </c>
      <c r="L131" s="1">
        <v>1</v>
      </c>
      <c r="N131" s="1">
        <v>8</v>
      </c>
      <c r="O131" s="1">
        <v>1.25</v>
      </c>
      <c r="P131" s="1">
        <v>0.95</v>
      </c>
      <c r="Q131" s="2">
        <f t="shared" si="5"/>
        <v>1.1000000000000001</v>
      </c>
      <c r="R131" s="1">
        <v>15.9</v>
      </c>
      <c r="S131" s="1">
        <v>100.5</v>
      </c>
      <c r="T131" s="2">
        <f t="shared" si="1"/>
        <v>33</v>
      </c>
      <c r="U131" s="1">
        <v>680</v>
      </c>
      <c r="V131" s="2">
        <f t="shared" si="2"/>
        <v>2805</v>
      </c>
      <c r="W131" s="1">
        <v>14</v>
      </c>
      <c r="X131" s="1" t="s">
        <v>51</v>
      </c>
      <c r="Y131" s="1" t="s">
        <v>67</v>
      </c>
      <c r="Z131" s="1" t="s">
        <v>112</v>
      </c>
      <c r="AA131" s="1" t="s">
        <v>101</v>
      </c>
    </row>
    <row r="132" spans="1:27" x14ac:dyDescent="0.15">
      <c r="A132" s="1" t="s">
        <v>53</v>
      </c>
      <c r="B132" s="1" t="s">
        <v>336</v>
      </c>
      <c r="C132" s="1">
        <v>2020</v>
      </c>
      <c r="D132" s="132" t="s">
        <v>234</v>
      </c>
      <c r="E132" s="1" t="s">
        <v>207</v>
      </c>
      <c r="F132" s="1" t="s">
        <v>408</v>
      </c>
      <c r="G132" s="1" t="s">
        <v>46</v>
      </c>
      <c r="H132" s="1" t="s">
        <v>82</v>
      </c>
      <c r="I132" s="1" t="s">
        <v>64</v>
      </c>
      <c r="J132" s="1" t="s">
        <v>40</v>
      </c>
      <c r="K132" s="1" t="s">
        <v>41</v>
      </c>
      <c r="L132" s="1">
        <v>2</v>
      </c>
      <c r="N132" s="1">
        <v>8</v>
      </c>
      <c r="O132" s="1">
        <v>0.9</v>
      </c>
      <c r="P132" s="1">
        <v>0.85</v>
      </c>
      <c r="Q132" s="2">
        <f t="shared" si="5"/>
        <v>0.875</v>
      </c>
      <c r="R132" s="1">
        <v>15.7</v>
      </c>
      <c r="S132" s="1">
        <v>98.5</v>
      </c>
      <c r="T132" s="2">
        <f t="shared" si="1"/>
        <v>36</v>
      </c>
      <c r="U132" s="1">
        <v>680</v>
      </c>
      <c r="V132" s="2">
        <f t="shared" si="2"/>
        <v>3060</v>
      </c>
      <c r="W132" s="1">
        <v>14</v>
      </c>
      <c r="X132" s="1" t="s">
        <v>51</v>
      </c>
      <c r="Y132" s="1" t="s">
        <v>67</v>
      </c>
      <c r="Z132" s="1" t="s">
        <v>112</v>
      </c>
      <c r="AA132" s="1" t="s">
        <v>101</v>
      </c>
    </row>
    <row r="133" spans="1:27" x14ac:dyDescent="0.15">
      <c r="A133" s="1" t="s">
        <v>53</v>
      </c>
      <c r="B133" s="1" t="s">
        <v>336</v>
      </c>
      <c r="C133" s="1">
        <v>2020</v>
      </c>
      <c r="D133" s="132" t="s">
        <v>234</v>
      </c>
      <c r="E133" s="1" t="s">
        <v>207</v>
      </c>
      <c r="F133" s="1" t="s">
        <v>408</v>
      </c>
      <c r="G133" s="1" t="s">
        <v>46</v>
      </c>
      <c r="H133" s="1" t="s">
        <v>82</v>
      </c>
      <c r="I133" s="1" t="s">
        <v>64</v>
      </c>
      <c r="J133" s="1" t="s">
        <v>40</v>
      </c>
      <c r="K133" s="1" t="s">
        <v>41</v>
      </c>
      <c r="L133" s="1">
        <v>3</v>
      </c>
      <c r="N133" s="1">
        <v>8</v>
      </c>
      <c r="O133" s="1">
        <v>0.85</v>
      </c>
      <c r="P133" s="1">
        <v>1</v>
      </c>
      <c r="Q133" s="2">
        <f t="shared" si="5"/>
        <v>0.92500000000000004</v>
      </c>
      <c r="R133" s="1">
        <v>16.100000000000001</v>
      </c>
      <c r="S133" s="1">
        <v>98.5</v>
      </c>
      <c r="T133" s="2">
        <f t="shared" si="1"/>
        <v>36</v>
      </c>
      <c r="U133" s="1">
        <v>680</v>
      </c>
      <c r="V133" s="2">
        <f t="shared" si="2"/>
        <v>3060</v>
      </c>
      <c r="W133" s="1">
        <v>14</v>
      </c>
      <c r="X133" s="1" t="s">
        <v>51</v>
      </c>
      <c r="Y133" s="1" t="s">
        <v>67</v>
      </c>
      <c r="Z133" s="1" t="s">
        <v>112</v>
      </c>
      <c r="AA133" s="1" t="s">
        <v>101</v>
      </c>
    </row>
    <row r="134" spans="1:27" x14ac:dyDescent="0.15">
      <c r="A134" s="1" t="s">
        <v>53</v>
      </c>
      <c r="B134" s="1" t="s">
        <v>336</v>
      </c>
      <c r="C134" s="1">
        <v>2020</v>
      </c>
      <c r="D134" s="132" t="s">
        <v>234</v>
      </c>
      <c r="E134" s="1" t="s">
        <v>208</v>
      </c>
      <c r="F134" s="1" t="s">
        <v>410</v>
      </c>
      <c r="G134" s="1" t="s">
        <v>37</v>
      </c>
      <c r="H134" s="1" t="s">
        <v>63</v>
      </c>
      <c r="I134" s="1" t="s">
        <v>64</v>
      </c>
      <c r="J134" s="1" t="s">
        <v>40</v>
      </c>
      <c r="K134" s="1" t="s">
        <v>41</v>
      </c>
      <c r="L134" s="1">
        <v>1</v>
      </c>
      <c r="N134" s="1">
        <v>1</v>
      </c>
      <c r="O134" s="1">
        <v>0.95</v>
      </c>
      <c r="P134" s="1">
        <v>1.2</v>
      </c>
      <c r="Q134" s="2">
        <f t="shared" si="5"/>
        <v>1.075</v>
      </c>
      <c r="R134" s="1">
        <v>15.1</v>
      </c>
      <c r="S134" s="1">
        <v>111</v>
      </c>
      <c r="T134" s="2">
        <f t="shared" ref="T134:T151" si="6">IF(H134="","",IF(OR(H134="GREEN",H134="GK"),IF(S134&gt;=$AX$2,VLOOKUP(S134,$AX$2:$AY$9,2,1),""),IF(S134&gt;=$AZ$2,VLOOKUP(S134,$AZ$2:$BA$9,2,1),"")))</f>
        <v>33</v>
      </c>
      <c r="U134" s="1">
        <v>128</v>
      </c>
      <c r="V134" s="2">
        <f t="shared" ref="V134:V151" si="7">IF(OR(N134="",U134="",T134=""),"",U134/N134*T134)</f>
        <v>4224</v>
      </c>
      <c r="W134" s="1">
        <v>14</v>
      </c>
      <c r="X134" s="1" t="s">
        <v>51</v>
      </c>
      <c r="Y134" s="1" t="s">
        <v>67</v>
      </c>
      <c r="Z134" s="1" t="s">
        <v>101</v>
      </c>
      <c r="AA134" s="1" t="s">
        <v>112</v>
      </c>
    </row>
    <row r="135" spans="1:27" x14ac:dyDescent="0.15">
      <c r="A135" s="1" t="s">
        <v>53</v>
      </c>
      <c r="B135" s="1" t="s">
        <v>336</v>
      </c>
      <c r="C135" s="1">
        <v>2020</v>
      </c>
      <c r="D135" s="132" t="s">
        <v>234</v>
      </c>
      <c r="E135" s="1" t="s">
        <v>208</v>
      </c>
      <c r="F135" s="1" t="s">
        <v>410</v>
      </c>
      <c r="G135" s="1" t="s">
        <v>37</v>
      </c>
      <c r="H135" s="1" t="s">
        <v>63</v>
      </c>
      <c r="I135" s="1" t="s">
        <v>64</v>
      </c>
      <c r="J135" s="1" t="s">
        <v>40</v>
      </c>
      <c r="K135" s="1" t="s">
        <v>41</v>
      </c>
      <c r="L135" s="1">
        <v>2</v>
      </c>
      <c r="N135" s="1">
        <v>1</v>
      </c>
      <c r="O135" s="1">
        <v>0.9</v>
      </c>
      <c r="P135" s="1">
        <v>1.05</v>
      </c>
      <c r="Q135" s="2">
        <f t="shared" si="5"/>
        <v>0.97500000000000009</v>
      </c>
      <c r="R135" s="1">
        <v>12.2</v>
      </c>
      <c r="S135" s="1">
        <v>111.5</v>
      </c>
      <c r="T135" s="2">
        <f t="shared" si="6"/>
        <v>33</v>
      </c>
      <c r="U135" s="1">
        <v>128</v>
      </c>
      <c r="V135" s="2">
        <f t="shared" si="7"/>
        <v>4224</v>
      </c>
      <c r="W135" s="1">
        <v>14</v>
      </c>
      <c r="X135" s="1" t="s">
        <v>51</v>
      </c>
      <c r="Y135" s="1" t="s">
        <v>67</v>
      </c>
      <c r="Z135" s="1" t="s">
        <v>101</v>
      </c>
      <c r="AA135" s="1" t="s">
        <v>112</v>
      </c>
    </row>
    <row r="136" spans="1:27" x14ac:dyDescent="0.15">
      <c r="A136" s="1" t="s">
        <v>53</v>
      </c>
      <c r="B136" s="1" t="s">
        <v>336</v>
      </c>
      <c r="C136" s="1">
        <v>2020</v>
      </c>
      <c r="D136" s="132" t="s">
        <v>234</v>
      </c>
      <c r="E136" s="1" t="s">
        <v>208</v>
      </c>
      <c r="F136" s="1" t="s">
        <v>410</v>
      </c>
      <c r="G136" s="1" t="s">
        <v>37</v>
      </c>
      <c r="H136" s="1" t="s">
        <v>63</v>
      </c>
      <c r="I136" s="1" t="s">
        <v>64</v>
      </c>
      <c r="J136" s="1" t="s">
        <v>40</v>
      </c>
      <c r="K136" s="1" t="s">
        <v>41</v>
      </c>
      <c r="L136" s="1">
        <v>3</v>
      </c>
      <c r="N136" s="1">
        <v>1</v>
      </c>
      <c r="O136" s="1">
        <v>0.9</v>
      </c>
      <c r="P136" s="1">
        <v>0.9</v>
      </c>
      <c r="Q136" s="2">
        <f t="shared" si="5"/>
        <v>0.9</v>
      </c>
      <c r="R136" s="1">
        <v>12.5</v>
      </c>
      <c r="S136" s="1">
        <v>108</v>
      </c>
      <c r="T136" s="2">
        <f t="shared" si="6"/>
        <v>33</v>
      </c>
      <c r="U136" s="1">
        <v>128</v>
      </c>
      <c r="V136" s="2">
        <f t="shared" si="7"/>
        <v>4224</v>
      </c>
      <c r="W136" s="1">
        <v>14</v>
      </c>
      <c r="X136" s="1" t="s">
        <v>51</v>
      </c>
      <c r="Y136" s="1" t="s">
        <v>67</v>
      </c>
      <c r="Z136" s="1" t="s">
        <v>101</v>
      </c>
      <c r="AA136" s="1" t="s">
        <v>112</v>
      </c>
    </row>
    <row r="137" spans="1:27" x14ac:dyDescent="0.15">
      <c r="A137" s="1" t="s">
        <v>53</v>
      </c>
      <c r="B137" s="1" t="s">
        <v>336</v>
      </c>
      <c r="C137" s="1">
        <v>2020</v>
      </c>
      <c r="D137" s="132" t="s">
        <v>234</v>
      </c>
      <c r="E137" s="1" t="s">
        <v>208</v>
      </c>
      <c r="F137" s="1" t="s">
        <v>410</v>
      </c>
      <c r="G137" s="1" t="s">
        <v>37</v>
      </c>
      <c r="H137" s="1" t="s">
        <v>63</v>
      </c>
      <c r="I137" s="1" t="s">
        <v>64</v>
      </c>
      <c r="J137" s="1" t="s">
        <v>40</v>
      </c>
      <c r="K137" s="1" t="s">
        <v>41</v>
      </c>
      <c r="L137" s="1">
        <v>1</v>
      </c>
      <c r="N137" s="1">
        <v>3</v>
      </c>
      <c r="O137" s="1">
        <v>0.9</v>
      </c>
      <c r="P137" s="1">
        <v>1.1499999999999999</v>
      </c>
      <c r="Q137" s="2">
        <f t="shared" si="5"/>
        <v>1.0249999999999999</v>
      </c>
      <c r="R137" s="1">
        <v>12.7</v>
      </c>
      <c r="S137" s="1">
        <v>105</v>
      </c>
      <c r="T137" s="2">
        <f t="shared" si="6"/>
        <v>33</v>
      </c>
      <c r="U137" s="1">
        <v>380</v>
      </c>
      <c r="V137" s="2">
        <f t="shared" si="7"/>
        <v>4180</v>
      </c>
      <c r="W137" s="1">
        <v>14</v>
      </c>
      <c r="X137" s="1" t="s">
        <v>51</v>
      </c>
      <c r="Y137" s="1" t="s">
        <v>67</v>
      </c>
      <c r="Z137" s="1" t="s">
        <v>101</v>
      </c>
      <c r="AA137" s="1" t="s">
        <v>112</v>
      </c>
    </row>
    <row r="138" spans="1:27" x14ac:dyDescent="0.15">
      <c r="A138" s="1" t="s">
        <v>53</v>
      </c>
      <c r="B138" s="1" t="s">
        <v>336</v>
      </c>
      <c r="C138" s="1">
        <v>2020</v>
      </c>
      <c r="D138" s="132" t="s">
        <v>234</v>
      </c>
      <c r="E138" s="1" t="s">
        <v>208</v>
      </c>
      <c r="F138" s="1" t="s">
        <v>410</v>
      </c>
      <c r="G138" s="1" t="s">
        <v>37</v>
      </c>
      <c r="H138" s="1" t="s">
        <v>63</v>
      </c>
      <c r="I138" s="1" t="s">
        <v>64</v>
      </c>
      <c r="J138" s="1" t="s">
        <v>40</v>
      </c>
      <c r="K138" s="1" t="s">
        <v>41</v>
      </c>
      <c r="L138" s="1">
        <v>2</v>
      </c>
      <c r="N138" s="1">
        <v>3</v>
      </c>
      <c r="O138" s="1">
        <v>0.75</v>
      </c>
      <c r="P138" s="1">
        <v>0.7</v>
      </c>
      <c r="Q138" s="2">
        <f t="shared" si="5"/>
        <v>0.72499999999999998</v>
      </c>
      <c r="R138" s="1">
        <v>15.3</v>
      </c>
      <c r="S138" s="1">
        <v>109</v>
      </c>
      <c r="T138" s="2">
        <f t="shared" si="6"/>
        <v>33</v>
      </c>
      <c r="U138" s="1">
        <v>380</v>
      </c>
      <c r="V138" s="2">
        <f t="shared" si="7"/>
        <v>4180</v>
      </c>
      <c r="W138" s="1">
        <v>14</v>
      </c>
      <c r="X138" s="1" t="s">
        <v>51</v>
      </c>
      <c r="Y138" s="1" t="s">
        <v>67</v>
      </c>
      <c r="Z138" s="1" t="s">
        <v>101</v>
      </c>
      <c r="AA138" s="1" t="s">
        <v>112</v>
      </c>
    </row>
    <row r="139" spans="1:27" x14ac:dyDescent="0.15">
      <c r="A139" s="1" t="s">
        <v>53</v>
      </c>
      <c r="B139" s="1" t="s">
        <v>336</v>
      </c>
      <c r="C139" s="1">
        <v>2020</v>
      </c>
      <c r="D139" s="132" t="s">
        <v>234</v>
      </c>
      <c r="E139" s="1" t="s">
        <v>208</v>
      </c>
      <c r="F139" s="1" t="s">
        <v>410</v>
      </c>
      <c r="G139" s="1" t="s">
        <v>37</v>
      </c>
      <c r="H139" s="1" t="s">
        <v>63</v>
      </c>
      <c r="I139" s="1" t="s">
        <v>64</v>
      </c>
      <c r="J139" s="1" t="s">
        <v>40</v>
      </c>
      <c r="K139" s="1" t="s">
        <v>41</v>
      </c>
      <c r="L139" s="1">
        <v>3</v>
      </c>
      <c r="N139" s="1">
        <v>3</v>
      </c>
      <c r="O139" s="1">
        <v>1.05</v>
      </c>
      <c r="P139" s="1">
        <v>1</v>
      </c>
      <c r="Q139" s="2">
        <f t="shared" si="5"/>
        <v>1.0249999999999999</v>
      </c>
      <c r="R139" s="1">
        <v>15.3</v>
      </c>
      <c r="S139" s="1">
        <v>112</v>
      </c>
      <c r="T139" s="2">
        <f t="shared" si="6"/>
        <v>33</v>
      </c>
      <c r="U139" s="1">
        <v>380</v>
      </c>
      <c r="V139" s="2">
        <f t="shared" si="7"/>
        <v>4180</v>
      </c>
      <c r="W139" s="1">
        <v>14</v>
      </c>
      <c r="X139" s="1" t="s">
        <v>51</v>
      </c>
      <c r="Y139" s="1" t="s">
        <v>67</v>
      </c>
      <c r="Z139" s="1" t="s">
        <v>101</v>
      </c>
      <c r="AA139" s="1" t="s">
        <v>112</v>
      </c>
    </row>
    <row r="140" spans="1:27" x14ac:dyDescent="0.15">
      <c r="A140" s="1" t="s">
        <v>53</v>
      </c>
      <c r="B140" s="1" t="s">
        <v>336</v>
      </c>
      <c r="C140" s="1">
        <v>2020</v>
      </c>
      <c r="D140" s="132" t="s">
        <v>234</v>
      </c>
      <c r="E140" s="1" t="s">
        <v>208</v>
      </c>
      <c r="F140" s="1" t="s">
        <v>410</v>
      </c>
      <c r="G140" s="1" t="s">
        <v>37</v>
      </c>
      <c r="H140" s="1" t="s">
        <v>63</v>
      </c>
      <c r="I140" s="1" t="s">
        <v>64</v>
      </c>
      <c r="J140" s="1" t="s">
        <v>40</v>
      </c>
      <c r="K140" s="1" t="s">
        <v>41</v>
      </c>
      <c r="L140" s="1">
        <v>1</v>
      </c>
      <c r="N140" s="1">
        <v>6</v>
      </c>
      <c r="O140" s="1">
        <v>0.65</v>
      </c>
      <c r="P140" s="1">
        <v>0.5</v>
      </c>
      <c r="Q140" s="2">
        <f t="shared" si="5"/>
        <v>0.57499999999999996</v>
      </c>
      <c r="R140" s="1">
        <v>15</v>
      </c>
      <c r="S140" s="1">
        <v>114</v>
      </c>
      <c r="T140" s="2">
        <f t="shared" si="6"/>
        <v>30</v>
      </c>
      <c r="U140" s="1">
        <v>750</v>
      </c>
      <c r="V140" s="2">
        <f t="shared" si="7"/>
        <v>3750</v>
      </c>
      <c r="W140" s="1">
        <v>14</v>
      </c>
      <c r="X140" s="1" t="s">
        <v>51</v>
      </c>
      <c r="Y140" s="1" t="s">
        <v>67</v>
      </c>
      <c r="Z140" s="1" t="s">
        <v>101</v>
      </c>
      <c r="AA140" s="1" t="s">
        <v>112</v>
      </c>
    </row>
    <row r="141" spans="1:27" x14ac:dyDescent="0.15">
      <c r="A141" s="1" t="s">
        <v>53</v>
      </c>
      <c r="B141" s="1" t="s">
        <v>336</v>
      </c>
      <c r="C141" s="1">
        <v>2020</v>
      </c>
      <c r="D141" s="132" t="s">
        <v>234</v>
      </c>
      <c r="E141" s="1" t="s">
        <v>208</v>
      </c>
      <c r="F141" s="1" t="s">
        <v>410</v>
      </c>
      <c r="G141" s="1" t="s">
        <v>37</v>
      </c>
      <c r="H141" s="1" t="s">
        <v>63</v>
      </c>
      <c r="I141" s="1" t="s">
        <v>64</v>
      </c>
      <c r="J141" s="1" t="s">
        <v>40</v>
      </c>
      <c r="K141" s="1" t="s">
        <v>41</v>
      </c>
      <c r="L141" s="1">
        <v>2</v>
      </c>
      <c r="N141" s="1">
        <v>6</v>
      </c>
      <c r="O141" s="1">
        <v>1</v>
      </c>
      <c r="P141" s="1">
        <v>1.25</v>
      </c>
      <c r="Q141" s="2">
        <f t="shared" si="5"/>
        <v>1.125</v>
      </c>
      <c r="R141" s="1">
        <v>15.2</v>
      </c>
      <c r="S141" s="1">
        <v>106</v>
      </c>
      <c r="T141" s="2">
        <f t="shared" si="6"/>
        <v>33</v>
      </c>
      <c r="U141" s="1">
        <v>750</v>
      </c>
      <c r="V141" s="2">
        <f t="shared" si="7"/>
        <v>4125</v>
      </c>
      <c r="W141" s="1">
        <v>14</v>
      </c>
      <c r="X141" s="1" t="s">
        <v>51</v>
      </c>
      <c r="Y141" s="1" t="s">
        <v>67</v>
      </c>
      <c r="Z141" s="1" t="s">
        <v>101</v>
      </c>
      <c r="AA141" s="1" t="s">
        <v>112</v>
      </c>
    </row>
    <row r="142" spans="1:27" x14ac:dyDescent="0.15">
      <c r="A142" s="1" t="s">
        <v>53</v>
      </c>
      <c r="B142" s="1" t="s">
        <v>336</v>
      </c>
      <c r="C142" s="1">
        <v>2020</v>
      </c>
      <c r="D142" s="132" t="s">
        <v>234</v>
      </c>
      <c r="E142" s="1" t="s">
        <v>208</v>
      </c>
      <c r="F142" s="1" t="s">
        <v>410</v>
      </c>
      <c r="G142" s="1" t="s">
        <v>37</v>
      </c>
      <c r="H142" s="1" t="s">
        <v>63</v>
      </c>
      <c r="I142" s="1" t="s">
        <v>64</v>
      </c>
      <c r="J142" s="1" t="s">
        <v>40</v>
      </c>
      <c r="K142" s="1" t="s">
        <v>41</v>
      </c>
      <c r="L142" s="1">
        <v>3</v>
      </c>
      <c r="N142" s="1">
        <v>6</v>
      </c>
      <c r="O142" s="1">
        <v>1.25</v>
      </c>
      <c r="P142" s="1">
        <v>1</v>
      </c>
      <c r="Q142" s="2">
        <f t="shared" si="5"/>
        <v>1.125</v>
      </c>
      <c r="R142" s="1">
        <v>12</v>
      </c>
      <c r="S142" s="1">
        <v>106.5</v>
      </c>
      <c r="T142" s="2">
        <f t="shared" si="6"/>
        <v>33</v>
      </c>
      <c r="U142" s="1">
        <v>750</v>
      </c>
      <c r="V142" s="2">
        <f t="shared" si="7"/>
        <v>4125</v>
      </c>
      <c r="W142" s="1">
        <v>14</v>
      </c>
      <c r="X142" s="1" t="s">
        <v>51</v>
      </c>
      <c r="Y142" s="1" t="s">
        <v>67</v>
      </c>
      <c r="Z142" s="1" t="s">
        <v>101</v>
      </c>
      <c r="AA142" s="1" t="s">
        <v>112</v>
      </c>
    </row>
    <row r="143" spans="1:27" x14ac:dyDescent="0.15">
      <c r="A143" s="1" t="s">
        <v>53</v>
      </c>
      <c r="B143" s="1" t="s">
        <v>336</v>
      </c>
      <c r="C143" s="1">
        <v>2020</v>
      </c>
      <c r="D143" s="132" t="s">
        <v>234</v>
      </c>
      <c r="E143" s="1" t="s">
        <v>208</v>
      </c>
      <c r="F143" s="1" t="s">
        <v>410</v>
      </c>
      <c r="G143" s="1" t="s">
        <v>37</v>
      </c>
      <c r="H143" s="1" t="s">
        <v>82</v>
      </c>
      <c r="I143" s="1" t="s">
        <v>64</v>
      </c>
      <c r="J143" s="1" t="s">
        <v>40</v>
      </c>
      <c r="K143" s="1" t="s">
        <v>41</v>
      </c>
      <c r="L143" s="1">
        <v>1</v>
      </c>
      <c r="N143" s="1">
        <v>1</v>
      </c>
      <c r="O143" s="1">
        <v>0.9</v>
      </c>
      <c r="P143" s="1">
        <v>0.7</v>
      </c>
      <c r="Q143" s="2">
        <f t="shared" si="5"/>
        <v>0.8</v>
      </c>
      <c r="R143" s="1">
        <v>15.6</v>
      </c>
      <c r="S143" s="1">
        <v>168.5</v>
      </c>
      <c r="T143" s="2">
        <f t="shared" si="6"/>
        <v>18</v>
      </c>
      <c r="U143" s="1">
        <v>128</v>
      </c>
      <c r="V143" s="2">
        <f t="shared" si="7"/>
        <v>2304</v>
      </c>
      <c r="W143" s="1">
        <v>14</v>
      </c>
      <c r="X143" s="1" t="s">
        <v>51</v>
      </c>
      <c r="Y143" s="1" t="s">
        <v>67</v>
      </c>
      <c r="Z143" s="1" t="s">
        <v>101</v>
      </c>
      <c r="AA143" s="1" t="s">
        <v>112</v>
      </c>
    </row>
    <row r="144" spans="1:27" x14ac:dyDescent="0.15">
      <c r="A144" s="1" t="s">
        <v>53</v>
      </c>
      <c r="B144" s="1" t="s">
        <v>336</v>
      </c>
      <c r="C144" s="1">
        <v>2020</v>
      </c>
      <c r="D144" s="132" t="s">
        <v>234</v>
      </c>
      <c r="E144" s="1" t="s">
        <v>208</v>
      </c>
      <c r="F144" s="1" t="s">
        <v>410</v>
      </c>
      <c r="G144" s="1" t="s">
        <v>37</v>
      </c>
      <c r="H144" s="1" t="s">
        <v>82</v>
      </c>
      <c r="I144" s="1" t="s">
        <v>64</v>
      </c>
      <c r="J144" s="1" t="s">
        <v>40</v>
      </c>
      <c r="K144" s="1" t="s">
        <v>41</v>
      </c>
      <c r="L144" s="1">
        <v>2</v>
      </c>
      <c r="N144" s="1">
        <v>1</v>
      </c>
      <c r="O144" s="1">
        <v>0.75</v>
      </c>
      <c r="P144" s="1">
        <v>0.8</v>
      </c>
      <c r="Q144" s="2">
        <f t="shared" si="5"/>
        <v>0.77500000000000002</v>
      </c>
      <c r="R144" s="1">
        <v>17.2</v>
      </c>
      <c r="S144" s="1">
        <v>108</v>
      </c>
      <c r="T144" s="2">
        <f t="shared" si="6"/>
        <v>33</v>
      </c>
      <c r="U144" s="1">
        <v>128</v>
      </c>
      <c r="V144" s="2">
        <f t="shared" si="7"/>
        <v>4224</v>
      </c>
      <c r="W144" s="1">
        <v>14</v>
      </c>
      <c r="X144" s="1" t="s">
        <v>51</v>
      </c>
      <c r="Y144" s="1" t="s">
        <v>67</v>
      </c>
      <c r="Z144" s="1" t="s">
        <v>101</v>
      </c>
      <c r="AA144" s="1" t="s">
        <v>112</v>
      </c>
    </row>
    <row r="145" spans="1:27" x14ac:dyDescent="0.15">
      <c r="A145" s="1" t="s">
        <v>53</v>
      </c>
      <c r="B145" s="1" t="s">
        <v>336</v>
      </c>
      <c r="C145" s="1">
        <v>2020</v>
      </c>
      <c r="D145" s="132" t="s">
        <v>234</v>
      </c>
      <c r="E145" s="1" t="s">
        <v>208</v>
      </c>
      <c r="F145" s="1" t="s">
        <v>410</v>
      </c>
      <c r="G145" s="1" t="s">
        <v>37</v>
      </c>
      <c r="H145" s="1" t="s">
        <v>82</v>
      </c>
      <c r="I145" s="1" t="s">
        <v>64</v>
      </c>
      <c r="J145" s="1" t="s">
        <v>40</v>
      </c>
      <c r="K145" s="1" t="s">
        <v>41</v>
      </c>
      <c r="L145" s="1">
        <v>3</v>
      </c>
      <c r="N145" s="1">
        <v>1</v>
      </c>
      <c r="O145" s="1">
        <v>1.1000000000000001</v>
      </c>
      <c r="P145" s="1">
        <v>1</v>
      </c>
      <c r="Q145" s="2">
        <f t="shared" si="5"/>
        <v>1.05</v>
      </c>
      <c r="R145" s="1">
        <v>15.8</v>
      </c>
      <c r="S145" s="1">
        <v>104.5</v>
      </c>
      <c r="T145" s="2">
        <f t="shared" si="6"/>
        <v>33</v>
      </c>
      <c r="U145" s="1">
        <v>128</v>
      </c>
      <c r="V145" s="2">
        <f t="shared" si="7"/>
        <v>4224</v>
      </c>
      <c r="W145" s="1">
        <v>14</v>
      </c>
      <c r="X145" s="1" t="s">
        <v>51</v>
      </c>
      <c r="Y145" s="1" t="s">
        <v>67</v>
      </c>
      <c r="Z145" s="1" t="s">
        <v>101</v>
      </c>
      <c r="AA145" s="1" t="s">
        <v>112</v>
      </c>
    </row>
    <row r="146" spans="1:27" x14ac:dyDescent="0.15">
      <c r="A146" s="1" t="s">
        <v>53</v>
      </c>
      <c r="B146" s="1" t="s">
        <v>336</v>
      </c>
      <c r="C146" s="1">
        <v>2020</v>
      </c>
      <c r="D146" s="132" t="s">
        <v>234</v>
      </c>
      <c r="E146" s="1" t="s">
        <v>208</v>
      </c>
      <c r="F146" s="1" t="s">
        <v>410</v>
      </c>
      <c r="G146" s="1" t="s">
        <v>37</v>
      </c>
      <c r="H146" s="1" t="s">
        <v>82</v>
      </c>
      <c r="I146" s="1" t="s">
        <v>64</v>
      </c>
      <c r="J146" s="1" t="s">
        <v>40</v>
      </c>
      <c r="K146" s="1" t="s">
        <v>41</v>
      </c>
      <c r="L146" s="1">
        <v>1</v>
      </c>
      <c r="N146" s="1">
        <v>3</v>
      </c>
      <c r="O146" s="1">
        <v>1</v>
      </c>
      <c r="P146" s="1">
        <v>0.8</v>
      </c>
      <c r="Q146" s="2">
        <f t="shared" si="5"/>
        <v>0.9</v>
      </c>
      <c r="R146" s="1">
        <v>15.7</v>
      </c>
      <c r="S146" s="1">
        <v>112</v>
      </c>
      <c r="T146" s="2">
        <f t="shared" si="6"/>
        <v>33</v>
      </c>
      <c r="U146" s="1">
        <v>380</v>
      </c>
      <c r="V146" s="2">
        <f t="shared" si="7"/>
        <v>4180</v>
      </c>
      <c r="W146" s="1">
        <v>14</v>
      </c>
      <c r="X146" s="1" t="s">
        <v>51</v>
      </c>
      <c r="Y146" s="1" t="s">
        <v>67</v>
      </c>
      <c r="Z146" s="1" t="s">
        <v>101</v>
      </c>
      <c r="AA146" s="1" t="s">
        <v>112</v>
      </c>
    </row>
    <row r="147" spans="1:27" x14ac:dyDescent="0.15">
      <c r="A147" s="1" t="s">
        <v>53</v>
      </c>
      <c r="B147" s="1" t="s">
        <v>336</v>
      </c>
      <c r="C147" s="1">
        <v>2020</v>
      </c>
      <c r="D147" s="132" t="s">
        <v>234</v>
      </c>
      <c r="E147" s="1" t="s">
        <v>208</v>
      </c>
      <c r="F147" s="1" t="s">
        <v>410</v>
      </c>
      <c r="G147" s="1" t="s">
        <v>37</v>
      </c>
      <c r="H147" s="1" t="s">
        <v>82</v>
      </c>
      <c r="I147" s="1" t="s">
        <v>64</v>
      </c>
      <c r="J147" s="1" t="s">
        <v>40</v>
      </c>
      <c r="K147" s="1" t="s">
        <v>41</v>
      </c>
      <c r="L147" s="1">
        <v>2</v>
      </c>
      <c r="N147" s="1">
        <v>3</v>
      </c>
      <c r="O147" s="1">
        <v>0.8</v>
      </c>
      <c r="P147" s="1">
        <v>1.3</v>
      </c>
      <c r="Q147" s="2">
        <f t="shared" si="5"/>
        <v>1.05</v>
      </c>
      <c r="R147" s="1">
        <v>15.8</v>
      </c>
      <c r="S147" s="1">
        <v>106</v>
      </c>
      <c r="T147" s="2">
        <f t="shared" si="6"/>
        <v>33</v>
      </c>
      <c r="U147" s="1">
        <v>380</v>
      </c>
      <c r="V147" s="2">
        <f t="shared" si="7"/>
        <v>4180</v>
      </c>
      <c r="W147" s="1">
        <v>14</v>
      </c>
      <c r="X147" s="1" t="s">
        <v>51</v>
      </c>
      <c r="Y147" s="1" t="s">
        <v>67</v>
      </c>
      <c r="Z147" s="1" t="s">
        <v>101</v>
      </c>
      <c r="AA147" s="1" t="s">
        <v>112</v>
      </c>
    </row>
    <row r="148" spans="1:27" x14ac:dyDescent="0.15">
      <c r="A148" s="1" t="s">
        <v>53</v>
      </c>
      <c r="B148" s="1" t="s">
        <v>336</v>
      </c>
      <c r="C148" s="1">
        <v>2020</v>
      </c>
      <c r="D148" s="132" t="s">
        <v>234</v>
      </c>
      <c r="E148" s="1" t="s">
        <v>208</v>
      </c>
      <c r="F148" s="1" t="s">
        <v>410</v>
      </c>
      <c r="G148" s="1" t="s">
        <v>37</v>
      </c>
      <c r="H148" s="1" t="s">
        <v>82</v>
      </c>
      <c r="I148" s="1" t="s">
        <v>64</v>
      </c>
      <c r="J148" s="1" t="s">
        <v>40</v>
      </c>
      <c r="K148" s="1" t="s">
        <v>41</v>
      </c>
      <c r="L148" s="1">
        <v>3</v>
      </c>
      <c r="N148" s="1">
        <v>3</v>
      </c>
      <c r="O148" s="1">
        <v>0.55000000000000004</v>
      </c>
      <c r="P148" s="1">
        <v>0.55000000000000004</v>
      </c>
      <c r="Q148" s="2">
        <f t="shared" si="5"/>
        <v>0.55000000000000004</v>
      </c>
      <c r="R148" s="1">
        <v>15.4</v>
      </c>
      <c r="S148" s="1">
        <v>111</v>
      </c>
      <c r="T148" s="2">
        <f t="shared" si="6"/>
        <v>33</v>
      </c>
      <c r="U148" s="1">
        <v>380</v>
      </c>
      <c r="V148" s="2">
        <f t="shared" si="7"/>
        <v>4180</v>
      </c>
      <c r="W148" s="1">
        <v>14</v>
      </c>
      <c r="X148" s="1" t="s">
        <v>51</v>
      </c>
      <c r="Y148" s="1" t="s">
        <v>67</v>
      </c>
      <c r="Z148" s="1" t="s">
        <v>101</v>
      </c>
      <c r="AA148" s="1" t="s">
        <v>112</v>
      </c>
    </row>
    <row r="149" spans="1:27" x14ac:dyDescent="0.15">
      <c r="A149" s="1" t="s">
        <v>53</v>
      </c>
      <c r="B149" s="1" t="s">
        <v>336</v>
      </c>
      <c r="C149" s="1">
        <v>2020</v>
      </c>
      <c r="D149" s="132" t="s">
        <v>234</v>
      </c>
      <c r="E149" s="1" t="s">
        <v>208</v>
      </c>
      <c r="F149" s="1" t="s">
        <v>410</v>
      </c>
      <c r="G149" s="1" t="s">
        <v>37</v>
      </c>
      <c r="H149" s="1" t="s">
        <v>82</v>
      </c>
      <c r="I149" s="1" t="s">
        <v>64</v>
      </c>
      <c r="J149" s="1" t="s">
        <v>40</v>
      </c>
      <c r="K149" s="1" t="s">
        <v>41</v>
      </c>
      <c r="L149" s="1">
        <v>1</v>
      </c>
      <c r="N149" s="1">
        <v>6</v>
      </c>
      <c r="O149" s="1">
        <v>1.25</v>
      </c>
      <c r="P149" s="1">
        <v>1.1000000000000001</v>
      </c>
      <c r="Q149" s="2">
        <f t="shared" si="5"/>
        <v>1.175</v>
      </c>
      <c r="R149" s="1">
        <v>15.7</v>
      </c>
      <c r="S149" s="1">
        <v>112.5</v>
      </c>
      <c r="T149" s="2">
        <f t="shared" si="6"/>
        <v>33</v>
      </c>
      <c r="U149" s="1">
        <v>750</v>
      </c>
      <c r="V149" s="2">
        <f t="shared" si="7"/>
        <v>4125</v>
      </c>
      <c r="W149" s="1">
        <v>14</v>
      </c>
      <c r="X149" s="1" t="s">
        <v>51</v>
      </c>
      <c r="Y149" s="1" t="s">
        <v>67</v>
      </c>
      <c r="Z149" s="1" t="s">
        <v>101</v>
      </c>
      <c r="AA149" s="1" t="s">
        <v>112</v>
      </c>
    </row>
    <row r="150" spans="1:27" x14ac:dyDescent="0.15">
      <c r="A150" s="1" t="s">
        <v>53</v>
      </c>
      <c r="B150" s="1" t="s">
        <v>336</v>
      </c>
      <c r="C150" s="1">
        <v>2020</v>
      </c>
      <c r="D150" s="132" t="s">
        <v>234</v>
      </c>
      <c r="E150" s="1" t="s">
        <v>208</v>
      </c>
      <c r="F150" s="1" t="s">
        <v>410</v>
      </c>
      <c r="G150" s="1" t="s">
        <v>37</v>
      </c>
      <c r="H150" s="1" t="s">
        <v>82</v>
      </c>
      <c r="I150" s="1" t="s">
        <v>64</v>
      </c>
      <c r="J150" s="1" t="s">
        <v>40</v>
      </c>
      <c r="K150" s="1" t="s">
        <v>41</v>
      </c>
      <c r="L150" s="1">
        <v>2</v>
      </c>
      <c r="N150" s="1">
        <v>6</v>
      </c>
      <c r="O150" s="1">
        <v>0.9</v>
      </c>
      <c r="P150" s="1">
        <v>0.6</v>
      </c>
      <c r="Q150" s="2">
        <f t="shared" si="5"/>
        <v>0.75</v>
      </c>
      <c r="R150" s="1">
        <v>15.6</v>
      </c>
      <c r="S150" s="1">
        <v>109</v>
      </c>
      <c r="T150" s="2">
        <f t="shared" si="6"/>
        <v>33</v>
      </c>
      <c r="U150" s="1">
        <v>750</v>
      </c>
      <c r="V150" s="2">
        <f t="shared" si="7"/>
        <v>4125</v>
      </c>
      <c r="W150" s="1">
        <v>14</v>
      </c>
      <c r="X150" s="1" t="s">
        <v>51</v>
      </c>
      <c r="Y150" s="1" t="s">
        <v>67</v>
      </c>
      <c r="Z150" s="1" t="s">
        <v>101</v>
      </c>
      <c r="AA150" s="1" t="s">
        <v>112</v>
      </c>
    </row>
    <row r="151" spans="1:27" x14ac:dyDescent="0.15">
      <c r="A151" s="1" t="s">
        <v>53</v>
      </c>
      <c r="B151" s="1" t="s">
        <v>336</v>
      </c>
      <c r="C151" s="1">
        <v>2020</v>
      </c>
      <c r="D151" s="132" t="s">
        <v>234</v>
      </c>
      <c r="E151" s="1" t="s">
        <v>208</v>
      </c>
      <c r="F151" s="1" t="s">
        <v>410</v>
      </c>
      <c r="G151" s="1" t="s">
        <v>37</v>
      </c>
      <c r="H151" s="1" t="s">
        <v>82</v>
      </c>
      <c r="I151" s="1" t="s">
        <v>64</v>
      </c>
      <c r="J151" s="1" t="s">
        <v>40</v>
      </c>
      <c r="K151" s="1" t="s">
        <v>41</v>
      </c>
      <c r="L151" s="1">
        <v>3</v>
      </c>
      <c r="N151" s="1">
        <v>6</v>
      </c>
      <c r="O151" s="1">
        <v>0.75</v>
      </c>
      <c r="P151" s="1">
        <v>0.8</v>
      </c>
      <c r="Q151" s="2">
        <f t="shared" si="5"/>
        <v>0.77500000000000002</v>
      </c>
      <c r="R151" s="1">
        <v>16.3</v>
      </c>
      <c r="S151" s="1">
        <v>110.5</v>
      </c>
      <c r="T151" s="2">
        <f t="shared" si="6"/>
        <v>33</v>
      </c>
      <c r="U151" s="1">
        <v>750</v>
      </c>
      <c r="V151" s="2">
        <f t="shared" si="7"/>
        <v>4125</v>
      </c>
      <c r="W151" s="1">
        <v>14</v>
      </c>
      <c r="X151" s="1" t="s">
        <v>51</v>
      </c>
      <c r="Y151" s="1" t="s">
        <v>67</v>
      </c>
      <c r="Z151" s="1" t="s">
        <v>101</v>
      </c>
      <c r="AA151" s="1" t="s">
        <v>112</v>
      </c>
    </row>
  </sheetData>
  <autoFilter ref="A1:BA151" xr:uid="{00000000-0009-0000-0000-000000000000}"/>
  <phoneticPr fontId="13"/>
  <dataValidations count="15">
    <dataValidation type="list" allowBlank="1" showInputMessage="1" showErrorMessage="1" sqref="K2:K1000" xr:uid="{AC3C0629-7C3B-43A6-84E2-ACD42E2ECEA9}">
      <formula1>$AR$2:$AR$25</formula1>
    </dataValidation>
    <dataValidation type="list" allowBlank="1" showInputMessage="1" showErrorMessage="1" sqref="J2:J1000" xr:uid="{AF70F584-64B9-4B53-82AE-E951969EEA29}">
      <formula1>$AP$2:$AP$26</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9D65B45E-AAA0-419D-9557-1C73102B0496}">
      <formula1>$AP$2:$AP$15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BDECFD9-F3FE-4E54-A004-D042F3FD6C6E}">
      <formula1>$AR$2:$AR$30</formula1>
    </dataValidation>
    <dataValidation type="list" allowBlank="1" showInputMessage="1" showErrorMessage="1" sqref="H2:H7" xr:uid="{776D9120-36E9-4557-BE97-682CCE5CDB5B}">
      <formula1>$AL$2:$AL$20</formula1>
    </dataValidation>
    <dataValidation type="list" allowBlank="1" showInputMessage="1" showErrorMessage="1" sqref="H8:H1093" xr:uid="{9A17FF7E-0A4A-4611-88C9-621E9FE5FE63}">
      <formula1>$AL$2:$AL$9</formula1>
    </dataValidation>
    <dataValidation type="list" allowBlank="1" showInputMessage="1" showErrorMessage="1" sqref="E2:E470" xr:uid="{00CCA142-16B4-44F7-9D08-D22499A64458}">
      <formula1>$AG$2:$AG$11</formula1>
    </dataValidation>
    <dataValidation type="list" allowBlank="1" showInputMessage="1" showErrorMessage="1" sqref="F2:F470" xr:uid="{FDB1C40A-7BBF-4E45-A45C-B4ADCEC60732}">
      <formula1>$AH$2:$AH$11</formula1>
    </dataValidation>
    <dataValidation type="list" allowBlank="1" showInputMessage="1" showErrorMessage="1" sqref="I2:I470" xr:uid="{6B59B7BB-BB24-4CF3-9122-3BC37D65AAC9}">
      <formula1>$AN$5:$AN$6</formula1>
    </dataValidation>
    <dataValidation type="list" allowBlank="1" showInputMessage="1" showErrorMessage="1" sqref="G2:G470" xr:uid="{E83DF3F4-D20A-4131-9469-8324EF527021}">
      <formula1>$AJ$2:$AJ$4</formula1>
    </dataValidation>
    <dataValidation type="list" allowBlank="1" showInputMessage="1" showErrorMessage="1" sqref="X2:X470" xr:uid="{DF035150-DA6C-4EEE-A5E4-E76271542F72}">
      <formula1>$AT$2:$AT$3</formula1>
    </dataValidation>
    <dataValidation type="list" allowBlank="1" showInputMessage="1" showErrorMessage="1" sqref="Y2:AA470" xr:uid="{721DC854-B044-4EA8-A6CB-2E52C32FBF81}">
      <formula1>$AV$2:$AV$21</formula1>
    </dataValidation>
    <dataValidation type="list" allowBlank="1" showInputMessage="1" showErrorMessage="1" sqref="A2:A469" xr:uid="{3D070E38-515C-43F7-8CA0-92633B086D79}">
      <formula1>$AE$2:$AE$19</formula1>
    </dataValidation>
    <dataValidation operator="equal" allowBlank="1" showInputMessage="1" showErrorMessage="1" sqref="B2:B151" xr:uid="{454460C9-4F09-49EA-B94C-026C96B489D8}"/>
    <dataValidation type="decimal" allowBlank="1" showInputMessage="1" showErrorMessage="1" error="硬度を正しく入力して下さい。" sqref="O2:P49 O59:P470" xr:uid="{2FF3A318-9F0E-4E6E-B8BF-BDF544E2A0A3}">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datastoreItem>
</file>

<file path=customXml/itemProps2.xml><?xml version="1.0" encoding="utf-8"?>
<ds:datastoreItem xmlns:ds="http://schemas.openxmlformats.org/officeDocument/2006/customXml" ds:itemID="{224F9B68-4321-40B1-9CE3-3FB5900288C0}"/>
</file>

<file path=customXml/itemProps3.xml><?xml version="1.0" encoding="utf-8"?>
<ds:datastoreItem xmlns:ds="http://schemas.openxmlformats.org/officeDocument/2006/customXml" ds:itemID="{595FA70F-353B-4920-A0DF-F4DB499C7935}"/>
</file>

<file path=customXml/itemProps4.xml><?xml version="1.0" encoding="utf-8"?>
<ds:datastoreItem xmlns:ds="http://schemas.openxmlformats.org/officeDocument/2006/customXml" ds:itemID="{A5CDBBE7-D0D3-433B-AA32-697D93EDBB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2012-06-11T10:59:00Z</dcterms:created>
  <dcterms:modified xsi:type="dcterms:W3CDTF">2020-05-27T08:54:05Z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1041-10.8.0.5745</vt:lpwstr>
  </property>
  <property fmtid="{D5CDD505-2E9C-101B-9397-08002B2CF9AE}" pid="3" name="ContentTypeId">
    <vt:lpwstr>0x010100C4B120F8C866C54C9686C833CF8546A3</vt:lpwstr>
  </property>
</Properties>
</file>