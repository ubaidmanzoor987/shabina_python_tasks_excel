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7.xml" ContentType="application/vnd.openxmlformats-officedocument.spreadsheetml.externalLink+xml"/>
  <Override PartName="/xl/externalLinks/externalLink6.xml" ContentType="application/vnd.openxmlformats-officedocument.spreadsheetml.externalLink+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defaultThemeVersion="166925"/>
  <mc:AlternateContent xmlns:mc="http://schemas.openxmlformats.org/markup-compatibility/2006">
    <mc:Choice Requires="x15">
      <x15ac:absPath xmlns:x15ac="http://schemas.microsoft.com/office/spreadsheetml/2010/11/ac" url="\\192.168.11.200\000_全国共有\2-Zespri\品質調査\2020品質調査\54週（2021.1週）\"/>
    </mc:Choice>
  </mc:AlternateContent>
  <xr:revisionPtr revIDLastSave="0" documentId="13_ncr:1_{B2BCB1D8-F619-41C1-AC4D-16D285AF025F}" xr6:coauthVersionLast="46" xr6:coauthVersionMax="46" xr10:uidLastSave="{00000000-0000-0000-0000-000000000000}"/>
  <bookViews>
    <workbookView xWindow="-120" yWindow="-120" windowWidth="29040" windowHeight="15840" xr2:uid="{00000000-000D-0000-FFFF-FFFF00000000}"/>
  </bookViews>
  <sheets>
    <sheet name="sapporo" sheetId="9" r:id="rId1"/>
    <sheet name="miyagi" sheetId="3" r:id="rId2"/>
    <sheet name="nagoya" sheetId="7" r:id="rId3"/>
    <sheet name="osaka" sheetId="8" r:id="rId4"/>
    <sheet name="hiroshima" sheetId="6" r:id="rId5"/>
    <sheet name="fukuoka" sheetId="5" r:id="rId6"/>
    <sheet name="tokyo-west(ota)" sheetId="1" r:id="rId7"/>
    <sheet name="tokyo-east(konishi)" sheetId="4"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fukuoka!$A$1:$BA$149</definedName>
    <definedName name="_xlnm._FilterDatabase" localSheetId="4" hidden="1">hiroshima!$A$1:$BA$73</definedName>
    <definedName name="_xlnm._FilterDatabase" localSheetId="1" hidden="1">miyagi!$A$1:$AB$49</definedName>
    <definedName name="_xlnm._FilterDatabase" localSheetId="2" hidden="1">nagoya!$A$1:$AB$130</definedName>
    <definedName name="_xlnm._FilterDatabase" localSheetId="3" hidden="1">osaka!$A$1:$BA$115</definedName>
    <definedName name="_xlnm._FilterDatabase" localSheetId="0" hidden="1">sapporo!$A$1:$BA$120</definedName>
    <definedName name="_xlnm._FilterDatabase" localSheetId="7" hidden="1">'tokyo-east(konishi)'!$A$1:$BA$175</definedName>
    <definedName name="_xlnm._FilterDatabase" localSheetId="6" hidden="1">'tokyo-west(ota)'!$A$1:$BA$76</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7">#REF!</definedName>
    <definedName name="aaa" localSheetId="6">#REF!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7">#REF!</definedName>
    <definedName name="Brand" localSheetId="6">#REF!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7">#REF!</definedName>
    <definedName name="District" localSheetId="6">#REF!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0">#REF!</definedName>
    <definedName name="Fruit" localSheetId="7">#REF!</definedName>
    <definedName name="Fruit" localSheetId="6">#REF!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0">#REF!</definedName>
    <definedName name="GoldSIZE" localSheetId="7">#REF!</definedName>
    <definedName name="GoldSIZE" localSheetId="6">#REF!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0">#REF!</definedName>
    <definedName name="GreenSIZE" localSheetId="7">#REF!</definedName>
    <definedName name="GreenSIZE" localSheetId="6">#REF!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0">#REF!</definedName>
    <definedName name="GrowingMethod" localSheetId="7">#REF!</definedName>
    <definedName name="GrowingMethod" localSheetId="6">#REF!</definedName>
    <definedName name="GrowingMethod">#REF!</definedName>
    <definedName name="hiroshima" localSheetId="5">#REF!</definedName>
    <definedName name="hiroshima" localSheetId="4">#REF!</definedName>
    <definedName name="hiroshima" localSheetId="1">#REF!</definedName>
    <definedName name="hiroshima" localSheetId="2">#REF!</definedName>
    <definedName name="hiroshima" localSheetId="0">#REF!</definedName>
    <definedName name="hiroshima" localSheetId="7">#REF!</definedName>
    <definedName name="hiroshima">#REF!</definedName>
    <definedName name="kk" localSheetId="5">#REF!</definedName>
    <definedName name="kk" localSheetId="4">#REF!</definedName>
    <definedName name="kk" localSheetId="1">#REF!</definedName>
    <definedName name="kk" localSheetId="2">#REF!</definedName>
    <definedName name="kk" localSheetId="0">#REF!</definedName>
    <definedName name="kk" localSheetId="7">#REF!</definedName>
    <definedName name="kk" localSheetId="6">#REF!</definedName>
    <definedName name="kk">#REF!</definedName>
    <definedName name="ｌｌｌｌｌ" localSheetId="5">#REF!</definedName>
    <definedName name="ｌｌｌｌｌ" localSheetId="4">#REF!</definedName>
    <definedName name="ｌｌｌｌｌ" localSheetId="1">#REF!</definedName>
    <definedName name="ｌｌｌｌｌ" localSheetId="2">#REF!</definedName>
    <definedName name="ｌｌｌｌｌ" localSheetId="0">#REF!</definedName>
    <definedName name="ｌｌｌｌｌ" localSheetId="7">#REF!</definedName>
    <definedName name="ｌｌｌｌｌ">#REF!</definedName>
    <definedName name="miyagi" localSheetId="5">#REF!</definedName>
    <definedName name="miyagi" localSheetId="4">#REF!</definedName>
    <definedName name="miyagi" localSheetId="1">#REF!</definedName>
    <definedName name="miyagi" localSheetId="2">#REF!</definedName>
    <definedName name="miyagi" localSheetId="0">#REF!</definedName>
    <definedName name="miyagi" localSheetId="7">#REF!</definedName>
    <definedName name="miyagi">#REF!</definedName>
    <definedName name="miyagi2" localSheetId="5">#REF!</definedName>
    <definedName name="miyagi2" localSheetId="4">#REF!</definedName>
    <definedName name="miyagi2" localSheetId="1">#REF!</definedName>
    <definedName name="miyagi2" localSheetId="2">#REF!</definedName>
    <definedName name="miyagi2" localSheetId="0">#REF!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0">#REF!</definedName>
    <definedName name="Origin" localSheetId="7">#REF!</definedName>
    <definedName name="Origin" localSheetId="6">#REF!</definedName>
    <definedName name="Origin">#REF!</definedName>
    <definedName name="_xlnm.Print_Area" localSheetId="4">hiroshima!$E$1:$S$75</definedName>
    <definedName name="_xlnm.Print_Area" localSheetId="6">'tokyo-west(ota)'!$A$1:$AH$46</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7">#REF!</definedName>
    <definedName name="Shelf" localSheetId="6">#REF!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0">#REF!</definedName>
    <definedName name="Shop" localSheetId="7">#REF!</definedName>
    <definedName name="Shop" localSheetId="6">#REF!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0">#REF!</definedName>
    <definedName name="ShopName1" localSheetId="7">#REF!</definedName>
    <definedName name="ShopName1" localSheetId="6">#REF!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0">#REF!</definedName>
    <definedName name="ShopName2" localSheetId="7">#REF!</definedName>
    <definedName name="ShopName2" localSheetId="6">#REF!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0">#REF!</definedName>
    <definedName name="Variety" localSheetId="7">#REF!</definedName>
    <definedName name="Variety" localSheetId="6">#REF!</definedName>
    <definedName name="Variety">#REF!</definedName>
    <definedName name="yaginuma" localSheetId="5">#REF!</definedName>
    <definedName name="yaginuma" localSheetId="4">#REF!</definedName>
    <definedName name="yaginuma" localSheetId="1">#REF!</definedName>
    <definedName name="yaginuma" localSheetId="2">#REF!</definedName>
    <definedName name="yaginuma" localSheetId="0">#REF!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0">#REF!</definedName>
    <definedName name="検索店舗名" localSheetId="7">#REF!</definedName>
    <definedName name="検索店舗名" localSheetId="6">#REF!</definedName>
    <definedName name="検索店舗名">#REF!</definedName>
    <definedName name="栽培方法" localSheetId="2">nagoya!$AN$1:$AN$6</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0">#REF!</definedName>
    <definedName name="販売ユニット個数" localSheetId="7">#REF!</definedName>
    <definedName name="販売ユニット個数" localSheetId="6">#REF!</definedName>
    <definedName name="販売ユニット個数">#REF!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60" i="9" l="1"/>
  <c r="V160" i="9" s="1"/>
  <c r="Q160" i="9"/>
  <c r="T159" i="9"/>
  <c r="V159" i="9" s="1"/>
  <c r="Q159" i="9"/>
  <c r="T158" i="9"/>
  <c r="V158" i="9" s="1"/>
  <c r="Q158" i="9"/>
  <c r="T157" i="9"/>
  <c r="V157" i="9" s="1"/>
  <c r="Q157" i="9"/>
  <c r="T156" i="9"/>
  <c r="V156" i="9" s="1"/>
  <c r="Q156" i="9"/>
  <c r="T155" i="9"/>
  <c r="V155" i="9" s="1"/>
  <c r="Q155" i="9"/>
  <c r="T154" i="9"/>
  <c r="V154" i="9" s="1"/>
  <c r="Q154" i="9"/>
  <c r="T153" i="9"/>
  <c r="V153" i="9" s="1"/>
  <c r="Q153" i="9"/>
  <c r="T152" i="9"/>
  <c r="V152" i="9" s="1"/>
  <c r="Q152" i="9"/>
  <c r="T151" i="9"/>
  <c r="V151" i="9" s="1"/>
  <c r="Q151" i="9"/>
  <c r="T150" i="9"/>
  <c r="V150" i="9" s="1"/>
  <c r="Q150" i="9"/>
  <c r="T149" i="9"/>
  <c r="V149" i="9" s="1"/>
  <c r="Q149" i="9"/>
  <c r="T148" i="9"/>
  <c r="V148" i="9" s="1"/>
  <c r="Q148" i="9"/>
  <c r="T147" i="9"/>
  <c r="V147" i="9" s="1"/>
  <c r="Q147" i="9"/>
  <c r="T146" i="9"/>
  <c r="V146" i="9" s="1"/>
  <c r="Q146" i="9"/>
  <c r="T145" i="9"/>
  <c r="V145" i="9" s="1"/>
  <c r="Q145" i="9"/>
  <c r="T144" i="9"/>
  <c r="V144" i="9" s="1"/>
  <c r="Q144" i="9"/>
  <c r="T143" i="9"/>
  <c r="V143" i="9" s="1"/>
  <c r="Q143" i="9"/>
  <c r="T142" i="9"/>
  <c r="V142" i="9" s="1"/>
  <c r="Q142" i="9"/>
  <c r="T141" i="9"/>
  <c r="V141" i="9" s="1"/>
  <c r="Q141" i="9"/>
  <c r="T140" i="9"/>
  <c r="V140" i="9" s="1"/>
  <c r="Q140" i="9"/>
  <c r="T139" i="9"/>
  <c r="V139" i="9" s="1"/>
  <c r="Q139" i="9"/>
  <c r="T138" i="9"/>
  <c r="V138" i="9" s="1"/>
  <c r="Q138" i="9"/>
  <c r="T137" i="9"/>
  <c r="V137" i="9" s="1"/>
  <c r="Q137" i="9"/>
  <c r="T136" i="9"/>
  <c r="V136" i="9" s="1"/>
  <c r="Q136" i="9"/>
  <c r="T135" i="9"/>
  <c r="V135" i="9" s="1"/>
  <c r="Q135" i="9"/>
  <c r="T134" i="9"/>
  <c r="V134" i="9" s="1"/>
  <c r="Q134" i="9"/>
  <c r="T133" i="9"/>
  <c r="V133" i="9" s="1"/>
  <c r="Q133" i="9"/>
  <c r="T132" i="9"/>
  <c r="V132" i="9" s="1"/>
  <c r="Q132" i="9"/>
  <c r="T131" i="9"/>
  <c r="V131" i="9" s="1"/>
  <c r="Q131" i="9"/>
  <c r="T130" i="9"/>
  <c r="V130" i="9" s="1"/>
  <c r="Q130" i="9"/>
  <c r="T129" i="9"/>
  <c r="V129" i="9" s="1"/>
  <c r="Q129" i="9"/>
  <c r="T128" i="9"/>
  <c r="V128" i="9" s="1"/>
  <c r="Q128" i="9"/>
  <c r="T127" i="9"/>
  <c r="V127" i="9" s="1"/>
  <c r="Q127" i="9"/>
  <c r="T126" i="9"/>
  <c r="V126" i="9" s="1"/>
  <c r="Q126" i="9"/>
  <c r="T125" i="9"/>
  <c r="V125" i="9" s="1"/>
  <c r="Q125" i="9"/>
  <c r="T124" i="9"/>
  <c r="V124" i="9" s="1"/>
  <c r="Q124" i="9"/>
  <c r="T123" i="9"/>
  <c r="V123" i="9" s="1"/>
  <c r="Q123" i="9"/>
  <c r="T122" i="9"/>
  <c r="V122" i="9" s="1"/>
  <c r="Q122" i="9"/>
  <c r="T121" i="9"/>
  <c r="V121" i="9" s="1"/>
  <c r="Q121" i="9"/>
  <c r="T120" i="9"/>
  <c r="V120" i="9" s="1"/>
  <c r="Q120" i="9"/>
  <c r="T119" i="9"/>
  <c r="V119" i="9" s="1"/>
  <c r="Q119" i="9"/>
  <c r="T118" i="9"/>
  <c r="V118" i="9" s="1"/>
  <c r="Q118" i="9"/>
  <c r="T117" i="9"/>
  <c r="V117" i="9" s="1"/>
  <c r="Q117" i="9"/>
  <c r="T116" i="9"/>
  <c r="V116" i="9" s="1"/>
  <c r="Q116" i="9"/>
  <c r="T115" i="9"/>
  <c r="V115" i="9" s="1"/>
  <c r="Q115" i="9"/>
  <c r="T114" i="9"/>
  <c r="V114" i="9" s="1"/>
  <c r="Q114" i="9"/>
  <c r="T113" i="9"/>
  <c r="V113" i="9" s="1"/>
  <c r="Q113" i="9"/>
  <c r="T112" i="9"/>
  <c r="V112" i="9" s="1"/>
  <c r="Q112" i="9"/>
  <c r="T111" i="9"/>
  <c r="V111" i="9" s="1"/>
  <c r="Q111" i="9"/>
  <c r="T110" i="9"/>
  <c r="V110" i="9" s="1"/>
  <c r="Q110" i="9"/>
  <c r="T109" i="9"/>
  <c r="V109" i="9" s="1"/>
  <c r="Q109" i="9"/>
  <c r="T108" i="9"/>
  <c r="V108" i="9" s="1"/>
  <c r="Q108" i="9"/>
  <c r="T107" i="9"/>
  <c r="V107" i="9" s="1"/>
  <c r="Q107" i="9"/>
  <c r="T106" i="9"/>
  <c r="V106" i="9" s="1"/>
  <c r="Q106" i="9"/>
  <c r="T105" i="9"/>
  <c r="V105" i="9" s="1"/>
  <c r="Q105" i="9"/>
  <c r="T104" i="9"/>
  <c r="V104" i="9" s="1"/>
  <c r="Q104" i="9"/>
  <c r="T103" i="9"/>
  <c r="V103" i="9" s="1"/>
  <c r="Q103" i="9"/>
  <c r="T102" i="9"/>
  <c r="V102" i="9" s="1"/>
  <c r="Q102" i="9"/>
  <c r="T101" i="9"/>
  <c r="V101" i="9" s="1"/>
  <c r="Q101" i="9"/>
  <c r="T100" i="9"/>
  <c r="V100" i="9" s="1"/>
  <c r="Q100" i="9"/>
  <c r="T99" i="9"/>
  <c r="V99" i="9" s="1"/>
  <c r="Q99" i="9"/>
  <c r="T98" i="9"/>
  <c r="V98" i="9" s="1"/>
  <c r="Q98" i="9"/>
  <c r="T97" i="9"/>
  <c r="V97" i="9" s="1"/>
  <c r="Q97" i="9"/>
  <c r="T96" i="9"/>
  <c r="V96" i="9" s="1"/>
  <c r="Q96" i="9"/>
  <c r="T95" i="9"/>
  <c r="V95" i="9" s="1"/>
  <c r="Q95" i="9"/>
  <c r="T94" i="9"/>
  <c r="V94" i="9" s="1"/>
  <c r="Q94" i="9"/>
  <c r="T93" i="9"/>
  <c r="V93" i="9" s="1"/>
  <c r="Q93" i="9"/>
  <c r="T92" i="9"/>
  <c r="V92" i="9" s="1"/>
  <c r="Q92" i="9"/>
  <c r="T91" i="9"/>
  <c r="V91" i="9" s="1"/>
  <c r="Q91" i="9"/>
  <c r="T90" i="9"/>
  <c r="V90" i="9" s="1"/>
  <c r="Q90" i="9"/>
  <c r="T89" i="9"/>
  <c r="V89" i="9" s="1"/>
  <c r="Q89" i="9"/>
  <c r="T88" i="9"/>
  <c r="V88" i="9" s="1"/>
  <c r="Q88" i="9"/>
  <c r="T87" i="9"/>
  <c r="V87" i="9" s="1"/>
  <c r="Q87" i="9"/>
  <c r="T86" i="9"/>
  <c r="V86" i="9" s="1"/>
  <c r="Q86" i="9"/>
  <c r="T85" i="9"/>
  <c r="V85" i="9" s="1"/>
  <c r="Q85" i="9"/>
  <c r="T84" i="9"/>
  <c r="V84" i="9" s="1"/>
  <c r="Q84" i="9"/>
  <c r="T83" i="9"/>
  <c r="V83" i="9" s="1"/>
  <c r="Q83" i="9"/>
  <c r="T82" i="9"/>
  <c r="V82" i="9" s="1"/>
  <c r="Q82" i="9"/>
  <c r="T81" i="9"/>
  <c r="V81" i="9" s="1"/>
  <c r="Q81" i="9"/>
  <c r="T80" i="9"/>
  <c r="V80" i="9" s="1"/>
  <c r="Q80" i="9"/>
  <c r="T79" i="9"/>
  <c r="V79" i="9" s="1"/>
  <c r="Q79" i="9"/>
  <c r="T78" i="9"/>
  <c r="V78" i="9" s="1"/>
  <c r="Q78" i="9"/>
  <c r="T77" i="9"/>
  <c r="V77" i="9" s="1"/>
  <c r="Q77" i="9"/>
  <c r="T76" i="9"/>
  <c r="V76" i="9" s="1"/>
  <c r="Q76" i="9"/>
  <c r="T75" i="9"/>
  <c r="V75" i="9" s="1"/>
  <c r="Q75" i="9"/>
  <c r="T74" i="9"/>
  <c r="V74" i="9" s="1"/>
  <c r="Q74" i="9"/>
  <c r="T73" i="9"/>
  <c r="V73" i="9" s="1"/>
  <c r="Q73" i="9"/>
  <c r="T72" i="9"/>
  <c r="V72" i="9" s="1"/>
  <c r="Q72" i="9"/>
  <c r="T71" i="9"/>
  <c r="V71" i="9" s="1"/>
  <c r="Q71" i="9"/>
  <c r="T70" i="9"/>
  <c r="V70" i="9" s="1"/>
  <c r="Q70" i="9"/>
  <c r="T69" i="9"/>
  <c r="V69" i="9" s="1"/>
  <c r="Q69" i="9"/>
  <c r="T68" i="9"/>
  <c r="V68" i="9" s="1"/>
  <c r="Q68" i="9"/>
  <c r="T67" i="9"/>
  <c r="V67" i="9" s="1"/>
  <c r="Q67" i="9"/>
  <c r="T66" i="9"/>
  <c r="V66" i="9" s="1"/>
  <c r="Q66" i="9"/>
  <c r="T65" i="9"/>
  <c r="V65" i="9" s="1"/>
  <c r="Q65" i="9"/>
  <c r="T64" i="9"/>
  <c r="V64" i="9" s="1"/>
  <c r="Q64" i="9"/>
  <c r="T63" i="9"/>
  <c r="V63" i="9" s="1"/>
  <c r="Q63" i="9"/>
  <c r="T62" i="9"/>
  <c r="V62" i="9" s="1"/>
  <c r="Q62" i="9"/>
  <c r="T61" i="9"/>
  <c r="V61" i="9" s="1"/>
  <c r="Q61" i="9"/>
  <c r="T60" i="9"/>
  <c r="V60" i="9" s="1"/>
  <c r="Q60" i="9"/>
  <c r="T59" i="9"/>
  <c r="V59" i="9" s="1"/>
  <c r="Q59" i="9"/>
  <c r="T58" i="9"/>
  <c r="V58" i="9" s="1"/>
  <c r="Q58" i="9"/>
  <c r="T57" i="9"/>
  <c r="V57" i="9" s="1"/>
  <c r="Q57" i="9"/>
  <c r="T56" i="9"/>
  <c r="V56" i="9" s="1"/>
  <c r="Q56" i="9"/>
  <c r="T55" i="9"/>
  <c r="V55" i="9" s="1"/>
  <c r="Q55" i="9"/>
  <c r="T54" i="9"/>
  <c r="V54" i="9" s="1"/>
  <c r="Q54" i="9"/>
  <c r="T53" i="9"/>
  <c r="V53" i="9" s="1"/>
  <c r="Q53" i="9"/>
  <c r="T52" i="9"/>
  <c r="V52" i="9" s="1"/>
  <c r="Q52" i="9"/>
  <c r="T51" i="9"/>
  <c r="V51" i="9" s="1"/>
  <c r="Q51" i="9"/>
  <c r="T50" i="9"/>
  <c r="V50" i="9" s="1"/>
  <c r="Q50" i="9"/>
  <c r="T49" i="9"/>
  <c r="V49" i="9" s="1"/>
  <c r="Q49" i="9"/>
  <c r="T48" i="9"/>
  <c r="V48" i="9" s="1"/>
  <c r="Q48" i="9"/>
  <c r="T47" i="9"/>
  <c r="V47" i="9" s="1"/>
  <c r="Q47" i="9"/>
  <c r="T46" i="9"/>
  <c r="V46" i="9" s="1"/>
  <c r="Q46" i="9"/>
  <c r="T45" i="9"/>
  <c r="V45" i="9" s="1"/>
  <c r="Q45" i="9"/>
  <c r="T44" i="9"/>
  <c r="V44" i="9" s="1"/>
  <c r="Q44" i="9"/>
  <c r="T43" i="9"/>
  <c r="V43" i="9" s="1"/>
  <c r="Q43" i="9"/>
  <c r="T42" i="9"/>
  <c r="V42" i="9" s="1"/>
  <c r="Q42" i="9"/>
  <c r="T41" i="9"/>
  <c r="V41" i="9" s="1"/>
  <c r="Q41" i="9"/>
  <c r="T40" i="9"/>
  <c r="V40" i="9" s="1"/>
  <c r="Q40" i="9"/>
  <c r="T39" i="9"/>
  <c r="V39" i="9" s="1"/>
  <c r="Q39" i="9"/>
  <c r="T38" i="9"/>
  <c r="V38" i="9" s="1"/>
  <c r="Q38" i="9"/>
  <c r="T37" i="9"/>
  <c r="V37" i="9" s="1"/>
  <c r="Q37" i="9"/>
  <c r="T36" i="9"/>
  <c r="V36" i="9" s="1"/>
  <c r="Q36" i="9"/>
  <c r="T35" i="9"/>
  <c r="V35" i="9" s="1"/>
  <c r="Q35" i="9"/>
  <c r="T34" i="9"/>
  <c r="V34" i="9" s="1"/>
  <c r="Q34" i="9"/>
  <c r="T33" i="9"/>
  <c r="V33" i="9" s="1"/>
  <c r="Q33" i="9"/>
  <c r="T32" i="9"/>
  <c r="V32" i="9" s="1"/>
  <c r="Q32" i="9"/>
  <c r="T31" i="9"/>
  <c r="V31" i="9" s="1"/>
  <c r="Q31" i="9"/>
  <c r="T30" i="9"/>
  <c r="V30" i="9" s="1"/>
  <c r="Q30" i="9"/>
  <c r="T29" i="9"/>
  <c r="V29" i="9" s="1"/>
  <c r="Q29" i="9"/>
  <c r="T28" i="9"/>
  <c r="V28" i="9" s="1"/>
  <c r="Q28" i="9"/>
  <c r="T27" i="9"/>
  <c r="V27" i="9" s="1"/>
  <c r="Q27" i="9"/>
  <c r="T26" i="9"/>
  <c r="V26" i="9" s="1"/>
  <c r="Q26" i="9"/>
  <c r="T25" i="9"/>
  <c r="V25" i="9" s="1"/>
  <c r="Q25" i="9"/>
  <c r="T24" i="9"/>
  <c r="V24" i="9" s="1"/>
  <c r="Q24" i="9"/>
  <c r="T23" i="9"/>
  <c r="V23" i="9" s="1"/>
  <c r="Q23" i="9"/>
  <c r="T22" i="9"/>
  <c r="V22" i="9" s="1"/>
  <c r="Q22" i="9"/>
  <c r="T21" i="9"/>
  <c r="V21" i="9" s="1"/>
  <c r="Q21" i="9"/>
  <c r="T20" i="9"/>
  <c r="V20" i="9" s="1"/>
  <c r="Q20" i="9"/>
  <c r="T19" i="9"/>
  <c r="V19" i="9" s="1"/>
  <c r="Q19" i="9"/>
  <c r="T18" i="9"/>
  <c r="V18" i="9" s="1"/>
  <c r="Q18" i="9"/>
  <c r="T17" i="9"/>
  <c r="V17" i="9" s="1"/>
  <c r="Q17" i="9"/>
  <c r="T16" i="9"/>
  <c r="V16" i="9" s="1"/>
  <c r="Q16" i="9"/>
  <c r="T15" i="9"/>
  <c r="V15" i="9" s="1"/>
  <c r="Q15" i="9"/>
  <c r="T14" i="9"/>
  <c r="V14" i="9" s="1"/>
  <c r="Q14" i="9"/>
  <c r="T13" i="9"/>
  <c r="V13" i="9" s="1"/>
  <c r="Q13" i="9"/>
  <c r="T12" i="9"/>
  <c r="V12" i="9" s="1"/>
  <c r="Q12" i="9"/>
  <c r="T11" i="9"/>
  <c r="V11" i="9" s="1"/>
  <c r="Q11" i="9"/>
  <c r="T10" i="9"/>
  <c r="V10" i="9" s="1"/>
  <c r="Q10" i="9"/>
  <c r="T9" i="9"/>
  <c r="V9" i="9" s="1"/>
  <c r="Q9" i="9"/>
  <c r="T8" i="9"/>
  <c r="V8" i="9" s="1"/>
  <c r="Q8" i="9"/>
  <c r="T7" i="9"/>
  <c r="V7" i="9" s="1"/>
  <c r="Q7" i="9"/>
  <c r="T6" i="9"/>
  <c r="V6" i="9" s="1"/>
  <c r="Q6" i="9"/>
  <c r="T5" i="9"/>
  <c r="V5" i="9" s="1"/>
  <c r="Q5" i="9"/>
  <c r="T4" i="9"/>
  <c r="V4" i="9" s="1"/>
  <c r="Q4" i="9"/>
  <c r="T3" i="9"/>
  <c r="V3" i="9" s="1"/>
  <c r="Q3" i="9"/>
  <c r="T2" i="9"/>
  <c r="V2" i="9" s="1"/>
  <c r="Q2" i="9"/>
  <c r="T115" i="8" l="1"/>
  <c r="V115" i="8" s="1"/>
  <c r="Q115" i="8"/>
  <c r="T114" i="8"/>
  <c r="V114" i="8" s="1"/>
  <c r="Q114" i="8"/>
  <c r="T113" i="8"/>
  <c r="V113" i="8" s="1"/>
  <c r="Q113" i="8"/>
  <c r="T112" i="8"/>
  <c r="V112" i="8" s="1"/>
  <c r="Q112" i="8"/>
  <c r="T111" i="8"/>
  <c r="V111" i="8" s="1"/>
  <c r="Q111" i="8"/>
  <c r="T110" i="8"/>
  <c r="V110" i="8" s="1"/>
  <c r="Q110" i="8"/>
  <c r="T109" i="8"/>
  <c r="V109" i="8" s="1"/>
  <c r="Q109" i="8"/>
  <c r="T108" i="8"/>
  <c r="V108" i="8" s="1"/>
  <c r="Q108" i="8"/>
  <c r="T107" i="8"/>
  <c r="V107" i="8" s="1"/>
  <c r="Q107" i="8"/>
  <c r="T106" i="8"/>
  <c r="V106" i="8" s="1"/>
  <c r="Q106" i="8"/>
  <c r="T105" i="8"/>
  <c r="V105" i="8" s="1"/>
  <c r="Q105" i="8"/>
  <c r="T104" i="8"/>
  <c r="V104" i="8" s="1"/>
  <c r="Q104" i="8"/>
  <c r="T103" i="8"/>
  <c r="V103" i="8" s="1"/>
  <c r="Q103" i="8"/>
  <c r="T102" i="8"/>
  <c r="V102" i="8" s="1"/>
  <c r="Q102" i="8"/>
  <c r="T101" i="8"/>
  <c r="V101" i="8" s="1"/>
  <c r="Q101" i="8"/>
  <c r="T100" i="8"/>
  <c r="V100" i="8" s="1"/>
  <c r="Q100" i="8"/>
  <c r="T99" i="8"/>
  <c r="V99" i="8" s="1"/>
  <c r="Q99" i="8"/>
  <c r="T98" i="8"/>
  <c r="V98" i="8" s="1"/>
  <c r="Q98" i="8"/>
  <c r="T97" i="8"/>
  <c r="V97" i="8" s="1"/>
  <c r="Q97" i="8"/>
  <c r="T96" i="8"/>
  <c r="V96" i="8" s="1"/>
  <c r="Q96" i="8"/>
  <c r="T95" i="8"/>
  <c r="V95" i="8" s="1"/>
  <c r="Q95" i="8"/>
  <c r="T94" i="8"/>
  <c r="V94" i="8" s="1"/>
  <c r="Q94" i="8"/>
  <c r="T93" i="8"/>
  <c r="V93" i="8" s="1"/>
  <c r="Q93" i="8"/>
  <c r="T92" i="8"/>
  <c r="V92" i="8" s="1"/>
  <c r="Q92" i="8"/>
  <c r="T91" i="8"/>
  <c r="V91" i="8" s="1"/>
  <c r="Q91" i="8"/>
  <c r="T90" i="8"/>
  <c r="V90" i="8" s="1"/>
  <c r="Q90" i="8"/>
  <c r="T89" i="8"/>
  <c r="V89" i="8" s="1"/>
  <c r="Q89" i="8"/>
  <c r="T88" i="8"/>
  <c r="V88" i="8" s="1"/>
  <c r="Q88" i="8"/>
  <c r="T87" i="8"/>
  <c r="V87" i="8" s="1"/>
  <c r="Q87" i="8"/>
  <c r="T86" i="8"/>
  <c r="V86" i="8" s="1"/>
  <c r="Q86" i="8"/>
  <c r="T85" i="8"/>
  <c r="V85" i="8" s="1"/>
  <c r="Q85" i="8"/>
  <c r="T84" i="8"/>
  <c r="V84" i="8" s="1"/>
  <c r="Q84" i="8"/>
  <c r="T83" i="8"/>
  <c r="V83" i="8" s="1"/>
  <c r="Q83" i="8"/>
  <c r="T82" i="8"/>
  <c r="V82" i="8" s="1"/>
  <c r="Q82" i="8"/>
  <c r="T81" i="8"/>
  <c r="V81" i="8" s="1"/>
  <c r="Q81" i="8"/>
  <c r="T80" i="8"/>
  <c r="V80" i="8" s="1"/>
  <c r="Q80" i="8"/>
  <c r="T79" i="8"/>
  <c r="V79" i="8" s="1"/>
  <c r="Q79" i="8"/>
  <c r="T78" i="8"/>
  <c r="V78" i="8" s="1"/>
  <c r="Q78" i="8"/>
  <c r="T77" i="8"/>
  <c r="V77" i="8" s="1"/>
  <c r="Q77" i="8"/>
  <c r="T76" i="8"/>
  <c r="V76" i="8" s="1"/>
  <c r="Q76" i="8"/>
  <c r="T75" i="8"/>
  <c r="V75" i="8" s="1"/>
  <c r="Q75" i="8"/>
  <c r="T74" i="8"/>
  <c r="V74" i="8" s="1"/>
  <c r="Q74" i="8"/>
  <c r="T73" i="8"/>
  <c r="V73" i="8" s="1"/>
  <c r="Q73" i="8"/>
  <c r="T72" i="8"/>
  <c r="V72" i="8" s="1"/>
  <c r="Q72" i="8"/>
  <c r="T71" i="8"/>
  <c r="V71" i="8" s="1"/>
  <c r="Q71" i="8"/>
  <c r="T70" i="8"/>
  <c r="V70" i="8" s="1"/>
  <c r="Q70" i="8"/>
  <c r="T69" i="8"/>
  <c r="V69" i="8" s="1"/>
  <c r="Q69" i="8"/>
  <c r="T68" i="8"/>
  <c r="V68" i="8" s="1"/>
  <c r="Q68" i="8"/>
  <c r="T67" i="8"/>
  <c r="V67" i="8" s="1"/>
  <c r="Q67" i="8"/>
  <c r="T66" i="8"/>
  <c r="V66" i="8" s="1"/>
  <c r="Q66" i="8"/>
  <c r="T65" i="8"/>
  <c r="V65" i="8" s="1"/>
  <c r="Q65" i="8"/>
  <c r="T64" i="8"/>
  <c r="V64" i="8" s="1"/>
  <c r="Q64" i="8"/>
  <c r="T63" i="8"/>
  <c r="V63" i="8" s="1"/>
  <c r="Q63" i="8"/>
  <c r="T62" i="8"/>
  <c r="V62" i="8" s="1"/>
  <c r="Q62" i="8"/>
  <c r="T61" i="8"/>
  <c r="V61" i="8" s="1"/>
  <c r="Q61" i="8"/>
  <c r="T60" i="8"/>
  <c r="V60" i="8" s="1"/>
  <c r="Q60" i="8"/>
  <c r="T59" i="8"/>
  <c r="V59" i="8" s="1"/>
  <c r="Q59" i="8"/>
  <c r="T58" i="8"/>
  <c r="V58" i="8" s="1"/>
  <c r="Q58" i="8"/>
  <c r="T57" i="8"/>
  <c r="V57" i="8" s="1"/>
  <c r="Q57" i="8"/>
  <c r="T56" i="8"/>
  <c r="V56" i="8" s="1"/>
  <c r="Q56" i="8"/>
  <c r="T55" i="8"/>
  <c r="V55" i="8" s="1"/>
  <c r="Q55" i="8"/>
  <c r="T54" i="8"/>
  <c r="V54" i="8" s="1"/>
  <c r="Q54" i="8"/>
  <c r="T53" i="8"/>
  <c r="V53" i="8" s="1"/>
  <c r="Q53" i="8"/>
  <c r="T52" i="8"/>
  <c r="V52" i="8" s="1"/>
  <c r="Q52" i="8"/>
  <c r="T51" i="8"/>
  <c r="V51" i="8" s="1"/>
  <c r="Q51" i="8"/>
  <c r="T50" i="8"/>
  <c r="V50" i="8" s="1"/>
  <c r="Q50" i="8"/>
  <c r="T49" i="8"/>
  <c r="V49" i="8" s="1"/>
  <c r="Q49" i="8"/>
  <c r="T48" i="8"/>
  <c r="V48" i="8" s="1"/>
  <c r="Q48" i="8"/>
  <c r="T47" i="8"/>
  <c r="V47" i="8" s="1"/>
  <c r="Q47" i="8"/>
  <c r="T46" i="8"/>
  <c r="V46" i="8" s="1"/>
  <c r="Q46" i="8"/>
  <c r="T45" i="8"/>
  <c r="V45" i="8" s="1"/>
  <c r="Q45" i="8"/>
  <c r="T44" i="8"/>
  <c r="V44" i="8" s="1"/>
  <c r="Q44" i="8"/>
  <c r="T43" i="8"/>
  <c r="V43" i="8" s="1"/>
  <c r="Q43" i="8"/>
  <c r="T42" i="8"/>
  <c r="V42" i="8" s="1"/>
  <c r="Q42" i="8"/>
  <c r="T41" i="8"/>
  <c r="V41" i="8" s="1"/>
  <c r="Q41" i="8"/>
  <c r="T40" i="8"/>
  <c r="V40" i="8" s="1"/>
  <c r="Q40" i="8"/>
  <c r="T39" i="8"/>
  <c r="V39" i="8" s="1"/>
  <c r="Q39" i="8"/>
  <c r="T38" i="8"/>
  <c r="V38" i="8" s="1"/>
  <c r="Q38" i="8"/>
  <c r="T37" i="8"/>
  <c r="V37" i="8" s="1"/>
  <c r="Q37" i="8"/>
  <c r="T36" i="8"/>
  <c r="V36" i="8" s="1"/>
  <c r="Q36" i="8"/>
  <c r="T35" i="8"/>
  <c r="V35" i="8" s="1"/>
  <c r="Q35" i="8"/>
  <c r="T34" i="8"/>
  <c r="V34" i="8" s="1"/>
  <c r="Q34" i="8"/>
  <c r="T33" i="8"/>
  <c r="V33" i="8" s="1"/>
  <c r="Q33" i="8"/>
  <c r="T32" i="8"/>
  <c r="V32" i="8" s="1"/>
  <c r="Q32" i="8"/>
  <c r="T31" i="8"/>
  <c r="V31" i="8" s="1"/>
  <c r="Q31" i="8"/>
  <c r="T30" i="8"/>
  <c r="V30" i="8" s="1"/>
  <c r="Q30" i="8"/>
  <c r="T29" i="8"/>
  <c r="V29" i="8" s="1"/>
  <c r="Q29" i="8"/>
  <c r="T28" i="8"/>
  <c r="V28" i="8" s="1"/>
  <c r="Q28" i="8"/>
  <c r="T27" i="8"/>
  <c r="V27" i="8" s="1"/>
  <c r="Q27" i="8"/>
  <c r="T26" i="8"/>
  <c r="V26" i="8" s="1"/>
  <c r="Q26" i="8"/>
  <c r="T25" i="8"/>
  <c r="V25" i="8" s="1"/>
  <c r="Q25" i="8"/>
  <c r="T24" i="8"/>
  <c r="V24" i="8" s="1"/>
  <c r="Q24" i="8"/>
  <c r="T23" i="8"/>
  <c r="V23" i="8" s="1"/>
  <c r="Q23" i="8"/>
  <c r="T22" i="8"/>
  <c r="V22" i="8" s="1"/>
  <c r="Q22" i="8"/>
  <c r="T21" i="8"/>
  <c r="V21" i="8" s="1"/>
  <c r="Q21" i="8"/>
  <c r="T20" i="8"/>
  <c r="V20" i="8" s="1"/>
  <c r="Q20" i="8"/>
  <c r="T19" i="8"/>
  <c r="V19" i="8" s="1"/>
  <c r="Q19" i="8"/>
  <c r="T18" i="8"/>
  <c r="V18" i="8" s="1"/>
  <c r="Q18" i="8"/>
  <c r="T17" i="8"/>
  <c r="V17" i="8" s="1"/>
  <c r="Q17" i="8"/>
  <c r="T16" i="8"/>
  <c r="V16" i="8" s="1"/>
  <c r="Q16" i="8"/>
  <c r="T15" i="8"/>
  <c r="V15" i="8" s="1"/>
  <c r="Q15" i="8"/>
  <c r="T14" i="8"/>
  <c r="V14" i="8" s="1"/>
  <c r="Q14" i="8"/>
  <c r="T13" i="8"/>
  <c r="V13" i="8" s="1"/>
  <c r="Q13" i="8"/>
  <c r="T12" i="8"/>
  <c r="V12" i="8" s="1"/>
  <c r="Q12" i="8"/>
  <c r="T11" i="8"/>
  <c r="V11" i="8" s="1"/>
  <c r="Q11" i="8"/>
  <c r="T10" i="8"/>
  <c r="V10" i="8" s="1"/>
  <c r="Q10" i="8"/>
  <c r="T9" i="8"/>
  <c r="V9" i="8" s="1"/>
  <c r="Q9" i="8"/>
  <c r="T8" i="8"/>
  <c r="V8" i="8" s="1"/>
  <c r="Q8" i="8"/>
  <c r="T7" i="8"/>
  <c r="V7" i="8" s="1"/>
  <c r="Q7" i="8"/>
  <c r="T6" i="8"/>
  <c r="V6" i="8" s="1"/>
  <c r="Q6" i="8"/>
  <c r="T5" i="8"/>
  <c r="V5" i="8" s="1"/>
  <c r="Q5" i="8"/>
  <c r="T4" i="8"/>
  <c r="V4" i="8" s="1"/>
  <c r="Q4" i="8"/>
  <c r="T3" i="8"/>
  <c r="V3" i="8" s="1"/>
  <c r="Q3" i="8"/>
  <c r="T2" i="8"/>
  <c r="V2" i="8" s="1"/>
  <c r="Q2" i="8"/>
  <c r="T76" i="7"/>
  <c r="V76" i="7" s="1"/>
  <c r="Q76" i="7"/>
  <c r="T75" i="7"/>
  <c r="V75" i="7" s="1"/>
  <c r="Q75" i="7"/>
  <c r="T74" i="7"/>
  <c r="V74" i="7" s="1"/>
  <c r="Q74" i="7"/>
  <c r="T73" i="7"/>
  <c r="V73" i="7" s="1"/>
  <c r="Q73" i="7"/>
  <c r="T72" i="7"/>
  <c r="V72" i="7" s="1"/>
  <c r="Q72" i="7"/>
  <c r="T71" i="7"/>
  <c r="V71" i="7" s="1"/>
  <c r="Q71" i="7"/>
  <c r="T70" i="7"/>
  <c r="V70" i="7" s="1"/>
  <c r="Q70" i="7"/>
  <c r="T69" i="7"/>
  <c r="V69" i="7" s="1"/>
  <c r="Q69" i="7"/>
  <c r="T68" i="7"/>
  <c r="V68" i="7" s="1"/>
  <c r="Q68" i="7"/>
  <c r="T67" i="7"/>
  <c r="V67" i="7" s="1"/>
  <c r="Q67" i="7"/>
  <c r="T66" i="7"/>
  <c r="V66" i="7" s="1"/>
  <c r="Q66" i="7"/>
  <c r="T65" i="7"/>
  <c r="V65" i="7" s="1"/>
  <c r="Q65" i="7"/>
  <c r="T64" i="7"/>
  <c r="V64" i="7" s="1"/>
  <c r="Q64" i="7"/>
  <c r="T63" i="7"/>
  <c r="V63" i="7" s="1"/>
  <c r="Q63" i="7"/>
  <c r="T62" i="7"/>
  <c r="V62" i="7" s="1"/>
  <c r="Q62" i="7"/>
  <c r="T61" i="7"/>
  <c r="V61" i="7" s="1"/>
  <c r="Q61" i="7"/>
  <c r="T60" i="7"/>
  <c r="V60" i="7" s="1"/>
  <c r="Q60" i="7"/>
  <c r="T59" i="7"/>
  <c r="V59" i="7" s="1"/>
  <c r="Q59" i="7"/>
  <c r="T58" i="7"/>
  <c r="V58" i="7" s="1"/>
  <c r="Q58" i="7"/>
  <c r="T57" i="7"/>
  <c r="V57" i="7" s="1"/>
  <c r="Q57" i="7"/>
  <c r="T56" i="7"/>
  <c r="V56" i="7" s="1"/>
  <c r="Q56" i="7"/>
  <c r="T55" i="7"/>
  <c r="V55" i="7" s="1"/>
  <c r="Q55" i="7"/>
  <c r="T54" i="7"/>
  <c r="V54" i="7" s="1"/>
  <c r="Q54" i="7"/>
  <c r="T53" i="7"/>
  <c r="V53" i="7" s="1"/>
  <c r="Q53" i="7"/>
  <c r="T52" i="7"/>
  <c r="V52" i="7" s="1"/>
  <c r="Q52" i="7"/>
  <c r="T51" i="7"/>
  <c r="V51" i="7" s="1"/>
  <c r="Q51" i="7"/>
  <c r="T50" i="7"/>
  <c r="V50" i="7" s="1"/>
  <c r="Q50" i="7"/>
  <c r="T49" i="7"/>
  <c r="V49" i="7" s="1"/>
  <c r="Q49" i="7"/>
  <c r="T48" i="7"/>
  <c r="V48" i="7" s="1"/>
  <c r="Q48" i="7"/>
  <c r="T47" i="7"/>
  <c r="V47" i="7" s="1"/>
  <c r="Q47" i="7"/>
  <c r="T46" i="7"/>
  <c r="V46" i="7" s="1"/>
  <c r="Q46" i="7"/>
  <c r="T45" i="7"/>
  <c r="V45" i="7" s="1"/>
  <c r="Q45" i="7"/>
  <c r="T44" i="7"/>
  <c r="V44" i="7" s="1"/>
  <c r="Q44" i="7"/>
  <c r="T43" i="7"/>
  <c r="V43" i="7" s="1"/>
  <c r="Q43" i="7"/>
  <c r="T42" i="7"/>
  <c r="V42" i="7" s="1"/>
  <c r="Q42" i="7"/>
  <c r="T41" i="7"/>
  <c r="V41" i="7" s="1"/>
  <c r="Q41" i="7"/>
  <c r="T40" i="7"/>
  <c r="V40" i="7" s="1"/>
  <c r="Q40" i="7"/>
  <c r="T39" i="7"/>
  <c r="V39" i="7" s="1"/>
  <c r="Q39" i="7"/>
  <c r="T38" i="7"/>
  <c r="V38" i="7" s="1"/>
  <c r="Q38" i="7"/>
  <c r="T37" i="7"/>
  <c r="V37" i="7" s="1"/>
  <c r="Q37" i="7"/>
  <c r="T36" i="7"/>
  <c r="V36" i="7" s="1"/>
  <c r="Q36" i="7"/>
  <c r="T35" i="7"/>
  <c r="V35" i="7" s="1"/>
  <c r="Q35" i="7"/>
  <c r="T34" i="7"/>
  <c r="V34" i="7" s="1"/>
  <c r="Q34" i="7"/>
  <c r="T33" i="7"/>
  <c r="V33" i="7" s="1"/>
  <c r="Q33" i="7"/>
  <c r="T32" i="7"/>
  <c r="V32" i="7" s="1"/>
  <c r="Q32" i="7"/>
  <c r="T31" i="7"/>
  <c r="V31" i="7" s="1"/>
  <c r="Q31" i="7"/>
  <c r="T30" i="7"/>
  <c r="V30" i="7" s="1"/>
  <c r="Q30" i="7"/>
  <c r="T29" i="7"/>
  <c r="V29" i="7" s="1"/>
  <c r="Q29" i="7"/>
  <c r="T28" i="7"/>
  <c r="V28" i="7" s="1"/>
  <c r="Q28" i="7"/>
  <c r="T27" i="7"/>
  <c r="V27" i="7" s="1"/>
  <c r="Q27" i="7"/>
  <c r="T26" i="7"/>
  <c r="V26" i="7" s="1"/>
  <c r="Q26" i="7"/>
  <c r="T25" i="7"/>
  <c r="V25" i="7" s="1"/>
  <c r="Q25" i="7"/>
  <c r="T24" i="7"/>
  <c r="V24" i="7" s="1"/>
  <c r="Q24" i="7"/>
  <c r="T23" i="7"/>
  <c r="V23" i="7" s="1"/>
  <c r="Q23" i="7"/>
  <c r="T22" i="7"/>
  <c r="V22" i="7" s="1"/>
  <c r="Q22" i="7"/>
  <c r="T21" i="7"/>
  <c r="V21" i="7" s="1"/>
  <c r="Q21" i="7"/>
  <c r="T20" i="7"/>
  <c r="V20" i="7" s="1"/>
  <c r="Q20" i="7"/>
  <c r="T19" i="7"/>
  <c r="V19" i="7" s="1"/>
  <c r="Q19" i="7"/>
  <c r="T18" i="7"/>
  <c r="V18" i="7" s="1"/>
  <c r="Q18" i="7"/>
  <c r="T17" i="7"/>
  <c r="V17" i="7" s="1"/>
  <c r="Q17" i="7"/>
  <c r="T16" i="7"/>
  <c r="V16" i="7" s="1"/>
  <c r="Q16" i="7"/>
  <c r="T15" i="7"/>
  <c r="V15" i="7" s="1"/>
  <c r="Q15" i="7"/>
  <c r="T14" i="7"/>
  <c r="V14" i="7" s="1"/>
  <c r="Q14" i="7"/>
  <c r="T13" i="7"/>
  <c r="V13" i="7" s="1"/>
  <c r="Q13" i="7"/>
  <c r="T12" i="7"/>
  <c r="V12" i="7" s="1"/>
  <c r="Q12" i="7"/>
  <c r="T11" i="7"/>
  <c r="V11" i="7" s="1"/>
  <c r="Q11" i="7"/>
  <c r="T10" i="7"/>
  <c r="V10" i="7" s="1"/>
  <c r="Q10" i="7"/>
  <c r="T9" i="7"/>
  <c r="V9" i="7" s="1"/>
  <c r="Q9" i="7"/>
  <c r="T8" i="7"/>
  <c r="V8" i="7" s="1"/>
  <c r="Q8" i="7"/>
  <c r="T7" i="7"/>
  <c r="V7" i="7" s="1"/>
  <c r="Q7" i="7"/>
  <c r="T6" i="7"/>
  <c r="V6" i="7" s="1"/>
  <c r="Q6" i="7"/>
  <c r="T5" i="7"/>
  <c r="V5" i="7" s="1"/>
  <c r="Q5" i="7"/>
  <c r="T4" i="7"/>
  <c r="V4" i="7" s="1"/>
  <c r="Q4" i="7"/>
  <c r="T3" i="7"/>
  <c r="V3" i="7" s="1"/>
  <c r="Q3" i="7"/>
  <c r="T2" i="7"/>
  <c r="V2" i="7" s="1"/>
  <c r="Q2" i="7"/>
  <c r="T79" i="6"/>
  <c r="V79" i="6" s="1"/>
  <c r="Q79" i="6"/>
  <c r="T78" i="6"/>
  <c r="V78" i="6" s="1"/>
  <c r="Q78" i="6"/>
  <c r="T77" i="6"/>
  <c r="V77" i="6" s="1"/>
  <c r="Q77" i="6"/>
  <c r="T73" i="6"/>
  <c r="V73" i="6" s="1"/>
  <c r="Q73" i="6"/>
  <c r="T72" i="6"/>
  <c r="V72" i="6" s="1"/>
  <c r="Q72" i="6"/>
  <c r="T71" i="6"/>
  <c r="V71" i="6" s="1"/>
  <c r="Q71" i="6"/>
  <c r="T70" i="6"/>
  <c r="V70" i="6" s="1"/>
  <c r="Q70" i="6"/>
  <c r="T69" i="6"/>
  <c r="V69" i="6" s="1"/>
  <c r="Q69" i="6"/>
  <c r="T68" i="6"/>
  <c r="V68" i="6" s="1"/>
  <c r="Q68" i="6"/>
  <c r="T67" i="6"/>
  <c r="V67" i="6" s="1"/>
  <c r="Q67" i="6"/>
  <c r="T66" i="6"/>
  <c r="V66" i="6" s="1"/>
  <c r="Q66" i="6"/>
  <c r="T65" i="6"/>
  <c r="V65" i="6" s="1"/>
  <c r="Q65" i="6"/>
  <c r="T64" i="6"/>
  <c r="V64" i="6" s="1"/>
  <c r="Q64" i="6"/>
  <c r="T63" i="6"/>
  <c r="V63" i="6" s="1"/>
  <c r="Q63" i="6"/>
  <c r="T62" i="6"/>
  <c r="V62" i="6" s="1"/>
  <c r="Q62" i="6"/>
  <c r="T61" i="6"/>
  <c r="V61" i="6" s="1"/>
  <c r="Q61" i="6"/>
  <c r="T60" i="6"/>
  <c r="V60" i="6" s="1"/>
  <c r="Q60" i="6"/>
  <c r="T59" i="6"/>
  <c r="V59" i="6" s="1"/>
  <c r="Q59" i="6"/>
  <c r="T58" i="6"/>
  <c r="V58" i="6" s="1"/>
  <c r="Q58" i="6"/>
  <c r="T57" i="6"/>
  <c r="V57" i="6" s="1"/>
  <c r="Q57" i="6"/>
  <c r="T56" i="6"/>
  <c r="V56" i="6" s="1"/>
  <c r="Q56" i="6"/>
  <c r="T55" i="6"/>
  <c r="V55" i="6" s="1"/>
  <c r="Q55" i="6"/>
  <c r="T54" i="6"/>
  <c r="V54" i="6" s="1"/>
  <c r="Q54" i="6"/>
  <c r="T53" i="6"/>
  <c r="V53" i="6" s="1"/>
  <c r="Q53" i="6"/>
  <c r="T52" i="6"/>
  <c r="V52" i="6" s="1"/>
  <c r="Q52" i="6"/>
  <c r="T51" i="6"/>
  <c r="V51" i="6" s="1"/>
  <c r="Q51" i="6"/>
  <c r="T50" i="6"/>
  <c r="V50" i="6" s="1"/>
  <c r="Q50" i="6"/>
  <c r="T49" i="6"/>
  <c r="V49" i="6" s="1"/>
  <c r="Q49" i="6"/>
  <c r="T48" i="6"/>
  <c r="V48" i="6" s="1"/>
  <c r="Q48" i="6"/>
  <c r="T47" i="6"/>
  <c r="V47" i="6" s="1"/>
  <c r="Q47" i="6"/>
  <c r="T46" i="6"/>
  <c r="V46" i="6" s="1"/>
  <c r="Q46" i="6"/>
  <c r="T45" i="6"/>
  <c r="V45" i="6" s="1"/>
  <c r="Q45" i="6"/>
  <c r="T44" i="6"/>
  <c r="V44" i="6" s="1"/>
  <c r="Q44" i="6"/>
  <c r="T43" i="6"/>
  <c r="V43" i="6" s="1"/>
  <c r="Q43" i="6"/>
  <c r="T42" i="6"/>
  <c r="V42" i="6" s="1"/>
  <c r="Q42" i="6"/>
  <c r="T41" i="6"/>
  <c r="V41" i="6" s="1"/>
  <c r="Q41" i="6"/>
  <c r="T40" i="6"/>
  <c r="V40" i="6" s="1"/>
  <c r="Q40" i="6"/>
  <c r="T39" i="6"/>
  <c r="V39" i="6" s="1"/>
  <c r="Q39" i="6"/>
  <c r="T38" i="6"/>
  <c r="V38" i="6" s="1"/>
  <c r="Q38" i="6"/>
  <c r="T37" i="6"/>
  <c r="V37" i="6" s="1"/>
  <c r="Q37" i="6"/>
  <c r="T36" i="6"/>
  <c r="V36" i="6" s="1"/>
  <c r="Q36" i="6"/>
  <c r="T35" i="6"/>
  <c r="V35" i="6" s="1"/>
  <c r="Q35" i="6"/>
  <c r="T34" i="6"/>
  <c r="V34" i="6" s="1"/>
  <c r="Q34" i="6"/>
  <c r="T33" i="6"/>
  <c r="V33" i="6" s="1"/>
  <c r="Q33" i="6"/>
  <c r="T32" i="6"/>
  <c r="V32" i="6" s="1"/>
  <c r="Q32" i="6"/>
  <c r="T31" i="6"/>
  <c r="V31" i="6" s="1"/>
  <c r="Q31" i="6"/>
  <c r="T30" i="6"/>
  <c r="V30" i="6" s="1"/>
  <c r="Q30" i="6"/>
  <c r="T29" i="6"/>
  <c r="V29" i="6" s="1"/>
  <c r="Q29" i="6"/>
  <c r="T28" i="6"/>
  <c r="V28" i="6" s="1"/>
  <c r="Q28" i="6"/>
  <c r="T27" i="6"/>
  <c r="V27" i="6" s="1"/>
  <c r="Q27" i="6"/>
  <c r="T26" i="6"/>
  <c r="V26" i="6" s="1"/>
  <c r="Q26" i="6"/>
  <c r="T25" i="6"/>
  <c r="V25" i="6" s="1"/>
  <c r="Q25" i="6"/>
  <c r="T24" i="6"/>
  <c r="V24" i="6" s="1"/>
  <c r="Q24" i="6"/>
  <c r="T23" i="6"/>
  <c r="V23" i="6" s="1"/>
  <c r="Q23" i="6"/>
  <c r="T22" i="6"/>
  <c r="V22" i="6" s="1"/>
  <c r="Q22" i="6"/>
  <c r="T21" i="6"/>
  <c r="V21" i="6" s="1"/>
  <c r="Q21" i="6"/>
  <c r="T20" i="6"/>
  <c r="V20" i="6" s="1"/>
  <c r="Q20" i="6"/>
  <c r="T19" i="6"/>
  <c r="V19" i="6" s="1"/>
  <c r="Q19" i="6"/>
  <c r="T18" i="6"/>
  <c r="V18" i="6" s="1"/>
  <c r="Q18" i="6"/>
  <c r="T17" i="6"/>
  <c r="V17" i="6" s="1"/>
  <c r="Q17" i="6"/>
  <c r="T16" i="6"/>
  <c r="V16" i="6" s="1"/>
  <c r="Q16" i="6"/>
  <c r="T15" i="6"/>
  <c r="V15" i="6" s="1"/>
  <c r="Q15" i="6"/>
  <c r="T14" i="6"/>
  <c r="V14" i="6" s="1"/>
  <c r="Q14" i="6"/>
  <c r="T13" i="6"/>
  <c r="V13" i="6" s="1"/>
  <c r="Q13" i="6"/>
  <c r="T12" i="6"/>
  <c r="V12" i="6" s="1"/>
  <c r="Q12" i="6"/>
  <c r="T11" i="6"/>
  <c r="V11" i="6" s="1"/>
  <c r="Q11" i="6"/>
  <c r="T10" i="6"/>
  <c r="V10" i="6" s="1"/>
  <c r="Q10" i="6"/>
  <c r="T9" i="6"/>
  <c r="V9" i="6" s="1"/>
  <c r="Q9" i="6"/>
  <c r="T8" i="6"/>
  <c r="V8" i="6" s="1"/>
  <c r="Q8" i="6"/>
  <c r="T7" i="6"/>
  <c r="V7" i="6" s="1"/>
  <c r="Q7" i="6"/>
  <c r="T6" i="6"/>
  <c r="V6" i="6" s="1"/>
  <c r="Q6" i="6"/>
  <c r="T5" i="6"/>
  <c r="V5" i="6" s="1"/>
  <c r="Q5" i="6"/>
  <c r="T4" i="6"/>
  <c r="V4" i="6" s="1"/>
  <c r="Q4" i="6"/>
  <c r="T3" i="6"/>
  <c r="V3" i="6" s="1"/>
  <c r="Q3" i="6"/>
  <c r="T2" i="6"/>
  <c r="V2" i="6" s="1"/>
  <c r="Q2" i="6"/>
  <c r="Q216" i="5" l="1"/>
  <c r="Q215" i="5"/>
  <c r="Q214" i="5"/>
  <c r="Q213" i="5"/>
  <c r="Q212" i="5"/>
  <c r="Q211" i="5"/>
  <c r="Q210" i="5"/>
  <c r="Q209" i="5"/>
  <c r="Q208" i="5"/>
  <c r="Q207" i="5"/>
  <c r="Q206" i="5"/>
  <c r="Q205" i="5"/>
  <c r="Q204" i="5"/>
  <c r="Q203" i="5"/>
  <c r="Q202" i="5"/>
  <c r="Q201" i="5"/>
  <c r="Q200" i="5"/>
  <c r="Q199" i="5"/>
  <c r="Q198" i="5"/>
  <c r="Q197" i="5"/>
  <c r="Q196" i="5"/>
  <c r="Q195" i="5"/>
  <c r="Q194" i="5"/>
  <c r="Q193" i="5"/>
  <c r="Q192" i="5"/>
  <c r="Q191" i="5"/>
  <c r="Q190" i="5"/>
  <c r="Q189" i="5"/>
  <c r="Q188" i="5"/>
  <c r="Q187" i="5"/>
  <c r="Q186" i="5"/>
  <c r="Q185" i="5"/>
  <c r="Q184" i="5"/>
  <c r="Q183" i="5"/>
  <c r="Q182" i="5"/>
  <c r="Q181" i="5"/>
  <c r="Q180" i="5"/>
  <c r="Q179" i="5"/>
  <c r="Q178" i="5"/>
  <c r="Q177" i="5"/>
  <c r="Q176" i="5"/>
  <c r="Q175" i="5"/>
  <c r="Q174" i="5"/>
  <c r="Q173" i="5"/>
  <c r="Q172" i="5"/>
  <c r="Q171" i="5"/>
  <c r="Q170" i="5"/>
  <c r="Q169" i="5"/>
  <c r="Q168" i="5"/>
  <c r="Q167" i="5"/>
  <c r="Q166" i="5"/>
  <c r="Q165" i="5"/>
  <c r="Q164" i="5"/>
  <c r="Q163" i="5"/>
  <c r="Q162" i="5"/>
  <c r="Q161" i="5"/>
  <c r="Q160" i="5"/>
  <c r="Q159" i="5"/>
  <c r="Q158" i="5"/>
  <c r="Q157" i="5"/>
  <c r="Q156" i="5"/>
  <c r="Q155" i="5"/>
  <c r="Q154" i="5"/>
  <c r="Q153" i="5"/>
  <c r="Q152" i="5"/>
  <c r="Q151" i="5"/>
  <c r="Q150" i="5"/>
  <c r="V149" i="5"/>
  <c r="T149" i="5"/>
  <c r="Q149" i="5"/>
  <c r="V148" i="5"/>
  <c r="T148" i="5"/>
  <c r="Q148" i="5"/>
  <c r="V147" i="5"/>
  <c r="T147" i="5"/>
  <c r="Q147" i="5"/>
  <c r="V146" i="5"/>
  <c r="T146" i="5"/>
  <c r="Q146" i="5"/>
  <c r="V145" i="5"/>
  <c r="T145" i="5"/>
  <c r="Q145" i="5"/>
  <c r="V144" i="5"/>
  <c r="T144" i="5"/>
  <c r="Q144" i="5"/>
  <c r="V143" i="5"/>
  <c r="T143" i="5"/>
  <c r="Q143" i="5"/>
  <c r="V142" i="5"/>
  <c r="T142" i="5"/>
  <c r="Q142" i="5"/>
  <c r="V141" i="5"/>
  <c r="T141" i="5"/>
  <c r="Q141" i="5"/>
  <c r="V140" i="5"/>
  <c r="T140" i="5"/>
  <c r="Q140" i="5"/>
  <c r="V139" i="5"/>
  <c r="T139" i="5"/>
  <c r="Q139" i="5"/>
  <c r="V138" i="5"/>
  <c r="T138" i="5"/>
  <c r="Q138" i="5"/>
  <c r="V137" i="5"/>
  <c r="T137" i="5"/>
  <c r="Q137" i="5"/>
  <c r="V136" i="5"/>
  <c r="T136" i="5"/>
  <c r="Q136" i="5"/>
  <c r="V135" i="5"/>
  <c r="T135" i="5"/>
  <c r="Q135" i="5"/>
  <c r="V134" i="5"/>
  <c r="T134" i="5"/>
  <c r="Q134" i="5"/>
  <c r="V133" i="5"/>
  <c r="T133" i="5"/>
  <c r="Q133" i="5"/>
  <c r="V132" i="5"/>
  <c r="T132" i="5"/>
  <c r="Q132" i="5"/>
  <c r="V131" i="5"/>
  <c r="T131" i="5"/>
  <c r="Q131" i="5"/>
  <c r="V130" i="5"/>
  <c r="T130" i="5"/>
  <c r="Q130" i="5"/>
  <c r="V129" i="5"/>
  <c r="T129" i="5"/>
  <c r="Q129" i="5"/>
  <c r="V128" i="5"/>
  <c r="T128" i="5"/>
  <c r="Q128" i="5"/>
  <c r="V127" i="5"/>
  <c r="T127" i="5"/>
  <c r="Q127" i="5"/>
  <c r="V126" i="5"/>
  <c r="T126" i="5"/>
  <c r="Q126" i="5"/>
  <c r="V125" i="5"/>
  <c r="T125" i="5"/>
  <c r="Q125" i="5"/>
  <c r="V124" i="5"/>
  <c r="T124" i="5"/>
  <c r="Q124" i="5"/>
  <c r="V123" i="5"/>
  <c r="T123" i="5"/>
  <c r="Q123" i="5"/>
  <c r="V122" i="5"/>
  <c r="T122" i="5"/>
  <c r="Q122" i="5"/>
  <c r="V121" i="5"/>
  <c r="T121" i="5"/>
  <c r="Q121" i="5"/>
  <c r="V120" i="5"/>
  <c r="T120" i="5"/>
  <c r="Q120" i="5"/>
  <c r="V119" i="5"/>
  <c r="T119" i="5"/>
  <c r="Q119" i="5"/>
  <c r="V118" i="5"/>
  <c r="T118" i="5"/>
  <c r="Q118" i="5"/>
  <c r="V117" i="5"/>
  <c r="T117" i="5"/>
  <c r="Q117" i="5"/>
  <c r="V116" i="5"/>
  <c r="T116" i="5"/>
  <c r="Q116" i="5"/>
  <c r="V115" i="5"/>
  <c r="T115" i="5"/>
  <c r="Q115" i="5"/>
  <c r="V114" i="5"/>
  <c r="T114" i="5"/>
  <c r="Q114" i="5"/>
  <c r="V113" i="5"/>
  <c r="T113" i="5"/>
  <c r="Q113" i="5"/>
  <c r="V112" i="5"/>
  <c r="T112" i="5"/>
  <c r="Q112" i="5"/>
  <c r="V111" i="5"/>
  <c r="T111" i="5"/>
  <c r="Q111" i="5"/>
  <c r="V110" i="5"/>
  <c r="T110" i="5"/>
  <c r="Q110" i="5"/>
  <c r="V109" i="5"/>
  <c r="T109" i="5"/>
  <c r="Q109" i="5"/>
  <c r="V108" i="5"/>
  <c r="T108" i="5"/>
  <c r="Q108" i="5"/>
  <c r="V107" i="5"/>
  <c r="T107" i="5"/>
  <c r="Q107" i="5"/>
  <c r="V106" i="5"/>
  <c r="T106" i="5"/>
  <c r="Q106" i="5"/>
  <c r="V105" i="5"/>
  <c r="T105" i="5"/>
  <c r="Q105" i="5"/>
  <c r="V104" i="5"/>
  <c r="T104" i="5"/>
  <c r="Q104" i="5"/>
  <c r="V103" i="5"/>
  <c r="T103" i="5"/>
  <c r="Q103" i="5"/>
  <c r="V102" i="5"/>
  <c r="T102" i="5"/>
  <c r="Q102" i="5"/>
  <c r="V101" i="5"/>
  <c r="T101" i="5"/>
  <c r="Q101" i="5"/>
  <c r="V100" i="5"/>
  <c r="T100" i="5"/>
  <c r="Q100" i="5"/>
  <c r="V99" i="5"/>
  <c r="T99" i="5"/>
  <c r="Q99" i="5"/>
  <c r="V98" i="5"/>
  <c r="T98" i="5"/>
  <c r="Q98" i="5"/>
  <c r="V97" i="5"/>
  <c r="T97" i="5"/>
  <c r="Q97" i="5"/>
  <c r="V96" i="5"/>
  <c r="T96" i="5"/>
  <c r="Q96" i="5"/>
  <c r="V95" i="5"/>
  <c r="T95" i="5"/>
  <c r="Q95" i="5"/>
  <c r="V94" i="5"/>
  <c r="T94" i="5"/>
  <c r="Q94" i="5"/>
  <c r="V93" i="5"/>
  <c r="T93" i="5"/>
  <c r="Q93" i="5"/>
  <c r="V92" i="5"/>
  <c r="T92" i="5"/>
  <c r="Q92" i="5"/>
  <c r="V91" i="5"/>
  <c r="T91" i="5"/>
  <c r="Q91" i="5"/>
  <c r="V90" i="5"/>
  <c r="T90" i="5"/>
  <c r="Q90" i="5"/>
  <c r="V89" i="5"/>
  <c r="T89" i="5"/>
  <c r="Q89" i="5"/>
  <c r="V88" i="5"/>
  <c r="T88" i="5"/>
  <c r="Q88" i="5"/>
  <c r="V87" i="5"/>
  <c r="T87" i="5"/>
  <c r="Q87" i="5"/>
  <c r="V86" i="5"/>
  <c r="T86" i="5"/>
  <c r="Q86" i="5"/>
  <c r="V85" i="5"/>
  <c r="T85" i="5"/>
  <c r="Q85" i="5"/>
  <c r="V84" i="5"/>
  <c r="T84" i="5"/>
  <c r="Q84" i="5"/>
  <c r="V83" i="5"/>
  <c r="T83" i="5"/>
  <c r="Q83" i="5"/>
  <c r="V82" i="5"/>
  <c r="T82" i="5"/>
  <c r="Q82" i="5"/>
  <c r="V81" i="5"/>
  <c r="T81" i="5"/>
  <c r="Q81" i="5"/>
  <c r="V80" i="5"/>
  <c r="T80" i="5"/>
  <c r="Q80" i="5"/>
  <c r="V79" i="5"/>
  <c r="T79" i="5"/>
  <c r="Q79" i="5"/>
  <c r="V78" i="5"/>
  <c r="T78" i="5"/>
  <c r="Q78" i="5"/>
  <c r="V77" i="5"/>
  <c r="T77" i="5"/>
  <c r="Q77" i="5"/>
  <c r="V76" i="5"/>
  <c r="T76" i="5"/>
  <c r="Q76" i="5"/>
  <c r="V75" i="5"/>
  <c r="T75" i="5"/>
  <c r="Q75" i="5"/>
  <c r="V74" i="5"/>
  <c r="T74" i="5"/>
  <c r="Q74" i="5"/>
  <c r="V73" i="5"/>
  <c r="T73" i="5"/>
  <c r="Q73" i="5"/>
  <c r="V72" i="5"/>
  <c r="T72" i="5"/>
  <c r="Q72" i="5"/>
  <c r="V71" i="5"/>
  <c r="T71" i="5"/>
  <c r="Q71" i="5"/>
  <c r="V70" i="5"/>
  <c r="T70" i="5"/>
  <c r="Q70" i="5"/>
  <c r="V69" i="5"/>
  <c r="T69" i="5"/>
  <c r="Q69" i="5"/>
  <c r="V68" i="5"/>
  <c r="T68" i="5"/>
  <c r="Q68" i="5"/>
  <c r="V67" i="5"/>
  <c r="T67" i="5"/>
  <c r="Q67" i="5"/>
  <c r="V66" i="5"/>
  <c r="T66" i="5"/>
  <c r="Q66" i="5"/>
  <c r="V65" i="5"/>
  <c r="T65" i="5"/>
  <c r="Q65" i="5"/>
  <c r="V64" i="5"/>
  <c r="T64" i="5"/>
  <c r="Q64" i="5"/>
  <c r="V63" i="5"/>
  <c r="T63" i="5"/>
  <c r="Q63" i="5"/>
  <c r="V62" i="5"/>
  <c r="T62" i="5"/>
  <c r="Q62" i="5"/>
  <c r="V61" i="5"/>
  <c r="T61" i="5"/>
  <c r="Q61" i="5"/>
  <c r="V60" i="5"/>
  <c r="T60" i="5"/>
  <c r="Q60" i="5"/>
  <c r="V59" i="5"/>
  <c r="T59" i="5"/>
  <c r="Q59" i="5"/>
  <c r="V58" i="5"/>
  <c r="T58" i="5"/>
  <c r="Q58" i="5"/>
  <c r="V57" i="5"/>
  <c r="T57" i="5"/>
  <c r="Q57" i="5"/>
  <c r="V56" i="5"/>
  <c r="T56" i="5"/>
  <c r="Q56" i="5"/>
  <c r="V55" i="5"/>
  <c r="T55" i="5"/>
  <c r="Q55" i="5"/>
  <c r="V54" i="5"/>
  <c r="T54" i="5"/>
  <c r="Q54" i="5"/>
  <c r="V53" i="5"/>
  <c r="T53" i="5"/>
  <c r="Q53" i="5"/>
  <c r="V52" i="5"/>
  <c r="T52" i="5"/>
  <c r="Q52" i="5"/>
  <c r="V51" i="5"/>
  <c r="T51" i="5"/>
  <c r="Q51" i="5"/>
  <c r="V50" i="5"/>
  <c r="T50" i="5"/>
  <c r="Q50" i="5"/>
  <c r="V49" i="5"/>
  <c r="T49" i="5"/>
  <c r="Q49" i="5"/>
  <c r="V48" i="5"/>
  <c r="T48" i="5"/>
  <c r="Q48" i="5"/>
  <c r="V47" i="5"/>
  <c r="T47" i="5"/>
  <c r="Q47" i="5"/>
  <c r="V46" i="5"/>
  <c r="T46" i="5"/>
  <c r="Q46" i="5"/>
  <c r="V45" i="5"/>
  <c r="T45" i="5"/>
  <c r="Q45" i="5"/>
  <c r="V44" i="5"/>
  <c r="T44" i="5"/>
  <c r="Q44" i="5"/>
  <c r="V43" i="5"/>
  <c r="T43" i="5"/>
  <c r="Q43" i="5"/>
  <c r="V42" i="5"/>
  <c r="T42" i="5"/>
  <c r="Q42" i="5"/>
  <c r="V41" i="5"/>
  <c r="T41" i="5"/>
  <c r="Q41" i="5"/>
  <c r="V40" i="5"/>
  <c r="T40" i="5"/>
  <c r="Q40" i="5"/>
  <c r="V39" i="5"/>
  <c r="T39" i="5"/>
  <c r="Q39" i="5"/>
  <c r="V38" i="5"/>
  <c r="T38" i="5"/>
  <c r="Q38" i="5"/>
  <c r="V37" i="5"/>
  <c r="T37" i="5"/>
  <c r="Q37" i="5"/>
  <c r="V36" i="5"/>
  <c r="T36" i="5"/>
  <c r="Q36" i="5"/>
  <c r="V35" i="5"/>
  <c r="T35" i="5"/>
  <c r="Q35" i="5"/>
  <c r="V34" i="5"/>
  <c r="T34" i="5"/>
  <c r="Q34" i="5"/>
  <c r="V33" i="5"/>
  <c r="T33" i="5"/>
  <c r="Q33" i="5"/>
  <c r="V32" i="5"/>
  <c r="T32" i="5"/>
  <c r="Q32" i="5"/>
  <c r="V31" i="5"/>
  <c r="T31" i="5"/>
  <c r="Q31" i="5"/>
  <c r="V30" i="5"/>
  <c r="T30" i="5"/>
  <c r="Q30" i="5"/>
  <c r="V29" i="5"/>
  <c r="T29" i="5"/>
  <c r="Q29" i="5"/>
  <c r="V28" i="5"/>
  <c r="T28" i="5"/>
  <c r="Q28" i="5"/>
  <c r="V27" i="5"/>
  <c r="T27" i="5"/>
  <c r="Q27" i="5"/>
  <c r="V26" i="5"/>
  <c r="T26" i="5"/>
  <c r="Q26" i="5"/>
  <c r="V25" i="5"/>
  <c r="T25" i="5"/>
  <c r="Q25" i="5"/>
  <c r="V24" i="5"/>
  <c r="T24" i="5"/>
  <c r="Q24" i="5"/>
  <c r="V23" i="5"/>
  <c r="T23" i="5"/>
  <c r="Q23" i="5"/>
  <c r="V22" i="5"/>
  <c r="T22" i="5"/>
  <c r="Q22" i="5"/>
  <c r="V21" i="5"/>
  <c r="T21" i="5"/>
  <c r="Q21" i="5"/>
  <c r="V20" i="5"/>
  <c r="T20" i="5"/>
  <c r="Q20" i="5"/>
  <c r="V19" i="5"/>
  <c r="T19" i="5"/>
  <c r="Q19" i="5"/>
  <c r="V18" i="5"/>
  <c r="T18" i="5"/>
  <c r="Q18" i="5"/>
  <c r="V17" i="5"/>
  <c r="T17" i="5"/>
  <c r="Q17" i="5"/>
  <c r="V16" i="5"/>
  <c r="T16" i="5"/>
  <c r="Q16" i="5"/>
  <c r="V15" i="5"/>
  <c r="T15" i="5"/>
  <c r="Q15" i="5"/>
  <c r="V14" i="5"/>
  <c r="T14" i="5"/>
  <c r="Q14" i="5"/>
  <c r="V13" i="5"/>
  <c r="T13" i="5"/>
  <c r="Q13" i="5"/>
  <c r="V12" i="5"/>
  <c r="T12" i="5"/>
  <c r="Q12" i="5"/>
  <c r="V11" i="5"/>
  <c r="T11" i="5"/>
  <c r="Q11" i="5"/>
  <c r="V10" i="5"/>
  <c r="T10" i="5"/>
  <c r="Q10" i="5"/>
  <c r="V9" i="5"/>
  <c r="T9" i="5"/>
  <c r="Q9" i="5"/>
  <c r="V8" i="5"/>
  <c r="T8" i="5"/>
  <c r="Q8" i="5"/>
  <c r="V7" i="5"/>
  <c r="T7" i="5"/>
  <c r="Q7" i="5"/>
  <c r="V6" i="5"/>
  <c r="T6" i="5"/>
  <c r="Q6" i="5"/>
  <c r="V5" i="5"/>
  <c r="T5" i="5"/>
  <c r="Q5" i="5"/>
  <c r="V4" i="5"/>
  <c r="T4" i="5"/>
  <c r="Q4" i="5"/>
  <c r="V3" i="5"/>
  <c r="T3" i="5"/>
  <c r="Q3" i="5"/>
  <c r="V2" i="5"/>
  <c r="T2" i="5"/>
  <c r="Q2" i="5"/>
  <c r="T263" i="4" l="1"/>
  <c r="V263" i="4" s="1"/>
  <c r="T262" i="4"/>
  <c r="V262" i="4" s="1"/>
  <c r="T261" i="4"/>
  <c r="V261" i="4" s="1"/>
  <c r="T260" i="4"/>
  <c r="V260" i="4" s="1"/>
  <c r="T259" i="4"/>
  <c r="V259" i="4" s="1"/>
  <c r="T258" i="4"/>
  <c r="V258" i="4" s="1"/>
  <c r="T257" i="4"/>
  <c r="V257" i="4" s="1"/>
  <c r="T256" i="4"/>
  <c r="V256" i="4" s="1"/>
  <c r="T255" i="4"/>
  <c r="V255" i="4" s="1"/>
  <c r="T254" i="4"/>
  <c r="V254" i="4" s="1"/>
  <c r="T253" i="4"/>
  <c r="V253" i="4" s="1"/>
  <c r="T252" i="4"/>
  <c r="V252" i="4" s="1"/>
  <c r="T251" i="4"/>
  <c r="V251" i="4" s="1"/>
  <c r="T250" i="4"/>
  <c r="V250" i="4" s="1"/>
  <c r="T249" i="4"/>
  <c r="V249" i="4" s="1"/>
  <c r="T248" i="4"/>
  <c r="V248" i="4" s="1"/>
  <c r="T247" i="4"/>
  <c r="V247" i="4" s="1"/>
  <c r="T246" i="4"/>
  <c r="V246" i="4" s="1"/>
  <c r="T245" i="4"/>
  <c r="V245" i="4" s="1"/>
  <c r="T244" i="4"/>
  <c r="V244" i="4" s="1"/>
  <c r="T243" i="4"/>
  <c r="V243" i="4" s="1"/>
  <c r="T242" i="4"/>
  <c r="V242" i="4" s="1"/>
  <c r="T241" i="4"/>
  <c r="V241" i="4" s="1"/>
  <c r="T240" i="4"/>
  <c r="V240" i="4" s="1"/>
  <c r="T239" i="4"/>
  <c r="V239" i="4" s="1"/>
  <c r="T238" i="4"/>
  <c r="V238" i="4" s="1"/>
  <c r="T237" i="4"/>
  <c r="V237" i="4" s="1"/>
  <c r="T236" i="4"/>
  <c r="V236" i="4" s="1"/>
  <c r="T235" i="4"/>
  <c r="V235" i="4" s="1"/>
  <c r="T234" i="4"/>
  <c r="V234" i="4" s="1"/>
  <c r="T233" i="4"/>
  <c r="V233" i="4" s="1"/>
  <c r="T232" i="4"/>
  <c r="V232" i="4" s="1"/>
  <c r="T231" i="4"/>
  <c r="V231" i="4" s="1"/>
  <c r="T230" i="4"/>
  <c r="V230" i="4" s="1"/>
  <c r="T229" i="4"/>
  <c r="V229" i="4" s="1"/>
  <c r="T228" i="4"/>
  <c r="V228" i="4" s="1"/>
  <c r="T227" i="4"/>
  <c r="V227" i="4" s="1"/>
  <c r="T226" i="4"/>
  <c r="V226" i="4" s="1"/>
  <c r="T225" i="4"/>
  <c r="V225" i="4" s="1"/>
  <c r="T224" i="4"/>
  <c r="V224" i="4" s="1"/>
  <c r="T223" i="4"/>
  <c r="V223" i="4" s="1"/>
  <c r="T222" i="4"/>
  <c r="V222" i="4" s="1"/>
  <c r="T221" i="4"/>
  <c r="V221" i="4" s="1"/>
  <c r="T220" i="4"/>
  <c r="V220" i="4" s="1"/>
  <c r="T219" i="4"/>
  <c r="V219" i="4" s="1"/>
  <c r="T218" i="4"/>
  <c r="V218" i="4" s="1"/>
  <c r="T217" i="4"/>
  <c r="V217" i="4" s="1"/>
  <c r="T216" i="4"/>
  <c r="V216" i="4" s="1"/>
  <c r="T215" i="4"/>
  <c r="V215" i="4" s="1"/>
  <c r="T214" i="4"/>
  <c r="V214" i="4" s="1"/>
  <c r="T213" i="4"/>
  <c r="V213" i="4" s="1"/>
  <c r="T212" i="4"/>
  <c r="V212" i="4" s="1"/>
  <c r="T211" i="4"/>
  <c r="V211" i="4" s="1"/>
  <c r="T210" i="4"/>
  <c r="V210" i="4" s="1"/>
  <c r="T209" i="4"/>
  <c r="V209" i="4" s="1"/>
  <c r="T208" i="4"/>
  <c r="V208" i="4" s="1"/>
  <c r="T207" i="4"/>
  <c r="V207" i="4" s="1"/>
  <c r="T206" i="4"/>
  <c r="V206" i="4" s="1"/>
  <c r="T205" i="4"/>
  <c r="V205" i="4" s="1"/>
  <c r="T204" i="4"/>
  <c r="V204" i="4" s="1"/>
  <c r="T203" i="4"/>
  <c r="V203" i="4" s="1"/>
  <c r="T202" i="4"/>
  <c r="V202" i="4" s="1"/>
  <c r="T201" i="4"/>
  <c r="V201" i="4" s="1"/>
  <c r="T200" i="4"/>
  <c r="V200" i="4" s="1"/>
  <c r="T199" i="4"/>
  <c r="V199" i="4" s="1"/>
  <c r="T198" i="4"/>
  <c r="V198" i="4" s="1"/>
  <c r="T197" i="4"/>
  <c r="V197" i="4" s="1"/>
  <c r="T196" i="4"/>
  <c r="V196" i="4" s="1"/>
  <c r="T195" i="4"/>
  <c r="V195" i="4" s="1"/>
  <c r="T194" i="4"/>
  <c r="V194" i="4" s="1"/>
  <c r="T193" i="4"/>
  <c r="V193" i="4" s="1"/>
  <c r="T192" i="4"/>
  <c r="V192" i="4" s="1"/>
  <c r="T191" i="4"/>
  <c r="V191" i="4" s="1"/>
  <c r="T190" i="4"/>
  <c r="V190" i="4" s="1"/>
  <c r="T189" i="4"/>
  <c r="V189" i="4" s="1"/>
  <c r="T188" i="4"/>
  <c r="V188" i="4" s="1"/>
  <c r="T187" i="4"/>
  <c r="V187" i="4" s="1"/>
  <c r="T186" i="4"/>
  <c r="V186" i="4" s="1"/>
  <c r="T185" i="4"/>
  <c r="V185" i="4" s="1"/>
  <c r="T184" i="4"/>
  <c r="V184" i="4" s="1"/>
  <c r="T183" i="4"/>
  <c r="V183" i="4" s="1"/>
  <c r="T182" i="4"/>
  <c r="V182" i="4" s="1"/>
  <c r="T181" i="4"/>
  <c r="V181" i="4" s="1"/>
  <c r="T180" i="4"/>
  <c r="V180" i="4" s="1"/>
  <c r="T179" i="4"/>
  <c r="V179" i="4" s="1"/>
  <c r="T178" i="4"/>
  <c r="V178" i="4" s="1"/>
  <c r="T177" i="4"/>
  <c r="V177" i="4" s="1"/>
  <c r="T176" i="4"/>
  <c r="V176" i="4" s="1"/>
  <c r="T175" i="4"/>
  <c r="V175" i="4" s="1"/>
  <c r="T174" i="4"/>
  <c r="V174" i="4" s="1"/>
  <c r="T173" i="4"/>
  <c r="V173" i="4" s="1"/>
  <c r="T172" i="4"/>
  <c r="V172" i="4" s="1"/>
  <c r="T171" i="4"/>
  <c r="V171" i="4" s="1"/>
  <c r="T170" i="4"/>
  <c r="V170" i="4" s="1"/>
  <c r="T169" i="4"/>
  <c r="V169" i="4" s="1"/>
  <c r="T168" i="4"/>
  <c r="V168" i="4" s="1"/>
  <c r="T167" i="4"/>
  <c r="V167" i="4" s="1"/>
  <c r="T166" i="4"/>
  <c r="V166" i="4" s="1"/>
  <c r="T165" i="4"/>
  <c r="V165" i="4" s="1"/>
  <c r="T164" i="4"/>
  <c r="V164" i="4" s="1"/>
  <c r="T163" i="4"/>
  <c r="V163" i="4" s="1"/>
  <c r="T162" i="4"/>
  <c r="V162" i="4" s="1"/>
  <c r="T161" i="4"/>
  <c r="V161" i="4" s="1"/>
  <c r="T160" i="4"/>
  <c r="V160" i="4" s="1"/>
  <c r="T159" i="4"/>
  <c r="V159" i="4" s="1"/>
  <c r="T158" i="4"/>
  <c r="V158" i="4" s="1"/>
  <c r="T157" i="4"/>
  <c r="V157" i="4" s="1"/>
  <c r="T156" i="4"/>
  <c r="V156" i="4" s="1"/>
  <c r="T155" i="4"/>
  <c r="V155" i="4" s="1"/>
  <c r="T154" i="4"/>
  <c r="V154" i="4" s="1"/>
  <c r="T153" i="4"/>
  <c r="V153" i="4" s="1"/>
  <c r="T152" i="4"/>
  <c r="V152" i="4" s="1"/>
  <c r="T151" i="4"/>
  <c r="V151" i="4" s="1"/>
  <c r="T150" i="4"/>
  <c r="V150" i="4" s="1"/>
  <c r="T149" i="4"/>
  <c r="V149" i="4" s="1"/>
  <c r="T148" i="4"/>
  <c r="V148" i="4" s="1"/>
  <c r="T147" i="4"/>
  <c r="V147" i="4" s="1"/>
  <c r="T146" i="4"/>
  <c r="V146" i="4" s="1"/>
  <c r="T145" i="4"/>
  <c r="V145" i="4" s="1"/>
  <c r="T144" i="4"/>
  <c r="V144" i="4" s="1"/>
  <c r="T143" i="4"/>
  <c r="V143" i="4" s="1"/>
  <c r="T142" i="4"/>
  <c r="V142" i="4" s="1"/>
  <c r="T141" i="4"/>
  <c r="V141" i="4" s="1"/>
  <c r="T140" i="4"/>
  <c r="V140" i="4" s="1"/>
  <c r="T139" i="4"/>
  <c r="V139" i="4" s="1"/>
  <c r="T138" i="4"/>
  <c r="V138" i="4" s="1"/>
  <c r="T137" i="4"/>
  <c r="V137" i="4" s="1"/>
  <c r="T136" i="4"/>
  <c r="V136" i="4" s="1"/>
  <c r="T135" i="4"/>
  <c r="V135" i="4" s="1"/>
  <c r="T134" i="4"/>
  <c r="V134" i="4" s="1"/>
  <c r="T133" i="4"/>
  <c r="V133" i="4" s="1"/>
  <c r="T132" i="4"/>
  <c r="V132" i="4" s="1"/>
  <c r="T131" i="4"/>
  <c r="V131" i="4" s="1"/>
  <c r="T130" i="4"/>
  <c r="V130" i="4" s="1"/>
  <c r="T129" i="4"/>
  <c r="V129" i="4" s="1"/>
  <c r="T128" i="4"/>
  <c r="V128" i="4" s="1"/>
  <c r="T127" i="4"/>
  <c r="V127" i="4" s="1"/>
  <c r="T126" i="4"/>
  <c r="V126" i="4" s="1"/>
  <c r="T125" i="4"/>
  <c r="V125" i="4" s="1"/>
  <c r="T124" i="4"/>
  <c r="V124" i="4" s="1"/>
  <c r="T123" i="4"/>
  <c r="V123" i="4" s="1"/>
  <c r="T122" i="4"/>
  <c r="V122" i="4" s="1"/>
  <c r="T121" i="4"/>
  <c r="V121" i="4" s="1"/>
  <c r="T120" i="4"/>
  <c r="V120" i="4" s="1"/>
  <c r="T119" i="4"/>
  <c r="V119" i="4" s="1"/>
  <c r="T118" i="4"/>
  <c r="V118" i="4" s="1"/>
  <c r="T117" i="4"/>
  <c r="V117" i="4" s="1"/>
  <c r="T116" i="4"/>
  <c r="V116" i="4" s="1"/>
  <c r="T115" i="4"/>
  <c r="V115" i="4" s="1"/>
  <c r="T114" i="4"/>
  <c r="V114" i="4" s="1"/>
  <c r="T113" i="4"/>
  <c r="V113" i="4" s="1"/>
  <c r="T112" i="4"/>
  <c r="V112" i="4" s="1"/>
  <c r="T111" i="4"/>
  <c r="V111" i="4" s="1"/>
  <c r="T110" i="4"/>
  <c r="V110" i="4" s="1"/>
  <c r="T109" i="4"/>
  <c r="V109" i="4" s="1"/>
  <c r="T108" i="4"/>
  <c r="V108" i="4" s="1"/>
  <c r="T107" i="4"/>
  <c r="V107" i="4" s="1"/>
  <c r="T106" i="4"/>
  <c r="V106" i="4" s="1"/>
  <c r="T105" i="4"/>
  <c r="V105" i="4" s="1"/>
  <c r="T104" i="4"/>
  <c r="V104" i="4" s="1"/>
  <c r="T103" i="4"/>
  <c r="V103" i="4" s="1"/>
  <c r="T102" i="4"/>
  <c r="V102" i="4" s="1"/>
  <c r="T101" i="4"/>
  <c r="V101" i="4" s="1"/>
  <c r="T100" i="4"/>
  <c r="V100" i="4" s="1"/>
  <c r="T99" i="4"/>
  <c r="V99" i="4" s="1"/>
  <c r="T98" i="4"/>
  <c r="V98" i="4" s="1"/>
  <c r="T97" i="4"/>
  <c r="V97" i="4" s="1"/>
  <c r="T96" i="4"/>
  <c r="V96" i="4" s="1"/>
  <c r="T95" i="4"/>
  <c r="V95" i="4" s="1"/>
  <c r="T94" i="4"/>
  <c r="V94" i="4" s="1"/>
  <c r="Q94" i="4"/>
  <c r="T93" i="4"/>
  <c r="V93" i="4" s="1"/>
  <c r="Q93" i="4"/>
  <c r="T92" i="4"/>
  <c r="V92" i="4" s="1"/>
  <c r="Q92" i="4"/>
  <c r="T91" i="4"/>
  <c r="V91" i="4" s="1"/>
  <c r="Q91" i="4"/>
  <c r="T90" i="4"/>
  <c r="V90" i="4" s="1"/>
  <c r="Q90" i="4"/>
  <c r="T89" i="4"/>
  <c r="V89" i="4" s="1"/>
  <c r="Q89" i="4"/>
  <c r="T88" i="4"/>
  <c r="V88" i="4" s="1"/>
  <c r="Q88" i="4"/>
  <c r="T87" i="4"/>
  <c r="V87" i="4" s="1"/>
  <c r="Q87" i="4"/>
  <c r="T86" i="4"/>
  <c r="V86" i="4" s="1"/>
  <c r="Q86" i="4"/>
  <c r="T85" i="4"/>
  <c r="V85" i="4" s="1"/>
  <c r="Q85" i="4"/>
  <c r="T84" i="4"/>
  <c r="V84" i="4" s="1"/>
  <c r="Q84" i="4"/>
  <c r="T83" i="4"/>
  <c r="V83" i="4" s="1"/>
  <c r="Q83" i="4"/>
  <c r="T82" i="4"/>
  <c r="V82" i="4" s="1"/>
  <c r="Q82" i="4"/>
  <c r="T81" i="4"/>
  <c r="V81" i="4" s="1"/>
  <c r="Q81" i="4"/>
  <c r="T80" i="4"/>
  <c r="V80" i="4" s="1"/>
  <c r="Q80" i="4"/>
  <c r="T79" i="4"/>
  <c r="V79" i="4" s="1"/>
  <c r="Q79" i="4"/>
  <c r="T78" i="4"/>
  <c r="V78" i="4" s="1"/>
  <c r="Q78" i="4"/>
  <c r="T77" i="4"/>
  <c r="V77" i="4" s="1"/>
  <c r="Q77" i="4"/>
  <c r="T76" i="4"/>
  <c r="V76" i="4" s="1"/>
  <c r="Q76" i="4"/>
  <c r="T75" i="4"/>
  <c r="V75" i="4" s="1"/>
  <c r="Q75" i="4"/>
  <c r="T74" i="4"/>
  <c r="V74" i="4" s="1"/>
  <c r="Q74" i="4"/>
  <c r="T73" i="4"/>
  <c r="V73" i="4" s="1"/>
  <c r="Q73" i="4"/>
  <c r="T72" i="4"/>
  <c r="V72" i="4" s="1"/>
  <c r="Q72" i="4"/>
  <c r="T71" i="4"/>
  <c r="V71" i="4" s="1"/>
  <c r="Q71" i="4"/>
  <c r="T70" i="4"/>
  <c r="V70" i="4" s="1"/>
  <c r="Q70" i="4"/>
  <c r="T69" i="4"/>
  <c r="V69" i="4" s="1"/>
  <c r="Q69" i="4"/>
  <c r="T68" i="4"/>
  <c r="V68" i="4" s="1"/>
  <c r="Q68" i="4"/>
  <c r="T67" i="4"/>
  <c r="V67" i="4" s="1"/>
  <c r="Q67" i="4"/>
  <c r="T66" i="4"/>
  <c r="V66" i="4" s="1"/>
  <c r="Q66" i="4"/>
  <c r="T65" i="4"/>
  <c r="V65" i="4" s="1"/>
  <c r="Q65" i="4"/>
  <c r="T64" i="4"/>
  <c r="V64" i="4" s="1"/>
  <c r="Q64" i="4"/>
  <c r="T63" i="4"/>
  <c r="V63" i="4" s="1"/>
  <c r="Q63" i="4"/>
  <c r="T62" i="4"/>
  <c r="V62" i="4" s="1"/>
  <c r="Q62" i="4"/>
  <c r="T61" i="4"/>
  <c r="V61" i="4" s="1"/>
  <c r="Q61" i="4"/>
  <c r="T60" i="4"/>
  <c r="V60" i="4" s="1"/>
  <c r="Q60" i="4"/>
  <c r="T59" i="4"/>
  <c r="V59" i="4" s="1"/>
  <c r="Q59" i="4"/>
  <c r="T58" i="4"/>
  <c r="V58" i="4" s="1"/>
  <c r="Q58" i="4"/>
  <c r="T57" i="4"/>
  <c r="V57" i="4" s="1"/>
  <c r="Q57" i="4"/>
  <c r="T56" i="4"/>
  <c r="V56" i="4" s="1"/>
  <c r="Q56" i="4"/>
  <c r="T55" i="4"/>
  <c r="V55" i="4" s="1"/>
  <c r="Q55" i="4"/>
  <c r="T54" i="4"/>
  <c r="V54" i="4" s="1"/>
  <c r="Q54" i="4"/>
  <c r="T53" i="4"/>
  <c r="V53" i="4" s="1"/>
  <c r="Q53" i="4"/>
  <c r="T52" i="4"/>
  <c r="V52" i="4" s="1"/>
  <c r="Q52" i="4"/>
  <c r="T51" i="4"/>
  <c r="V51" i="4" s="1"/>
  <c r="Q51" i="4"/>
  <c r="T50" i="4"/>
  <c r="V50" i="4" s="1"/>
  <c r="Q50" i="4"/>
  <c r="T49" i="4"/>
  <c r="V49" i="4" s="1"/>
  <c r="Q49" i="4"/>
  <c r="T48" i="4"/>
  <c r="V48" i="4" s="1"/>
  <c r="Q48" i="4"/>
  <c r="T47" i="4"/>
  <c r="V47" i="4" s="1"/>
  <c r="Q47" i="4"/>
  <c r="T46" i="4"/>
  <c r="V46" i="4" s="1"/>
  <c r="Q46" i="4"/>
  <c r="T45" i="4"/>
  <c r="V45" i="4" s="1"/>
  <c r="Q45" i="4"/>
  <c r="T44" i="4"/>
  <c r="V44" i="4" s="1"/>
  <c r="Q44" i="4"/>
  <c r="T43" i="4"/>
  <c r="V43" i="4" s="1"/>
  <c r="Q43" i="4"/>
  <c r="T42" i="4"/>
  <c r="V42" i="4" s="1"/>
  <c r="Q42" i="4"/>
  <c r="T41" i="4"/>
  <c r="V41" i="4" s="1"/>
  <c r="Q41" i="4"/>
  <c r="T40" i="4"/>
  <c r="V40" i="4" s="1"/>
  <c r="Q40" i="4"/>
  <c r="T39" i="4"/>
  <c r="V39" i="4" s="1"/>
  <c r="Q39" i="4"/>
  <c r="T38" i="4"/>
  <c r="V38" i="4" s="1"/>
  <c r="Q38" i="4"/>
  <c r="T37" i="4"/>
  <c r="V37" i="4" s="1"/>
  <c r="Q37" i="4"/>
  <c r="T36" i="4"/>
  <c r="V36" i="4" s="1"/>
  <c r="Q36" i="4"/>
  <c r="T35" i="4"/>
  <c r="V35" i="4" s="1"/>
  <c r="Q35" i="4"/>
  <c r="T34" i="4"/>
  <c r="V34" i="4" s="1"/>
  <c r="Q34" i="4"/>
  <c r="T33" i="4"/>
  <c r="V33" i="4" s="1"/>
  <c r="Q33" i="4"/>
  <c r="T32" i="4"/>
  <c r="V32" i="4" s="1"/>
  <c r="Q32" i="4"/>
  <c r="T31" i="4"/>
  <c r="V31" i="4" s="1"/>
  <c r="Q31" i="4"/>
  <c r="T30" i="4"/>
  <c r="V30" i="4" s="1"/>
  <c r="Q30" i="4"/>
  <c r="T29" i="4"/>
  <c r="V29" i="4" s="1"/>
  <c r="Q29" i="4"/>
  <c r="T28" i="4"/>
  <c r="V28" i="4" s="1"/>
  <c r="Q28" i="4"/>
  <c r="T27" i="4"/>
  <c r="V27" i="4" s="1"/>
  <c r="Q27" i="4"/>
  <c r="T26" i="4"/>
  <c r="V26" i="4" s="1"/>
  <c r="Q26" i="4"/>
  <c r="T25" i="4"/>
  <c r="V25" i="4" s="1"/>
  <c r="Q25" i="4"/>
  <c r="T24" i="4"/>
  <c r="V24" i="4" s="1"/>
  <c r="Q24" i="4"/>
  <c r="T23" i="4"/>
  <c r="V23" i="4" s="1"/>
  <c r="Q23" i="4"/>
  <c r="T22" i="4"/>
  <c r="V22" i="4" s="1"/>
  <c r="Q22" i="4"/>
  <c r="T21" i="4"/>
  <c r="V21" i="4" s="1"/>
  <c r="Q21" i="4"/>
  <c r="T20" i="4"/>
  <c r="V20" i="4" s="1"/>
  <c r="Q20" i="4"/>
  <c r="T19" i="4"/>
  <c r="V19" i="4" s="1"/>
  <c r="Q19" i="4"/>
  <c r="T18" i="4"/>
  <c r="V18" i="4" s="1"/>
  <c r="Q18" i="4"/>
  <c r="T17" i="4"/>
  <c r="V17" i="4" s="1"/>
  <c r="Q17" i="4"/>
  <c r="T16" i="4"/>
  <c r="V16" i="4" s="1"/>
  <c r="Q16" i="4"/>
  <c r="T15" i="4"/>
  <c r="V15" i="4" s="1"/>
  <c r="Q15" i="4"/>
  <c r="T14" i="4"/>
  <c r="V14" i="4" s="1"/>
  <c r="Q14" i="4"/>
  <c r="T13" i="4"/>
  <c r="V13" i="4" s="1"/>
  <c r="Q13" i="4"/>
  <c r="T12" i="4"/>
  <c r="V12" i="4" s="1"/>
  <c r="Q12" i="4"/>
  <c r="V11" i="4"/>
  <c r="T11" i="4"/>
  <c r="Q11" i="4"/>
  <c r="T10" i="4"/>
  <c r="V10" i="4" s="1"/>
  <c r="Q10" i="4"/>
  <c r="T9" i="4"/>
  <c r="V9" i="4" s="1"/>
  <c r="Q9" i="4"/>
  <c r="T8" i="4"/>
  <c r="V8" i="4" s="1"/>
  <c r="Q8" i="4"/>
  <c r="T7" i="4"/>
  <c r="V7" i="4" s="1"/>
  <c r="Q7" i="4"/>
  <c r="T6" i="4"/>
  <c r="V6" i="4" s="1"/>
  <c r="Q6" i="4"/>
  <c r="T5" i="4"/>
  <c r="V5" i="4" s="1"/>
  <c r="Q5" i="4"/>
  <c r="T4" i="4"/>
  <c r="V4" i="4" s="1"/>
  <c r="Q4" i="4"/>
  <c r="T3" i="4"/>
  <c r="V3" i="4" s="1"/>
  <c r="Q3" i="4"/>
  <c r="T2" i="4"/>
  <c r="V2" i="4" s="1"/>
  <c r="Q2" i="4"/>
  <c r="T49" i="3" l="1"/>
  <c r="V49" i="3" s="1"/>
  <c r="Q49" i="3"/>
  <c r="T48" i="3"/>
  <c r="V48" i="3" s="1"/>
  <c r="Q48" i="3"/>
  <c r="T47" i="3"/>
  <c r="V47" i="3" s="1"/>
  <c r="Q47" i="3"/>
  <c r="T46" i="3"/>
  <c r="V46" i="3" s="1"/>
  <c r="Q46" i="3"/>
  <c r="T45" i="3"/>
  <c r="V45" i="3" s="1"/>
  <c r="Q45" i="3"/>
  <c r="T44" i="3"/>
  <c r="V44" i="3" s="1"/>
  <c r="Q44" i="3"/>
  <c r="T43" i="3"/>
  <c r="V43" i="3" s="1"/>
  <c r="Q43" i="3"/>
  <c r="T42" i="3"/>
  <c r="V42" i="3" s="1"/>
  <c r="Q42" i="3"/>
  <c r="T41" i="3"/>
  <c r="V41" i="3" s="1"/>
  <c r="Q41" i="3"/>
  <c r="T40" i="3"/>
  <c r="V40" i="3" s="1"/>
  <c r="Q40" i="3"/>
  <c r="T39" i="3"/>
  <c r="V39" i="3" s="1"/>
  <c r="Q39" i="3"/>
  <c r="T38" i="3"/>
  <c r="V38" i="3" s="1"/>
  <c r="Q38" i="3"/>
  <c r="T37" i="3"/>
  <c r="V37" i="3" s="1"/>
  <c r="Q37" i="3"/>
  <c r="T36" i="3"/>
  <c r="V36" i="3" s="1"/>
  <c r="Q36" i="3"/>
  <c r="T35" i="3"/>
  <c r="V35" i="3" s="1"/>
  <c r="Q35" i="3"/>
  <c r="T34" i="3"/>
  <c r="V34" i="3" s="1"/>
  <c r="Q34" i="3"/>
  <c r="T33" i="3"/>
  <c r="V33" i="3" s="1"/>
  <c r="Q33" i="3"/>
  <c r="T32" i="3"/>
  <c r="V32" i="3" s="1"/>
  <c r="Q32" i="3"/>
  <c r="T31" i="3"/>
  <c r="V31" i="3" s="1"/>
  <c r="Q31" i="3"/>
  <c r="T30" i="3"/>
  <c r="V30" i="3" s="1"/>
  <c r="Q30" i="3"/>
  <c r="T29" i="3"/>
  <c r="V29" i="3" s="1"/>
  <c r="Q29" i="3"/>
  <c r="T28" i="3"/>
  <c r="V28" i="3" s="1"/>
  <c r="Q28" i="3"/>
  <c r="T27" i="3"/>
  <c r="V27" i="3" s="1"/>
  <c r="Q27" i="3"/>
  <c r="T26" i="3"/>
  <c r="V26" i="3" s="1"/>
  <c r="Q26" i="3"/>
  <c r="T25" i="3"/>
  <c r="V25" i="3" s="1"/>
  <c r="Q25" i="3"/>
  <c r="T24" i="3"/>
  <c r="V24" i="3" s="1"/>
  <c r="Q24" i="3"/>
  <c r="T23" i="3"/>
  <c r="V23" i="3" s="1"/>
  <c r="Q23" i="3"/>
  <c r="T22" i="3"/>
  <c r="V22" i="3" s="1"/>
  <c r="Q22" i="3"/>
  <c r="T21" i="3"/>
  <c r="V21" i="3" s="1"/>
  <c r="Q21" i="3"/>
  <c r="T20" i="3"/>
  <c r="V20" i="3" s="1"/>
  <c r="Q20" i="3"/>
  <c r="T19" i="3"/>
  <c r="V19" i="3" s="1"/>
  <c r="Q19" i="3"/>
  <c r="T18" i="3"/>
  <c r="V18" i="3" s="1"/>
  <c r="Q18" i="3"/>
  <c r="T17" i="3"/>
  <c r="V17" i="3" s="1"/>
  <c r="Q17" i="3"/>
  <c r="T16" i="3"/>
  <c r="V16" i="3" s="1"/>
  <c r="Q16" i="3"/>
  <c r="T15" i="3"/>
  <c r="V15" i="3" s="1"/>
  <c r="Q15" i="3"/>
  <c r="T14" i="3"/>
  <c r="V14" i="3" s="1"/>
  <c r="Q14" i="3"/>
  <c r="T13" i="3"/>
  <c r="V13" i="3" s="1"/>
  <c r="Q13" i="3"/>
  <c r="T12" i="3"/>
  <c r="V12" i="3" s="1"/>
  <c r="Q12" i="3"/>
  <c r="T11" i="3"/>
  <c r="V11" i="3" s="1"/>
  <c r="Q11" i="3"/>
  <c r="T10" i="3"/>
  <c r="V10" i="3" s="1"/>
  <c r="Q10" i="3"/>
  <c r="T9" i="3"/>
  <c r="V9" i="3" s="1"/>
  <c r="Q9" i="3"/>
  <c r="T8" i="3"/>
  <c r="V8" i="3" s="1"/>
  <c r="Q8" i="3"/>
  <c r="T7" i="3"/>
  <c r="V7" i="3" s="1"/>
  <c r="Q7" i="3"/>
  <c r="T6" i="3"/>
  <c r="V6" i="3" s="1"/>
  <c r="Q6" i="3"/>
  <c r="T5" i="3"/>
  <c r="V5" i="3" s="1"/>
  <c r="Q5" i="3"/>
  <c r="T4" i="3"/>
  <c r="V4" i="3" s="1"/>
  <c r="Q4" i="3"/>
  <c r="T3" i="3"/>
  <c r="V3" i="3" s="1"/>
  <c r="Q3" i="3"/>
  <c r="T2" i="3"/>
  <c r="V2" i="3" s="1"/>
  <c r="Q2" i="3"/>
  <c r="T52" i="1"/>
  <c r="V52" i="1" s="1"/>
  <c r="Q52" i="1"/>
  <c r="T51" i="1"/>
  <c r="V51" i="1" s="1"/>
  <c r="Q51" i="1"/>
  <c r="T50" i="1"/>
  <c r="V50" i="1" s="1"/>
  <c r="Q50" i="1"/>
  <c r="T28" i="1"/>
  <c r="V28" i="1" s="1"/>
  <c r="Q28" i="1"/>
  <c r="T27" i="1"/>
  <c r="V27" i="1" s="1"/>
  <c r="Q27" i="1"/>
  <c r="T26" i="1"/>
  <c r="V26" i="1" s="1"/>
  <c r="Q26" i="1"/>
  <c r="T25" i="1"/>
  <c r="V25" i="1" s="1"/>
  <c r="Q25" i="1"/>
  <c r="T24" i="1"/>
  <c r="V24" i="1" s="1"/>
  <c r="Q24" i="1"/>
  <c r="T23" i="1"/>
  <c r="V23" i="1" s="1"/>
  <c r="Q23" i="1"/>
  <c r="T29" i="1"/>
  <c r="V29" i="1" s="1"/>
  <c r="Q29" i="1"/>
  <c r="T14" i="1"/>
  <c r="V14" i="1" s="1"/>
  <c r="Q14" i="1"/>
  <c r="T16" i="1"/>
  <c r="V16" i="1" s="1"/>
  <c r="Q16" i="1"/>
  <c r="T15" i="1"/>
  <c r="V15" i="1" s="1"/>
  <c r="Q15" i="1"/>
  <c r="T35" i="1" l="1"/>
  <c r="V35" i="1" s="1"/>
  <c r="Q35" i="1"/>
  <c r="T34" i="1"/>
  <c r="V34" i="1" s="1"/>
  <c r="Q34" i="1"/>
  <c r="T33" i="1"/>
  <c r="V33" i="1" s="1"/>
  <c r="Q33" i="1"/>
  <c r="T32" i="1"/>
  <c r="V32" i="1" s="1"/>
  <c r="Q32" i="1"/>
  <c r="T31" i="1"/>
  <c r="V31" i="1" s="1"/>
  <c r="Q31" i="1"/>
  <c r="T30" i="1"/>
  <c r="V30" i="1" s="1"/>
  <c r="Q30" i="1"/>
  <c r="T53" i="1" l="1"/>
  <c r="V53" i="1" s="1"/>
  <c r="T54" i="1"/>
  <c r="V54" i="1" s="1"/>
  <c r="T55" i="1"/>
  <c r="V55" i="1" s="1"/>
  <c r="Q53" i="1"/>
  <c r="Q54" i="1"/>
  <c r="Q55" i="1"/>
  <c r="T10" i="1" l="1"/>
  <c r="V10" i="1" s="1"/>
  <c r="Q10" i="1"/>
  <c r="T9" i="1"/>
  <c r="V9" i="1" s="1"/>
  <c r="Q9" i="1"/>
  <c r="T8" i="1"/>
  <c r="V8" i="1" s="1"/>
  <c r="Q8" i="1"/>
  <c r="Q11" i="1"/>
  <c r="Q12" i="1"/>
  <c r="Q13" i="1"/>
  <c r="T64" i="1" l="1"/>
  <c r="V64" i="1" s="1"/>
  <c r="Q64" i="1"/>
  <c r="T63" i="1"/>
  <c r="V63" i="1" s="1"/>
  <c r="Q63" i="1"/>
  <c r="T62" i="1"/>
  <c r="V62" i="1" s="1"/>
  <c r="Q62" i="1"/>
  <c r="T61" i="1"/>
  <c r="V61" i="1" s="1"/>
  <c r="Q61" i="1"/>
  <c r="T60" i="1"/>
  <c r="V60" i="1" s="1"/>
  <c r="Q60" i="1"/>
  <c r="T59" i="1"/>
  <c r="V59" i="1" s="1"/>
  <c r="Q59" i="1"/>
  <c r="T58" i="1"/>
  <c r="V58" i="1" s="1"/>
  <c r="Q58" i="1"/>
  <c r="T57" i="1"/>
  <c r="V57" i="1" s="1"/>
  <c r="Q57" i="1"/>
  <c r="T56" i="1"/>
  <c r="V56" i="1" s="1"/>
  <c r="Q56" i="1"/>
  <c r="T49" i="1"/>
  <c r="V49" i="1" s="1"/>
  <c r="Q49" i="1"/>
  <c r="T48" i="1"/>
  <c r="V48" i="1" s="1"/>
  <c r="Q48" i="1"/>
  <c r="T47" i="1"/>
  <c r="V47" i="1" s="1"/>
  <c r="Q47" i="1"/>
  <c r="T46" i="1"/>
  <c r="V46" i="1" s="1"/>
  <c r="Q46" i="1"/>
  <c r="T45" i="1"/>
  <c r="V45" i="1" s="1"/>
  <c r="Q45" i="1"/>
  <c r="T44" i="1"/>
  <c r="V44" i="1" s="1"/>
  <c r="Q44" i="1"/>
  <c r="T43" i="1"/>
  <c r="V43" i="1" s="1"/>
  <c r="Q43" i="1"/>
  <c r="T42" i="1"/>
  <c r="V42" i="1" s="1"/>
  <c r="Q42" i="1"/>
  <c r="T41" i="1"/>
  <c r="V41" i="1" s="1"/>
  <c r="Q41" i="1"/>
  <c r="T40" i="1"/>
  <c r="V40" i="1" s="1"/>
  <c r="Q40" i="1"/>
  <c r="T39" i="1"/>
  <c r="V39" i="1" s="1"/>
  <c r="Q39" i="1"/>
  <c r="T38" i="1"/>
  <c r="V38" i="1" s="1"/>
  <c r="Q38" i="1"/>
  <c r="T37" i="1"/>
  <c r="V37" i="1" s="1"/>
  <c r="Q37" i="1"/>
  <c r="T36" i="1"/>
  <c r="V36" i="1" s="1"/>
  <c r="Q36" i="1"/>
  <c r="T22" i="1"/>
  <c r="V22" i="1" s="1"/>
  <c r="Q22" i="1"/>
  <c r="T21" i="1"/>
  <c r="V21" i="1" s="1"/>
  <c r="Q21" i="1"/>
  <c r="T20" i="1"/>
  <c r="V20" i="1" s="1"/>
  <c r="Q20" i="1"/>
  <c r="T19" i="1"/>
  <c r="V19" i="1" s="1"/>
  <c r="Q19" i="1"/>
  <c r="T18" i="1"/>
  <c r="V18" i="1" s="1"/>
  <c r="Q18" i="1"/>
  <c r="T17" i="1"/>
  <c r="V17" i="1" s="1"/>
  <c r="Q17" i="1"/>
  <c r="T13" i="1"/>
  <c r="V13" i="1" s="1"/>
  <c r="T12" i="1"/>
  <c r="V12" i="1" s="1"/>
  <c r="T11" i="1"/>
  <c r="V11" i="1" s="1"/>
  <c r="T7" i="1"/>
  <c r="V7" i="1" s="1"/>
  <c r="Q7" i="1"/>
  <c r="T6" i="1"/>
  <c r="V6" i="1" s="1"/>
  <c r="Q6" i="1"/>
  <c r="T5" i="1"/>
  <c r="V5" i="1" s="1"/>
  <c r="Q5" i="1"/>
  <c r="T4" i="1"/>
  <c r="V4" i="1" s="1"/>
  <c r="Q4" i="1"/>
  <c r="T3" i="1"/>
  <c r="V3" i="1" s="1"/>
  <c r="Q3" i="1"/>
  <c r="T2" i="1"/>
  <c r="V2" i="1" s="1"/>
  <c r="Q2" i="1"/>
</calcChain>
</file>

<file path=xl/sharedStrings.xml><?xml version="1.0" encoding="utf-8"?>
<sst xmlns="http://schemas.openxmlformats.org/spreadsheetml/2006/main" count="9206" uniqueCount="430">
  <si>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</si>
  <si>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</si>
  <si>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</si>
  <si>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</si>
  <si>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</si>
  <si>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</si>
  <si>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</si>
  <si>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</si>
  <si>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</si>
  <si>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</si>
  <si>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</si>
  <si>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</si>
  <si>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</si>
  <si>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</si>
  <si>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</si>
  <si>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</si>
  <si>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</si>
  <si>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</si>
  <si>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</si>
  <si>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</si>
  <si>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U/P JPY</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</si>
  <si>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</si>
  <si>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</si>
  <si>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</si>
  <si>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</si>
  <si>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</si>
  <si>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</si>
  <si>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</si>
  <si>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</si>
  <si>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</si>
  <si>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</si>
  <si>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</si>
  <si>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</si>
  <si>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</si>
  <si>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</si>
  <si>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</si>
  <si>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JP</t>
    <phoneticPr fontId="3"/>
  </si>
  <si>
    <t>マルエツ</t>
  </si>
  <si>
    <t>大森町</t>
    <rPh sb="0" eb="2">
      <t>オオモリ</t>
    </rPh>
    <rPh sb="2" eb="3">
      <t>マチ</t>
    </rPh>
    <phoneticPr fontId="10"/>
  </si>
  <si>
    <t>食べ頃店</t>
  </si>
  <si>
    <t>HW</t>
  </si>
  <si>
    <t>CK</t>
  </si>
  <si>
    <t>Zespri</t>
  </si>
  <si>
    <t>ﾆｭｰｼﾞｰﾗﾝﾄﾞ</t>
  </si>
  <si>
    <t>保冷あり</t>
  </si>
  <si>
    <t>りんご</t>
  </si>
  <si>
    <t>みかん</t>
  </si>
  <si>
    <t>柿</t>
  </si>
  <si>
    <t>JPY</t>
    <phoneticPr fontId="3"/>
  </si>
  <si>
    <t>北海道</t>
  </si>
  <si>
    <t>マルエツ</t>
    <phoneticPr fontId="10"/>
  </si>
  <si>
    <t>その他グリーン</t>
    <rPh sb="2" eb="3">
      <t>タ</t>
    </rPh>
    <phoneticPr fontId="4"/>
  </si>
  <si>
    <t>一般栽培</t>
  </si>
  <si>
    <t>ﾆｭｰｼﾞｰﾗﾝﾄﾞ</t>
    <phoneticPr fontId="4"/>
  </si>
  <si>
    <t>いちご</t>
  </si>
  <si>
    <t>宮城</t>
  </si>
  <si>
    <t>サミット</t>
    <phoneticPr fontId="10"/>
  </si>
  <si>
    <t>大森西</t>
    <rPh sb="0" eb="3">
      <t>オオモリニシ</t>
    </rPh>
    <phoneticPr fontId="10"/>
  </si>
  <si>
    <t>普通店</t>
  </si>
  <si>
    <t>その他ゴールド</t>
    <rPh sb="2" eb="3">
      <t>タ</t>
    </rPh>
    <phoneticPr fontId="4"/>
  </si>
  <si>
    <t>有機栽培</t>
  </si>
  <si>
    <t>Chiquita</t>
  </si>
  <si>
    <t>チリ</t>
  </si>
  <si>
    <t>保冷なし</t>
  </si>
  <si>
    <t>オレンジ</t>
  </si>
  <si>
    <t>ライフ</t>
    <phoneticPr fontId="10"/>
  </si>
  <si>
    <t>マチノマ大森</t>
    <rPh sb="4" eb="6">
      <t>オオモリ</t>
    </rPh>
    <phoneticPr fontId="10"/>
  </si>
  <si>
    <t>ロードショー</t>
  </si>
  <si>
    <t>その他レッド</t>
    <rPh sb="2" eb="3">
      <t>タ</t>
    </rPh>
    <phoneticPr fontId="3"/>
  </si>
  <si>
    <t>減農薬栽培</t>
    <rPh sb="0" eb="3">
      <t>ゲンノウヤク</t>
    </rPh>
    <rPh sb="3" eb="5">
      <t>サイバイ</t>
    </rPh>
    <phoneticPr fontId="4"/>
  </si>
  <si>
    <t>D'lish</t>
    <phoneticPr fontId="4"/>
  </si>
  <si>
    <t>中国</t>
    <phoneticPr fontId="4"/>
  </si>
  <si>
    <t>大阪</t>
  </si>
  <si>
    <t>東武ストア</t>
    <rPh sb="0" eb="2">
      <t>トウブ</t>
    </rPh>
    <phoneticPr fontId="10"/>
  </si>
  <si>
    <t>大森</t>
    <rPh sb="0" eb="2">
      <t>オオモリ</t>
    </rPh>
    <phoneticPr fontId="10"/>
  </si>
  <si>
    <t>HW</t>
    <phoneticPr fontId="4"/>
  </si>
  <si>
    <t>CK</t>
    <phoneticPr fontId="4"/>
  </si>
  <si>
    <t>Del Monte</t>
    <phoneticPr fontId="3"/>
  </si>
  <si>
    <t>愛媛</t>
  </si>
  <si>
    <t>キウイフルーツ</t>
  </si>
  <si>
    <t>名古屋</t>
  </si>
  <si>
    <t>オオゼキ</t>
    <phoneticPr fontId="10"/>
  </si>
  <si>
    <t>大森北</t>
    <rPh sb="0" eb="3">
      <t>オオモリキタ</t>
    </rPh>
    <phoneticPr fontId="10"/>
  </si>
  <si>
    <t>GK</t>
    <phoneticPr fontId="4"/>
  </si>
  <si>
    <t>OB</t>
    <phoneticPr fontId="4"/>
  </si>
  <si>
    <t>JA愛媛</t>
  </si>
  <si>
    <t>福岡</t>
  </si>
  <si>
    <t>グレープフルーツ</t>
  </si>
  <si>
    <t>広島</t>
  </si>
  <si>
    <t>ＩＹ</t>
    <phoneticPr fontId="10"/>
  </si>
  <si>
    <t>HE</t>
    <phoneticPr fontId="4"/>
  </si>
  <si>
    <t>JA福岡</t>
  </si>
  <si>
    <t>長野</t>
    <rPh sb="0" eb="2">
      <t>ナガノ</t>
    </rPh>
    <phoneticPr fontId="4"/>
  </si>
  <si>
    <t>さくらんぼ</t>
  </si>
  <si>
    <t>サミット</t>
  </si>
  <si>
    <t>西友</t>
    <rPh sb="0" eb="2">
      <t>セイユウ</t>
    </rPh>
    <phoneticPr fontId="10"/>
  </si>
  <si>
    <t>GA</t>
    <phoneticPr fontId="4"/>
  </si>
  <si>
    <t>JA長野</t>
  </si>
  <si>
    <t>静岡</t>
  </si>
  <si>
    <t>スイカ</t>
  </si>
  <si>
    <t>岩手</t>
    <rPh sb="0" eb="2">
      <t>イワテ</t>
    </rPh>
    <phoneticPr fontId="4"/>
  </si>
  <si>
    <t>東急ストア</t>
    <rPh sb="0" eb="2">
      <t>トウキュウ</t>
    </rPh>
    <phoneticPr fontId="10"/>
  </si>
  <si>
    <t>RD</t>
    <phoneticPr fontId="3"/>
  </si>
  <si>
    <t>JA静岡</t>
  </si>
  <si>
    <t>長崎</t>
    <rPh sb="0" eb="2">
      <t>ナガサキ</t>
    </rPh>
    <phoneticPr fontId="4"/>
  </si>
  <si>
    <t>梨</t>
  </si>
  <si>
    <t>福島</t>
    <rPh sb="0" eb="2">
      <t>フクシマ</t>
    </rPh>
    <phoneticPr fontId="4"/>
  </si>
  <si>
    <t>成城石井</t>
    <rPh sb="0" eb="4">
      <t>セイジョウイシイ</t>
    </rPh>
    <phoneticPr fontId="10"/>
  </si>
  <si>
    <t>アトレ大森</t>
    <rPh sb="3" eb="5">
      <t>オオモリ</t>
    </rPh>
    <phoneticPr fontId="10"/>
  </si>
  <si>
    <t>JA長崎</t>
  </si>
  <si>
    <t>和歌山</t>
    <rPh sb="0" eb="3">
      <t>ワカヤマ</t>
    </rPh>
    <phoneticPr fontId="4"/>
  </si>
  <si>
    <t>パイナップル</t>
  </si>
  <si>
    <t>石川</t>
    <rPh sb="0" eb="2">
      <t>イシカワ</t>
    </rPh>
    <phoneticPr fontId="4"/>
  </si>
  <si>
    <t>JA福島</t>
  </si>
  <si>
    <t>熊本</t>
    <rPh sb="0" eb="2">
      <t>クマモト</t>
    </rPh>
    <phoneticPr fontId="4"/>
  </si>
  <si>
    <t>ブドウ</t>
  </si>
  <si>
    <t>岐阜</t>
    <rPh sb="0" eb="2">
      <t>ギフ</t>
    </rPh>
    <phoneticPr fontId="4"/>
  </si>
  <si>
    <t>JA熊本</t>
  </si>
  <si>
    <t>その他</t>
    <rPh sb="2" eb="3">
      <t>タ</t>
    </rPh>
    <phoneticPr fontId="4"/>
  </si>
  <si>
    <t>マンゴー</t>
  </si>
  <si>
    <t>兵庫</t>
    <rPh sb="0" eb="2">
      <t>ヒョウゴ</t>
    </rPh>
    <phoneticPr fontId="4"/>
  </si>
  <si>
    <t>その他</t>
  </si>
  <si>
    <t>アメリカ</t>
  </si>
  <si>
    <t>宮崎</t>
    <rPh sb="0" eb="2">
      <t>ミヤザキ</t>
    </rPh>
    <phoneticPr fontId="3"/>
  </si>
  <si>
    <t>京都</t>
    <rPh sb="0" eb="2">
      <t>キョウト</t>
    </rPh>
    <phoneticPr fontId="4"/>
  </si>
  <si>
    <t>ＪＡ大分</t>
    <rPh sb="2" eb="4">
      <t>オオイタ</t>
    </rPh>
    <phoneticPr fontId="4"/>
  </si>
  <si>
    <t>石川</t>
  </si>
  <si>
    <t>メロン</t>
  </si>
  <si>
    <t>佐賀</t>
    <rPh sb="0" eb="2">
      <t>サガ</t>
    </rPh>
    <phoneticPr fontId="4"/>
  </si>
  <si>
    <t>ＪＡ山梨</t>
    <rPh sb="2" eb="4">
      <t>ヤマナシ</t>
    </rPh>
    <phoneticPr fontId="4"/>
  </si>
  <si>
    <t>大分</t>
  </si>
  <si>
    <t>桃</t>
  </si>
  <si>
    <t>ＪＡ香川</t>
    <rPh sb="2" eb="4">
      <t>カガワ</t>
    </rPh>
    <phoneticPr fontId="4"/>
  </si>
  <si>
    <t>山梨</t>
    <rPh sb="0" eb="2">
      <t>ヤマナシ</t>
    </rPh>
    <phoneticPr fontId="4"/>
  </si>
  <si>
    <t>韓国</t>
    <rPh sb="0" eb="2">
      <t>カンコク</t>
    </rPh>
    <phoneticPr fontId="3"/>
  </si>
  <si>
    <t>ＪＡ徳島</t>
    <rPh sb="2" eb="4">
      <t>トクシマ</t>
    </rPh>
    <phoneticPr fontId="4"/>
  </si>
  <si>
    <t>香川</t>
  </si>
  <si>
    <t>いちじく</t>
    <phoneticPr fontId="4"/>
  </si>
  <si>
    <t>ＪＡ広島</t>
    <rPh sb="2" eb="4">
      <t>ヒロシマ</t>
    </rPh>
    <phoneticPr fontId="4"/>
  </si>
  <si>
    <t>神奈川</t>
  </si>
  <si>
    <t>ラフランス</t>
    <phoneticPr fontId="3"/>
  </si>
  <si>
    <t>ＪＡ山形</t>
    <rPh sb="2" eb="4">
      <t>ヤマガタ</t>
    </rPh>
    <phoneticPr fontId="4"/>
  </si>
  <si>
    <t>徳島</t>
  </si>
  <si>
    <t>ライフ</t>
  </si>
  <si>
    <t>ﾆｭｰｼﾞｰﾗﾝﾄﾞ</t>
    <phoneticPr fontId="3"/>
  </si>
  <si>
    <t>ＪＡ神奈川</t>
    <rPh sb="2" eb="5">
      <t>カナガワ</t>
    </rPh>
    <phoneticPr fontId="4"/>
  </si>
  <si>
    <t>ＪＡ石川</t>
    <rPh sb="2" eb="4">
      <t>イシカワ</t>
    </rPh>
    <phoneticPr fontId="4"/>
  </si>
  <si>
    <t>栃木</t>
    <rPh sb="0" eb="2">
      <t>トチギ</t>
    </rPh>
    <phoneticPr fontId="3"/>
  </si>
  <si>
    <t>ＪＡ栃木</t>
    <rPh sb="2" eb="4">
      <t>トチギ</t>
    </rPh>
    <phoneticPr fontId="4"/>
  </si>
  <si>
    <t>愛知</t>
    <phoneticPr fontId="3"/>
  </si>
  <si>
    <t>ＪＡ愛知</t>
    <rPh sb="2" eb="4">
      <t>アイチ</t>
    </rPh>
    <phoneticPr fontId="4"/>
  </si>
  <si>
    <t>オオゼキ</t>
  </si>
  <si>
    <t>ＩＹ</t>
  </si>
  <si>
    <t>OB</t>
  </si>
  <si>
    <t>保冷あり</t>
    <phoneticPr fontId="3"/>
  </si>
  <si>
    <t>HW</t>
    <phoneticPr fontId="3"/>
  </si>
  <si>
    <t>バナナ</t>
    <phoneticPr fontId="3"/>
  </si>
  <si>
    <t>GK</t>
  </si>
  <si>
    <t>MIKO</t>
    <phoneticPr fontId="4"/>
  </si>
  <si>
    <t>ハニーキウイ</t>
  </si>
  <si>
    <t>ハニーキウイ</t>
    <phoneticPr fontId="4"/>
  </si>
  <si>
    <t>バナナ</t>
  </si>
  <si>
    <t>スィーツキング</t>
  </si>
  <si>
    <t>スィーツキング</t>
    <phoneticPr fontId="4"/>
  </si>
  <si>
    <t>JPY</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</si>
  <si>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</si>
  <si>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</si>
  <si>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</si>
  <si>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</si>
  <si>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</si>
  <si>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</si>
  <si>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</si>
  <si>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</si>
  <si>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</si>
  <si>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</si>
  <si>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</si>
  <si>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</si>
  <si>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t>Green
Other
最低重量</t>
  </si>
  <si>
    <t>Green
Other
SIZE</t>
  </si>
  <si>
    <t>Gold
最低重量</t>
  </si>
  <si>
    <t>Gold
SIZE</t>
  </si>
  <si>
    <t>JP</t>
  </si>
  <si>
    <t>05.01.2021</t>
  </si>
  <si>
    <t>イオン</t>
  </si>
  <si>
    <t>利府店</t>
  </si>
  <si>
    <t>その他グリーン</t>
  </si>
  <si>
    <t>みやぎ生協</t>
  </si>
  <si>
    <t>その他ゴールド</t>
  </si>
  <si>
    <t>杉の入店</t>
  </si>
  <si>
    <t>その他レッド</t>
  </si>
  <si>
    <t>減農薬栽培</t>
  </si>
  <si>
    <t>D'lish</t>
  </si>
  <si>
    <t>中国</t>
  </si>
  <si>
    <t>ウジエ</t>
  </si>
  <si>
    <t>Del Monte</t>
  </si>
  <si>
    <t>塩釜店</t>
  </si>
  <si>
    <t>ザ・ビッグ</t>
  </si>
  <si>
    <t>HE</t>
  </si>
  <si>
    <t>長野</t>
  </si>
  <si>
    <t>ヤマザワ</t>
  </si>
  <si>
    <t>多賀城店</t>
  </si>
  <si>
    <t>GA</t>
  </si>
  <si>
    <t>岩手</t>
  </si>
  <si>
    <t>ヨークベニマル</t>
  </si>
  <si>
    <t>塩釜北浜店</t>
  </si>
  <si>
    <t>RD</t>
  </si>
  <si>
    <t>長崎</t>
  </si>
  <si>
    <t>福島</t>
  </si>
  <si>
    <t>塩釜中の島店</t>
  </si>
  <si>
    <t>和歌山</t>
  </si>
  <si>
    <t>西友</t>
  </si>
  <si>
    <t>高砂駅前店</t>
  </si>
  <si>
    <t>JA和歌山</t>
  </si>
  <si>
    <t>佐賀</t>
  </si>
  <si>
    <t>埼玉</t>
  </si>
  <si>
    <t>JA佐賀</t>
  </si>
  <si>
    <t>群馬</t>
  </si>
  <si>
    <t>パパイヤ</t>
  </si>
  <si>
    <t>千葉</t>
  </si>
  <si>
    <t>JA群馬</t>
  </si>
  <si>
    <t>びわ</t>
  </si>
  <si>
    <t>甘うい</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</si>
  <si>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</si>
  <si>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</si>
  <si>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</si>
  <si>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</si>
  <si>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</si>
  <si>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</si>
  <si>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</si>
  <si>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</si>
  <si>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</si>
  <si>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</si>
  <si>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</si>
  <si>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</si>
  <si>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</si>
  <si>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</si>
  <si>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</si>
  <si>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</si>
  <si>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MIKO</t>
  </si>
  <si>
    <t>ハニー</t>
  </si>
  <si>
    <t>キラキラ</t>
  </si>
  <si>
    <t>チェーン名</t>
    <phoneticPr fontId="3"/>
  </si>
  <si>
    <t>店の種類</t>
    <phoneticPr fontId="3"/>
  </si>
  <si>
    <t>硬度
1</t>
    <phoneticPr fontId="4"/>
  </si>
  <si>
    <t>U/P JPY</t>
    <phoneticPr fontId="4"/>
  </si>
  <si>
    <t>トレイ換算の値段</t>
    <phoneticPr fontId="3"/>
  </si>
  <si>
    <t>２番人気
果実</t>
    <phoneticPr fontId="3"/>
  </si>
  <si>
    <t>05.01.2021</t>
    <phoneticPr fontId="3"/>
  </si>
  <si>
    <t>ビッグ・エー</t>
  </si>
  <si>
    <t>江戸川本一色店</t>
    <rPh sb="0" eb="3">
      <t>エドガワ</t>
    </rPh>
    <rPh sb="3" eb="6">
      <t>ホンイッシキ</t>
    </rPh>
    <rPh sb="6" eb="7">
      <t>テン</t>
    </rPh>
    <phoneticPr fontId="3"/>
  </si>
  <si>
    <t>ビッグ・エー</t>
    <phoneticPr fontId="3"/>
  </si>
  <si>
    <t>東武ストア</t>
    <phoneticPr fontId="3"/>
  </si>
  <si>
    <t>新小岩店</t>
    <phoneticPr fontId="3"/>
  </si>
  <si>
    <t>ライフ</t>
    <phoneticPr fontId="3"/>
  </si>
  <si>
    <t>本一色店</t>
    <rPh sb="0" eb="3">
      <t>ホンイッシキ</t>
    </rPh>
    <phoneticPr fontId="3"/>
  </si>
  <si>
    <t>東武ストア</t>
  </si>
  <si>
    <t>新小岩店</t>
  </si>
  <si>
    <t>ヤマイチ</t>
    <phoneticPr fontId="3"/>
  </si>
  <si>
    <t>中央店</t>
    <rPh sb="0" eb="2">
      <t>チュウオウ</t>
    </rPh>
    <rPh sb="2" eb="3">
      <t>テン</t>
    </rPh>
    <phoneticPr fontId="3"/>
  </si>
  <si>
    <t>サミットストア</t>
    <phoneticPr fontId="3"/>
  </si>
  <si>
    <t>江戸川区役所前店</t>
    <rPh sb="0" eb="3">
      <t>エドガワ</t>
    </rPh>
    <rPh sb="3" eb="6">
      <t>クヤクショ</t>
    </rPh>
    <rPh sb="6" eb="7">
      <t>マエ</t>
    </rPh>
    <rPh sb="7" eb="8">
      <t>テン</t>
    </rPh>
    <phoneticPr fontId="3"/>
  </si>
  <si>
    <t>西友</t>
    <rPh sb="0" eb="2">
      <t>セイユウ</t>
    </rPh>
    <phoneticPr fontId="3"/>
  </si>
  <si>
    <t>江戸川中央店</t>
    <rPh sb="0" eb="3">
      <t>エドガワ</t>
    </rPh>
    <rPh sb="3" eb="5">
      <t>チュウオウ</t>
    </rPh>
    <rPh sb="5" eb="6">
      <t>テン</t>
    </rPh>
    <phoneticPr fontId="3"/>
  </si>
  <si>
    <t>マックスバリュエクスプレス</t>
    <phoneticPr fontId="3"/>
  </si>
  <si>
    <t>松島店</t>
    <rPh sb="0" eb="1">
      <t>マツ</t>
    </rPh>
    <rPh sb="1" eb="2">
      <t>シマ</t>
    </rPh>
    <rPh sb="2" eb="3">
      <t>テン</t>
    </rPh>
    <phoneticPr fontId="3"/>
  </si>
  <si>
    <t>マルエツ</t>
    <phoneticPr fontId="3"/>
  </si>
  <si>
    <t>松江店</t>
    <phoneticPr fontId="3"/>
  </si>
  <si>
    <t>コモディイイダ</t>
    <phoneticPr fontId="3"/>
  </si>
  <si>
    <t>西瑞江店</t>
    <rPh sb="0" eb="3">
      <t>ニシミズエ</t>
    </rPh>
    <rPh sb="3" eb="4">
      <t>テン</t>
    </rPh>
    <phoneticPr fontId="3"/>
  </si>
  <si>
    <t>神奈川</t>
    <rPh sb="0" eb="3">
      <t>カナガワ</t>
    </rPh>
    <phoneticPr fontId="4"/>
  </si>
  <si>
    <t>いなげや</t>
    <phoneticPr fontId="3"/>
  </si>
  <si>
    <t>江戸川春江店</t>
    <rPh sb="0" eb="3">
      <t>エドガワ</t>
    </rPh>
    <rPh sb="3" eb="5">
      <t>ハルエ</t>
    </rPh>
    <rPh sb="5" eb="6">
      <t>テン</t>
    </rPh>
    <phoneticPr fontId="3"/>
  </si>
  <si>
    <t>埼玉</t>
    <rPh sb="0" eb="2">
      <t>サイタマ</t>
    </rPh>
    <phoneticPr fontId="4"/>
  </si>
  <si>
    <t>群馬</t>
    <rPh sb="0" eb="2">
      <t>グンマ</t>
    </rPh>
    <phoneticPr fontId="4"/>
  </si>
  <si>
    <t>千葉</t>
    <rPh sb="0" eb="2">
      <t>チバ</t>
    </rPh>
    <phoneticPr fontId="4"/>
  </si>
  <si>
    <t>ヤマイチ</t>
  </si>
  <si>
    <t>サミットストア</t>
  </si>
  <si>
    <t>MIKO</t>
    <phoneticPr fontId="3"/>
  </si>
  <si>
    <t>保冷なし</t>
    <phoneticPr fontId="3"/>
  </si>
  <si>
    <t>マックスバリュエクスプレス</t>
  </si>
  <si>
    <t>松江店</t>
  </si>
  <si>
    <t>コモディイイダ</t>
  </si>
  <si>
    <t>いなげや</t>
  </si>
  <si>
    <t>販売
ユニット
個数</t>
    <phoneticPr fontId="4"/>
  </si>
  <si>
    <t>06.01.2021</t>
    <phoneticPr fontId="3"/>
  </si>
  <si>
    <t>ハローデイ</t>
  </si>
  <si>
    <t>長尾</t>
    <rPh sb="0" eb="2">
      <t>ナガオ</t>
    </rPh>
    <phoneticPr fontId="3"/>
  </si>
  <si>
    <t>サニー</t>
  </si>
  <si>
    <t>野間</t>
    <rPh sb="0" eb="2">
      <t>ノマ</t>
    </rPh>
    <phoneticPr fontId="3"/>
  </si>
  <si>
    <t>一般栽培</t>
    <phoneticPr fontId="4"/>
  </si>
  <si>
    <t>マルショク</t>
  </si>
  <si>
    <t>野間大池</t>
    <rPh sb="0" eb="2">
      <t>ノマ</t>
    </rPh>
    <rPh sb="2" eb="4">
      <t>オオイケ</t>
    </rPh>
    <phoneticPr fontId="3"/>
  </si>
  <si>
    <t>マミーズ</t>
  </si>
  <si>
    <t>美野島</t>
    <rPh sb="0" eb="1">
      <t>ミ</t>
    </rPh>
    <rPh sb="1" eb="2">
      <t>ノ</t>
    </rPh>
    <rPh sb="2" eb="3">
      <t>シマ</t>
    </rPh>
    <phoneticPr fontId="3"/>
  </si>
  <si>
    <t>福岡</t>
    <rPh sb="0" eb="2">
      <t>フクオカ</t>
    </rPh>
    <phoneticPr fontId="4"/>
  </si>
  <si>
    <t>りんご</t>
    <phoneticPr fontId="3"/>
  </si>
  <si>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</si>
  <si>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</si>
  <si>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</si>
  <si>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</si>
  <si>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</si>
  <si>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</si>
  <si>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</si>
  <si>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</si>
  <si>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</si>
  <si>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</si>
  <si>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CK</t>
    <phoneticPr fontId="3"/>
  </si>
  <si>
    <t>マックスバリュ</t>
  </si>
  <si>
    <t>大橋</t>
    <rPh sb="0" eb="2">
      <t>オオハシ</t>
    </rPh>
    <phoneticPr fontId="3"/>
  </si>
  <si>
    <t>ハローデイ</t>
    <phoneticPr fontId="3"/>
  </si>
  <si>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</si>
  <si>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</si>
  <si>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</si>
  <si>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</si>
  <si>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</si>
  <si>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</si>
  <si>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</si>
  <si>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</si>
  <si>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</si>
  <si>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</si>
  <si>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</si>
  <si>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</si>
  <si>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</si>
  <si>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</si>
  <si>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キラキラ</t>
    <phoneticPr fontId="4"/>
  </si>
  <si>
    <t>プラム</t>
    <phoneticPr fontId="3"/>
  </si>
  <si>
    <t>グリーンアイ</t>
    <phoneticPr fontId="4"/>
  </si>
  <si>
    <t>山形</t>
  </si>
  <si>
    <t>ぽんかん</t>
    <phoneticPr fontId="3"/>
  </si>
  <si>
    <t>ＪＡ大阪</t>
    <rPh sb="2" eb="4">
      <t>オオサカ</t>
    </rPh>
    <phoneticPr fontId="4"/>
  </si>
  <si>
    <t>大阪</t>
    <rPh sb="0" eb="2">
      <t>オオサカ</t>
    </rPh>
    <phoneticPr fontId="4"/>
  </si>
  <si>
    <t>アメリカンチェリー</t>
    <phoneticPr fontId="3"/>
  </si>
  <si>
    <t>山口</t>
    <rPh sb="0" eb="2">
      <t>ヤマグチ</t>
    </rPh>
    <phoneticPr fontId="3"/>
  </si>
  <si>
    <t>県名</t>
    <phoneticPr fontId="3"/>
  </si>
  <si>
    <t>品種</t>
    <phoneticPr fontId="3"/>
  </si>
  <si>
    <t>JP</t>
    <phoneticPr fontId="4"/>
  </si>
  <si>
    <t>エブリィ</t>
  </si>
  <si>
    <t>楠木</t>
    <rPh sb="0" eb="1">
      <t>クスノキ</t>
    </rPh>
    <rPh sb="1" eb="2">
      <t>キ</t>
    </rPh>
    <phoneticPr fontId="3"/>
  </si>
  <si>
    <t>JPY</t>
    <phoneticPr fontId="4"/>
  </si>
  <si>
    <t>エブリィ</t>
    <phoneticPr fontId="3"/>
  </si>
  <si>
    <t>山陽マルナカ</t>
    <phoneticPr fontId="3"/>
  </si>
  <si>
    <t>白島店</t>
    <rPh sb="0" eb="1">
      <t>シロ</t>
    </rPh>
    <rPh sb="1" eb="2">
      <t>シマ</t>
    </rPh>
    <rPh sb="2" eb="3">
      <t>テン</t>
    </rPh>
    <phoneticPr fontId="3"/>
  </si>
  <si>
    <t>福屋</t>
    <rPh sb="0" eb="2">
      <t>フクヤ</t>
    </rPh>
    <phoneticPr fontId="3"/>
  </si>
  <si>
    <t>食品館ＦＲＥＤ店</t>
    <rPh sb="0" eb="2">
      <t>ショクヒン</t>
    </rPh>
    <rPh sb="2" eb="3">
      <t>カン</t>
    </rPh>
    <rPh sb="7" eb="8">
      <t>テン</t>
    </rPh>
    <phoneticPr fontId="3"/>
  </si>
  <si>
    <t>山陽マルナカ</t>
  </si>
  <si>
    <t>フジグラン</t>
    <phoneticPr fontId="3"/>
  </si>
  <si>
    <t>広島店</t>
    <rPh sb="0" eb="2">
      <t>ヒロシマ</t>
    </rPh>
    <rPh sb="2" eb="3">
      <t>テン</t>
    </rPh>
    <phoneticPr fontId="3"/>
  </si>
  <si>
    <t>アルク</t>
  </si>
  <si>
    <t>東千田店</t>
    <rPh sb="3" eb="4">
      <t>テン</t>
    </rPh>
    <phoneticPr fontId="3"/>
  </si>
  <si>
    <t>マックスバリュ</t>
    <phoneticPr fontId="3"/>
  </si>
  <si>
    <t>イズミ</t>
    <phoneticPr fontId="3"/>
  </si>
  <si>
    <t>ゆめタウン広島店</t>
    <rPh sb="5" eb="7">
      <t>ヒロシマ</t>
    </rPh>
    <rPh sb="7" eb="8">
      <t>テン</t>
    </rPh>
    <phoneticPr fontId="3"/>
  </si>
  <si>
    <t>フレスタ</t>
    <phoneticPr fontId="3"/>
  </si>
  <si>
    <t>上天満店</t>
    <rPh sb="0" eb="1">
      <t>ウエ</t>
    </rPh>
    <rPh sb="1" eb="3">
      <t>テンマン</t>
    </rPh>
    <rPh sb="3" eb="4">
      <t>テン</t>
    </rPh>
    <phoneticPr fontId="3"/>
  </si>
  <si>
    <t>ユアーズ</t>
    <phoneticPr fontId="3"/>
  </si>
  <si>
    <t>十日市店</t>
    <rPh sb="3" eb="4">
      <t>テン</t>
    </rPh>
    <phoneticPr fontId="3"/>
  </si>
  <si>
    <t>スパーク</t>
    <phoneticPr fontId="3"/>
  </si>
  <si>
    <t>バナナ</t>
    <phoneticPr fontId="4"/>
  </si>
  <si>
    <t>パパイヤ</t>
    <phoneticPr fontId="4"/>
  </si>
  <si>
    <t>びわ</t>
    <phoneticPr fontId="4"/>
  </si>
  <si>
    <t>メロン</t>
    <phoneticPr fontId="4"/>
  </si>
  <si>
    <t>桃</t>
    <phoneticPr fontId="4"/>
  </si>
  <si>
    <t>ブドウ</t>
    <phoneticPr fontId="4"/>
  </si>
  <si>
    <t>フジグラン</t>
  </si>
  <si>
    <t>ラフランス</t>
    <phoneticPr fontId="4"/>
  </si>
  <si>
    <t>りんご</t>
    <phoneticPr fontId="4"/>
  </si>
  <si>
    <t>みかん</t>
    <phoneticPr fontId="4"/>
  </si>
  <si>
    <t>マンゴー</t>
    <phoneticPr fontId="3"/>
  </si>
  <si>
    <t>山口</t>
    <rPh sb="0" eb="2">
      <t>ヤマグチ</t>
    </rPh>
    <phoneticPr fontId="4"/>
  </si>
  <si>
    <t>イズミ</t>
  </si>
  <si>
    <t>フレスタ</t>
  </si>
  <si>
    <t>ユアーズ</t>
  </si>
  <si>
    <t>スパーク</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</si>
  <si>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</si>
  <si>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</si>
  <si>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08.01.2021</t>
  </si>
  <si>
    <t>旬楽膳</t>
  </si>
  <si>
    <t>長久手店</t>
  </si>
  <si>
    <t>フェルナ</t>
  </si>
  <si>
    <t>段の上店</t>
  </si>
  <si>
    <t>アオキスーパー</t>
  </si>
  <si>
    <t>日進店</t>
  </si>
  <si>
    <t>ピアゴ</t>
  </si>
  <si>
    <t>長久手南店</t>
  </si>
  <si>
    <t>日本キウイフルーツ協会</t>
  </si>
  <si>
    <t>カネスエ</t>
  </si>
  <si>
    <t>アピタ</t>
  </si>
  <si>
    <t>藤が丘店</t>
  </si>
  <si>
    <t>カネトク</t>
  </si>
  <si>
    <t>トップバリュ</t>
  </si>
  <si>
    <t>グリーンアイ</t>
  </si>
  <si>
    <t>ＪＡ大阪</t>
  </si>
  <si>
    <t>コノミヤ</t>
  </si>
  <si>
    <t>深井店</t>
  </si>
  <si>
    <t>上野芝店</t>
  </si>
  <si>
    <t>デイリーカナート</t>
  </si>
  <si>
    <t>向ヶ丘店</t>
  </si>
  <si>
    <t>松源</t>
  </si>
  <si>
    <t>北条店</t>
  </si>
  <si>
    <t>石津店</t>
  </si>
  <si>
    <t>キンショー</t>
  </si>
  <si>
    <t>東湊店</t>
  </si>
  <si>
    <t>万代</t>
  </si>
  <si>
    <t>イズミヤ</t>
  </si>
  <si>
    <t>泉北店</t>
  </si>
  <si>
    <t>ダイエーグルメシティ</t>
  </si>
  <si>
    <t>イトーヨーカドー</t>
  </si>
  <si>
    <t>津久野店</t>
  </si>
  <si>
    <t>栃木</t>
  </si>
  <si>
    <t>ＪＡ栃木</t>
  </si>
  <si>
    <t>愛知</t>
  </si>
  <si>
    <t>ＪＡ愛知</t>
  </si>
  <si>
    <t>04.01.2021</t>
    <phoneticPr fontId="3"/>
  </si>
  <si>
    <t>宮の沢店</t>
    <rPh sb="0" eb="1">
      <t>ミヤ</t>
    </rPh>
    <rPh sb="2" eb="3">
      <t>サワ</t>
    </rPh>
    <rPh sb="3" eb="4">
      <t>テン</t>
    </rPh>
    <phoneticPr fontId="3"/>
  </si>
  <si>
    <t>コープさっぽろ</t>
  </si>
  <si>
    <t>西宮の沢店</t>
    <rPh sb="0" eb="2">
      <t>ニシミヤ</t>
    </rPh>
    <rPh sb="3" eb="4">
      <t>サワ</t>
    </rPh>
    <rPh sb="4" eb="5">
      <t>テン</t>
    </rPh>
    <phoneticPr fontId="3"/>
  </si>
  <si>
    <t>琴似店</t>
    <rPh sb="0" eb="2">
      <t>コトニ</t>
    </rPh>
    <rPh sb="2" eb="3">
      <t>テン</t>
    </rPh>
    <phoneticPr fontId="3"/>
  </si>
  <si>
    <t>新発寒店</t>
    <rPh sb="0" eb="1">
      <t>シン</t>
    </rPh>
    <rPh sb="1" eb="3">
      <t>ハッサム</t>
    </rPh>
    <rPh sb="3" eb="4">
      <t>テン</t>
    </rPh>
    <phoneticPr fontId="3"/>
  </si>
  <si>
    <t>ビッグハウス</t>
  </si>
  <si>
    <t>ウエスト店</t>
    <rPh sb="4" eb="5">
      <t>テン</t>
    </rPh>
    <phoneticPr fontId="3"/>
  </si>
  <si>
    <t>ラッキー</t>
  </si>
  <si>
    <t>発寒店</t>
    <rPh sb="0" eb="2">
      <t>ハッサム</t>
    </rPh>
    <rPh sb="2" eb="3">
      <t>テン</t>
    </rPh>
    <phoneticPr fontId="3"/>
  </si>
  <si>
    <t>ホクレンショップ</t>
  </si>
  <si>
    <t>Foodfarm新発寒店</t>
    <rPh sb="8" eb="9">
      <t>シン</t>
    </rPh>
    <rPh sb="9" eb="11">
      <t>ハッサム</t>
    </rPh>
    <rPh sb="11" eb="12">
      <t>テン</t>
    </rPh>
    <phoneticPr fontId="3"/>
  </si>
  <si>
    <t>札幌発寒店</t>
    <rPh sb="2" eb="4">
      <t>ハッサム</t>
    </rPh>
    <rPh sb="4" eb="5">
      <t>テン</t>
    </rPh>
    <phoneticPr fontId="3"/>
  </si>
  <si>
    <t>ダイイチ</t>
    <phoneticPr fontId="3"/>
  </si>
  <si>
    <t>発寒中央駅前店</t>
    <rPh sb="0" eb="2">
      <t>ハッサム</t>
    </rPh>
    <rPh sb="2" eb="4">
      <t>チュウオウ</t>
    </rPh>
    <rPh sb="4" eb="5">
      <t>エキ</t>
    </rPh>
    <rPh sb="5" eb="6">
      <t>マエ</t>
    </rPh>
    <rPh sb="6" eb="7">
      <t>テン</t>
    </rPh>
    <phoneticPr fontId="3"/>
  </si>
  <si>
    <t>ラルズマート</t>
  </si>
  <si>
    <t>ダイイチ</t>
  </si>
  <si>
    <t>05.01.2021</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</si>
</sst>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_ "/>
    <numFmt numFmtId="177" formatCode="0.00_);[Red]\(0.00\)"/>
    <numFmt numFmtId="178" formatCode="0_ "/>
  </numFmts>
  <fonts count="27">
    <font>
      <sz val="11"/>
      <color theme="1"/>
      <name val="游ゴシック"/>
      <family val="2"/>
      <charset val="128"/>
      <scheme val="minor"/>
    </font>
    <font>
      <sz val="11"/>
      <name val="ＭＳ Ｐゴシック"/>
      <family val="3"/>
      <charset val="128"/>
    </font>
    <font>
      <sz val="9"/>
      <name val="ＭＳ Ｐゴシック"/>
      <family val="3"/>
      <charset val="128"/>
    </font>
    <font>
      <sz val="6"/>
      <name val="游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6"/>
      <name val="游ゴシック"/>
      <family val="3"/>
      <charset val="128"/>
      <scheme val="minor"/>
    </font>
    <font>
      <sz val="10"/>
      <name val="ＭＳ Ｐゴシック"/>
      <family val="3"/>
      <charset val="128"/>
    </font>
    <font>
      <sz val="11"/>
      <color theme="1"/>
      <name val="游ゴシック"/>
      <family val="2"/>
      <charset val="128"/>
      <scheme val="minor"/>
    </font>
    <font>
      <sz val="11"/>
      <color theme="1"/>
      <name val="游ゴシック"/>
      <family val="3"/>
      <charset val="128"/>
      <scheme val="minor"/>
    </font>
    <font>
      <sz val="11"/>
      <color indexed="8"/>
      <name val="ＭＳ Ｐゴシック"/>
      <family val="3"/>
      <charset val="128"/>
    </font>
    <font>
      <sz val="11"/>
      <name val="游ゴシック"/>
      <family val="2"/>
      <charset val="128"/>
      <scheme val="minor"/>
    </font>
    <font>
      <sz val="11"/>
      <name val="游ゴシック"/>
      <family val="3"/>
      <charset val="128"/>
      <scheme val="minor"/>
    </font>
    <font>
      <sz val="11"/>
      <color rgb="FF000000"/>
      <name val="MS PGothic"/>
    </font>
    <font>
      <sz val="9"/>
      <color rgb="FF000000"/>
      <name val="MS PGothic"/>
    </font>
    <font>
      <sz val="9"/>
      <color rgb="FF000000"/>
      <name val="CG Omega"/>
      <family val="2"/>
    </font>
    <font>
      <b/>
      <sz val="8"/>
      <color rgb="FF000000"/>
      <name val="CG Omega"/>
      <family val="2"/>
    </font>
    <font>
      <b/>
      <sz val="8"/>
      <color rgb="FF000000"/>
      <name val="MS PGothic"/>
    </font>
    <font>
      <b/>
      <sz val="8"/>
      <color rgb="FF000000"/>
      <name val="Arial"/>
      <family val="2"/>
    </font>
    <font>
      <sz val="11"/>
      <color theme="1"/>
      <name val="MS PGothic"/>
    </font>
    <font>
      <sz val="11"/>
      <color theme="1"/>
      <name val="MS PGothic"/>
      <family val="3"/>
    </font>
    <font>
      <sz val="11"/>
      <color rgb="FF000000"/>
      <name val="MS PGothic"/>
      <family val="3"/>
    </font>
    <font>
      <sz val="11"/>
      <color theme="1"/>
      <name val="ＭＳ Ｐゴシック"/>
      <family val="3"/>
      <charset val="128"/>
    </font>
  </fonts>
  <fills count="10">
    <fill>
      <patternFill patternType="none"/>
    </fill>
    <fill>
      <patternFill patternType="gray125"/>
    </fill>
    <fill>
      <patternFill patternType="solid">
        <fgColor rgb="FF00B0F0"/>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indexed="40"/>
        <bgColor indexed="64"/>
      </patternFill>
    </fill>
    <fill>
      <patternFill patternType="solid">
        <fgColor rgb="FF00CCFF"/>
        <bgColor rgb="FF00CCFF"/>
      </patternFill>
    </fill>
    <fill>
      <patternFill patternType="solid">
        <fgColor rgb="FFFFFF00"/>
        <bgColor rgb="FFFFFF00"/>
      </patternFill>
    </fill>
  </fills>
  <borders count="5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theme="0" tint="-0.14993743705557422"/>
      </top>
      <bottom style="thin">
        <color theme="0" tint="-0.14993743705557422"/>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theme="0" tint="-0.14993743705557422"/>
      </left>
      <right style="thin">
        <color theme="0" tint="-0.149906918546098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auto="1"/>
      </left>
      <right/>
      <top/>
      <bottom/>
      <diagonal/>
    </border>
    <border>
      <left style="hair">
        <color auto="1"/>
      </left>
      <right style="thin">
        <color auto="1"/>
      </right>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s>
  <cellStyleXfs count="6">
    <xf numFmtId="0" fontId="0" fillId="0" borderId="0">
      <alignment vertical="center"/>
    </xf>
    <xf numFmtId="0" fontId="1" fillId="0" borderId="0"/>
    <xf numFmtId="0" fontId="1" fillId="0" borderId="0">
      <alignment vertical="center"/>
    </xf>
    <xf numFmtId="0" fontId="13" fillId="0" borderId="0">
      <alignment vertical="center"/>
    </xf>
    <xf numFmtId="0" fontId="13" fillId="0" borderId="0">
      <alignment vertical="center"/>
    </xf>
    <xf numFmtId="0" fontId="17" fillId="0" borderId="0"/>
  </cellStyleXfs>
  <cellXfs count="221">
    <xf numFmtId="0" fontId="0" fillId="0" borderId="0" xfId="0">
      <alignment vertical="center"/>
    </xf>
    <xf numFmtId="49" fontId="2" fillId="2" borderId="1" xfId="1" applyNumberFormat="1" applyFont="1" applyFill="1" applyBorder="1" applyAlignment="1">
      <alignment horizontal="center" vertical="center" wrapText="1"/>
    </xf>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2" borderId="3" xfId="1" applyNumberFormat="1" applyFont="1" applyFill="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4" xfId="1" applyNumberFormat="1" applyFont="1" applyBorder="1" applyAlignment="1">
      <alignment horizontal="center" vertical="center" wrapText="1"/>
    </xf>
    <xf numFmtId="49" fontId="6" fillId="3" borderId="3" xfId="1" applyNumberFormat="1" applyFont="1" applyFill="1" applyBorder="1" applyAlignment="1">
      <alignment horizontal="center" vertical="center" wrapText="1"/>
    </xf>
    <xf numFmtId="49" fontId="2" fillId="2" borderId="5" xfId="1" applyNumberFormat="1" applyFont="1" applyFill="1" applyBorder="1" applyAlignment="1">
      <alignment horizontal="center" vertical="center" wrapText="1"/>
    </xf>
    <xf numFmtId="49" fontId="7" fillId="0" borderId="6" xfId="1" applyNumberFormat="1" applyFont="1" applyBorder="1" applyAlignment="1">
      <alignment horizontal="center" vertical="center" wrapText="1"/>
    </xf>
    <xf numFmtId="0" fontId="1" fillId="0" borderId="0" xfId="1"/>
    <xf numFmtId="49" fontId="8" fillId="0" borderId="7" xfId="1" applyNumberFormat="1" applyFont="1" applyBorder="1" applyAlignment="1">
      <alignment horizontal="center" vertical="center" wrapText="1"/>
    </xf>
    <xf numFmtId="49" fontId="7" fillId="0" borderId="0" xfId="1" applyNumberFormat="1" applyFont="1" applyAlignment="1">
      <alignment horizontal="center" vertical="center" wrapText="1"/>
    </xf>
    <xf numFmtId="49" fontId="7" fillId="4" borderId="0" xfId="1" applyNumberFormat="1" applyFont="1" applyFill="1" applyAlignment="1">
      <alignment horizontal="center" vertical="center" wrapText="1"/>
    </xf>
    <xf numFmtId="49" fontId="8" fillId="4" borderId="7" xfId="1" applyNumberFormat="1" applyFont="1" applyFill="1" applyBorder="1" applyAlignment="1">
      <alignment horizontal="center" vertical="center" wrapText="1"/>
    </xf>
    <xf numFmtId="0" fontId="8" fillId="4" borderId="7" xfId="1" applyFont="1" applyFill="1" applyBorder="1" applyAlignment="1">
      <alignment horizontal="center" vertical="center"/>
    </xf>
    <xf numFmtId="0" fontId="8" fillId="0" borderId="7" xfId="1" applyFont="1" applyBorder="1" applyAlignment="1">
      <alignment horizontal="center" vertical="center"/>
    </xf>
    <xf numFmtId="0" fontId="8" fillId="0" borderId="7"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5" xfId="1" applyFont="1" applyBorder="1" applyAlignment="1">
      <alignment horizontal="center" vertical="center" wrapText="1"/>
    </xf>
    <xf numFmtId="0" fontId="1" fillId="0" borderId="0" xfId="2" applyAlignment="1"/>
    <xf numFmtId="0" fontId="1" fillId="4" borderId="9" xfId="1" applyFill="1" applyBorder="1"/>
    <xf numFmtId="0" fontId="1" fillId="4" borderId="0" xfId="1" applyFill="1"/>
    <xf numFmtId="0" fontId="1" fillId="3" borderId="0" xfId="1" applyFill="1"/>
    <xf numFmtId="0" fontId="1" fillId="5" borderId="0" xfId="1" applyFill="1"/>
    <xf numFmtId="176" fontId="1" fillId="3" borderId="0" xfId="1" applyNumberFormat="1" applyFill="1"/>
    <xf numFmtId="0" fontId="1" fillId="4" borderId="26" xfId="1" applyFill="1" applyBorder="1"/>
    <xf numFmtId="14" fontId="1" fillId="0" borderId="0" xfId="2" applyNumberFormat="1" applyAlignment="1"/>
    <xf numFmtId="0" fontId="1" fillId="4" borderId="30" xfId="1" applyFill="1" applyBorder="1"/>
    <xf numFmtId="0" fontId="1" fillId="4" borderId="31" xfId="1" applyFill="1" applyBorder="1"/>
    <xf numFmtId="14" fontId="0" fillId="4" borderId="31" xfId="1" applyNumberFormat="1" applyFont="1" applyFill="1" applyBorder="1"/>
    <xf numFmtId="0" fontId="11" fillId="0" borderId="10" xfId="1" applyFont="1" applyBorder="1" applyAlignment="1">
      <alignment vertical="center"/>
    </xf>
    <xf numFmtId="0" fontId="11" fillId="0" borderId="16" xfId="1" applyFont="1" applyBorder="1" applyAlignment="1">
      <alignment vertical="center"/>
    </xf>
    <xf numFmtId="0" fontId="11" fillId="0" borderId="21" xfId="1" applyFont="1" applyBorder="1" applyAlignment="1">
      <alignment vertical="center"/>
    </xf>
    <xf numFmtId="0" fontId="11" fillId="0" borderId="0" xfId="1" applyFont="1" applyAlignment="1">
      <alignment vertical="center"/>
    </xf>
    <xf numFmtId="0" fontId="11" fillId="4" borderId="0" xfId="1" applyFont="1" applyFill="1" applyAlignment="1">
      <alignment vertical="center"/>
    </xf>
    <xf numFmtId="0" fontId="11" fillId="0" borderId="0" xfId="1" applyFont="1"/>
    <xf numFmtId="0" fontId="11" fillId="4" borderId="0" xfId="1" applyFont="1" applyFill="1"/>
    <xf numFmtId="49" fontId="2" fillId="5" borderId="3" xfId="1" applyNumberFormat="1" applyFont="1" applyFill="1" applyBorder="1" applyAlignment="1">
      <alignment horizontal="center" vertical="center" wrapText="1"/>
    </xf>
    <xf numFmtId="0" fontId="2" fillId="5" borderId="3" xfId="1" applyFont="1" applyFill="1" applyBorder="1" applyAlignment="1">
      <alignment horizontal="center" vertical="center" wrapText="1"/>
    </xf>
    <xf numFmtId="49" fontId="8" fillId="0" borderId="0" xfId="1" applyNumberFormat="1" applyFont="1" applyAlignment="1">
      <alignment horizontal="center" vertical="center" wrapText="1"/>
    </xf>
    <xf numFmtId="0" fontId="8" fillId="0" borderId="1" xfId="1" applyFont="1" applyBorder="1" applyAlignment="1">
      <alignment horizontal="center" vertical="center" wrapText="1"/>
    </xf>
    <xf numFmtId="0" fontId="8" fillId="0" borderId="3" xfId="1" applyFont="1" applyBorder="1" applyAlignment="1">
      <alignment horizontal="center" vertical="center" wrapText="1"/>
    </xf>
    <xf numFmtId="0" fontId="8" fillId="0" borderId="5" xfId="1" applyFont="1" applyBorder="1" applyAlignment="1">
      <alignment horizontal="center" vertical="center" wrapText="1"/>
    </xf>
    <xf numFmtId="0" fontId="11" fillId="0" borderId="10" xfId="1" applyFont="1" applyBorder="1"/>
    <xf numFmtId="0" fontId="11" fillId="0" borderId="32" xfId="3" applyFont="1" applyBorder="1" applyAlignment="1">
      <alignment horizontal="center" vertical="center"/>
    </xf>
    <xf numFmtId="0" fontId="11" fillId="0" borderId="33" xfId="3" applyFont="1" applyBorder="1" applyAlignment="1">
      <alignment horizontal="center" vertical="center"/>
    </xf>
    <xf numFmtId="0" fontId="11" fillId="0" borderId="16" xfId="1" applyFont="1" applyBorder="1"/>
    <xf numFmtId="0" fontId="11" fillId="0" borderId="16" xfId="3" applyFont="1" applyBorder="1" applyAlignment="1">
      <alignment horizontal="center" vertical="center"/>
    </xf>
    <xf numFmtId="0" fontId="11" fillId="0" borderId="21" xfId="1" applyFont="1" applyBorder="1"/>
    <xf numFmtId="0" fontId="1" fillId="0" borderId="0" xfId="3" applyFont="1">
      <alignment vertical="center"/>
    </xf>
    <xf numFmtId="49" fontId="5" fillId="0" borderId="3" xfId="1" applyNumberFormat="1" applyFont="1" applyBorder="1" applyAlignment="1">
      <alignment horizontal="center" vertical="center" wrapText="1"/>
    </xf>
    <xf numFmtId="49" fontId="8" fillId="0" borderId="11" xfId="1" applyNumberFormat="1" applyFont="1" applyBorder="1" applyAlignment="1">
      <alignment horizontal="center" vertical="center" wrapText="1"/>
    </xf>
    <xf numFmtId="49" fontId="1" fillId="0" borderId="0" xfId="1" applyNumberFormat="1" applyAlignment="1">
      <alignment horizontal="right"/>
    </xf>
    <xf numFmtId="0" fontId="0" fillId="0" borderId="0" xfId="1" applyFont="1"/>
    <xf numFmtId="0" fontId="1" fillId="0" borderId="0" xfId="1" applyAlignment="1">
      <alignment horizontal="center"/>
    </xf>
    <xf numFmtId="14" fontId="14" fillId="0" borderId="0" xfId="1" applyNumberFormat="1" applyFont="1" applyAlignment="1">
      <alignment horizontal="center"/>
    </xf>
    <xf numFmtId="1" fontId="1" fillId="3" borderId="0" xfId="1" applyNumberFormat="1" applyFill="1"/>
    <xf numFmtId="49" fontId="2" fillId="7" borderId="1" xfId="1" applyNumberFormat="1" applyFont="1" applyFill="1" applyBorder="1" applyAlignment="1">
      <alignment horizontal="center" vertical="center" wrapText="1"/>
    </xf>
    <xf numFmtId="49" fontId="2" fillId="7" borderId="3" xfId="1" applyNumberFormat="1" applyFont="1" applyFill="1" applyBorder="1" applyAlignment="1">
      <alignment horizontal="center" vertical="center" wrapText="1"/>
    </xf>
    <xf numFmtId="49" fontId="2" fillId="7" borderId="5" xfId="1" applyNumberFormat="1" applyFont="1" applyFill="1" applyBorder="1" applyAlignment="1">
      <alignment horizontal="center" vertical="center" wrapText="1"/>
    </xf>
    <xf numFmtId="14" fontId="14" fillId="0" borderId="0" xfId="1" applyNumberFormat="1" applyFont="1"/>
    <xf numFmtId="0" fontId="13" fillId="0" borderId="0" xfId="3">
      <alignment vertical="center"/>
    </xf>
    <xf numFmtId="49" fontId="18" fillId="8" borderId="34" xfId="5" applyNumberFormat="1" applyFont="1" applyFill="1" applyBorder="1" applyAlignment="1">
      <alignment horizontal="center" vertical="center" wrapText="1"/>
    </xf>
    <xf numFmtId="49" fontId="18" fillId="0" borderId="35" xfId="5" applyNumberFormat="1" applyFont="1" applyBorder="1" applyAlignment="1">
      <alignment horizontal="center" vertical="center" wrapText="1"/>
    </xf>
    <xf numFmtId="49" fontId="18" fillId="0" borderId="36" xfId="5" applyNumberFormat="1" applyFont="1" applyBorder="1" applyAlignment="1">
      <alignment horizontal="center" vertical="center" wrapText="1"/>
    </xf>
    <xf numFmtId="49" fontId="18" fillId="8" borderId="36" xfId="5" applyNumberFormat="1" applyFont="1" applyFill="1" applyBorder="1" applyAlignment="1">
      <alignment horizontal="center" vertical="center" wrapText="1"/>
    </xf>
    <xf numFmtId="49" fontId="18" fillId="9" borderId="36" xfId="5" applyNumberFormat="1" applyFont="1" applyFill="1" applyBorder="1" applyAlignment="1">
      <alignment horizontal="center" vertical="center" wrapText="1"/>
    </xf>
    <xf numFmtId="49" fontId="19" fillId="0" borderId="36" xfId="5" applyNumberFormat="1" applyFont="1" applyBorder="1" applyAlignment="1">
      <alignment horizontal="center" vertical="center" wrapText="1"/>
    </xf>
    <xf numFmtId="49" fontId="18" fillId="8" borderId="37" xfId="5" applyNumberFormat="1" applyFont="1" applyFill="1" applyBorder="1" applyAlignment="1">
      <alignment horizontal="center" vertical="center" wrapText="1"/>
    </xf>
    <xf numFmtId="49" fontId="20" fillId="0" borderId="38" xfId="5" applyNumberFormat="1" applyFont="1" applyBorder="1" applyAlignment="1">
      <alignment horizontal="center" vertical="center" wrapText="1"/>
    </xf>
    <xf numFmtId="0" fontId="17" fillId="0" borderId="0" xfId="5"/>
    <xf numFmtId="49" fontId="21" fillId="0" borderId="39" xfId="5" applyNumberFormat="1" applyFont="1" applyBorder="1" applyAlignment="1">
      <alignment horizontal="center" vertical="center" wrapText="1"/>
    </xf>
    <xf numFmtId="49" fontId="20" fillId="0" borderId="0" xfId="5" applyNumberFormat="1" applyFont="1" applyAlignment="1">
      <alignment horizontal="center" vertical="center" wrapText="1"/>
    </xf>
    <xf numFmtId="0" fontId="21" fillId="0" borderId="39" xfId="5" applyFont="1" applyBorder="1" applyAlignment="1">
      <alignment horizontal="center" vertical="center"/>
    </xf>
    <xf numFmtId="0" fontId="21" fillId="0" borderId="39" xfId="5" applyFont="1" applyBorder="1" applyAlignment="1">
      <alignment horizontal="center" vertical="center" wrapText="1"/>
    </xf>
    <xf numFmtId="0" fontId="22" fillId="0" borderId="34" xfId="5" applyFont="1" applyBorder="1" applyAlignment="1">
      <alignment horizontal="center" vertical="center" wrapText="1"/>
    </xf>
    <xf numFmtId="0" fontId="22" fillId="0" borderId="36" xfId="5" applyFont="1" applyBorder="1" applyAlignment="1">
      <alignment horizontal="center" vertical="center" wrapText="1"/>
    </xf>
    <xf numFmtId="0" fontId="22" fillId="0" borderId="37" xfId="5" applyFont="1" applyBorder="1" applyAlignment="1">
      <alignment horizontal="center" vertical="center" wrapText="1"/>
    </xf>
    <xf numFmtId="0" fontId="17" fillId="0" borderId="0" xfId="5" applyAlignment="1">
      <alignment vertical="center"/>
    </xf>
    <xf numFmtId="0" fontId="23" fillId="0" borderId="0" xfId="5" applyFont="1"/>
    <xf numFmtId="0" fontId="17" fillId="9" borderId="0" xfId="5" applyFill="1"/>
    <xf numFmtId="14" fontId="17" fillId="0" borderId="0" xfId="5" applyNumberFormat="1"/>
    <xf numFmtId="14" fontId="0" fillId="0" borderId="0" xfId="1" applyNumberFormat="1" applyFont="1"/>
    <xf numFmtId="177" fontId="1" fillId="3" borderId="0" xfId="1" applyNumberFormat="1" applyFill="1" applyAlignment="1">
      <alignment horizontal="right"/>
    </xf>
    <xf numFmtId="0" fontId="1" fillId="3" borderId="0" xfId="1" applyFill="1" applyAlignment="1">
      <alignment horizontal="right"/>
    </xf>
    <xf numFmtId="0" fontId="1" fillId="0" borderId="0" xfId="1" applyAlignment="1">
      <alignment vertical="center"/>
    </xf>
    <xf numFmtId="176" fontId="1" fillId="3" borderId="0" xfId="1" applyNumberFormat="1" applyFill="1" applyAlignment="1">
      <alignment vertical="center"/>
    </xf>
    <xf numFmtId="0" fontId="1" fillId="3" borderId="0" xfId="1" applyFill="1" applyAlignment="1">
      <alignment vertical="center"/>
    </xf>
    <xf numFmtId="0" fontId="1" fillId="0" borderId="12" xfId="1" applyBorder="1" applyAlignment="1">
      <alignment vertical="center"/>
    </xf>
    <xf numFmtId="0" fontId="1" fillId="0" borderId="10" xfId="1" applyBorder="1" applyAlignment="1">
      <alignment vertical="center"/>
    </xf>
    <xf numFmtId="0" fontId="1" fillId="0" borderId="13" xfId="1" applyBorder="1" applyAlignment="1">
      <alignment vertical="center" wrapText="1"/>
    </xf>
    <xf numFmtId="0" fontId="1" fillId="0" borderId="14" xfId="1" applyBorder="1" applyAlignment="1">
      <alignment vertical="center" wrapText="1"/>
    </xf>
    <xf numFmtId="0" fontId="1" fillId="0" borderId="15" xfId="1" applyBorder="1" applyAlignment="1">
      <alignment vertical="center" wrapText="1"/>
    </xf>
    <xf numFmtId="0" fontId="1" fillId="0" borderId="16" xfId="1" applyBorder="1" applyAlignment="1">
      <alignment vertical="center"/>
    </xf>
    <xf numFmtId="0" fontId="1" fillId="0" borderId="17" xfId="1" applyBorder="1" applyAlignment="1">
      <alignment vertical="center" wrapText="1"/>
    </xf>
    <xf numFmtId="0" fontId="1" fillId="0" borderId="18" xfId="1" applyBorder="1" applyAlignment="1">
      <alignment vertical="center" wrapText="1"/>
    </xf>
    <xf numFmtId="0" fontId="1" fillId="0" borderId="19" xfId="1" applyBorder="1" applyAlignment="1">
      <alignment vertical="center" wrapText="1"/>
    </xf>
    <xf numFmtId="0" fontId="1" fillId="0" borderId="21" xfId="1" applyBorder="1" applyAlignment="1">
      <alignment vertical="center"/>
    </xf>
    <xf numFmtId="0" fontId="1" fillId="0" borderId="22" xfId="1" applyBorder="1" applyAlignment="1">
      <alignment vertical="center"/>
    </xf>
    <xf numFmtId="0" fontId="1" fillId="0" borderId="23" xfId="1" applyBorder="1" applyAlignment="1">
      <alignment vertical="center"/>
    </xf>
    <xf numFmtId="0" fontId="0" fillId="0" borderId="16" xfId="1" applyFont="1" applyBorder="1" applyAlignment="1">
      <alignment vertical="center"/>
    </xf>
    <xf numFmtId="0" fontId="1" fillId="0" borderId="27" xfId="1" applyBorder="1" applyAlignment="1">
      <alignment vertical="center" wrapText="1"/>
    </xf>
    <xf numFmtId="0" fontId="1" fillId="0" borderId="28" xfId="1" applyBorder="1" applyAlignment="1">
      <alignment vertical="center" wrapText="1"/>
    </xf>
    <xf numFmtId="0" fontId="1" fillId="0" borderId="29" xfId="1" applyBorder="1" applyAlignment="1">
      <alignment vertical="center" wrapText="1"/>
    </xf>
    <xf numFmtId="0" fontId="0" fillId="0" borderId="0" xfId="1" applyFont="1" applyAlignment="1">
      <alignment vertical="center"/>
    </xf>
    <xf numFmtId="0" fontId="1" fillId="4" borderId="0" xfId="1" applyFill="1" applyAlignment="1">
      <alignment vertical="center"/>
    </xf>
    <xf numFmtId="0" fontId="1" fillId="0" borderId="0" xfId="1" applyFont="1"/>
    <xf numFmtId="56" fontId="1" fillId="0" borderId="0" xfId="1" applyNumberFormat="1" applyFont="1"/>
    <xf numFmtId="176" fontId="1" fillId="5" borderId="0" xfId="1" applyNumberFormat="1" applyFont="1" applyFill="1"/>
    <xf numFmtId="0" fontId="1" fillId="3" borderId="0" xfId="1" applyFont="1" applyFill="1"/>
    <xf numFmtId="0" fontId="1" fillId="0" borderId="12" xfId="1" applyFont="1" applyBorder="1"/>
    <xf numFmtId="0" fontId="1" fillId="0" borderId="10"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 fillId="0" borderId="17" xfId="1" applyFont="1" applyBorder="1" applyAlignment="1">
      <alignment wrapText="1"/>
    </xf>
    <xf numFmtId="0" fontId="1" fillId="0" borderId="18" xfId="1" applyFont="1" applyBorder="1" applyAlignment="1">
      <alignment wrapText="1"/>
    </xf>
    <xf numFmtId="0" fontId="1" fillId="0" borderId="19" xfId="1" applyFont="1" applyBorder="1" applyAlignment="1">
      <alignment wrapText="1"/>
    </xf>
    <xf numFmtId="0" fontId="1" fillId="0" borderId="21" xfId="1" applyFont="1" applyBorder="1"/>
    <xf numFmtId="0" fontId="1" fillId="0" borderId="22" xfId="1" applyFont="1" applyBorder="1"/>
    <xf numFmtId="0" fontId="1" fillId="0" borderId="23" xfId="1" applyFont="1" applyBorder="1"/>
    <xf numFmtId="0" fontId="1" fillId="5" borderId="0" xfId="1" applyFont="1" applyFill="1"/>
    <xf numFmtId="0" fontId="1" fillId="0" borderId="27" xfId="1" applyFont="1" applyBorder="1" applyAlignment="1">
      <alignment wrapText="1"/>
    </xf>
    <xf numFmtId="0" fontId="1" fillId="0" borderId="28" xfId="1" applyFont="1" applyBorder="1" applyAlignment="1">
      <alignment wrapText="1"/>
    </xf>
    <xf numFmtId="0" fontId="1" fillId="0" borderId="29" xfId="1" applyFont="1" applyBorder="1" applyAlignment="1">
      <alignment wrapText="1"/>
    </xf>
    <xf numFmtId="177" fontId="1" fillId="5" borderId="0" xfId="1" applyNumberFormat="1" applyFill="1" applyAlignment="1">
      <alignment horizontal="right" vertical="center"/>
    </xf>
    <xf numFmtId="0" fontId="1" fillId="5" borderId="0" xfId="1" applyFill="1" applyAlignment="1">
      <alignment vertical="center"/>
    </xf>
    <xf numFmtId="0" fontId="0" fillId="0" borderId="16" xfId="0" applyBorder="1" applyAlignment="1">
      <alignment horizontal="center" vertical="center"/>
    </xf>
    <xf numFmtId="177" fontId="1" fillId="3" borderId="0" xfId="1" applyNumberFormat="1" applyFill="1" applyAlignment="1">
      <alignment horizontal="right" vertical="center"/>
    </xf>
    <xf numFmtId="0" fontId="1" fillId="4" borderId="16" xfId="1" applyFill="1" applyBorder="1" applyAlignment="1">
      <alignment vertical="center"/>
    </xf>
    <xf numFmtId="14" fontId="14" fillId="0" borderId="0" xfId="1" applyNumberFormat="1" applyFont="1" applyAlignment="1">
      <alignment vertical="center"/>
    </xf>
    <xf numFmtId="0" fontId="1" fillId="0" borderId="16" xfId="1" applyBorder="1" applyAlignment="1">
      <alignment vertical="center" shrinkToFit="1"/>
    </xf>
    <xf numFmtId="0" fontId="14" fillId="0" borderId="0" xfId="1" applyFont="1" applyAlignment="1">
      <alignment vertical="center"/>
    </xf>
    <xf numFmtId="0" fontId="13" fillId="0" borderId="0" xfId="3" applyAlignment="1">
      <alignment vertical="center"/>
    </xf>
    <xf numFmtId="0" fontId="17" fillId="0" borderId="0" xfId="5" applyFont="1" applyAlignment="1">
      <alignment vertical="center"/>
    </xf>
    <xf numFmtId="0" fontId="24" fillId="0" borderId="0" xfId="5" applyFont="1" applyAlignment="1">
      <alignment vertical="center"/>
    </xf>
    <xf numFmtId="177" fontId="25" fillId="9" borderId="0" xfId="5" applyNumberFormat="1" applyFont="1" applyFill="1" applyAlignment="1">
      <alignment vertical="center"/>
    </xf>
    <xf numFmtId="0" fontId="25" fillId="9" borderId="0" xfId="5" applyFont="1" applyFill="1" applyAlignment="1">
      <alignment vertical="center"/>
    </xf>
    <xf numFmtId="178" fontId="25" fillId="9" borderId="0" xfId="5" applyNumberFormat="1" applyFont="1" applyFill="1" applyAlignment="1">
      <alignment vertical="center"/>
    </xf>
    <xf numFmtId="0" fontId="25" fillId="0" borderId="40" xfId="5" applyFont="1" applyBorder="1" applyAlignment="1">
      <alignment vertical="center"/>
    </xf>
    <xf numFmtId="0" fontId="25" fillId="0" borderId="41" xfId="5" applyFont="1" applyBorder="1" applyAlignment="1">
      <alignment vertical="center"/>
    </xf>
    <xf numFmtId="0" fontId="25" fillId="0" borderId="42" xfId="5" applyFont="1" applyBorder="1" applyAlignment="1">
      <alignment vertical="center" wrapText="1"/>
    </xf>
    <xf numFmtId="0" fontId="25" fillId="0" borderId="43" xfId="5" applyFont="1" applyBorder="1" applyAlignment="1">
      <alignment vertical="center" wrapText="1"/>
    </xf>
    <xf numFmtId="0" fontId="25" fillId="0" borderId="44" xfId="5" applyFont="1" applyBorder="1" applyAlignment="1">
      <alignment vertical="center" wrapText="1"/>
    </xf>
    <xf numFmtId="0" fontId="25" fillId="0" borderId="45" xfId="5" applyFont="1" applyBorder="1" applyAlignment="1">
      <alignment vertical="center"/>
    </xf>
    <xf numFmtId="0" fontId="25" fillId="0" borderId="46" xfId="5" applyFont="1" applyBorder="1" applyAlignment="1">
      <alignment vertical="center" wrapText="1"/>
    </xf>
    <xf numFmtId="0" fontId="25" fillId="0" borderId="47" xfId="5" applyFont="1" applyBorder="1" applyAlignment="1">
      <alignment vertical="center" wrapText="1"/>
    </xf>
    <xf numFmtId="0" fontId="25" fillId="0" borderId="48" xfId="5" applyFont="1" applyBorder="1" applyAlignment="1">
      <alignment vertical="center" wrapText="1"/>
    </xf>
    <xf numFmtId="0" fontId="25" fillId="0" borderId="49" xfId="5" applyFont="1" applyBorder="1" applyAlignment="1">
      <alignment vertical="center"/>
    </xf>
    <xf numFmtId="0" fontId="25" fillId="0" borderId="50" xfId="5" applyFont="1" applyBorder="1" applyAlignment="1">
      <alignment vertical="center"/>
    </xf>
    <xf numFmtId="0" fontId="25" fillId="0" borderId="51" xfId="5" applyFont="1" applyBorder="1" applyAlignment="1">
      <alignment vertical="center"/>
    </xf>
    <xf numFmtId="0" fontId="25" fillId="0" borderId="52" xfId="5" applyFont="1" applyBorder="1" applyAlignment="1">
      <alignment vertical="center" wrapText="1"/>
    </xf>
    <xf numFmtId="0" fontId="25" fillId="0" borderId="53" xfId="5" applyFont="1" applyBorder="1" applyAlignment="1">
      <alignment vertical="center" wrapText="1"/>
    </xf>
    <xf numFmtId="0" fontId="25" fillId="0" borderId="54" xfId="5" applyFont="1" applyBorder="1" applyAlignment="1">
      <alignment vertical="center" wrapText="1"/>
    </xf>
    <xf numFmtId="0" fontId="1" fillId="0" borderId="0" xfId="2" applyAlignment="1">
      <alignment vertical="center"/>
    </xf>
    <xf numFmtId="14" fontId="1" fillId="0" borderId="0" xfId="2" applyNumberFormat="1" applyAlignment="1">
      <alignment vertical="center"/>
    </xf>
    <xf numFmtId="1" fontId="1" fillId="3" borderId="0" xfId="1" applyNumberFormat="1" applyFill="1" applyAlignment="1">
      <alignment vertical="center"/>
    </xf>
    <xf numFmtId="0" fontId="1" fillId="4" borderId="12" xfId="1" applyFill="1" applyBorder="1" applyAlignment="1">
      <alignment vertical="center"/>
    </xf>
    <xf numFmtId="0" fontId="1" fillId="4" borderId="13" xfId="1" applyFill="1" applyBorder="1" applyAlignment="1">
      <alignment vertical="center" wrapText="1"/>
    </xf>
    <xf numFmtId="0" fontId="1" fillId="4" borderId="14" xfId="1" applyFill="1" applyBorder="1" applyAlignment="1">
      <alignment vertical="center" wrapText="1"/>
    </xf>
    <xf numFmtId="0" fontId="1" fillId="4" borderId="15" xfId="1" applyFill="1" applyBorder="1" applyAlignment="1">
      <alignment vertical="center" wrapText="1"/>
    </xf>
    <xf numFmtId="0" fontId="0" fillId="0" borderId="21" xfId="1" applyFont="1" applyBorder="1" applyAlignment="1">
      <alignment vertical="center"/>
    </xf>
    <xf numFmtId="0" fontId="0" fillId="0" borderId="22" xfId="1" applyFont="1" applyBorder="1" applyAlignment="1">
      <alignment vertical="center"/>
    </xf>
    <xf numFmtId="0" fontId="15" fillId="0" borderId="1" xfId="0" applyFont="1" applyBorder="1" applyAlignment="1">
      <alignment vertical="center"/>
    </xf>
    <xf numFmtId="0" fontId="16" fillId="0" borderId="5" xfId="0" applyFont="1" applyBorder="1" applyAlignment="1">
      <alignment vertical="center"/>
    </xf>
    <xf numFmtId="0" fontId="16" fillId="0" borderId="1" xfId="0" applyFont="1" applyBorder="1" applyAlignment="1">
      <alignment vertical="center"/>
    </xf>
    <xf numFmtId="0" fontId="16" fillId="0" borderId="7" xfId="0" applyFont="1" applyBorder="1" applyAlignment="1">
      <alignment vertical="center"/>
    </xf>
    <xf numFmtId="0" fontId="1" fillId="0" borderId="0" xfId="2" applyFont="1" applyAlignment="1">
      <alignment vertical="center"/>
    </xf>
    <xf numFmtId="14" fontId="1" fillId="0" borderId="0" xfId="2" applyNumberFormat="1" applyFont="1" applyFill="1" applyAlignment="1">
      <alignment vertical="center"/>
    </xf>
    <xf numFmtId="0" fontId="1" fillId="0" borderId="0" xfId="1" applyFont="1" applyAlignment="1">
      <alignment vertical="center"/>
    </xf>
    <xf numFmtId="176" fontId="1" fillId="3" borderId="0" xfId="1" applyNumberFormat="1" applyFont="1" applyFill="1" applyAlignment="1">
      <alignment vertical="center"/>
    </xf>
    <xf numFmtId="0" fontId="1" fillId="0" borderId="20" xfId="1" applyFont="1" applyBorder="1" applyAlignment="1">
      <alignment vertical="center"/>
    </xf>
    <xf numFmtId="0" fontId="1" fillId="3" borderId="0" xfId="1" applyFont="1" applyFill="1" applyAlignment="1">
      <alignment vertical="center"/>
    </xf>
    <xf numFmtId="0" fontId="1" fillId="0" borderId="24" xfId="1" applyFont="1" applyBorder="1" applyAlignment="1">
      <alignment vertical="center"/>
    </xf>
    <xf numFmtId="0" fontId="1" fillId="5" borderId="0" xfId="1" applyFont="1" applyFill="1" applyAlignment="1">
      <alignment vertical="center"/>
    </xf>
    <xf numFmtId="0" fontId="1" fillId="0" borderId="25" xfId="1" applyFont="1" applyBorder="1" applyAlignment="1">
      <alignment vertical="center"/>
    </xf>
    <xf numFmtId="0" fontId="1" fillId="4" borderId="26" xfId="1" applyFont="1" applyFill="1" applyBorder="1" applyAlignment="1">
      <alignment vertical="center"/>
    </xf>
    <xf numFmtId="0" fontId="1" fillId="4" borderId="9" xfId="1" applyFont="1" applyFill="1" applyBorder="1" applyAlignment="1">
      <alignment vertical="center"/>
    </xf>
    <xf numFmtId="0" fontId="1" fillId="0" borderId="10" xfId="1" applyFont="1" applyBorder="1" applyAlignment="1">
      <alignment vertical="center"/>
    </xf>
    <xf numFmtId="0" fontId="26" fillId="0" borderId="11" xfId="0" applyFont="1" applyBorder="1" applyAlignment="1">
      <alignment vertical="center"/>
    </xf>
    <xf numFmtId="0" fontId="1" fillId="4" borderId="0" xfId="1" applyFont="1" applyFill="1" applyAlignment="1">
      <alignment vertical="center"/>
    </xf>
    <xf numFmtId="0" fontId="1" fillId="4" borderId="12" xfId="1" applyFont="1" applyFill="1" applyBorder="1" applyAlignment="1">
      <alignment vertical="center"/>
    </xf>
    <xf numFmtId="0" fontId="1" fillId="0" borderId="12" xfId="1" applyFont="1" applyBorder="1" applyAlignment="1">
      <alignment vertical="center"/>
    </xf>
    <xf numFmtId="0" fontId="1" fillId="0" borderId="13" xfId="1" applyFont="1" applyBorder="1" applyAlignment="1">
      <alignment vertical="center" wrapText="1"/>
    </xf>
    <xf numFmtId="0" fontId="1" fillId="0" borderId="14" xfId="1" applyFont="1" applyBorder="1" applyAlignment="1">
      <alignment vertical="center" wrapText="1"/>
    </xf>
    <xf numFmtId="0" fontId="1" fillId="0" borderId="15" xfId="1" applyFont="1" applyBorder="1" applyAlignment="1">
      <alignment vertical="center" wrapText="1"/>
    </xf>
    <xf numFmtId="0" fontId="1" fillId="0" borderId="8" xfId="1" applyFont="1" applyBorder="1" applyAlignment="1">
      <alignment vertical="center"/>
    </xf>
    <xf numFmtId="0" fontId="1" fillId="0" borderId="16" xfId="1" applyFont="1" applyBorder="1" applyAlignment="1">
      <alignment vertical="center"/>
    </xf>
    <xf numFmtId="0" fontId="26" fillId="0" borderId="16" xfId="0" applyFont="1" applyBorder="1" applyAlignment="1">
      <alignment vertical="center"/>
    </xf>
    <xf numFmtId="0" fontId="1" fillId="4" borderId="16" xfId="1" applyFont="1" applyFill="1" applyBorder="1" applyAlignment="1">
      <alignment vertical="center"/>
    </xf>
    <xf numFmtId="0" fontId="1" fillId="0" borderId="17" xfId="1" applyFont="1" applyBorder="1" applyAlignment="1">
      <alignment vertical="center" wrapText="1"/>
    </xf>
    <xf numFmtId="0" fontId="1" fillId="0" borderId="18" xfId="1" applyFont="1" applyBorder="1" applyAlignment="1">
      <alignment vertical="center" wrapText="1"/>
    </xf>
    <xf numFmtId="0" fontId="1" fillId="0" borderId="19" xfId="1" applyFont="1" applyBorder="1" applyAlignment="1">
      <alignment vertical="center" wrapText="1"/>
    </xf>
    <xf numFmtId="0" fontId="1" fillId="4" borderId="21" xfId="1" applyFont="1" applyFill="1" applyBorder="1" applyAlignment="1">
      <alignment vertical="center"/>
    </xf>
    <xf numFmtId="0" fontId="1" fillId="0" borderId="22" xfId="1" applyFont="1" applyBorder="1" applyAlignment="1">
      <alignment vertical="center"/>
    </xf>
    <xf numFmtId="0" fontId="1" fillId="4" borderId="22" xfId="1" applyFont="1" applyFill="1" applyBorder="1" applyAlignment="1">
      <alignment vertical="center"/>
    </xf>
    <xf numFmtId="0" fontId="1" fillId="0" borderId="23" xfId="1" applyFont="1" applyBorder="1" applyAlignment="1">
      <alignment vertical="center"/>
    </xf>
    <xf numFmtId="0" fontId="26" fillId="0" borderId="16" xfId="1" applyFont="1" applyBorder="1" applyAlignment="1">
      <alignment vertical="center"/>
    </xf>
    <xf numFmtId="0" fontId="1" fillId="0" borderId="27" xfId="1" applyFont="1" applyBorder="1" applyAlignment="1">
      <alignment vertical="center" wrapText="1"/>
    </xf>
    <xf numFmtId="0" fontId="1" fillId="0" borderId="28" xfId="1" applyFont="1" applyBorder="1" applyAlignment="1">
      <alignment vertical="center" wrapText="1"/>
    </xf>
    <xf numFmtId="0" fontId="1" fillId="0" borderId="29" xfId="1" applyFont="1" applyBorder="1" applyAlignment="1">
      <alignment vertical="center" wrapText="1"/>
    </xf>
    <xf numFmtId="0" fontId="26" fillId="0" borderId="0" xfId="1" applyFont="1" applyAlignment="1">
      <alignment vertical="center"/>
    </xf>
    <xf numFmtId="0" fontId="1" fillId="0" borderId="0" xfId="2" applyFont="1" applyFill="1" applyAlignment="1">
      <alignment vertical="center"/>
    </xf>
    <xf numFmtId="0" fontId="1" fillId="0" borderId="0" xfId="1" applyFont="1" applyFill="1" applyAlignment="1">
      <alignment vertical="center"/>
    </xf>
    <xf numFmtId="0" fontId="1" fillId="0" borderId="26" xfId="1" applyFont="1" applyFill="1" applyBorder="1" applyAlignment="1">
      <alignment vertical="center"/>
    </xf>
    <xf numFmtId="0" fontId="1" fillId="0" borderId="9" xfId="1" applyFont="1" applyFill="1" applyBorder="1" applyAlignment="1">
      <alignment vertical="center"/>
    </xf>
    <xf numFmtId="0" fontId="1" fillId="0" borderId="21" xfId="1" applyFont="1" applyBorder="1" applyAlignment="1">
      <alignment vertical="center"/>
    </xf>
    <xf numFmtId="0" fontId="1" fillId="0" borderId="21" xfId="1" applyFont="1" applyFill="1" applyBorder="1" applyAlignment="1">
      <alignment vertical="center"/>
    </xf>
    <xf numFmtId="0" fontId="1" fillId="0" borderId="16" xfId="1" applyFont="1" applyFill="1" applyBorder="1" applyAlignment="1">
      <alignment vertical="center"/>
    </xf>
    <xf numFmtId="0" fontId="1" fillId="0" borderId="0" xfId="1" applyFont="1" applyBorder="1" applyAlignment="1">
      <alignment vertical="center"/>
    </xf>
    <xf numFmtId="0" fontId="1" fillId="6" borderId="0" xfId="1" applyFont="1" applyFill="1" applyAlignment="1">
      <alignment vertical="center"/>
    </xf>
    <xf numFmtId="49" fontId="1" fillId="0" borderId="0" xfId="1" applyNumberFormat="1" applyFont="1" applyAlignment="1">
      <alignment vertical="center"/>
    </xf>
    <xf numFmtId="0" fontId="1" fillId="0" borderId="10" xfId="1" applyFont="1" applyBorder="1" applyAlignment="1" applyProtection="1">
      <alignment vertical="center"/>
      <protection locked="0"/>
    </xf>
    <xf numFmtId="0" fontId="1" fillId="0" borderId="12" xfId="1" applyFont="1" applyBorder="1" applyAlignment="1" applyProtection="1">
      <alignment vertical="center"/>
      <protection locked="0"/>
    </xf>
    <xf numFmtId="0" fontId="12" fillId="0" borderId="16" xfId="1" applyFont="1" applyBorder="1" applyAlignment="1">
      <alignment vertical="center"/>
    </xf>
    <xf numFmtId="0" fontId="12" fillId="0" borderId="0" xfId="1" applyFont="1" applyAlignment="1">
      <alignment vertical="center"/>
    </xf>
    <xf numFmtId="0" fontId="13" fillId="0" borderId="0" xfId="4" applyFont="1" applyAlignment="1">
      <alignment vertical="center"/>
    </xf>
    <xf numFmtId="0" fontId="1" fillId="0" borderId="0" xfId="1" applyAlignment="1">
      <alignment horizontal="right" vertical="center"/>
    </xf>
  </cellXfs>
  <cellStyles count="6">
    <cellStyle name="標準" xfId="0" builtinId="0"/>
    <cellStyle name="標準 2" xfId="1" xr:uid="{00000000-0005-0000-0000-000001000000}"/>
    <cellStyle name="標準 2 2" xfId="2" xr:uid="{00000000-0005-0000-0000-000002000000}"/>
    <cellStyle name="標準 3" xfId="3" xr:uid="{A9FC2D4F-3CE7-4062-92BF-E4DB5DDEC12B}"/>
    <cellStyle name="標準 3 2" xfId="4" xr:uid="{33CD6E1F-A4C7-497A-8634-63B5E5B62AD8}"/>
    <cellStyle name="標準 4" xfId="5" xr:uid="{4F813A08-ADE3-4E61-A685-F87D2FE079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20Shopsurvey_sendai.Week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20Shopsurvey_tokyo-east(konishi)-2020.wee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fukuoka_5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Week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nagoya_5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espri%20Shopsurvey_osaka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Sapporo.Week54&#65288;W1&#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onishi)"/>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west(ota)"/>
      <sheetName val="tokyo-east(konish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A0753-5174-4177-873E-B0703C3E63A7}">
  <dimension ref="A1:BA160"/>
  <sheetViews>
    <sheetView tabSelected="1" zoomScale="85" zoomScaleNormal="85" workbookViewId="0">
      <pane ySplit="1" topLeftCell="A2" activePane="bottomLeft" state="frozen"/>
      <selection pane="bottomLeft" activeCell="A2" sqref="A2"/>
    </sheetView>
  </sheetViews>
  <sheetFormatPr defaultRowHeight="13.5"/>
  <cols>
    <col min="1" max="3" width="9" style="10"/>
    <col min="4" max="4" width="10.5" style="10" bestFit="1" customWidth="1"/>
    <col min="5" max="5" width="10.875" style="10" bestFit="1" customWidth="1"/>
    <col min="6" max="13" width="9" style="10"/>
    <col min="14" max="14" width="9.5" style="10" bestFit="1" customWidth="1"/>
    <col min="15" max="16" width="9" style="10"/>
    <col min="17" max="17" width="9" style="86"/>
    <col min="18" max="18" width="9" style="10"/>
    <col min="19" max="19" width="12.75" style="10" bestFit="1" customWidth="1"/>
    <col min="20" max="20" width="9" style="24"/>
    <col min="21" max="21" width="9.5" style="10" bestFit="1" customWidth="1"/>
    <col min="22" max="22" width="9" style="24"/>
    <col min="23" max="32" width="9" style="10"/>
    <col min="33" max="33" width="13.875" style="10" bestFit="1" customWidth="1"/>
    <col min="34" max="259" width="9" style="10"/>
    <col min="260" max="260" width="10.5" style="10" bestFit="1" customWidth="1"/>
    <col min="261" max="261" width="10.875" style="10" bestFit="1" customWidth="1"/>
    <col min="262" max="276" width="9" style="10"/>
    <col min="277" max="277" width="9.5" style="10" bestFit="1" customWidth="1"/>
    <col min="278" max="288" width="9" style="10"/>
    <col min="289" max="289" width="12.375" style="10" bestFit="1" customWidth="1"/>
    <col min="290" max="515" width="9" style="10"/>
    <col min="516" max="516" width="10.5" style="10" bestFit="1" customWidth="1"/>
    <col min="517" max="517" width="10.875" style="10" bestFit="1" customWidth="1"/>
    <col min="518" max="532" width="9" style="10"/>
    <col min="533" max="533" width="9.5" style="10" bestFit="1" customWidth="1"/>
    <col min="534" max="544" width="9" style="10"/>
    <col min="545" max="545" width="12.375" style="10" bestFit="1" customWidth="1"/>
    <col min="546" max="771" width="9" style="10"/>
    <col min="772" max="772" width="10.5" style="10" bestFit="1" customWidth="1"/>
    <col min="773" max="773" width="10.875" style="10" bestFit="1" customWidth="1"/>
    <col min="774" max="788" width="9" style="10"/>
    <col min="789" max="789" width="9.5" style="10" bestFit="1" customWidth="1"/>
    <col min="790" max="800" width="9" style="10"/>
    <col min="801" max="801" width="12.375" style="10" bestFit="1" customWidth="1"/>
    <col min="802" max="1027" width="9" style="10"/>
    <col min="1028" max="1028" width="10.5" style="10" bestFit="1" customWidth="1"/>
    <col min="1029" max="1029" width="10.875" style="10" bestFit="1" customWidth="1"/>
    <col min="1030" max="1044" width="9" style="10"/>
    <col min="1045" max="1045" width="9.5" style="10" bestFit="1" customWidth="1"/>
    <col min="1046" max="1056" width="9" style="10"/>
    <col min="1057" max="1057" width="12.375" style="10" bestFit="1" customWidth="1"/>
    <col min="1058" max="1283" width="9" style="10"/>
    <col min="1284" max="1284" width="10.5" style="10" bestFit="1" customWidth="1"/>
    <col min="1285" max="1285" width="10.875" style="10" bestFit="1" customWidth="1"/>
    <col min="1286" max="1300" width="9" style="10"/>
    <col min="1301" max="1301" width="9.5" style="10" bestFit="1" customWidth="1"/>
    <col min="1302" max="1312" width="9" style="10"/>
    <col min="1313" max="1313" width="12.375" style="10" bestFit="1" customWidth="1"/>
    <col min="1314" max="1539" width="9" style="10"/>
    <col min="1540" max="1540" width="10.5" style="10" bestFit="1" customWidth="1"/>
    <col min="1541" max="1541" width="10.875" style="10" bestFit="1" customWidth="1"/>
    <col min="1542" max="1556" width="9" style="10"/>
    <col min="1557" max="1557" width="9.5" style="10" bestFit="1" customWidth="1"/>
    <col min="1558" max="1568" width="9" style="10"/>
    <col min="1569" max="1569" width="12.375" style="10" bestFit="1" customWidth="1"/>
    <col min="1570" max="1795" width="9" style="10"/>
    <col min="1796" max="1796" width="10.5" style="10" bestFit="1" customWidth="1"/>
    <col min="1797" max="1797" width="10.875" style="10" bestFit="1" customWidth="1"/>
    <col min="1798" max="1812" width="9" style="10"/>
    <col min="1813" max="1813" width="9.5" style="10" bestFit="1" customWidth="1"/>
    <col min="1814" max="1824" width="9" style="10"/>
    <col min="1825" max="1825" width="12.375" style="10" bestFit="1" customWidth="1"/>
    <col min="1826" max="2051" width="9" style="10"/>
    <col min="2052" max="2052" width="10.5" style="10" bestFit="1" customWidth="1"/>
    <col min="2053" max="2053" width="10.875" style="10" bestFit="1" customWidth="1"/>
    <col min="2054" max="2068" width="9" style="10"/>
    <col min="2069" max="2069" width="9.5" style="10" bestFit="1" customWidth="1"/>
    <col min="2070" max="2080" width="9" style="10"/>
    <col min="2081" max="2081" width="12.375" style="10" bestFit="1" customWidth="1"/>
    <col min="2082" max="2307" width="9" style="10"/>
    <col min="2308" max="2308" width="10.5" style="10" bestFit="1" customWidth="1"/>
    <col min="2309" max="2309" width="10.875" style="10" bestFit="1" customWidth="1"/>
    <col min="2310" max="2324" width="9" style="10"/>
    <col min="2325" max="2325" width="9.5" style="10" bestFit="1" customWidth="1"/>
    <col min="2326" max="2336" width="9" style="10"/>
    <col min="2337" max="2337" width="12.375" style="10" bestFit="1" customWidth="1"/>
    <col min="2338" max="2563" width="9" style="10"/>
    <col min="2564" max="2564" width="10.5" style="10" bestFit="1" customWidth="1"/>
    <col min="2565" max="2565" width="10.875" style="10" bestFit="1" customWidth="1"/>
    <col min="2566" max="2580" width="9" style="10"/>
    <col min="2581" max="2581" width="9.5" style="10" bestFit="1" customWidth="1"/>
    <col min="2582" max="2592" width="9" style="10"/>
    <col min="2593" max="2593" width="12.375" style="10" bestFit="1" customWidth="1"/>
    <col min="2594" max="2819" width="9" style="10"/>
    <col min="2820" max="2820" width="10.5" style="10" bestFit="1" customWidth="1"/>
    <col min="2821" max="2821" width="10.875" style="10" bestFit="1" customWidth="1"/>
    <col min="2822" max="2836" width="9" style="10"/>
    <col min="2837" max="2837" width="9.5" style="10" bestFit="1" customWidth="1"/>
    <col min="2838" max="2848" width="9" style="10"/>
    <col min="2849" max="2849" width="12.375" style="10" bestFit="1" customWidth="1"/>
    <col min="2850" max="3075" width="9" style="10"/>
    <col min="3076" max="3076" width="10.5" style="10" bestFit="1" customWidth="1"/>
    <col min="3077" max="3077" width="10.875" style="10" bestFit="1" customWidth="1"/>
    <col min="3078" max="3092" width="9" style="10"/>
    <col min="3093" max="3093" width="9.5" style="10" bestFit="1" customWidth="1"/>
    <col min="3094" max="3104" width="9" style="10"/>
    <col min="3105" max="3105" width="12.375" style="10" bestFit="1" customWidth="1"/>
    <col min="3106" max="3331" width="9" style="10"/>
    <col min="3332" max="3332" width="10.5" style="10" bestFit="1" customWidth="1"/>
    <col min="3333" max="3333" width="10.875" style="10" bestFit="1" customWidth="1"/>
    <col min="3334" max="3348" width="9" style="10"/>
    <col min="3349" max="3349" width="9.5" style="10" bestFit="1" customWidth="1"/>
    <col min="3350" max="3360" width="9" style="10"/>
    <col min="3361" max="3361" width="12.375" style="10" bestFit="1" customWidth="1"/>
    <col min="3362" max="3587" width="9" style="10"/>
    <col min="3588" max="3588" width="10.5" style="10" bestFit="1" customWidth="1"/>
    <col min="3589" max="3589" width="10.875" style="10" bestFit="1" customWidth="1"/>
    <col min="3590" max="3604" width="9" style="10"/>
    <col min="3605" max="3605" width="9.5" style="10" bestFit="1" customWidth="1"/>
    <col min="3606" max="3616" width="9" style="10"/>
    <col min="3617" max="3617" width="12.375" style="10" bestFit="1" customWidth="1"/>
    <col min="3618" max="3843" width="9" style="10"/>
    <col min="3844" max="3844" width="10.5" style="10" bestFit="1" customWidth="1"/>
    <col min="3845" max="3845" width="10.875" style="10" bestFit="1" customWidth="1"/>
    <col min="3846" max="3860" width="9" style="10"/>
    <col min="3861" max="3861" width="9.5" style="10" bestFit="1" customWidth="1"/>
    <col min="3862" max="3872" width="9" style="10"/>
    <col min="3873" max="3873" width="12.375" style="10" bestFit="1" customWidth="1"/>
    <col min="3874" max="4099" width="9" style="10"/>
    <col min="4100" max="4100" width="10.5" style="10" bestFit="1" customWidth="1"/>
    <col min="4101" max="4101" width="10.875" style="10" bestFit="1" customWidth="1"/>
    <col min="4102" max="4116" width="9" style="10"/>
    <col min="4117" max="4117" width="9.5" style="10" bestFit="1" customWidth="1"/>
    <col min="4118" max="4128" width="9" style="10"/>
    <col min="4129" max="4129" width="12.375" style="10" bestFit="1" customWidth="1"/>
    <col min="4130" max="4355" width="9" style="10"/>
    <col min="4356" max="4356" width="10.5" style="10" bestFit="1" customWidth="1"/>
    <col min="4357" max="4357" width="10.875" style="10" bestFit="1" customWidth="1"/>
    <col min="4358" max="4372" width="9" style="10"/>
    <col min="4373" max="4373" width="9.5" style="10" bestFit="1" customWidth="1"/>
    <col min="4374" max="4384" width="9" style="10"/>
    <col min="4385" max="4385" width="12.375" style="10" bestFit="1" customWidth="1"/>
    <col min="4386" max="4611" width="9" style="10"/>
    <col min="4612" max="4612" width="10.5" style="10" bestFit="1" customWidth="1"/>
    <col min="4613" max="4613" width="10.875" style="10" bestFit="1" customWidth="1"/>
    <col min="4614" max="4628" width="9" style="10"/>
    <col min="4629" max="4629" width="9.5" style="10" bestFit="1" customWidth="1"/>
    <col min="4630" max="4640" width="9" style="10"/>
    <col min="4641" max="4641" width="12.375" style="10" bestFit="1" customWidth="1"/>
    <col min="4642" max="4867" width="9" style="10"/>
    <col min="4868" max="4868" width="10.5" style="10" bestFit="1" customWidth="1"/>
    <col min="4869" max="4869" width="10.875" style="10" bestFit="1" customWidth="1"/>
    <col min="4870" max="4884" width="9" style="10"/>
    <col min="4885" max="4885" width="9.5" style="10" bestFit="1" customWidth="1"/>
    <col min="4886" max="4896" width="9" style="10"/>
    <col min="4897" max="4897" width="12.375" style="10" bestFit="1" customWidth="1"/>
    <col min="4898" max="5123" width="9" style="10"/>
    <col min="5124" max="5124" width="10.5" style="10" bestFit="1" customWidth="1"/>
    <col min="5125" max="5125" width="10.875" style="10" bestFit="1" customWidth="1"/>
    <col min="5126" max="5140" width="9" style="10"/>
    <col min="5141" max="5141" width="9.5" style="10" bestFit="1" customWidth="1"/>
    <col min="5142" max="5152" width="9" style="10"/>
    <col min="5153" max="5153" width="12.375" style="10" bestFit="1" customWidth="1"/>
    <col min="5154" max="5379" width="9" style="10"/>
    <col min="5380" max="5380" width="10.5" style="10" bestFit="1" customWidth="1"/>
    <col min="5381" max="5381" width="10.875" style="10" bestFit="1" customWidth="1"/>
    <col min="5382" max="5396" width="9" style="10"/>
    <col min="5397" max="5397" width="9.5" style="10" bestFit="1" customWidth="1"/>
    <col min="5398" max="5408" width="9" style="10"/>
    <col min="5409" max="5409" width="12.375" style="10" bestFit="1" customWidth="1"/>
    <col min="5410" max="5635" width="9" style="10"/>
    <col min="5636" max="5636" width="10.5" style="10" bestFit="1" customWidth="1"/>
    <col min="5637" max="5637" width="10.875" style="10" bestFit="1" customWidth="1"/>
    <col min="5638" max="5652" width="9" style="10"/>
    <col min="5653" max="5653" width="9.5" style="10" bestFit="1" customWidth="1"/>
    <col min="5654" max="5664" width="9" style="10"/>
    <col min="5665" max="5665" width="12.375" style="10" bestFit="1" customWidth="1"/>
    <col min="5666" max="5891" width="9" style="10"/>
    <col min="5892" max="5892" width="10.5" style="10" bestFit="1" customWidth="1"/>
    <col min="5893" max="5893" width="10.875" style="10" bestFit="1" customWidth="1"/>
    <col min="5894" max="5908" width="9" style="10"/>
    <col min="5909" max="5909" width="9.5" style="10" bestFit="1" customWidth="1"/>
    <col min="5910" max="5920" width="9" style="10"/>
    <col min="5921" max="5921" width="12.375" style="10" bestFit="1" customWidth="1"/>
    <col min="5922" max="6147" width="9" style="10"/>
    <col min="6148" max="6148" width="10.5" style="10" bestFit="1" customWidth="1"/>
    <col min="6149" max="6149" width="10.875" style="10" bestFit="1" customWidth="1"/>
    <col min="6150" max="6164" width="9" style="10"/>
    <col min="6165" max="6165" width="9.5" style="10" bestFit="1" customWidth="1"/>
    <col min="6166" max="6176" width="9" style="10"/>
    <col min="6177" max="6177" width="12.375" style="10" bestFit="1" customWidth="1"/>
    <col min="6178" max="6403" width="9" style="10"/>
    <col min="6404" max="6404" width="10.5" style="10" bestFit="1" customWidth="1"/>
    <col min="6405" max="6405" width="10.875" style="10" bestFit="1" customWidth="1"/>
    <col min="6406" max="6420" width="9" style="10"/>
    <col min="6421" max="6421" width="9.5" style="10" bestFit="1" customWidth="1"/>
    <col min="6422" max="6432" width="9" style="10"/>
    <col min="6433" max="6433" width="12.375" style="10" bestFit="1" customWidth="1"/>
    <col min="6434" max="6659" width="9" style="10"/>
    <col min="6660" max="6660" width="10.5" style="10" bestFit="1" customWidth="1"/>
    <col min="6661" max="6661" width="10.875" style="10" bestFit="1" customWidth="1"/>
    <col min="6662" max="6676" width="9" style="10"/>
    <col min="6677" max="6677" width="9.5" style="10" bestFit="1" customWidth="1"/>
    <col min="6678" max="6688" width="9" style="10"/>
    <col min="6689" max="6689" width="12.375" style="10" bestFit="1" customWidth="1"/>
    <col min="6690" max="6915" width="9" style="10"/>
    <col min="6916" max="6916" width="10.5" style="10" bestFit="1" customWidth="1"/>
    <col min="6917" max="6917" width="10.875" style="10" bestFit="1" customWidth="1"/>
    <col min="6918" max="6932" width="9" style="10"/>
    <col min="6933" max="6933" width="9.5" style="10" bestFit="1" customWidth="1"/>
    <col min="6934" max="6944" width="9" style="10"/>
    <col min="6945" max="6945" width="12.375" style="10" bestFit="1" customWidth="1"/>
    <col min="6946" max="7171" width="9" style="10"/>
    <col min="7172" max="7172" width="10.5" style="10" bestFit="1" customWidth="1"/>
    <col min="7173" max="7173" width="10.875" style="10" bestFit="1" customWidth="1"/>
    <col min="7174" max="7188" width="9" style="10"/>
    <col min="7189" max="7189" width="9.5" style="10" bestFit="1" customWidth="1"/>
    <col min="7190" max="7200" width="9" style="10"/>
    <col min="7201" max="7201" width="12.375" style="10" bestFit="1" customWidth="1"/>
    <col min="7202" max="7427" width="9" style="10"/>
    <col min="7428" max="7428" width="10.5" style="10" bestFit="1" customWidth="1"/>
    <col min="7429" max="7429" width="10.875" style="10" bestFit="1" customWidth="1"/>
    <col min="7430" max="7444" width="9" style="10"/>
    <col min="7445" max="7445" width="9.5" style="10" bestFit="1" customWidth="1"/>
    <col min="7446" max="7456" width="9" style="10"/>
    <col min="7457" max="7457" width="12.375" style="10" bestFit="1" customWidth="1"/>
    <col min="7458" max="7683" width="9" style="10"/>
    <col min="7684" max="7684" width="10.5" style="10" bestFit="1" customWidth="1"/>
    <col min="7685" max="7685" width="10.875" style="10" bestFit="1" customWidth="1"/>
    <col min="7686" max="7700" width="9" style="10"/>
    <col min="7701" max="7701" width="9.5" style="10" bestFit="1" customWidth="1"/>
    <col min="7702" max="7712" width="9" style="10"/>
    <col min="7713" max="7713" width="12.375" style="10" bestFit="1" customWidth="1"/>
    <col min="7714" max="7939" width="9" style="10"/>
    <col min="7940" max="7940" width="10.5" style="10" bestFit="1" customWidth="1"/>
    <col min="7941" max="7941" width="10.875" style="10" bestFit="1" customWidth="1"/>
    <col min="7942" max="7956" width="9" style="10"/>
    <col min="7957" max="7957" width="9.5" style="10" bestFit="1" customWidth="1"/>
    <col min="7958" max="7968" width="9" style="10"/>
    <col min="7969" max="7969" width="12.375" style="10" bestFit="1" customWidth="1"/>
    <col min="7970" max="8195" width="9" style="10"/>
    <col min="8196" max="8196" width="10.5" style="10" bestFit="1" customWidth="1"/>
    <col min="8197" max="8197" width="10.875" style="10" bestFit="1" customWidth="1"/>
    <col min="8198" max="8212" width="9" style="10"/>
    <col min="8213" max="8213" width="9.5" style="10" bestFit="1" customWidth="1"/>
    <col min="8214" max="8224" width="9" style="10"/>
    <col min="8225" max="8225" width="12.375" style="10" bestFit="1" customWidth="1"/>
    <col min="8226" max="8451" width="9" style="10"/>
    <col min="8452" max="8452" width="10.5" style="10" bestFit="1" customWidth="1"/>
    <col min="8453" max="8453" width="10.875" style="10" bestFit="1" customWidth="1"/>
    <col min="8454" max="8468" width="9" style="10"/>
    <col min="8469" max="8469" width="9.5" style="10" bestFit="1" customWidth="1"/>
    <col min="8470" max="8480" width="9" style="10"/>
    <col min="8481" max="8481" width="12.375" style="10" bestFit="1" customWidth="1"/>
    <col min="8482" max="8707" width="9" style="10"/>
    <col min="8708" max="8708" width="10.5" style="10" bestFit="1" customWidth="1"/>
    <col min="8709" max="8709" width="10.875" style="10" bestFit="1" customWidth="1"/>
    <col min="8710" max="8724" width="9" style="10"/>
    <col min="8725" max="8725" width="9.5" style="10" bestFit="1" customWidth="1"/>
    <col min="8726" max="8736" width="9" style="10"/>
    <col min="8737" max="8737" width="12.375" style="10" bestFit="1" customWidth="1"/>
    <col min="8738" max="8963" width="9" style="10"/>
    <col min="8964" max="8964" width="10.5" style="10" bestFit="1" customWidth="1"/>
    <col min="8965" max="8965" width="10.875" style="10" bestFit="1" customWidth="1"/>
    <col min="8966" max="8980" width="9" style="10"/>
    <col min="8981" max="8981" width="9.5" style="10" bestFit="1" customWidth="1"/>
    <col min="8982" max="8992" width="9" style="10"/>
    <col min="8993" max="8993" width="12.375" style="10" bestFit="1" customWidth="1"/>
    <col min="8994" max="9219" width="9" style="10"/>
    <col min="9220" max="9220" width="10.5" style="10" bestFit="1" customWidth="1"/>
    <col min="9221" max="9221" width="10.875" style="10" bestFit="1" customWidth="1"/>
    <col min="9222" max="9236" width="9" style="10"/>
    <col min="9237" max="9237" width="9.5" style="10" bestFit="1" customWidth="1"/>
    <col min="9238" max="9248" width="9" style="10"/>
    <col min="9249" max="9249" width="12.375" style="10" bestFit="1" customWidth="1"/>
    <col min="9250" max="9475" width="9" style="10"/>
    <col min="9476" max="9476" width="10.5" style="10" bestFit="1" customWidth="1"/>
    <col min="9477" max="9477" width="10.875" style="10" bestFit="1" customWidth="1"/>
    <col min="9478" max="9492" width="9" style="10"/>
    <col min="9493" max="9493" width="9.5" style="10" bestFit="1" customWidth="1"/>
    <col min="9494" max="9504" width="9" style="10"/>
    <col min="9505" max="9505" width="12.375" style="10" bestFit="1" customWidth="1"/>
    <col min="9506" max="9731" width="9" style="10"/>
    <col min="9732" max="9732" width="10.5" style="10" bestFit="1" customWidth="1"/>
    <col min="9733" max="9733" width="10.875" style="10" bestFit="1" customWidth="1"/>
    <col min="9734" max="9748" width="9" style="10"/>
    <col min="9749" max="9749" width="9.5" style="10" bestFit="1" customWidth="1"/>
    <col min="9750" max="9760" width="9" style="10"/>
    <col min="9761" max="9761" width="12.375" style="10" bestFit="1" customWidth="1"/>
    <col min="9762" max="9987" width="9" style="10"/>
    <col min="9988" max="9988" width="10.5" style="10" bestFit="1" customWidth="1"/>
    <col min="9989" max="9989" width="10.875" style="10" bestFit="1" customWidth="1"/>
    <col min="9990" max="10004" width="9" style="10"/>
    <col min="10005" max="10005" width="9.5" style="10" bestFit="1" customWidth="1"/>
    <col min="10006" max="10016" width="9" style="10"/>
    <col min="10017" max="10017" width="12.375" style="10" bestFit="1" customWidth="1"/>
    <col min="10018" max="10243" width="9" style="10"/>
    <col min="10244" max="10244" width="10.5" style="10" bestFit="1" customWidth="1"/>
    <col min="10245" max="10245" width="10.875" style="10" bestFit="1" customWidth="1"/>
    <col min="10246" max="10260" width="9" style="10"/>
    <col min="10261" max="10261" width="9.5" style="10" bestFit="1" customWidth="1"/>
    <col min="10262" max="10272" width="9" style="10"/>
    <col min="10273" max="10273" width="12.375" style="10" bestFit="1" customWidth="1"/>
    <col min="10274" max="10499" width="9" style="10"/>
    <col min="10500" max="10500" width="10.5" style="10" bestFit="1" customWidth="1"/>
    <col min="10501" max="10501" width="10.875" style="10" bestFit="1" customWidth="1"/>
    <col min="10502" max="10516" width="9" style="10"/>
    <col min="10517" max="10517" width="9.5" style="10" bestFit="1" customWidth="1"/>
    <col min="10518" max="10528" width="9" style="10"/>
    <col min="10529" max="10529" width="12.375" style="10" bestFit="1" customWidth="1"/>
    <col min="10530" max="10755" width="9" style="10"/>
    <col min="10756" max="10756" width="10.5" style="10" bestFit="1" customWidth="1"/>
    <col min="10757" max="10757" width="10.875" style="10" bestFit="1" customWidth="1"/>
    <col min="10758" max="10772" width="9" style="10"/>
    <col min="10773" max="10773" width="9.5" style="10" bestFit="1" customWidth="1"/>
    <col min="10774" max="10784" width="9" style="10"/>
    <col min="10785" max="10785" width="12.375" style="10" bestFit="1" customWidth="1"/>
    <col min="10786" max="11011" width="9" style="10"/>
    <col min="11012" max="11012" width="10.5" style="10" bestFit="1" customWidth="1"/>
    <col min="11013" max="11013" width="10.875" style="10" bestFit="1" customWidth="1"/>
    <col min="11014" max="11028" width="9" style="10"/>
    <col min="11029" max="11029" width="9.5" style="10" bestFit="1" customWidth="1"/>
    <col min="11030" max="11040" width="9" style="10"/>
    <col min="11041" max="11041" width="12.375" style="10" bestFit="1" customWidth="1"/>
    <col min="11042" max="11267" width="9" style="10"/>
    <col min="11268" max="11268" width="10.5" style="10" bestFit="1" customWidth="1"/>
    <col min="11269" max="11269" width="10.875" style="10" bestFit="1" customWidth="1"/>
    <col min="11270" max="11284" width="9" style="10"/>
    <col min="11285" max="11285" width="9.5" style="10" bestFit="1" customWidth="1"/>
    <col min="11286" max="11296" width="9" style="10"/>
    <col min="11297" max="11297" width="12.375" style="10" bestFit="1" customWidth="1"/>
    <col min="11298" max="11523" width="9" style="10"/>
    <col min="11524" max="11524" width="10.5" style="10" bestFit="1" customWidth="1"/>
    <col min="11525" max="11525" width="10.875" style="10" bestFit="1" customWidth="1"/>
    <col min="11526" max="11540" width="9" style="10"/>
    <col min="11541" max="11541" width="9.5" style="10" bestFit="1" customWidth="1"/>
    <col min="11542" max="11552" width="9" style="10"/>
    <col min="11553" max="11553" width="12.375" style="10" bestFit="1" customWidth="1"/>
    <col min="11554" max="11779" width="9" style="10"/>
    <col min="11780" max="11780" width="10.5" style="10" bestFit="1" customWidth="1"/>
    <col min="11781" max="11781" width="10.875" style="10" bestFit="1" customWidth="1"/>
    <col min="11782" max="11796" width="9" style="10"/>
    <col min="11797" max="11797" width="9.5" style="10" bestFit="1" customWidth="1"/>
    <col min="11798" max="11808" width="9" style="10"/>
    <col min="11809" max="11809" width="12.375" style="10" bestFit="1" customWidth="1"/>
    <col min="11810" max="12035" width="9" style="10"/>
    <col min="12036" max="12036" width="10.5" style="10" bestFit="1" customWidth="1"/>
    <col min="12037" max="12037" width="10.875" style="10" bestFit="1" customWidth="1"/>
    <col min="12038" max="12052" width="9" style="10"/>
    <col min="12053" max="12053" width="9.5" style="10" bestFit="1" customWidth="1"/>
    <col min="12054" max="12064" width="9" style="10"/>
    <col min="12065" max="12065" width="12.375" style="10" bestFit="1" customWidth="1"/>
    <col min="12066" max="12291" width="9" style="10"/>
    <col min="12292" max="12292" width="10.5" style="10" bestFit="1" customWidth="1"/>
    <col min="12293" max="12293" width="10.875" style="10" bestFit="1" customWidth="1"/>
    <col min="12294" max="12308" width="9" style="10"/>
    <col min="12309" max="12309" width="9.5" style="10" bestFit="1" customWidth="1"/>
    <col min="12310" max="12320" width="9" style="10"/>
    <col min="12321" max="12321" width="12.375" style="10" bestFit="1" customWidth="1"/>
    <col min="12322" max="12547" width="9" style="10"/>
    <col min="12548" max="12548" width="10.5" style="10" bestFit="1" customWidth="1"/>
    <col min="12549" max="12549" width="10.875" style="10" bestFit="1" customWidth="1"/>
    <col min="12550" max="12564" width="9" style="10"/>
    <col min="12565" max="12565" width="9.5" style="10" bestFit="1" customWidth="1"/>
    <col min="12566" max="12576" width="9" style="10"/>
    <col min="12577" max="12577" width="12.375" style="10" bestFit="1" customWidth="1"/>
    <col min="12578" max="12803" width="9" style="10"/>
    <col min="12804" max="12804" width="10.5" style="10" bestFit="1" customWidth="1"/>
    <col min="12805" max="12805" width="10.875" style="10" bestFit="1" customWidth="1"/>
    <col min="12806" max="12820" width="9" style="10"/>
    <col min="12821" max="12821" width="9.5" style="10" bestFit="1" customWidth="1"/>
    <col min="12822" max="12832" width="9" style="10"/>
    <col min="12833" max="12833" width="12.375" style="10" bestFit="1" customWidth="1"/>
    <col min="12834" max="13059" width="9" style="10"/>
    <col min="13060" max="13060" width="10.5" style="10" bestFit="1" customWidth="1"/>
    <col min="13061" max="13061" width="10.875" style="10" bestFit="1" customWidth="1"/>
    <col min="13062" max="13076" width="9" style="10"/>
    <col min="13077" max="13077" width="9.5" style="10" bestFit="1" customWidth="1"/>
    <col min="13078" max="13088" width="9" style="10"/>
    <col min="13089" max="13089" width="12.375" style="10" bestFit="1" customWidth="1"/>
    <col min="13090" max="13315" width="9" style="10"/>
    <col min="13316" max="13316" width="10.5" style="10" bestFit="1" customWidth="1"/>
    <col min="13317" max="13317" width="10.875" style="10" bestFit="1" customWidth="1"/>
    <col min="13318" max="13332" width="9" style="10"/>
    <col min="13333" max="13333" width="9.5" style="10" bestFit="1" customWidth="1"/>
    <col min="13334" max="13344" width="9" style="10"/>
    <col min="13345" max="13345" width="12.375" style="10" bestFit="1" customWidth="1"/>
    <col min="13346" max="13571" width="9" style="10"/>
    <col min="13572" max="13572" width="10.5" style="10" bestFit="1" customWidth="1"/>
    <col min="13573" max="13573" width="10.875" style="10" bestFit="1" customWidth="1"/>
    <col min="13574" max="13588" width="9" style="10"/>
    <col min="13589" max="13589" width="9.5" style="10" bestFit="1" customWidth="1"/>
    <col min="13590" max="13600" width="9" style="10"/>
    <col min="13601" max="13601" width="12.375" style="10" bestFit="1" customWidth="1"/>
    <col min="13602" max="13827" width="9" style="10"/>
    <col min="13828" max="13828" width="10.5" style="10" bestFit="1" customWidth="1"/>
    <col min="13829" max="13829" width="10.875" style="10" bestFit="1" customWidth="1"/>
    <col min="13830" max="13844" width="9" style="10"/>
    <col min="13845" max="13845" width="9.5" style="10" bestFit="1" customWidth="1"/>
    <col min="13846" max="13856" width="9" style="10"/>
    <col min="13857" max="13857" width="12.375" style="10" bestFit="1" customWidth="1"/>
    <col min="13858" max="14083" width="9" style="10"/>
    <col min="14084" max="14084" width="10.5" style="10" bestFit="1" customWidth="1"/>
    <col min="14085" max="14085" width="10.875" style="10" bestFit="1" customWidth="1"/>
    <col min="14086" max="14100" width="9" style="10"/>
    <col min="14101" max="14101" width="9.5" style="10" bestFit="1" customWidth="1"/>
    <col min="14102" max="14112" width="9" style="10"/>
    <col min="14113" max="14113" width="12.375" style="10" bestFit="1" customWidth="1"/>
    <col min="14114" max="14339" width="9" style="10"/>
    <col min="14340" max="14340" width="10.5" style="10" bestFit="1" customWidth="1"/>
    <col min="14341" max="14341" width="10.875" style="10" bestFit="1" customWidth="1"/>
    <col min="14342" max="14356" width="9" style="10"/>
    <col min="14357" max="14357" width="9.5" style="10" bestFit="1" customWidth="1"/>
    <col min="14358" max="14368" width="9" style="10"/>
    <col min="14369" max="14369" width="12.375" style="10" bestFit="1" customWidth="1"/>
    <col min="14370" max="14595" width="9" style="10"/>
    <col min="14596" max="14596" width="10.5" style="10" bestFit="1" customWidth="1"/>
    <col min="14597" max="14597" width="10.875" style="10" bestFit="1" customWidth="1"/>
    <col min="14598" max="14612" width="9" style="10"/>
    <col min="14613" max="14613" width="9.5" style="10" bestFit="1" customWidth="1"/>
    <col min="14614" max="14624" width="9" style="10"/>
    <col min="14625" max="14625" width="12.375" style="10" bestFit="1" customWidth="1"/>
    <col min="14626" max="14851" width="9" style="10"/>
    <col min="14852" max="14852" width="10.5" style="10" bestFit="1" customWidth="1"/>
    <col min="14853" max="14853" width="10.875" style="10" bestFit="1" customWidth="1"/>
    <col min="14854" max="14868" width="9" style="10"/>
    <col min="14869" max="14869" width="9.5" style="10" bestFit="1" customWidth="1"/>
    <col min="14870" max="14880" width="9" style="10"/>
    <col min="14881" max="14881" width="12.375" style="10" bestFit="1" customWidth="1"/>
    <col min="14882" max="15107" width="9" style="10"/>
    <col min="15108" max="15108" width="10.5" style="10" bestFit="1" customWidth="1"/>
    <col min="15109" max="15109" width="10.875" style="10" bestFit="1" customWidth="1"/>
    <col min="15110" max="15124" width="9" style="10"/>
    <col min="15125" max="15125" width="9.5" style="10" bestFit="1" customWidth="1"/>
    <col min="15126" max="15136" width="9" style="10"/>
    <col min="15137" max="15137" width="12.375" style="10" bestFit="1" customWidth="1"/>
    <col min="15138" max="15363" width="9" style="10"/>
    <col min="15364" max="15364" width="10.5" style="10" bestFit="1" customWidth="1"/>
    <col min="15365" max="15365" width="10.875" style="10" bestFit="1" customWidth="1"/>
    <col min="15366" max="15380" width="9" style="10"/>
    <col min="15381" max="15381" width="9.5" style="10" bestFit="1" customWidth="1"/>
    <col min="15382" max="15392" width="9" style="10"/>
    <col min="15393" max="15393" width="12.375" style="10" bestFit="1" customWidth="1"/>
    <col min="15394" max="15619" width="9" style="10"/>
    <col min="15620" max="15620" width="10.5" style="10" bestFit="1" customWidth="1"/>
    <col min="15621" max="15621" width="10.875" style="10" bestFit="1" customWidth="1"/>
    <col min="15622" max="15636" width="9" style="10"/>
    <col min="15637" max="15637" width="9.5" style="10" bestFit="1" customWidth="1"/>
    <col min="15638" max="15648" width="9" style="10"/>
    <col min="15649" max="15649" width="12.375" style="10" bestFit="1" customWidth="1"/>
    <col min="15650" max="15875" width="9" style="10"/>
    <col min="15876" max="15876" width="10.5" style="10" bestFit="1" customWidth="1"/>
    <col min="15877" max="15877" width="10.875" style="10" bestFit="1" customWidth="1"/>
    <col min="15878" max="15892" width="9" style="10"/>
    <col min="15893" max="15893" width="9.5" style="10" bestFit="1" customWidth="1"/>
    <col min="15894" max="15904" width="9" style="10"/>
    <col min="15905" max="15905" width="12.375" style="10" bestFit="1" customWidth="1"/>
    <col min="15906" max="16131" width="9" style="10"/>
    <col min="16132" max="16132" width="10.5" style="10" bestFit="1" customWidth="1"/>
    <col min="16133" max="16133" width="10.875" style="10" bestFit="1" customWidth="1"/>
    <col min="16134" max="16148" width="9" style="10"/>
    <col min="16149" max="16149" width="9.5" style="10" bestFit="1" customWidth="1"/>
    <col min="16150" max="16160" width="9" style="10"/>
    <col min="16161" max="16161" width="12.375" style="10" bestFit="1" customWidth="1"/>
    <col min="16162"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52" t="s">
        <v>20</v>
      </c>
      <c r="V1" s="7" t="s">
        <v>21</v>
      </c>
      <c r="W1" s="3" t="s">
        <v>22</v>
      </c>
      <c r="X1" s="4" t="s">
        <v>23</v>
      </c>
      <c r="Y1" s="4" t="s">
        <v>24</v>
      </c>
      <c r="Z1" s="4" t="s">
        <v>25</v>
      </c>
      <c r="AA1" s="8" t="s">
        <v>26</v>
      </c>
      <c r="AB1" s="9" t="s">
        <v>27</v>
      </c>
      <c r="AE1" s="11" t="s">
        <v>0</v>
      </c>
      <c r="AF1" s="12"/>
      <c r="AG1" s="11" t="s">
        <v>4</v>
      </c>
      <c r="AH1" s="11" t="s">
        <v>5</v>
      </c>
      <c r="AI1" s="12"/>
      <c r="AJ1" s="11" t="s">
        <v>6</v>
      </c>
      <c r="AK1" s="12"/>
      <c r="AL1" s="16" t="s">
        <v>334</v>
      </c>
      <c r="AM1" s="12"/>
      <c r="AN1" s="16" t="s">
        <v>8</v>
      </c>
      <c r="AO1" s="12"/>
      <c r="AP1" s="16" t="s">
        <v>28</v>
      </c>
      <c r="AQ1" s="12"/>
      <c r="AR1" s="16" t="s">
        <v>10</v>
      </c>
      <c r="AS1" s="12"/>
      <c r="AT1" s="17" t="s">
        <v>29</v>
      </c>
      <c r="AU1" s="12"/>
      <c r="AV1" s="16" t="s">
        <v>30</v>
      </c>
      <c r="AX1" s="18" t="s">
        <v>31</v>
      </c>
      <c r="AY1" s="19" t="s">
        <v>32</v>
      </c>
      <c r="AZ1" s="19" t="s">
        <v>33</v>
      </c>
      <c r="BA1" s="20" t="s">
        <v>34</v>
      </c>
    </row>
    <row r="2" spans="1:53" s="87" customFormat="1" ht="13.5" customHeight="1">
      <c r="A2" s="87" t="s">
        <v>49</v>
      </c>
      <c r="B2" s="87" t="s">
        <v>181</v>
      </c>
      <c r="C2" s="87">
        <v>2020</v>
      </c>
      <c r="D2" s="87" t="s">
        <v>412</v>
      </c>
      <c r="E2" s="87" t="s">
        <v>261</v>
      </c>
      <c r="F2" s="87" t="s">
        <v>413</v>
      </c>
      <c r="G2" s="87" t="s">
        <v>39</v>
      </c>
      <c r="H2" s="87" t="s">
        <v>40</v>
      </c>
      <c r="I2" s="87" t="s">
        <v>41</v>
      </c>
      <c r="J2" s="87" t="s">
        <v>42</v>
      </c>
      <c r="K2" s="87" t="s">
        <v>43</v>
      </c>
      <c r="L2" s="87">
        <v>1</v>
      </c>
      <c r="N2" s="106">
        <v>1</v>
      </c>
      <c r="O2" s="87">
        <v>1.75</v>
      </c>
      <c r="P2" s="87">
        <v>1.8</v>
      </c>
      <c r="Q2" s="128">
        <f t="shared" ref="Q2:Q71" si="0">IF(OR(O2="",P2=""),"",AVERAGE(O2,P2))</f>
        <v>1.7749999999999999</v>
      </c>
      <c r="R2" s="87">
        <v>10.9</v>
      </c>
      <c r="S2" s="87">
        <v>118</v>
      </c>
      <c r="T2" s="129">
        <f t="shared" ref="T2:T121" si="1">IF(H2="","",IF(OR(H2="GREEN",H2="GK"),IF(S2&gt;=$AX$2,VLOOKUP(S2,$AX$2:$AY$12,2,1),""),IF(S2&gt;=$AZ$2,VLOOKUP(S2,$AZ$2:$BA$12,2,1),"")))</f>
        <v>30</v>
      </c>
      <c r="U2" s="87">
        <v>99</v>
      </c>
      <c r="V2" s="129">
        <f t="shared" ref="V2:V121" si="2">IF(OR(N2="",U2="",T2=""),"",U2/N2*T2)</f>
        <v>2970</v>
      </c>
      <c r="W2" s="87">
        <v>2</v>
      </c>
      <c r="X2" s="87" t="s">
        <v>63</v>
      </c>
      <c r="Y2" s="87" t="s">
        <v>46</v>
      </c>
      <c r="Z2" s="87" t="s">
        <v>54</v>
      </c>
      <c r="AA2" s="87" t="s">
        <v>161</v>
      </c>
      <c r="AB2" s="106" t="s">
        <v>164</v>
      </c>
      <c r="AE2" s="32" t="s">
        <v>49</v>
      </c>
      <c r="AG2" s="130" t="s">
        <v>414</v>
      </c>
      <c r="AH2" s="130" t="s">
        <v>415</v>
      </c>
      <c r="AJ2" s="90" t="s">
        <v>39</v>
      </c>
      <c r="AL2" s="91" t="s">
        <v>51</v>
      </c>
      <c r="AN2" s="90" t="s">
        <v>52</v>
      </c>
      <c r="AP2" s="90" t="s">
        <v>42</v>
      </c>
      <c r="AR2" s="90" t="s">
        <v>53</v>
      </c>
      <c r="AT2" s="90" t="s">
        <v>44</v>
      </c>
      <c r="AV2" s="90" t="s">
        <v>54</v>
      </c>
      <c r="AX2" s="92">
        <v>1</v>
      </c>
      <c r="AY2" s="93">
        <v>50</v>
      </c>
      <c r="AZ2" s="93">
        <v>1</v>
      </c>
      <c r="BA2" s="94">
        <v>50</v>
      </c>
    </row>
    <row r="3" spans="1:53" s="87" customFormat="1" ht="13.5" customHeight="1">
      <c r="A3" s="87" t="s">
        <v>49</v>
      </c>
      <c r="B3" s="87" t="s">
        <v>181</v>
      </c>
      <c r="C3" s="87">
        <v>2020</v>
      </c>
      <c r="D3" s="87" t="s">
        <v>412</v>
      </c>
      <c r="E3" s="87" t="s">
        <v>261</v>
      </c>
      <c r="F3" s="87" t="s">
        <v>413</v>
      </c>
      <c r="G3" s="87" t="s">
        <v>39</v>
      </c>
      <c r="H3" s="87" t="s">
        <v>40</v>
      </c>
      <c r="I3" s="87" t="s">
        <v>41</v>
      </c>
      <c r="J3" s="87" t="s">
        <v>42</v>
      </c>
      <c r="K3" s="87" t="s">
        <v>43</v>
      </c>
      <c r="L3" s="87">
        <v>2</v>
      </c>
      <c r="N3" s="87">
        <v>1</v>
      </c>
      <c r="O3" s="106">
        <v>1.6</v>
      </c>
      <c r="P3" s="87">
        <v>1.7</v>
      </c>
      <c r="Q3" s="131">
        <f t="shared" si="0"/>
        <v>1.65</v>
      </c>
      <c r="R3" s="87">
        <v>12.1</v>
      </c>
      <c r="S3" s="87">
        <v>124</v>
      </c>
      <c r="T3" s="89">
        <f t="shared" si="1"/>
        <v>27</v>
      </c>
      <c r="U3" s="87">
        <v>99</v>
      </c>
      <c r="V3" s="89">
        <f t="shared" si="2"/>
        <v>2673</v>
      </c>
      <c r="W3" s="87">
        <v>2</v>
      </c>
      <c r="X3" s="87" t="s">
        <v>63</v>
      </c>
      <c r="Y3" s="87" t="s">
        <v>46</v>
      </c>
      <c r="Z3" s="87" t="s">
        <v>54</v>
      </c>
      <c r="AA3" s="87" t="s">
        <v>161</v>
      </c>
      <c r="AB3" s="106" t="s">
        <v>164</v>
      </c>
      <c r="AE3" s="33" t="s">
        <v>55</v>
      </c>
      <c r="AG3" s="130" t="s">
        <v>406</v>
      </c>
      <c r="AH3" s="130" t="s">
        <v>416</v>
      </c>
      <c r="AJ3" s="95" t="s">
        <v>58</v>
      </c>
      <c r="AL3" s="95" t="s">
        <v>59</v>
      </c>
      <c r="AN3" s="95" t="s">
        <v>60</v>
      </c>
      <c r="AP3" s="95" t="s">
        <v>61</v>
      </c>
      <c r="AR3" s="95" t="s">
        <v>62</v>
      </c>
      <c r="AT3" s="95" t="s">
        <v>63</v>
      </c>
      <c r="AV3" s="95" t="s">
        <v>64</v>
      </c>
      <c r="AX3" s="96">
        <v>72</v>
      </c>
      <c r="AY3" s="97">
        <v>46</v>
      </c>
      <c r="AZ3" s="97">
        <v>71</v>
      </c>
      <c r="BA3" s="98">
        <v>42</v>
      </c>
    </row>
    <row r="4" spans="1:53" s="87" customFormat="1" ht="13.5" customHeight="1">
      <c r="A4" s="87" t="s">
        <v>49</v>
      </c>
      <c r="B4" s="87" t="s">
        <v>181</v>
      </c>
      <c r="C4" s="87">
        <v>2020</v>
      </c>
      <c r="D4" s="87" t="s">
        <v>412</v>
      </c>
      <c r="E4" s="87" t="s">
        <v>261</v>
      </c>
      <c r="F4" s="87" t="s">
        <v>413</v>
      </c>
      <c r="G4" s="87" t="s">
        <v>39</v>
      </c>
      <c r="H4" s="87" t="s">
        <v>40</v>
      </c>
      <c r="I4" s="87" t="s">
        <v>41</v>
      </c>
      <c r="J4" s="87" t="s">
        <v>42</v>
      </c>
      <c r="K4" s="87" t="s">
        <v>43</v>
      </c>
      <c r="L4" s="87">
        <v>3</v>
      </c>
      <c r="N4" s="87">
        <v>1</v>
      </c>
      <c r="O4" s="87">
        <v>1.6</v>
      </c>
      <c r="P4" s="87">
        <v>1.75</v>
      </c>
      <c r="Q4" s="131">
        <f t="shared" si="0"/>
        <v>1.675</v>
      </c>
      <c r="R4" s="87">
        <v>11.7</v>
      </c>
      <c r="S4" s="87">
        <v>124</v>
      </c>
      <c r="T4" s="89">
        <f t="shared" si="1"/>
        <v>27</v>
      </c>
      <c r="U4" s="87">
        <v>99</v>
      </c>
      <c r="V4" s="89">
        <f t="shared" si="2"/>
        <v>2673</v>
      </c>
      <c r="W4" s="87">
        <v>2</v>
      </c>
      <c r="X4" s="87" t="s">
        <v>63</v>
      </c>
      <c r="Y4" s="87" t="s">
        <v>46</v>
      </c>
      <c r="Z4" s="87" t="s">
        <v>54</v>
      </c>
      <c r="AA4" s="87" t="s">
        <v>161</v>
      </c>
      <c r="AB4" s="106" t="s">
        <v>164</v>
      </c>
      <c r="AE4" s="33" t="s">
        <v>35</v>
      </c>
      <c r="AG4" s="130" t="s">
        <v>349</v>
      </c>
      <c r="AH4" s="130" t="s">
        <v>417</v>
      </c>
      <c r="AJ4" s="99" t="s">
        <v>67</v>
      </c>
      <c r="AL4" s="95" t="s">
        <v>68</v>
      </c>
      <c r="AN4" s="100" t="s">
        <v>69</v>
      </c>
      <c r="AP4" s="95" t="s">
        <v>70</v>
      </c>
      <c r="AR4" s="95" t="s">
        <v>71</v>
      </c>
      <c r="AT4" s="100"/>
      <c r="AV4" s="95" t="s">
        <v>47</v>
      </c>
      <c r="AX4" s="96">
        <v>75</v>
      </c>
      <c r="AY4" s="97">
        <v>42</v>
      </c>
      <c r="AZ4" s="97">
        <v>76</v>
      </c>
      <c r="BA4" s="98">
        <v>39</v>
      </c>
    </row>
    <row r="5" spans="1:53" s="87" customFormat="1" ht="13.5" customHeight="1">
      <c r="A5" s="87" t="s">
        <v>49</v>
      </c>
      <c r="B5" s="87" t="s">
        <v>181</v>
      </c>
      <c r="C5" s="87">
        <v>2020</v>
      </c>
      <c r="D5" s="87" t="s">
        <v>412</v>
      </c>
      <c r="E5" s="87" t="s">
        <v>261</v>
      </c>
      <c r="F5" s="87" t="s">
        <v>413</v>
      </c>
      <c r="G5" s="87" t="s">
        <v>39</v>
      </c>
      <c r="H5" s="87" t="s">
        <v>40</v>
      </c>
      <c r="I5" s="87" t="s">
        <v>41</v>
      </c>
      <c r="J5" s="87" t="s">
        <v>42</v>
      </c>
      <c r="K5" s="87" t="s">
        <v>43</v>
      </c>
      <c r="L5" s="87">
        <v>1</v>
      </c>
      <c r="N5" s="87">
        <v>5</v>
      </c>
      <c r="O5" s="87">
        <v>1</v>
      </c>
      <c r="P5" s="87">
        <v>1.2</v>
      </c>
      <c r="Q5" s="131">
        <f t="shared" si="0"/>
        <v>1.1000000000000001</v>
      </c>
      <c r="R5" s="87">
        <v>10.7</v>
      </c>
      <c r="S5" s="87">
        <v>87</v>
      </c>
      <c r="T5" s="89">
        <f t="shared" si="1"/>
        <v>36</v>
      </c>
      <c r="U5" s="87">
        <v>377</v>
      </c>
      <c r="V5" s="89">
        <f t="shared" si="2"/>
        <v>2714.4</v>
      </c>
      <c r="W5" s="87">
        <v>2</v>
      </c>
      <c r="X5" s="87" t="s">
        <v>63</v>
      </c>
      <c r="Y5" s="87" t="s">
        <v>46</v>
      </c>
      <c r="Z5" s="87" t="s">
        <v>54</v>
      </c>
      <c r="AA5" s="87" t="s">
        <v>161</v>
      </c>
      <c r="AB5" s="106" t="s">
        <v>164</v>
      </c>
      <c r="AE5" s="33" t="s">
        <v>72</v>
      </c>
      <c r="AG5" s="130" t="s">
        <v>418</v>
      </c>
      <c r="AH5" s="130" t="s">
        <v>419</v>
      </c>
      <c r="AJ5" s="100"/>
      <c r="AL5" s="95" t="s">
        <v>75</v>
      </c>
      <c r="AN5" s="101" t="s">
        <v>76</v>
      </c>
      <c r="AP5" s="95" t="s">
        <v>77</v>
      </c>
      <c r="AR5" s="95" t="s">
        <v>78</v>
      </c>
      <c r="AV5" s="95" t="s">
        <v>79</v>
      </c>
      <c r="AX5" s="96">
        <v>84</v>
      </c>
      <c r="AY5" s="97">
        <v>39</v>
      </c>
      <c r="AZ5" s="97">
        <v>84</v>
      </c>
      <c r="BA5" s="98">
        <v>36</v>
      </c>
    </row>
    <row r="6" spans="1:53" s="87" customFormat="1" ht="13.5" customHeight="1">
      <c r="A6" s="87" t="s">
        <v>49</v>
      </c>
      <c r="B6" s="87" t="s">
        <v>181</v>
      </c>
      <c r="C6" s="87">
        <v>2020</v>
      </c>
      <c r="D6" s="87" t="s">
        <v>412</v>
      </c>
      <c r="E6" s="87" t="s">
        <v>261</v>
      </c>
      <c r="F6" s="87" t="s">
        <v>413</v>
      </c>
      <c r="G6" s="87" t="s">
        <v>39</v>
      </c>
      <c r="H6" s="87" t="s">
        <v>40</v>
      </c>
      <c r="I6" s="87" t="s">
        <v>41</v>
      </c>
      <c r="J6" s="87" t="s">
        <v>42</v>
      </c>
      <c r="K6" s="87" t="s">
        <v>43</v>
      </c>
      <c r="L6" s="87">
        <v>2</v>
      </c>
      <c r="N6" s="87">
        <v>5</v>
      </c>
      <c r="O6" s="87">
        <v>0.8</v>
      </c>
      <c r="P6" s="87">
        <v>1</v>
      </c>
      <c r="Q6" s="131">
        <f t="shared" si="0"/>
        <v>0.9</v>
      </c>
      <c r="R6" s="87">
        <v>13.3</v>
      </c>
      <c r="S6" s="87">
        <v>84</v>
      </c>
      <c r="T6" s="89">
        <f t="shared" si="1"/>
        <v>36</v>
      </c>
      <c r="U6" s="87">
        <v>377</v>
      </c>
      <c r="V6" s="89">
        <f t="shared" si="2"/>
        <v>2714.4</v>
      </c>
      <c r="W6" s="87">
        <v>2</v>
      </c>
      <c r="X6" s="87" t="s">
        <v>63</v>
      </c>
      <c r="Y6" s="87" t="s">
        <v>46</v>
      </c>
      <c r="Z6" s="87" t="s">
        <v>54</v>
      </c>
      <c r="AA6" s="87" t="s">
        <v>161</v>
      </c>
      <c r="AB6" s="106" t="s">
        <v>164</v>
      </c>
      <c r="AE6" s="33" t="s">
        <v>80</v>
      </c>
      <c r="AG6" s="130" t="s">
        <v>420</v>
      </c>
      <c r="AH6" s="130" t="s">
        <v>421</v>
      </c>
      <c r="AL6" s="95" t="s">
        <v>83</v>
      </c>
      <c r="AN6" s="101" t="s">
        <v>84</v>
      </c>
      <c r="AP6" s="95" t="s">
        <v>85</v>
      </c>
      <c r="AR6" s="95" t="s">
        <v>86</v>
      </c>
      <c r="AV6" s="95" t="s">
        <v>87</v>
      </c>
      <c r="AX6" s="96">
        <v>97</v>
      </c>
      <c r="AY6" s="97">
        <v>36</v>
      </c>
      <c r="AZ6" s="97">
        <v>99</v>
      </c>
      <c r="BA6" s="98">
        <v>33</v>
      </c>
    </row>
    <row r="7" spans="1:53" s="87" customFormat="1" ht="13.5" customHeight="1">
      <c r="A7" s="87" t="s">
        <v>49</v>
      </c>
      <c r="B7" s="87" t="s">
        <v>181</v>
      </c>
      <c r="C7" s="87">
        <v>2020</v>
      </c>
      <c r="D7" s="87" t="s">
        <v>412</v>
      </c>
      <c r="E7" s="87" t="s">
        <v>261</v>
      </c>
      <c r="F7" s="87" t="s">
        <v>413</v>
      </c>
      <c r="G7" s="87" t="s">
        <v>39</v>
      </c>
      <c r="H7" s="87" t="s">
        <v>40</v>
      </c>
      <c r="I7" s="87" t="s">
        <v>41</v>
      </c>
      <c r="J7" s="87" t="s">
        <v>42</v>
      </c>
      <c r="K7" s="87" t="s">
        <v>43</v>
      </c>
      <c r="L7" s="87">
        <v>3</v>
      </c>
      <c r="N7" s="87">
        <v>5</v>
      </c>
      <c r="O7" s="87">
        <v>0.9</v>
      </c>
      <c r="P7" s="87">
        <v>0.95</v>
      </c>
      <c r="Q7" s="131">
        <f t="shared" si="0"/>
        <v>0.92500000000000004</v>
      </c>
      <c r="R7" s="106">
        <v>12.1</v>
      </c>
      <c r="S7" s="87">
        <v>92</v>
      </c>
      <c r="T7" s="89">
        <f t="shared" si="1"/>
        <v>36</v>
      </c>
      <c r="U7" s="87">
        <v>377</v>
      </c>
      <c r="V7" s="89">
        <f t="shared" si="2"/>
        <v>2714.4</v>
      </c>
      <c r="W7" s="87">
        <v>2</v>
      </c>
      <c r="X7" s="87" t="s">
        <v>63</v>
      </c>
      <c r="Y7" s="87" t="s">
        <v>46</v>
      </c>
      <c r="Z7" s="87" t="s">
        <v>54</v>
      </c>
      <c r="AA7" s="87" t="s">
        <v>161</v>
      </c>
      <c r="AB7" s="106" t="s">
        <v>164</v>
      </c>
      <c r="AE7" s="33" t="s">
        <v>88</v>
      </c>
      <c r="AG7" s="130" t="s">
        <v>422</v>
      </c>
      <c r="AH7" s="130" t="s">
        <v>423</v>
      </c>
      <c r="AL7" s="102" t="s">
        <v>90</v>
      </c>
      <c r="AP7" s="95" t="s">
        <v>91</v>
      </c>
      <c r="AR7" s="95" t="s">
        <v>92</v>
      </c>
      <c r="AV7" s="95" t="s">
        <v>93</v>
      </c>
      <c r="AX7" s="96">
        <v>109</v>
      </c>
      <c r="AY7" s="97">
        <v>33</v>
      </c>
      <c r="AZ7" s="97">
        <v>113</v>
      </c>
      <c r="BA7" s="98">
        <v>30</v>
      </c>
    </row>
    <row r="8" spans="1:53" s="87" customFormat="1" ht="13.5" customHeight="1">
      <c r="A8" s="87" t="s">
        <v>49</v>
      </c>
      <c r="B8" s="87" t="s">
        <v>181</v>
      </c>
      <c r="C8" s="87">
        <v>2020</v>
      </c>
      <c r="D8" s="87" t="s">
        <v>412</v>
      </c>
      <c r="E8" s="87" t="s">
        <v>418</v>
      </c>
      <c r="F8" s="87" t="s">
        <v>419</v>
      </c>
      <c r="G8" s="87" t="s">
        <v>39</v>
      </c>
      <c r="H8" s="87" t="s">
        <v>40</v>
      </c>
      <c r="I8" s="87" t="s">
        <v>41</v>
      </c>
      <c r="J8" s="87" t="s">
        <v>42</v>
      </c>
      <c r="K8" s="87" t="s">
        <v>43</v>
      </c>
      <c r="L8" s="87">
        <v>1</v>
      </c>
      <c r="N8" s="87">
        <v>1</v>
      </c>
      <c r="O8" s="87">
        <v>0.75</v>
      </c>
      <c r="P8" s="87">
        <v>0.75</v>
      </c>
      <c r="Q8" s="131">
        <f t="shared" si="0"/>
        <v>0.75</v>
      </c>
      <c r="R8" s="106">
        <v>11.9</v>
      </c>
      <c r="S8" s="87">
        <v>120</v>
      </c>
      <c r="T8" s="89">
        <f t="shared" si="1"/>
        <v>30</v>
      </c>
      <c r="U8" s="87">
        <v>98</v>
      </c>
      <c r="V8" s="89">
        <f t="shared" si="2"/>
        <v>2940</v>
      </c>
      <c r="W8" s="87">
        <v>1</v>
      </c>
      <c r="X8" s="87" t="s">
        <v>44</v>
      </c>
      <c r="Y8" s="87" t="s">
        <v>46</v>
      </c>
      <c r="Z8" s="87" t="s">
        <v>54</v>
      </c>
      <c r="AA8" s="87" t="s">
        <v>45</v>
      </c>
      <c r="AB8" s="106" t="s">
        <v>164</v>
      </c>
      <c r="AE8" s="33" t="s">
        <v>86</v>
      </c>
      <c r="AG8" s="130" t="s">
        <v>261</v>
      </c>
      <c r="AH8" s="130" t="s">
        <v>413</v>
      </c>
      <c r="AL8" s="102" t="s">
        <v>96</v>
      </c>
      <c r="AP8" s="95" t="s">
        <v>97</v>
      </c>
      <c r="AR8" s="95" t="s">
        <v>98</v>
      </c>
      <c r="AV8" s="95" t="s">
        <v>99</v>
      </c>
      <c r="AX8" s="96">
        <v>119</v>
      </c>
      <c r="AY8" s="97">
        <v>30</v>
      </c>
      <c r="AZ8" s="97">
        <v>121</v>
      </c>
      <c r="BA8" s="98">
        <v>27</v>
      </c>
    </row>
    <row r="9" spans="1:53" s="87" customFormat="1" ht="13.5" customHeight="1">
      <c r="A9" s="87" t="s">
        <v>49</v>
      </c>
      <c r="B9" s="87" t="s">
        <v>181</v>
      </c>
      <c r="C9" s="87">
        <v>2020</v>
      </c>
      <c r="D9" s="87" t="s">
        <v>412</v>
      </c>
      <c r="E9" s="87" t="s">
        <v>418</v>
      </c>
      <c r="F9" s="87" t="s">
        <v>419</v>
      </c>
      <c r="G9" s="87" t="s">
        <v>39</v>
      </c>
      <c r="H9" s="87" t="s">
        <v>40</v>
      </c>
      <c r="I9" s="87" t="s">
        <v>41</v>
      </c>
      <c r="J9" s="87" t="s">
        <v>42</v>
      </c>
      <c r="K9" s="87" t="s">
        <v>43</v>
      </c>
      <c r="L9" s="87">
        <v>2</v>
      </c>
      <c r="N9" s="87">
        <v>1</v>
      </c>
      <c r="O9" s="87">
        <v>1.3</v>
      </c>
      <c r="P9" s="87">
        <v>1.35</v>
      </c>
      <c r="Q9" s="131">
        <f t="shared" si="0"/>
        <v>1.3250000000000002</v>
      </c>
      <c r="R9" s="87">
        <v>11.8</v>
      </c>
      <c r="S9" s="87">
        <v>117</v>
      </c>
      <c r="T9" s="89">
        <f t="shared" si="1"/>
        <v>30</v>
      </c>
      <c r="U9" s="87">
        <v>98</v>
      </c>
      <c r="V9" s="89">
        <f t="shared" si="2"/>
        <v>2940</v>
      </c>
      <c r="W9" s="87">
        <v>1</v>
      </c>
      <c r="X9" s="87" t="s">
        <v>44</v>
      </c>
      <c r="Y9" s="87" t="s">
        <v>46</v>
      </c>
      <c r="Z9" s="87" t="s">
        <v>54</v>
      </c>
      <c r="AA9" s="87" t="s">
        <v>45</v>
      </c>
      <c r="AB9" s="106" t="s">
        <v>164</v>
      </c>
      <c r="AE9" s="33" t="s">
        <v>100</v>
      </c>
      <c r="AG9" s="130" t="s">
        <v>183</v>
      </c>
      <c r="AH9" s="130" t="s">
        <v>424</v>
      </c>
      <c r="AL9" s="95" t="s">
        <v>102</v>
      </c>
      <c r="AP9" s="95" t="s">
        <v>103</v>
      </c>
      <c r="AR9" s="95" t="s">
        <v>104</v>
      </c>
      <c r="AV9" s="95" t="s">
        <v>105</v>
      </c>
      <c r="AX9" s="96">
        <v>128</v>
      </c>
      <c r="AY9" s="97">
        <v>27</v>
      </c>
      <c r="AZ9" s="97">
        <v>129</v>
      </c>
      <c r="BA9" s="98">
        <v>25</v>
      </c>
    </row>
    <row r="10" spans="1:53" s="87" customFormat="1" ht="13.5" customHeight="1">
      <c r="A10" s="87" t="s">
        <v>49</v>
      </c>
      <c r="B10" s="87" t="s">
        <v>181</v>
      </c>
      <c r="C10" s="87">
        <v>2020</v>
      </c>
      <c r="D10" s="87" t="s">
        <v>412</v>
      </c>
      <c r="E10" s="87" t="s">
        <v>418</v>
      </c>
      <c r="F10" s="87" t="s">
        <v>419</v>
      </c>
      <c r="G10" s="87" t="s">
        <v>39</v>
      </c>
      <c r="H10" s="87" t="s">
        <v>40</v>
      </c>
      <c r="I10" s="87" t="s">
        <v>41</v>
      </c>
      <c r="J10" s="87" t="s">
        <v>42</v>
      </c>
      <c r="K10" s="87" t="s">
        <v>43</v>
      </c>
      <c r="L10" s="87">
        <v>3</v>
      </c>
      <c r="N10" s="87">
        <v>1</v>
      </c>
      <c r="O10" s="87">
        <v>1.5</v>
      </c>
      <c r="P10" s="87">
        <v>1.65</v>
      </c>
      <c r="Q10" s="131">
        <f t="shared" si="0"/>
        <v>1.575</v>
      </c>
      <c r="R10" s="87">
        <v>11.5</v>
      </c>
      <c r="S10" s="87">
        <v>123</v>
      </c>
      <c r="T10" s="89">
        <f t="shared" si="1"/>
        <v>27</v>
      </c>
      <c r="U10" s="87">
        <v>98</v>
      </c>
      <c r="V10" s="89">
        <f t="shared" si="2"/>
        <v>2646</v>
      </c>
      <c r="W10" s="87">
        <v>1</v>
      </c>
      <c r="X10" s="87" t="s">
        <v>44</v>
      </c>
      <c r="Y10" s="87" t="s">
        <v>46</v>
      </c>
      <c r="Z10" s="87" t="s">
        <v>54</v>
      </c>
      <c r="AA10" s="87" t="s">
        <v>45</v>
      </c>
      <c r="AB10" s="106" t="s">
        <v>164</v>
      </c>
      <c r="AE10" s="33" t="s">
        <v>106</v>
      </c>
      <c r="AG10" s="130" t="s">
        <v>425</v>
      </c>
      <c r="AH10" s="130" t="s">
        <v>426</v>
      </c>
      <c r="AP10" s="95" t="s">
        <v>109</v>
      </c>
      <c r="AR10" s="95" t="s">
        <v>110</v>
      </c>
      <c r="AV10" s="95" t="s">
        <v>111</v>
      </c>
      <c r="AX10" s="96">
        <v>138</v>
      </c>
      <c r="AY10" s="97">
        <v>25</v>
      </c>
      <c r="AZ10" s="97">
        <v>138</v>
      </c>
      <c r="BA10" s="98">
        <v>22</v>
      </c>
    </row>
    <row r="11" spans="1:53" s="87" customFormat="1" ht="13.5" customHeight="1">
      <c r="A11" s="87" t="s">
        <v>49</v>
      </c>
      <c r="B11" s="87" t="s">
        <v>181</v>
      </c>
      <c r="C11" s="87">
        <v>2020</v>
      </c>
      <c r="D11" s="87" t="s">
        <v>412</v>
      </c>
      <c r="E11" s="87" t="s">
        <v>418</v>
      </c>
      <c r="F11" s="87" t="s">
        <v>419</v>
      </c>
      <c r="G11" s="87" t="s">
        <v>39</v>
      </c>
      <c r="H11" s="87" t="s">
        <v>157</v>
      </c>
      <c r="I11" s="87" t="s">
        <v>41</v>
      </c>
      <c r="J11" s="87" t="s">
        <v>42</v>
      </c>
      <c r="K11" s="87" t="s">
        <v>78</v>
      </c>
      <c r="L11" s="87">
        <v>1</v>
      </c>
      <c r="N11" s="87">
        <v>4</v>
      </c>
      <c r="O11" s="87">
        <v>0.9</v>
      </c>
      <c r="P11" s="87">
        <v>1</v>
      </c>
      <c r="Q11" s="131">
        <f t="shared" si="0"/>
        <v>0.95</v>
      </c>
      <c r="R11" s="87">
        <v>11.8</v>
      </c>
      <c r="S11" s="87">
        <v>113</v>
      </c>
      <c r="T11" s="89">
        <f t="shared" si="1"/>
        <v>33</v>
      </c>
      <c r="U11" s="87">
        <v>150</v>
      </c>
      <c r="V11" s="89">
        <f t="shared" si="2"/>
        <v>1237.5</v>
      </c>
      <c r="W11" s="87">
        <v>1</v>
      </c>
      <c r="X11" s="87" t="s">
        <v>44</v>
      </c>
      <c r="Y11" s="87" t="s">
        <v>46</v>
      </c>
      <c r="Z11" s="87" t="s">
        <v>54</v>
      </c>
      <c r="AA11" s="87" t="s">
        <v>45</v>
      </c>
      <c r="AB11" s="106" t="s">
        <v>164</v>
      </c>
      <c r="AE11" s="33" t="s">
        <v>269</v>
      </c>
      <c r="AG11" s="130" t="s">
        <v>427</v>
      </c>
      <c r="AH11" s="130" t="s">
        <v>421</v>
      </c>
      <c r="AP11" s="95" t="s">
        <v>212</v>
      </c>
      <c r="AR11" s="95" t="s">
        <v>128</v>
      </c>
      <c r="AV11" s="95" t="s">
        <v>161</v>
      </c>
      <c r="AX11" s="96">
        <v>151</v>
      </c>
      <c r="AY11" s="97">
        <v>22</v>
      </c>
      <c r="AZ11" s="97">
        <v>152</v>
      </c>
      <c r="BA11" s="98">
        <v>18</v>
      </c>
    </row>
    <row r="12" spans="1:53" s="87" customFormat="1" ht="13.5" customHeight="1">
      <c r="A12" s="87" t="s">
        <v>49</v>
      </c>
      <c r="B12" s="87" t="s">
        <v>181</v>
      </c>
      <c r="C12" s="87">
        <v>2020</v>
      </c>
      <c r="D12" s="87" t="s">
        <v>412</v>
      </c>
      <c r="E12" s="87" t="s">
        <v>418</v>
      </c>
      <c r="F12" s="87" t="s">
        <v>419</v>
      </c>
      <c r="G12" s="87" t="s">
        <v>39</v>
      </c>
      <c r="H12" s="87" t="s">
        <v>157</v>
      </c>
      <c r="I12" s="87" t="s">
        <v>41</v>
      </c>
      <c r="J12" s="87" t="s">
        <v>42</v>
      </c>
      <c r="K12" s="87" t="s">
        <v>78</v>
      </c>
      <c r="L12" s="87">
        <v>2</v>
      </c>
      <c r="N12" s="87">
        <v>4</v>
      </c>
      <c r="O12" s="87">
        <v>1.3</v>
      </c>
      <c r="P12" s="87">
        <v>1.4</v>
      </c>
      <c r="Q12" s="131">
        <f t="shared" si="0"/>
        <v>1.35</v>
      </c>
      <c r="R12" s="106">
        <v>11.7</v>
      </c>
      <c r="S12" s="87">
        <v>118</v>
      </c>
      <c r="T12" s="89">
        <f t="shared" si="1"/>
        <v>33</v>
      </c>
      <c r="U12" s="87">
        <v>150</v>
      </c>
      <c r="V12" s="89">
        <f t="shared" si="2"/>
        <v>1237.5</v>
      </c>
      <c r="W12" s="87">
        <v>1</v>
      </c>
      <c r="X12" s="87" t="s">
        <v>44</v>
      </c>
      <c r="Y12" s="87" t="s">
        <v>46</v>
      </c>
      <c r="Z12" s="87" t="s">
        <v>54</v>
      </c>
      <c r="AA12" s="87" t="s">
        <v>45</v>
      </c>
      <c r="AB12" s="106" t="s">
        <v>164</v>
      </c>
      <c r="AE12" s="33" t="s">
        <v>272</v>
      </c>
      <c r="AG12" s="132"/>
      <c r="AH12" s="132"/>
      <c r="AP12" s="95" t="s">
        <v>215</v>
      </c>
      <c r="AR12" s="95" t="s">
        <v>273</v>
      </c>
      <c r="AV12" s="95" t="s">
        <v>217</v>
      </c>
      <c r="AX12" s="103">
        <v>180</v>
      </c>
      <c r="AY12" s="104">
        <v>18</v>
      </c>
      <c r="AZ12" s="104">
        <v>181</v>
      </c>
      <c r="BA12" s="105">
        <v>16</v>
      </c>
    </row>
    <row r="13" spans="1:53" s="87" customFormat="1" ht="13.5" customHeight="1">
      <c r="A13" s="87" t="s">
        <v>49</v>
      </c>
      <c r="B13" s="87" t="s">
        <v>181</v>
      </c>
      <c r="C13" s="87">
        <v>2020</v>
      </c>
      <c r="D13" s="87" t="s">
        <v>412</v>
      </c>
      <c r="E13" s="87" t="s">
        <v>418</v>
      </c>
      <c r="F13" s="87" t="s">
        <v>419</v>
      </c>
      <c r="G13" s="87" t="s">
        <v>39</v>
      </c>
      <c r="H13" s="87" t="s">
        <v>157</v>
      </c>
      <c r="I13" s="87" t="s">
        <v>41</v>
      </c>
      <c r="J13" s="87" t="s">
        <v>42</v>
      </c>
      <c r="K13" s="87" t="s">
        <v>78</v>
      </c>
      <c r="L13" s="87">
        <v>3</v>
      </c>
      <c r="N13" s="87">
        <v>4</v>
      </c>
      <c r="O13" s="87">
        <v>1.25</v>
      </c>
      <c r="P13" s="87">
        <v>1.3</v>
      </c>
      <c r="Q13" s="131">
        <f t="shared" si="0"/>
        <v>1.2749999999999999</v>
      </c>
      <c r="R13" s="87">
        <v>11.2</v>
      </c>
      <c r="S13" s="87">
        <v>115</v>
      </c>
      <c r="T13" s="89">
        <f t="shared" si="1"/>
        <v>33</v>
      </c>
      <c r="U13" s="87">
        <v>150</v>
      </c>
      <c r="V13" s="89">
        <f t="shared" si="2"/>
        <v>1237.5</v>
      </c>
      <c r="W13" s="87">
        <v>1</v>
      </c>
      <c r="X13" s="87" t="s">
        <v>44</v>
      </c>
      <c r="Y13" s="87" t="s">
        <v>46</v>
      </c>
      <c r="Z13" s="87" t="s">
        <v>54</v>
      </c>
      <c r="AA13" s="87" t="s">
        <v>45</v>
      </c>
      <c r="AB13" s="106" t="s">
        <v>164</v>
      </c>
      <c r="AE13" s="33" t="s">
        <v>274</v>
      </c>
      <c r="AG13" s="95"/>
      <c r="AH13" s="95"/>
      <c r="AP13" s="95" t="s">
        <v>219</v>
      </c>
      <c r="AR13" s="95" t="s">
        <v>106</v>
      </c>
      <c r="AV13" s="95" t="s">
        <v>220</v>
      </c>
    </row>
    <row r="14" spans="1:53" s="87" customFormat="1" ht="13.5" customHeight="1">
      <c r="A14" s="87" t="s">
        <v>49</v>
      </c>
      <c r="B14" s="87" t="s">
        <v>181</v>
      </c>
      <c r="C14" s="87">
        <v>2020</v>
      </c>
      <c r="D14" s="87" t="s">
        <v>412</v>
      </c>
      <c r="E14" s="87" t="s">
        <v>414</v>
      </c>
      <c r="F14" s="87" t="s">
        <v>415</v>
      </c>
      <c r="G14" s="87" t="s">
        <v>39</v>
      </c>
      <c r="H14" s="87" t="s">
        <v>40</v>
      </c>
      <c r="I14" s="87" t="s">
        <v>41</v>
      </c>
      <c r="J14" s="87" t="s">
        <v>42</v>
      </c>
      <c r="K14" s="87" t="s">
        <v>43</v>
      </c>
      <c r="L14" s="87">
        <v>1</v>
      </c>
      <c r="N14" s="87">
        <v>1</v>
      </c>
      <c r="O14" s="87">
        <v>0.5</v>
      </c>
      <c r="P14" s="87">
        <v>0.6</v>
      </c>
      <c r="Q14" s="131">
        <f t="shared" si="0"/>
        <v>0.55000000000000004</v>
      </c>
      <c r="R14" s="87">
        <v>13.2</v>
      </c>
      <c r="S14" s="87">
        <v>115</v>
      </c>
      <c r="T14" s="89">
        <f t="shared" si="1"/>
        <v>30</v>
      </c>
      <c r="U14" s="87">
        <v>98</v>
      </c>
      <c r="V14" s="89">
        <f t="shared" si="2"/>
        <v>2940</v>
      </c>
      <c r="W14" s="87">
        <v>2</v>
      </c>
      <c r="X14" s="87" t="s">
        <v>63</v>
      </c>
      <c r="Y14" s="87" t="s">
        <v>46</v>
      </c>
      <c r="Z14" s="87" t="s">
        <v>54</v>
      </c>
      <c r="AA14" s="87" t="s">
        <v>45</v>
      </c>
      <c r="AB14" s="106" t="s">
        <v>164</v>
      </c>
      <c r="AE14" s="33" t="s">
        <v>112</v>
      </c>
      <c r="AG14" s="95"/>
      <c r="AH14" s="95"/>
      <c r="AP14" s="95" t="s">
        <v>113</v>
      </c>
      <c r="AR14" s="95" t="s">
        <v>114</v>
      </c>
      <c r="AV14" s="95" t="s">
        <v>115</v>
      </c>
    </row>
    <row r="15" spans="1:53" s="87" customFormat="1" ht="13.5" customHeight="1">
      <c r="A15" s="87" t="s">
        <v>49</v>
      </c>
      <c r="B15" s="87" t="s">
        <v>181</v>
      </c>
      <c r="C15" s="87">
        <v>2020</v>
      </c>
      <c r="D15" s="87" t="s">
        <v>412</v>
      </c>
      <c r="E15" s="87" t="s">
        <v>414</v>
      </c>
      <c r="F15" s="87" t="s">
        <v>415</v>
      </c>
      <c r="G15" s="87" t="s">
        <v>39</v>
      </c>
      <c r="H15" s="87" t="s">
        <v>40</v>
      </c>
      <c r="I15" s="87" t="s">
        <v>41</v>
      </c>
      <c r="J15" s="87" t="s">
        <v>42</v>
      </c>
      <c r="K15" s="87" t="s">
        <v>43</v>
      </c>
      <c r="L15" s="87">
        <v>2</v>
      </c>
      <c r="N15" s="87">
        <v>1</v>
      </c>
      <c r="O15" s="87">
        <v>0.6</v>
      </c>
      <c r="P15" s="87">
        <v>0.75</v>
      </c>
      <c r="Q15" s="131">
        <f t="shared" si="0"/>
        <v>0.67500000000000004</v>
      </c>
      <c r="R15" s="87">
        <v>10.9</v>
      </c>
      <c r="S15" s="87">
        <v>121</v>
      </c>
      <c r="T15" s="89">
        <f t="shared" si="1"/>
        <v>27</v>
      </c>
      <c r="U15" s="87">
        <v>98</v>
      </c>
      <c r="V15" s="89">
        <f t="shared" si="2"/>
        <v>2646</v>
      </c>
      <c r="W15" s="87">
        <v>2</v>
      </c>
      <c r="X15" s="87" t="s">
        <v>63</v>
      </c>
      <c r="Y15" s="87" t="s">
        <v>46</v>
      </c>
      <c r="Z15" s="87" t="s">
        <v>54</v>
      </c>
      <c r="AA15" s="87" t="s">
        <v>45</v>
      </c>
      <c r="AB15" s="106" t="s">
        <v>164</v>
      </c>
      <c r="AE15" s="33" t="s">
        <v>116</v>
      </c>
      <c r="AG15" s="95"/>
      <c r="AH15" s="95"/>
      <c r="AP15" s="95" t="s">
        <v>117</v>
      </c>
      <c r="AR15" s="95" t="s">
        <v>118</v>
      </c>
      <c r="AV15" s="95" t="s">
        <v>119</v>
      </c>
    </row>
    <row r="16" spans="1:53" s="87" customFormat="1" ht="13.5" customHeight="1">
      <c r="A16" s="87" t="s">
        <v>49</v>
      </c>
      <c r="B16" s="87" t="s">
        <v>181</v>
      </c>
      <c r="C16" s="87">
        <v>2020</v>
      </c>
      <c r="D16" s="87" t="s">
        <v>412</v>
      </c>
      <c r="E16" s="87" t="s">
        <v>414</v>
      </c>
      <c r="F16" s="87" t="s">
        <v>415</v>
      </c>
      <c r="G16" s="87" t="s">
        <v>39</v>
      </c>
      <c r="H16" s="87" t="s">
        <v>40</v>
      </c>
      <c r="I16" s="87" t="s">
        <v>41</v>
      </c>
      <c r="J16" s="87" t="s">
        <v>42</v>
      </c>
      <c r="K16" s="87" t="s">
        <v>43</v>
      </c>
      <c r="L16" s="87">
        <v>3</v>
      </c>
      <c r="N16" s="87">
        <v>1</v>
      </c>
      <c r="O16" s="87">
        <v>0.7</v>
      </c>
      <c r="P16" s="87">
        <v>0.75</v>
      </c>
      <c r="Q16" s="131">
        <f t="shared" si="0"/>
        <v>0.72499999999999998</v>
      </c>
      <c r="R16" s="87">
        <v>11.4</v>
      </c>
      <c r="S16" s="87">
        <v>118</v>
      </c>
      <c r="T16" s="89">
        <f t="shared" si="1"/>
        <v>30</v>
      </c>
      <c r="U16" s="87">
        <v>98</v>
      </c>
      <c r="V16" s="89">
        <f t="shared" si="2"/>
        <v>2940</v>
      </c>
      <c r="W16" s="87">
        <v>2</v>
      </c>
      <c r="X16" s="87" t="s">
        <v>63</v>
      </c>
      <c r="Y16" s="87" t="s">
        <v>46</v>
      </c>
      <c r="Z16" s="87" t="s">
        <v>54</v>
      </c>
      <c r="AA16" s="87" t="s">
        <v>45</v>
      </c>
      <c r="AB16" s="106" t="s">
        <v>164</v>
      </c>
      <c r="AE16" s="33" t="s">
        <v>120</v>
      </c>
      <c r="AG16" s="100"/>
      <c r="AH16" s="100"/>
      <c r="AP16" s="95" t="s">
        <v>121</v>
      </c>
      <c r="AR16" s="95" t="s">
        <v>122</v>
      </c>
      <c r="AV16" s="95" t="s">
        <v>46</v>
      </c>
    </row>
    <row r="17" spans="1:48" s="87" customFormat="1" ht="13.5" customHeight="1">
      <c r="A17" s="87" t="s">
        <v>49</v>
      </c>
      <c r="B17" s="87" t="s">
        <v>181</v>
      </c>
      <c r="C17" s="87">
        <v>2020</v>
      </c>
      <c r="D17" s="87" t="s">
        <v>412</v>
      </c>
      <c r="E17" s="87" t="s">
        <v>414</v>
      </c>
      <c r="F17" s="87" t="s">
        <v>415</v>
      </c>
      <c r="G17" s="87" t="s">
        <v>39</v>
      </c>
      <c r="H17" s="87" t="s">
        <v>40</v>
      </c>
      <c r="I17" s="87" t="s">
        <v>41</v>
      </c>
      <c r="J17" s="87" t="s">
        <v>42</v>
      </c>
      <c r="K17" s="87" t="s">
        <v>43</v>
      </c>
      <c r="L17" s="87">
        <v>1</v>
      </c>
      <c r="N17" s="87">
        <v>8</v>
      </c>
      <c r="O17" s="87">
        <v>1.3</v>
      </c>
      <c r="P17" s="87">
        <v>1.3</v>
      </c>
      <c r="Q17" s="131">
        <f t="shared" si="0"/>
        <v>1.3</v>
      </c>
      <c r="R17" s="87">
        <v>11.5</v>
      </c>
      <c r="S17" s="87">
        <v>85</v>
      </c>
      <c r="T17" s="89">
        <f t="shared" si="1"/>
        <v>36</v>
      </c>
      <c r="U17" s="87">
        <v>498</v>
      </c>
      <c r="V17" s="89">
        <f t="shared" si="2"/>
        <v>2241</v>
      </c>
      <c r="W17" s="87">
        <v>4</v>
      </c>
      <c r="X17" s="87" t="s">
        <v>63</v>
      </c>
      <c r="Y17" s="87" t="s">
        <v>46</v>
      </c>
      <c r="Z17" s="87" t="s">
        <v>54</v>
      </c>
      <c r="AA17" s="87" t="s">
        <v>45</v>
      </c>
      <c r="AB17" s="106" t="s">
        <v>164</v>
      </c>
      <c r="AE17" s="33" t="s">
        <v>124</v>
      </c>
      <c r="AP17" s="99" t="s">
        <v>125</v>
      </c>
      <c r="AR17" s="95" t="s">
        <v>126</v>
      </c>
      <c r="AV17" s="95" t="s">
        <v>127</v>
      </c>
    </row>
    <row r="18" spans="1:48" s="87" customFormat="1" ht="13.5" customHeight="1">
      <c r="A18" s="87" t="s">
        <v>49</v>
      </c>
      <c r="B18" s="87" t="s">
        <v>181</v>
      </c>
      <c r="C18" s="87">
        <v>2020</v>
      </c>
      <c r="D18" s="87" t="s">
        <v>412</v>
      </c>
      <c r="E18" s="87" t="s">
        <v>414</v>
      </c>
      <c r="F18" s="87" t="s">
        <v>415</v>
      </c>
      <c r="G18" s="87" t="s">
        <v>39</v>
      </c>
      <c r="H18" s="87" t="s">
        <v>40</v>
      </c>
      <c r="I18" s="87" t="s">
        <v>41</v>
      </c>
      <c r="J18" s="87" t="s">
        <v>42</v>
      </c>
      <c r="K18" s="87" t="s">
        <v>43</v>
      </c>
      <c r="L18" s="87">
        <v>2</v>
      </c>
      <c r="N18" s="87">
        <v>8</v>
      </c>
      <c r="O18" s="87">
        <v>1.1000000000000001</v>
      </c>
      <c r="P18" s="87">
        <v>1.1000000000000001</v>
      </c>
      <c r="Q18" s="131">
        <f t="shared" si="0"/>
        <v>1.1000000000000001</v>
      </c>
      <c r="R18" s="87">
        <v>11.2</v>
      </c>
      <c r="S18" s="87">
        <v>83</v>
      </c>
      <c r="T18" s="89">
        <f t="shared" si="1"/>
        <v>39</v>
      </c>
      <c r="U18" s="87">
        <v>498</v>
      </c>
      <c r="V18" s="89">
        <f t="shared" si="2"/>
        <v>2427.75</v>
      </c>
      <c r="W18" s="87">
        <v>4</v>
      </c>
      <c r="X18" s="87" t="s">
        <v>63</v>
      </c>
      <c r="Y18" s="87" t="s">
        <v>46</v>
      </c>
      <c r="Z18" s="87" t="s">
        <v>54</v>
      </c>
      <c r="AA18" s="87" t="s">
        <v>45</v>
      </c>
      <c r="AB18" s="106" t="s">
        <v>164</v>
      </c>
      <c r="AE18" s="33" t="s">
        <v>128</v>
      </c>
      <c r="AP18" s="99" t="s">
        <v>129</v>
      </c>
      <c r="AR18" s="95" t="s">
        <v>130</v>
      </c>
      <c r="AV18" s="95" t="s">
        <v>131</v>
      </c>
    </row>
    <row r="19" spans="1:48" s="87" customFormat="1" ht="13.5" customHeight="1">
      <c r="A19" s="87" t="s">
        <v>49</v>
      </c>
      <c r="B19" s="87" t="s">
        <v>181</v>
      </c>
      <c r="C19" s="87">
        <v>2020</v>
      </c>
      <c r="D19" s="87" t="s">
        <v>412</v>
      </c>
      <c r="E19" s="87" t="s">
        <v>414</v>
      </c>
      <c r="F19" s="87" t="s">
        <v>415</v>
      </c>
      <c r="G19" s="87" t="s">
        <v>39</v>
      </c>
      <c r="H19" s="87" t="s">
        <v>40</v>
      </c>
      <c r="I19" s="87" t="s">
        <v>41</v>
      </c>
      <c r="J19" s="87" t="s">
        <v>42</v>
      </c>
      <c r="K19" s="87" t="s">
        <v>43</v>
      </c>
      <c r="L19" s="87">
        <v>3</v>
      </c>
      <c r="N19" s="87">
        <v>8</v>
      </c>
      <c r="O19" s="87">
        <v>1.6</v>
      </c>
      <c r="P19" s="87">
        <v>1.75</v>
      </c>
      <c r="Q19" s="131">
        <f t="shared" si="0"/>
        <v>1.675</v>
      </c>
      <c r="R19" s="87">
        <v>12.2</v>
      </c>
      <c r="S19" s="87">
        <v>87</v>
      </c>
      <c r="T19" s="89">
        <f t="shared" si="1"/>
        <v>36</v>
      </c>
      <c r="U19" s="87">
        <v>498</v>
      </c>
      <c r="V19" s="89">
        <f t="shared" si="2"/>
        <v>2241</v>
      </c>
      <c r="W19" s="87">
        <v>4</v>
      </c>
      <c r="X19" s="87" t="s">
        <v>63</v>
      </c>
      <c r="Y19" s="87" t="s">
        <v>46</v>
      </c>
      <c r="Z19" s="87" t="s">
        <v>54</v>
      </c>
      <c r="AA19" s="87" t="s">
        <v>45</v>
      </c>
      <c r="AB19" s="106" t="s">
        <v>164</v>
      </c>
      <c r="AE19" s="34" t="s">
        <v>104</v>
      </c>
      <c r="AP19" s="99" t="s">
        <v>132</v>
      </c>
      <c r="AR19" s="95" t="s">
        <v>133</v>
      </c>
      <c r="AV19" s="95" t="s">
        <v>45</v>
      </c>
    </row>
    <row r="20" spans="1:48" s="87" customFormat="1" ht="13.5" customHeight="1">
      <c r="A20" s="87" t="s">
        <v>49</v>
      </c>
      <c r="B20" s="87" t="s">
        <v>181</v>
      </c>
      <c r="C20" s="87">
        <v>2020</v>
      </c>
      <c r="D20" s="87" t="s">
        <v>412</v>
      </c>
      <c r="E20" s="87" t="s">
        <v>183</v>
      </c>
      <c r="F20" s="87" t="s">
        <v>424</v>
      </c>
      <c r="G20" s="87" t="s">
        <v>39</v>
      </c>
      <c r="H20" s="87" t="s">
        <v>40</v>
      </c>
      <c r="I20" s="87" t="s">
        <v>41</v>
      </c>
      <c r="J20" s="87" t="s">
        <v>42</v>
      </c>
      <c r="K20" s="87" t="s">
        <v>43</v>
      </c>
      <c r="L20" s="87">
        <v>1</v>
      </c>
      <c r="N20" s="87">
        <v>1</v>
      </c>
      <c r="O20" s="87">
        <v>1.7</v>
      </c>
      <c r="P20" s="106">
        <v>1.75</v>
      </c>
      <c r="Q20" s="131">
        <f t="shared" si="0"/>
        <v>1.7250000000000001</v>
      </c>
      <c r="R20" s="87">
        <v>11.7</v>
      </c>
      <c r="S20" s="87">
        <v>120</v>
      </c>
      <c r="T20" s="89">
        <f t="shared" si="1"/>
        <v>30</v>
      </c>
      <c r="U20" s="87">
        <v>98</v>
      </c>
      <c r="V20" s="89">
        <f t="shared" si="2"/>
        <v>2940</v>
      </c>
      <c r="W20" s="87">
        <v>6</v>
      </c>
      <c r="X20" s="87" t="s">
        <v>63</v>
      </c>
      <c r="Y20" s="87" t="s">
        <v>54</v>
      </c>
      <c r="Z20" s="87" t="s">
        <v>115</v>
      </c>
      <c r="AA20" s="87" t="s">
        <v>46</v>
      </c>
      <c r="AB20" s="106" t="s">
        <v>164</v>
      </c>
      <c r="AE20" s="33"/>
      <c r="AP20" s="99" t="s">
        <v>135</v>
      </c>
      <c r="AR20" s="95" t="s">
        <v>136</v>
      </c>
      <c r="AV20" s="99" t="s">
        <v>137</v>
      </c>
    </row>
    <row r="21" spans="1:48" s="87" customFormat="1" ht="13.5" customHeight="1">
      <c r="A21" s="87" t="s">
        <v>49</v>
      </c>
      <c r="B21" s="87" t="s">
        <v>181</v>
      </c>
      <c r="C21" s="87">
        <v>2020</v>
      </c>
      <c r="D21" s="87" t="s">
        <v>412</v>
      </c>
      <c r="E21" s="87" t="s">
        <v>183</v>
      </c>
      <c r="F21" s="87" t="s">
        <v>424</v>
      </c>
      <c r="G21" s="87" t="s">
        <v>39</v>
      </c>
      <c r="H21" s="87" t="s">
        <v>40</v>
      </c>
      <c r="I21" s="87" t="s">
        <v>41</v>
      </c>
      <c r="J21" s="87" t="s">
        <v>42</v>
      </c>
      <c r="K21" s="87" t="s">
        <v>43</v>
      </c>
      <c r="L21" s="87">
        <v>2</v>
      </c>
      <c r="N21" s="87">
        <v>1</v>
      </c>
      <c r="O21" s="87">
        <v>1.5</v>
      </c>
      <c r="P21" s="87">
        <v>1.6</v>
      </c>
      <c r="Q21" s="131">
        <f t="shared" si="0"/>
        <v>1.55</v>
      </c>
      <c r="R21" s="87">
        <v>11.2</v>
      </c>
      <c r="S21" s="87">
        <v>119</v>
      </c>
      <c r="T21" s="89">
        <f t="shared" si="1"/>
        <v>30</v>
      </c>
      <c r="U21" s="87">
        <v>98</v>
      </c>
      <c r="V21" s="89">
        <f t="shared" si="2"/>
        <v>2940</v>
      </c>
      <c r="W21" s="87">
        <v>6</v>
      </c>
      <c r="X21" s="87" t="s">
        <v>63</v>
      </c>
      <c r="Y21" s="87" t="s">
        <v>54</v>
      </c>
      <c r="Z21" s="87" t="s">
        <v>115</v>
      </c>
      <c r="AA21" s="87" t="s">
        <v>46</v>
      </c>
      <c r="AB21" s="106" t="s">
        <v>164</v>
      </c>
      <c r="AE21" s="33"/>
      <c r="AP21" s="99" t="s">
        <v>138</v>
      </c>
      <c r="AR21" s="95" t="s">
        <v>139</v>
      </c>
      <c r="AV21" s="99" t="s">
        <v>140</v>
      </c>
    </row>
    <row r="22" spans="1:48" s="87" customFormat="1" ht="13.5" customHeight="1">
      <c r="A22" s="87" t="s">
        <v>49</v>
      </c>
      <c r="B22" s="87" t="s">
        <v>181</v>
      </c>
      <c r="C22" s="87">
        <v>2020</v>
      </c>
      <c r="D22" s="87" t="s">
        <v>412</v>
      </c>
      <c r="E22" s="87" t="s">
        <v>183</v>
      </c>
      <c r="F22" s="87" t="s">
        <v>424</v>
      </c>
      <c r="G22" s="87" t="s">
        <v>39</v>
      </c>
      <c r="H22" s="87" t="s">
        <v>40</v>
      </c>
      <c r="I22" s="87" t="s">
        <v>41</v>
      </c>
      <c r="J22" s="87" t="s">
        <v>42</v>
      </c>
      <c r="K22" s="87" t="s">
        <v>43</v>
      </c>
      <c r="L22" s="87">
        <v>3</v>
      </c>
      <c r="N22" s="87">
        <v>1</v>
      </c>
      <c r="O22" s="106">
        <v>0.85</v>
      </c>
      <c r="P22" s="87">
        <v>0.9</v>
      </c>
      <c r="Q22" s="131">
        <f t="shared" si="0"/>
        <v>0.875</v>
      </c>
      <c r="R22" s="87">
        <v>12.5</v>
      </c>
      <c r="S22" s="87">
        <v>116</v>
      </c>
      <c r="T22" s="89">
        <f t="shared" si="1"/>
        <v>30</v>
      </c>
      <c r="U22" s="87">
        <v>98</v>
      </c>
      <c r="V22" s="89">
        <f t="shared" si="2"/>
        <v>2940</v>
      </c>
      <c r="W22" s="87">
        <v>6</v>
      </c>
      <c r="X22" s="87" t="s">
        <v>63</v>
      </c>
      <c r="Y22" s="87" t="s">
        <v>54</v>
      </c>
      <c r="Z22" s="87" t="s">
        <v>115</v>
      </c>
      <c r="AA22" s="87" t="s">
        <v>46</v>
      </c>
      <c r="AB22" s="106" t="s">
        <v>164</v>
      </c>
      <c r="AE22" s="34"/>
      <c r="AP22" s="99" t="s">
        <v>141</v>
      </c>
      <c r="AR22" s="95" t="s">
        <v>142</v>
      </c>
      <c r="AV22" s="99"/>
    </row>
    <row r="23" spans="1:48" s="87" customFormat="1" ht="13.5" customHeight="1">
      <c r="A23" s="87" t="s">
        <v>49</v>
      </c>
      <c r="B23" s="87" t="s">
        <v>181</v>
      </c>
      <c r="C23" s="87">
        <v>2020</v>
      </c>
      <c r="D23" s="87" t="s">
        <v>412</v>
      </c>
      <c r="E23" s="87" t="s">
        <v>183</v>
      </c>
      <c r="F23" s="87" t="s">
        <v>424</v>
      </c>
      <c r="G23" s="87" t="s">
        <v>39</v>
      </c>
      <c r="H23" s="87" t="s">
        <v>40</v>
      </c>
      <c r="I23" s="87" t="s">
        <v>41</v>
      </c>
      <c r="J23" s="87" t="s">
        <v>42</v>
      </c>
      <c r="K23" s="87" t="s">
        <v>43</v>
      </c>
      <c r="L23" s="87">
        <v>1</v>
      </c>
      <c r="N23" s="87">
        <v>8</v>
      </c>
      <c r="O23" s="106">
        <v>1.45</v>
      </c>
      <c r="P23" s="87">
        <v>1.5</v>
      </c>
      <c r="Q23" s="131">
        <f t="shared" si="0"/>
        <v>1.4750000000000001</v>
      </c>
      <c r="R23" s="87">
        <v>11.9</v>
      </c>
      <c r="S23" s="87">
        <v>88</v>
      </c>
      <c r="T23" s="89">
        <f t="shared" si="1"/>
        <v>36</v>
      </c>
      <c r="U23" s="87">
        <v>498</v>
      </c>
      <c r="V23" s="89">
        <f t="shared" si="2"/>
        <v>2241</v>
      </c>
      <c r="W23" s="87">
        <v>4</v>
      </c>
      <c r="X23" s="87" t="s">
        <v>63</v>
      </c>
      <c r="Y23" s="87" t="s">
        <v>54</v>
      </c>
      <c r="Z23" s="87" t="s">
        <v>115</v>
      </c>
      <c r="AA23" s="87" t="s">
        <v>46</v>
      </c>
      <c r="AB23" s="106" t="s">
        <v>164</v>
      </c>
      <c r="AE23" s="33"/>
      <c r="AP23" s="99" t="s">
        <v>324</v>
      </c>
      <c r="AR23" s="95" t="s">
        <v>88</v>
      </c>
      <c r="AV23" s="99"/>
    </row>
    <row r="24" spans="1:48" s="87" customFormat="1" ht="13.5" customHeight="1">
      <c r="A24" s="87" t="s">
        <v>49</v>
      </c>
      <c r="B24" s="87" t="s">
        <v>181</v>
      </c>
      <c r="C24" s="87">
        <v>2020</v>
      </c>
      <c r="D24" s="87" t="s">
        <v>412</v>
      </c>
      <c r="E24" s="87" t="s">
        <v>183</v>
      </c>
      <c r="F24" s="87" t="s">
        <v>424</v>
      </c>
      <c r="G24" s="87" t="s">
        <v>39</v>
      </c>
      <c r="H24" s="87" t="s">
        <v>40</v>
      </c>
      <c r="I24" s="87" t="s">
        <v>41</v>
      </c>
      <c r="J24" s="87" t="s">
        <v>42</v>
      </c>
      <c r="K24" s="87" t="s">
        <v>43</v>
      </c>
      <c r="L24" s="87">
        <v>2</v>
      </c>
      <c r="N24" s="87">
        <v>8</v>
      </c>
      <c r="O24" s="87">
        <v>1.1000000000000001</v>
      </c>
      <c r="P24" s="87">
        <v>1.25</v>
      </c>
      <c r="Q24" s="131">
        <f t="shared" si="0"/>
        <v>1.175</v>
      </c>
      <c r="R24" s="87">
        <v>12.3</v>
      </c>
      <c r="S24" s="87">
        <v>92</v>
      </c>
      <c r="T24" s="89">
        <f t="shared" si="1"/>
        <v>36</v>
      </c>
      <c r="U24" s="87">
        <v>498</v>
      </c>
      <c r="V24" s="89">
        <f t="shared" si="2"/>
        <v>2241</v>
      </c>
      <c r="W24" s="87">
        <v>4</v>
      </c>
      <c r="X24" s="87" t="s">
        <v>63</v>
      </c>
      <c r="Y24" s="87" t="s">
        <v>54</v>
      </c>
      <c r="Z24" s="87" t="s">
        <v>115</v>
      </c>
      <c r="AA24" s="87" t="s">
        <v>46</v>
      </c>
      <c r="AB24" s="106" t="s">
        <v>164</v>
      </c>
      <c r="AE24" s="33"/>
      <c r="AP24" s="99" t="s">
        <v>326</v>
      </c>
      <c r="AR24" s="95" t="s">
        <v>327</v>
      </c>
      <c r="AV24" s="99"/>
    </row>
    <row r="25" spans="1:48" s="87" customFormat="1" ht="13.5" customHeight="1">
      <c r="A25" s="87" t="s">
        <v>49</v>
      </c>
      <c r="B25" s="87" t="s">
        <v>181</v>
      </c>
      <c r="C25" s="87">
        <v>2020</v>
      </c>
      <c r="D25" s="87" t="s">
        <v>412</v>
      </c>
      <c r="E25" s="87" t="s">
        <v>183</v>
      </c>
      <c r="F25" s="87" t="s">
        <v>424</v>
      </c>
      <c r="G25" s="87" t="s">
        <v>39</v>
      </c>
      <c r="H25" s="87" t="s">
        <v>40</v>
      </c>
      <c r="I25" s="87" t="s">
        <v>41</v>
      </c>
      <c r="J25" s="87" t="s">
        <v>42</v>
      </c>
      <c r="K25" s="87" t="s">
        <v>43</v>
      </c>
      <c r="L25" s="87">
        <v>3</v>
      </c>
      <c r="N25" s="87">
        <v>8</v>
      </c>
      <c r="O25" s="87">
        <v>0.95</v>
      </c>
      <c r="P25" s="87">
        <v>1.1000000000000001</v>
      </c>
      <c r="Q25" s="131">
        <f t="shared" si="0"/>
        <v>1.0249999999999999</v>
      </c>
      <c r="R25" s="87">
        <v>11.4</v>
      </c>
      <c r="S25" s="87">
        <v>87</v>
      </c>
      <c r="T25" s="89">
        <f t="shared" si="1"/>
        <v>36</v>
      </c>
      <c r="U25" s="87">
        <v>498</v>
      </c>
      <c r="V25" s="89">
        <f t="shared" si="2"/>
        <v>2241</v>
      </c>
      <c r="W25" s="87">
        <v>4</v>
      </c>
      <c r="X25" s="87" t="s">
        <v>63</v>
      </c>
      <c r="Y25" s="87" t="s">
        <v>54</v>
      </c>
      <c r="Z25" s="87" t="s">
        <v>115</v>
      </c>
      <c r="AA25" s="87" t="s">
        <v>46</v>
      </c>
      <c r="AB25" s="106" t="s">
        <v>164</v>
      </c>
      <c r="AE25" s="34"/>
      <c r="AP25" s="99" t="s">
        <v>329</v>
      </c>
      <c r="AR25" s="99" t="s">
        <v>330</v>
      </c>
      <c r="AV25" s="99"/>
    </row>
    <row r="26" spans="1:48" s="87" customFormat="1" ht="13.5" customHeight="1">
      <c r="A26" s="87" t="s">
        <v>49</v>
      </c>
      <c r="B26" s="87" t="s">
        <v>181</v>
      </c>
      <c r="C26" s="87">
        <v>2020</v>
      </c>
      <c r="D26" s="87" t="s">
        <v>412</v>
      </c>
      <c r="E26" s="87" t="s">
        <v>420</v>
      </c>
      <c r="F26" s="87" t="s">
        <v>421</v>
      </c>
      <c r="G26" s="87" t="s">
        <v>39</v>
      </c>
      <c r="H26" s="87" t="s">
        <v>40</v>
      </c>
      <c r="I26" s="87" t="s">
        <v>41</v>
      </c>
      <c r="J26" s="87" t="s">
        <v>42</v>
      </c>
      <c r="K26" s="87" t="s">
        <v>43</v>
      </c>
      <c r="L26" s="87">
        <v>1</v>
      </c>
      <c r="N26" s="87">
        <v>1</v>
      </c>
      <c r="O26" s="87">
        <v>1</v>
      </c>
      <c r="P26" s="87">
        <v>1.1499999999999999</v>
      </c>
      <c r="Q26" s="131">
        <f t="shared" si="0"/>
        <v>1.075</v>
      </c>
      <c r="R26" s="87">
        <v>12.3</v>
      </c>
      <c r="S26" s="87">
        <v>123</v>
      </c>
      <c r="T26" s="89">
        <f t="shared" si="1"/>
        <v>27</v>
      </c>
      <c r="U26" s="87">
        <v>100</v>
      </c>
      <c r="V26" s="89">
        <f t="shared" si="2"/>
        <v>2700</v>
      </c>
      <c r="W26" s="87">
        <v>1</v>
      </c>
      <c r="X26" s="87" t="s">
        <v>44</v>
      </c>
      <c r="Y26" s="87" t="s">
        <v>46</v>
      </c>
      <c r="Z26" s="87" t="s">
        <v>54</v>
      </c>
      <c r="AA26" s="87" t="s">
        <v>115</v>
      </c>
      <c r="AB26" s="106" t="s">
        <v>164</v>
      </c>
      <c r="AE26" s="34"/>
      <c r="AP26" s="99" t="s">
        <v>145</v>
      </c>
      <c r="AR26" s="95" t="s">
        <v>123</v>
      </c>
      <c r="AV26" s="100"/>
    </row>
    <row r="27" spans="1:48" s="87" customFormat="1" ht="13.5" customHeight="1">
      <c r="A27" s="87" t="s">
        <v>49</v>
      </c>
      <c r="B27" s="87" t="s">
        <v>181</v>
      </c>
      <c r="C27" s="87">
        <v>2020</v>
      </c>
      <c r="D27" s="87" t="s">
        <v>412</v>
      </c>
      <c r="E27" s="87" t="s">
        <v>420</v>
      </c>
      <c r="F27" s="87" t="s">
        <v>421</v>
      </c>
      <c r="G27" s="87" t="s">
        <v>39</v>
      </c>
      <c r="H27" s="87" t="s">
        <v>40</v>
      </c>
      <c r="I27" s="87" t="s">
        <v>41</v>
      </c>
      <c r="J27" s="87" t="s">
        <v>42</v>
      </c>
      <c r="K27" s="87" t="s">
        <v>43</v>
      </c>
      <c r="L27" s="87">
        <v>2</v>
      </c>
      <c r="N27" s="87">
        <v>1</v>
      </c>
      <c r="O27" s="87">
        <v>0.7</v>
      </c>
      <c r="P27" s="87">
        <v>0.7</v>
      </c>
      <c r="Q27" s="131">
        <f t="shared" si="0"/>
        <v>0.7</v>
      </c>
      <c r="R27" s="87">
        <v>12.8</v>
      </c>
      <c r="S27" s="87">
        <v>128</v>
      </c>
      <c r="T27" s="89">
        <f t="shared" si="1"/>
        <v>27</v>
      </c>
      <c r="U27" s="87">
        <v>100</v>
      </c>
      <c r="V27" s="89">
        <f t="shared" si="2"/>
        <v>2700</v>
      </c>
      <c r="W27" s="87">
        <v>1</v>
      </c>
      <c r="X27" s="87" t="s">
        <v>44</v>
      </c>
      <c r="Y27" s="87" t="s">
        <v>46</v>
      </c>
      <c r="Z27" s="87" t="s">
        <v>54</v>
      </c>
      <c r="AA27" s="87" t="s">
        <v>115</v>
      </c>
      <c r="AB27" s="106" t="s">
        <v>164</v>
      </c>
      <c r="AE27" s="100"/>
      <c r="AP27" s="99" t="s">
        <v>146</v>
      </c>
      <c r="AR27" s="95" t="s">
        <v>147</v>
      </c>
    </row>
    <row r="28" spans="1:48" s="87" customFormat="1" ht="13.5" customHeight="1">
      <c r="A28" s="87" t="s">
        <v>49</v>
      </c>
      <c r="B28" s="87" t="s">
        <v>181</v>
      </c>
      <c r="C28" s="87">
        <v>2020</v>
      </c>
      <c r="D28" s="87" t="s">
        <v>412</v>
      </c>
      <c r="E28" s="87" t="s">
        <v>420</v>
      </c>
      <c r="F28" s="87" t="s">
        <v>421</v>
      </c>
      <c r="G28" s="87" t="s">
        <v>39</v>
      </c>
      <c r="H28" s="87" t="s">
        <v>40</v>
      </c>
      <c r="I28" s="87" t="s">
        <v>41</v>
      </c>
      <c r="J28" s="87" t="s">
        <v>42</v>
      </c>
      <c r="K28" s="87" t="s">
        <v>43</v>
      </c>
      <c r="L28" s="87">
        <v>3</v>
      </c>
      <c r="N28" s="87">
        <v>1</v>
      </c>
      <c r="O28" s="87">
        <v>0.5</v>
      </c>
      <c r="P28" s="87">
        <v>0.6</v>
      </c>
      <c r="Q28" s="131">
        <f t="shared" si="0"/>
        <v>0.55000000000000004</v>
      </c>
      <c r="R28" s="87">
        <v>11.6</v>
      </c>
      <c r="S28" s="87">
        <v>123</v>
      </c>
      <c r="T28" s="89">
        <f t="shared" si="1"/>
        <v>27</v>
      </c>
      <c r="U28" s="87">
        <v>100</v>
      </c>
      <c r="V28" s="89">
        <f t="shared" si="2"/>
        <v>2700</v>
      </c>
      <c r="W28" s="87">
        <v>1</v>
      </c>
      <c r="X28" s="87" t="s">
        <v>44</v>
      </c>
      <c r="Y28" s="87" t="s">
        <v>46</v>
      </c>
      <c r="Z28" s="87" t="s">
        <v>54</v>
      </c>
      <c r="AA28" s="87" t="s">
        <v>115</v>
      </c>
      <c r="AB28" s="106" t="s">
        <v>164</v>
      </c>
      <c r="AP28" s="99" t="s">
        <v>148</v>
      </c>
      <c r="AR28" s="95" t="s">
        <v>149</v>
      </c>
    </row>
    <row r="29" spans="1:48" s="87" customFormat="1" ht="13.5" customHeight="1">
      <c r="A29" s="87" t="s">
        <v>49</v>
      </c>
      <c r="B29" s="87" t="s">
        <v>181</v>
      </c>
      <c r="C29" s="87">
        <v>2020</v>
      </c>
      <c r="D29" s="87" t="s">
        <v>412</v>
      </c>
      <c r="E29" s="87" t="s">
        <v>420</v>
      </c>
      <c r="F29" s="87" t="s">
        <v>421</v>
      </c>
      <c r="G29" s="87" t="s">
        <v>39</v>
      </c>
      <c r="H29" s="87" t="s">
        <v>40</v>
      </c>
      <c r="I29" s="87" t="s">
        <v>41</v>
      </c>
      <c r="J29" s="87" t="s">
        <v>42</v>
      </c>
      <c r="K29" s="87" t="s">
        <v>43</v>
      </c>
      <c r="L29" s="87">
        <v>1</v>
      </c>
      <c r="N29" s="87">
        <v>4</v>
      </c>
      <c r="O29" s="87">
        <v>1.1000000000000001</v>
      </c>
      <c r="P29" s="87">
        <v>1.25</v>
      </c>
      <c r="Q29" s="131">
        <f t="shared" si="0"/>
        <v>1.175</v>
      </c>
      <c r="R29" s="87">
        <v>10.8</v>
      </c>
      <c r="S29" s="87">
        <v>108</v>
      </c>
      <c r="T29" s="89">
        <f t="shared" si="1"/>
        <v>33</v>
      </c>
      <c r="U29" s="87">
        <v>398</v>
      </c>
      <c r="V29" s="89">
        <f t="shared" si="2"/>
        <v>3283.5</v>
      </c>
      <c r="W29" s="87">
        <v>1</v>
      </c>
      <c r="X29" s="87" t="s">
        <v>44</v>
      </c>
      <c r="Y29" s="87" t="s">
        <v>46</v>
      </c>
      <c r="Z29" s="87" t="s">
        <v>54</v>
      </c>
      <c r="AA29" s="87" t="s">
        <v>115</v>
      </c>
      <c r="AB29" s="106" t="s">
        <v>164</v>
      </c>
      <c r="AP29" s="99" t="s">
        <v>150</v>
      </c>
      <c r="AR29" s="100"/>
      <c r="AV29" s="100"/>
    </row>
    <row r="30" spans="1:48" s="87" customFormat="1" ht="13.5" customHeight="1">
      <c r="A30" s="87" t="s">
        <v>49</v>
      </c>
      <c r="B30" s="87" t="s">
        <v>181</v>
      </c>
      <c r="C30" s="87">
        <v>2020</v>
      </c>
      <c r="D30" s="87" t="s">
        <v>412</v>
      </c>
      <c r="E30" s="87" t="s">
        <v>420</v>
      </c>
      <c r="F30" s="87" t="s">
        <v>421</v>
      </c>
      <c r="G30" s="87" t="s">
        <v>39</v>
      </c>
      <c r="H30" s="87" t="s">
        <v>40</v>
      </c>
      <c r="I30" s="87" t="s">
        <v>41</v>
      </c>
      <c r="J30" s="87" t="s">
        <v>42</v>
      </c>
      <c r="K30" s="87" t="s">
        <v>43</v>
      </c>
      <c r="L30" s="87">
        <v>2</v>
      </c>
      <c r="N30" s="87">
        <v>4</v>
      </c>
      <c r="O30" s="87">
        <v>1.1000000000000001</v>
      </c>
      <c r="P30" s="87">
        <v>1.1499999999999999</v>
      </c>
      <c r="Q30" s="131">
        <f t="shared" si="0"/>
        <v>1.125</v>
      </c>
      <c r="R30" s="87">
        <v>12.7</v>
      </c>
      <c r="S30" s="87">
        <v>106</v>
      </c>
      <c r="T30" s="89">
        <f t="shared" si="1"/>
        <v>33</v>
      </c>
      <c r="U30" s="87">
        <v>398</v>
      </c>
      <c r="V30" s="89">
        <f t="shared" si="2"/>
        <v>3283.5</v>
      </c>
      <c r="W30" s="87">
        <v>1</v>
      </c>
      <c r="X30" s="87" t="s">
        <v>44</v>
      </c>
      <c r="Y30" s="87" t="s">
        <v>46</v>
      </c>
      <c r="Z30" s="87" t="s">
        <v>54</v>
      </c>
      <c r="AA30" s="87" t="s">
        <v>115</v>
      </c>
      <c r="AB30" s="106" t="s">
        <v>164</v>
      </c>
      <c r="AP30" s="99"/>
      <c r="AR30" s="99"/>
    </row>
    <row r="31" spans="1:48" s="87" customFormat="1" ht="13.5" customHeight="1">
      <c r="A31" s="87" t="s">
        <v>49</v>
      </c>
      <c r="B31" s="87" t="s">
        <v>181</v>
      </c>
      <c r="C31" s="87">
        <v>2020</v>
      </c>
      <c r="D31" s="87" t="s">
        <v>412</v>
      </c>
      <c r="E31" s="87" t="s">
        <v>420</v>
      </c>
      <c r="F31" s="87" t="s">
        <v>421</v>
      </c>
      <c r="G31" s="87" t="s">
        <v>39</v>
      </c>
      <c r="H31" s="87" t="s">
        <v>40</v>
      </c>
      <c r="I31" s="87" t="s">
        <v>41</v>
      </c>
      <c r="J31" s="87" t="s">
        <v>42</v>
      </c>
      <c r="K31" s="87" t="s">
        <v>43</v>
      </c>
      <c r="L31" s="87">
        <v>3</v>
      </c>
      <c r="N31" s="87">
        <v>4</v>
      </c>
      <c r="O31" s="87">
        <v>1.5</v>
      </c>
      <c r="P31" s="87">
        <v>1.7</v>
      </c>
      <c r="Q31" s="131">
        <f t="shared" si="0"/>
        <v>1.6</v>
      </c>
      <c r="R31" s="87">
        <v>11.9</v>
      </c>
      <c r="S31" s="87">
        <v>112</v>
      </c>
      <c r="T31" s="89">
        <f t="shared" si="1"/>
        <v>33</v>
      </c>
      <c r="U31" s="87">
        <v>398</v>
      </c>
      <c r="V31" s="89">
        <f t="shared" si="2"/>
        <v>3283.5</v>
      </c>
      <c r="W31" s="87">
        <v>1</v>
      </c>
      <c r="X31" s="87" t="s">
        <v>44</v>
      </c>
      <c r="Y31" s="87" t="s">
        <v>46</v>
      </c>
      <c r="Z31" s="87" t="s">
        <v>54</v>
      </c>
      <c r="AA31" s="87" t="s">
        <v>115</v>
      </c>
      <c r="AB31" s="106" t="s">
        <v>164</v>
      </c>
      <c r="AP31" s="99"/>
      <c r="AR31" s="99"/>
    </row>
    <row r="32" spans="1:48" s="87" customFormat="1" ht="13.5" customHeight="1">
      <c r="A32" s="87" t="s">
        <v>49</v>
      </c>
      <c r="B32" s="87" t="s">
        <v>181</v>
      </c>
      <c r="C32" s="87">
        <v>2020</v>
      </c>
      <c r="D32" s="87" t="s">
        <v>412</v>
      </c>
      <c r="E32" s="87" t="s">
        <v>307</v>
      </c>
      <c r="F32" s="87" t="s">
        <v>417</v>
      </c>
      <c r="G32" s="87" t="s">
        <v>39</v>
      </c>
      <c r="H32" s="87" t="s">
        <v>40</v>
      </c>
      <c r="I32" s="87" t="s">
        <v>41</v>
      </c>
      <c r="J32" s="87" t="s">
        <v>42</v>
      </c>
      <c r="K32" s="87" t="s">
        <v>43</v>
      </c>
      <c r="L32" s="87">
        <v>1</v>
      </c>
      <c r="N32" s="87">
        <v>1</v>
      </c>
      <c r="O32" s="87">
        <v>1.75</v>
      </c>
      <c r="P32" s="87">
        <v>1.8</v>
      </c>
      <c r="Q32" s="131">
        <f t="shared" si="0"/>
        <v>1.7749999999999999</v>
      </c>
      <c r="R32" s="87">
        <v>10.9</v>
      </c>
      <c r="S32" s="87">
        <v>120</v>
      </c>
      <c r="T32" s="89">
        <f t="shared" si="1"/>
        <v>30</v>
      </c>
      <c r="U32" s="87">
        <v>98</v>
      </c>
      <c r="V32" s="89">
        <f t="shared" si="2"/>
        <v>2940</v>
      </c>
      <c r="W32" s="87">
        <v>3</v>
      </c>
      <c r="X32" s="87" t="s">
        <v>44</v>
      </c>
      <c r="Y32" s="87" t="s">
        <v>46</v>
      </c>
      <c r="Z32" s="87" t="s">
        <v>54</v>
      </c>
      <c r="AA32" s="87" t="s">
        <v>45</v>
      </c>
      <c r="AB32" s="106" t="s">
        <v>164</v>
      </c>
      <c r="AP32" s="100"/>
      <c r="AR32" s="100"/>
    </row>
    <row r="33" spans="1:28" s="87" customFormat="1" ht="13.5" customHeight="1">
      <c r="A33" s="87" t="s">
        <v>49</v>
      </c>
      <c r="B33" s="87" t="s">
        <v>181</v>
      </c>
      <c r="C33" s="87">
        <v>2020</v>
      </c>
      <c r="D33" s="87" t="s">
        <v>412</v>
      </c>
      <c r="E33" s="87" t="s">
        <v>307</v>
      </c>
      <c r="F33" s="87" t="s">
        <v>417</v>
      </c>
      <c r="G33" s="87" t="s">
        <v>39</v>
      </c>
      <c r="H33" s="87" t="s">
        <v>40</v>
      </c>
      <c r="I33" s="87" t="s">
        <v>41</v>
      </c>
      <c r="J33" s="87" t="s">
        <v>42</v>
      </c>
      <c r="K33" s="87" t="s">
        <v>43</v>
      </c>
      <c r="L33" s="87">
        <v>2</v>
      </c>
      <c r="N33" s="87">
        <v>1</v>
      </c>
      <c r="O33" s="87">
        <v>1.9</v>
      </c>
      <c r="P33" s="87">
        <v>2</v>
      </c>
      <c r="Q33" s="131">
        <f t="shared" si="0"/>
        <v>1.95</v>
      </c>
      <c r="R33" s="87">
        <v>10.7</v>
      </c>
      <c r="S33" s="87">
        <v>127</v>
      </c>
      <c r="T33" s="89">
        <f t="shared" si="1"/>
        <v>27</v>
      </c>
      <c r="U33" s="87">
        <v>98</v>
      </c>
      <c r="V33" s="89">
        <f t="shared" si="2"/>
        <v>2646</v>
      </c>
      <c r="W33" s="87">
        <v>3</v>
      </c>
      <c r="X33" s="87" t="s">
        <v>44</v>
      </c>
      <c r="Y33" s="87" t="s">
        <v>46</v>
      </c>
      <c r="Z33" s="87" t="s">
        <v>54</v>
      </c>
      <c r="AA33" s="87" t="s">
        <v>45</v>
      </c>
      <c r="AB33" s="106" t="s">
        <v>164</v>
      </c>
    </row>
    <row r="34" spans="1:28" s="87" customFormat="1" ht="13.5" customHeight="1">
      <c r="A34" s="87" t="s">
        <v>49</v>
      </c>
      <c r="B34" s="87" t="s">
        <v>181</v>
      </c>
      <c r="C34" s="87">
        <v>2020</v>
      </c>
      <c r="D34" s="87" t="s">
        <v>412</v>
      </c>
      <c r="E34" s="87" t="s">
        <v>307</v>
      </c>
      <c r="F34" s="87" t="s">
        <v>417</v>
      </c>
      <c r="G34" s="87" t="s">
        <v>39</v>
      </c>
      <c r="H34" s="87" t="s">
        <v>40</v>
      </c>
      <c r="I34" s="87" t="s">
        <v>41</v>
      </c>
      <c r="J34" s="87" t="s">
        <v>42</v>
      </c>
      <c r="K34" s="87" t="s">
        <v>43</v>
      </c>
      <c r="L34" s="87">
        <v>3</v>
      </c>
      <c r="N34" s="87">
        <v>1</v>
      </c>
      <c r="O34" s="87">
        <v>1.6</v>
      </c>
      <c r="P34" s="87">
        <v>1.7</v>
      </c>
      <c r="Q34" s="131">
        <f t="shared" si="0"/>
        <v>1.65</v>
      </c>
      <c r="R34" s="87">
        <v>10.5</v>
      </c>
      <c r="S34" s="87">
        <v>116</v>
      </c>
      <c r="T34" s="89">
        <f t="shared" si="1"/>
        <v>30</v>
      </c>
      <c r="U34" s="87">
        <v>98</v>
      </c>
      <c r="V34" s="89">
        <f t="shared" si="2"/>
        <v>2940</v>
      </c>
      <c r="W34" s="87">
        <v>3</v>
      </c>
      <c r="X34" s="87" t="s">
        <v>44</v>
      </c>
      <c r="Y34" s="87" t="s">
        <v>46</v>
      </c>
      <c r="Z34" s="87" t="s">
        <v>54</v>
      </c>
      <c r="AA34" s="87" t="s">
        <v>45</v>
      </c>
      <c r="AB34" s="106" t="s">
        <v>164</v>
      </c>
    </row>
    <row r="35" spans="1:28" s="87" customFormat="1" ht="13.5" customHeight="1">
      <c r="A35" s="87" t="s">
        <v>49</v>
      </c>
      <c r="B35" s="87" t="s">
        <v>181</v>
      </c>
      <c r="C35" s="87">
        <v>2020</v>
      </c>
      <c r="D35" s="87" t="s">
        <v>412</v>
      </c>
      <c r="E35" s="87" t="s">
        <v>307</v>
      </c>
      <c r="F35" s="87" t="s">
        <v>417</v>
      </c>
      <c r="G35" s="87" t="s">
        <v>39</v>
      </c>
      <c r="H35" s="87" t="s">
        <v>40</v>
      </c>
      <c r="I35" s="87" t="s">
        <v>41</v>
      </c>
      <c r="J35" s="87" t="s">
        <v>42</v>
      </c>
      <c r="K35" s="87" t="s">
        <v>43</v>
      </c>
      <c r="L35" s="87">
        <v>1</v>
      </c>
      <c r="N35" s="87">
        <v>5</v>
      </c>
      <c r="O35" s="87">
        <v>1.5</v>
      </c>
      <c r="P35" s="87">
        <v>1.7</v>
      </c>
      <c r="Q35" s="131">
        <f t="shared" si="0"/>
        <v>1.6</v>
      </c>
      <c r="R35" s="87">
        <v>11.9</v>
      </c>
      <c r="S35" s="87">
        <v>84</v>
      </c>
      <c r="T35" s="89">
        <f t="shared" si="1"/>
        <v>36</v>
      </c>
      <c r="U35" s="87">
        <v>398</v>
      </c>
      <c r="V35" s="89">
        <f t="shared" si="2"/>
        <v>2865.6</v>
      </c>
      <c r="W35" s="87">
        <v>1</v>
      </c>
      <c r="X35" s="87" t="s">
        <v>44</v>
      </c>
      <c r="Y35" s="87" t="s">
        <v>46</v>
      </c>
      <c r="Z35" s="87" t="s">
        <v>54</v>
      </c>
      <c r="AA35" s="87" t="s">
        <v>45</v>
      </c>
      <c r="AB35" s="106" t="s">
        <v>164</v>
      </c>
    </row>
    <row r="36" spans="1:28" s="87" customFormat="1" ht="13.5" customHeight="1">
      <c r="A36" s="87" t="s">
        <v>49</v>
      </c>
      <c r="B36" s="87" t="s">
        <v>181</v>
      </c>
      <c r="C36" s="87">
        <v>2020</v>
      </c>
      <c r="D36" s="87" t="s">
        <v>412</v>
      </c>
      <c r="E36" s="87" t="s">
        <v>307</v>
      </c>
      <c r="F36" s="87" t="s">
        <v>417</v>
      </c>
      <c r="G36" s="87" t="s">
        <v>39</v>
      </c>
      <c r="H36" s="87" t="s">
        <v>40</v>
      </c>
      <c r="I36" s="87" t="s">
        <v>41</v>
      </c>
      <c r="J36" s="87" t="s">
        <v>42</v>
      </c>
      <c r="K36" s="87" t="s">
        <v>43</v>
      </c>
      <c r="L36" s="87">
        <v>2</v>
      </c>
      <c r="N36" s="87">
        <v>5</v>
      </c>
      <c r="O36" s="87">
        <v>0.75</v>
      </c>
      <c r="P36" s="87">
        <v>0.8</v>
      </c>
      <c r="Q36" s="131">
        <f t="shared" si="0"/>
        <v>0.77500000000000002</v>
      </c>
      <c r="R36" s="87">
        <v>11.8</v>
      </c>
      <c r="S36" s="87">
        <v>90</v>
      </c>
      <c r="T36" s="89">
        <f t="shared" si="1"/>
        <v>36</v>
      </c>
      <c r="U36" s="87">
        <v>398</v>
      </c>
      <c r="V36" s="89">
        <f t="shared" si="2"/>
        <v>2865.6</v>
      </c>
      <c r="W36" s="87">
        <v>1</v>
      </c>
      <c r="X36" s="87" t="s">
        <v>44</v>
      </c>
      <c r="Y36" s="87" t="s">
        <v>46</v>
      </c>
      <c r="Z36" s="87" t="s">
        <v>54</v>
      </c>
      <c r="AA36" s="87" t="s">
        <v>45</v>
      </c>
      <c r="AB36" s="106" t="s">
        <v>164</v>
      </c>
    </row>
    <row r="37" spans="1:28" s="87" customFormat="1" ht="13.5" customHeight="1">
      <c r="A37" s="87" t="s">
        <v>49</v>
      </c>
      <c r="B37" s="87" t="s">
        <v>181</v>
      </c>
      <c r="C37" s="87">
        <v>2020</v>
      </c>
      <c r="D37" s="87" t="s">
        <v>412</v>
      </c>
      <c r="E37" s="87" t="s">
        <v>307</v>
      </c>
      <c r="F37" s="87" t="s">
        <v>417</v>
      </c>
      <c r="G37" s="87" t="s">
        <v>39</v>
      </c>
      <c r="H37" s="87" t="s">
        <v>40</v>
      </c>
      <c r="I37" s="87" t="s">
        <v>41</v>
      </c>
      <c r="J37" s="87" t="s">
        <v>42</v>
      </c>
      <c r="K37" s="87" t="s">
        <v>43</v>
      </c>
      <c r="L37" s="87">
        <v>3</v>
      </c>
      <c r="N37" s="87">
        <v>5</v>
      </c>
      <c r="O37" s="106">
        <v>0.6</v>
      </c>
      <c r="P37" s="106">
        <v>0.7</v>
      </c>
      <c r="Q37" s="131">
        <f t="shared" si="0"/>
        <v>0.64999999999999991</v>
      </c>
      <c r="R37" s="87">
        <v>11.6</v>
      </c>
      <c r="S37" s="87">
        <v>92</v>
      </c>
      <c r="T37" s="89">
        <f t="shared" si="1"/>
        <v>36</v>
      </c>
      <c r="U37" s="87">
        <v>398</v>
      </c>
      <c r="V37" s="89">
        <f t="shared" si="2"/>
        <v>2865.6</v>
      </c>
      <c r="W37" s="87">
        <v>1</v>
      </c>
      <c r="X37" s="87" t="s">
        <v>44</v>
      </c>
      <c r="Y37" s="87" t="s">
        <v>46</v>
      </c>
      <c r="Z37" s="87" t="s">
        <v>54</v>
      </c>
      <c r="AA37" s="87" t="s">
        <v>45</v>
      </c>
      <c r="AB37" s="106" t="s">
        <v>164</v>
      </c>
    </row>
    <row r="38" spans="1:28" s="87" customFormat="1" ht="13.5" customHeight="1">
      <c r="A38" s="87" t="s">
        <v>49</v>
      </c>
      <c r="B38" s="87" t="s">
        <v>181</v>
      </c>
      <c r="C38" s="87">
        <v>2020</v>
      </c>
      <c r="D38" s="87" t="s">
        <v>412</v>
      </c>
      <c r="E38" s="87" t="s">
        <v>307</v>
      </c>
      <c r="F38" s="87" t="s">
        <v>417</v>
      </c>
      <c r="G38" s="87" t="s">
        <v>39</v>
      </c>
      <c r="H38" s="87" t="s">
        <v>157</v>
      </c>
      <c r="I38" s="87" t="s">
        <v>41</v>
      </c>
      <c r="J38" s="87" t="s">
        <v>42</v>
      </c>
      <c r="K38" s="87" t="s">
        <v>78</v>
      </c>
      <c r="L38" s="87">
        <v>1</v>
      </c>
      <c r="N38" s="87">
        <v>1</v>
      </c>
      <c r="O38" s="106">
        <v>1.3</v>
      </c>
      <c r="P38" s="106">
        <v>1.4</v>
      </c>
      <c r="Q38" s="131">
        <f t="shared" si="0"/>
        <v>1.35</v>
      </c>
      <c r="R38" s="87">
        <v>11.9</v>
      </c>
      <c r="S38" s="87">
        <v>120</v>
      </c>
      <c r="T38" s="89">
        <f t="shared" si="1"/>
        <v>30</v>
      </c>
      <c r="U38" s="87">
        <v>198</v>
      </c>
      <c r="V38" s="89">
        <f t="shared" si="2"/>
        <v>5940</v>
      </c>
      <c r="W38" s="87">
        <v>1</v>
      </c>
      <c r="X38" s="87" t="s">
        <v>44</v>
      </c>
      <c r="Y38" s="87" t="s">
        <v>46</v>
      </c>
      <c r="Z38" s="87" t="s">
        <v>54</v>
      </c>
      <c r="AA38" s="87" t="s">
        <v>45</v>
      </c>
      <c r="AB38" s="106" t="s">
        <v>164</v>
      </c>
    </row>
    <row r="39" spans="1:28" s="87" customFormat="1" ht="13.5" customHeight="1">
      <c r="A39" s="87" t="s">
        <v>49</v>
      </c>
      <c r="B39" s="87" t="s">
        <v>181</v>
      </c>
      <c r="C39" s="87">
        <v>2020</v>
      </c>
      <c r="D39" s="87" t="s">
        <v>412</v>
      </c>
      <c r="E39" s="87" t="s">
        <v>307</v>
      </c>
      <c r="F39" s="87" t="s">
        <v>417</v>
      </c>
      <c r="G39" s="87" t="s">
        <v>39</v>
      </c>
      <c r="H39" s="87" t="s">
        <v>157</v>
      </c>
      <c r="I39" s="87" t="s">
        <v>41</v>
      </c>
      <c r="J39" s="87" t="s">
        <v>42</v>
      </c>
      <c r="K39" s="87" t="s">
        <v>78</v>
      </c>
      <c r="L39" s="87">
        <v>2</v>
      </c>
      <c r="N39" s="87">
        <v>1</v>
      </c>
      <c r="O39" s="87">
        <v>1.2</v>
      </c>
      <c r="P39" s="87">
        <v>1.25</v>
      </c>
      <c r="Q39" s="131">
        <f t="shared" si="0"/>
        <v>1.2250000000000001</v>
      </c>
      <c r="R39" s="106">
        <v>12.5</v>
      </c>
      <c r="S39" s="87">
        <v>115</v>
      </c>
      <c r="T39" s="89">
        <f t="shared" si="1"/>
        <v>33</v>
      </c>
      <c r="U39" s="87">
        <v>198</v>
      </c>
      <c r="V39" s="89">
        <f t="shared" si="2"/>
        <v>6534</v>
      </c>
      <c r="W39" s="87">
        <v>1</v>
      </c>
      <c r="X39" s="87" t="s">
        <v>44</v>
      </c>
      <c r="Y39" s="87" t="s">
        <v>46</v>
      </c>
      <c r="Z39" s="87" t="s">
        <v>54</v>
      </c>
      <c r="AA39" s="87" t="s">
        <v>45</v>
      </c>
      <c r="AB39" s="106" t="s">
        <v>164</v>
      </c>
    </row>
    <row r="40" spans="1:28" s="87" customFormat="1" ht="13.5" customHeight="1">
      <c r="A40" s="87" t="s">
        <v>49</v>
      </c>
      <c r="B40" s="87" t="s">
        <v>181</v>
      </c>
      <c r="C40" s="87">
        <v>2020</v>
      </c>
      <c r="D40" s="87" t="s">
        <v>412</v>
      </c>
      <c r="E40" s="87" t="s">
        <v>307</v>
      </c>
      <c r="F40" s="87" t="s">
        <v>417</v>
      </c>
      <c r="G40" s="87" t="s">
        <v>39</v>
      </c>
      <c r="H40" s="87" t="s">
        <v>157</v>
      </c>
      <c r="I40" s="87" t="s">
        <v>41</v>
      </c>
      <c r="J40" s="87" t="s">
        <v>42</v>
      </c>
      <c r="K40" s="87" t="s">
        <v>78</v>
      </c>
      <c r="L40" s="87">
        <v>3</v>
      </c>
      <c r="N40" s="87">
        <v>1</v>
      </c>
      <c r="O40" s="87">
        <v>0.75</v>
      </c>
      <c r="P40" s="87">
        <v>0.9</v>
      </c>
      <c r="Q40" s="131">
        <f t="shared" si="0"/>
        <v>0.82499999999999996</v>
      </c>
      <c r="R40" s="87">
        <v>12.6</v>
      </c>
      <c r="S40" s="87">
        <v>117</v>
      </c>
      <c r="T40" s="89">
        <f t="shared" si="1"/>
        <v>33</v>
      </c>
      <c r="U40" s="87">
        <v>198</v>
      </c>
      <c r="V40" s="89">
        <f t="shared" si="2"/>
        <v>6534</v>
      </c>
      <c r="W40" s="87">
        <v>1</v>
      </c>
      <c r="X40" s="87" t="s">
        <v>44</v>
      </c>
      <c r="Y40" s="87" t="s">
        <v>46</v>
      </c>
      <c r="Z40" s="87" t="s">
        <v>54</v>
      </c>
      <c r="AA40" s="87" t="s">
        <v>45</v>
      </c>
      <c r="AB40" s="106" t="s">
        <v>164</v>
      </c>
    </row>
    <row r="41" spans="1:28" s="87" customFormat="1" ht="13.5" customHeight="1">
      <c r="A41" s="87" t="s">
        <v>49</v>
      </c>
      <c r="B41" s="87" t="s">
        <v>181</v>
      </c>
      <c r="C41" s="87">
        <v>2020</v>
      </c>
      <c r="D41" s="87" t="s">
        <v>412</v>
      </c>
      <c r="E41" s="87" t="s">
        <v>422</v>
      </c>
      <c r="F41" s="87" t="s">
        <v>423</v>
      </c>
      <c r="G41" s="87" t="s">
        <v>39</v>
      </c>
      <c r="H41" s="87" t="s">
        <v>40</v>
      </c>
      <c r="I41" s="87" t="s">
        <v>41</v>
      </c>
      <c r="J41" s="87" t="s">
        <v>42</v>
      </c>
      <c r="K41" s="87" t="s">
        <v>43</v>
      </c>
      <c r="L41" s="87">
        <v>1</v>
      </c>
      <c r="N41" s="87">
        <v>1</v>
      </c>
      <c r="O41" s="87">
        <v>1.4</v>
      </c>
      <c r="P41" s="87">
        <v>1.5</v>
      </c>
      <c r="Q41" s="131">
        <f t="shared" si="0"/>
        <v>1.45</v>
      </c>
      <c r="R41" s="87">
        <v>11.2</v>
      </c>
      <c r="S41" s="87">
        <v>113</v>
      </c>
      <c r="T41" s="89">
        <f t="shared" si="1"/>
        <v>30</v>
      </c>
      <c r="U41" s="87">
        <v>98</v>
      </c>
      <c r="V41" s="89">
        <f t="shared" si="2"/>
        <v>2940</v>
      </c>
      <c r="W41" s="87">
        <v>3</v>
      </c>
      <c r="X41" s="87" t="s">
        <v>63</v>
      </c>
      <c r="Y41" s="87" t="s">
        <v>46</v>
      </c>
      <c r="Z41" s="87" t="s">
        <v>54</v>
      </c>
      <c r="AA41" s="87" t="s">
        <v>45</v>
      </c>
      <c r="AB41" s="106" t="s">
        <v>164</v>
      </c>
    </row>
    <row r="42" spans="1:28" s="87" customFormat="1" ht="13.5" customHeight="1">
      <c r="A42" s="87" t="s">
        <v>49</v>
      </c>
      <c r="B42" s="87" t="s">
        <v>181</v>
      </c>
      <c r="C42" s="87">
        <v>2020</v>
      </c>
      <c r="D42" s="87" t="s">
        <v>412</v>
      </c>
      <c r="E42" s="87" t="s">
        <v>422</v>
      </c>
      <c r="F42" s="87" t="s">
        <v>423</v>
      </c>
      <c r="G42" s="87" t="s">
        <v>39</v>
      </c>
      <c r="H42" s="87" t="s">
        <v>40</v>
      </c>
      <c r="I42" s="87" t="s">
        <v>41</v>
      </c>
      <c r="J42" s="87" t="s">
        <v>42</v>
      </c>
      <c r="K42" s="87" t="s">
        <v>43</v>
      </c>
      <c r="L42" s="87">
        <v>2</v>
      </c>
      <c r="N42" s="87">
        <v>1</v>
      </c>
      <c r="O42" s="87">
        <v>1.3</v>
      </c>
      <c r="P42" s="87">
        <v>1.5</v>
      </c>
      <c r="Q42" s="131">
        <f t="shared" si="0"/>
        <v>1.4</v>
      </c>
      <c r="R42" s="87">
        <v>11.4</v>
      </c>
      <c r="S42" s="87">
        <v>115</v>
      </c>
      <c r="T42" s="89">
        <f t="shared" si="1"/>
        <v>30</v>
      </c>
      <c r="U42" s="87">
        <v>98</v>
      </c>
      <c r="V42" s="89">
        <f t="shared" si="2"/>
        <v>2940</v>
      </c>
      <c r="W42" s="87">
        <v>3</v>
      </c>
      <c r="X42" s="87" t="s">
        <v>63</v>
      </c>
      <c r="Y42" s="87" t="s">
        <v>46</v>
      </c>
      <c r="Z42" s="87" t="s">
        <v>54</v>
      </c>
      <c r="AA42" s="87" t="s">
        <v>45</v>
      </c>
      <c r="AB42" s="106" t="s">
        <v>164</v>
      </c>
    </row>
    <row r="43" spans="1:28" s="87" customFormat="1" ht="13.5" customHeight="1">
      <c r="A43" s="87" t="s">
        <v>49</v>
      </c>
      <c r="B43" s="87" t="s">
        <v>181</v>
      </c>
      <c r="C43" s="87">
        <v>2020</v>
      </c>
      <c r="D43" s="87" t="s">
        <v>412</v>
      </c>
      <c r="E43" s="87" t="s">
        <v>422</v>
      </c>
      <c r="F43" s="87" t="s">
        <v>423</v>
      </c>
      <c r="G43" s="87" t="s">
        <v>39</v>
      </c>
      <c r="H43" s="87" t="s">
        <v>40</v>
      </c>
      <c r="I43" s="87" t="s">
        <v>41</v>
      </c>
      <c r="J43" s="87" t="s">
        <v>42</v>
      </c>
      <c r="K43" s="87" t="s">
        <v>43</v>
      </c>
      <c r="L43" s="87">
        <v>3</v>
      </c>
      <c r="N43" s="87">
        <v>1</v>
      </c>
      <c r="O43" s="87">
        <v>0.75</v>
      </c>
      <c r="P43" s="87">
        <v>0.8</v>
      </c>
      <c r="Q43" s="131">
        <f t="shared" si="0"/>
        <v>0.77500000000000002</v>
      </c>
      <c r="R43" s="87">
        <v>12</v>
      </c>
      <c r="S43" s="87">
        <v>124</v>
      </c>
      <c r="T43" s="89">
        <f t="shared" si="1"/>
        <v>27</v>
      </c>
      <c r="U43" s="87">
        <v>98</v>
      </c>
      <c r="V43" s="89">
        <f t="shared" si="2"/>
        <v>2646</v>
      </c>
      <c r="W43" s="87">
        <v>3</v>
      </c>
      <c r="X43" s="87" t="s">
        <v>63</v>
      </c>
      <c r="Y43" s="87" t="s">
        <v>46</v>
      </c>
      <c r="Z43" s="87" t="s">
        <v>54</v>
      </c>
      <c r="AA43" s="87" t="s">
        <v>45</v>
      </c>
      <c r="AB43" s="106" t="s">
        <v>164</v>
      </c>
    </row>
    <row r="44" spans="1:28" s="87" customFormat="1" ht="13.5" customHeight="1">
      <c r="A44" s="87" t="s">
        <v>49</v>
      </c>
      <c r="B44" s="87" t="s">
        <v>181</v>
      </c>
      <c r="C44" s="87">
        <v>2020</v>
      </c>
      <c r="D44" s="87" t="s">
        <v>412</v>
      </c>
      <c r="E44" s="87" t="s">
        <v>422</v>
      </c>
      <c r="F44" s="87" t="s">
        <v>423</v>
      </c>
      <c r="G44" s="87" t="s">
        <v>39</v>
      </c>
      <c r="H44" s="87" t="s">
        <v>157</v>
      </c>
      <c r="I44" s="87" t="s">
        <v>41</v>
      </c>
      <c r="J44" s="87" t="s">
        <v>42</v>
      </c>
      <c r="K44" s="87" t="s">
        <v>78</v>
      </c>
      <c r="L44" s="87">
        <v>1</v>
      </c>
      <c r="N44" s="87">
        <v>1</v>
      </c>
      <c r="O44" s="87">
        <v>1.25</v>
      </c>
      <c r="P44" s="87">
        <v>1.3</v>
      </c>
      <c r="Q44" s="131">
        <f t="shared" si="0"/>
        <v>1.2749999999999999</v>
      </c>
      <c r="R44" s="87">
        <v>11.2</v>
      </c>
      <c r="S44" s="87">
        <v>103</v>
      </c>
      <c r="T44" s="89">
        <f t="shared" si="1"/>
        <v>36</v>
      </c>
      <c r="U44" s="87">
        <v>158</v>
      </c>
      <c r="V44" s="89">
        <f t="shared" si="2"/>
        <v>5688</v>
      </c>
      <c r="W44" s="87">
        <v>3</v>
      </c>
      <c r="X44" s="87" t="s">
        <v>63</v>
      </c>
      <c r="Y44" s="87" t="s">
        <v>46</v>
      </c>
      <c r="Z44" s="87" t="s">
        <v>54</v>
      </c>
      <c r="AA44" s="87" t="s">
        <v>45</v>
      </c>
      <c r="AB44" s="106" t="s">
        <v>164</v>
      </c>
    </row>
    <row r="45" spans="1:28" s="87" customFormat="1" ht="13.5" customHeight="1">
      <c r="A45" s="87" t="s">
        <v>49</v>
      </c>
      <c r="B45" s="87" t="s">
        <v>181</v>
      </c>
      <c r="C45" s="87">
        <v>2020</v>
      </c>
      <c r="D45" s="87" t="s">
        <v>412</v>
      </c>
      <c r="E45" s="87" t="s">
        <v>422</v>
      </c>
      <c r="F45" s="87" t="s">
        <v>423</v>
      </c>
      <c r="G45" s="87" t="s">
        <v>39</v>
      </c>
      <c r="H45" s="87" t="s">
        <v>157</v>
      </c>
      <c r="I45" s="87" t="s">
        <v>41</v>
      </c>
      <c r="J45" s="87" t="s">
        <v>42</v>
      </c>
      <c r="K45" s="87" t="s">
        <v>78</v>
      </c>
      <c r="L45" s="87">
        <v>2</v>
      </c>
      <c r="N45" s="87">
        <v>1</v>
      </c>
      <c r="O45" s="87">
        <v>1.5</v>
      </c>
      <c r="P45" s="87">
        <v>1.5</v>
      </c>
      <c r="Q45" s="131">
        <f t="shared" si="0"/>
        <v>1.5</v>
      </c>
      <c r="R45" s="87">
        <v>11.3</v>
      </c>
      <c r="S45" s="87">
        <v>100</v>
      </c>
      <c r="T45" s="89">
        <f t="shared" si="1"/>
        <v>36</v>
      </c>
      <c r="U45" s="87">
        <v>158</v>
      </c>
      <c r="V45" s="89">
        <f t="shared" si="2"/>
        <v>5688</v>
      </c>
      <c r="W45" s="87">
        <v>3</v>
      </c>
      <c r="X45" s="87" t="s">
        <v>63</v>
      </c>
      <c r="Y45" s="87" t="s">
        <v>46</v>
      </c>
      <c r="Z45" s="87" t="s">
        <v>54</v>
      </c>
      <c r="AA45" s="87" t="s">
        <v>45</v>
      </c>
      <c r="AB45" s="106" t="s">
        <v>164</v>
      </c>
    </row>
    <row r="46" spans="1:28" s="87" customFormat="1" ht="13.5" customHeight="1">
      <c r="A46" s="87" t="s">
        <v>49</v>
      </c>
      <c r="B46" s="87" t="s">
        <v>181</v>
      </c>
      <c r="C46" s="87">
        <v>2020</v>
      </c>
      <c r="D46" s="87" t="s">
        <v>412</v>
      </c>
      <c r="E46" s="87" t="s">
        <v>422</v>
      </c>
      <c r="F46" s="87" t="s">
        <v>423</v>
      </c>
      <c r="G46" s="87" t="s">
        <v>39</v>
      </c>
      <c r="H46" s="87" t="s">
        <v>157</v>
      </c>
      <c r="I46" s="87" t="s">
        <v>41</v>
      </c>
      <c r="J46" s="87" t="s">
        <v>42</v>
      </c>
      <c r="K46" s="87" t="s">
        <v>78</v>
      </c>
      <c r="L46" s="87">
        <v>3</v>
      </c>
      <c r="N46" s="87">
        <v>1</v>
      </c>
      <c r="O46" s="87">
        <v>1.3</v>
      </c>
      <c r="P46" s="106">
        <v>1.25</v>
      </c>
      <c r="Q46" s="131">
        <f t="shared" si="0"/>
        <v>1.2749999999999999</v>
      </c>
      <c r="R46" s="87">
        <v>17</v>
      </c>
      <c r="S46" s="87">
        <v>96</v>
      </c>
      <c r="T46" s="89">
        <f t="shared" si="1"/>
        <v>39</v>
      </c>
      <c r="U46" s="87">
        <v>158</v>
      </c>
      <c r="V46" s="89">
        <f t="shared" si="2"/>
        <v>6162</v>
      </c>
      <c r="W46" s="87">
        <v>3</v>
      </c>
      <c r="X46" s="87" t="s">
        <v>63</v>
      </c>
      <c r="Y46" s="87" t="s">
        <v>46</v>
      </c>
      <c r="Z46" s="87" t="s">
        <v>54</v>
      </c>
      <c r="AA46" s="87" t="s">
        <v>45</v>
      </c>
      <c r="AB46" s="106" t="s">
        <v>164</v>
      </c>
    </row>
    <row r="47" spans="1:28" s="87" customFormat="1" ht="13.5" customHeight="1">
      <c r="A47" s="87" t="s">
        <v>49</v>
      </c>
      <c r="B47" s="87" t="s">
        <v>181</v>
      </c>
      <c r="C47" s="87">
        <v>2020</v>
      </c>
      <c r="D47" s="87" t="s">
        <v>412</v>
      </c>
      <c r="E47" s="87" t="s">
        <v>427</v>
      </c>
      <c r="F47" s="87" t="s">
        <v>421</v>
      </c>
      <c r="G47" s="87" t="s">
        <v>39</v>
      </c>
      <c r="H47" s="87" t="s">
        <v>40</v>
      </c>
      <c r="I47" s="87" t="s">
        <v>41</v>
      </c>
      <c r="J47" s="87" t="s">
        <v>42</v>
      </c>
      <c r="K47" s="87" t="s">
        <v>43</v>
      </c>
      <c r="L47" s="87">
        <v>1</v>
      </c>
      <c r="N47" s="87">
        <v>1</v>
      </c>
      <c r="O47" s="87">
        <v>2</v>
      </c>
      <c r="P47" s="87">
        <v>2</v>
      </c>
      <c r="Q47" s="131">
        <f t="shared" si="0"/>
        <v>2</v>
      </c>
      <c r="R47" s="87">
        <v>11.3</v>
      </c>
      <c r="S47" s="87">
        <v>125</v>
      </c>
      <c r="T47" s="89">
        <f t="shared" si="1"/>
        <v>27</v>
      </c>
      <c r="U47" s="87">
        <v>78</v>
      </c>
      <c r="V47" s="89">
        <f t="shared" si="2"/>
        <v>2106</v>
      </c>
      <c r="W47" s="87">
        <v>1</v>
      </c>
      <c r="X47" s="87" t="s">
        <v>44</v>
      </c>
      <c r="Y47" s="87" t="s">
        <v>54</v>
      </c>
      <c r="Z47" s="87" t="s">
        <v>46</v>
      </c>
      <c r="AA47" s="87" t="s">
        <v>161</v>
      </c>
      <c r="AB47" s="106" t="s">
        <v>164</v>
      </c>
    </row>
    <row r="48" spans="1:28" s="87" customFormat="1" ht="13.5" customHeight="1">
      <c r="A48" s="87" t="s">
        <v>49</v>
      </c>
      <c r="B48" s="87" t="s">
        <v>181</v>
      </c>
      <c r="C48" s="87">
        <v>2020</v>
      </c>
      <c r="D48" s="87" t="s">
        <v>412</v>
      </c>
      <c r="E48" s="87" t="s">
        <v>427</v>
      </c>
      <c r="F48" s="87" t="s">
        <v>421</v>
      </c>
      <c r="G48" s="87" t="s">
        <v>39</v>
      </c>
      <c r="H48" s="87" t="s">
        <v>40</v>
      </c>
      <c r="I48" s="87" t="s">
        <v>41</v>
      </c>
      <c r="J48" s="87" t="s">
        <v>42</v>
      </c>
      <c r="K48" s="87" t="s">
        <v>43</v>
      </c>
      <c r="L48" s="87">
        <v>2</v>
      </c>
      <c r="N48" s="87">
        <v>1</v>
      </c>
      <c r="O48" s="87">
        <v>1.9</v>
      </c>
      <c r="P48" s="87">
        <v>2</v>
      </c>
      <c r="Q48" s="131">
        <f t="shared" si="0"/>
        <v>1.95</v>
      </c>
      <c r="R48" s="87">
        <v>11.2</v>
      </c>
      <c r="S48" s="87">
        <v>117</v>
      </c>
      <c r="T48" s="89">
        <f t="shared" si="1"/>
        <v>30</v>
      </c>
      <c r="U48" s="87">
        <v>78</v>
      </c>
      <c r="V48" s="89">
        <f t="shared" si="2"/>
        <v>2340</v>
      </c>
      <c r="W48" s="87">
        <v>1</v>
      </c>
      <c r="X48" s="87" t="s">
        <v>44</v>
      </c>
      <c r="Y48" s="87" t="s">
        <v>54</v>
      </c>
      <c r="Z48" s="87" t="s">
        <v>46</v>
      </c>
      <c r="AA48" s="87" t="s">
        <v>161</v>
      </c>
      <c r="AB48" s="106" t="s">
        <v>164</v>
      </c>
    </row>
    <row r="49" spans="1:28" s="87" customFormat="1" ht="13.5" customHeight="1">
      <c r="A49" s="87" t="s">
        <v>49</v>
      </c>
      <c r="B49" s="87" t="s">
        <v>181</v>
      </c>
      <c r="C49" s="87">
        <v>2020</v>
      </c>
      <c r="D49" s="87" t="s">
        <v>412</v>
      </c>
      <c r="E49" s="87" t="s">
        <v>427</v>
      </c>
      <c r="F49" s="87" t="s">
        <v>421</v>
      </c>
      <c r="G49" s="87" t="s">
        <v>39</v>
      </c>
      <c r="H49" s="87" t="s">
        <v>40</v>
      </c>
      <c r="I49" s="87" t="s">
        <v>41</v>
      </c>
      <c r="J49" s="87" t="s">
        <v>42</v>
      </c>
      <c r="K49" s="87" t="s">
        <v>43</v>
      </c>
      <c r="L49" s="87">
        <v>3</v>
      </c>
      <c r="N49" s="87">
        <v>1</v>
      </c>
      <c r="O49" s="87">
        <v>1.75</v>
      </c>
      <c r="P49" s="106">
        <v>1.8</v>
      </c>
      <c r="Q49" s="131">
        <f t="shared" si="0"/>
        <v>1.7749999999999999</v>
      </c>
      <c r="R49" s="87">
        <v>10.8</v>
      </c>
      <c r="S49" s="87">
        <v>123</v>
      </c>
      <c r="T49" s="89">
        <f t="shared" si="1"/>
        <v>27</v>
      </c>
      <c r="U49" s="87">
        <v>78</v>
      </c>
      <c r="V49" s="89">
        <f t="shared" si="2"/>
        <v>2106</v>
      </c>
      <c r="W49" s="87">
        <v>1</v>
      </c>
      <c r="X49" s="87" t="s">
        <v>44</v>
      </c>
      <c r="Y49" s="87" t="s">
        <v>54</v>
      </c>
      <c r="Z49" s="87" t="s">
        <v>46</v>
      </c>
      <c r="AA49" s="87" t="s">
        <v>161</v>
      </c>
      <c r="AB49" s="106" t="s">
        <v>164</v>
      </c>
    </row>
    <row r="50" spans="1:28" s="87" customFormat="1" ht="13.5" customHeight="1">
      <c r="A50" s="87" t="s">
        <v>49</v>
      </c>
      <c r="B50" s="87" t="s">
        <v>181</v>
      </c>
      <c r="C50" s="87">
        <v>2020</v>
      </c>
      <c r="D50" s="87" t="s">
        <v>412</v>
      </c>
      <c r="E50" s="87" t="s">
        <v>427</v>
      </c>
      <c r="F50" s="87" t="s">
        <v>421</v>
      </c>
      <c r="G50" s="87" t="s">
        <v>39</v>
      </c>
      <c r="H50" s="87" t="s">
        <v>157</v>
      </c>
      <c r="I50" s="87" t="s">
        <v>41</v>
      </c>
      <c r="J50" s="87" t="s">
        <v>42</v>
      </c>
      <c r="K50" s="87" t="s">
        <v>78</v>
      </c>
      <c r="L50" s="87">
        <v>1</v>
      </c>
      <c r="N50" s="87">
        <v>1</v>
      </c>
      <c r="O50" s="87">
        <v>1</v>
      </c>
      <c r="P50" s="87">
        <v>1.2</v>
      </c>
      <c r="Q50" s="131">
        <f t="shared" si="0"/>
        <v>1.1000000000000001</v>
      </c>
      <c r="R50" s="87">
        <v>11.8</v>
      </c>
      <c r="S50" s="87">
        <v>104</v>
      </c>
      <c r="T50" s="89">
        <f t="shared" si="1"/>
        <v>36</v>
      </c>
      <c r="U50" s="87">
        <v>150</v>
      </c>
      <c r="V50" s="89">
        <f t="shared" si="2"/>
        <v>5400</v>
      </c>
      <c r="W50" s="87">
        <v>1</v>
      </c>
      <c r="X50" s="87" t="s">
        <v>44</v>
      </c>
      <c r="Y50" s="87" t="s">
        <v>54</v>
      </c>
      <c r="Z50" s="87" t="s">
        <v>46</v>
      </c>
      <c r="AA50" s="87" t="s">
        <v>161</v>
      </c>
      <c r="AB50" s="106" t="s">
        <v>164</v>
      </c>
    </row>
    <row r="51" spans="1:28" s="87" customFormat="1" ht="13.5" customHeight="1">
      <c r="A51" s="87" t="s">
        <v>49</v>
      </c>
      <c r="B51" s="87" t="s">
        <v>181</v>
      </c>
      <c r="C51" s="87">
        <v>2020</v>
      </c>
      <c r="D51" s="87" t="s">
        <v>412</v>
      </c>
      <c r="E51" s="87" t="s">
        <v>427</v>
      </c>
      <c r="F51" s="87" t="s">
        <v>421</v>
      </c>
      <c r="G51" s="87" t="s">
        <v>39</v>
      </c>
      <c r="H51" s="87" t="s">
        <v>157</v>
      </c>
      <c r="I51" s="87" t="s">
        <v>41</v>
      </c>
      <c r="J51" s="87" t="s">
        <v>42</v>
      </c>
      <c r="K51" s="87" t="s">
        <v>78</v>
      </c>
      <c r="L51" s="87">
        <v>2</v>
      </c>
      <c r="N51" s="87">
        <v>1</v>
      </c>
      <c r="O51" s="87">
        <v>1.5</v>
      </c>
      <c r="P51" s="87">
        <v>1.6</v>
      </c>
      <c r="Q51" s="131">
        <f t="shared" si="0"/>
        <v>1.55</v>
      </c>
      <c r="R51" s="87">
        <v>11.5</v>
      </c>
      <c r="S51" s="87">
        <v>110</v>
      </c>
      <c r="T51" s="89">
        <f t="shared" si="1"/>
        <v>33</v>
      </c>
      <c r="U51" s="87">
        <v>150</v>
      </c>
      <c r="V51" s="89">
        <f t="shared" si="2"/>
        <v>4950</v>
      </c>
      <c r="W51" s="87">
        <v>1</v>
      </c>
      <c r="X51" s="87" t="s">
        <v>44</v>
      </c>
      <c r="Y51" s="87" t="s">
        <v>54</v>
      </c>
      <c r="Z51" s="87" t="s">
        <v>46</v>
      </c>
      <c r="AA51" s="87" t="s">
        <v>161</v>
      </c>
      <c r="AB51" s="106" t="s">
        <v>164</v>
      </c>
    </row>
    <row r="52" spans="1:28" s="87" customFormat="1" ht="13.5" customHeight="1">
      <c r="A52" s="87" t="s">
        <v>49</v>
      </c>
      <c r="B52" s="87" t="s">
        <v>181</v>
      </c>
      <c r="C52" s="87">
        <v>2020</v>
      </c>
      <c r="D52" s="87" t="s">
        <v>412</v>
      </c>
      <c r="E52" s="87" t="s">
        <v>427</v>
      </c>
      <c r="F52" s="87" t="s">
        <v>421</v>
      </c>
      <c r="G52" s="87" t="s">
        <v>39</v>
      </c>
      <c r="H52" s="87" t="s">
        <v>157</v>
      </c>
      <c r="I52" s="87" t="s">
        <v>41</v>
      </c>
      <c r="J52" s="87" t="s">
        <v>42</v>
      </c>
      <c r="K52" s="87" t="s">
        <v>78</v>
      </c>
      <c r="L52" s="87">
        <v>3</v>
      </c>
      <c r="N52" s="87">
        <v>1</v>
      </c>
      <c r="O52" s="87">
        <v>1.4</v>
      </c>
      <c r="P52" s="87">
        <v>1.5</v>
      </c>
      <c r="Q52" s="131">
        <f t="shared" si="0"/>
        <v>1.45</v>
      </c>
      <c r="R52" s="87">
        <v>11.8</v>
      </c>
      <c r="S52" s="87">
        <v>103</v>
      </c>
      <c r="T52" s="89">
        <f t="shared" si="1"/>
        <v>36</v>
      </c>
      <c r="U52" s="87">
        <v>150</v>
      </c>
      <c r="V52" s="89">
        <f t="shared" si="2"/>
        <v>5400</v>
      </c>
      <c r="W52" s="87">
        <v>1</v>
      </c>
      <c r="X52" s="87" t="s">
        <v>44</v>
      </c>
      <c r="Y52" s="87" t="s">
        <v>54</v>
      </c>
      <c r="Z52" s="87" t="s">
        <v>46</v>
      </c>
      <c r="AA52" s="87" t="s">
        <v>161</v>
      </c>
      <c r="AB52" s="106" t="s">
        <v>164</v>
      </c>
    </row>
    <row r="53" spans="1:28" s="87" customFormat="1" ht="13.5" customHeight="1">
      <c r="A53" s="87" t="s">
        <v>49</v>
      </c>
      <c r="B53" s="87" t="s">
        <v>181</v>
      </c>
      <c r="C53" s="87">
        <v>2020</v>
      </c>
      <c r="D53" s="87" t="s">
        <v>412</v>
      </c>
      <c r="E53" s="87" t="s">
        <v>427</v>
      </c>
      <c r="F53" s="87" t="s">
        <v>421</v>
      </c>
      <c r="G53" s="87" t="s">
        <v>39</v>
      </c>
      <c r="H53" s="87" t="s">
        <v>157</v>
      </c>
      <c r="I53" s="87" t="s">
        <v>41</v>
      </c>
      <c r="J53" s="87" t="s">
        <v>42</v>
      </c>
      <c r="K53" s="87" t="s">
        <v>78</v>
      </c>
      <c r="L53" s="87">
        <v>1</v>
      </c>
      <c r="N53" s="87">
        <v>4</v>
      </c>
      <c r="O53" s="87">
        <v>1</v>
      </c>
      <c r="P53" s="87">
        <v>1.1499999999999999</v>
      </c>
      <c r="Q53" s="131">
        <f t="shared" si="0"/>
        <v>1.075</v>
      </c>
      <c r="R53" s="87">
        <v>12.1</v>
      </c>
      <c r="S53" s="87">
        <v>88</v>
      </c>
      <c r="T53" s="89">
        <f t="shared" si="1"/>
        <v>39</v>
      </c>
      <c r="U53" s="87">
        <v>498</v>
      </c>
      <c r="V53" s="89">
        <f t="shared" si="2"/>
        <v>4855.5</v>
      </c>
      <c r="W53" s="87">
        <v>1</v>
      </c>
      <c r="X53" s="87" t="s">
        <v>44</v>
      </c>
      <c r="Y53" s="87" t="s">
        <v>54</v>
      </c>
      <c r="Z53" s="87" t="s">
        <v>46</v>
      </c>
      <c r="AA53" s="87" t="s">
        <v>161</v>
      </c>
      <c r="AB53" s="106" t="s">
        <v>164</v>
      </c>
    </row>
    <row r="54" spans="1:28" s="87" customFormat="1" ht="13.5" customHeight="1">
      <c r="A54" s="87" t="s">
        <v>49</v>
      </c>
      <c r="B54" s="87" t="s">
        <v>181</v>
      </c>
      <c r="C54" s="87">
        <v>2020</v>
      </c>
      <c r="D54" s="87" t="s">
        <v>412</v>
      </c>
      <c r="E54" s="87" t="s">
        <v>427</v>
      </c>
      <c r="F54" s="87" t="s">
        <v>421</v>
      </c>
      <c r="G54" s="87" t="s">
        <v>39</v>
      </c>
      <c r="H54" s="87" t="s">
        <v>157</v>
      </c>
      <c r="I54" s="87" t="s">
        <v>41</v>
      </c>
      <c r="J54" s="87" t="s">
        <v>42</v>
      </c>
      <c r="K54" s="87" t="s">
        <v>78</v>
      </c>
      <c r="L54" s="87">
        <v>2</v>
      </c>
      <c r="N54" s="87">
        <v>4</v>
      </c>
      <c r="O54" s="87">
        <v>1.2</v>
      </c>
      <c r="P54" s="87">
        <v>1.25</v>
      </c>
      <c r="Q54" s="131">
        <f t="shared" si="0"/>
        <v>1.2250000000000001</v>
      </c>
      <c r="R54" s="87">
        <v>11.9</v>
      </c>
      <c r="S54" s="87">
        <v>97</v>
      </c>
      <c r="T54" s="89">
        <f t="shared" si="1"/>
        <v>36</v>
      </c>
      <c r="U54" s="87">
        <v>498</v>
      </c>
      <c r="V54" s="89">
        <f t="shared" si="2"/>
        <v>4482</v>
      </c>
      <c r="W54" s="87">
        <v>1</v>
      </c>
      <c r="X54" s="87" t="s">
        <v>44</v>
      </c>
      <c r="Y54" s="87" t="s">
        <v>54</v>
      </c>
      <c r="Z54" s="87" t="s">
        <v>46</v>
      </c>
      <c r="AA54" s="87" t="s">
        <v>161</v>
      </c>
      <c r="AB54" s="106" t="s">
        <v>164</v>
      </c>
    </row>
    <row r="55" spans="1:28" s="87" customFormat="1" ht="13.5" customHeight="1">
      <c r="A55" s="87" t="s">
        <v>49</v>
      </c>
      <c r="B55" s="87" t="s">
        <v>181</v>
      </c>
      <c r="C55" s="87">
        <v>2020</v>
      </c>
      <c r="D55" s="87" t="s">
        <v>412</v>
      </c>
      <c r="E55" s="87" t="s">
        <v>427</v>
      </c>
      <c r="F55" s="87" t="s">
        <v>421</v>
      </c>
      <c r="G55" s="87" t="s">
        <v>39</v>
      </c>
      <c r="H55" s="87" t="s">
        <v>157</v>
      </c>
      <c r="I55" s="87" t="s">
        <v>41</v>
      </c>
      <c r="J55" s="87" t="s">
        <v>42</v>
      </c>
      <c r="K55" s="87" t="s">
        <v>78</v>
      </c>
      <c r="L55" s="87">
        <v>3</v>
      </c>
      <c r="N55" s="87">
        <v>4</v>
      </c>
      <c r="O55" s="87">
        <v>1.1000000000000001</v>
      </c>
      <c r="P55" s="87">
        <v>1.1499999999999999</v>
      </c>
      <c r="Q55" s="131">
        <f t="shared" si="0"/>
        <v>1.125</v>
      </c>
      <c r="R55" s="87">
        <v>11.5</v>
      </c>
      <c r="S55" s="87">
        <v>75</v>
      </c>
      <c r="T55" s="89">
        <f>IF(H55="","",IF(OR(H55="GREEN",H55="GK"),IF(S55&gt;=$AX$2,VLOOKUP(S55,$AX$2:$AY$12,2,1),""),IF(S55&gt;=$AZ$2,VLOOKUP(S55,$AZ$2:$BA$12,2,1),"")))</f>
        <v>42</v>
      </c>
      <c r="U55" s="87">
        <v>498</v>
      </c>
      <c r="V55" s="89">
        <f t="shared" si="2"/>
        <v>5229</v>
      </c>
      <c r="W55" s="87">
        <v>1</v>
      </c>
      <c r="X55" s="87" t="s">
        <v>44</v>
      </c>
      <c r="Y55" s="87" t="s">
        <v>54</v>
      </c>
      <c r="Z55" s="87" t="s">
        <v>46</v>
      </c>
      <c r="AA55" s="87" t="s">
        <v>161</v>
      </c>
      <c r="AB55" s="106" t="s">
        <v>164</v>
      </c>
    </row>
    <row r="56" spans="1:28" s="87" customFormat="1" ht="13.5" customHeight="1">
      <c r="A56" s="87" t="s">
        <v>49</v>
      </c>
      <c r="B56" s="87" t="s">
        <v>181</v>
      </c>
      <c r="C56" s="87">
        <v>2020</v>
      </c>
      <c r="D56" s="87" t="s">
        <v>412</v>
      </c>
      <c r="E56" s="87" t="s">
        <v>428</v>
      </c>
      <c r="F56" s="87" t="s">
        <v>426</v>
      </c>
      <c r="G56" s="87" t="s">
        <v>39</v>
      </c>
      <c r="H56" s="87" t="s">
        <v>40</v>
      </c>
      <c r="I56" s="87" t="s">
        <v>41</v>
      </c>
      <c r="J56" s="87" t="s">
        <v>42</v>
      </c>
      <c r="K56" s="87" t="s">
        <v>43</v>
      </c>
      <c r="L56" s="87">
        <v>1</v>
      </c>
      <c r="N56" s="87">
        <v>8</v>
      </c>
      <c r="O56" s="87">
        <v>1.2</v>
      </c>
      <c r="P56" s="87">
        <v>1.25</v>
      </c>
      <c r="Q56" s="131">
        <f t="shared" si="0"/>
        <v>1.2250000000000001</v>
      </c>
      <c r="R56" s="87">
        <v>14.4</v>
      </c>
      <c r="S56" s="87">
        <v>90</v>
      </c>
      <c r="T56" s="89">
        <f>IF(H56="","",IF(OR(H56="GREEN",H56="GK"),IF(S56&gt;=$AX$2,VLOOKUP(S56,$AX$2:$AY$12,2,1),""),IF(S56&gt;=$AZ$2,VLOOKUP(S56,$AZ$2:$BA$12,2,1),"")))</f>
        <v>36</v>
      </c>
      <c r="U56" s="87">
        <v>398</v>
      </c>
      <c r="V56" s="89">
        <f t="shared" si="2"/>
        <v>1791</v>
      </c>
      <c r="W56" s="87">
        <v>1</v>
      </c>
      <c r="X56" s="87" t="s">
        <v>63</v>
      </c>
      <c r="Y56" s="87" t="s">
        <v>46</v>
      </c>
      <c r="Z56" s="87" t="s">
        <v>45</v>
      </c>
      <c r="AA56" s="87" t="s">
        <v>54</v>
      </c>
      <c r="AB56" s="106" t="s">
        <v>164</v>
      </c>
    </row>
    <row r="57" spans="1:28" s="87" customFormat="1" ht="13.5" customHeight="1">
      <c r="A57" s="87" t="s">
        <v>49</v>
      </c>
      <c r="B57" s="87" t="s">
        <v>181</v>
      </c>
      <c r="C57" s="87">
        <v>2020</v>
      </c>
      <c r="D57" s="87" t="s">
        <v>412</v>
      </c>
      <c r="E57" s="87" t="s">
        <v>428</v>
      </c>
      <c r="F57" s="87" t="s">
        <v>426</v>
      </c>
      <c r="G57" s="87" t="s">
        <v>39</v>
      </c>
      <c r="H57" s="87" t="s">
        <v>40</v>
      </c>
      <c r="I57" s="87" t="s">
        <v>41</v>
      </c>
      <c r="J57" s="87" t="s">
        <v>42</v>
      </c>
      <c r="K57" s="87" t="s">
        <v>43</v>
      </c>
      <c r="L57" s="87">
        <v>2</v>
      </c>
      <c r="N57" s="87">
        <v>8</v>
      </c>
      <c r="O57" s="87">
        <v>1.45</v>
      </c>
      <c r="P57" s="87">
        <v>1.5</v>
      </c>
      <c r="Q57" s="131">
        <f t="shared" si="0"/>
        <v>1.4750000000000001</v>
      </c>
      <c r="R57" s="87">
        <v>11.4</v>
      </c>
      <c r="S57" s="87">
        <v>84</v>
      </c>
      <c r="T57" s="89">
        <f>IF(H57="","",IF(OR(H57="GREEN",H57="GK"),IF(S57&gt;=$AX$2,VLOOKUP(S57,$AX$2:$AY$12,2,1),""),IF(S57&gt;=$AZ$2,VLOOKUP(S57,$AZ$2:$BA$12,2,1),"")))</f>
        <v>36</v>
      </c>
      <c r="U57" s="87">
        <v>398</v>
      </c>
      <c r="V57" s="89">
        <f t="shared" si="2"/>
        <v>1791</v>
      </c>
      <c r="W57" s="87">
        <v>1</v>
      </c>
      <c r="X57" s="87" t="s">
        <v>63</v>
      </c>
      <c r="Y57" s="87" t="s">
        <v>46</v>
      </c>
      <c r="Z57" s="87" t="s">
        <v>45</v>
      </c>
      <c r="AA57" s="87" t="s">
        <v>54</v>
      </c>
      <c r="AB57" s="106" t="s">
        <v>164</v>
      </c>
    </row>
    <row r="58" spans="1:28" s="87" customFormat="1" ht="13.5" customHeight="1">
      <c r="A58" s="87" t="s">
        <v>49</v>
      </c>
      <c r="B58" s="87" t="s">
        <v>181</v>
      </c>
      <c r="C58" s="87">
        <v>2020</v>
      </c>
      <c r="D58" s="87" t="s">
        <v>412</v>
      </c>
      <c r="E58" s="87" t="s">
        <v>428</v>
      </c>
      <c r="F58" s="87" t="s">
        <v>426</v>
      </c>
      <c r="G58" s="87" t="s">
        <v>39</v>
      </c>
      <c r="H58" s="87" t="s">
        <v>40</v>
      </c>
      <c r="I58" s="87" t="s">
        <v>41</v>
      </c>
      <c r="J58" s="87" t="s">
        <v>42</v>
      </c>
      <c r="K58" s="87" t="s">
        <v>43</v>
      </c>
      <c r="L58" s="87">
        <v>3</v>
      </c>
      <c r="N58" s="87">
        <v>8</v>
      </c>
      <c r="O58" s="87">
        <v>1.25</v>
      </c>
      <c r="P58" s="87">
        <v>1.3</v>
      </c>
      <c r="Q58" s="131">
        <f t="shared" si="0"/>
        <v>1.2749999999999999</v>
      </c>
      <c r="R58" s="87">
        <v>12.4</v>
      </c>
      <c r="S58" s="87">
        <v>84</v>
      </c>
      <c r="T58" s="89">
        <f t="shared" si="1"/>
        <v>36</v>
      </c>
      <c r="U58" s="87">
        <v>398</v>
      </c>
      <c r="V58" s="89">
        <f t="shared" si="2"/>
        <v>1791</v>
      </c>
      <c r="W58" s="87">
        <v>1</v>
      </c>
      <c r="X58" s="87" t="s">
        <v>63</v>
      </c>
      <c r="Y58" s="87" t="s">
        <v>46</v>
      </c>
      <c r="Z58" s="87" t="s">
        <v>45</v>
      </c>
      <c r="AA58" s="87" t="s">
        <v>54</v>
      </c>
      <c r="AB58" s="106" t="s">
        <v>164</v>
      </c>
    </row>
    <row r="59" spans="1:28" s="87" customFormat="1" ht="13.5" customHeight="1">
      <c r="A59" s="87" t="s">
        <v>49</v>
      </c>
      <c r="B59" s="87" t="s">
        <v>181</v>
      </c>
      <c r="C59" s="87">
        <v>2020</v>
      </c>
      <c r="D59" s="87" t="s">
        <v>412</v>
      </c>
      <c r="E59" s="87" t="s">
        <v>406</v>
      </c>
      <c r="F59" s="87" t="s">
        <v>416</v>
      </c>
      <c r="G59" s="87" t="s">
        <v>39</v>
      </c>
      <c r="H59" s="87" t="s">
        <v>40</v>
      </c>
      <c r="I59" s="87" t="s">
        <v>41</v>
      </c>
      <c r="J59" s="87" t="s">
        <v>42</v>
      </c>
      <c r="K59" s="87" t="s">
        <v>43</v>
      </c>
      <c r="L59" s="87">
        <v>1</v>
      </c>
      <c r="N59" s="87">
        <v>1</v>
      </c>
      <c r="O59" s="87">
        <v>1.25</v>
      </c>
      <c r="P59" s="87">
        <v>1.3</v>
      </c>
      <c r="Q59" s="131">
        <f t="shared" si="0"/>
        <v>1.2749999999999999</v>
      </c>
      <c r="R59" s="87">
        <v>12.1</v>
      </c>
      <c r="S59" s="87">
        <v>119</v>
      </c>
      <c r="T59" s="89">
        <f t="shared" si="1"/>
        <v>30</v>
      </c>
      <c r="U59" s="87">
        <v>93</v>
      </c>
      <c r="V59" s="89">
        <f t="shared" si="2"/>
        <v>2790</v>
      </c>
      <c r="W59" s="87">
        <v>3</v>
      </c>
      <c r="X59" s="87" t="s">
        <v>63</v>
      </c>
      <c r="Y59" s="87" t="s">
        <v>46</v>
      </c>
      <c r="Z59" s="87" t="s">
        <v>54</v>
      </c>
      <c r="AA59" s="87" t="s">
        <v>45</v>
      </c>
      <c r="AB59" s="106" t="s">
        <v>164</v>
      </c>
    </row>
    <row r="60" spans="1:28" s="87" customFormat="1" ht="13.5" customHeight="1">
      <c r="A60" s="87" t="s">
        <v>49</v>
      </c>
      <c r="B60" s="87" t="s">
        <v>181</v>
      </c>
      <c r="C60" s="87">
        <v>2020</v>
      </c>
      <c r="D60" s="87" t="s">
        <v>412</v>
      </c>
      <c r="E60" s="87" t="s">
        <v>406</v>
      </c>
      <c r="F60" s="87" t="s">
        <v>416</v>
      </c>
      <c r="G60" s="87" t="s">
        <v>39</v>
      </c>
      <c r="H60" s="87" t="s">
        <v>40</v>
      </c>
      <c r="I60" s="87" t="s">
        <v>41</v>
      </c>
      <c r="J60" s="87" t="s">
        <v>42</v>
      </c>
      <c r="K60" s="87" t="s">
        <v>43</v>
      </c>
      <c r="L60" s="87">
        <v>2</v>
      </c>
      <c r="N60" s="87">
        <v>1</v>
      </c>
      <c r="O60" s="87">
        <v>0.9</v>
      </c>
      <c r="P60" s="87">
        <v>1.1000000000000001</v>
      </c>
      <c r="Q60" s="131">
        <f t="shared" si="0"/>
        <v>1</v>
      </c>
      <c r="R60" s="87">
        <v>12.4</v>
      </c>
      <c r="S60" s="87">
        <v>124</v>
      </c>
      <c r="T60" s="89">
        <f t="shared" si="1"/>
        <v>27</v>
      </c>
      <c r="U60" s="87">
        <v>93</v>
      </c>
      <c r="V60" s="89">
        <f t="shared" si="2"/>
        <v>2511</v>
      </c>
      <c r="W60" s="87">
        <v>3</v>
      </c>
      <c r="X60" s="87" t="s">
        <v>63</v>
      </c>
      <c r="Y60" s="87" t="s">
        <v>46</v>
      </c>
      <c r="Z60" s="87" t="s">
        <v>54</v>
      </c>
      <c r="AA60" s="87" t="s">
        <v>45</v>
      </c>
      <c r="AB60" s="106" t="s">
        <v>164</v>
      </c>
    </row>
    <row r="61" spans="1:28" s="87" customFormat="1" ht="13.5" customHeight="1">
      <c r="A61" s="87" t="s">
        <v>49</v>
      </c>
      <c r="B61" s="87" t="s">
        <v>181</v>
      </c>
      <c r="C61" s="87">
        <v>2020</v>
      </c>
      <c r="D61" s="87" t="s">
        <v>412</v>
      </c>
      <c r="E61" s="87" t="s">
        <v>406</v>
      </c>
      <c r="F61" s="87" t="s">
        <v>416</v>
      </c>
      <c r="G61" s="87" t="s">
        <v>39</v>
      </c>
      <c r="H61" s="87" t="s">
        <v>40</v>
      </c>
      <c r="I61" s="87" t="s">
        <v>41</v>
      </c>
      <c r="J61" s="87" t="s">
        <v>42</v>
      </c>
      <c r="K61" s="87" t="s">
        <v>43</v>
      </c>
      <c r="L61" s="87">
        <v>3</v>
      </c>
      <c r="N61" s="87">
        <v>1</v>
      </c>
      <c r="O61" s="87">
        <v>1.75</v>
      </c>
      <c r="P61" s="87">
        <v>1.8</v>
      </c>
      <c r="Q61" s="131">
        <f t="shared" si="0"/>
        <v>1.7749999999999999</v>
      </c>
      <c r="R61" s="87">
        <v>10.6</v>
      </c>
      <c r="S61" s="87">
        <v>120</v>
      </c>
      <c r="T61" s="89">
        <f t="shared" si="1"/>
        <v>30</v>
      </c>
      <c r="U61" s="87">
        <v>93</v>
      </c>
      <c r="V61" s="89">
        <f t="shared" si="2"/>
        <v>2790</v>
      </c>
      <c r="W61" s="87">
        <v>3</v>
      </c>
      <c r="X61" s="87" t="s">
        <v>63</v>
      </c>
      <c r="Y61" s="87" t="s">
        <v>46</v>
      </c>
      <c r="Z61" s="87" t="s">
        <v>54</v>
      </c>
      <c r="AA61" s="87" t="s">
        <v>45</v>
      </c>
      <c r="AB61" s="106" t="s">
        <v>164</v>
      </c>
    </row>
    <row r="62" spans="1:28" s="87" customFormat="1" ht="13.5" customHeight="1">
      <c r="A62" s="87" t="s">
        <v>49</v>
      </c>
      <c r="B62" s="87" t="s">
        <v>181</v>
      </c>
      <c r="C62" s="87">
        <v>2020</v>
      </c>
      <c r="D62" s="87" t="s">
        <v>412</v>
      </c>
      <c r="E62" s="87" t="s">
        <v>406</v>
      </c>
      <c r="F62" s="87" t="s">
        <v>416</v>
      </c>
      <c r="G62" s="87" t="s">
        <v>39</v>
      </c>
      <c r="H62" s="87" t="s">
        <v>40</v>
      </c>
      <c r="I62" s="87" t="s">
        <v>41</v>
      </c>
      <c r="J62" s="87" t="s">
        <v>42</v>
      </c>
      <c r="K62" s="87" t="s">
        <v>43</v>
      </c>
      <c r="L62" s="87">
        <v>1</v>
      </c>
      <c r="N62" s="87">
        <v>5</v>
      </c>
      <c r="O62" s="87">
        <v>0.7</v>
      </c>
      <c r="P62" s="87">
        <v>0.8</v>
      </c>
      <c r="Q62" s="131">
        <f t="shared" si="0"/>
        <v>0.75</v>
      </c>
      <c r="R62" s="87">
        <v>12.2</v>
      </c>
      <c r="S62" s="87">
        <v>90</v>
      </c>
      <c r="T62" s="89">
        <f t="shared" si="1"/>
        <v>36</v>
      </c>
      <c r="U62" s="87">
        <v>398</v>
      </c>
      <c r="V62" s="89">
        <f t="shared" si="2"/>
        <v>2865.6</v>
      </c>
      <c r="W62" s="87">
        <v>1</v>
      </c>
      <c r="X62" s="87" t="s">
        <v>63</v>
      </c>
      <c r="Y62" s="87" t="s">
        <v>46</v>
      </c>
      <c r="Z62" s="87" t="s">
        <v>54</v>
      </c>
      <c r="AA62" s="87" t="s">
        <v>45</v>
      </c>
      <c r="AB62" s="106" t="s">
        <v>164</v>
      </c>
    </row>
    <row r="63" spans="1:28" s="87" customFormat="1" ht="13.5" customHeight="1">
      <c r="A63" s="87" t="s">
        <v>49</v>
      </c>
      <c r="B63" s="87" t="s">
        <v>181</v>
      </c>
      <c r="C63" s="87">
        <v>2020</v>
      </c>
      <c r="D63" s="87" t="s">
        <v>412</v>
      </c>
      <c r="E63" s="87" t="s">
        <v>406</v>
      </c>
      <c r="F63" s="87" t="s">
        <v>416</v>
      </c>
      <c r="G63" s="87" t="s">
        <v>39</v>
      </c>
      <c r="H63" s="87" t="s">
        <v>40</v>
      </c>
      <c r="I63" s="87" t="s">
        <v>41</v>
      </c>
      <c r="J63" s="87" t="s">
        <v>42</v>
      </c>
      <c r="K63" s="87" t="s">
        <v>43</v>
      </c>
      <c r="L63" s="87">
        <v>2</v>
      </c>
      <c r="N63" s="87">
        <v>5</v>
      </c>
      <c r="O63" s="87">
        <v>0.9</v>
      </c>
      <c r="P63" s="87">
        <v>1</v>
      </c>
      <c r="Q63" s="131">
        <f t="shared" si="0"/>
        <v>0.95</v>
      </c>
      <c r="R63" s="87">
        <v>10.9</v>
      </c>
      <c r="S63" s="87">
        <v>83</v>
      </c>
      <c r="T63" s="89">
        <f t="shared" si="1"/>
        <v>39</v>
      </c>
      <c r="U63" s="87">
        <v>398</v>
      </c>
      <c r="V63" s="89">
        <f t="shared" si="2"/>
        <v>3104.3999999999996</v>
      </c>
      <c r="W63" s="87">
        <v>1</v>
      </c>
      <c r="X63" s="87" t="s">
        <v>63</v>
      </c>
      <c r="Y63" s="87" t="s">
        <v>46</v>
      </c>
      <c r="Z63" s="87" t="s">
        <v>54</v>
      </c>
      <c r="AA63" s="87" t="s">
        <v>45</v>
      </c>
      <c r="AB63" s="106" t="s">
        <v>164</v>
      </c>
    </row>
    <row r="64" spans="1:28" s="87" customFormat="1" ht="13.5" customHeight="1">
      <c r="A64" s="87" t="s">
        <v>49</v>
      </c>
      <c r="B64" s="87" t="s">
        <v>181</v>
      </c>
      <c r="C64" s="87">
        <v>2020</v>
      </c>
      <c r="D64" s="87" t="s">
        <v>412</v>
      </c>
      <c r="E64" s="87" t="s">
        <v>406</v>
      </c>
      <c r="F64" s="87" t="s">
        <v>416</v>
      </c>
      <c r="G64" s="87" t="s">
        <v>39</v>
      </c>
      <c r="H64" s="87" t="s">
        <v>40</v>
      </c>
      <c r="I64" s="87" t="s">
        <v>41</v>
      </c>
      <c r="J64" s="87" t="s">
        <v>42</v>
      </c>
      <c r="K64" s="87" t="s">
        <v>43</v>
      </c>
      <c r="L64" s="87">
        <v>3</v>
      </c>
      <c r="N64" s="87">
        <v>5</v>
      </c>
      <c r="O64" s="87">
        <v>1</v>
      </c>
      <c r="P64" s="87">
        <v>1.1000000000000001</v>
      </c>
      <c r="Q64" s="131">
        <f t="shared" si="0"/>
        <v>1.05</v>
      </c>
      <c r="R64" s="87">
        <v>9.9</v>
      </c>
      <c r="S64" s="87">
        <v>90</v>
      </c>
      <c r="T64" s="89">
        <f t="shared" si="1"/>
        <v>36</v>
      </c>
      <c r="U64" s="87">
        <v>398</v>
      </c>
      <c r="V64" s="89">
        <f t="shared" si="2"/>
        <v>2865.6</v>
      </c>
      <c r="W64" s="87">
        <v>1</v>
      </c>
      <c r="X64" s="87" t="s">
        <v>63</v>
      </c>
      <c r="Y64" s="87" t="s">
        <v>46</v>
      </c>
      <c r="Z64" s="87" t="s">
        <v>54</v>
      </c>
      <c r="AA64" s="87" t="s">
        <v>45</v>
      </c>
      <c r="AB64" s="106" t="s">
        <v>164</v>
      </c>
    </row>
    <row r="65" spans="1:28" s="87" customFormat="1" ht="13.5" customHeight="1">
      <c r="A65" s="87" t="s">
        <v>49</v>
      </c>
      <c r="B65" s="87" t="s">
        <v>181</v>
      </c>
      <c r="C65" s="87">
        <v>2020</v>
      </c>
      <c r="D65" s="87" t="s">
        <v>412</v>
      </c>
      <c r="E65" s="87" t="s">
        <v>406</v>
      </c>
      <c r="F65" s="87" t="s">
        <v>416</v>
      </c>
      <c r="G65" s="87" t="s">
        <v>39</v>
      </c>
      <c r="H65" s="87" t="s">
        <v>157</v>
      </c>
      <c r="I65" s="87" t="s">
        <v>41</v>
      </c>
      <c r="J65" s="87" t="s">
        <v>42</v>
      </c>
      <c r="K65" s="87" t="s">
        <v>78</v>
      </c>
      <c r="L65" s="87">
        <v>1</v>
      </c>
      <c r="N65" s="87">
        <v>1</v>
      </c>
      <c r="O65" s="87">
        <v>0.9</v>
      </c>
      <c r="P65" s="87">
        <v>1</v>
      </c>
      <c r="Q65" s="131">
        <f t="shared" si="0"/>
        <v>0.95</v>
      </c>
      <c r="R65" s="87">
        <v>10.3</v>
      </c>
      <c r="S65" s="87">
        <v>103</v>
      </c>
      <c r="T65" s="89">
        <f t="shared" si="1"/>
        <v>36</v>
      </c>
      <c r="U65" s="87">
        <v>93</v>
      </c>
      <c r="V65" s="89">
        <f t="shared" si="2"/>
        <v>3348</v>
      </c>
      <c r="W65" s="87">
        <v>4</v>
      </c>
      <c r="X65" s="87" t="s">
        <v>63</v>
      </c>
      <c r="Y65" s="87" t="s">
        <v>46</v>
      </c>
      <c r="Z65" s="87" t="s">
        <v>54</v>
      </c>
      <c r="AA65" s="87" t="s">
        <v>45</v>
      </c>
      <c r="AB65" s="106" t="s">
        <v>164</v>
      </c>
    </row>
    <row r="66" spans="1:28" s="87" customFormat="1" ht="13.5" customHeight="1">
      <c r="A66" s="87" t="s">
        <v>49</v>
      </c>
      <c r="B66" s="87" t="s">
        <v>181</v>
      </c>
      <c r="C66" s="87">
        <v>2020</v>
      </c>
      <c r="D66" s="87" t="s">
        <v>412</v>
      </c>
      <c r="E66" s="87" t="s">
        <v>406</v>
      </c>
      <c r="F66" s="87" t="s">
        <v>416</v>
      </c>
      <c r="G66" s="87" t="s">
        <v>39</v>
      </c>
      <c r="H66" s="87" t="s">
        <v>157</v>
      </c>
      <c r="I66" s="87" t="s">
        <v>41</v>
      </c>
      <c r="J66" s="87" t="s">
        <v>42</v>
      </c>
      <c r="K66" s="87" t="s">
        <v>78</v>
      </c>
      <c r="L66" s="87">
        <v>2</v>
      </c>
      <c r="N66" s="87">
        <v>1</v>
      </c>
      <c r="O66" s="87">
        <v>1</v>
      </c>
      <c r="P66" s="87">
        <v>1.1000000000000001</v>
      </c>
      <c r="Q66" s="131">
        <f t="shared" si="0"/>
        <v>1.05</v>
      </c>
      <c r="R66" s="87">
        <v>11.3</v>
      </c>
      <c r="S66" s="87">
        <v>108</v>
      </c>
      <c r="T66" s="89">
        <f t="shared" si="1"/>
        <v>36</v>
      </c>
      <c r="U66" s="87">
        <v>93</v>
      </c>
      <c r="V66" s="89">
        <f t="shared" si="2"/>
        <v>3348</v>
      </c>
      <c r="W66" s="87">
        <v>4</v>
      </c>
      <c r="X66" s="87" t="s">
        <v>63</v>
      </c>
      <c r="Y66" s="87" t="s">
        <v>46</v>
      </c>
      <c r="Z66" s="87" t="s">
        <v>54</v>
      </c>
      <c r="AA66" s="87" t="s">
        <v>45</v>
      </c>
      <c r="AB66" s="106" t="s">
        <v>164</v>
      </c>
    </row>
    <row r="67" spans="1:28" s="87" customFormat="1" ht="13.5" customHeight="1">
      <c r="A67" s="87" t="s">
        <v>49</v>
      </c>
      <c r="B67" s="87" t="s">
        <v>181</v>
      </c>
      <c r="C67" s="87">
        <v>2020</v>
      </c>
      <c r="D67" s="87" t="s">
        <v>412</v>
      </c>
      <c r="E67" s="87" t="s">
        <v>406</v>
      </c>
      <c r="F67" s="87" t="s">
        <v>416</v>
      </c>
      <c r="G67" s="87" t="s">
        <v>39</v>
      </c>
      <c r="H67" s="87" t="s">
        <v>157</v>
      </c>
      <c r="I67" s="87" t="s">
        <v>41</v>
      </c>
      <c r="J67" s="87" t="s">
        <v>42</v>
      </c>
      <c r="K67" s="87" t="s">
        <v>78</v>
      </c>
      <c r="L67" s="87">
        <v>3</v>
      </c>
      <c r="N67" s="87">
        <v>1</v>
      </c>
      <c r="O67" s="87">
        <v>1</v>
      </c>
      <c r="P67" s="87">
        <v>1.1000000000000001</v>
      </c>
      <c r="Q67" s="131">
        <f t="shared" si="0"/>
        <v>1.05</v>
      </c>
      <c r="R67" s="87">
        <v>10.7</v>
      </c>
      <c r="S67" s="87">
        <v>110</v>
      </c>
      <c r="T67" s="89">
        <f t="shared" si="1"/>
        <v>33</v>
      </c>
      <c r="U67" s="87">
        <v>93</v>
      </c>
      <c r="V67" s="89">
        <f t="shared" si="2"/>
        <v>3069</v>
      </c>
      <c r="W67" s="87">
        <v>4</v>
      </c>
      <c r="X67" s="87" t="s">
        <v>63</v>
      </c>
      <c r="Y67" s="87" t="s">
        <v>46</v>
      </c>
      <c r="Z67" s="87" t="s">
        <v>54</v>
      </c>
      <c r="AA67" s="87" t="s">
        <v>45</v>
      </c>
      <c r="AB67" s="106" t="s">
        <v>164</v>
      </c>
    </row>
    <row r="68" spans="1:28" ht="18.75">
      <c r="D68" s="84"/>
      <c r="Q68" s="85" t="str">
        <f t="shared" si="0"/>
        <v/>
      </c>
      <c r="T68" s="24" t="str">
        <f t="shared" si="1"/>
        <v/>
      </c>
      <c r="V68" s="24" t="str">
        <f t="shared" si="2"/>
        <v/>
      </c>
      <c r="AB68" s="55"/>
    </row>
    <row r="69" spans="1:28" ht="18.75">
      <c r="D69" s="84"/>
      <c r="Q69" s="85" t="str">
        <f t="shared" si="0"/>
        <v/>
      </c>
      <c r="T69" s="24" t="str">
        <f t="shared" si="1"/>
        <v/>
      </c>
      <c r="V69" s="24" t="str">
        <f t="shared" si="2"/>
        <v/>
      </c>
      <c r="AB69" s="55"/>
    </row>
    <row r="70" spans="1:28" ht="18.75">
      <c r="D70" s="84"/>
      <c r="Q70" s="85" t="str">
        <f t="shared" si="0"/>
        <v/>
      </c>
      <c r="T70" s="24" t="str">
        <f t="shared" si="1"/>
        <v/>
      </c>
      <c r="V70" s="24" t="str">
        <f t="shared" si="2"/>
        <v/>
      </c>
      <c r="AB70" s="55"/>
    </row>
    <row r="71" spans="1:28" ht="18.75">
      <c r="D71" s="84"/>
      <c r="Q71" s="85" t="str">
        <f t="shared" si="0"/>
        <v/>
      </c>
      <c r="T71" s="24" t="str">
        <f t="shared" si="1"/>
        <v/>
      </c>
      <c r="V71" s="24" t="str">
        <f t="shared" si="2"/>
        <v/>
      </c>
      <c r="AB71" s="55"/>
    </row>
    <row r="72" spans="1:28" ht="18.75">
      <c r="D72" s="84"/>
      <c r="Q72" s="85" t="str">
        <f t="shared" ref="Q72:Q135" si="3">IF(OR(O72="",P72=""),"",AVERAGE(O72,P72))</f>
        <v/>
      </c>
      <c r="T72" s="24" t="str">
        <f t="shared" si="1"/>
        <v/>
      </c>
      <c r="V72" s="24" t="str">
        <f t="shared" si="2"/>
        <v/>
      </c>
      <c r="AB72" s="55"/>
    </row>
    <row r="73" spans="1:28" ht="18.75">
      <c r="D73" s="84"/>
      <c r="Q73" s="85" t="str">
        <f t="shared" si="3"/>
        <v/>
      </c>
      <c r="T73" s="24" t="str">
        <f t="shared" si="1"/>
        <v/>
      </c>
      <c r="V73" s="24" t="str">
        <f t="shared" si="2"/>
        <v/>
      </c>
      <c r="AB73" s="55"/>
    </row>
    <row r="74" spans="1:28" ht="18.75">
      <c r="D74" s="84"/>
      <c r="Q74" s="85" t="str">
        <f t="shared" si="3"/>
        <v/>
      </c>
      <c r="T74" s="24" t="str">
        <f t="shared" si="1"/>
        <v/>
      </c>
      <c r="V74" s="24" t="str">
        <f t="shared" si="2"/>
        <v/>
      </c>
      <c r="AB74" s="55"/>
    </row>
    <row r="75" spans="1:28" ht="18.75">
      <c r="D75" s="84"/>
      <c r="Q75" s="85" t="str">
        <f t="shared" si="3"/>
        <v/>
      </c>
      <c r="T75" s="24" t="str">
        <f t="shared" si="1"/>
        <v/>
      </c>
      <c r="V75" s="24" t="str">
        <f t="shared" si="2"/>
        <v/>
      </c>
      <c r="AB75" s="55"/>
    </row>
    <row r="76" spans="1:28" ht="18.75">
      <c r="D76" s="84"/>
      <c r="Q76" s="85" t="str">
        <f t="shared" si="3"/>
        <v/>
      </c>
      <c r="T76" s="24" t="str">
        <f t="shared" si="1"/>
        <v/>
      </c>
      <c r="V76" s="24" t="str">
        <f t="shared" si="2"/>
        <v/>
      </c>
      <c r="AB76" s="55"/>
    </row>
    <row r="77" spans="1:28" ht="18.75">
      <c r="D77" s="84"/>
      <c r="Q77" s="85" t="str">
        <f t="shared" si="3"/>
        <v/>
      </c>
      <c r="T77" s="24" t="str">
        <f t="shared" si="1"/>
        <v/>
      </c>
      <c r="V77" s="24" t="str">
        <f t="shared" si="2"/>
        <v/>
      </c>
      <c r="AB77" s="55"/>
    </row>
    <row r="78" spans="1:28" ht="18.75">
      <c r="D78" s="84"/>
      <c r="P78" s="55"/>
      <c r="Q78" s="85" t="str">
        <f t="shared" si="3"/>
        <v/>
      </c>
      <c r="T78" s="24" t="str">
        <f t="shared" si="1"/>
        <v/>
      </c>
      <c r="V78" s="24" t="str">
        <f t="shared" si="2"/>
        <v/>
      </c>
      <c r="AB78" s="55"/>
    </row>
    <row r="79" spans="1:28" ht="18.75">
      <c r="D79" s="84"/>
      <c r="Q79" s="85" t="str">
        <f t="shared" si="3"/>
        <v/>
      </c>
      <c r="T79" s="24" t="str">
        <f t="shared" si="1"/>
        <v/>
      </c>
      <c r="V79" s="24" t="str">
        <f t="shared" si="2"/>
        <v/>
      </c>
      <c r="AB79" s="55"/>
    </row>
    <row r="80" spans="1:28" ht="18.75">
      <c r="D80" s="84"/>
      <c r="Q80" s="85" t="str">
        <f t="shared" si="3"/>
        <v/>
      </c>
      <c r="T80" s="24" t="str">
        <f t="shared" si="1"/>
        <v/>
      </c>
      <c r="V80" s="24" t="str">
        <f t="shared" si="2"/>
        <v/>
      </c>
      <c r="AB80" s="55"/>
    </row>
    <row r="81" spans="2:28" ht="18.75">
      <c r="D81" s="84"/>
      <c r="Q81" s="85" t="str">
        <f t="shared" si="3"/>
        <v/>
      </c>
      <c r="T81" s="24" t="str">
        <f t="shared" si="1"/>
        <v/>
      </c>
      <c r="V81" s="24" t="str">
        <f t="shared" si="2"/>
        <v/>
      </c>
      <c r="AB81" s="55"/>
    </row>
    <row r="82" spans="2:28" ht="18.75">
      <c r="D82" s="84"/>
      <c r="Q82" s="85" t="str">
        <f t="shared" si="3"/>
        <v/>
      </c>
      <c r="T82" s="24" t="str">
        <f t="shared" si="1"/>
        <v/>
      </c>
      <c r="V82" s="24" t="str">
        <f t="shared" si="2"/>
        <v/>
      </c>
      <c r="AB82" s="55"/>
    </row>
    <row r="83" spans="2:28" ht="18.75">
      <c r="D83" s="84"/>
      <c r="Q83" s="85" t="str">
        <f t="shared" si="3"/>
        <v/>
      </c>
      <c r="T83" s="24" t="str">
        <f t="shared" si="1"/>
        <v/>
      </c>
      <c r="V83" s="24" t="str">
        <f t="shared" si="2"/>
        <v/>
      </c>
      <c r="AB83" s="55"/>
    </row>
    <row r="84" spans="2:28" ht="18.75">
      <c r="D84" s="84"/>
      <c r="Q84" s="85" t="str">
        <f t="shared" si="3"/>
        <v/>
      </c>
      <c r="T84" s="24" t="str">
        <f t="shared" si="1"/>
        <v/>
      </c>
      <c r="V84" s="24" t="str">
        <f t="shared" si="2"/>
        <v/>
      </c>
      <c r="AB84" s="55"/>
    </row>
    <row r="85" spans="2:28" ht="18.75">
      <c r="D85" s="84"/>
      <c r="Q85" s="85" t="str">
        <f t="shared" si="3"/>
        <v/>
      </c>
      <c r="T85" s="24" t="str">
        <f t="shared" si="1"/>
        <v/>
      </c>
      <c r="V85" s="24" t="str">
        <f t="shared" si="2"/>
        <v/>
      </c>
      <c r="AB85" s="55"/>
    </row>
    <row r="86" spans="2:28" ht="18.75">
      <c r="B86" s="55"/>
      <c r="D86" s="84"/>
      <c r="Q86" s="85" t="str">
        <f t="shared" si="3"/>
        <v/>
      </c>
      <c r="T86" s="24" t="str">
        <f t="shared" si="1"/>
        <v/>
      </c>
      <c r="V86" s="24" t="str">
        <f t="shared" si="2"/>
        <v/>
      </c>
      <c r="AB86" s="55"/>
    </row>
    <row r="87" spans="2:28" ht="18.75">
      <c r="B87" s="55"/>
      <c r="D87" s="84"/>
      <c r="Q87" s="85" t="str">
        <f t="shared" si="3"/>
        <v/>
      </c>
      <c r="T87" s="24" t="str">
        <f t="shared" si="1"/>
        <v/>
      </c>
      <c r="V87" s="24" t="str">
        <f t="shared" si="2"/>
        <v/>
      </c>
      <c r="AB87" s="55"/>
    </row>
    <row r="88" spans="2:28" ht="18.75">
      <c r="B88" s="55"/>
      <c r="D88" s="84"/>
      <c r="Q88" s="85" t="str">
        <f t="shared" si="3"/>
        <v/>
      </c>
      <c r="T88" s="24" t="str">
        <f t="shared" si="1"/>
        <v/>
      </c>
      <c r="V88" s="24" t="str">
        <f t="shared" si="2"/>
        <v/>
      </c>
      <c r="AB88" s="55"/>
    </row>
    <row r="89" spans="2:28" ht="18.75">
      <c r="B89" s="55"/>
      <c r="D89" s="84"/>
      <c r="Q89" s="85" t="str">
        <f t="shared" si="3"/>
        <v/>
      </c>
      <c r="T89" s="24" t="str">
        <f t="shared" si="1"/>
        <v/>
      </c>
      <c r="V89" s="24" t="str">
        <f t="shared" si="2"/>
        <v/>
      </c>
      <c r="AB89" s="55"/>
    </row>
    <row r="90" spans="2:28" ht="18.75">
      <c r="B90" s="55"/>
      <c r="D90" s="84"/>
      <c r="Q90" s="85" t="str">
        <f t="shared" si="3"/>
        <v/>
      </c>
      <c r="T90" s="24" t="str">
        <f t="shared" si="1"/>
        <v/>
      </c>
      <c r="V90" s="24" t="str">
        <f t="shared" si="2"/>
        <v/>
      </c>
      <c r="AB90" s="55"/>
    </row>
    <row r="91" spans="2:28" ht="18.75">
      <c r="B91" s="55"/>
      <c r="D91" s="84"/>
      <c r="Q91" s="85" t="str">
        <f t="shared" si="3"/>
        <v/>
      </c>
      <c r="T91" s="24" t="str">
        <f t="shared" si="1"/>
        <v/>
      </c>
      <c r="V91" s="24" t="str">
        <f t="shared" si="2"/>
        <v/>
      </c>
      <c r="AB91" s="55"/>
    </row>
    <row r="92" spans="2:28" ht="18.75">
      <c r="Q92" s="85" t="str">
        <f t="shared" si="3"/>
        <v/>
      </c>
      <c r="T92" s="24" t="str">
        <f t="shared" si="1"/>
        <v/>
      </c>
      <c r="V92" s="24" t="str">
        <f t="shared" si="2"/>
        <v/>
      </c>
      <c r="AB92" s="55"/>
    </row>
    <row r="93" spans="2:28" ht="18.75">
      <c r="Q93" s="85" t="str">
        <f t="shared" si="3"/>
        <v/>
      </c>
      <c r="T93" s="24" t="str">
        <f t="shared" si="1"/>
        <v/>
      </c>
      <c r="V93" s="24" t="str">
        <f t="shared" si="2"/>
        <v/>
      </c>
      <c r="AB93" s="55"/>
    </row>
    <row r="94" spans="2:28" ht="18.75">
      <c r="Q94" s="85" t="str">
        <f t="shared" si="3"/>
        <v/>
      </c>
      <c r="T94" s="24" t="str">
        <f t="shared" si="1"/>
        <v/>
      </c>
      <c r="V94" s="24" t="str">
        <f t="shared" si="2"/>
        <v/>
      </c>
      <c r="AB94" s="55"/>
    </row>
    <row r="95" spans="2:28" ht="18.75">
      <c r="Q95" s="85" t="str">
        <f t="shared" si="3"/>
        <v/>
      </c>
      <c r="T95" s="24" t="str">
        <f t="shared" si="1"/>
        <v/>
      </c>
      <c r="V95" s="24" t="str">
        <f t="shared" si="2"/>
        <v/>
      </c>
      <c r="AB95" s="55"/>
    </row>
    <row r="96" spans="2:28" ht="18.75">
      <c r="Q96" s="85" t="str">
        <f t="shared" si="3"/>
        <v/>
      </c>
      <c r="T96" s="24" t="str">
        <f t="shared" si="1"/>
        <v/>
      </c>
      <c r="V96" s="24" t="str">
        <f t="shared" si="2"/>
        <v/>
      </c>
      <c r="AB96" s="55"/>
    </row>
    <row r="97" spans="17:28" ht="18.75">
      <c r="Q97" s="85" t="str">
        <f t="shared" si="3"/>
        <v/>
      </c>
      <c r="T97" s="24" t="str">
        <f t="shared" si="1"/>
        <v/>
      </c>
      <c r="V97" s="24" t="str">
        <f t="shared" si="2"/>
        <v/>
      </c>
      <c r="AB97" s="55"/>
    </row>
    <row r="98" spans="17:28" ht="18.75">
      <c r="Q98" s="85" t="str">
        <f t="shared" si="3"/>
        <v/>
      </c>
      <c r="T98" s="24" t="str">
        <f t="shared" si="1"/>
        <v/>
      </c>
      <c r="V98" s="24" t="str">
        <f t="shared" si="2"/>
        <v/>
      </c>
      <c r="AB98" s="55"/>
    </row>
    <row r="99" spans="17:28" ht="18.75">
      <c r="Q99" s="85" t="str">
        <f t="shared" si="3"/>
        <v/>
      </c>
      <c r="T99" s="24" t="str">
        <f t="shared" si="1"/>
        <v/>
      </c>
      <c r="V99" s="24" t="str">
        <f t="shared" si="2"/>
        <v/>
      </c>
      <c r="AB99" s="55"/>
    </row>
    <row r="100" spans="17:28" ht="18.75">
      <c r="Q100" s="85" t="str">
        <f t="shared" si="3"/>
        <v/>
      </c>
      <c r="T100" s="24" t="str">
        <f t="shared" si="1"/>
        <v/>
      </c>
      <c r="V100" s="24" t="str">
        <f t="shared" si="2"/>
        <v/>
      </c>
      <c r="AB100" s="55"/>
    </row>
    <row r="101" spans="17:28" ht="18.75">
      <c r="Q101" s="85" t="str">
        <f t="shared" si="3"/>
        <v/>
      </c>
      <c r="T101" s="24" t="str">
        <f t="shared" si="1"/>
        <v/>
      </c>
      <c r="V101" s="24" t="str">
        <f t="shared" si="2"/>
        <v/>
      </c>
      <c r="AB101" s="55"/>
    </row>
    <row r="102" spans="17:28" ht="18.75">
      <c r="Q102" s="85" t="str">
        <f t="shared" si="3"/>
        <v/>
      </c>
      <c r="T102" s="24" t="str">
        <f t="shared" si="1"/>
        <v/>
      </c>
      <c r="V102" s="24" t="str">
        <f t="shared" si="2"/>
        <v/>
      </c>
      <c r="AB102" s="55"/>
    </row>
    <row r="103" spans="17:28" ht="18.75">
      <c r="Q103" s="85" t="str">
        <f t="shared" si="3"/>
        <v/>
      </c>
      <c r="T103" s="24" t="str">
        <f t="shared" si="1"/>
        <v/>
      </c>
      <c r="V103" s="24" t="str">
        <f t="shared" si="2"/>
        <v/>
      </c>
      <c r="AB103" s="55"/>
    </row>
    <row r="104" spans="17:28" ht="18.75">
      <c r="Q104" s="85" t="str">
        <f t="shared" si="3"/>
        <v/>
      </c>
      <c r="T104" s="24" t="str">
        <f t="shared" si="1"/>
        <v/>
      </c>
      <c r="V104" s="24" t="str">
        <f t="shared" si="2"/>
        <v/>
      </c>
      <c r="AB104" s="55"/>
    </row>
    <row r="105" spans="17:28" ht="18.75">
      <c r="Q105" s="85" t="str">
        <f t="shared" si="3"/>
        <v/>
      </c>
      <c r="T105" s="24" t="str">
        <f t="shared" si="1"/>
        <v/>
      </c>
      <c r="V105" s="24" t="str">
        <f t="shared" si="2"/>
        <v/>
      </c>
      <c r="AB105" s="55"/>
    </row>
    <row r="106" spans="17:28" ht="18.75">
      <c r="Q106" s="85" t="str">
        <f t="shared" si="3"/>
        <v/>
      </c>
      <c r="T106" s="24" t="str">
        <f t="shared" si="1"/>
        <v/>
      </c>
      <c r="V106" s="24" t="str">
        <f t="shared" si="2"/>
        <v/>
      </c>
      <c r="AB106" s="55"/>
    </row>
    <row r="107" spans="17:28">
      <c r="Q107" s="85" t="str">
        <f t="shared" si="3"/>
        <v/>
      </c>
      <c r="T107" s="24" t="str">
        <f t="shared" si="1"/>
        <v/>
      </c>
      <c r="V107" s="24" t="str">
        <f t="shared" si="2"/>
        <v/>
      </c>
    </row>
    <row r="108" spans="17:28">
      <c r="Q108" s="85" t="str">
        <f t="shared" si="3"/>
        <v/>
      </c>
      <c r="T108" s="24" t="str">
        <f t="shared" si="1"/>
        <v/>
      </c>
      <c r="V108" s="24" t="str">
        <f t="shared" si="2"/>
        <v/>
      </c>
    </row>
    <row r="109" spans="17:28">
      <c r="Q109" s="85" t="str">
        <f t="shared" si="3"/>
        <v/>
      </c>
      <c r="T109" s="24" t="str">
        <f t="shared" si="1"/>
        <v/>
      </c>
      <c r="V109" s="24" t="str">
        <f t="shared" si="2"/>
        <v/>
      </c>
    </row>
    <row r="110" spans="17:28">
      <c r="Q110" s="85" t="str">
        <f t="shared" si="3"/>
        <v/>
      </c>
      <c r="T110" s="24" t="str">
        <f t="shared" si="1"/>
        <v/>
      </c>
      <c r="V110" s="24" t="str">
        <f t="shared" si="2"/>
        <v/>
      </c>
    </row>
    <row r="111" spans="17:28">
      <c r="Q111" s="85" t="str">
        <f t="shared" si="3"/>
        <v/>
      </c>
      <c r="T111" s="24" t="str">
        <f t="shared" si="1"/>
        <v/>
      </c>
      <c r="V111" s="24" t="str">
        <f t="shared" si="2"/>
        <v/>
      </c>
    </row>
    <row r="112" spans="17:28">
      <c r="Q112" s="85" t="str">
        <f t="shared" si="3"/>
        <v/>
      </c>
      <c r="T112" s="24" t="str">
        <f t="shared" si="1"/>
        <v/>
      </c>
      <c r="V112" s="24" t="str">
        <f t="shared" si="2"/>
        <v/>
      </c>
    </row>
    <row r="113" spans="17:22">
      <c r="Q113" s="85" t="str">
        <f t="shared" si="3"/>
        <v/>
      </c>
      <c r="T113" s="24" t="str">
        <f t="shared" si="1"/>
        <v/>
      </c>
      <c r="V113" s="24" t="str">
        <f t="shared" si="2"/>
        <v/>
      </c>
    </row>
    <row r="114" spans="17:22">
      <c r="Q114" s="85" t="str">
        <f t="shared" si="3"/>
        <v/>
      </c>
      <c r="T114" s="24" t="str">
        <f t="shared" si="1"/>
        <v/>
      </c>
      <c r="V114" s="24" t="str">
        <f t="shared" si="2"/>
        <v/>
      </c>
    </row>
    <row r="115" spans="17:22">
      <c r="Q115" s="85" t="str">
        <f t="shared" si="3"/>
        <v/>
      </c>
      <c r="T115" s="24" t="str">
        <f t="shared" si="1"/>
        <v/>
      </c>
      <c r="V115" s="24" t="str">
        <f t="shared" si="2"/>
        <v/>
      </c>
    </row>
    <row r="116" spans="17:22">
      <c r="Q116" s="85" t="str">
        <f t="shared" si="3"/>
        <v/>
      </c>
      <c r="T116" s="24" t="str">
        <f t="shared" si="1"/>
        <v/>
      </c>
      <c r="V116" s="24" t="str">
        <f t="shared" si="2"/>
        <v/>
      </c>
    </row>
    <row r="117" spans="17:22">
      <c r="Q117" s="85" t="str">
        <f t="shared" si="3"/>
        <v/>
      </c>
      <c r="T117" s="24" t="str">
        <f t="shared" si="1"/>
        <v/>
      </c>
      <c r="V117" s="24" t="str">
        <f t="shared" si="2"/>
        <v/>
      </c>
    </row>
    <row r="118" spans="17:22">
      <c r="Q118" s="85" t="str">
        <f t="shared" si="3"/>
        <v/>
      </c>
      <c r="T118" s="24" t="str">
        <f t="shared" si="1"/>
        <v/>
      </c>
      <c r="V118" s="24" t="str">
        <f t="shared" si="2"/>
        <v/>
      </c>
    </row>
    <row r="119" spans="17:22">
      <c r="Q119" s="85" t="str">
        <f t="shared" si="3"/>
        <v/>
      </c>
      <c r="T119" s="24" t="str">
        <f t="shared" si="1"/>
        <v/>
      </c>
      <c r="V119" s="24" t="str">
        <f t="shared" si="2"/>
        <v/>
      </c>
    </row>
    <row r="120" spans="17:22">
      <c r="Q120" s="85" t="str">
        <f t="shared" si="3"/>
        <v/>
      </c>
      <c r="T120" s="24" t="str">
        <f t="shared" si="1"/>
        <v/>
      </c>
      <c r="V120" s="24" t="str">
        <f t="shared" si="2"/>
        <v/>
      </c>
    </row>
    <row r="121" spans="17:22">
      <c r="Q121" s="85" t="str">
        <f t="shared" si="3"/>
        <v/>
      </c>
      <c r="T121" s="24" t="str">
        <f t="shared" si="1"/>
        <v/>
      </c>
      <c r="V121" s="24" t="str">
        <f t="shared" si="2"/>
        <v/>
      </c>
    </row>
    <row r="122" spans="17:22">
      <c r="Q122" s="85" t="str">
        <f t="shared" si="3"/>
        <v/>
      </c>
      <c r="T122" s="24" t="str">
        <f t="shared" ref="T122:T160" si="4">IF(H122="","",IF(OR(H122="GREEN",H122="GK"),IF(S122&gt;=$AX$2,VLOOKUP(S122,$AX$2:$AY$12,2,1),""),IF(S122&gt;=$AZ$2,VLOOKUP(S122,$AZ$2:$BA$12,2,1),"")))</f>
        <v/>
      </c>
      <c r="V122" s="24" t="str">
        <f t="shared" ref="V122:V160" si="5">IF(OR(N122="",U122="",T122=""),"",U122/N122*T122)</f>
        <v/>
      </c>
    </row>
    <row r="123" spans="17:22">
      <c r="Q123" s="85" t="str">
        <f t="shared" si="3"/>
        <v/>
      </c>
      <c r="T123" s="24" t="str">
        <f t="shared" si="4"/>
        <v/>
      </c>
      <c r="V123" s="24" t="str">
        <f t="shared" si="5"/>
        <v/>
      </c>
    </row>
    <row r="124" spans="17:22">
      <c r="Q124" s="85" t="str">
        <f t="shared" si="3"/>
        <v/>
      </c>
      <c r="T124" s="24" t="str">
        <f t="shared" si="4"/>
        <v/>
      </c>
      <c r="V124" s="24" t="str">
        <f t="shared" si="5"/>
        <v/>
      </c>
    </row>
    <row r="125" spans="17:22">
      <c r="Q125" s="85" t="str">
        <f t="shared" si="3"/>
        <v/>
      </c>
      <c r="T125" s="24" t="str">
        <f t="shared" si="4"/>
        <v/>
      </c>
      <c r="V125" s="24" t="str">
        <f t="shared" si="5"/>
        <v/>
      </c>
    </row>
    <row r="126" spans="17:22">
      <c r="Q126" s="85" t="str">
        <f t="shared" si="3"/>
        <v/>
      </c>
      <c r="T126" s="24" t="str">
        <f t="shared" si="4"/>
        <v/>
      </c>
      <c r="V126" s="24" t="str">
        <f t="shared" si="5"/>
        <v/>
      </c>
    </row>
    <row r="127" spans="17:22">
      <c r="Q127" s="85" t="str">
        <f t="shared" si="3"/>
        <v/>
      </c>
      <c r="T127" s="24" t="str">
        <f t="shared" si="4"/>
        <v/>
      </c>
      <c r="V127" s="24" t="str">
        <f t="shared" si="5"/>
        <v/>
      </c>
    </row>
    <row r="128" spans="17:22">
      <c r="Q128" s="86" t="str">
        <f t="shared" si="3"/>
        <v/>
      </c>
      <c r="T128" s="24" t="str">
        <f t="shared" si="4"/>
        <v/>
      </c>
      <c r="V128" s="24" t="str">
        <f t="shared" si="5"/>
        <v/>
      </c>
    </row>
    <row r="129" spans="17:22">
      <c r="Q129" s="86" t="str">
        <f t="shared" si="3"/>
        <v/>
      </c>
      <c r="T129" s="24" t="str">
        <f t="shared" si="4"/>
        <v/>
      </c>
      <c r="V129" s="24" t="str">
        <f t="shared" si="5"/>
        <v/>
      </c>
    </row>
    <row r="130" spans="17:22">
      <c r="Q130" s="86" t="str">
        <f t="shared" si="3"/>
        <v/>
      </c>
      <c r="T130" s="24" t="str">
        <f t="shared" si="4"/>
        <v/>
      </c>
      <c r="V130" s="24" t="str">
        <f t="shared" si="5"/>
        <v/>
      </c>
    </row>
    <row r="131" spans="17:22">
      <c r="Q131" s="86" t="str">
        <f t="shared" si="3"/>
        <v/>
      </c>
      <c r="T131" s="24" t="str">
        <f t="shared" si="4"/>
        <v/>
      </c>
      <c r="V131" s="24" t="str">
        <f t="shared" si="5"/>
        <v/>
      </c>
    </row>
    <row r="132" spans="17:22">
      <c r="Q132" s="86" t="str">
        <f t="shared" si="3"/>
        <v/>
      </c>
      <c r="T132" s="24" t="str">
        <f t="shared" si="4"/>
        <v/>
      </c>
      <c r="V132" s="24" t="str">
        <f t="shared" si="5"/>
        <v/>
      </c>
    </row>
    <row r="133" spans="17:22">
      <c r="Q133" s="86" t="str">
        <f t="shared" si="3"/>
        <v/>
      </c>
      <c r="T133" s="24" t="str">
        <f t="shared" si="4"/>
        <v/>
      </c>
      <c r="V133" s="24" t="str">
        <f t="shared" si="5"/>
        <v/>
      </c>
    </row>
    <row r="134" spans="17:22">
      <c r="Q134" s="86" t="str">
        <f t="shared" si="3"/>
        <v/>
      </c>
      <c r="T134" s="24" t="str">
        <f t="shared" si="4"/>
        <v/>
      </c>
      <c r="V134" s="24" t="str">
        <f t="shared" si="5"/>
        <v/>
      </c>
    </row>
    <row r="135" spans="17:22">
      <c r="Q135" s="86" t="str">
        <f t="shared" si="3"/>
        <v/>
      </c>
      <c r="T135" s="24" t="str">
        <f t="shared" si="4"/>
        <v/>
      </c>
      <c r="V135" s="24" t="str">
        <f t="shared" si="5"/>
        <v/>
      </c>
    </row>
    <row r="136" spans="17:22">
      <c r="Q136" s="86" t="str">
        <f t="shared" ref="Q136:Q168" si="6">IF(OR(O136="",P136=""),"",AVERAGE(O136,P136))</f>
        <v/>
      </c>
      <c r="T136" s="24" t="str">
        <f t="shared" si="4"/>
        <v/>
      </c>
      <c r="V136" s="24" t="str">
        <f t="shared" si="5"/>
        <v/>
      </c>
    </row>
    <row r="137" spans="17:22">
      <c r="Q137" s="86" t="str">
        <f t="shared" si="6"/>
        <v/>
      </c>
      <c r="T137" s="24" t="str">
        <f t="shared" si="4"/>
        <v/>
      </c>
      <c r="V137" s="24" t="str">
        <f t="shared" si="5"/>
        <v/>
      </c>
    </row>
    <row r="138" spans="17:22">
      <c r="Q138" s="86" t="str">
        <f t="shared" si="6"/>
        <v/>
      </c>
      <c r="T138" s="24" t="str">
        <f t="shared" si="4"/>
        <v/>
      </c>
      <c r="V138" s="24" t="str">
        <f t="shared" si="5"/>
        <v/>
      </c>
    </row>
    <row r="139" spans="17:22">
      <c r="Q139" s="86" t="str">
        <f t="shared" si="6"/>
        <v/>
      </c>
      <c r="T139" s="24" t="str">
        <f t="shared" si="4"/>
        <v/>
      </c>
      <c r="V139" s="24" t="str">
        <f t="shared" si="5"/>
        <v/>
      </c>
    </row>
    <row r="140" spans="17:22">
      <c r="Q140" s="86" t="str">
        <f t="shared" si="6"/>
        <v/>
      </c>
      <c r="T140" s="24" t="str">
        <f t="shared" si="4"/>
        <v/>
      </c>
      <c r="V140" s="24" t="str">
        <f t="shared" si="5"/>
        <v/>
      </c>
    </row>
    <row r="141" spans="17:22">
      <c r="Q141" s="86" t="str">
        <f t="shared" si="6"/>
        <v/>
      </c>
      <c r="T141" s="24" t="str">
        <f t="shared" si="4"/>
        <v/>
      </c>
      <c r="V141" s="24" t="str">
        <f t="shared" si="5"/>
        <v/>
      </c>
    </row>
    <row r="142" spans="17:22">
      <c r="Q142" s="86" t="str">
        <f t="shared" si="6"/>
        <v/>
      </c>
      <c r="T142" s="24" t="str">
        <f t="shared" si="4"/>
        <v/>
      </c>
      <c r="V142" s="24" t="str">
        <f t="shared" si="5"/>
        <v/>
      </c>
    </row>
    <row r="143" spans="17:22">
      <c r="Q143" s="86" t="str">
        <f t="shared" si="6"/>
        <v/>
      </c>
      <c r="T143" s="24" t="str">
        <f t="shared" si="4"/>
        <v/>
      </c>
      <c r="V143" s="24" t="str">
        <f t="shared" si="5"/>
        <v/>
      </c>
    </row>
    <row r="144" spans="17:22">
      <c r="Q144" s="86" t="str">
        <f t="shared" si="6"/>
        <v/>
      </c>
      <c r="T144" s="24" t="str">
        <f t="shared" si="4"/>
        <v/>
      </c>
      <c r="V144" s="24" t="str">
        <f t="shared" si="5"/>
        <v/>
      </c>
    </row>
    <row r="145" spans="17:22">
      <c r="Q145" s="86" t="str">
        <f t="shared" si="6"/>
        <v/>
      </c>
      <c r="T145" s="24" t="str">
        <f t="shared" si="4"/>
        <v/>
      </c>
      <c r="V145" s="24" t="str">
        <f t="shared" si="5"/>
        <v/>
      </c>
    </row>
    <row r="146" spans="17:22">
      <c r="Q146" s="86" t="str">
        <f t="shared" si="6"/>
        <v/>
      </c>
      <c r="T146" s="24" t="str">
        <f t="shared" si="4"/>
        <v/>
      </c>
      <c r="V146" s="24" t="str">
        <f t="shared" si="5"/>
        <v/>
      </c>
    </row>
    <row r="147" spans="17:22">
      <c r="Q147" s="86" t="str">
        <f t="shared" si="6"/>
        <v/>
      </c>
      <c r="T147" s="24" t="str">
        <f t="shared" si="4"/>
        <v/>
      </c>
      <c r="V147" s="24" t="str">
        <f t="shared" si="5"/>
        <v/>
      </c>
    </row>
    <row r="148" spans="17:22">
      <c r="Q148" s="86" t="str">
        <f t="shared" si="6"/>
        <v/>
      </c>
      <c r="T148" s="24" t="str">
        <f t="shared" si="4"/>
        <v/>
      </c>
      <c r="V148" s="24" t="str">
        <f t="shared" si="5"/>
        <v/>
      </c>
    </row>
    <row r="149" spans="17:22">
      <c r="Q149" s="86" t="str">
        <f t="shared" si="6"/>
        <v/>
      </c>
      <c r="T149" s="24" t="str">
        <f t="shared" si="4"/>
        <v/>
      </c>
      <c r="V149" s="24" t="str">
        <f t="shared" si="5"/>
        <v/>
      </c>
    </row>
    <row r="150" spans="17:22">
      <c r="Q150" s="86" t="str">
        <f t="shared" si="6"/>
        <v/>
      </c>
      <c r="T150" s="24" t="str">
        <f t="shared" si="4"/>
        <v/>
      </c>
      <c r="V150" s="24" t="str">
        <f t="shared" si="5"/>
        <v/>
      </c>
    </row>
    <row r="151" spans="17:22">
      <c r="Q151" s="86" t="str">
        <f t="shared" si="6"/>
        <v/>
      </c>
      <c r="T151" s="24" t="str">
        <f t="shared" si="4"/>
        <v/>
      </c>
      <c r="V151" s="24" t="str">
        <f t="shared" si="5"/>
        <v/>
      </c>
    </row>
    <row r="152" spans="17:22">
      <c r="Q152" s="86" t="str">
        <f t="shared" si="6"/>
        <v/>
      </c>
      <c r="T152" s="24" t="str">
        <f t="shared" si="4"/>
        <v/>
      </c>
      <c r="V152" s="24" t="str">
        <f t="shared" si="5"/>
        <v/>
      </c>
    </row>
    <row r="153" spans="17:22">
      <c r="Q153" s="86" t="str">
        <f t="shared" si="6"/>
        <v/>
      </c>
      <c r="T153" s="24" t="str">
        <f t="shared" si="4"/>
        <v/>
      </c>
      <c r="V153" s="24" t="str">
        <f t="shared" si="5"/>
        <v/>
      </c>
    </row>
    <row r="154" spans="17:22">
      <c r="Q154" s="86" t="str">
        <f t="shared" si="6"/>
        <v/>
      </c>
      <c r="T154" s="24" t="str">
        <f t="shared" si="4"/>
        <v/>
      </c>
      <c r="V154" s="24" t="str">
        <f t="shared" si="5"/>
        <v/>
      </c>
    </row>
    <row r="155" spans="17:22">
      <c r="Q155" s="86" t="str">
        <f t="shared" si="6"/>
        <v/>
      </c>
      <c r="T155" s="24" t="str">
        <f t="shared" si="4"/>
        <v/>
      </c>
      <c r="V155" s="24" t="str">
        <f t="shared" si="5"/>
        <v/>
      </c>
    </row>
    <row r="156" spans="17:22">
      <c r="Q156" s="86" t="str">
        <f t="shared" si="6"/>
        <v/>
      </c>
      <c r="T156" s="24" t="str">
        <f t="shared" si="4"/>
        <v/>
      </c>
      <c r="V156" s="24" t="str">
        <f t="shared" si="5"/>
        <v/>
      </c>
    </row>
    <row r="157" spans="17:22">
      <c r="Q157" s="86" t="str">
        <f t="shared" si="6"/>
        <v/>
      </c>
      <c r="T157" s="24" t="str">
        <f t="shared" si="4"/>
        <v/>
      </c>
      <c r="V157" s="24" t="str">
        <f t="shared" si="5"/>
        <v/>
      </c>
    </row>
    <row r="158" spans="17:22">
      <c r="Q158" s="86" t="str">
        <f t="shared" si="6"/>
        <v/>
      </c>
      <c r="T158" s="24" t="str">
        <f t="shared" si="4"/>
        <v/>
      </c>
      <c r="V158" s="24" t="str">
        <f t="shared" si="5"/>
        <v/>
      </c>
    </row>
    <row r="159" spans="17:22">
      <c r="Q159" s="86" t="str">
        <f t="shared" si="6"/>
        <v/>
      </c>
      <c r="T159" s="24" t="str">
        <f t="shared" si="4"/>
        <v/>
      </c>
      <c r="V159" s="24" t="str">
        <f t="shared" si="5"/>
        <v/>
      </c>
    </row>
    <row r="160" spans="17:22">
      <c r="Q160" s="86" t="str">
        <f t="shared" si="6"/>
        <v/>
      </c>
      <c r="T160" s="24" t="str">
        <f t="shared" si="4"/>
        <v/>
      </c>
      <c r="V160" s="24" t="str">
        <f t="shared" si="5"/>
        <v/>
      </c>
    </row>
  </sheetData>
  <autoFilter ref="A1:BA120" xr:uid="{00000000-0009-0000-0000-000000000000}"/>
  <phoneticPr fontId="3"/>
  <dataValidations count="18">
    <dataValidation type="list" allowBlank="1" showInputMessage="1" showErrorMessage="1" sqref="F158:F1048576 F1:F148" xr:uid="{3A28E4D4-8683-4016-B02B-3CE5862540CE}">
      <formula1>$AH$2:$AH$11</formula1>
    </dataValidation>
    <dataValidation type="list" allowBlank="1" showInputMessage="1" showErrorMessage="1" sqref="K2:K1000" xr:uid="{D05869FF-9E34-4502-A3C4-177D0DD9D7A1}">
      <formula1>$AR$2:$AR$28</formula1>
    </dataValidation>
    <dataValidation type="list" allowBlank="1" showInputMessage="1" showErrorMessage="1" sqref="J2:J1000" xr:uid="{D9025947-E023-4218-81DE-3D4E24195A39}">
      <formula1>$AP$2:$AP$29</formula1>
    </dataValidation>
    <dataValidation type="list" allowBlank="1" showInputMessage="1" showErrorMessage="1" sqref="H2:H1184" xr:uid="{0EC6E991-413F-47F5-998E-35C85AB7A3AA}">
      <formula1>$AL$2:$AL$9</formula1>
    </dataValidation>
    <dataValidation type="decimal" allowBlank="1" showInputMessage="1" showErrorMessage="1" error="硬度を正しく入力して下さい。" sqref="O2:P497" xr:uid="{FE3900B5-263B-441F-AF83-0B55AC513950}">
      <formula1>0</formula1>
      <formula2>7</formula2>
    </dataValidation>
    <dataValidation type="list" allowBlank="1" showInputMessage="1" showErrorMessage="1" sqref="Y2:AA497" xr:uid="{A0AAFFF5-1C2E-4F7F-891E-4210E1524287}">
      <formula1>$AV$2:$AV$21</formula1>
    </dataValidation>
    <dataValidation type="list" allowBlank="1" showInputMessage="1" showErrorMessage="1" sqref="A3:A497" xr:uid="{A7B25CEE-2761-44AD-B3DE-042AEB6C4224}">
      <formula1>$AE$2:$AE$19</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EE4054A5-1B75-4677-8298-9C7F5B7F1EE8}">
      <formula1>$AH$2:$AH$10</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FD93F7CA-3ECB-48B1-81E1-B2E93D3659AA}">
      <formula1>$AV$2:$AV$20</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4C992471-19F3-4FCA-9C1E-0E2AE2ABBA36}">
      <formula1>$AL$5:$AL$9</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12F8C84F-8F74-4100-ABBE-95B7E09D03D3}">
      <formula1>$AT$2:$AT$3</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444F1A8E-72F7-40E2-9D01-C4C706B89E69}">
      <formula1>$AR$2:$AR$30</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E53FBAB9-5F89-4574-B77A-4D153D893627}">
      <formula1>$AP$2:$AP$15</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F8239C9D-4A62-4883-AE0D-7BC5CAF71BA6}">
      <formula1>$AN$5:$AN$6</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148 G158:G497" xr:uid="{9805374E-522C-41BC-812F-0D231575BB96}">
      <formula1>$AJ$2:$AJ$4</formula1>
    </dataValidation>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148 E158:E497" xr:uid="{16431C6E-45C7-44D3-80EF-54453E9541AE}">
      <formula1>$AG$2:$AG$11</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251E3E1B-D5A8-4555-B8B3-B3E8D9F5984E}"/>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D4B09E7-9CAA-4F09-A9B0-2D3E90CB1C90}">
      <formula1>$AE$2:$AE$22</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56407-075A-438A-B816-B45B43A8B598}">
  <dimension ref="A1:BA49"/>
  <sheetViews>
    <sheetView zoomScale="85" zoomScaleNormal="85" workbookViewId="0"/>
  </sheetViews>
  <sheetFormatPr defaultColWidth="9" defaultRowHeight="13.5"/>
  <cols>
    <col min="1" max="3" width="9" style="108"/>
    <col min="4" max="4" width="11" style="108" customWidth="1"/>
    <col min="5" max="5" width="10.875" style="108" customWidth="1"/>
    <col min="6" max="16" width="9" style="108"/>
    <col min="17" max="17" width="9" style="111"/>
    <col min="18" max="18" width="9" style="108"/>
    <col min="19" max="19" width="11.625" style="108" customWidth="1"/>
    <col min="20" max="20" width="9" style="111"/>
    <col min="21" max="21" width="9" style="108"/>
    <col min="22" max="22" width="9" style="111"/>
    <col min="23" max="32" width="9" style="108"/>
    <col min="33" max="33" width="14.375" style="108" customWidth="1"/>
    <col min="34" max="34" width="11.375" style="108" customWidth="1"/>
    <col min="35" max="16384" width="9" style="108"/>
  </cols>
  <sheetData>
    <row r="1" spans="1:53" ht="45">
      <c r="A1" s="1" t="s">
        <v>0</v>
      </c>
      <c r="B1" s="2" t="s">
        <v>165</v>
      </c>
      <c r="C1" s="2" t="s">
        <v>166</v>
      </c>
      <c r="D1" s="3" t="s">
        <v>3</v>
      </c>
      <c r="E1" s="4" t="s">
        <v>4</v>
      </c>
      <c r="F1" s="4" t="s">
        <v>5</v>
      </c>
      <c r="G1" s="4" t="s">
        <v>6</v>
      </c>
      <c r="H1" s="4" t="s">
        <v>7</v>
      </c>
      <c r="I1" s="4" t="s">
        <v>8</v>
      </c>
      <c r="J1" s="4" t="s">
        <v>9</v>
      </c>
      <c r="K1" s="4" t="s">
        <v>10</v>
      </c>
      <c r="L1" s="3" t="s">
        <v>167</v>
      </c>
      <c r="M1" s="3" t="s">
        <v>168</v>
      </c>
      <c r="N1" s="3" t="s">
        <v>13</v>
      </c>
      <c r="O1" s="3" t="s">
        <v>169</v>
      </c>
      <c r="P1" s="3" t="s">
        <v>170</v>
      </c>
      <c r="Q1" s="39" t="s">
        <v>171</v>
      </c>
      <c r="R1" s="3" t="s">
        <v>172</v>
      </c>
      <c r="S1" s="3" t="s">
        <v>173</v>
      </c>
      <c r="T1" s="39" t="s">
        <v>19</v>
      </c>
      <c r="U1" s="3" t="s">
        <v>20</v>
      </c>
      <c r="V1" s="40" t="s">
        <v>21</v>
      </c>
      <c r="W1" s="3" t="s">
        <v>174</v>
      </c>
      <c r="X1" s="4" t="s">
        <v>23</v>
      </c>
      <c r="Y1" s="4" t="s">
        <v>24</v>
      </c>
      <c r="Z1" s="4" t="s">
        <v>25</v>
      </c>
      <c r="AA1" s="4" t="s">
        <v>26</v>
      </c>
      <c r="AB1" s="8" t="s">
        <v>175</v>
      </c>
      <c r="AE1" s="11" t="s">
        <v>0</v>
      </c>
      <c r="AF1" s="41"/>
      <c r="AG1" s="11" t="s">
        <v>4</v>
      </c>
      <c r="AH1" s="11" t="s">
        <v>5</v>
      </c>
      <c r="AI1" s="41"/>
      <c r="AJ1" s="11" t="s">
        <v>6</v>
      </c>
      <c r="AK1" s="41"/>
      <c r="AL1" s="16" t="s">
        <v>7</v>
      </c>
      <c r="AM1" s="41"/>
      <c r="AN1" s="16" t="s">
        <v>8</v>
      </c>
      <c r="AO1" s="41"/>
      <c r="AP1" s="16" t="s">
        <v>28</v>
      </c>
      <c r="AQ1" s="41"/>
      <c r="AR1" s="16" t="s">
        <v>10</v>
      </c>
      <c r="AS1" s="41"/>
      <c r="AT1" s="17" t="s">
        <v>176</v>
      </c>
      <c r="AU1" s="41"/>
      <c r="AV1" s="16" t="s">
        <v>30</v>
      </c>
      <c r="AX1" s="42" t="s">
        <v>177</v>
      </c>
      <c r="AY1" s="43" t="s">
        <v>178</v>
      </c>
      <c r="AZ1" s="43" t="s">
        <v>179</v>
      </c>
      <c r="BA1" s="44" t="s">
        <v>180</v>
      </c>
    </row>
    <row r="2" spans="1:53">
      <c r="A2" s="108" t="s">
        <v>55</v>
      </c>
      <c r="B2" s="108" t="s">
        <v>181</v>
      </c>
      <c r="C2" s="108">
        <v>2020</v>
      </c>
      <c r="D2" s="109" t="s">
        <v>182</v>
      </c>
      <c r="E2" s="108" t="s">
        <v>183</v>
      </c>
      <c r="F2" s="108" t="s">
        <v>184</v>
      </c>
      <c r="G2" s="108" t="s">
        <v>39</v>
      </c>
      <c r="H2" s="108" t="s">
        <v>40</v>
      </c>
      <c r="I2" s="108" t="s">
        <v>41</v>
      </c>
      <c r="J2" s="108" t="s">
        <v>42</v>
      </c>
      <c r="K2" s="108" t="s">
        <v>43</v>
      </c>
      <c r="L2" s="108">
        <v>1</v>
      </c>
      <c r="N2" s="108">
        <v>1</v>
      </c>
      <c r="O2" s="108">
        <v>0.8</v>
      </c>
      <c r="P2" s="108">
        <v>0.65</v>
      </c>
      <c r="Q2" s="110">
        <f t="shared" ref="Q2:Q34" si="0">IF(OR(O2="",P2=""),"",AVERAGE(O2,P2))</f>
        <v>0.72500000000000009</v>
      </c>
      <c r="R2" s="108">
        <v>11.4</v>
      </c>
      <c r="S2" s="108">
        <v>130</v>
      </c>
      <c r="T2" s="111">
        <f t="shared" ref="T2:T34" si="1">IF(H2="","",IF(OR(H2="GREEN",H2="GK"),IF(S2&gt;=$AX$2,VLOOKUP(S2,$AX$2:$AY$10,2,1),""),IF(S2&gt;=$AZ$2,VLOOKUP(S2,$AZ$2:$BA$10,2,1),"")))</f>
        <v>25</v>
      </c>
      <c r="U2" s="108">
        <v>98</v>
      </c>
      <c r="V2" s="111">
        <f t="shared" ref="V2:V34" si="2">IF(OR(N2="",U2="",T2=""),"",U2/N2*T2)</f>
        <v>2450</v>
      </c>
      <c r="W2" s="108">
        <v>1</v>
      </c>
      <c r="X2" s="108" t="s">
        <v>63</v>
      </c>
      <c r="Y2" s="108" t="s">
        <v>46</v>
      </c>
      <c r="Z2" s="108" t="s">
        <v>45</v>
      </c>
      <c r="AA2" s="108" t="s">
        <v>54</v>
      </c>
      <c r="AB2" s="108" t="s">
        <v>164</v>
      </c>
      <c r="AE2" s="45" t="s">
        <v>49</v>
      </c>
      <c r="AG2" s="46" t="s">
        <v>183</v>
      </c>
      <c r="AH2" s="47" t="s">
        <v>184</v>
      </c>
      <c r="AJ2" s="112" t="s">
        <v>39</v>
      </c>
      <c r="AL2" s="113" t="s">
        <v>185</v>
      </c>
      <c r="AN2" s="112" t="s">
        <v>52</v>
      </c>
      <c r="AP2" s="112" t="s">
        <v>42</v>
      </c>
      <c r="AR2" s="112" t="s">
        <v>43</v>
      </c>
      <c r="AT2" s="112" t="s">
        <v>44</v>
      </c>
      <c r="AV2" s="112" t="s">
        <v>54</v>
      </c>
      <c r="AX2" s="114">
        <v>1</v>
      </c>
      <c r="AY2" s="115">
        <v>50</v>
      </c>
      <c r="AZ2" s="115">
        <v>1</v>
      </c>
      <c r="BA2" s="116">
        <v>50</v>
      </c>
    </row>
    <row r="3" spans="1:53">
      <c r="A3" s="108" t="s">
        <v>55</v>
      </c>
      <c r="B3" s="108" t="s">
        <v>181</v>
      </c>
      <c r="C3" s="108">
        <v>2020</v>
      </c>
      <c r="D3" s="109" t="s">
        <v>182</v>
      </c>
      <c r="E3" s="108" t="s">
        <v>183</v>
      </c>
      <c r="F3" s="108" t="s">
        <v>184</v>
      </c>
      <c r="G3" s="108" t="s">
        <v>39</v>
      </c>
      <c r="H3" s="108" t="s">
        <v>40</v>
      </c>
      <c r="I3" s="108" t="s">
        <v>41</v>
      </c>
      <c r="J3" s="108" t="s">
        <v>42</v>
      </c>
      <c r="K3" s="108" t="s">
        <v>43</v>
      </c>
      <c r="L3" s="108">
        <v>2</v>
      </c>
      <c r="N3" s="108">
        <v>1</v>
      </c>
      <c r="O3" s="108">
        <v>0.6</v>
      </c>
      <c r="P3" s="108">
        <v>0.75</v>
      </c>
      <c r="Q3" s="110">
        <f t="shared" si="0"/>
        <v>0.67500000000000004</v>
      </c>
      <c r="R3" s="108">
        <v>10.199999999999999</v>
      </c>
      <c r="S3" s="108">
        <v>129</v>
      </c>
      <c r="T3" s="111">
        <f t="shared" si="1"/>
        <v>25</v>
      </c>
      <c r="U3" s="108">
        <v>98</v>
      </c>
      <c r="V3" s="111">
        <f t="shared" si="2"/>
        <v>2450</v>
      </c>
      <c r="W3" s="108">
        <v>1</v>
      </c>
      <c r="X3" s="108" t="s">
        <v>63</v>
      </c>
      <c r="Y3" s="108" t="s">
        <v>46</v>
      </c>
      <c r="Z3" s="108" t="s">
        <v>45</v>
      </c>
      <c r="AA3" s="108" t="s">
        <v>54</v>
      </c>
      <c r="AB3" s="108" t="s">
        <v>164</v>
      </c>
      <c r="AE3" s="48" t="s">
        <v>55</v>
      </c>
      <c r="AG3" s="49" t="s">
        <v>186</v>
      </c>
      <c r="AH3" s="49" t="s">
        <v>184</v>
      </c>
      <c r="AJ3" s="117" t="s">
        <v>58</v>
      </c>
      <c r="AL3" s="117" t="s">
        <v>187</v>
      </c>
      <c r="AN3" s="117" t="s">
        <v>60</v>
      </c>
      <c r="AP3" s="117" t="s">
        <v>61</v>
      </c>
      <c r="AR3" s="117" t="s">
        <v>62</v>
      </c>
      <c r="AT3" s="117" t="s">
        <v>63</v>
      </c>
      <c r="AV3" s="117" t="s">
        <v>64</v>
      </c>
      <c r="AX3" s="118">
        <v>72</v>
      </c>
      <c r="AY3" s="119">
        <v>46</v>
      </c>
      <c r="AZ3" s="119">
        <v>71</v>
      </c>
      <c r="BA3" s="120">
        <v>42</v>
      </c>
    </row>
    <row r="4" spans="1:53">
      <c r="A4" s="108" t="s">
        <v>55</v>
      </c>
      <c r="B4" s="108" t="s">
        <v>181</v>
      </c>
      <c r="C4" s="108">
        <v>2020</v>
      </c>
      <c r="D4" s="109" t="s">
        <v>182</v>
      </c>
      <c r="E4" s="108" t="s">
        <v>183</v>
      </c>
      <c r="F4" s="108" t="s">
        <v>184</v>
      </c>
      <c r="G4" s="108" t="s">
        <v>39</v>
      </c>
      <c r="H4" s="108" t="s">
        <v>40</v>
      </c>
      <c r="I4" s="108" t="s">
        <v>41</v>
      </c>
      <c r="J4" s="108" t="s">
        <v>42</v>
      </c>
      <c r="K4" s="108" t="s">
        <v>43</v>
      </c>
      <c r="L4" s="108">
        <v>3</v>
      </c>
      <c r="N4" s="108">
        <v>1</v>
      </c>
      <c r="O4" s="108">
        <v>0.65</v>
      </c>
      <c r="P4" s="108">
        <v>0.7</v>
      </c>
      <c r="Q4" s="110">
        <f t="shared" si="0"/>
        <v>0.67500000000000004</v>
      </c>
      <c r="R4" s="108">
        <v>10.9</v>
      </c>
      <c r="S4" s="108">
        <v>132</v>
      </c>
      <c r="T4" s="111">
        <f t="shared" si="1"/>
        <v>25</v>
      </c>
      <c r="U4" s="108">
        <v>98</v>
      </c>
      <c r="V4" s="111">
        <f t="shared" si="2"/>
        <v>2450</v>
      </c>
      <c r="W4" s="108">
        <v>1</v>
      </c>
      <c r="X4" s="108" t="s">
        <v>63</v>
      </c>
      <c r="Y4" s="108" t="s">
        <v>46</v>
      </c>
      <c r="Z4" s="108" t="s">
        <v>45</v>
      </c>
      <c r="AA4" s="108" t="s">
        <v>54</v>
      </c>
      <c r="AB4" s="108" t="s">
        <v>164</v>
      </c>
      <c r="AE4" s="48" t="s">
        <v>35</v>
      </c>
      <c r="AG4" s="49" t="s">
        <v>186</v>
      </c>
      <c r="AH4" s="49" t="s">
        <v>188</v>
      </c>
      <c r="AJ4" s="121" t="s">
        <v>67</v>
      </c>
      <c r="AL4" s="117" t="s">
        <v>189</v>
      </c>
      <c r="AN4" s="122" t="s">
        <v>190</v>
      </c>
      <c r="AP4" s="117" t="s">
        <v>191</v>
      </c>
      <c r="AR4" s="117" t="s">
        <v>192</v>
      </c>
      <c r="AT4" s="122"/>
      <c r="AV4" s="117" t="s">
        <v>47</v>
      </c>
      <c r="AX4" s="118">
        <v>75</v>
      </c>
      <c r="AY4" s="119">
        <v>42</v>
      </c>
      <c r="AZ4" s="119">
        <v>76</v>
      </c>
      <c r="BA4" s="120">
        <v>39</v>
      </c>
    </row>
    <row r="5" spans="1:53" ht="13.5" customHeight="1">
      <c r="A5" s="108" t="s">
        <v>55</v>
      </c>
      <c r="B5" s="108" t="s">
        <v>181</v>
      </c>
      <c r="C5" s="108">
        <v>2020</v>
      </c>
      <c r="D5" s="109" t="s">
        <v>182</v>
      </c>
      <c r="E5" s="108" t="s">
        <v>183</v>
      </c>
      <c r="F5" s="108" t="s">
        <v>184</v>
      </c>
      <c r="G5" s="108" t="s">
        <v>39</v>
      </c>
      <c r="H5" s="108" t="s">
        <v>40</v>
      </c>
      <c r="I5" s="108" t="s">
        <v>153</v>
      </c>
      <c r="J5" s="108" t="s">
        <v>42</v>
      </c>
      <c r="K5" s="108" t="s">
        <v>43</v>
      </c>
      <c r="L5" s="108">
        <v>1</v>
      </c>
      <c r="N5" s="108">
        <v>5</v>
      </c>
      <c r="O5" s="108">
        <v>0.25</v>
      </c>
      <c r="P5" s="108">
        <v>0.25</v>
      </c>
      <c r="Q5" s="110">
        <f t="shared" si="0"/>
        <v>0.25</v>
      </c>
      <c r="R5" s="108">
        <v>13.5</v>
      </c>
      <c r="S5" s="108">
        <v>114</v>
      </c>
      <c r="T5" s="111">
        <f t="shared" si="1"/>
        <v>30</v>
      </c>
      <c r="U5" s="108">
        <v>398</v>
      </c>
      <c r="V5" s="111">
        <f t="shared" si="2"/>
        <v>2388</v>
      </c>
      <c r="W5" s="108">
        <v>1</v>
      </c>
      <c r="X5" s="108" t="s">
        <v>63</v>
      </c>
      <c r="Y5" s="108" t="s">
        <v>46</v>
      </c>
      <c r="Z5" s="108" t="s">
        <v>45</v>
      </c>
      <c r="AA5" s="108" t="s">
        <v>54</v>
      </c>
      <c r="AB5" s="108" t="s">
        <v>164</v>
      </c>
      <c r="AE5" s="48" t="s">
        <v>72</v>
      </c>
      <c r="AG5" s="49" t="s">
        <v>193</v>
      </c>
      <c r="AH5" s="49" t="s">
        <v>184</v>
      </c>
      <c r="AJ5" s="122"/>
      <c r="AL5" s="117" t="s">
        <v>40</v>
      </c>
      <c r="AN5" s="123" t="s">
        <v>41</v>
      </c>
      <c r="AP5" s="117" t="s">
        <v>194</v>
      </c>
      <c r="AR5" s="117" t="s">
        <v>78</v>
      </c>
      <c r="AV5" s="117" t="s">
        <v>79</v>
      </c>
      <c r="AX5" s="118">
        <v>84</v>
      </c>
      <c r="AY5" s="119">
        <v>39</v>
      </c>
      <c r="AZ5" s="119">
        <v>84</v>
      </c>
      <c r="BA5" s="120">
        <v>36</v>
      </c>
    </row>
    <row r="6" spans="1:53">
      <c r="A6" s="108" t="s">
        <v>55</v>
      </c>
      <c r="B6" s="108" t="s">
        <v>181</v>
      </c>
      <c r="C6" s="108">
        <v>2020</v>
      </c>
      <c r="D6" s="109" t="s">
        <v>182</v>
      </c>
      <c r="E6" s="108" t="s">
        <v>183</v>
      </c>
      <c r="F6" s="108" t="s">
        <v>184</v>
      </c>
      <c r="G6" s="108" t="s">
        <v>39</v>
      </c>
      <c r="H6" s="108" t="s">
        <v>40</v>
      </c>
      <c r="I6" s="108" t="s">
        <v>153</v>
      </c>
      <c r="J6" s="108" t="s">
        <v>42</v>
      </c>
      <c r="K6" s="108" t="s">
        <v>43</v>
      </c>
      <c r="L6" s="108">
        <v>2</v>
      </c>
      <c r="N6" s="108">
        <v>5</v>
      </c>
      <c r="O6" s="108">
        <v>0.25</v>
      </c>
      <c r="P6" s="108">
        <v>0.25</v>
      </c>
      <c r="Q6" s="110">
        <f t="shared" si="0"/>
        <v>0.25</v>
      </c>
      <c r="R6" s="108">
        <v>14</v>
      </c>
      <c r="S6" s="108">
        <v>116</v>
      </c>
      <c r="T6" s="111">
        <f t="shared" si="1"/>
        <v>30</v>
      </c>
      <c r="U6" s="108">
        <v>398</v>
      </c>
      <c r="V6" s="111">
        <f t="shared" si="2"/>
        <v>2388</v>
      </c>
      <c r="W6" s="108">
        <v>1</v>
      </c>
      <c r="X6" s="108" t="s">
        <v>63</v>
      </c>
      <c r="Y6" s="108" t="s">
        <v>46</v>
      </c>
      <c r="Z6" s="108" t="s">
        <v>45</v>
      </c>
      <c r="AA6" s="108" t="s">
        <v>54</v>
      </c>
      <c r="AB6" s="108" t="s">
        <v>164</v>
      </c>
      <c r="AE6" s="48" t="s">
        <v>80</v>
      </c>
      <c r="AG6" s="49" t="s">
        <v>193</v>
      </c>
      <c r="AH6" s="49" t="s">
        <v>195</v>
      </c>
      <c r="AL6" s="117" t="s">
        <v>157</v>
      </c>
      <c r="AN6" s="123" t="s">
        <v>153</v>
      </c>
      <c r="AP6" s="117" t="s">
        <v>85</v>
      </c>
      <c r="AR6" s="117" t="s">
        <v>86</v>
      </c>
      <c r="AV6" s="117" t="s">
        <v>87</v>
      </c>
      <c r="AX6" s="118">
        <v>97</v>
      </c>
      <c r="AY6" s="119">
        <v>36</v>
      </c>
      <c r="AZ6" s="119">
        <v>99</v>
      </c>
      <c r="BA6" s="120">
        <v>33</v>
      </c>
    </row>
    <row r="7" spans="1:53">
      <c r="A7" s="108" t="s">
        <v>55</v>
      </c>
      <c r="B7" s="108" t="s">
        <v>181</v>
      </c>
      <c r="C7" s="108">
        <v>2020</v>
      </c>
      <c r="D7" s="109" t="s">
        <v>182</v>
      </c>
      <c r="E7" s="108" t="s">
        <v>183</v>
      </c>
      <c r="F7" s="108" t="s">
        <v>184</v>
      </c>
      <c r="G7" s="108" t="s">
        <v>39</v>
      </c>
      <c r="H7" s="108" t="s">
        <v>40</v>
      </c>
      <c r="I7" s="108" t="s">
        <v>153</v>
      </c>
      <c r="J7" s="108" t="s">
        <v>42</v>
      </c>
      <c r="K7" s="108" t="s">
        <v>43</v>
      </c>
      <c r="L7" s="108">
        <v>3</v>
      </c>
      <c r="N7" s="108">
        <v>5</v>
      </c>
      <c r="O7" s="108">
        <v>0.3</v>
      </c>
      <c r="P7" s="108">
        <v>0.25</v>
      </c>
      <c r="Q7" s="110">
        <f t="shared" si="0"/>
        <v>0.27500000000000002</v>
      </c>
      <c r="R7" s="108">
        <v>12.9</v>
      </c>
      <c r="S7" s="108">
        <v>114</v>
      </c>
      <c r="T7" s="111">
        <f t="shared" si="1"/>
        <v>30</v>
      </c>
      <c r="U7" s="108">
        <v>398</v>
      </c>
      <c r="V7" s="111">
        <f t="shared" si="2"/>
        <v>2388</v>
      </c>
      <c r="W7" s="108">
        <v>1</v>
      </c>
      <c r="X7" s="108" t="s">
        <v>63</v>
      </c>
      <c r="Y7" s="108" t="s">
        <v>46</v>
      </c>
      <c r="Z7" s="108" t="s">
        <v>45</v>
      </c>
      <c r="AA7" s="108" t="s">
        <v>54</v>
      </c>
      <c r="AB7" s="108" t="s">
        <v>164</v>
      </c>
      <c r="AE7" s="48" t="s">
        <v>88</v>
      </c>
      <c r="AG7" s="49" t="s">
        <v>196</v>
      </c>
      <c r="AH7" s="49" t="s">
        <v>195</v>
      </c>
      <c r="AL7" s="117" t="s">
        <v>197</v>
      </c>
      <c r="AP7" s="117" t="s">
        <v>91</v>
      </c>
      <c r="AR7" s="117" t="s">
        <v>198</v>
      </c>
      <c r="AV7" s="117" t="s">
        <v>93</v>
      </c>
      <c r="AX7" s="118">
        <v>109</v>
      </c>
      <c r="AY7" s="119">
        <v>33</v>
      </c>
      <c r="AZ7" s="119">
        <v>113</v>
      </c>
      <c r="BA7" s="120">
        <v>30</v>
      </c>
    </row>
    <row r="8" spans="1:53">
      <c r="A8" s="108" t="s">
        <v>55</v>
      </c>
      <c r="B8" s="108" t="s">
        <v>181</v>
      </c>
      <c r="C8" s="108">
        <v>2020</v>
      </c>
      <c r="D8" s="109" t="s">
        <v>182</v>
      </c>
      <c r="E8" s="108" t="s">
        <v>183</v>
      </c>
      <c r="F8" s="108" t="s">
        <v>184</v>
      </c>
      <c r="G8" s="108" t="s">
        <v>39</v>
      </c>
      <c r="H8" s="108" t="s">
        <v>40</v>
      </c>
      <c r="I8" s="108" t="s">
        <v>41</v>
      </c>
      <c r="J8" s="108" t="s">
        <v>42</v>
      </c>
      <c r="K8" s="108" t="s">
        <v>43</v>
      </c>
      <c r="L8" s="108">
        <v>1</v>
      </c>
      <c r="N8" s="108">
        <v>11</v>
      </c>
      <c r="O8" s="108">
        <v>1</v>
      </c>
      <c r="P8" s="108">
        <v>1.2</v>
      </c>
      <c r="Q8" s="110">
        <f t="shared" si="0"/>
        <v>1.1000000000000001</v>
      </c>
      <c r="R8" s="108">
        <v>11.2</v>
      </c>
      <c r="S8" s="108">
        <v>114</v>
      </c>
      <c r="T8" s="124">
        <f t="shared" si="1"/>
        <v>30</v>
      </c>
      <c r="U8" s="108">
        <v>798</v>
      </c>
      <c r="V8" s="111">
        <f t="shared" si="2"/>
        <v>2176.3636363636365</v>
      </c>
      <c r="W8" s="108">
        <v>2</v>
      </c>
      <c r="X8" s="108" t="s">
        <v>63</v>
      </c>
      <c r="Y8" s="108" t="s">
        <v>46</v>
      </c>
      <c r="Z8" s="108" t="s">
        <v>45</v>
      </c>
      <c r="AA8" s="108" t="s">
        <v>54</v>
      </c>
      <c r="AB8" s="108" t="s">
        <v>164</v>
      </c>
      <c r="AE8" s="48" t="s">
        <v>86</v>
      </c>
      <c r="AG8" s="49" t="s">
        <v>199</v>
      </c>
      <c r="AH8" s="49" t="s">
        <v>200</v>
      </c>
      <c r="AL8" s="117" t="s">
        <v>201</v>
      </c>
      <c r="AP8" s="117" t="s">
        <v>97</v>
      </c>
      <c r="AR8" s="117" t="s">
        <v>98</v>
      </c>
      <c r="AV8" s="117" t="s">
        <v>99</v>
      </c>
      <c r="AX8" s="118">
        <v>119</v>
      </c>
      <c r="AY8" s="119">
        <v>30</v>
      </c>
      <c r="AZ8" s="119">
        <v>121</v>
      </c>
      <c r="BA8" s="120">
        <v>27</v>
      </c>
    </row>
    <row r="9" spans="1:53">
      <c r="A9" s="108" t="s">
        <v>55</v>
      </c>
      <c r="B9" s="108" t="s">
        <v>181</v>
      </c>
      <c r="C9" s="108">
        <v>2020</v>
      </c>
      <c r="D9" s="109" t="s">
        <v>182</v>
      </c>
      <c r="E9" s="108" t="s">
        <v>183</v>
      </c>
      <c r="F9" s="108" t="s">
        <v>184</v>
      </c>
      <c r="G9" s="108" t="s">
        <v>39</v>
      </c>
      <c r="H9" s="108" t="s">
        <v>40</v>
      </c>
      <c r="I9" s="108" t="s">
        <v>41</v>
      </c>
      <c r="J9" s="108" t="s">
        <v>42</v>
      </c>
      <c r="K9" s="108" t="s">
        <v>43</v>
      </c>
      <c r="L9" s="108">
        <v>2</v>
      </c>
      <c r="N9" s="108">
        <v>11</v>
      </c>
      <c r="O9" s="108">
        <v>0.95</v>
      </c>
      <c r="P9" s="108">
        <v>0.8</v>
      </c>
      <c r="Q9" s="110">
        <f t="shared" si="0"/>
        <v>0.875</v>
      </c>
      <c r="R9" s="108">
        <v>12</v>
      </c>
      <c r="S9" s="108">
        <v>112</v>
      </c>
      <c r="T9" s="124">
        <f t="shared" si="1"/>
        <v>33</v>
      </c>
      <c r="U9" s="108">
        <v>798</v>
      </c>
      <c r="V9" s="111">
        <f t="shared" si="2"/>
        <v>2394</v>
      </c>
      <c r="W9" s="108">
        <v>2</v>
      </c>
      <c r="X9" s="108" t="s">
        <v>63</v>
      </c>
      <c r="Y9" s="108" t="s">
        <v>46</v>
      </c>
      <c r="Z9" s="108" t="s">
        <v>45</v>
      </c>
      <c r="AA9" s="108" t="s">
        <v>54</v>
      </c>
      <c r="AB9" s="108" t="s">
        <v>164</v>
      </c>
      <c r="AE9" s="48" t="s">
        <v>202</v>
      </c>
      <c r="AG9" s="49" t="s">
        <v>203</v>
      </c>
      <c r="AH9" s="49" t="s">
        <v>204</v>
      </c>
      <c r="AL9" s="117" t="s">
        <v>205</v>
      </c>
      <c r="AP9" s="117" t="s">
        <v>103</v>
      </c>
      <c r="AR9" s="117" t="s">
        <v>206</v>
      </c>
      <c r="AV9" s="117" t="s">
        <v>105</v>
      </c>
      <c r="AX9" s="118">
        <v>128</v>
      </c>
      <c r="AY9" s="119">
        <v>27</v>
      </c>
      <c r="AZ9" s="119">
        <v>129</v>
      </c>
      <c r="BA9" s="120">
        <v>25</v>
      </c>
    </row>
    <row r="10" spans="1:53">
      <c r="A10" s="108" t="s">
        <v>55</v>
      </c>
      <c r="B10" s="108" t="s">
        <v>181</v>
      </c>
      <c r="C10" s="108">
        <v>2020</v>
      </c>
      <c r="D10" s="109" t="s">
        <v>182</v>
      </c>
      <c r="E10" s="108" t="s">
        <v>183</v>
      </c>
      <c r="F10" s="108" t="s">
        <v>184</v>
      </c>
      <c r="G10" s="108" t="s">
        <v>39</v>
      </c>
      <c r="H10" s="108" t="s">
        <v>40</v>
      </c>
      <c r="I10" s="108" t="s">
        <v>41</v>
      </c>
      <c r="J10" s="108" t="s">
        <v>42</v>
      </c>
      <c r="K10" s="108" t="s">
        <v>43</v>
      </c>
      <c r="L10" s="108">
        <v>3</v>
      </c>
      <c r="N10" s="108">
        <v>11</v>
      </c>
      <c r="O10" s="108">
        <v>0.8</v>
      </c>
      <c r="P10" s="108">
        <v>0.95</v>
      </c>
      <c r="Q10" s="110">
        <f t="shared" si="0"/>
        <v>0.875</v>
      </c>
      <c r="R10" s="108">
        <v>10.8</v>
      </c>
      <c r="S10" s="108">
        <v>112</v>
      </c>
      <c r="T10" s="124">
        <f t="shared" si="1"/>
        <v>33</v>
      </c>
      <c r="U10" s="108">
        <v>798</v>
      </c>
      <c r="V10" s="111">
        <f t="shared" si="2"/>
        <v>2394</v>
      </c>
      <c r="W10" s="108">
        <v>2</v>
      </c>
      <c r="X10" s="108" t="s">
        <v>63</v>
      </c>
      <c r="Y10" s="108" t="s">
        <v>46</v>
      </c>
      <c r="Z10" s="108" t="s">
        <v>45</v>
      </c>
      <c r="AA10" s="108" t="s">
        <v>54</v>
      </c>
      <c r="AB10" s="108" t="s">
        <v>164</v>
      </c>
      <c r="AE10" s="48" t="s">
        <v>207</v>
      </c>
      <c r="AG10" s="49" t="s">
        <v>199</v>
      </c>
      <c r="AH10" s="49" t="s">
        <v>208</v>
      </c>
      <c r="AP10" s="117" t="s">
        <v>109</v>
      </c>
      <c r="AR10" s="117" t="s">
        <v>209</v>
      </c>
      <c r="AV10" s="117" t="s">
        <v>111</v>
      </c>
      <c r="AX10" s="118">
        <v>138</v>
      </c>
      <c r="AY10" s="119">
        <v>25</v>
      </c>
      <c r="AZ10" s="119">
        <v>138</v>
      </c>
      <c r="BA10" s="120">
        <v>22</v>
      </c>
    </row>
    <row r="11" spans="1:53">
      <c r="A11" s="108" t="s">
        <v>55</v>
      </c>
      <c r="B11" s="108" t="s">
        <v>181</v>
      </c>
      <c r="C11" s="108">
        <v>2020</v>
      </c>
      <c r="D11" s="109" t="s">
        <v>182</v>
      </c>
      <c r="E11" s="108" t="s">
        <v>183</v>
      </c>
      <c r="F11" s="108" t="s">
        <v>184</v>
      </c>
      <c r="G11" s="108" t="s">
        <v>39</v>
      </c>
      <c r="H11" s="108" t="s">
        <v>40</v>
      </c>
      <c r="I11" s="108" t="s">
        <v>41</v>
      </c>
      <c r="J11" s="108" t="s">
        <v>42</v>
      </c>
      <c r="K11" s="108" t="s">
        <v>43</v>
      </c>
      <c r="L11" s="108">
        <v>1</v>
      </c>
      <c r="N11" s="108">
        <v>8</v>
      </c>
      <c r="O11" s="108">
        <v>0.5</v>
      </c>
      <c r="P11" s="108">
        <v>0.6</v>
      </c>
      <c r="Q11" s="110">
        <f t="shared" si="0"/>
        <v>0.55000000000000004</v>
      </c>
      <c r="R11" s="108">
        <v>13.5</v>
      </c>
      <c r="S11" s="108">
        <v>114</v>
      </c>
      <c r="T11" s="124">
        <f t="shared" si="1"/>
        <v>30</v>
      </c>
      <c r="U11" s="108">
        <v>598</v>
      </c>
      <c r="V11" s="111">
        <f t="shared" si="2"/>
        <v>2242.5</v>
      </c>
      <c r="W11" s="108">
        <v>1</v>
      </c>
      <c r="X11" s="108" t="s">
        <v>63</v>
      </c>
      <c r="Y11" s="108" t="s">
        <v>46</v>
      </c>
      <c r="Z11" s="108" t="s">
        <v>45</v>
      </c>
      <c r="AA11" s="108" t="s">
        <v>54</v>
      </c>
      <c r="AB11" s="108" t="s">
        <v>164</v>
      </c>
      <c r="AE11" s="48" t="s">
        <v>139</v>
      </c>
      <c r="AG11" s="49" t="s">
        <v>210</v>
      </c>
      <c r="AH11" s="49" t="s">
        <v>211</v>
      </c>
      <c r="AP11" s="117" t="s">
        <v>212</v>
      </c>
      <c r="AR11" s="117" t="s">
        <v>213</v>
      </c>
      <c r="AV11" s="117" t="s">
        <v>161</v>
      </c>
      <c r="AX11" s="118">
        <v>151</v>
      </c>
      <c r="AY11" s="119">
        <v>22</v>
      </c>
      <c r="AZ11" s="119">
        <v>152</v>
      </c>
      <c r="BA11" s="120">
        <v>18</v>
      </c>
    </row>
    <row r="12" spans="1:53">
      <c r="A12" s="108" t="s">
        <v>55</v>
      </c>
      <c r="B12" s="108" t="s">
        <v>181</v>
      </c>
      <c r="C12" s="108">
        <v>2020</v>
      </c>
      <c r="D12" s="109" t="s">
        <v>182</v>
      </c>
      <c r="E12" s="108" t="s">
        <v>183</v>
      </c>
      <c r="F12" s="108" t="s">
        <v>184</v>
      </c>
      <c r="G12" s="108" t="s">
        <v>39</v>
      </c>
      <c r="H12" s="108" t="s">
        <v>40</v>
      </c>
      <c r="I12" s="108" t="s">
        <v>41</v>
      </c>
      <c r="J12" s="108" t="s">
        <v>42</v>
      </c>
      <c r="K12" s="108" t="s">
        <v>43</v>
      </c>
      <c r="L12" s="108">
        <v>2</v>
      </c>
      <c r="N12" s="108">
        <v>8</v>
      </c>
      <c r="O12" s="108">
        <v>0.6</v>
      </c>
      <c r="P12" s="108">
        <v>0.55000000000000004</v>
      </c>
      <c r="Q12" s="110">
        <f t="shared" si="0"/>
        <v>0.57499999999999996</v>
      </c>
      <c r="R12" s="108">
        <v>12.1</v>
      </c>
      <c r="S12" s="108">
        <v>116</v>
      </c>
      <c r="T12" s="124">
        <f t="shared" si="1"/>
        <v>30</v>
      </c>
      <c r="U12" s="108">
        <v>598</v>
      </c>
      <c r="V12" s="111">
        <f t="shared" si="2"/>
        <v>2242.5</v>
      </c>
      <c r="W12" s="108">
        <v>1</v>
      </c>
      <c r="X12" s="108" t="s">
        <v>63</v>
      </c>
      <c r="Y12" s="108" t="s">
        <v>46</v>
      </c>
      <c r="Z12" s="108" t="s">
        <v>45</v>
      </c>
      <c r="AA12" s="108" t="s">
        <v>54</v>
      </c>
      <c r="AB12" s="108" t="s">
        <v>164</v>
      </c>
      <c r="AE12" s="48" t="s">
        <v>214</v>
      </c>
      <c r="AG12" s="48"/>
      <c r="AH12" s="48"/>
      <c r="AP12" s="117" t="s">
        <v>215</v>
      </c>
      <c r="AR12" s="117" t="s">
        <v>216</v>
      </c>
      <c r="AV12" s="117" t="s">
        <v>217</v>
      </c>
      <c r="AX12" s="125">
        <v>180</v>
      </c>
      <c r="AY12" s="126">
        <v>18</v>
      </c>
      <c r="AZ12" s="126">
        <v>181</v>
      </c>
      <c r="BA12" s="127">
        <v>16</v>
      </c>
    </row>
    <row r="13" spans="1:53">
      <c r="A13" s="108" t="s">
        <v>55</v>
      </c>
      <c r="B13" s="108" t="s">
        <v>181</v>
      </c>
      <c r="C13" s="108">
        <v>2020</v>
      </c>
      <c r="D13" s="109" t="s">
        <v>182</v>
      </c>
      <c r="E13" s="108" t="s">
        <v>183</v>
      </c>
      <c r="F13" s="108" t="s">
        <v>184</v>
      </c>
      <c r="G13" s="108" t="s">
        <v>39</v>
      </c>
      <c r="H13" s="108" t="s">
        <v>40</v>
      </c>
      <c r="I13" s="108" t="s">
        <v>41</v>
      </c>
      <c r="J13" s="108" t="s">
        <v>42</v>
      </c>
      <c r="K13" s="108" t="s">
        <v>43</v>
      </c>
      <c r="L13" s="108">
        <v>3</v>
      </c>
      <c r="N13" s="108">
        <v>8</v>
      </c>
      <c r="O13" s="108">
        <v>0.5</v>
      </c>
      <c r="P13" s="108">
        <v>0.5</v>
      </c>
      <c r="Q13" s="110">
        <f t="shared" si="0"/>
        <v>0.5</v>
      </c>
      <c r="R13" s="108">
        <v>12</v>
      </c>
      <c r="S13" s="108">
        <v>118</v>
      </c>
      <c r="T13" s="124">
        <f t="shared" si="1"/>
        <v>30</v>
      </c>
      <c r="U13" s="108">
        <v>598</v>
      </c>
      <c r="V13" s="111">
        <f t="shared" si="2"/>
        <v>2242.5</v>
      </c>
      <c r="W13" s="108">
        <v>1</v>
      </c>
      <c r="X13" s="108" t="s">
        <v>63</v>
      </c>
      <c r="Y13" s="108" t="s">
        <v>46</v>
      </c>
      <c r="Z13" s="108" t="s">
        <v>45</v>
      </c>
      <c r="AA13" s="108" t="s">
        <v>54</v>
      </c>
      <c r="AB13" s="108" t="s">
        <v>164</v>
      </c>
      <c r="AE13" s="48" t="s">
        <v>218</v>
      </c>
      <c r="AG13" s="117"/>
      <c r="AH13" s="117"/>
      <c r="AP13" s="117" t="s">
        <v>219</v>
      </c>
      <c r="AR13" s="117" t="s">
        <v>207</v>
      </c>
      <c r="AV13" s="117" t="s">
        <v>220</v>
      </c>
    </row>
    <row r="14" spans="1:53">
      <c r="A14" s="108" t="s">
        <v>55</v>
      </c>
      <c r="B14" s="108" t="s">
        <v>181</v>
      </c>
      <c r="C14" s="108">
        <v>2020</v>
      </c>
      <c r="D14" s="109" t="s">
        <v>182</v>
      </c>
      <c r="E14" s="108" t="s">
        <v>186</v>
      </c>
      <c r="F14" s="108" t="s">
        <v>184</v>
      </c>
      <c r="G14" s="108" t="s">
        <v>39</v>
      </c>
      <c r="H14" s="108" t="s">
        <v>187</v>
      </c>
      <c r="I14" s="108" t="s">
        <v>41</v>
      </c>
      <c r="J14" s="108" t="s">
        <v>221</v>
      </c>
      <c r="K14" s="108" t="s">
        <v>86</v>
      </c>
      <c r="L14" s="108">
        <v>1</v>
      </c>
      <c r="N14" s="108">
        <v>1</v>
      </c>
      <c r="O14" s="108">
        <v>0.45</v>
      </c>
      <c r="P14" s="108">
        <v>0.45</v>
      </c>
      <c r="Q14" s="110">
        <f t="shared" si="0"/>
        <v>0.45</v>
      </c>
      <c r="R14" s="108">
        <v>12.4</v>
      </c>
      <c r="S14" s="108">
        <v>124</v>
      </c>
      <c r="T14" s="124">
        <f t="shared" si="1"/>
        <v>27</v>
      </c>
      <c r="U14" s="108">
        <v>98</v>
      </c>
      <c r="V14" s="111">
        <f t="shared" si="2"/>
        <v>2646</v>
      </c>
      <c r="W14" s="108">
        <v>2</v>
      </c>
      <c r="X14" s="108" t="s">
        <v>63</v>
      </c>
      <c r="Y14" s="108" t="s">
        <v>46</v>
      </c>
      <c r="Z14" s="108" t="s">
        <v>45</v>
      </c>
      <c r="AA14" s="108" t="s">
        <v>54</v>
      </c>
      <c r="AB14" s="108" t="s">
        <v>164</v>
      </c>
      <c r="AE14" s="48" t="s">
        <v>126</v>
      </c>
      <c r="AG14" s="117"/>
      <c r="AH14" s="117"/>
      <c r="AP14" s="117" t="s">
        <v>113</v>
      </c>
      <c r="AR14" s="117" t="s">
        <v>222</v>
      </c>
      <c r="AV14" s="117" t="s">
        <v>115</v>
      </c>
    </row>
    <row r="15" spans="1:53">
      <c r="A15" s="108" t="s">
        <v>55</v>
      </c>
      <c r="B15" s="108" t="s">
        <v>181</v>
      </c>
      <c r="C15" s="108">
        <v>2020</v>
      </c>
      <c r="D15" s="109" t="s">
        <v>182</v>
      </c>
      <c r="E15" s="108" t="s">
        <v>186</v>
      </c>
      <c r="F15" s="108" t="s">
        <v>184</v>
      </c>
      <c r="G15" s="108" t="s">
        <v>39</v>
      </c>
      <c r="H15" s="108" t="s">
        <v>187</v>
      </c>
      <c r="I15" s="108" t="s">
        <v>41</v>
      </c>
      <c r="J15" s="108" t="s">
        <v>221</v>
      </c>
      <c r="K15" s="108" t="s">
        <v>86</v>
      </c>
      <c r="L15" s="108">
        <v>2</v>
      </c>
      <c r="N15" s="108">
        <v>1</v>
      </c>
      <c r="O15" s="108">
        <v>0.55000000000000004</v>
      </c>
      <c r="P15" s="108">
        <v>0.5</v>
      </c>
      <c r="Q15" s="110">
        <f t="shared" si="0"/>
        <v>0.52500000000000002</v>
      </c>
      <c r="R15" s="108">
        <v>12</v>
      </c>
      <c r="S15" s="108">
        <v>127</v>
      </c>
      <c r="T15" s="124">
        <f t="shared" si="1"/>
        <v>27</v>
      </c>
      <c r="U15" s="108">
        <v>98</v>
      </c>
      <c r="V15" s="111">
        <f t="shared" si="2"/>
        <v>2646</v>
      </c>
      <c r="W15" s="108">
        <v>2</v>
      </c>
      <c r="X15" s="108" t="s">
        <v>63</v>
      </c>
      <c r="Y15" s="108" t="s">
        <v>46</v>
      </c>
      <c r="Z15" s="108" t="s">
        <v>45</v>
      </c>
      <c r="AA15" s="108" t="s">
        <v>54</v>
      </c>
      <c r="AB15" s="108" t="s">
        <v>164</v>
      </c>
      <c r="AE15" s="48" t="s">
        <v>223</v>
      </c>
      <c r="AG15" s="117"/>
      <c r="AH15" s="117"/>
      <c r="AP15" s="117" t="s">
        <v>117</v>
      </c>
      <c r="AR15" s="117" t="s">
        <v>121</v>
      </c>
      <c r="AV15" s="117" t="s">
        <v>119</v>
      </c>
    </row>
    <row r="16" spans="1:53">
      <c r="A16" s="108" t="s">
        <v>55</v>
      </c>
      <c r="B16" s="108" t="s">
        <v>181</v>
      </c>
      <c r="C16" s="108">
        <v>2020</v>
      </c>
      <c r="D16" s="109" t="s">
        <v>182</v>
      </c>
      <c r="E16" s="108" t="s">
        <v>186</v>
      </c>
      <c r="F16" s="108" t="s">
        <v>184</v>
      </c>
      <c r="G16" s="108" t="s">
        <v>39</v>
      </c>
      <c r="H16" s="108" t="s">
        <v>187</v>
      </c>
      <c r="I16" s="108" t="s">
        <v>41</v>
      </c>
      <c r="J16" s="108" t="s">
        <v>221</v>
      </c>
      <c r="K16" s="108" t="s">
        <v>86</v>
      </c>
      <c r="L16" s="108">
        <v>3</v>
      </c>
      <c r="N16" s="108">
        <v>1</v>
      </c>
      <c r="O16" s="108">
        <v>0.5</v>
      </c>
      <c r="P16" s="108">
        <v>0.5</v>
      </c>
      <c r="Q16" s="110">
        <f t="shared" si="0"/>
        <v>0.5</v>
      </c>
      <c r="R16" s="108">
        <v>11.4</v>
      </c>
      <c r="S16" s="108">
        <v>125</v>
      </c>
      <c r="T16" s="124">
        <f t="shared" si="1"/>
        <v>27</v>
      </c>
      <c r="U16" s="108">
        <v>98</v>
      </c>
      <c r="V16" s="111">
        <f t="shared" si="2"/>
        <v>2646</v>
      </c>
      <c r="W16" s="108">
        <v>2</v>
      </c>
      <c r="X16" s="108" t="s">
        <v>63</v>
      </c>
      <c r="Y16" s="108" t="s">
        <v>46</v>
      </c>
      <c r="Z16" s="108" t="s">
        <v>45</v>
      </c>
      <c r="AA16" s="108" t="s">
        <v>54</v>
      </c>
      <c r="AB16" s="108" t="s">
        <v>164</v>
      </c>
      <c r="AE16" s="48" t="s">
        <v>224</v>
      </c>
      <c r="AG16" s="122"/>
      <c r="AH16" s="122"/>
      <c r="AP16" s="117" t="s">
        <v>121</v>
      </c>
      <c r="AR16" s="117" t="s">
        <v>122</v>
      </c>
      <c r="AV16" s="117" t="s">
        <v>46</v>
      </c>
    </row>
    <row r="17" spans="1:48">
      <c r="A17" s="108" t="s">
        <v>55</v>
      </c>
      <c r="B17" s="108" t="s">
        <v>181</v>
      </c>
      <c r="C17" s="108">
        <v>2020</v>
      </c>
      <c r="D17" s="109" t="s">
        <v>182</v>
      </c>
      <c r="E17" s="108" t="s">
        <v>186</v>
      </c>
      <c r="F17" s="108" t="s">
        <v>184</v>
      </c>
      <c r="G17" s="108" t="s">
        <v>39</v>
      </c>
      <c r="H17" s="108" t="s">
        <v>40</v>
      </c>
      <c r="I17" s="108" t="s">
        <v>41</v>
      </c>
      <c r="J17" s="108" t="s">
        <v>42</v>
      </c>
      <c r="K17" s="108" t="s">
        <v>43</v>
      </c>
      <c r="L17" s="108">
        <v>1</v>
      </c>
      <c r="N17" s="108">
        <v>8</v>
      </c>
      <c r="O17" s="108">
        <v>1</v>
      </c>
      <c r="P17" s="108">
        <v>1.1000000000000001</v>
      </c>
      <c r="Q17" s="110">
        <f t="shared" si="0"/>
        <v>1.05</v>
      </c>
      <c r="R17" s="108">
        <v>10.8</v>
      </c>
      <c r="S17" s="108">
        <v>113</v>
      </c>
      <c r="T17" s="124">
        <f t="shared" si="1"/>
        <v>30</v>
      </c>
      <c r="U17" s="108">
        <v>500</v>
      </c>
      <c r="V17" s="111">
        <f t="shared" si="2"/>
        <v>1875</v>
      </c>
      <c r="W17" s="108">
        <v>1</v>
      </c>
      <c r="X17" s="108" t="s">
        <v>63</v>
      </c>
      <c r="Y17" s="108" t="s">
        <v>46</v>
      </c>
      <c r="Z17" s="108" t="s">
        <v>45</v>
      </c>
      <c r="AA17" s="108" t="s">
        <v>54</v>
      </c>
      <c r="AB17" s="108" t="s">
        <v>164</v>
      </c>
      <c r="AE17" s="48" t="s">
        <v>225</v>
      </c>
      <c r="AP17" s="121" t="s">
        <v>226</v>
      </c>
      <c r="AR17" s="117" t="s">
        <v>126</v>
      </c>
      <c r="AV17" s="117" t="s">
        <v>127</v>
      </c>
    </row>
    <row r="18" spans="1:48">
      <c r="A18" s="108" t="s">
        <v>55</v>
      </c>
      <c r="B18" s="108" t="s">
        <v>181</v>
      </c>
      <c r="C18" s="108">
        <v>2020</v>
      </c>
      <c r="D18" s="109" t="s">
        <v>182</v>
      </c>
      <c r="E18" s="108" t="s">
        <v>186</v>
      </c>
      <c r="F18" s="108" t="s">
        <v>184</v>
      </c>
      <c r="G18" s="108" t="s">
        <v>39</v>
      </c>
      <c r="H18" s="108" t="s">
        <v>40</v>
      </c>
      <c r="I18" s="108" t="s">
        <v>41</v>
      </c>
      <c r="J18" s="108" t="s">
        <v>42</v>
      </c>
      <c r="K18" s="108" t="s">
        <v>43</v>
      </c>
      <c r="L18" s="108">
        <v>2</v>
      </c>
      <c r="N18" s="108">
        <v>8</v>
      </c>
      <c r="O18" s="108">
        <v>1.2</v>
      </c>
      <c r="P18" s="108">
        <v>1.3</v>
      </c>
      <c r="Q18" s="110">
        <f t="shared" si="0"/>
        <v>1.25</v>
      </c>
      <c r="R18" s="108">
        <v>12</v>
      </c>
      <c r="S18" s="108">
        <v>113</v>
      </c>
      <c r="T18" s="124">
        <f t="shared" si="1"/>
        <v>30</v>
      </c>
      <c r="U18" s="108">
        <v>500</v>
      </c>
      <c r="V18" s="111">
        <f t="shared" si="2"/>
        <v>1875</v>
      </c>
      <c r="W18" s="108">
        <v>1</v>
      </c>
      <c r="X18" s="108" t="s">
        <v>63</v>
      </c>
      <c r="Y18" s="108" t="s">
        <v>46</v>
      </c>
      <c r="Z18" s="108" t="s">
        <v>45</v>
      </c>
      <c r="AA18" s="108" t="s">
        <v>54</v>
      </c>
      <c r="AB18" s="108" t="s">
        <v>164</v>
      </c>
      <c r="AE18" s="48" t="s">
        <v>213</v>
      </c>
      <c r="AP18" s="121" t="s">
        <v>227</v>
      </c>
      <c r="AR18" s="117" t="s">
        <v>130</v>
      </c>
      <c r="AV18" s="117" t="s">
        <v>131</v>
      </c>
    </row>
    <row r="19" spans="1:48">
      <c r="A19" s="108" t="s">
        <v>55</v>
      </c>
      <c r="B19" s="108" t="s">
        <v>181</v>
      </c>
      <c r="C19" s="108">
        <v>2020</v>
      </c>
      <c r="D19" s="109" t="s">
        <v>182</v>
      </c>
      <c r="E19" s="108" t="s">
        <v>186</v>
      </c>
      <c r="F19" s="108" t="s">
        <v>184</v>
      </c>
      <c r="G19" s="108" t="s">
        <v>39</v>
      </c>
      <c r="H19" s="108" t="s">
        <v>40</v>
      </c>
      <c r="I19" s="108" t="s">
        <v>41</v>
      </c>
      <c r="J19" s="108" t="s">
        <v>42</v>
      </c>
      <c r="K19" s="108" t="s">
        <v>43</v>
      </c>
      <c r="L19" s="108">
        <v>3</v>
      </c>
      <c r="N19" s="108">
        <v>8</v>
      </c>
      <c r="O19" s="108">
        <v>1.3</v>
      </c>
      <c r="P19" s="108">
        <v>1.1499999999999999</v>
      </c>
      <c r="Q19" s="110">
        <f t="shared" si="0"/>
        <v>1.2250000000000001</v>
      </c>
      <c r="R19" s="108">
        <v>11.4</v>
      </c>
      <c r="S19" s="108">
        <v>114</v>
      </c>
      <c r="T19" s="124">
        <f t="shared" si="1"/>
        <v>30</v>
      </c>
      <c r="U19" s="108">
        <v>500</v>
      </c>
      <c r="V19" s="111">
        <f t="shared" si="2"/>
        <v>1875</v>
      </c>
      <c r="W19" s="108">
        <v>1</v>
      </c>
      <c r="X19" s="108" t="s">
        <v>63</v>
      </c>
      <c r="Y19" s="108" t="s">
        <v>46</v>
      </c>
      <c r="Z19" s="108" t="s">
        <v>45</v>
      </c>
      <c r="AA19" s="108" t="s">
        <v>54</v>
      </c>
      <c r="AB19" s="108" t="s">
        <v>164</v>
      </c>
      <c r="AE19" s="50" t="s">
        <v>206</v>
      </c>
      <c r="AP19" s="121" t="s">
        <v>228</v>
      </c>
      <c r="AR19" s="117" t="s">
        <v>229</v>
      </c>
      <c r="AV19" s="117" t="s">
        <v>45</v>
      </c>
    </row>
    <row r="20" spans="1:48">
      <c r="A20" s="108" t="s">
        <v>55</v>
      </c>
      <c r="B20" s="108" t="s">
        <v>181</v>
      </c>
      <c r="C20" s="108">
        <v>2020</v>
      </c>
      <c r="D20" s="109" t="s">
        <v>182</v>
      </c>
      <c r="E20" s="108" t="s">
        <v>186</v>
      </c>
      <c r="F20" s="108" t="s">
        <v>188</v>
      </c>
      <c r="G20" s="108" t="s">
        <v>39</v>
      </c>
      <c r="H20" s="108" t="s">
        <v>185</v>
      </c>
      <c r="I20" s="108" t="s">
        <v>41</v>
      </c>
      <c r="J20" s="108" t="s">
        <v>91</v>
      </c>
      <c r="K20" s="108" t="s">
        <v>86</v>
      </c>
      <c r="L20" s="108">
        <v>1</v>
      </c>
      <c r="N20" s="108">
        <v>1</v>
      </c>
      <c r="O20" s="108">
        <v>0.7</v>
      </c>
      <c r="P20" s="108">
        <v>0.7</v>
      </c>
      <c r="Q20" s="110">
        <f t="shared" si="0"/>
        <v>0.7</v>
      </c>
      <c r="R20" s="108">
        <v>10.7</v>
      </c>
      <c r="S20" s="108">
        <v>124</v>
      </c>
      <c r="T20" s="124">
        <f t="shared" si="1"/>
        <v>27</v>
      </c>
      <c r="U20" s="108">
        <v>98</v>
      </c>
      <c r="V20" s="124">
        <f t="shared" si="2"/>
        <v>2646</v>
      </c>
      <c r="W20" s="108">
        <v>1</v>
      </c>
      <c r="X20" s="108" t="s">
        <v>63</v>
      </c>
      <c r="Y20" s="108" t="s">
        <v>46</v>
      </c>
      <c r="Z20" s="108" t="s">
        <v>45</v>
      </c>
      <c r="AA20" s="108" t="s">
        <v>54</v>
      </c>
      <c r="AB20" s="108" t="s">
        <v>164</v>
      </c>
      <c r="AE20" s="50"/>
      <c r="AP20" s="121" t="s">
        <v>230</v>
      </c>
      <c r="AR20" s="117" t="s">
        <v>136</v>
      </c>
      <c r="AV20" s="121" t="s">
        <v>231</v>
      </c>
    </row>
    <row r="21" spans="1:48">
      <c r="A21" s="108" t="s">
        <v>55</v>
      </c>
      <c r="B21" s="108" t="s">
        <v>181</v>
      </c>
      <c r="C21" s="108">
        <v>2020</v>
      </c>
      <c r="D21" s="109" t="s">
        <v>182</v>
      </c>
      <c r="E21" s="108" t="s">
        <v>186</v>
      </c>
      <c r="F21" s="108" t="s">
        <v>188</v>
      </c>
      <c r="G21" s="108" t="s">
        <v>39</v>
      </c>
      <c r="H21" s="108" t="s">
        <v>185</v>
      </c>
      <c r="I21" s="108" t="s">
        <v>41</v>
      </c>
      <c r="J21" s="108" t="s">
        <v>91</v>
      </c>
      <c r="K21" s="108" t="s">
        <v>86</v>
      </c>
      <c r="L21" s="108">
        <v>2</v>
      </c>
      <c r="N21" s="108">
        <v>1</v>
      </c>
      <c r="O21" s="108">
        <v>0.8</v>
      </c>
      <c r="P21" s="108">
        <v>0.8</v>
      </c>
      <c r="Q21" s="110">
        <f t="shared" si="0"/>
        <v>0.8</v>
      </c>
      <c r="R21" s="108">
        <v>10.199999999999999</v>
      </c>
      <c r="S21" s="108">
        <v>126</v>
      </c>
      <c r="T21" s="124">
        <f t="shared" si="1"/>
        <v>27</v>
      </c>
      <c r="U21" s="108">
        <v>98</v>
      </c>
      <c r="V21" s="124">
        <f t="shared" si="2"/>
        <v>2646</v>
      </c>
      <c r="W21" s="108">
        <v>1</v>
      </c>
      <c r="X21" s="108" t="s">
        <v>63</v>
      </c>
      <c r="Y21" s="108" t="s">
        <v>46</v>
      </c>
      <c r="Z21" s="108" t="s">
        <v>45</v>
      </c>
      <c r="AA21" s="108" t="s">
        <v>54</v>
      </c>
      <c r="AB21" s="108" t="s">
        <v>164</v>
      </c>
      <c r="AE21" s="122"/>
      <c r="AP21" s="121" t="s">
        <v>232</v>
      </c>
      <c r="AR21" s="117" t="s">
        <v>139</v>
      </c>
      <c r="AV21" s="121" t="s">
        <v>233</v>
      </c>
    </row>
    <row r="22" spans="1:48">
      <c r="A22" s="108" t="s">
        <v>55</v>
      </c>
      <c r="B22" s="108" t="s">
        <v>181</v>
      </c>
      <c r="C22" s="108">
        <v>2020</v>
      </c>
      <c r="D22" s="109" t="s">
        <v>182</v>
      </c>
      <c r="E22" s="108" t="s">
        <v>186</v>
      </c>
      <c r="F22" s="108" t="s">
        <v>188</v>
      </c>
      <c r="G22" s="108" t="s">
        <v>39</v>
      </c>
      <c r="H22" s="108" t="s">
        <v>185</v>
      </c>
      <c r="I22" s="108" t="s">
        <v>41</v>
      </c>
      <c r="J22" s="108" t="s">
        <v>91</v>
      </c>
      <c r="K22" s="108" t="s">
        <v>86</v>
      </c>
      <c r="L22" s="108">
        <v>3</v>
      </c>
      <c r="N22" s="108">
        <v>1</v>
      </c>
      <c r="O22" s="108">
        <v>0.65</v>
      </c>
      <c r="P22" s="108">
        <v>0.75</v>
      </c>
      <c r="Q22" s="110">
        <f t="shared" si="0"/>
        <v>0.7</v>
      </c>
      <c r="R22" s="108">
        <v>12.6</v>
      </c>
      <c r="S22" s="108">
        <v>128</v>
      </c>
      <c r="T22" s="124">
        <f t="shared" si="1"/>
        <v>27</v>
      </c>
      <c r="U22" s="108">
        <v>98</v>
      </c>
      <c r="V22" s="124">
        <f t="shared" si="2"/>
        <v>2646</v>
      </c>
      <c r="W22" s="108">
        <v>1</v>
      </c>
      <c r="X22" s="108" t="s">
        <v>63</v>
      </c>
      <c r="Y22" s="108" t="s">
        <v>46</v>
      </c>
      <c r="Z22" s="108" t="s">
        <v>45</v>
      </c>
      <c r="AA22" s="108" t="s">
        <v>54</v>
      </c>
      <c r="AB22" s="108" t="s">
        <v>164</v>
      </c>
      <c r="AP22" s="121" t="s">
        <v>234</v>
      </c>
      <c r="AR22" s="117" t="s">
        <v>142</v>
      </c>
      <c r="AV22" s="121"/>
    </row>
    <row r="23" spans="1:48">
      <c r="A23" s="108" t="s">
        <v>55</v>
      </c>
      <c r="B23" s="108" t="s">
        <v>181</v>
      </c>
      <c r="C23" s="108">
        <v>2020</v>
      </c>
      <c r="D23" s="109" t="s">
        <v>182</v>
      </c>
      <c r="E23" s="108" t="s">
        <v>186</v>
      </c>
      <c r="F23" s="108" t="s">
        <v>188</v>
      </c>
      <c r="G23" s="108" t="s">
        <v>39</v>
      </c>
      <c r="H23" s="108" t="s">
        <v>185</v>
      </c>
      <c r="I23" s="108" t="s">
        <v>41</v>
      </c>
      <c r="J23" s="108" t="s">
        <v>91</v>
      </c>
      <c r="K23" s="108" t="s">
        <v>86</v>
      </c>
      <c r="L23" s="108">
        <v>1</v>
      </c>
      <c r="N23" s="108">
        <v>3</v>
      </c>
      <c r="O23" s="108">
        <v>1</v>
      </c>
      <c r="P23" s="108">
        <v>1.1499999999999999</v>
      </c>
      <c r="Q23" s="110">
        <f t="shared" si="0"/>
        <v>1.075</v>
      </c>
      <c r="R23" s="108">
        <v>11.8</v>
      </c>
      <c r="S23" s="108">
        <v>122</v>
      </c>
      <c r="T23" s="111">
        <f t="shared" si="1"/>
        <v>27</v>
      </c>
      <c r="U23" s="108">
        <v>150</v>
      </c>
      <c r="V23" s="111">
        <f t="shared" si="2"/>
        <v>1350</v>
      </c>
      <c r="W23" s="108">
        <v>1</v>
      </c>
      <c r="X23" s="108" t="s">
        <v>63</v>
      </c>
      <c r="Y23" s="108" t="s">
        <v>46</v>
      </c>
      <c r="Z23" s="108" t="s">
        <v>45</v>
      </c>
      <c r="AA23" s="108" t="s">
        <v>54</v>
      </c>
      <c r="AB23" s="108" t="s">
        <v>164</v>
      </c>
      <c r="AP23" s="121" t="s">
        <v>235</v>
      </c>
      <c r="AR23" s="122" t="s">
        <v>236</v>
      </c>
      <c r="AV23" s="122"/>
    </row>
    <row r="24" spans="1:48">
      <c r="A24" s="108" t="s">
        <v>55</v>
      </c>
      <c r="B24" s="108" t="s">
        <v>181</v>
      </c>
      <c r="C24" s="108">
        <v>2020</v>
      </c>
      <c r="D24" s="109" t="s">
        <v>182</v>
      </c>
      <c r="E24" s="108" t="s">
        <v>186</v>
      </c>
      <c r="F24" s="108" t="s">
        <v>188</v>
      </c>
      <c r="G24" s="108" t="s">
        <v>39</v>
      </c>
      <c r="H24" s="108" t="s">
        <v>185</v>
      </c>
      <c r="I24" s="108" t="s">
        <v>41</v>
      </c>
      <c r="J24" s="108" t="s">
        <v>91</v>
      </c>
      <c r="K24" s="108" t="s">
        <v>86</v>
      </c>
      <c r="L24" s="108">
        <v>2</v>
      </c>
      <c r="N24" s="108">
        <v>3</v>
      </c>
      <c r="O24" s="108">
        <v>0.9</v>
      </c>
      <c r="P24" s="108">
        <v>1.05</v>
      </c>
      <c r="Q24" s="110">
        <f t="shared" si="0"/>
        <v>0.97500000000000009</v>
      </c>
      <c r="R24" s="108">
        <v>9.9</v>
      </c>
      <c r="S24" s="108">
        <v>124</v>
      </c>
      <c r="T24" s="111">
        <f t="shared" si="1"/>
        <v>27</v>
      </c>
      <c r="U24" s="108">
        <v>150</v>
      </c>
      <c r="V24" s="111">
        <f t="shared" si="2"/>
        <v>1350</v>
      </c>
      <c r="W24" s="108">
        <v>1</v>
      </c>
      <c r="X24" s="108" t="s">
        <v>63</v>
      </c>
      <c r="Y24" s="108" t="s">
        <v>46</v>
      </c>
      <c r="Z24" s="108" t="s">
        <v>45</v>
      </c>
      <c r="AA24" s="108" t="s">
        <v>54</v>
      </c>
      <c r="AB24" s="108" t="s">
        <v>164</v>
      </c>
      <c r="AP24" s="121" t="s">
        <v>237</v>
      </c>
    </row>
    <row r="25" spans="1:48">
      <c r="A25" s="108" t="s">
        <v>55</v>
      </c>
      <c r="B25" s="108" t="s">
        <v>181</v>
      </c>
      <c r="C25" s="108">
        <v>2020</v>
      </c>
      <c r="D25" s="109" t="s">
        <v>182</v>
      </c>
      <c r="E25" s="108" t="s">
        <v>186</v>
      </c>
      <c r="F25" s="108" t="s">
        <v>188</v>
      </c>
      <c r="G25" s="108" t="s">
        <v>39</v>
      </c>
      <c r="H25" s="108" t="s">
        <v>185</v>
      </c>
      <c r="I25" s="108" t="s">
        <v>41</v>
      </c>
      <c r="J25" s="108" t="s">
        <v>91</v>
      </c>
      <c r="K25" s="108" t="s">
        <v>86</v>
      </c>
      <c r="L25" s="108">
        <v>3</v>
      </c>
      <c r="N25" s="108">
        <v>3</v>
      </c>
      <c r="O25" s="108">
        <v>0.85</v>
      </c>
      <c r="P25" s="108">
        <v>1</v>
      </c>
      <c r="Q25" s="110">
        <f t="shared" si="0"/>
        <v>0.92500000000000004</v>
      </c>
      <c r="R25" s="108">
        <v>10.7</v>
      </c>
      <c r="S25" s="108">
        <v>126</v>
      </c>
      <c r="T25" s="111">
        <f t="shared" si="1"/>
        <v>27</v>
      </c>
      <c r="U25" s="108">
        <v>150</v>
      </c>
      <c r="V25" s="111">
        <f t="shared" si="2"/>
        <v>1350</v>
      </c>
      <c r="W25" s="108">
        <v>1</v>
      </c>
      <c r="X25" s="108" t="s">
        <v>63</v>
      </c>
      <c r="Y25" s="108" t="s">
        <v>46</v>
      </c>
      <c r="Z25" s="108" t="s">
        <v>45</v>
      </c>
      <c r="AA25" s="108" t="s">
        <v>54</v>
      </c>
      <c r="AB25" s="108" t="s">
        <v>164</v>
      </c>
      <c r="AP25" s="108" t="s">
        <v>238</v>
      </c>
    </row>
    <row r="26" spans="1:48">
      <c r="A26" s="108" t="s">
        <v>55</v>
      </c>
      <c r="B26" s="108" t="s">
        <v>181</v>
      </c>
      <c r="C26" s="108">
        <v>2020</v>
      </c>
      <c r="D26" s="109" t="s">
        <v>182</v>
      </c>
      <c r="E26" s="108" t="s">
        <v>193</v>
      </c>
      <c r="F26" s="108" t="s">
        <v>184</v>
      </c>
      <c r="G26" s="108" t="s">
        <v>39</v>
      </c>
      <c r="H26" s="108" t="s">
        <v>40</v>
      </c>
      <c r="I26" s="108" t="s">
        <v>41</v>
      </c>
      <c r="J26" s="108" t="s">
        <v>42</v>
      </c>
      <c r="K26" s="108" t="s">
        <v>43</v>
      </c>
      <c r="L26" s="108">
        <v>1</v>
      </c>
      <c r="N26" s="108">
        <v>8</v>
      </c>
      <c r="O26" s="108">
        <v>0.3</v>
      </c>
      <c r="P26" s="108">
        <v>0.35</v>
      </c>
      <c r="Q26" s="110">
        <f t="shared" si="0"/>
        <v>0.32499999999999996</v>
      </c>
      <c r="R26" s="108">
        <v>13.2</v>
      </c>
      <c r="S26" s="108">
        <v>118</v>
      </c>
      <c r="T26" s="111">
        <f t="shared" si="1"/>
        <v>30</v>
      </c>
      <c r="U26" s="108">
        <v>498</v>
      </c>
      <c r="V26" s="111">
        <f t="shared" si="2"/>
        <v>1867.5</v>
      </c>
      <c r="W26" s="108">
        <v>1</v>
      </c>
      <c r="X26" s="108" t="s">
        <v>63</v>
      </c>
      <c r="Y26" s="108" t="s">
        <v>46</v>
      </c>
      <c r="Z26" s="108" t="s">
        <v>45</v>
      </c>
      <c r="AA26" s="108" t="s">
        <v>111</v>
      </c>
      <c r="AB26" s="108" t="s">
        <v>164</v>
      </c>
      <c r="AP26" s="108" t="s">
        <v>221</v>
      </c>
    </row>
    <row r="27" spans="1:48">
      <c r="A27" s="108" t="s">
        <v>55</v>
      </c>
      <c r="B27" s="108" t="s">
        <v>181</v>
      </c>
      <c r="C27" s="108">
        <v>2020</v>
      </c>
      <c r="D27" s="109" t="s">
        <v>182</v>
      </c>
      <c r="E27" s="108" t="s">
        <v>193</v>
      </c>
      <c r="F27" s="108" t="s">
        <v>184</v>
      </c>
      <c r="G27" s="108" t="s">
        <v>39</v>
      </c>
      <c r="H27" s="108" t="s">
        <v>40</v>
      </c>
      <c r="I27" s="108" t="s">
        <v>41</v>
      </c>
      <c r="J27" s="108" t="s">
        <v>42</v>
      </c>
      <c r="K27" s="108" t="s">
        <v>43</v>
      </c>
      <c r="L27" s="108">
        <v>2</v>
      </c>
      <c r="N27" s="108">
        <v>8</v>
      </c>
      <c r="O27" s="108">
        <v>0.4</v>
      </c>
      <c r="P27" s="108">
        <v>0.35</v>
      </c>
      <c r="Q27" s="110">
        <f t="shared" si="0"/>
        <v>0.375</v>
      </c>
      <c r="R27" s="108">
        <v>12.1</v>
      </c>
      <c r="S27" s="108">
        <v>120</v>
      </c>
      <c r="T27" s="111">
        <f t="shared" si="1"/>
        <v>30</v>
      </c>
      <c r="U27" s="108">
        <v>498</v>
      </c>
      <c r="V27" s="111">
        <f t="shared" si="2"/>
        <v>1867.5</v>
      </c>
      <c r="W27" s="108">
        <v>1</v>
      </c>
      <c r="X27" s="108" t="s">
        <v>63</v>
      </c>
      <c r="Y27" s="108" t="s">
        <v>46</v>
      </c>
      <c r="Z27" s="108" t="s">
        <v>45</v>
      </c>
      <c r="AA27" s="108" t="s">
        <v>111</v>
      </c>
      <c r="AB27" s="108" t="s">
        <v>164</v>
      </c>
      <c r="AP27" s="108" t="s">
        <v>239</v>
      </c>
    </row>
    <row r="28" spans="1:48">
      <c r="A28" s="108" t="s">
        <v>55</v>
      </c>
      <c r="B28" s="108" t="s">
        <v>181</v>
      </c>
      <c r="C28" s="108">
        <v>2020</v>
      </c>
      <c r="D28" s="109" t="s">
        <v>182</v>
      </c>
      <c r="E28" s="108" t="s">
        <v>193</v>
      </c>
      <c r="F28" s="108" t="s">
        <v>184</v>
      </c>
      <c r="G28" s="108" t="s">
        <v>39</v>
      </c>
      <c r="H28" s="108" t="s">
        <v>40</v>
      </c>
      <c r="I28" s="108" t="s">
        <v>41</v>
      </c>
      <c r="J28" s="108" t="s">
        <v>42</v>
      </c>
      <c r="K28" s="108" t="s">
        <v>43</v>
      </c>
      <c r="L28" s="108">
        <v>3</v>
      </c>
      <c r="N28" s="108">
        <v>8</v>
      </c>
      <c r="O28" s="108">
        <v>0.35</v>
      </c>
      <c r="P28" s="108">
        <v>0.3</v>
      </c>
      <c r="Q28" s="110">
        <f t="shared" si="0"/>
        <v>0.32499999999999996</v>
      </c>
      <c r="R28" s="108">
        <v>12.4</v>
      </c>
      <c r="S28" s="108">
        <v>120</v>
      </c>
      <c r="T28" s="111">
        <f t="shared" si="1"/>
        <v>30</v>
      </c>
      <c r="U28" s="108">
        <v>498</v>
      </c>
      <c r="V28" s="111">
        <f t="shared" si="2"/>
        <v>1867.5</v>
      </c>
      <c r="W28" s="108">
        <v>1</v>
      </c>
      <c r="X28" s="108" t="s">
        <v>63</v>
      </c>
      <c r="Y28" s="108" t="s">
        <v>46</v>
      </c>
      <c r="Z28" s="108" t="s">
        <v>45</v>
      </c>
      <c r="AA28" s="108" t="s">
        <v>111</v>
      </c>
      <c r="AB28" s="108" t="s">
        <v>164</v>
      </c>
      <c r="AP28" s="108" t="s">
        <v>240</v>
      </c>
    </row>
    <row r="29" spans="1:48">
      <c r="A29" s="108" t="s">
        <v>55</v>
      </c>
      <c r="B29" s="108" t="s">
        <v>181</v>
      </c>
      <c r="C29" s="108">
        <v>2020</v>
      </c>
      <c r="D29" s="109" t="s">
        <v>182</v>
      </c>
      <c r="E29" s="108" t="s">
        <v>193</v>
      </c>
      <c r="F29" s="108" t="s">
        <v>195</v>
      </c>
      <c r="G29" s="108" t="s">
        <v>39</v>
      </c>
      <c r="H29" s="108" t="s">
        <v>40</v>
      </c>
      <c r="I29" s="108" t="s">
        <v>41</v>
      </c>
      <c r="J29" s="108" t="s">
        <v>42</v>
      </c>
      <c r="K29" s="108" t="s">
        <v>43</v>
      </c>
      <c r="L29" s="108">
        <v>1</v>
      </c>
      <c r="N29" s="108">
        <v>1</v>
      </c>
      <c r="O29" s="108">
        <v>1.2</v>
      </c>
      <c r="P29" s="108">
        <v>1.3</v>
      </c>
      <c r="Q29" s="110">
        <f t="shared" si="0"/>
        <v>1.25</v>
      </c>
      <c r="R29" s="108">
        <v>12</v>
      </c>
      <c r="S29" s="108">
        <v>124</v>
      </c>
      <c r="T29" s="111">
        <f t="shared" si="1"/>
        <v>27</v>
      </c>
      <c r="U29" s="108">
        <v>100</v>
      </c>
      <c r="V29" s="111">
        <f t="shared" si="2"/>
        <v>2700</v>
      </c>
      <c r="W29" s="108">
        <v>1</v>
      </c>
      <c r="X29" s="108" t="s">
        <v>63</v>
      </c>
      <c r="Y29" s="108" t="s">
        <v>46</v>
      </c>
      <c r="Z29" s="108" t="s">
        <v>45</v>
      </c>
      <c r="AA29" s="108" t="s">
        <v>161</v>
      </c>
      <c r="AB29" s="108" t="s">
        <v>164</v>
      </c>
    </row>
    <row r="30" spans="1:48">
      <c r="A30" s="108" t="s">
        <v>55</v>
      </c>
      <c r="B30" s="108" t="s">
        <v>181</v>
      </c>
      <c r="C30" s="108">
        <v>2020</v>
      </c>
      <c r="D30" s="109" t="s">
        <v>182</v>
      </c>
      <c r="E30" s="108" t="s">
        <v>193</v>
      </c>
      <c r="F30" s="108" t="s">
        <v>195</v>
      </c>
      <c r="G30" s="108" t="s">
        <v>39</v>
      </c>
      <c r="H30" s="108" t="s">
        <v>40</v>
      </c>
      <c r="I30" s="108" t="s">
        <v>41</v>
      </c>
      <c r="J30" s="108" t="s">
        <v>42</v>
      </c>
      <c r="K30" s="108" t="s">
        <v>43</v>
      </c>
      <c r="L30" s="108">
        <v>2</v>
      </c>
      <c r="N30" s="108">
        <v>1</v>
      </c>
      <c r="O30" s="108">
        <v>1.1000000000000001</v>
      </c>
      <c r="P30" s="108">
        <v>1.35</v>
      </c>
      <c r="Q30" s="110">
        <f t="shared" si="0"/>
        <v>1.2250000000000001</v>
      </c>
      <c r="R30" s="108">
        <v>10.5</v>
      </c>
      <c r="S30" s="108">
        <v>124</v>
      </c>
      <c r="T30" s="111">
        <f t="shared" si="1"/>
        <v>27</v>
      </c>
      <c r="U30" s="108">
        <v>100</v>
      </c>
      <c r="V30" s="111">
        <f t="shared" si="2"/>
        <v>2700</v>
      </c>
      <c r="W30" s="108">
        <v>1</v>
      </c>
      <c r="X30" s="108" t="s">
        <v>63</v>
      </c>
      <c r="Y30" s="108" t="s">
        <v>46</v>
      </c>
      <c r="Z30" s="108" t="s">
        <v>45</v>
      </c>
      <c r="AA30" s="108" t="s">
        <v>161</v>
      </c>
      <c r="AB30" s="108" t="s">
        <v>164</v>
      </c>
    </row>
    <row r="31" spans="1:48">
      <c r="A31" s="108" t="s">
        <v>55</v>
      </c>
      <c r="B31" s="108" t="s">
        <v>181</v>
      </c>
      <c r="C31" s="108">
        <v>2020</v>
      </c>
      <c r="D31" s="109" t="s">
        <v>182</v>
      </c>
      <c r="E31" s="108" t="s">
        <v>193</v>
      </c>
      <c r="F31" s="108" t="s">
        <v>195</v>
      </c>
      <c r="G31" s="108" t="s">
        <v>39</v>
      </c>
      <c r="H31" s="108" t="s">
        <v>40</v>
      </c>
      <c r="I31" s="108" t="s">
        <v>41</v>
      </c>
      <c r="J31" s="108" t="s">
        <v>42</v>
      </c>
      <c r="K31" s="108" t="s">
        <v>43</v>
      </c>
      <c r="L31" s="108">
        <v>3</v>
      </c>
      <c r="N31" s="108">
        <v>1</v>
      </c>
      <c r="O31" s="108">
        <v>1</v>
      </c>
      <c r="P31" s="108">
        <v>1.2</v>
      </c>
      <c r="Q31" s="110">
        <f t="shared" si="0"/>
        <v>1.1000000000000001</v>
      </c>
      <c r="R31" s="108">
        <v>11.2</v>
      </c>
      <c r="S31" s="108">
        <v>126</v>
      </c>
      <c r="T31" s="111">
        <f t="shared" si="1"/>
        <v>27</v>
      </c>
      <c r="U31" s="108">
        <v>100</v>
      </c>
      <c r="V31" s="111">
        <f t="shared" si="2"/>
        <v>2700</v>
      </c>
      <c r="W31" s="108">
        <v>1</v>
      </c>
      <c r="X31" s="108" t="s">
        <v>63</v>
      </c>
      <c r="Y31" s="108" t="s">
        <v>46</v>
      </c>
      <c r="Z31" s="108" t="s">
        <v>45</v>
      </c>
      <c r="AA31" s="108" t="s">
        <v>161</v>
      </c>
      <c r="AB31" s="108" t="s">
        <v>164</v>
      </c>
    </row>
    <row r="32" spans="1:48">
      <c r="A32" s="108" t="s">
        <v>55</v>
      </c>
      <c r="B32" s="108" t="s">
        <v>181</v>
      </c>
      <c r="C32" s="108">
        <v>2020</v>
      </c>
      <c r="D32" s="109" t="s">
        <v>182</v>
      </c>
      <c r="E32" s="108" t="s">
        <v>193</v>
      </c>
      <c r="F32" s="108" t="s">
        <v>195</v>
      </c>
      <c r="G32" s="108" t="s">
        <v>39</v>
      </c>
      <c r="H32" s="108" t="s">
        <v>40</v>
      </c>
      <c r="I32" s="108" t="s">
        <v>41</v>
      </c>
      <c r="J32" s="108" t="s">
        <v>42</v>
      </c>
      <c r="K32" s="108" t="s">
        <v>43</v>
      </c>
      <c r="L32" s="108">
        <v>1</v>
      </c>
      <c r="N32" s="108">
        <v>4</v>
      </c>
      <c r="O32" s="108">
        <v>0.8</v>
      </c>
      <c r="P32" s="108">
        <v>0.9</v>
      </c>
      <c r="Q32" s="110">
        <f t="shared" si="0"/>
        <v>0.85000000000000009</v>
      </c>
      <c r="R32" s="108">
        <v>11.9</v>
      </c>
      <c r="S32" s="108">
        <v>116</v>
      </c>
      <c r="T32" s="111">
        <f t="shared" si="1"/>
        <v>30</v>
      </c>
      <c r="U32" s="108">
        <v>398</v>
      </c>
      <c r="V32" s="111">
        <f t="shared" si="2"/>
        <v>2985</v>
      </c>
      <c r="W32" s="108">
        <v>1</v>
      </c>
      <c r="X32" s="108" t="s">
        <v>63</v>
      </c>
      <c r="Y32" s="108" t="s">
        <v>46</v>
      </c>
      <c r="Z32" s="108" t="s">
        <v>45</v>
      </c>
      <c r="AA32" s="108" t="s">
        <v>161</v>
      </c>
      <c r="AB32" s="108" t="s">
        <v>164</v>
      </c>
    </row>
    <row r="33" spans="1:28">
      <c r="A33" s="108" t="s">
        <v>55</v>
      </c>
      <c r="B33" s="108" t="s">
        <v>181</v>
      </c>
      <c r="C33" s="108">
        <v>2020</v>
      </c>
      <c r="D33" s="109" t="s">
        <v>182</v>
      </c>
      <c r="E33" s="108" t="s">
        <v>193</v>
      </c>
      <c r="F33" s="108" t="s">
        <v>195</v>
      </c>
      <c r="G33" s="108" t="s">
        <v>39</v>
      </c>
      <c r="H33" s="108" t="s">
        <v>40</v>
      </c>
      <c r="I33" s="108" t="s">
        <v>41</v>
      </c>
      <c r="J33" s="108" t="s">
        <v>42</v>
      </c>
      <c r="K33" s="108" t="s">
        <v>43</v>
      </c>
      <c r="L33" s="108">
        <v>2</v>
      </c>
      <c r="N33" s="108">
        <v>4</v>
      </c>
      <c r="O33" s="108">
        <v>0.6</v>
      </c>
      <c r="P33" s="108">
        <v>0.75</v>
      </c>
      <c r="Q33" s="110">
        <f t="shared" si="0"/>
        <v>0.67500000000000004</v>
      </c>
      <c r="R33" s="108">
        <v>10.1</v>
      </c>
      <c r="S33" s="108">
        <v>113</v>
      </c>
      <c r="T33" s="111">
        <f t="shared" si="1"/>
        <v>30</v>
      </c>
      <c r="U33" s="108">
        <v>398</v>
      </c>
      <c r="V33" s="111">
        <f t="shared" si="2"/>
        <v>2985</v>
      </c>
      <c r="W33" s="108">
        <v>1</v>
      </c>
      <c r="X33" s="108" t="s">
        <v>63</v>
      </c>
      <c r="Y33" s="108" t="s">
        <v>46</v>
      </c>
      <c r="Z33" s="108" t="s">
        <v>45</v>
      </c>
      <c r="AA33" s="108" t="s">
        <v>161</v>
      </c>
      <c r="AB33" s="108" t="s">
        <v>164</v>
      </c>
    </row>
    <row r="34" spans="1:28">
      <c r="A34" s="108" t="s">
        <v>55</v>
      </c>
      <c r="B34" s="108" t="s">
        <v>181</v>
      </c>
      <c r="C34" s="108">
        <v>2020</v>
      </c>
      <c r="D34" s="109" t="s">
        <v>182</v>
      </c>
      <c r="E34" s="108" t="s">
        <v>193</v>
      </c>
      <c r="F34" s="108" t="s">
        <v>195</v>
      </c>
      <c r="G34" s="108" t="s">
        <v>39</v>
      </c>
      <c r="H34" s="108" t="s">
        <v>40</v>
      </c>
      <c r="I34" s="108" t="s">
        <v>41</v>
      </c>
      <c r="J34" s="108" t="s">
        <v>42</v>
      </c>
      <c r="K34" s="108" t="s">
        <v>43</v>
      </c>
      <c r="L34" s="108">
        <v>3</v>
      </c>
      <c r="N34" s="108">
        <v>4</v>
      </c>
      <c r="O34" s="108">
        <v>0.95</v>
      </c>
      <c r="P34" s="108">
        <v>0.8</v>
      </c>
      <c r="Q34" s="110">
        <f t="shared" si="0"/>
        <v>0.875</v>
      </c>
      <c r="R34" s="108">
        <v>12</v>
      </c>
      <c r="S34" s="108">
        <v>117</v>
      </c>
      <c r="T34" s="111">
        <f t="shared" si="1"/>
        <v>30</v>
      </c>
      <c r="U34" s="108">
        <v>398</v>
      </c>
      <c r="V34" s="111">
        <f t="shared" si="2"/>
        <v>2985</v>
      </c>
      <c r="W34" s="108">
        <v>1</v>
      </c>
      <c r="X34" s="108" t="s">
        <v>63</v>
      </c>
      <c r="Y34" s="108" t="s">
        <v>46</v>
      </c>
      <c r="Z34" s="108" t="s">
        <v>45</v>
      </c>
      <c r="AA34" s="108" t="s">
        <v>161</v>
      </c>
      <c r="AB34" s="108" t="s">
        <v>164</v>
      </c>
    </row>
    <row r="35" spans="1:28">
      <c r="A35" s="108" t="s">
        <v>55</v>
      </c>
      <c r="B35" s="108" t="s">
        <v>181</v>
      </c>
      <c r="C35" s="108">
        <v>2020</v>
      </c>
      <c r="D35" s="109" t="s">
        <v>182</v>
      </c>
      <c r="E35" s="108" t="s">
        <v>199</v>
      </c>
      <c r="F35" s="108" t="s">
        <v>200</v>
      </c>
      <c r="G35" s="108" t="s">
        <v>39</v>
      </c>
      <c r="H35" s="108" t="s">
        <v>40</v>
      </c>
      <c r="I35" s="108" t="s">
        <v>41</v>
      </c>
      <c r="J35" s="108" t="s">
        <v>42</v>
      </c>
      <c r="K35" s="108" t="s">
        <v>43</v>
      </c>
      <c r="L35" s="108">
        <v>1</v>
      </c>
      <c r="N35" s="108">
        <v>1</v>
      </c>
      <c r="O35" s="108">
        <v>0.9</v>
      </c>
      <c r="P35" s="108">
        <v>1</v>
      </c>
      <c r="Q35" s="110">
        <f>IF(OR(O35="",P35=""),"",AVERAGE(O35,P35))</f>
        <v>0.95</v>
      </c>
      <c r="R35" s="108">
        <v>9.8000000000000007</v>
      </c>
      <c r="S35" s="108">
        <v>132</v>
      </c>
      <c r="T35" s="111">
        <f t="shared" ref="T35:T40" si="3">IF(H35="","",IF(OR(H35="GREEN",H35="GK"),IF(S35&gt;=$AX$2,VLOOKUP(S35,$AX$2:$AY$10,2,1),""),IF(S35&gt;=$AZ$2,VLOOKUP(S35,$AZ$2:$BA$10,2,1),"")))</f>
        <v>25</v>
      </c>
      <c r="U35" s="108">
        <v>98</v>
      </c>
      <c r="V35" s="111">
        <f>IF(OR(N35="",U35="",T35=""),"",U35/N35*T35)</f>
        <v>2450</v>
      </c>
      <c r="W35" s="108">
        <v>1</v>
      </c>
      <c r="X35" s="108" t="s">
        <v>63</v>
      </c>
      <c r="Y35" s="108" t="s">
        <v>46</v>
      </c>
      <c r="Z35" s="108" t="s">
        <v>45</v>
      </c>
      <c r="AA35" s="108" t="s">
        <v>161</v>
      </c>
      <c r="AB35" s="108" t="s">
        <v>164</v>
      </c>
    </row>
    <row r="36" spans="1:28">
      <c r="A36" s="108" t="s">
        <v>55</v>
      </c>
      <c r="B36" s="108" t="s">
        <v>181</v>
      </c>
      <c r="C36" s="108">
        <v>2020</v>
      </c>
      <c r="D36" s="109" t="s">
        <v>182</v>
      </c>
      <c r="E36" s="108" t="s">
        <v>199</v>
      </c>
      <c r="F36" s="108" t="s">
        <v>200</v>
      </c>
      <c r="G36" s="108" t="s">
        <v>39</v>
      </c>
      <c r="H36" s="108" t="s">
        <v>40</v>
      </c>
      <c r="I36" s="108" t="s">
        <v>41</v>
      </c>
      <c r="J36" s="108" t="s">
        <v>42</v>
      </c>
      <c r="K36" s="108" t="s">
        <v>43</v>
      </c>
      <c r="L36" s="108">
        <v>2</v>
      </c>
      <c r="N36" s="108">
        <v>1</v>
      </c>
      <c r="O36" s="108">
        <v>0.8</v>
      </c>
      <c r="P36" s="108">
        <v>0.85</v>
      </c>
      <c r="Q36" s="110">
        <f t="shared" ref="Q36:Q40" si="4">IF(OR(O36="",P36=""),"",AVERAGE(O36,P36))</f>
        <v>0.82499999999999996</v>
      </c>
      <c r="R36" s="108">
        <v>10.4</v>
      </c>
      <c r="S36" s="108">
        <v>134</v>
      </c>
      <c r="T36" s="111">
        <f t="shared" si="3"/>
        <v>25</v>
      </c>
      <c r="U36" s="108">
        <v>98</v>
      </c>
      <c r="V36" s="111">
        <f t="shared" ref="V36:V40" si="5">IF(OR(N36="",U36="",T36=""),"",U36/N36*T36)</f>
        <v>2450</v>
      </c>
      <c r="W36" s="108">
        <v>1</v>
      </c>
      <c r="X36" s="108" t="s">
        <v>63</v>
      </c>
      <c r="Y36" s="108" t="s">
        <v>46</v>
      </c>
      <c r="Z36" s="108" t="s">
        <v>45</v>
      </c>
      <c r="AA36" s="108" t="s">
        <v>161</v>
      </c>
      <c r="AB36" s="108" t="s">
        <v>164</v>
      </c>
    </row>
    <row r="37" spans="1:28">
      <c r="A37" s="108" t="s">
        <v>55</v>
      </c>
      <c r="B37" s="108" t="s">
        <v>181</v>
      </c>
      <c r="C37" s="108">
        <v>2020</v>
      </c>
      <c r="D37" s="109" t="s">
        <v>182</v>
      </c>
      <c r="E37" s="108" t="s">
        <v>199</v>
      </c>
      <c r="F37" s="108" t="s">
        <v>200</v>
      </c>
      <c r="G37" s="108" t="s">
        <v>39</v>
      </c>
      <c r="H37" s="108" t="s">
        <v>40</v>
      </c>
      <c r="I37" s="108" t="s">
        <v>41</v>
      </c>
      <c r="J37" s="108" t="s">
        <v>42</v>
      </c>
      <c r="K37" s="108" t="s">
        <v>43</v>
      </c>
      <c r="L37" s="108">
        <v>3</v>
      </c>
      <c r="N37" s="108">
        <v>1</v>
      </c>
      <c r="O37" s="108">
        <v>1</v>
      </c>
      <c r="P37" s="108">
        <v>1</v>
      </c>
      <c r="Q37" s="110">
        <f t="shared" si="4"/>
        <v>1</v>
      </c>
      <c r="R37" s="108">
        <v>8.1999999999999993</v>
      </c>
      <c r="S37" s="108">
        <v>130</v>
      </c>
      <c r="T37" s="111">
        <f t="shared" si="3"/>
        <v>25</v>
      </c>
      <c r="U37" s="108">
        <v>98</v>
      </c>
      <c r="V37" s="111">
        <f t="shared" si="5"/>
        <v>2450</v>
      </c>
      <c r="W37" s="108">
        <v>1</v>
      </c>
      <c r="X37" s="108" t="s">
        <v>63</v>
      </c>
      <c r="Y37" s="108" t="s">
        <v>46</v>
      </c>
      <c r="Z37" s="108" t="s">
        <v>45</v>
      </c>
      <c r="AA37" s="108" t="s">
        <v>161</v>
      </c>
      <c r="AB37" s="108" t="s">
        <v>164</v>
      </c>
    </row>
    <row r="38" spans="1:28">
      <c r="A38" s="108" t="s">
        <v>55</v>
      </c>
      <c r="B38" s="108" t="s">
        <v>181</v>
      </c>
      <c r="C38" s="108">
        <v>2020</v>
      </c>
      <c r="D38" s="109" t="s">
        <v>182</v>
      </c>
      <c r="E38" s="108" t="s">
        <v>199</v>
      </c>
      <c r="F38" s="108" t="s">
        <v>200</v>
      </c>
      <c r="G38" s="108" t="s">
        <v>39</v>
      </c>
      <c r="H38" s="108" t="s">
        <v>40</v>
      </c>
      <c r="I38" s="108" t="s">
        <v>41</v>
      </c>
      <c r="J38" s="108" t="s">
        <v>42</v>
      </c>
      <c r="K38" s="108" t="s">
        <v>43</v>
      </c>
      <c r="L38" s="108">
        <v>1</v>
      </c>
      <c r="N38" s="108">
        <v>4</v>
      </c>
      <c r="O38" s="108">
        <v>0.95</v>
      </c>
      <c r="P38" s="108">
        <v>1</v>
      </c>
      <c r="Q38" s="110">
        <f t="shared" si="4"/>
        <v>0.97499999999999998</v>
      </c>
      <c r="R38" s="108">
        <v>10.1</v>
      </c>
      <c r="S38" s="108">
        <v>122</v>
      </c>
      <c r="T38" s="124">
        <f t="shared" si="3"/>
        <v>27</v>
      </c>
      <c r="U38" s="108">
        <v>380</v>
      </c>
      <c r="V38" s="124">
        <f t="shared" si="5"/>
        <v>2565</v>
      </c>
      <c r="W38" s="108">
        <v>1</v>
      </c>
      <c r="X38" s="108" t="s">
        <v>63</v>
      </c>
      <c r="Y38" s="108" t="s">
        <v>46</v>
      </c>
      <c r="Z38" s="108" t="s">
        <v>45</v>
      </c>
      <c r="AA38" s="108" t="s">
        <v>161</v>
      </c>
      <c r="AB38" s="108" t="s">
        <v>164</v>
      </c>
    </row>
    <row r="39" spans="1:28">
      <c r="A39" s="108" t="s">
        <v>55</v>
      </c>
      <c r="B39" s="108" t="s">
        <v>181</v>
      </c>
      <c r="C39" s="108">
        <v>2020</v>
      </c>
      <c r="D39" s="109" t="s">
        <v>182</v>
      </c>
      <c r="E39" s="108" t="s">
        <v>199</v>
      </c>
      <c r="F39" s="108" t="s">
        <v>200</v>
      </c>
      <c r="G39" s="108" t="s">
        <v>39</v>
      </c>
      <c r="H39" s="108" t="s">
        <v>40</v>
      </c>
      <c r="I39" s="108" t="s">
        <v>41</v>
      </c>
      <c r="J39" s="108" t="s">
        <v>42</v>
      </c>
      <c r="K39" s="108" t="s">
        <v>43</v>
      </c>
      <c r="L39" s="108">
        <v>2</v>
      </c>
      <c r="N39" s="108">
        <v>4</v>
      </c>
      <c r="O39" s="108">
        <v>1.2</v>
      </c>
      <c r="P39" s="108">
        <v>1.25</v>
      </c>
      <c r="Q39" s="110">
        <f t="shared" si="4"/>
        <v>1.2250000000000001</v>
      </c>
      <c r="R39" s="108">
        <v>9.8000000000000007</v>
      </c>
      <c r="S39" s="108">
        <v>120</v>
      </c>
      <c r="T39" s="124">
        <f t="shared" si="3"/>
        <v>30</v>
      </c>
      <c r="U39" s="108">
        <v>380</v>
      </c>
      <c r="V39" s="124">
        <f t="shared" si="5"/>
        <v>2850</v>
      </c>
      <c r="W39" s="108">
        <v>1</v>
      </c>
      <c r="X39" s="108" t="s">
        <v>63</v>
      </c>
      <c r="Y39" s="108" t="s">
        <v>46</v>
      </c>
      <c r="Z39" s="108" t="s">
        <v>45</v>
      </c>
      <c r="AA39" s="108" t="s">
        <v>161</v>
      </c>
      <c r="AB39" s="108" t="s">
        <v>164</v>
      </c>
    </row>
    <row r="40" spans="1:28">
      <c r="A40" s="108" t="s">
        <v>55</v>
      </c>
      <c r="B40" s="108" t="s">
        <v>181</v>
      </c>
      <c r="C40" s="108">
        <v>2020</v>
      </c>
      <c r="D40" s="109" t="s">
        <v>182</v>
      </c>
      <c r="E40" s="108" t="s">
        <v>199</v>
      </c>
      <c r="F40" s="108" t="s">
        <v>200</v>
      </c>
      <c r="G40" s="108" t="s">
        <v>39</v>
      </c>
      <c r="H40" s="108" t="s">
        <v>40</v>
      </c>
      <c r="I40" s="108" t="s">
        <v>41</v>
      </c>
      <c r="J40" s="108" t="s">
        <v>42</v>
      </c>
      <c r="K40" s="108" t="s">
        <v>43</v>
      </c>
      <c r="L40" s="108">
        <v>3</v>
      </c>
      <c r="N40" s="108">
        <v>4</v>
      </c>
      <c r="O40" s="108">
        <v>1</v>
      </c>
      <c r="P40" s="108">
        <v>1.2</v>
      </c>
      <c r="Q40" s="110">
        <f t="shared" si="4"/>
        <v>1.1000000000000001</v>
      </c>
      <c r="R40" s="108">
        <v>9.4</v>
      </c>
      <c r="S40" s="108">
        <v>119</v>
      </c>
      <c r="T40" s="124">
        <f t="shared" si="3"/>
        <v>30</v>
      </c>
      <c r="U40" s="108">
        <v>380</v>
      </c>
      <c r="V40" s="124">
        <f t="shared" si="5"/>
        <v>2850</v>
      </c>
      <c r="W40" s="108">
        <v>1</v>
      </c>
      <c r="X40" s="108" t="s">
        <v>63</v>
      </c>
      <c r="Y40" s="108" t="s">
        <v>46</v>
      </c>
      <c r="Z40" s="108" t="s">
        <v>45</v>
      </c>
      <c r="AA40" s="108" t="s">
        <v>161</v>
      </c>
      <c r="AB40" s="108" t="s">
        <v>164</v>
      </c>
    </row>
    <row r="41" spans="1:28">
      <c r="A41" s="108" t="s">
        <v>55</v>
      </c>
      <c r="B41" s="108" t="s">
        <v>181</v>
      </c>
      <c r="C41" s="108">
        <v>2020</v>
      </c>
      <c r="D41" s="109" t="s">
        <v>182</v>
      </c>
      <c r="E41" s="108" t="s">
        <v>203</v>
      </c>
      <c r="F41" s="108" t="s">
        <v>204</v>
      </c>
      <c r="G41" s="108" t="s">
        <v>39</v>
      </c>
      <c r="H41" s="108" t="s">
        <v>40</v>
      </c>
      <c r="I41" s="108" t="s">
        <v>41</v>
      </c>
      <c r="J41" s="108" t="s">
        <v>42</v>
      </c>
      <c r="K41" s="108" t="s">
        <v>43</v>
      </c>
      <c r="L41" s="108">
        <v>1</v>
      </c>
      <c r="N41" s="108">
        <v>1</v>
      </c>
      <c r="O41" s="108">
        <v>0.8</v>
      </c>
      <c r="P41" s="108">
        <v>1</v>
      </c>
      <c r="Q41" s="110">
        <f t="shared" ref="Q41:Q49" si="6">IF(OR(O41="",P41=""),"",AVERAGE(O41,P41))</f>
        <v>0.9</v>
      </c>
      <c r="R41" s="108">
        <v>10.1</v>
      </c>
      <c r="S41" s="108">
        <v>120</v>
      </c>
      <c r="T41" s="111">
        <f t="shared" ref="T41:T49" si="7">IF(H41="","",IF(OR(H41="GREEN",H41="GK"),IF(S41&gt;=$AX$2,VLOOKUP(S41,$AX$2:$AY$10,2,1),""),IF(S41&gt;=$AZ$2,VLOOKUP(S41,$AZ$2:$BA$10,2,1),"")))</f>
        <v>30</v>
      </c>
      <c r="U41" s="108">
        <v>97</v>
      </c>
      <c r="V41" s="111">
        <f t="shared" ref="V41:V49" si="8">IF(OR(N41="",U41="",T41=""),"",U41/N41*T41)</f>
        <v>2910</v>
      </c>
      <c r="W41" s="108">
        <v>1</v>
      </c>
      <c r="X41" s="108" t="s">
        <v>63</v>
      </c>
      <c r="Y41" s="108" t="s">
        <v>46</v>
      </c>
      <c r="Z41" s="108" t="s">
        <v>45</v>
      </c>
      <c r="AA41" s="108" t="s">
        <v>161</v>
      </c>
      <c r="AB41" s="108" t="s">
        <v>164</v>
      </c>
    </row>
    <row r="42" spans="1:28">
      <c r="A42" s="108" t="s">
        <v>55</v>
      </c>
      <c r="B42" s="108" t="s">
        <v>181</v>
      </c>
      <c r="C42" s="108">
        <v>2020</v>
      </c>
      <c r="D42" s="109" t="s">
        <v>182</v>
      </c>
      <c r="E42" s="108" t="s">
        <v>203</v>
      </c>
      <c r="F42" s="108" t="s">
        <v>204</v>
      </c>
      <c r="G42" s="108" t="s">
        <v>39</v>
      </c>
      <c r="H42" s="108" t="s">
        <v>40</v>
      </c>
      <c r="I42" s="108" t="s">
        <v>41</v>
      </c>
      <c r="J42" s="108" t="s">
        <v>42</v>
      </c>
      <c r="K42" s="108" t="s">
        <v>43</v>
      </c>
      <c r="L42" s="108">
        <v>2</v>
      </c>
      <c r="N42" s="108">
        <v>1</v>
      </c>
      <c r="O42" s="108">
        <v>1</v>
      </c>
      <c r="P42" s="108">
        <v>0.95</v>
      </c>
      <c r="Q42" s="110">
        <f t="shared" si="6"/>
        <v>0.97499999999999998</v>
      </c>
      <c r="R42" s="108">
        <v>9.6999999999999993</v>
      </c>
      <c r="S42" s="108">
        <v>122</v>
      </c>
      <c r="T42" s="111">
        <f t="shared" si="7"/>
        <v>27</v>
      </c>
      <c r="U42" s="108">
        <v>97</v>
      </c>
      <c r="V42" s="111">
        <f t="shared" si="8"/>
        <v>2619</v>
      </c>
      <c r="W42" s="108">
        <v>1</v>
      </c>
      <c r="X42" s="108" t="s">
        <v>63</v>
      </c>
      <c r="Y42" s="108" t="s">
        <v>46</v>
      </c>
      <c r="Z42" s="108" t="s">
        <v>45</v>
      </c>
      <c r="AA42" s="108" t="s">
        <v>161</v>
      </c>
      <c r="AB42" s="108" t="s">
        <v>164</v>
      </c>
    </row>
    <row r="43" spans="1:28">
      <c r="A43" s="108" t="s">
        <v>55</v>
      </c>
      <c r="B43" s="108" t="s">
        <v>181</v>
      </c>
      <c r="C43" s="108">
        <v>2020</v>
      </c>
      <c r="D43" s="109" t="s">
        <v>182</v>
      </c>
      <c r="E43" s="108" t="s">
        <v>203</v>
      </c>
      <c r="F43" s="108" t="s">
        <v>204</v>
      </c>
      <c r="G43" s="108" t="s">
        <v>39</v>
      </c>
      <c r="H43" s="108" t="s">
        <v>40</v>
      </c>
      <c r="I43" s="108" t="s">
        <v>41</v>
      </c>
      <c r="J43" s="108" t="s">
        <v>42</v>
      </c>
      <c r="K43" s="108" t="s">
        <v>43</v>
      </c>
      <c r="L43" s="108">
        <v>3</v>
      </c>
      <c r="N43" s="108">
        <v>1</v>
      </c>
      <c r="O43" s="108">
        <v>1.1499999999999999</v>
      </c>
      <c r="P43" s="108">
        <v>1.2</v>
      </c>
      <c r="Q43" s="110">
        <f t="shared" si="6"/>
        <v>1.1749999999999998</v>
      </c>
      <c r="R43" s="108">
        <v>9.5</v>
      </c>
      <c r="S43" s="108">
        <v>122</v>
      </c>
      <c r="T43" s="111">
        <f t="shared" si="7"/>
        <v>27</v>
      </c>
      <c r="U43" s="108">
        <v>97</v>
      </c>
      <c r="V43" s="111">
        <f t="shared" si="8"/>
        <v>2619</v>
      </c>
      <c r="W43" s="108">
        <v>1</v>
      </c>
      <c r="X43" s="108" t="s">
        <v>63</v>
      </c>
      <c r="Y43" s="108" t="s">
        <v>46</v>
      </c>
      <c r="Z43" s="108" t="s">
        <v>45</v>
      </c>
      <c r="AA43" s="108" t="s">
        <v>161</v>
      </c>
      <c r="AB43" s="108" t="s">
        <v>164</v>
      </c>
    </row>
    <row r="44" spans="1:28">
      <c r="A44" s="108" t="s">
        <v>55</v>
      </c>
      <c r="B44" s="108" t="s">
        <v>181</v>
      </c>
      <c r="C44" s="108">
        <v>2020</v>
      </c>
      <c r="D44" s="109" t="s">
        <v>182</v>
      </c>
      <c r="E44" s="108" t="s">
        <v>210</v>
      </c>
      <c r="F44" s="108" t="s">
        <v>211</v>
      </c>
      <c r="G44" s="108" t="s">
        <v>39</v>
      </c>
      <c r="H44" s="108" t="s">
        <v>40</v>
      </c>
      <c r="I44" s="108" t="s">
        <v>41</v>
      </c>
      <c r="J44" s="108" t="s">
        <v>42</v>
      </c>
      <c r="K44" s="108" t="s">
        <v>43</v>
      </c>
      <c r="L44" s="108">
        <v>1</v>
      </c>
      <c r="N44" s="108">
        <v>5</v>
      </c>
      <c r="O44" s="108">
        <v>1</v>
      </c>
      <c r="P44" s="108">
        <v>1.2</v>
      </c>
      <c r="Q44" s="110">
        <f t="shared" si="6"/>
        <v>1.1000000000000001</v>
      </c>
      <c r="R44" s="108">
        <v>10.3</v>
      </c>
      <c r="S44" s="108">
        <v>114</v>
      </c>
      <c r="T44" s="111">
        <f t="shared" si="7"/>
        <v>30</v>
      </c>
      <c r="U44" s="108">
        <v>377</v>
      </c>
      <c r="V44" s="111">
        <f t="shared" si="8"/>
        <v>2262</v>
      </c>
      <c r="W44" s="108">
        <v>1</v>
      </c>
      <c r="X44" s="108" t="s">
        <v>63</v>
      </c>
      <c r="Y44" s="108" t="s">
        <v>46</v>
      </c>
      <c r="Z44" s="108" t="s">
        <v>45</v>
      </c>
      <c r="AA44" s="108" t="s">
        <v>161</v>
      </c>
      <c r="AB44" s="108" t="s">
        <v>164</v>
      </c>
    </row>
    <row r="45" spans="1:28">
      <c r="A45" s="108" t="s">
        <v>55</v>
      </c>
      <c r="B45" s="108" t="s">
        <v>181</v>
      </c>
      <c r="C45" s="108">
        <v>2020</v>
      </c>
      <c r="D45" s="109" t="s">
        <v>182</v>
      </c>
      <c r="E45" s="108" t="s">
        <v>210</v>
      </c>
      <c r="F45" s="108" t="s">
        <v>211</v>
      </c>
      <c r="G45" s="108" t="s">
        <v>39</v>
      </c>
      <c r="H45" s="108" t="s">
        <v>40</v>
      </c>
      <c r="I45" s="108" t="s">
        <v>41</v>
      </c>
      <c r="J45" s="108" t="s">
        <v>42</v>
      </c>
      <c r="K45" s="108" t="s">
        <v>43</v>
      </c>
      <c r="L45" s="108">
        <v>2</v>
      </c>
      <c r="N45" s="108">
        <v>5</v>
      </c>
      <c r="O45" s="108">
        <v>0.95</v>
      </c>
      <c r="P45" s="108">
        <v>1</v>
      </c>
      <c r="Q45" s="110">
        <f t="shared" si="6"/>
        <v>0.97499999999999998</v>
      </c>
      <c r="R45" s="108">
        <v>10</v>
      </c>
      <c r="S45" s="108">
        <v>112</v>
      </c>
      <c r="T45" s="111">
        <f t="shared" si="7"/>
        <v>33</v>
      </c>
      <c r="U45" s="108">
        <v>377</v>
      </c>
      <c r="V45" s="111">
        <f t="shared" si="8"/>
        <v>2488.2000000000003</v>
      </c>
      <c r="W45" s="108">
        <v>1</v>
      </c>
      <c r="X45" s="108" t="s">
        <v>63</v>
      </c>
      <c r="Y45" s="108" t="s">
        <v>46</v>
      </c>
      <c r="Z45" s="108" t="s">
        <v>45</v>
      </c>
      <c r="AA45" s="108" t="s">
        <v>161</v>
      </c>
      <c r="AB45" s="108" t="s">
        <v>164</v>
      </c>
    </row>
    <row r="46" spans="1:28">
      <c r="A46" s="108" t="s">
        <v>55</v>
      </c>
      <c r="B46" s="108" t="s">
        <v>181</v>
      </c>
      <c r="C46" s="108">
        <v>2020</v>
      </c>
      <c r="D46" s="109" t="s">
        <v>182</v>
      </c>
      <c r="E46" s="108" t="s">
        <v>210</v>
      </c>
      <c r="F46" s="108" t="s">
        <v>211</v>
      </c>
      <c r="G46" s="108" t="s">
        <v>39</v>
      </c>
      <c r="H46" s="108" t="s">
        <v>40</v>
      </c>
      <c r="I46" s="108" t="s">
        <v>41</v>
      </c>
      <c r="J46" s="108" t="s">
        <v>42</v>
      </c>
      <c r="K46" s="108" t="s">
        <v>43</v>
      </c>
      <c r="L46" s="108">
        <v>3</v>
      </c>
      <c r="N46" s="108">
        <v>5</v>
      </c>
      <c r="O46" s="108">
        <v>0.8</v>
      </c>
      <c r="P46" s="108">
        <v>0.75</v>
      </c>
      <c r="Q46" s="110">
        <f t="shared" si="6"/>
        <v>0.77500000000000002</v>
      </c>
      <c r="R46" s="108">
        <v>11.2</v>
      </c>
      <c r="S46" s="108">
        <v>112</v>
      </c>
      <c r="T46" s="111">
        <f t="shared" si="7"/>
        <v>33</v>
      </c>
      <c r="U46" s="108">
        <v>377</v>
      </c>
      <c r="V46" s="111">
        <f t="shared" si="8"/>
        <v>2488.2000000000003</v>
      </c>
      <c r="W46" s="108">
        <v>1</v>
      </c>
      <c r="X46" s="108" t="s">
        <v>63</v>
      </c>
      <c r="Y46" s="108" t="s">
        <v>46</v>
      </c>
      <c r="Z46" s="108" t="s">
        <v>45</v>
      </c>
      <c r="AA46" s="108" t="s">
        <v>161</v>
      </c>
      <c r="AB46" s="108" t="s">
        <v>164</v>
      </c>
    </row>
    <row r="47" spans="1:28">
      <c r="A47" s="108" t="s">
        <v>55</v>
      </c>
      <c r="B47" s="108" t="s">
        <v>181</v>
      </c>
      <c r="C47" s="108">
        <v>2020</v>
      </c>
      <c r="D47" s="109" t="s">
        <v>182</v>
      </c>
      <c r="E47" s="108" t="s">
        <v>210</v>
      </c>
      <c r="F47" s="108" t="s">
        <v>211</v>
      </c>
      <c r="G47" s="108" t="s">
        <v>39</v>
      </c>
      <c r="H47" s="108" t="s">
        <v>40</v>
      </c>
      <c r="I47" s="108" t="s">
        <v>41</v>
      </c>
      <c r="J47" s="108" t="s">
        <v>42</v>
      </c>
      <c r="K47" s="108" t="s">
        <v>43</v>
      </c>
      <c r="L47" s="108">
        <v>1</v>
      </c>
      <c r="N47" s="108">
        <v>1</v>
      </c>
      <c r="O47" s="108">
        <v>1.3</v>
      </c>
      <c r="P47" s="108">
        <v>1</v>
      </c>
      <c r="Q47" s="110">
        <f t="shared" si="6"/>
        <v>1.1499999999999999</v>
      </c>
      <c r="R47" s="108">
        <v>11</v>
      </c>
      <c r="S47" s="108">
        <v>129</v>
      </c>
      <c r="T47" s="111">
        <f t="shared" si="7"/>
        <v>25</v>
      </c>
      <c r="U47" s="51">
        <v>89</v>
      </c>
      <c r="V47" s="111">
        <f t="shared" si="8"/>
        <v>2225</v>
      </c>
      <c r="W47" s="108">
        <v>1</v>
      </c>
      <c r="X47" s="108" t="s">
        <v>63</v>
      </c>
      <c r="Y47" s="108" t="s">
        <v>46</v>
      </c>
      <c r="Z47" s="108" t="s">
        <v>45</v>
      </c>
      <c r="AA47" s="108" t="s">
        <v>161</v>
      </c>
      <c r="AB47" s="108" t="s">
        <v>164</v>
      </c>
    </row>
    <row r="48" spans="1:28">
      <c r="A48" s="108" t="s">
        <v>55</v>
      </c>
      <c r="B48" s="108" t="s">
        <v>181</v>
      </c>
      <c r="C48" s="108">
        <v>2020</v>
      </c>
      <c r="D48" s="109" t="s">
        <v>182</v>
      </c>
      <c r="E48" s="108" t="s">
        <v>210</v>
      </c>
      <c r="F48" s="108" t="s">
        <v>211</v>
      </c>
      <c r="G48" s="108" t="s">
        <v>39</v>
      </c>
      <c r="H48" s="108" t="s">
        <v>40</v>
      </c>
      <c r="I48" s="108" t="s">
        <v>41</v>
      </c>
      <c r="J48" s="108" t="s">
        <v>42</v>
      </c>
      <c r="K48" s="108" t="s">
        <v>43</v>
      </c>
      <c r="L48" s="108">
        <v>2</v>
      </c>
      <c r="N48" s="108">
        <v>1</v>
      </c>
      <c r="O48" s="108">
        <v>1.4</v>
      </c>
      <c r="P48" s="108">
        <v>1.2</v>
      </c>
      <c r="Q48" s="110">
        <f t="shared" si="6"/>
        <v>1.2999999999999998</v>
      </c>
      <c r="R48" s="108">
        <v>10.4</v>
      </c>
      <c r="S48" s="108">
        <v>127</v>
      </c>
      <c r="T48" s="111">
        <f t="shared" si="7"/>
        <v>27</v>
      </c>
      <c r="U48" s="51">
        <v>89</v>
      </c>
      <c r="V48" s="111">
        <f t="shared" si="8"/>
        <v>2403</v>
      </c>
      <c r="W48" s="108">
        <v>1</v>
      </c>
      <c r="X48" s="108" t="s">
        <v>63</v>
      </c>
      <c r="Y48" s="108" t="s">
        <v>46</v>
      </c>
      <c r="Z48" s="108" t="s">
        <v>45</v>
      </c>
      <c r="AA48" s="108" t="s">
        <v>161</v>
      </c>
      <c r="AB48" s="108" t="s">
        <v>164</v>
      </c>
    </row>
    <row r="49" spans="1:28">
      <c r="A49" s="108" t="s">
        <v>55</v>
      </c>
      <c r="B49" s="108" t="s">
        <v>181</v>
      </c>
      <c r="C49" s="108">
        <v>2020</v>
      </c>
      <c r="D49" s="109" t="s">
        <v>182</v>
      </c>
      <c r="E49" s="108" t="s">
        <v>210</v>
      </c>
      <c r="F49" s="108" t="s">
        <v>211</v>
      </c>
      <c r="G49" s="108" t="s">
        <v>39</v>
      </c>
      <c r="H49" s="108" t="s">
        <v>40</v>
      </c>
      <c r="I49" s="108" t="s">
        <v>41</v>
      </c>
      <c r="J49" s="108" t="s">
        <v>42</v>
      </c>
      <c r="K49" s="108" t="s">
        <v>43</v>
      </c>
      <c r="L49" s="108">
        <v>3</v>
      </c>
      <c r="N49" s="108">
        <v>1</v>
      </c>
      <c r="O49" s="108">
        <v>1.25</v>
      </c>
      <c r="P49" s="108">
        <v>1.1000000000000001</v>
      </c>
      <c r="Q49" s="110">
        <f t="shared" si="6"/>
        <v>1.175</v>
      </c>
      <c r="R49" s="108">
        <v>9.6</v>
      </c>
      <c r="S49" s="108">
        <v>127</v>
      </c>
      <c r="T49" s="111">
        <f t="shared" si="7"/>
        <v>27</v>
      </c>
      <c r="U49" s="51">
        <v>89</v>
      </c>
      <c r="V49" s="111">
        <f t="shared" si="8"/>
        <v>2403</v>
      </c>
      <c r="W49" s="108">
        <v>1</v>
      </c>
      <c r="X49" s="108" t="s">
        <v>63</v>
      </c>
      <c r="Y49" s="108" t="s">
        <v>46</v>
      </c>
      <c r="Z49" s="108" t="s">
        <v>45</v>
      </c>
      <c r="AA49" s="108" t="s">
        <v>161</v>
      </c>
      <c r="AB49" s="108" t="s">
        <v>164</v>
      </c>
    </row>
  </sheetData>
  <autoFilter ref="A1:AB49" xr:uid="{00000000-0009-0000-0000-000001000000}"/>
  <phoneticPr fontId="3"/>
  <dataValidations count="19">
    <dataValidation type="list" allowBlank="1" showInputMessage="1" showErrorMessage="1" sqref="Y50:AA166" xr:uid="{CE7EF8DC-9B3A-4DB9-AA16-2A91F61C0209}">
      <formula1>$AV$2:$AV$16</formula1>
    </dataValidation>
    <dataValidation type="list" allowBlank="1" showInputMessage="1" showErrorMessage="1" sqref="J50:J166" xr:uid="{E652A55D-3A7B-449A-932E-FDD39A93C2D2}">
      <formula1>$AP$2:$AP$19</formula1>
    </dataValidation>
    <dataValidation type="list" allowBlank="1" showInputMessage="1" showErrorMessage="1" sqref="F50:F166" xr:uid="{084F4F64-14A6-4BD7-9DDD-F0AC8254EF21}">
      <formula1>$AH$2:$AH$9</formula1>
    </dataValidation>
    <dataValidation type="list" allowBlank="1" showInputMessage="1" showErrorMessage="1" sqref="E50:E166" xr:uid="{F69BDE80-F1E7-4102-9291-2C78CCEC3EBE}">
      <formula1>$AG$2:$AG$10</formula1>
    </dataValidation>
    <dataValidation type="list" allowBlank="1" showInputMessage="1" showErrorMessage="1" sqref="A50:A166" xr:uid="{D1B8E14F-B2E8-4E3E-A061-7D5148F25956}">
      <formula1>$AE$2:$AE$16</formula1>
    </dataValidation>
    <dataValidation type="list" allowBlank="1" showInputMessage="1" showErrorMessage="1" sqref="K41:K49" xr:uid="{BB119EFA-0998-4365-96EC-64BACE68F509}">
      <formula1>$AR$2:$AR$25</formula1>
    </dataValidation>
    <dataValidation type="list" allowBlank="1" showInputMessage="1" showErrorMessage="1" sqref="K50:K166" xr:uid="{780C4364-8DE3-43B3-92DD-0CF68E4959C1}">
      <formula1>$AR$2:$AR$19</formula1>
    </dataValidation>
    <dataValidation type="list" allowBlank="1" showInputMessage="1" showErrorMessage="1" sqref="A3:A7 A9:A13 A15:A20 A22:A31 A33:A37 A39:A49" xr:uid="{72A0D689-81F1-4282-9AE1-408696CE9B73}">
      <formula1>$AE$2:$AE$19</formula1>
    </dataValidation>
    <dataValidation type="list" allowBlank="1" showInputMessage="1" showErrorMessage="1" sqref="K2:K40" xr:uid="{7A8AB386-B0E6-419A-A227-62416F655C45}">
      <formula1>$AR$2:$AR$26</formula1>
    </dataValidation>
    <dataValidation allowBlank="1" showInputMessage="1" showErrorMessage="1" sqref="B3:B37" xr:uid="{EF8868B2-D4AC-4D9E-832C-07E80F130D19}"/>
    <dataValidation type="decimal" allowBlank="1" showInputMessage="1" showErrorMessage="1" error="硬度を正しく入力して下さい。" sqref="O2:P166" xr:uid="{C55A9549-E048-49FF-A1C0-A4FDF32D9DAD}">
      <formula1>0</formula1>
      <formula2>7</formula2>
    </dataValidation>
    <dataValidation type="list" allowBlank="1" showInputMessage="1" showErrorMessage="1" sqref="X2:X166" xr:uid="{FAE86A57-B684-4A04-8E46-D5A5098C98AB}">
      <formula1>$AT$2:$AT$3</formula1>
    </dataValidation>
    <dataValidation type="list" allowBlank="1" showInputMessage="1" showErrorMessage="1" sqref="G2:G166" xr:uid="{B8E7538C-B2BE-4951-B06A-665E311A2763}">
      <formula1>$AJ$2:$AJ$4</formula1>
    </dataValidation>
    <dataValidation type="list" allowBlank="1" showInputMessage="1" showErrorMessage="1" sqref="F2:F49" xr:uid="{0DCE1573-B161-4887-8EB3-2F4EF2DFA440}">
      <formula1>$AH$2:$AH$11</formula1>
    </dataValidation>
    <dataValidation type="list" allowBlank="1" showInputMessage="1" showErrorMessage="1" sqref="Y2:AA49" xr:uid="{B520C500-4731-4178-AB8B-84BB588ED8E6}">
      <formula1>$AV$2:$AV$23</formula1>
    </dataValidation>
    <dataValidation type="list" allowBlank="1" showInputMessage="1" showErrorMessage="1" sqref="E2:E49" xr:uid="{B375F178-E35E-4295-9CE1-AC4CA6A6E126}">
      <formula1>$AG$2:$AG$11</formula1>
    </dataValidation>
    <dataValidation type="list" allowBlank="1" showInputMessage="1" showErrorMessage="1" sqref="J2:J49" xr:uid="{F0C934C7-17E5-490C-BEF9-9A0BEAA15A6D}">
      <formula1>$AP$2:$AP$27</formula1>
    </dataValidation>
    <dataValidation type="list" allowBlank="1" showInputMessage="1" showErrorMessage="1" sqref="H2:H1107" xr:uid="{75A59FA1-54E0-4F61-AA3D-3D9B15AB2B4E}">
      <formula1>$AL$2:$AL$9</formula1>
    </dataValidation>
    <dataValidation type="list" allowBlank="1" showInputMessage="1" showErrorMessage="1" sqref="I2:I166" xr:uid="{1522E510-1BA2-4BE7-8F48-B9BC0DC791CC}">
      <formula1>$AN$5:$AN$6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94BA5-82CE-40F9-9FAB-39F6A6C1DC8B}">
  <dimension ref="A1:BA154"/>
  <sheetViews>
    <sheetView zoomScale="85" zoomScaleNormal="85" workbookViewId="0">
      <pane ySplit="1" topLeftCell="A2" activePane="bottomLeft" state="frozen"/>
      <selection pane="bottomLeft" activeCell="A2" sqref="A2"/>
    </sheetView>
  </sheetViews>
  <sheetFormatPr defaultColWidth="9" defaultRowHeight="13.5"/>
  <cols>
    <col min="1" max="3" width="9" style="10"/>
    <col min="4" max="4" width="10.5" style="10" customWidth="1"/>
    <col min="5" max="13" width="9" style="10"/>
    <col min="14" max="14" width="9.5" style="10" customWidth="1"/>
    <col min="15" max="16" width="9" style="10"/>
    <col min="17" max="17" width="9" style="24"/>
    <col min="18" max="19" width="9" style="10"/>
    <col min="20" max="20" width="9" style="24"/>
    <col min="21" max="21" width="9" style="10"/>
    <col min="22" max="22" width="9" style="24"/>
    <col min="23" max="32" width="9" style="10"/>
    <col min="33" max="33" width="15.875" style="10" customWidth="1"/>
    <col min="34" max="34" width="11.375" style="10" customWidth="1"/>
    <col min="35" max="259" width="9" style="10"/>
    <col min="260" max="260" width="10.5" style="10" customWidth="1"/>
    <col min="261" max="269" width="9" style="10"/>
    <col min="270" max="270" width="9.5" style="10" customWidth="1"/>
    <col min="271" max="288" width="9" style="10"/>
    <col min="289" max="289" width="15.875" style="10" customWidth="1"/>
    <col min="290" max="290" width="11.375" style="10" customWidth="1"/>
    <col min="291" max="515" width="9" style="10"/>
    <col min="516" max="516" width="10.5" style="10" customWidth="1"/>
    <col min="517" max="525" width="9" style="10"/>
    <col min="526" max="526" width="9.5" style="10" customWidth="1"/>
    <col min="527" max="544" width="9" style="10"/>
    <col min="545" max="545" width="15.875" style="10" customWidth="1"/>
    <col min="546" max="546" width="11.375" style="10" customWidth="1"/>
    <col min="547" max="771" width="9" style="10"/>
    <col min="772" max="772" width="10.5" style="10" customWidth="1"/>
    <col min="773" max="781" width="9" style="10"/>
    <col min="782" max="782" width="9.5" style="10" customWidth="1"/>
    <col min="783" max="800" width="9" style="10"/>
    <col min="801" max="801" width="15.875" style="10" customWidth="1"/>
    <col min="802" max="802" width="11.375" style="10" customWidth="1"/>
    <col min="803" max="1027" width="9" style="10"/>
    <col min="1028" max="1028" width="10.5" style="10" customWidth="1"/>
    <col min="1029" max="1037" width="9" style="10"/>
    <col min="1038" max="1038" width="9.5" style="10" customWidth="1"/>
    <col min="1039" max="1056" width="9" style="10"/>
    <col min="1057" max="1057" width="15.875" style="10" customWidth="1"/>
    <col min="1058" max="1058" width="11.375" style="10" customWidth="1"/>
    <col min="1059" max="1283" width="9" style="10"/>
    <col min="1284" max="1284" width="10.5" style="10" customWidth="1"/>
    <col min="1285" max="1293" width="9" style="10"/>
    <col min="1294" max="1294" width="9.5" style="10" customWidth="1"/>
    <col min="1295" max="1312" width="9" style="10"/>
    <col min="1313" max="1313" width="15.875" style="10" customWidth="1"/>
    <col min="1314" max="1314" width="11.375" style="10" customWidth="1"/>
    <col min="1315" max="1539" width="9" style="10"/>
    <col min="1540" max="1540" width="10.5" style="10" customWidth="1"/>
    <col min="1541" max="1549" width="9" style="10"/>
    <col min="1550" max="1550" width="9.5" style="10" customWidth="1"/>
    <col min="1551" max="1568" width="9" style="10"/>
    <col min="1569" max="1569" width="15.875" style="10" customWidth="1"/>
    <col min="1570" max="1570" width="11.375" style="10" customWidth="1"/>
    <col min="1571" max="1795" width="9" style="10"/>
    <col min="1796" max="1796" width="10.5" style="10" customWidth="1"/>
    <col min="1797" max="1805" width="9" style="10"/>
    <col min="1806" max="1806" width="9.5" style="10" customWidth="1"/>
    <col min="1807" max="1824" width="9" style="10"/>
    <col min="1825" max="1825" width="15.875" style="10" customWidth="1"/>
    <col min="1826" max="1826" width="11.375" style="10" customWidth="1"/>
    <col min="1827" max="2051" width="9" style="10"/>
    <col min="2052" max="2052" width="10.5" style="10" customWidth="1"/>
    <col min="2053" max="2061" width="9" style="10"/>
    <col min="2062" max="2062" width="9.5" style="10" customWidth="1"/>
    <col min="2063" max="2080" width="9" style="10"/>
    <col min="2081" max="2081" width="15.875" style="10" customWidth="1"/>
    <col min="2082" max="2082" width="11.375" style="10" customWidth="1"/>
    <col min="2083" max="2307" width="9" style="10"/>
    <col min="2308" max="2308" width="10.5" style="10" customWidth="1"/>
    <col min="2309" max="2317" width="9" style="10"/>
    <col min="2318" max="2318" width="9.5" style="10" customWidth="1"/>
    <col min="2319" max="2336" width="9" style="10"/>
    <col min="2337" max="2337" width="15.875" style="10" customWidth="1"/>
    <col min="2338" max="2338" width="11.375" style="10" customWidth="1"/>
    <col min="2339" max="2563" width="9" style="10"/>
    <col min="2564" max="2564" width="10.5" style="10" customWidth="1"/>
    <col min="2565" max="2573" width="9" style="10"/>
    <col min="2574" max="2574" width="9.5" style="10" customWidth="1"/>
    <col min="2575" max="2592" width="9" style="10"/>
    <col min="2593" max="2593" width="15.875" style="10" customWidth="1"/>
    <col min="2594" max="2594" width="11.375" style="10" customWidth="1"/>
    <col min="2595" max="2819" width="9" style="10"/>
    <col min="2820" max="2820" width="10.5" style="10" customWidth="1"/>
    <col min="2821" max="2829" width="9" style="10"/>
    <col min="2830" max="2830" width="9.5" style="10" customWidth="1"/>
    <col min="2831" max="2848" width="9" style="10"/>
    <col min="2849" max="2849" width="15.875" style="10" customWidth="1"/>
    <col min="2850" max="2850" width="11.375" style="10" customWidth="1"/>
    <col min="2851" max="3075" width="9" style="10"/>
    <col min="3076" max="3076" width="10.5" style="10" customWidth="1"/>
    <col min="3077" max="3085" width="9" style="10"/>
    <col min="3086" max="3086" width="9.5" style="10" customWidth="1"/>
    <col min="3087" max="3104" width="9" style="10"/>
    <col min="3105" max="3105" width="15.875" style="10" customWidth="1"/>
    <col min="3106" max="3106" width="11.375" style="10" customWidth="1"/>
    <col min="3107" max="3331" width="9" style="10"/>
    <col min="3332" max="3332" width="10.5" style="10" customWidth="1"/>
    <col min="3333" max="3341" width="9" style="10"/>
    <col min="3342" max="3342" width="9.5" style="10" customWidth="1"/>
    <col min="3343" max="3360" width="9" style="10"/>
    <col min="3361" max="3361" width="15.875" style="10" customWidth="1"/>
    <col min="3362" max="3362" width="11.375" style="10" customWidth="1"/>
    <col min="3363" max="3587" width="9" style="10"/>
    <col min="3588" max="3588" width="10.5" style="10" customWidth="1"/>
    <col min="3589" max="3597" width="9" style="10"/>
    <col min="3598" max="3598" width="9.5" style="10" customWidth="1"/>
    <col min="3599" max="3616" width="9" style="10"/>
    <col min="3617" max="3617" width="15.875" style="10" customWidth="1"/>
    <col min="3618" max="3618" width="11.375" style="10" customWidth="1"/>
    <col min="3619" max="3843" width="9" style="10"/>
    <col min="3844" max="3844" width="10.5" style="10" customWidth="1"/>
    <col min="3845" max="3853" width="9" style="10"/>
    <col min="3854" max="3854" width="9.5" style="10" customWidth="1"/>
    <col min="3855" max="3872" width="9" style="10"/>
    <col min="3873" max="3873" width="15.875" style="10" customWidth="1"/>
    <col min="3874" max="3874" width="11.375" style="10" customWidth="1"/>
    <col min="3875" max="4099" width="9" style="10"/>
    <col min="4100" max="4100" width="10.5" style="10" customWidth="1"/>
    <col min="4101" max="4109" width="9" style="10"/>
    <col min="4110" max="4110" width="9.5" style="10" customWidth="1"/>
    <col min="4111" max="4128" width="9" style="10"/>
    <col min="4129" max="4129" width="15.875" style="10" customWidth="1"/>
    <col min="4130" max="4130" width="11.375" style="10" customWidth="1"/>
    <col min="4131" max="4355" width="9" style="10"/>
    <col min="4356" max="4356" width="10.5" style="10" customWidth="1"/>
    <col min="4357" max="4365" width="9" style="10"/>
    <col min="4366" max="4366" width="9.5" style="10" customWidth="1"/>
    <col min="4367" max="4384" width="9" style="10"/>
    <col min="4385" max="4385" width="15.875" style="10" customWidth="1"/>
    <col min="4386" max="4386" width="11.375" style="10" customWidth="1"/>
    <col min="4387" max="4611" width="9" style="10"/>
    <col min="4612" max="4612" width="10.5" style="10" customWidth="1"/>
    <col min="4613" max="4621" width="9" style="10"/>
    <col min="4622" max="4622" width="9.5" style="10" customWidth="1"/>
    <col min="4623" max="4640" width="9" style="10"/>
    <col min="4641" max="4641" width="15.875" style="10" customWidth="1"/>
    <col min="4642" max="4642" width="11.375" style="10" customWidth="1"/>
    <col min="4643" max="4867" width="9" style="10"/>
    <col min="4868" max="4868" width="10.5" style="10" customWidth="1"/>
    <col min="4869" max="4877" width="9" style="10"/>
    <col min="4878" max="4878" width="9.5" style="10" customWidth="1"/>
    <col min="4879" max="4896" width="9" style="10"/>
    <col min="4897" max="4897" width="15.875" style="10" customWidth="1"/>
    <col min="4898" max="4898" width="11.375" style="10" customWidth="1"/>
    <col min="4899" max="5123" width="9" style="10"/>
    <col min="5124" max="5124" width="10.5" style="10" customWidth="1"/>
    <col min="5125" max="5133" width="9" style="10"/>
    <col min="5134" max="5134" width="9.5" style="10" customWidth="1"/>
    <col min="5135" max="5152" width="9" style="10"/>
    <col min="5153" max="5153" width="15.875" style="10" customWidth="1"/>
    <col min="5154" max="5154" width="11.375" style="10" customWidth="1"/>
    <col min="5155" max="5379" width="9" style="10"/>
    <col min="5380" max="5380" width="10.5" style="10" customWidth="1"/>
    <col min="5381" max="5389" width="9" style="10"/>
    <col min="5390" max="5390" width="9.5" style="10" customWidth="1"/>
    <col min="5391" max="5408" width="9" style="10"/>
    <col min="5409" max="5409" width="15.875" style="10" customWidth="1"/>
    <col min="5410" max="5410" width="11.375" style="10" customWidth="1"/>
    <col min="5411" max="5635" width="9" style="10"/>
    <col min="5636" max="5636" width="10.5" style="10" customWidth="1"/>
    <col min="5637" max="5645" width="9" style="10"/>
    <col min="5646" max="5646" width="9.5" style="10" customWidth="1"/>
    <col min="5647" max="5664" width="9" style="10"/>
    <col min="5665" max="5665" width="15.875" style="10" customWidth="1"/>
    <col min="5666" max="5666" width="11.375" style="10" customWidth="1"/>
    <col min="5667" max="5891" width="9" style="10"/>
    <col min="5892" max="5892" width="10.5" style="10" customWidth="1"/>
    <col min="5893" max="5901" width="9" style="10"/>
    <col min="5902" max="5902" width="9.5" style="10" customWidth="1"/>
    <col min="5903" max="5920" width="9" style="10"/>
    <col min="5921" max="5921" width="15.875" style="10" customWidth="1"/>
    <col min="5922" max="5922" width="11.375" style="10" customWidth="1"/>
    <col min="5923" max="6147" width="9" style="10"/>
    <col min="6148" max="6148" width="10.5" style="10" customWidth="1"/>
    <col min="6149" max="6157" width="9" style="10"/>
    <col min="6158" max="6158" width="9.5" style="10" customWidth="1"/>
    <col min="6159" max="6176" width="9" style="10"/>
    <col min="6177" max="6177" width="15.875" style="10" customWidth="1"/>
    <col min="6178" max="6178" width="11.375" style="10" customWidth="1"/>
    <col min="6179" max="6403" width="9" style="10"/>
    <col min="6404" max="6404" width="10.5" style="10" customWidth="1"/>
    <col min="6405" max="6413" width="9" style="10"/>
    <col min="6414" max="6414" width="9.5" style="10" customWidth="1"/>
    <col min="6415" max="6432" width="9" style="10"/>
    <col min="6433" max="6433" width="15.875" style="10" customWidth="1"/>
    <col min="6434" max="6434" width="11.375" style="10" customWidth="1"/>
    <col min="6435" max="6659" width="9" style="10"/>
    <col min="6660" max="6660" width="10.5" style="10" customWidth="1"/>
    <col min="6661" max="6669" width="9" style="10"/>
    <col min="6670" max="6670" width="9.5" style="10" customWidth="1"/>
    <col min="6671" max="6688" width="9" style="10"/>
    <col min="6689" max="6689" width="15.875" style="10" customWidth="1"/>
    <col min="6690" max="6690" width="11.375" style="10" customWidth="1"/>
    <col min="6691" max="6915" width="9" style="10"/>
    <col min="6916" max="6916" width="10.5" style="10" customWidth="1"/>
    <col min="6917" max="6925" width="9" style="10"/>
    <col min="6926" max="6926" width="9.5" style="10" customWidth="1"/>
    <col min="6927" max="6944" width="9" style="10"/>
    <col min="6945" max="6945" width="15.875" style="10" customWidth="1"/>
    <col min="6946" max="6946" width="11.375" style="10" customWidth="1"/>
    <col min="6947" max="7171" width="9" style="10"/>
    <col min="7172" max="7172" width="10.5" style="10" customWidth="1"/>
    <col min="7173" max="7181" width="9" style="10"/>
    <col min="7182" max="7182" width="9.5" style="10" customWidth="1"/>
    <col min="7183" max="7200" width="9" style="10"/>
    <col min="7201" max="7201" width="15.875" style="10" customWidth="1"/>
    <col min="7202" max="7202" width="11.375" style="10" customWidth="1"/>
    <col min="7203" max="7427" width="9" style="10"/>
    <col min="7428" max="7428" width="10.5" style="10" customWidth="1"/>
    <col min="7429" max="7437" width="9" style="10"/>
    <col min="7438" max="7438" width="9.5" style="10" customWidth="1"/>
    <col min="7439" max="7456" width="9" style="10"/>
    <col min="7457" max="7457" width="15.875" style="10" customWidth="1"/>
    <col min="7458" max="7458" width="11.375" style="10" customWidth="1"/>
    <col min="7459" max="7683" width="9" style="10"/>
    <col min="7684" max="7684" width="10.5" style="10" customWidth="1"/>
    <col min="7685" max="7693" width="9" style="10"/>
    <col min="7694" max="7694" width="9.5" style="10" customWidth="1"/>
    <col min="7695" max="7712" width="9" style="10"/>
    <col min="7713" max="7713" width="15.875" style="10" customWidth="1"/>
    <col min="7714" max="7714" width="11.375" style="10" customWidth="1"/>
    <col min="7715" max="7939" width="9" style="10"/>
    <col min="7940" max="7940" width="10.5" style="10" customWidth="1"/>
    <col min="7941" max="7949" width="9" style="10"/>
    <col min="7950" max="7950" width="9.5" style="10" customWidth="1"/>
    <col min="7951" max="7968" width="9" style="10"/>
    <col min="7969" max="7969" width="15.875" style="10" customWidth="1"/>
    <col min="7970" max="7970" width="11.375" style="10" customWidth="1"/>
    <col min="7971" max="8195" width="9" style="10"/>
    <col min="8196" max="8196" width="10.5" style="10" customWidth="1"/>
    <col min="8197" max="8205" width="9" style="10"/>
    <col min="8206" max="8206" width="9.5" style="10" customWidth="1"/>
    <col min="8207" max="8224" width="9" style="10"/>
    <col min="8225" max="8225" width="15.875" style="10" customWidth="1"/>
    <col min="8226" max="8226" width="11.375" style="10" customWidth="1"/>
    <col min="8227" max="8451" width="9" style="10"/>
    <col min="8452" max="8452" width="10.5" style="10" customWidth="1"/>
    <col min="8453" max="8461" width="9" style="10"/>
    <col min="8462" max="8462" width="9.5" style="10" customWidth="1"/>
    <col min="8463" max="8480" width="9" style="10"/>
    <col min="8481" max="8481" width="15.875" style="10" customWidth="1"/>
    <col min="8482" max="8482" width="11.375" style="10" customWidth="1"/>
    <col min="8483" max="8707" width="9" style="10"/>
    <col min="8708" max="8708" width="10.5" style="10" customWidth="1"/>
    <col min="8709" max="8717" width="9" style="10"/>
    <col min="8718" max="8718" width="9.5" style="10" customWidth="1"/>
    <col min="8719" max="8736" width="9" style="10"/>
    <col min="8737" max="8737" width="15.875" style="10" customWidth="1"/>
    <col min="8738" max="8738" width="11.375" style="10" customWidth="1"/>
    <col min="8739" max="8963" width="9" style="10"/>
    <col min="8964" max="8964" width="10.5" style="10" customWidth="1"/>
    <col min="8965" max="8973" width="9" style="10"/>
    <col min="8974" max="8974" width="9.5" style="10" customWidth="1"/>
    <col min="8975" max="8992" width="9" style="10"/>
    <col min="8993" max="8993" width="15.875" style="10" customWidth="1"/>
    <col min="8994" max="8994" width="11.375" style="10" customWidth="1"/>
    <col min="8995" max="9219" width="9" style="10"/>
    <col min="9220" max="9220" width="10.5" style="10" customWidth="1"/>
    <col min="9221" max="9229" width="9" style="10"/>
    <col min="9230" max="9230" width="9.5" style="10" customWidth="1"/>
    <col min="9231" max="9248" width="9" style="10"/>
    <col min="9249" max="9249" width="15.875" style="10" customWidth="1"/>
    <col min="9250" max="9250" width="11.375" style="10" customWidth="1"/>
    <col min="9251" max="9475" width="9" style="10"/>
    <col min="9476" max="9476" width="10.5" style="10" customWidth="1"/>
    <col min="9477" max="9485" width="9" style="10"/>
    <col min="9486" max="9486" width="9.5" style="10" customWidth="1"/>
    <col min="9487" max="9504" width="9" style="10"/>
    <col min="9505" max="9505" width="15.875" style="10" customWidth="1"/>
    <col min="9506" max="9506" width="11.375" style="10" customWidth="1"/>
    <col min="9507" max="9731" width="9" style="10"/>
    <col min="9732" max="9732" width="10.5" style="10" customWidth="1"/>
    <col min="9733" max="9741" width="9" style="10"/>
    <col min="9742" max="9742" width="9.5" style="10" customWidth="1"/>
    <col min="9743" max="9760" width="9" style="10"/>
    <col min="9761" max="9761" width="15.875" style="10" customWidth="1"/>
    <col min="9762" max="9762" width="11.375" style="10" customWidth="1"/>
    <col min="9763" max="9987" width="9" style="10"/>
    <col min="9988" max="9988" width="10.5" style="10" customWidth="1"/>
    <col min="9989" max="9997" width="9" style="10"/>
    <col min="9998" max="9998" width="9.5" style="10" customWidth="1"/>
    <col min="9999" max="10016" width="9" style="10"/>
    <col min="10017" max="10017" width="15.875" style="10" customWidth="1"/>
    <col min="10018" max="10018" width="11.375" style="10" customWidth="1"/>
    <col min="10019" max="10243" width="9" style="10"/>
    <col min="10244" max="10244" width="10.5" style="10" customWidth="1"/>
    <col min="10245" max="10253" width="9" style="10"/>
    <col min="10254" max="10254" width="9.5" style="10" customWidth="1"/>
    <col min="10255" max="10272" width="9" style="10"/>
    <col min="10273" max="10273" width="15.875" style="10" customWidth="1"/>
    <col min="10274" max="10274" width="11.375" style="10" customWidth="1"/>
    <col min="10275" max="10499" width="9" style="10"/>
    <col min="10500" max="10500" width="10.5" style="10" customWidth="1"/>
    <col min="10501" max="10509" width="9" style="10"/>
    <col min="10510" max="10510" width="9.5" style="10" customWidth="1"/>
    <col min="10511" max="10528" width="9" style="10"/>
    <col min="10529" max="10529" width="15.875" style="10" customWidth="1"/>
    <col min="10530" max="10530" width="11.375" style="10" customWidth="1"/>
    <col min="10531" max="10755" width="9" style="10"/>
    <col min="10756" max="10756" width="10.5" style="10" customWidth="1"/>
    <col min="10757" max="10765" width="9" style="10"/>
    <col min="10766" max="10766" width="9.5" style="10" customWidth="1"/>
    <col min="10767" max="10784" width="9" style="10"/>
    <col min="10785" max="10785" width="15.875" style="10" customWidth="1"/>
    <col min="10786" max="10786" width="11.375" style="10" customWidth="1"/>
    <col min="10787" max="11011" width="9" style="10"/>
    <col min="11012" max="11012" width="10.5" style="10" customWidth="1"/>
    <col min="11013" max="11021" width="9" style="10"/>
    <col min="11022" max="11022" width="9.5" style="10" customWidth="1"/>
    <col min="11023" max="11040" width="9" style="10"/>
    <col min="11041" max="11041" width="15.875" style="10" customWidth="1"/>
    <col min="11042" max="11042" width="11.375" style="10" customWidth="1"/>
    <col min="11043" max="11267" width="9" style="10"/>
    <col min="11268" max="11268" width="10.5" style="10" customWidth="1"/>
    <col min="11269" max="11277" width="9" style="10"/>
    <col min="11278" max="11278" width="9.5" style="10" customWidth="1"/>
    <col min="11279" max="11296" width="9" style="10"/>
    <col min="11297" max="11297" width="15.875" style="10" customWidth="1"/>
    <col min="11298" max="11298" width="11.375" style="10" customWidth="1"/>
    <col min="11299" max="11523" width="9" style="10"/>
    <col min="11524" max="11524" width="10.5" style="10" customWidth="1"/>
    <col min="11525" max="11533" width="9" style="10"/>
    <col min="11534" max="11534" width="9.5" style="10" customWidth="1"/>
    <col min="11535" max="11552" width="9" style="10"/>
    <col min="11553" max="11553" width="15.875" style="10" customWidth="1"/>
    <col min="11554" max="11554" width="11.375" style="10" customWidth="1"/>
    <col min="11555" max="11779" width="9" style="10"/>
    <col min="11780" max="11780" width="10.5" style="10" customWidth="1"/>
    <col min="11781" max="11789" width="9" style="10"/>
    <col min="11790" max="11790" width="9.5" style="10" customWidth="1"/>
    <col min="11791" max="11808" width="9" style="10"/>
    <col min="11809" max="11809" width="15.875" style="10" customWidth="1"/>
    <col min="11810" max="11810" width="11.375" style="10" customWidth="1"/>
    <col min="11811" max="12035" width="9" style="10"/>
    <col min="12036" max="12036" width="10.5" style="10" customWidth="1"/>
    <col min="12037" max="12045" width="9" style="10"/>
    <col min="12046" max="12046" width="9.5" style="10" customWidth="1"/>
    <col min="12047" max="12064" width="9" style="10"/>
    <col min="12065" max="12065" width="15.875" style="10" customWidth="1"/>
    <col min="12066" max="12066" width="11.375" style="10" customWidth="1"/>
    <col min="12067" max="12291" width="9" style="10"/>
    <col min="12292" max="12292" width="10.5" style="10" customWidth="1"/>
    <col min="12293" max="12301" width="9" style="10"/>
    <col min="12302" max="12302" width="9.5" style="10" customWidth="1"/>
    <col min="12303" max="12320" width="9" style="10"/>
    <col min="12321" max="12321" width="15.875" style="10" customWidth="1"/>
    <col min="12322" max="12322" width="11.375" style="10" customWidth="1"/>
    <col min="12323" max="12547" width="9" style="10"/>
    <col min="12548" max="12548" width="10.5" style="10" customWidth="1"/>
    <col min="12549" max="12557" width="9" style="10"/>
    <col min="12558" max="12558" width="9.5" style="10" customWidth="1"/>
    <col min="12559" max="12576" width="9" style="10"/>
    <col min="12577" max="12577" width="15.875" style="10" customWidth="1"/>
    <col min="12578" max="12578" width="11.375" style="10" customWidth="1"/>
    <col min="12579" max="12803" width="9" style="10"/>
    <col min="12804" max="12804" width="10.5" style="10" customWidth="1"/>
    <col min="12805" max="12813" width="9" style="10"/>
    <col min="12814" max="12814" width="9.5" style="10" customWidth="1"/>
    <col min="12815" max="12832" width="9" style="10"/>
    <col min="12833" max="12833" width="15.875" style="10" customWidth="1"/>
    <col min="12834" max="12834" width="11.375" style="10" customWidth="1"/>
    <col min="12835" max="13059" width="9" style="10"/>
    <col min="13060" max="13060" width="10.5" style="10" customWidth="1"/>
    <col min="13061" max="13069" width="9" style="10"/>
    <col min="13070" max="13070" width="9.5" style="10" customWidth="1"/>
    <col min="13071" max="13088" width="9" style="10"/>
    <col min="13089" max="13089" width="15.875" style="10" customWidth="1"/>
    <col min="13090" max="13090" width="11.375" style="10" customWidth="1"/>
    <col min="13091" max="13315" width="9" style="10"/>
    <col min="13316" max="13316" width="10.5" style="10" customWidth="1"/>
    <col min="13317" max="13325" width="9" style="10"/>
    <col min="13326" max="13326" width="9.5" style="10" customWidth="1"/>
    <col min="13327" max="13344" width="9" style="10"/>
    <col min="13345" max="13345" width="15.875" style="10" customWidth="1"/>
    <col min="13346" max="13346" width="11.375" style="10" customWidth="1"/>
    <col min="13347" max="13571" width="9" style="10"/>
    <col min="13572" max="13572" width="10.5" style="10" customWidth="1"/>
    <col min="13573" max="13581" width="9" style="10"/>
    <col min="13582" max="13582" width="9.5" style="10" customWidth="1"/>
    <col min="13583" max="13600" width="9" style="10"/>
    <col min="13601" max="13601" width="15.875" style="10" customWidth="1"/>
    <col min="13602" max="13602" width="11.375" style="10" customWidth="1"/>
    <col min="13603" max="13827" width="9" style="10"/>
    <col min="13828" max="13828" width="10.5" style="10" customWidth="1"/>
    <col min="13829" max="13837" width="9" style="10"/>
    <col min="13838" max="13838" width="9.5" style="10" customWidth="1"/>
    <col min="13839" max="13856" width="9" style="10"/>
    <col min="13857" max="13857" width="15.875" style="10" customWidth="1"/>
    <col min="13858" max="13858" width="11.375" style="10" customWidth="1"/>
    <col min="13859" max="14083" width="9" style="10"/>
    <col min="14084" max="14084" width="10.5" style="10" customWidth="1"/>
    <col min="14085" max="14093" width="9" style="10"/>
    <col min="14094" max="14094" width="9.5" style="10" customWidth="1"/>
    <col min="14095" max="14112" width="9" style="10"/>
    <col min="14113" max="14113" width="15.875" style="10" customWidth="1"/>
    <col min="14114" max="14114" width="11.375" style="10" customWidth="1"/>
    <col min="14115" max="14339" width="9" style="10"/>
    <col min="14340" max="14340" width="10.5" style="10" customWidth="1"/>
    <col min="14341" max="14349" width="9" style="10"/>
    <col min="14350" max="14350" width="9.5" style="10" customWidth="1"/>
    <col min="14351" max="14368" width="9" style="10"/>
    <col min="14369" max="14369" width="15.875" style="10" customWidth="1"/>
    <col min="14370" max="14370" width="11.375" style="10" customWidth="1"/>
    <col min="14371" max="14595" width="9" style="10"/>
    <col min="14596" max="14596" width="10.5" style="10" customWidth="1"/>
    <col min="14597" max="14605" width="9" style="10"/>
    <col min="14606" max="14606" width="9.5" style="10" customWidth="1"/>
    <col min="14607" max="14624" width="9" style="10"/>
    <col min="14625" max="14625" width="15.875" style="10" customWidth="1"/>
    <col min="14626" max="14626" width="11.375" style="10" customWidth="1"/>
    <col min="14627" max="14851" width="9" style="10"/>
    <col min="14852" max="14852" width="10.5" style="10" customWidth="1"/>
    <col min="14853" max="14861" width="9" style="10"/>
    <col min="14862" max="14862" width="9.5" style="10" customWidth="1"/>
    <col min="14863" max="14880" width="9" style="10"/>
    <col min="14881" max="14881" width="15.875" style="10" customWidth="1"/>
    <col min="14882" max="14882" width="11.375" style="10" customWidth="1"/>
    <col min="14883" max="15107" width="9" style="10"/>
    <col min="15108" max="15108" width="10.5" style="10" customWidth="1"/>
    <col min="15109" max="15117" width="9" style="10"/>
    <col min="15118" max="15118" width="9.5" style="10" customWidth="1"/>
    <col min="15119" max="15136" width="9" style="10"/>
    <col min="15137" max="15137" width="15.875" style="10" customWidth="1"/>
    <col min="15138" max="15138" width="11.375" style="10" customWidth="1"/>
    <col min="15139" max="15363" width="9" style="10"/>
    <col min="15364" max="15364" width="10.5" style="10" customWidth="1"/>
    <col min="15365" max="15373" width="9" style="10"/>
    <col min="15374" max="15374" width="9.5" style="10" customWidth="1"/>
    <col min="15375" max="15392" width="9" style="10"/>
    <col min="15393" max="15393" width="15.875" style="10" customWidth="1"/>
    <col min="15394" max="15394" width="11.375" style="10" customWidth="1"/>
    <col min="15395" max="15619" width="9" style="10"/>
    <col min="15620" max="15620" width="10.5" style="10" customWidth="1"/>
    <col min="15621" max="15629" width="9" style="10"/>
    <col min="15630" max="15630" width="9.5" style="10" customWidth="1"/>
    <col min="15631" max="15648" width="9" style="10"/>
    <col min="15649" max="15649" width="15.875" style="10" customWidth="1"/>
    <col min="15650" max="15650" width="11.375" style="10" customWidth="1"/>
    <col min="15651" max="15875" width="9" style="10"/>
    <col min="15876" max="15876" width="10.5" style="10" customWidth="1"/>
    <col min="15877" max="15885" width="9" style="10"/>
    <col min="15886" max="15886" width="9.5" style="10" customWidth="1"/>
    <col min="15887" max="15904" width="9" style="10"/>
    <col min="15905" max="15905" width="15.875" style="10" customWidth="1"/>
    <col min="15906" max="15906" width="11.375" style="10" customWidth="1"/>
    <col min="15907" max="16131" width="9" style="10"/>
    <col min="16132" max="16132" width="10.5" style="10" customWidth="1"/>
    <col min="16133" max="16141" width="9" style="10"/>
    <col min="16142" max="16142" width="9.5" style="10" customWidth="1"/>
    <col min="16143" max="16160" width="9" style="10"/>
    <col min="16161" max="16161" width="15.875" style="10" customWidth="1"/>
    <col min="16162" max="16162" width="11.375" style="10" customWidth="1"/>
    <col min="16163" max="16384" width="9" style="10"/>
  </cols>
  <sheetData>
    <row r="1" spans="1:53" ht="45">
      <c r="A1" s="59" t="s">
        <v>0</v>
      </c>
      <c r="B1" s="2" t="s">
        <v>165</v>
      </c>
      <c r="C1" s="2" t="s">
        <v>166</v>
      </c>
      <c r="D1" s="3" t="s">
        <v>3</v>
      </c>
      <c r="E1" s="60" t="s">
        <v>4</v>
      </c>
      <c r="F1" s="60" t="s">
        <v>5</v>
      </c>
      <c r="G1" s="60" t="s">
        <v>6</v>
      </c>
      <c r="H1" s="60" t="s">
        <v>7</v>
      </c>
      <c r="I1" s="60" t="s">
        <v>8</v>
      </c>
      <c r="J1" s="60" t="s">
        <v>9</v>
      </c>
      <c r="K1" s="60" t="s">
        <v>10</v>
      </c>
      <c r="L1" s="3" t="s">
        <v>167</v>
      </c>
      <c r="M1" s="3" t="s">
        <v>168</v>
      </c>
      <c r="N1" s="3" t="s">
        <v>13</v>
      </c>
      <c r="O1" s="3" t="s">
        <v>169</v>
      </c>
      <c r="P1" s="3" t="s">
        <v>170</v>
      </c>
      <c r="Q1" s="5" t="s">
        <v>171</v>
      </c>
      <c r="R1" s="3" t="s">
        <v>172</v>
      </c>
      <c r="S1" s="3" t="s">
        <v>173</v>
      </c>
      <c r="T1" s="5" t="s">
        <v>19</v>
      </c>
      <c r="U1" s="52" t="s">
        <v>20</v>
      </c>
      <c r="V1" s="7" t="s">
        <v>21</v>
      </c>
      <c r="W1" s="3" t="s">
        <v>174</v>
      </c>
      <c r="X1" s="60" t="s">
        <v>23</v>
      </c>
      <c r="Y1" s="60" t="s">
        <v>24</v>
      </c>
      <c r="Z1" s="60" t="s">
        <v>25</v>
      </c>
      <c r="AA1" s="61" t="s">
        <v>26</v>
      </c>
      <c r="AB1" s="9" t="s">
        <v>175</v>
      </c>
      <c r="AE1" s="11" t="s">
        <v>0</v>
      </c>
      <c r="AF1" s="12"/>
      <c r="AG1" s="11" t="s">
        <v>4</v>
      </c>
      <c r="AH1" s="11" t="s">
        <v>5</v>
      </c>
      <c r="AI1" s="12"/>
      <c r="AJ1" s="11" t="s">
        <v>6</v>
      </c>
      <c r="AK1" s="12"/>
      <c r="AL1" s="16" t="s">
        <v>7</v>
      </c>
      <c r="AM1" s="12"/>
      <c r="AN1" s="16" t="s">
        <v>8</v>
      </c>
      <c r="AO1" s="12"/>
      <c r="AP1" s="16" t="s">
        <v>28</v>
      </c>
      <c r="AQ1" s="12"/>
      <c r="AR1" s="16" t="s">
        <v>10</v>
      </c>
      <c r="AS1" s="12"/>
      <c r="AT1" s="17" t="s">
        <v>176</v>
      </c>
      <c r="AU1" s="12"/>
      <c r="AV1" s="16" t="s">
        <v>30</v>
      </c>
      <c r="AX1" s="18" t="s">
        <v>373</v>
      </c>
      <c r="AY1" s="19" t="s">
        <v>178</v>
      </c>
      <c r="AZ1" s="19" t="s">
        <v>374</v>
      </c>
      <c r="BA1" s="20" t="s">
        <v>180</v>
      </c>
    </row>
    <row r="2" spans="1:53" s="87" customFormat="1" ht="13.5" customHeight="1">
      <c r="A2" s="87" t="s">
        <v>80</v>
      </c>
      <c r="B2" s="87" t="s">
        <v>181</v>
      </c>
      <c r="C2" s="87">
        <v>2020</v>
      </c>
      <c r="D2" s="133" t="s">
        <v>375</v>
      </c>
      <c r="E2" s="87" t="s">
        <v>376</v>
      </c>
      <c r="F2" s="87" t="s">
        <v>377</v>
      </c>
      <c r="G2" s="87" t="s">
        <v>58</v>
      </c>
      <c r="H2" s="87" t="s">
        <v>40</v>
      </c>
      <c r="I2" s="87" t="s">
        <v>153</v>
      </c>
      <c r="J2" s="87" t="s">
        <v>42</v>
      </c>
      <c r="K2" s="87" t="s">
        <v>43</v>
      </c>
      <c r="L2" s="87">
        <v>1</v>
      </c>
      <c r="N2" s="87">
        <v>4</v>
      </c>
      <c r="O2" s="87">
        <v>0.55000000000000004</v>
      </c>
      <c r="P2" s="87">
        <v>0.5</v>
      </c>
      <c r="Q2" s="88">
        <f t="shared" ref="Q2:Q65" si="0">IF(OR(O2="",P2=""),"",AVERAGE(O2,P2))</f>
        <v>0.52500000000000002</v>
      </c>
      <c r="R2" s="87">
        <v>13.7</v>
      </c>
      <c r="S2" s="87">
        <v>102</v>
      </c>
      <c r="T2" s="89">
        <f t="shared" ref="T2:T65" si="1">IF(H2="","",IF(OR(H2="GREEN",H2="GK"),IF(S2&gt;=$AX$2,VLOOKUP(S2,$AX$2:$AY$10,2,1),""),IF(S2&gt;=$AZ$2,VLOOKUP(S2,$AZ$2:$BA$10,2,1),"")))</f>
        <v>33</v>
      </c>
      <c r="U2" s="87">
        <v>499</v>
      </c>
      <c r="V2" s="89">
        <f t="shared" ref="V2:V65" si="2">IF(OR(N2="",U2="",T2=""),"",U2/N2*T2)</f>
        <v>4116.75</v>
      </c>
      <c r="W2" s="87">
        <v>2</v>
      </c>
      <c r="X2" s="87" t="s">
        <v>44</v>
      </c>
      <c r="Y2" s="87" t="s">
        <v>46</v>
      </c>
      <c r="Z2" s="87" t="s">
        <v>54</v>
      </c>
      <c r="AA2" s="87" t="s">
        <v>45</v>
      </c>
      <c r="AB2" s="87" t="s">
        <v>164</v>
      </c>
      <c r="AE2" s="32" t="s">
        <v>49</v>
      </c>
      <c r="AG2" s="95" t="s">
        <v>378</v>
      </c>
      <c r="AH2" s="134" t="s">
        <v>379</v>
      </c>
      <c r="AJ2" s="90" t="s">
        <v>39</v>
      </c>
      <c r="AL2" s="90" t="s">
        <v>185</v>
      </c>
      <c r="AN2" s="90" t="s">
        <v>52</v>
      </c>
      <c r="AP2" s="90" t="s">
        <v>42</v>
      </c>
      <c r="AR2" s="90" t="s">
        <v>43</v>
      </c>
      <c r="AT2" s="90" t="s">
        <v>44</v>
      </c>
      <c r="AV2" s="90" t="s">
        <v>54</v>
      </c>
      <c r="AX2" s="92">
        <v>1</v>
      </c>
      <c r="AY2" s="93">
        <v>50</v>
      </c>
      <c r="AZ2" s="93">
        <v>1</v>
      </c>
      <c r="BA2" s="94">
        <v>50</v>
      </c>
    </row>
    <row r="3" spans="1:53" s="87" customFormat="1" ht="13.5" customHeight="1">
      <c r="A3" s="87" t="s">
        <v>80</v>
      </c>
      <c r="B3" s="87" t="s">
        <v>181</v>
      </c>
      <c r="C3" s="87">
        <v>2020</v>
      </c>
      <c r="D3" s="133" t="s">
        <v>375</v>
      </c>
      <c r="E3" s="87" t="s">
        <v>376</v>
      </c>
      <c r="F3" s="87" t="s">
        <v>377</v>
      </c>
      <c r="G3" s="87" t="s">
        <v>58</v>
      </c>
      <c r="H3" s="87" t="s">
        <v>40</v>
      </c>
      <c r="I3" s="87" t="s">
        <v>153</v>
      </c>
      <c r="J3" s="87" t="s">
        <v>42</v>
      </c>
      <c r="K3" s="87" t="s">
        <v>43</v>
      </c>
      <c r="L3" s="87">
        <v>2</v>
      </c>
      <c r="N3" s="87">
        <v>4</v>
      </c>
      <c r="O3" s="87">
        <v>0.5</v>
      </c>
      <c r="P3" s="87">
        <v>0.55000000000000004</v>
      </c>
      <c r="Q3" s="88">
        <f t="shared" si="0"/>
        <v>0.52500000000000002</v>
      </c>
      <c r="R3" s="87">
        <v>15.2</v>
      </c>
      <c r="S3" s="87">
        <v>95</v>
      </c>
      <c r="T3" s="89">
        <f t="shared" si="1"/>
        <v>36</v>
      </c>
      <c r="U3" s="87">
        <v>499</v>
      </c>
      <c r="V3" s="89">
        <f t="shared" si="2"/>
        <v>4491</v>
      </c>
      <c r="W3" s="87">
        <v>2</v>
      </c>
      <c r="X3" s="87" t="s">
        <v>44</v>
      </c>
      <c r="Y3" s="87" t="s">
        <v>46</v>
      </c>
      <c r="Z3" s="87" t="s">
        <v>54</v>
      </c>
      <c r="AA3" s="87" t="s">
        <v>45</v>
      </c>
      <c r="AB3" s="87" t="s">
        <v>164</v>
      </c>
      <c r="AE3" s="33" t="s">
        <v>55</v>
      </c>
      <c r="AG3" s="95" t="s">
        <v>380</v>
      </c>
      <c r="AH3" s="134" t="s">
        <v>381</v>
      </c>
      <c r="AJ3" s="95" t="s">
        <v>58</v>
      </c>
      <c r="AL3" s="95" t="s">
        <v>187</v>
      </c>
      <c r="AN3" s="95" t="s">
        <v>60</v>
      </c>
      <c r="AP3" s="95" t="s">
        <v>61</v>
      </c>
      <c r="AR3" s="95" t="s">
        <v>62</v>
      </c>
      <c r="AT3" s="95" t="s">
        <v>63</v>
      </c>
      <c r="AV3" s="95" t="s">
        <v>64</v>
      </c>
      <c r="AX3" s="96">
        <v>72</v>
      </c>
      <c r="AY3" s="97">
        <v>46</v>
      </c>
      <c r="AZ3" s="97">
        <v>71</v>
      </c>
      <c r="BA3" s="98">
        <v>42</v>
      </c>
    </row>
    <row r="4" spans="1:53" s="87" customFormat="1" ht="13.5" customHeight="1">
      <c r="A4" s="87" t="s">
        <v>80</v>
      </c>
      <c r="B4" s="87" t="s">
        <v>181</v>
      </c>
      <c r="C4" s="87">
        <v>2020</v>
      </c>
      <c r="D4" s="133" t="s">
        <v>375</v>
      </c>
      <c r="E4" s="87" t="s">
        <v>376</v>
      </c>
      <c r="F4" s="87" t="s">
        <v>377</v>
      </c>
      <c r="G4" s="87" t="s">
        <v>58</v>
      </c>
      <c r="H4" s="87" t="s">
        <v>40</v>
      </c>
      <c r="I4" s="87" t="s">
        <v>153</v>
      </c>
      <c r="J4" s="87" t="s">
        <v>42</v>
      </c>
      <c r="K4" s="87" t="s">
        <v>43</v>
      </c>
      <c r="L4" s="87">
        <v>3</v>
      </c>
      <c r="N4" s="87">
        <v>4</v>
      </c>
      <c r="O4" s="87">
        <v>0.6</v>
      </c>
      <c r="P4" s="87">
        <v>0.6</v>
      </c>
      <c r="Q4" s="88">
        <f t="shared" si="0"/>
        <v>0.6</v>
      </c>
      <c r="R4" s="87">
        <v>14.9</v>
      </c>
      <c r="S4" s="87">
        <v>97</v>
      </c>
      <c r="T4" s="89">
        <f t="shared" si="1"/>
        <v>36</v>
      </c>
      <c r="U4" s="87">
        <v>499</v>
      </c>
      <c r="V4" s="89">
        <f t="shared" si="2"/>
        <v>4491</v>
      </c>
      <c r="W4" s="87">
        <v>2</v>
      </c>
      <c r="X4" s="87" t="s">
        <v>44</v>
      </c>
      <c r="Y4" s="87" t="s">
        <v>46</v>
      </c>
      <c r="Z4" s="87" t="s">
        <v>54</v>
      </c>
      <c r="AA4" s="87" t="s">
        <v>45</v>
      </c>
      <c r="AB4" s="87" t="s">
        <v>164</v>
      </c>
      <c r="AE4" s="33" t="s">
        <v>35</v>
      </c>
      <c r="AG4" s="95" t="s">
        <v>382</v>
      </c>
      <c r="AH4" s="134" t="s">
        <v>383</v>
      </c>
      <c r="AJ4" s="99" t="s">
        <v>67</v>
      </c>
      <c r="AL4" s="99" t="s">
        <v>189</v>
      </c>
      <c r="AN4" s="100" t="s">
        <v>190</v>
      </c>
      <c r="AP4" s="95" t="s">
        <v>191</v>
      </c>
      <c r="AR4" s="95" t="s">
        <v>192</v>
      </c>
      <c r="AT4" s="100"/>
      <c r="AV4" s="95" t="s">
        <v>47</v>
      </c>
      <c r="AX4" s="96">
        <v>75</v>
      </c>
      <c r="AY4" s="97">
        <v>42</v>
      </c>
      <c r="AZ4" s="97">
        <v>76</v>
      </c>
      <c r="BA4" s="98">
        <v>39</v>
      </c>
    </row>
    <row r="5" spans="1:53" s="87" customFormat="1" ht="13.5" customHeight="1">
      <c r="A5" s="87" t="s">
        <v>80</v>
      </c>
      <c r="B5" s="87" t="s">
        <v>181</v>
      </c>
      <c r="C5" s="87">
        <v>2020</v>
      </c>
      <c r="D5" s="133" t="s">
        <v>375</v>
      </c>
      <c r="E5" s="87" t="s">
        <v>376</v>
      </c>
      <c r="F5" s="87" t="s">
        <v>377</v>
      </c>
      <c r="G5" s="87" t="s">
        <v>58</v>
      </c>
      <c r="H5" s="87" t="s">
        <v>185</v>
      </c>
      <c r="I5" s="87" t="s">
        <v>153</v>
      </c>
      <c r="J5" s="87" t="s">
        <v>384</v>
      </c>
      <c r="K5" s="87" t="s">
        <v>229</v>
      </c>
      <c r="L5" s="87">
        <v>1</v>
      </c>
      <c r="N5" s="87">
        <v>8</v>
      </c>
      <c r="O5" s="87">
        <v>0.5</v>
      </c>
      <c r="P5" s="87">
        <v>0.5</v>
      </c>
      <c r="Q5" s="88">
        <f t="shared" si="0"/>
        <v>0.5</v>
      </c>
      <c r="R5" s="87">
        <v>15.2</v>
      </c>
      <c r="S5" s="87">
        <v>51</v>
      </c>
      <c r="T5" s="89">
        <f t="shared" si="1"/>
        <v>50</v>
      </c>
      <c r="U5" s="87">
        <v>599</v>
      </c>
      <c r="V5" s="89">
        <f t="shared" si="2"/>
        <v>3743.75</v>
      </c>
      <c r="W5" s="87">
        <v>2</v>
      </c>
      <c r="X5" s="87" t="s">
        <v>44</v>
      </c>
      <c r="Y5" s="87" t="s">
        <v>46</v>
      </c>
      <c r="Z5" s="87" t="s">
        <v>54</v>
      </c>
      <c r="AA5" s="87" t="s">
        <v>45</v>
      </c>
      <c r="AB5" s="87" t="s">
        <v>164</v>
      </c>
      <c r="AE5" s="33" t="s">
        <v>72</v>
      </c>
      <c r="AG5" s="95" t="s">
        <v>385</v>
      </c>
      <c r="AH5" s="134" t="s">
        <v>377</v>
      </c>
      <c r="AJ5" s="100"/>
      <c r="AL5" s="101" t="s">
        <v>40</v>
      </c>
      <c r="AN5" s="101" t="s">
        <v>41</v>
      </c>
      <c r="AP5" s="95" t="s">
        <v>194</v>
      </c>
      <c r="AR5" s="95" t="s">
        <v>78</v>
      </c>
      <c r="AV5" s="95" t="s">
        <v>79</v>
      </c>
      <c r="AX5" s="96">
        <v>84</v>
      </c>
      <c r="AY5" s="97">
        <v>39</v>
      </c>
      <c r="AZ5" s="97">
        <v>84</v>
      </c>
      <c r="BA5" s="98">
        <v>36</v>
      </c>
    </row>
    <row r="6" spans="1:53" s="87" customFormat="1" ht="13.5" customHeight="1">
      <c r="A6" s="87" t="s">
        <v>80</v>
      </c>
      <c r="B6" s="87" t="s">
        <v>181</v>
      </c>
      <c r="C6" s="87">
        <v>2020</v>
      </c>
      <c r="D6" s="133" t="s">
        <v>375</v>
      </c>
      <c r="E6" s="87" t="s">
        <v>376</v>
      </c>
      <c r="F6" s="87" t="s">
        <v>377</v>
      </c>
      <c r="G6" s="87" t="s">
        <v>58</v>
      </c>
      <c r="H6" s="87" t="s">
        <v>185</v>
      </c>
      <c r="I6" s="87" t="s">
        <v>153</v>
      </c>
      <c r="J6" s="87" t="s">
        <v>384</v>
      </c>
      <c r="K6" s="87" t="s">
        <v>229</v>
      </c>
      <c r="L6" s="87">
        <v>2</v>
      </c>
      <c r="N6" s="87">
        <v>8</v>
      </c>
      <c r="O6" s="87">
        <v>0.55000000000000004</v>
      </c>
      <c r="P6" s="87">
        <v>0.5</v>
      </c>
      <c r="Q6" s="88">
        <f t="shared" si="0"/>
        <v>0.52500000000000002</v>
      </c>
      <c r="R6" s="87">
        <v>12.9</v>
      </c>
      <c r="S6" s="87">
        <v>53</v>
      </c>
      <c r="T6" s="89">
        <f t="shared" si="1"/>
        <v>50</v>
      </c>
      <c r="U6" s="87">
        <v>599</v>
      </c>
      <c r="V6" s="89">
        <f t="shared" si="2"/>
        <v>3743.75</v>
      </c>
      <c r="W6" s="87">
        <v>2</v>
      </c>
      <c r="X6" s="87" t="s">
        <v>44</v>
      </c>
      <c r="Y6" s="87" t="s">
        <v>46</v>
      </c>
      <c r="Z6" s="87" t="s">
        <v>54</v>
      </c>
      <c r="AA6" s="87" t="s">
        <v>45</v>
      </c>
      <c r="AB6" s="87" t="s">
        <v>164</v>
      </c>
      <c r="AE6" s="33" t="s">
        <v>80</v>
      </c>
      <c r="AG6" s="95" t="s">
        <v>386</v>
      </c>
      <c r="AH6" s="134" t="s">
        <v>377</v>
      </c>
      <c r="AL6" s="101" t="s">
        <v>157</v>
      </c>
      <c r="AN6" s="101" t="s">
        <v>153</v>
      </c>
      <c r="AP6" s="95" t="s">
        <v>85</v>
      </c>
      <c r="AR6" s="95" t="s">
        <v>86</v>
      </c>
      <c r="AV6" s="95" t="s">
        <v>87</v>
      </c>
      <c r="AX6" s="96">
        <v>97</v>
      </c>
      <c r="AY6" s="97">
        <v>36</v>
      </c>
      <c r="AZ6" s="97">
        <v>99</v>
      </c>
      <c r="BA6" s="98">
        <v>33</v>
      </c>
    </row>
    <row r="7" spans="1:53" s="87" customFormat="1" ht="13.5" customHeight="1">
      <c r="A7" s="87" t="s">
        <v>80</v>
      </c>
      <c r="B7" s="87" t="s">
        <v>181</v>
      </c>
      <c r="C7" s="87">
        <v>2020</v>
      </c>
      <c r="D7" s="133" t="s">
        <v>375</v>
      </c>
      <c r="E7" s="87" t="s">
        <v>376</v>
      </c>
      <c r="F7" s="87" t="s">
        <v>377</v>
      </c>
      <c r="G7" s="87" t="s">
        <v>58</v>
      </c>
      <c r="H7" s="87" t="s">
        <v>185</v>
      </c>
      <c r="I7" s="87" t="s">
        <v>153</v>
      </c>
      <c r="J7" s="87" t="s">
        <v>384</v>
      </c>
      <c r="K7" s="87" t="s">
        <v>229</v>
      </c>
      <c r="L7" s="87">
        <v>3</v>
      </c>
      <c r="N7" s="87">
        <v>8</v>
      </c>
      <c r="O7" s="87">
        <v>0.5</v>
      </c>
      <c r="P7" s="87">
        <v>0.5</v>
      </c>
      <c r="Q7" s="88">
        <f t="shared" si="0"/>
        <v>0.5</v>
      </c>
      <c r="R7" s="87">
        <v>10.9</v>
      </c>
      <c r="S7" s="87">
        <v>56</v>
      </c>
      <c r="T7" s="89">
        <f t="shared" si="1"/>
        <v>50</v>
      </c>
      <c r="U7" s="87">
        <v>599</v>
      </c>
      <c r="V7" s="89">
        <f t="shared" si="2"/>
        <v>3743.75</v>
      </c>
      <c r="W7" s="87">
        <v>2</v>
      </c>
      <c r="X7" s="87" t="s">
        <v>44</v>
      </c>
      <c r="Y7" s="87" t="s">
        <v>46</v>
      </c>
      <c r="Z7" s="87" t="s">
        <v>54</v>
      </c>
      <c r="AA7" s="87" t="s">
        <v>45</v>
      </c>
      <c r="AB7" s="87" t="s">
        <v>164</v>
      </c>
      <c r="AE7" s="33" t="s">
        <v>88</v>
      </c>
      <c r="AG7" s="95" t="s">
        <v>307</v>
      </c>
      <c r="AH7" s="134" t="s">
        <v>387</v>
      </c>
      <c r="AL7" s="135" t="s">
        <v>197</v>
      </c>
      <c r="AP7" s="95" t="s">
        <v>91</v>
      </c>
      <c r="AR7" s="95" t="s">
        <v>198</v>
      </c>
      <c r="AV7" s="95" t="s">
        <v>93</v>
      </c>
      <c r="AX7" s="96">
        <v>109</v>
      </c>
      <c r="AY7" s="97">
        <v>33</v>
      </c>
      <c r="AZ7" s="97">
        <v>113</v>
      </c>
      <c r="BA7" s="98">
        <v>30</v>
      </c>
    </row>
    <row r="8" spans="1:53" s="87" customFormat="1" ht="13.5" customHeight="1">
      <c r="A8" s="87" t="s">
        <v>80</v>
      </c>
      <c r="B8" s="87" t="s">
        <v>181</v>
      </c>
      <c r="C8" s="87">
        <v>2020</v>
      </c>
      <c r="D8" s="133" t="s">
        <v>375</v>
      </c>
      <c r="E8" s="87" t="s">
        <v>380</v>
      </c>
      <c r="F8" s="87" t="s">
        <v>381</v>
      </c>
      <c r="G8" s="87" t="s">
        <v>39</v>
      </c>
      <c r="H8" s="87" t="s">
        <v>40</v>
      </c>
      <c r="I8" s="87" t="s">
        <v>41</v>
      </c>
      <c r="J8" s="87" t="s">
        <v>42</v>
      </c>
      <c r="K8" s="87" t="s">
        <v>43</v>
      </c>
      <c r="L8" s="87">
        <v>1</v>
      </c>
      <c r="M8" s="136"/>
      <c r="N8" s="87">
        <v>8</v>
      </c>
      <c r="O8" s="87">
        <v>0.6</v>
      </c>
      <c r="P8" s="87">
        <v>0.7</v>
      </c>
      <c r="Q8" s="88">
        <f t="shared" si="0"/>
        <v>0.64999999999999991</v>
      </c>
      <c r="R8" s="87">
        <v>12.8</v>
      </c>
      <c r="S8" s="87">
        <v>98</v>
      </c>
      <c r="T8" s="89">
        <f t="shared" si="1"/>
        <v>36</v>
      </c>
      <c r="U8" s="87">
        <v>380</v>
      </c>
      <c r="V8" s="89">
        <f t="shared" si="2"/>
        <v>1710</v>
      </c>
      <c r="W8" s="87">
        <v>8</v>
      </c>
      <c r="X8" s="87" t="s">
        <v>63</v>
      </c>
      <c r="Y8" s="87" t="s">
        <v>46</v>
      </c>
      <c r="Z8" s="87" t="s">
        <v>54</v>
      </c>
      <c r="AA8" s="87" t="s">
        <v>45</v>
      </c>
      <c r="AB8" s="87" t="s">
        <v>164</v>
      </c>
      <c r="AE8" s="33" t="s">
        <v>86</v>
      </c>
      <c r="AG8" s="95" t="s">
        <v>388</v>
      </c>
      <c r="AH8" s="134" t="s">
        <v>387</v>
      </c>
      <c r="AL8" s="135" t="s">
        <v>201</v>
      </c>
      <c r="AP8" s="95" t="s">
        <v>97</v>
      </c>
      <c r="AR8" s="95" t="s">
        <v>98</v>
      </c>
      <c r="AV8" s="95" t="s">
        <v>99</v>
      </c>
      <c r="AX8" s="96">
        <v>119</v>
      </c>
      <c r="AY8" s="97">
        <v>30</v>
      </c>
      <c r="AZ8" s="97">
        <v>121</v>
      </c>
      <c r="BA8" s="98">
        <v>27</v>
      </c>
    </row>
    <row r="9" spans="1:53" s="87" customFormat="1" ht="13.5" customHeight="1">
      <c r="A9" s="87" t="s">
        <v>80</v>
      </c>
      <c r="B9" s="87" t="s">
        <v>181</v>
      </c>
      <c r="C9" s="87">
        <v>2020</v>
      </c>
      <c r="D9" s="133" t="s">
        <v>375</v>
      </c>
      <c r="E9" s="87" t="s">
        <v>380</v>
      </c>
      <c r="F9" s="87" t="s">
        <v>381</v>
      </c>
      <c r="G9" s="87" t="s">
        <v>39</v>
      </c>
      <c r="H9" s="87" t="s">
        <v>40</v>
      </c>
      <c r="I9" s="87" t="s">
        <v>41</v>
      </c>
      <c r="J9" s="87" t="s">
        <v>42</v>
      </c>
      <c r="K9" s="87" t="s">
        <v>43</v>
      </c>
      <c r="L9" s="87">
        <v>2</v>
      </c>
      <c r="M9" s="136"/>
      <c r="N9" s="87">
        <v>8</v>
      </c>
      <c r="O9" s="87">
        <v>0.85</v>
      </c>
      <c r="P9" s="87">
        <v>0.75</v>
      </c>
      <c r="Q9" s="88">
        <f t="shared" si="0"/>
        <v>0.8</v>
      </c>
      <c r="R9" s="87">
        <v>12.1</v>
      </c>
      <c r="S9" s="87">
        <v>96</v>
      </c>
      <c r="T9" s="89">
        <f t="shared" si="1"/>
        <v>36</v>
      </c>
      <c r="U9" s="87">
        <v>380</v>
      </c>
      <c r="V9" s="89">
        <f t="shared" si="2"/>
        <v>1710</v>
      </c>
      <c r="W9" s="87">
        <v>8</v>
      </c>
      <c r="X9" s="87" t="s">
        <v>63</v>
      </c>
      <c r="Y9" s="87" t="s">
        <v>46</v>
      </c>
      <c r="Z9" s="87" t="s">
        <v>54</v>
      </c>
      <c r="AA9" s="87" t="s">
        <v>45</v>
      </c>
      <c r="AB9" s="87" t="s">
        <v>164</v>
      </c>
      <c r="AE9" s="33" t="s">
        <v>202</v>
      </c>
      <c r="AG9" s="95" t="s">
        <v>376</v>
      </c>
      <c r="AH9" s="95" t="s">
        <v>381</v>
      </c>
      <c r="AL9" s="101" t="s">
        <v>205</v>
      </c>
      <c r="AP9" s="95" t="s">
        <v>103</v>
      </c>
      <c r="AR9" s="95" t="s">
        <v>206</v>
      </c>
      <c r="AV9" s="95" t="s">
        <v>105</v>
      </c>
      <c r="AX9" s="96">
        <v>128</v>
      </c>
      <c r="AY9" s="97">
        <v>27</v>
      </c>
      <c r="AZ9" s="97">
        <v>129</v>
      </c>
      <c r="BA9" s="98">
        <v>25</v>
      </c>
    </row>
    <row r="10" spans="1:53" s="87" customFormat="1" ht="13.5" customHeight="1">
      <c r="A10" s="87" t="s">
        <v>80</v>
      </c>
      <c r="B10" s="87" t="s">
        <v>181</v>
      </c>
      <c r="C10" s="87">
        <v>2020</v>
      </c>
      <c r="D10" s="133" t="s">
        <v>375</v>
      </c>
      <c r="E10" s="87" t="s">
        <v>380</v>
      </c>
      <c r="F10" s="87" t="s">
        <v>381</v>
      </c>
      <c r="G10" s="87" t="s">
        <v>39</v>
      </c>
      <c r="H10" s="87" t="s">
        <v>40</v>
      </c>
      <c r="I10" s="87" t="s">
        <v>41</v>
      </c>
      <c r="J10" s="87" t="s">
        <v>42</v>
      </c>
      <c r="K10" s="87" t="s">
        <v>43</v>
      </c>
      <c r="L10" s="87">
        <v>3</v>
      </c>
      <c r="M10" s="136"/>
      <c r="N10" s="87">
        <v>8</v>
      </c>
      <c r="O10" s="87">
        <v>0.7</v>
      </c>
      <c r="P10" s="87">
        <v>0.7</v>
      </c>
      <c r="Q10" s="88">
        <f t="shared" si="0"/>
        <v>0.7</v>
      </c>
      <c r="R10" s="87">
        <v>13.2</v>
      </c>
      <c r="S10" s="87">
        <v>99</v>
      </c>
      <c r="T10" s="89">
        <f t="shared" si="1"/>
        <v>33</v>
      </c>
      <c r="U10" s="87">
        <v>380</v>
      </c>
      <c r="V10" s="89">
        <f t="shared" si="2"/>
        <v>1567.5</v>
      </c>
      <c r="W10" s="87">
        <v>8</v>
      </c>
      <c r="X10" s="87" t="s">
        <v>63</v>
      </c>
      <c r="Y10" s="87" t="s">
        <v>46</v>
      </c>
      <c r="Z10" s="87" t="s">
        <v>54</v>
      </c>
      <c r="AA10" s="87" t="s">
        <v>45</v>
      </c>
      <c r="AB10" s="87" t="s">
        <v>164</v>
      </c>
      <c r="AE10" s="33" t="s">
        <v>207</v>
      </c>
      <c r="AG10" s="95" t="s">
        <v>307</v>
      </c>
      <c r="AH10" s="134" t="s">
        <v>377</v>
      </c>
      <c r="AL10" s="135"/>
      <c r="AP10" s="95" t="s">
        <v>109</v>
      </c>
      <c r="AR10" s="95" t="s">
        <v>209</v>
      </c>
      <c r="AV10" s="95" t="s">
        <v>111</v>
      </c>
      <c r="AX10" s="96">
        <v>138</v>
      </c>
      <c r="AY10" s="97">
        <v>25</v>
      </c>
      <c r="AZ10" s="97">
        <v>138</v>
      </c>
      <c r="BA10" s="98">
        <v>22</v>
      </c>
    </row>
    <row r="11" spans="1:53" s="87" customFormat="1" ht="13.5" customHeight="1">
      <c r="A11" s="87" t="s">
        <v>80</v>
      </c>
      <c r="B11" s="87" t="s">
        <v>181</v>
      </c>
      <c r="C11" s="87">
        <v>2020</v>
      </c>
      <c r="D11" s="133" t="s">
        <v>375</v>
      </c>
      <c r="E11" s="87" t="s">
        <v>307</v>
      </c>
      <c r="F11" s="87" t="s">
        <v>377</v>
      </c>
      <c r="G11" s="87" t="s">
        <v>39</v>
      </c>
      <c r="H11" s="87" t="s">
        <v>40</v>
      </c>
      <c r="I11" s="87" t="s">
        <v>41</v>
      </c>
      <c r="J11" s="87" t="s">
        <v>42</v>
      </c>
      <c r="K11" s="87" t="s">
        <v>43</v>
      </c>
      <c r="L11" s="87">
        <v>1</v>
      </c>
      <c r="M11" s="136"/>
      <c r="N11" s="87">
        <v>1</v>
      </c>
      <c r="O11" s="87">
        <v>0.8</v>
      </c>
      <c r="P11" s="87">
        <v>0.8</v>
      </c>
      <c r="Q11" s="88">
        <f t="shared" si="0"/>
        <v>0.8</v>
      </c>
      <c r="R11" s="87">
        <v>13.7</v>
      </c>
      <c r="S11" s="87">
        <v>107</v>
      </c>
      <c r="T11" s="89">
        <f t="shared" si="1"/>
        <v>33</v>
      </c>
      <c r="U11" s="87">
        <v>98</v>
      </c>
      <c r="V11" s="89">
        <f t="shared" si="2"/>
        <v>3234</v>
      </c>
      <c r="W11" s="87">
        <v>1</v>
      </c>
      <c r="X11" s="87" t="s">
        <v>44</v>
      </c>
      <c r="Y11" s="87" t="s">
        <v>54</v>
      </c>
      <c r="Z11" s="87" t="s">
        <v>46</v>
      </c>
      <c r="AA11" s="87" t="s">
        <v>79</v>
      </c>
      <c r="AB11" s="87" t="s">
        <v>164</v>
      </c>
      <c r="AE11" s="33" t="s">
        <v>139</v>
      </c>
      <c r="AG11" s="95" t="s">
        <v>386</v>
      </c>
      <c r="AH11" s="134" t="s">
        <v>377</v>
      </c>
      <c r="AJ11" s="135"/>
      <c r="AP11" s="95" t="s">
        <v>212</v>
      </c>
      <c r="AR11" s="95" t="s">
        <v>213</v>
      </c>
      <c r="AV11" s="95" t="s">
        <v>161</v>
      </c>
    </row>
    <row r="12" spans="1:53" s="87" customFormat="1" ht="13.5" customHeight="1">
      <c r="A12" s="87" t="s">
        <v>80</v>
      </c>
      <c r="B12" s="87" t="s">
        <v>181</v>
      </c>
      <c r="C12" s="87">
        <v>2020</v>
      </c>
      <c r="D12" s="133" t="s">
        <v>375</v>
      </c>
      <c r="E12" s="87" t="s">
        <v>307</v>
      </c>
      <c r="F12" s="87" t="s">
        <v>377</v>
      </c>
      <c r="G12" s="87" t="s">
        <v>39</v>
      </c>
      <c r="H12" s="87" t="s">
        <v>40</v>
      </c>
      <c r="I12" s="87" t="s">
        <v>41</v>
      </c>
      <c r="J12" s="87" t="s">
        <v>42</v>
      </c>
      <c r="K12" s="87" t="s">
        <v>43</v>
      </c>
      <c r="L12" s="87">
        <v>2</v>
      </c>
      <c r="M12" s="136"/>
      <c r="N12" s="87">
        <v>1</v>
      </c>
      <c r="O12" s="87">
        <v>0.65</v>
      </c>
      <c r="P12" s="87">
        <v>0.7</v>
      </c>
      <c r="Q12" s="88">
        <f t="shared" si="0"/>
        <v>0.67500000000000004</v>
      </c>
      <c r="R12" s="87">
        <v>17</v>
      </c>
      <c r="S12" s="87">
        <v>114</v>
      </c>
      <c r="T12" s="89">
        <f t="shared" si="1"/>
        <v>30</v>
      </c>
      <c r="U12" s="87">
        <v>98</v>
      </c>
      <c r="V12" s="89">
        <f t="shared" si="2"/>
        <v>2940</v>
      </c>
      <c r="W12" s="87">
        <v>1</v>
      </c>
      <c r="X12" s="87" t="s">
        <v>44</v>
      </c>
      <c r="Y12" s="87" t="s">
        <v>54</v>
      </c>
      <c r="Z12" s="87" t="s">
        <v>46</v>
      </c>
      <c r="AA12" s="87" t="s">
        <v>79</v>
      </c>
      <c r="AB12" s="87" t="s">
        <v>164</v>
      </c>
      <c r="AE12" s="33" t="s">
        <v>214</v>
      </c>
      <c r="AG12" s="95" t="s">
        <v>380</v>
      </c>
      <c r="AH12" s="134" t="s">
        <v>377</v>
      </c>
      <c r="AJ12" s="135"/>
      <c r="AP12" s="95" t="s">
        <v>215</v>
      </c>
      <c r="AR12" s="95" t="s">
        <v>216</v>
      </c>
      <c r="AV12" s="95" t="s">
        <v>217</v>
      </c>
    </row>
    <row r="13" spans="1:53" s="87" customFormat="1" ht="13.5" customHeight="1">
      <c r="A13" s="87" t="s">
        <v>80</v>
      </c>
      <c r="B13" s="87" t="s">
        <v>181</v>
      </c>
      <c r="C13" s="87">
        <v>2020</v>
      </c>
      <c r="D13" s="133" t="s">
        <v>375</v>
      </c>
      <c r="E13" s="87" t="s">
        <v>307</v>
      </c>
      <c r="F13" s="87" t="s">
        <v>377</v>
      </c>
      <c r="G13" s="87" t="s">
        <v>39</v>
      </c>
      <c r="H13" s="87" t="s">
        <v>40</v>
      </c>
      <c r="I13" s="87" t="s">
        <v>41</v>
      </c>
      <c r="J13" s="87" t="s">
        <v>42</v>
      </c>
      <c r="K13" s="87" t="s">
        <v>43</v>
      </c>
      <c r="L13" s="87">
        <v>3</v>
      </c>
      <c r="M13" s="136"/>
      <c r="N13" s="87">
        <v>1</v>
      </c>
      <c r="O13" s="87">
        <v>0.8</v>
      </c>
      <c r="P13" s="87">
        <v>0.9</v>
      </c>
      <c r="Q13" s="88">
        <f t="shared" si="0"/>
        <v>0.85000000000000009</v>
      </c>
      <c r="R13" s="87">
        <v>15.5</v>
      </c>
      <c r="S13" s="87">
        <v>108</v>
      </c>
      <c r="T13" s="89">
        <f t="shared" si="1"/>
        <v>33</v>
      </c>
      <c r="U13" s="87">
        <v>98</v>
      </c>
      <c r="V13" s="89">
        <f t="shared" si="2"/>
        <v>3234</v>
      </c>
      <c r="W13" s="87">
        <v>1</v>
      </c>
      <c r="X13" s="87" t="s">
        <v>44</v>
      </c>
      <c r="Y13" s="87" t="s">
        <v>54</v>
      </c>
      <c r="Z13" s="87" t="s">
        <v>46</v>
      </c>
      <c r="AA13" s="87" t="s">
        <v>79</v>
      </c>
      <c r="AB13" s="87" t="s">
        <v>164</v>
      </c>
      <c r="AE13" s="33" t="s">
        <v>218</v>
      </c>
      <c r="AP13" s="95" t="s">
        <v>219</v>
      </c>
      <c r="AR13" s="95" t="s">
        <v>207</v>
      </c>
      <c r="AV13" s="95" t="s">
        <v>220</v>
      </c>
    </row>
    <row r="14" spans="1:53" s="87" customFormat="1" ht="13.5" customHeight="1">
      <c r="A14" s="87" t="s">
        <v>80</v>
      </c>
      <c r="B14" s="87" t="s">
        <v>181</v>
      </c>
      <c r="C14" s="87">
        <v>2020</v>
      </c>
      <c r="D14" s="133" t="s">
        <v>375</v>
      </c>
      <c r="E14" s="87" t="s">
        <v>307</v>
      </c>
      <c r="F14" s="87" t="s">
        <v>377</v>
      </c>
      <c r="G14" s="87" t="s">
        <v>39</v>
      </c>
      <c r="H14" s="87" t="s">
        <v>40</v>
      </c>
      <c r="I14" s="87" t="s">
        <v>41</v>
      </c>
      <c r="J14" s="87" t="s">
        <v>42</v>
      </c>
      <c r="K14" s="87" t="s">
        <v>43</v>
      </c>
      <c r="L14" s="87">
        <v>1</v>
      </c>
      <c r="M14" s="136"/>
      <c r="N14" s="87">
        <v>5</v>
      </c>
      <c r="O14" s="87">
        <v>0.75</v>
      </c>
      <c r="P14" s="87">
        <v>0.8</v>
      </c>
      <c r="Q14" s="88">
        <f t="shared" si="0"/>
        <v>0.77500000000000002</v>
      </c>
      <c r="R14" s="87">
        <v>15.6</v>
      </c>
      <c r="S14" s="87">
        <v>89</v>
      </c>
      <c r="T14" s="89">
        <f t="shared" si="1"/>
        <v>36</v>
      </c>
      <c r="U14" s="87">
        <v>398</v>
      </c>
      <c r="V14" s="89">
        <f t="shared" si="2"/>
        <v>2865.6</v>
      </c>
      <c r="W14" s="87">
        <v>1</v>
      </c>
      <c r="X14" s="87" t="s">
        <v>44</v>
      </c>
      <c r="Y14" s="87" t="s">
        <v>54</v>
      </c>
      <c r="Z14" s="87" t="s">
        <v>46</v>
      </c>
      <c r="AA14" s="87" t="s">
        <v>79</v>
      </c>
      <c r="AB14" s="87" t="s">
        <v>164</v>
      </c>
      <c r="AE14" s="33" t="s">
        <v>126</v>
      </c>
      <c r="AP14" s="95" t="s">
        <v>113</v>
      </c>
      <c r="AR14" s="95" t="s">
        <v>222</v>
      </c>
      <c r="AV14" s="95" t="s">
        <v>115</v>
      </c>
    </row>
    <row r="15" spans="1:53" s="87" customFormat="1" ht="13.5" customHeight="1">
      <c r="A15" s="87" t="s">
        <v>80</v>
      </c>
      <c r="B15" s="87" t="s">
        <v>181</v>
      </c>
      <c r="C15" s="87">
        <v>2020</v>
      </c>
      <c r="D15" s="133" t="s">
        <v>375</v>
      </c>
      <c r="E15" s="87" t="s">
        <v>307</v>
      </c>
      <c r="F15" s="87" t="s">
        <v>377</v>
      </c>
      <c r="G15" s="87" t="s">
        <v>39</v>
      </c>
      <c r="H15" s="87" t="s">
        <v>40</v>
      </c>
      <c r="I15" s="87" t="s">
        <v>41</v>
      </c>
      <c r="J15" s="87" t="s">
        <v>42</v>
      </c>
      <c r="K15" s="87" t="s">
        <v>43</v>
      </c>
      <c r="L15" s="87">
        <v>2</v>
      </c>
      <c r="M15" s="136"/>
      <c r="N15" s="87">
        <v>5</v>
      </c>
      <c r="O15" s="87">
        <v>0.85</v>
      </c>
      <c r="P15" s="87">
        <v>0.85</v>
      </c>
      <c r="Q15" s="88">
        <f t="shared" si="0"/>
        <v>0.85</v>
      </c>
      <c r="R15" s="87">
        <v>16</v>
      </c>
      <c r="S15" s="87">
        <v>93</v>
      </c>
      <c r="T15" s="89">
        <f t="shared" si="1"/>
        <v>36</v>
      </c>
      <c r="U15" s="87">
        <v>398</v>
      </c>
      <c r="V15" s="89">
        <f t="shared" si="2"/>
        <v>2865.6</v>
      </c>
      <c r="W15" s="87">
        <v>1</v>
      </c>
      <c r="X15" s="87" t="s">
        <v>44</v>
      </c>
      <c r="Y15" s="87" t="s">
        <v>54</v>
      </c>
      <c r="Z15" s="87" t="s">
        <v>46</v>
      </c>
      <c r="AA15" s="87" t="s">
        <v>79</v>
      </c>
      <c r="AB15" s="87" t="s">
        <v>164</v>
      </c>
      <c r="AE15" s="33" t="s">
        <v>223</v>
      </c>
      <c r="AP15" s="95" t="s">
        <v>117</v>
      </c>
      <c r="AR15" s="95" t="s">
        <v>121</v>
      </c>
      <c r="AV15" s="95" t="s">
        <v>119</v>
      </c>
    </row>
    <row r="16" spans="1:53" s="87" customFormat="1" ht="13.5" customHeight="1">
      <c r="A16" s="87" t="s">
        <v>80</v>
      </c>
      <c r="B16" s="87" t="s">
        <v>181</v>
      </c>
      <c r="C16" s="87">
        <v>2020</v>
      </c>
      <c r="D16" s="133" t="s">
        <v>375</v>
      </c>
      <c r="E16" s="87" t="s">
        <v>307</v>
      </c>
      <c r="F16" s="87" t="s">
        <v>377</v>
      </c>
      <c r="G16" s="87" t="s">
        <v>39</v>
      </c>
      <c r="H16" s="87" t="s">
        <v>40</v>
      </c>
      <c r="I16" s="87" t="s">
        <v>41</v>
      </c>
      <c r="J16" s="87" t="s">
        <v>42</v>
      </c>
      <c r="K16" s="87" t="s">
        <v>43</v>
      </c>
      <c r="L16" s="87">
        <v>3</v>
      </c>
      <c r="M16" s="136"/>
      <c r="N16" s="87">
        <v>5</v>
      </c>
      <c r="O16" s="87">
        <v>0.7</v>
      </c>
      <c r="P16" s="87">
        <v>0.75</v>
      </c>
      <c r="Q16" s="88">
        <f t="shared" si="0"/>
        <v>0.72499999999999998</v>
      </c>
      <c r="R16" s="87">
        <v>16.2</v>
      </c>
      <c r="S16" s="87">
        <v>83</v>
      </c>
      <c r="T16" s="89">
        <f t="shared" si="1"/>
        <v>39</v>
      </c>
      <c r="U16" s="87">
        <v>398</v>
      </c>
      <c r="V16" s="89">
        <f t="shared" si="2"/>
        <v>3104.3999999999996</v>
      </c>
      <c r="W16" s="87">
        <v>1</v>
      </c>
      <c r="X16" s="87" t="s">
        <v>44</v>
      </c>
      <c r="Y16" s="87" t="s">
        <v>54</v>
      </c>
      <c r="Z16" s="87" t="s">
        <v>46</v>
      </c>
      <c r="AA16" s="87" t="s">
        <v>79</v>
      </c>
      <c r="AB16" s="87" t="s">
        <v>164</v>
      </c>
      <c r="AE16" s="33" t="s">
        <v>224</v>
      </c>
      <c r="AP16" s="95" t="s">
        <v>121</v>
      </c>
      <c r="AR16" s="95" t="s">
        <v>122</v>
      </c>
      <c r="AV16" s="95" t="s">
        <v>46</v>
      </c>
    </row>
    <row r="17" spans="1:48" s="87" customFormat="1" ht="13.5" customHeight="1">
      <c r="A17" s="87" t="s">
        <v>80</v>
      </c>
      <c r="B17" s="87" t="s">
        <v>181</v>
      </c>
      <c r="C17" s="87">
        <v>2020</v>
      </c>
      <c r="D17" s="133" t="s">
        <v>375</v>
      </c>
      <c r="E17" s="87" t="s">
        <v>307</v>
      </c>
      <c r="F17" s="87" t="s">
        <v>377</v>
      </c>
      <c r="G17" s="87" t="s">
        <v>39</v>
      </c>
      <c r="H17" s="87" t="s">
        <v>185</v>
      </c>
      <c r="I17" s="87" t="s">
        <v>41</v>
      </c>
      <c r="J17" s="87" t="s">
        <v>228</v>
      </c>
      <c r="K17" s="87" t="s">
        <v>136</v>
      </c>
      <c r="L17" s="87">
        <v>1</v>
      </c>
      <c r="M17" s="136"/>
      <c r="N17" s="87">
        <v>8</v>
      </c>
      <c r="O17" s="87">
        <v>0.5</v>
      </c>
      <c r="P17" s="87">
        <v>0.55000000000000004</v>
      </c>
      <c r="Q17" s="88">
        <f t="shared" si="0"/>
        <v>0.52500000000000002</v>
      </c>
      <c r="R17" s="87">
        <v>17</v>
      </c>
      <c r="S17" s="87">
        <v>50</v>
      </c>
      <c r="T17" s="89">
        <f t="shared" si="1"/>
        <v>50</v>
      </c>
      <c r="U17" s="87">
        <v>498</v>
      </c>
      <c r="V17" s="89">
        <f t="shared" si="2"/>
        <v>3112.5</v>
      </c>
      <c r="W17" s="87">
        <v>1</v>
      </c>
      <c r="X17" s="87" t="s">
        <v>44</v>
      </c>
      <c r="Y17" s="87" t="s">
        <v>54</v>
      </c>
      <c r="Z17" s="87" t="s">
        <v>46</v>
      </c>
      <c r="AA17" s="87" t="s">
        <v>79</v>
      </c>
      <c r="AB17" s="87" t="s">
        <v>164</v>
      </c>
      <c r="AE17" s="33" t="s">
        <v>225</v>
      </c>
      <c r="AP17" s="99" t="s">
        <v>226</v>
      </c>
      <c r="AR17" s="95" t="s">
        <v>126</v>
      </c>
      <c r="AV17" s="95" t="s">
        <v>127</v>
      </c>
    </row>
    <row r="18" spans="1:48" s="87" customFormat="1" ht="13.5" customHeight="1">
      <c r="A18" s="87" t="s">
        <v>80</v>
      </c>
      <c r="B18" s="87" t="s">
        <v>181</v>
      </c>
      <c r="C18" s="87">
        <v>2020</v>
      </c>
      <c r="D18" s="133" t="s">
        <v>375</v>
      </c>
      <c r="E18" s="87" t="s">
        <v>307</v>
      </c>
      <c r="F18" s="87" t="s">
        <v>377</v>
      </c>
      <c r="G18" s="87" t="s">
        <v>39</v>
      </c>
      <c r="H18" s="87" t="s">
        <v>185</v>
      </c>
      <c r="I18" s="87" t="s">
        <v>41</v>
      </c>
      <c r="J18" s="87" t="s">
        <v>228</v>
      </c>
      <c r="K18" s="87" t="s">
        <v>136</v>
      </c>
      <c r="L18" s="87">
        <v>2</v>
      </c>
      <c r="M18" s="136"/>
      <c r="N18" s="87">
        <v>8</v>
      </c>
      <c r="O18" s="87">
        <v>0.5</v>
      </c>
      <c r="P18" s="87">
        <v>0.5</v>
      </c>
      <c r="Q18" s="88">
        <f t="shared" si="0"/>
        <v>0.5</v>
      </c>
      <c r="R18" s="87">
        <v>16.600000000000001</v>
      </c>
      <c r="S18" s="87">
        <v>45</v>
      </c>
      <c r="T18" s="89">
        <f t="shared" si="1"/>
        <v>50</v>
      </c>
      <c r="U18" s="87">
        <v>498</v>
      </c>
      <c r="V18" s="89">
        <f t="shared" si="2"/>
        <v>3112.5</v>
      </c>
      <c r="W18" s="87">
        <v>1</v>
      </c>
      <c r="X18" s="87" t="s">
        <v>44</v>
      </c>
      <c r="Y18" s="87" t="s">
        <v>54</v>
      </c>
      <c r="Z18" s="87" t="s">
        <v>46</v>
      </c>
      <c r="AA18" s="87" t="s">
        <v>79</v>
      </c>
      <c r="AB18" s="87" t="s">
        <v>164</v>
      </c>
      <c r="AE18" s="33" t="s">
        <v>213</v>
      </c>
      <c r="AP18" s="99" t="s">
        <v>227</v>
      </c>
      <c r="AR18" s="95" t="s">
        <v>130</v>
      </c>
      <c r="AV18" s="95" t="s">
        <v>131</v>
      </c>
    </row>
    <row r="19" spans="1:48" s="87" customFormat="1" ht="13.5" customHeight="1">
      <c r="A19" s="87" t="s">
        <v>80</v>
      </c>
      <c r="B19" s="87" t="s">
        <v>181</v>
      </c>
      <c r="C19" s="87">
        <v>2020</v>
      </c>
      <c r="D19" s="133" t="s">
        <v>375</v>
      </c>
      <c r="E19" s="87" t="s">
        <v>307</v>
      </c>
      <c r="F19" s="87" t="s">
        <v>377</v>
      </c>
      <c r="G19" s="87" t="s">
        <v>39</v>
      </c>
      <c r="H19" s="87" t="s">
        <v>185</v>
      </c>
      <c r="I19" s="87" t="s">
        <v>41</v>
      </c>
      <c r="J19" s="87" t="s">
        <v>228</v>
      </c>
      <c r="K19" s="87" t="s">
        <v>136</v>
      </c>
      <c r="L19" s="87">
        <v>3</v>
      </c>
      <c r="M19" s="136"/>
      <c r="N19" s="87">
        <v>8</v>
      </c>
      <c r="O19" s="87">
        <v>0.5</v>
      </c>
      <c r="P19" s="87">
        <v>0.5</v>
      </c>
      <c r="Q19" s="88">
        <f t="shared" si="0"/>
        <v>0.5</v>
      </c>
      <c r="R19" s="87">
        <v>16.600000000000001</v>
      </c>
      <c r="S19" s="87">
        <v>42</v>
      </c>
      <c r="T19" s="89">
        <f t="shared" si="1"/>
        <v>50</v>
      </c>
      <c r="U19" s="87">
        <v>498</v>
      </c>
      <c r="V19" s="89">
        <f t="shared" si="2"/>
        <v>3112.5</v>
      </c>
      <c r="W19" s="87">
        <v>1</v>
      </c>
      <c r="X19" s="87" t="s">
        <v>44</v>
      </c>
      <c r="Y19" s="87" t="s">
        <v>54</v>
      </c>
      <c r="Z19" s="87" t="s">
        <v>46</v>
      </c>
      <c r="AA19" s="87" t="s">
        <v>79</v>
      </c>
      <c r="AB19" s="87" t="s">
        <v>164</v>
      </c>
      <c r="AE19" s="34" t="s">
        <v>206</v>
      </c>
      <c r="AP19" s="99" t="s">
        <v>228</v>
      </c>
      <c r="AR19" s="95" t="s">
        <v>229</v>
      </c>
      <c r="AV19" s="95" t="s">
        <v>45</v>
      </c>
    </row>
    <row r="20" spans="1:48" s="87" customFormat="1" ht="13.5" customHeight="1">
      <c r="A20" s="87" t="s">
        <v>80</v>
      </c>
      <c r="B20" s="87" t="s">
        <v>181</v>
      </c>
      <c r="C20" s="87">
        <v>2020</v>
      </c>
      <c r="D20" s="133" t="s">
        <v>375</v>
      </c>
      <c r="E20" s="87" t="s">
        <v>307</v>
      </c>
      <c r="F20" s="87" t="s">
        <v>377</v>
      </c>
      <c r="G20" s="87" t="s">
        <v>39</v>
      </c>
      <c r="H20" s="87" t="s">
        <v>187</v>
      </c>
      <c r="I20" s="87" t="s">
        <v>41</v>
      </c>
      <c r="J20" s="87" t="s">
        <v>389</v>
      </c>
      <c r="K20" s="87" t="s">
        <v>62</v>
      </c>
      <c r="L20" s="87">
        <v>1</v>
      </c>
      <c r="M20" s="136"/>
      <c r="N20" s="87">
        <v>5</v>
      </c>
      <c r="O20" s="87">
        <v>0.6</v>
      </c>
      <c r="P20" s="87">
        <v>0.6</v>
      </c>
      <c r="Q20" s="88">
        <f t="shared" si="0"/>
        <v>0.6</v>
      </c>
      <c r="R20" s="87">
        <v>15.7</v>
      </c>
      <c r="S20" s="87">
        <v>85</v>
      </c>
      <c r="T20" s="89">
        <f t="shared" si="1"/>
        <v>36</v>
      </c>
      <c r="U20" s="87">
        <v>398</v>
      </c>
      <c r="V20" s="89">
        <f t="shared" si="2"/>
        <v>2865.6</v>
      </c>
      <c r="W20" s="87">
        <v>1</v>
      </c>
      <c r="X20" s="87" t="s">
        <v>44</v>
      </c>
      <c r="Y20" s="87" t="s">
        <v>54</v>
      </c>
      <c r="Z20" s="87" t="s">
        <v>46</v>
      </c>
      <c r="AA20" s="87" t="s">
        <v>79</v>
      </c>
      <c r="AB20" s="87" t="s">
        <v>164</v>
      </c>
      <c r="AP20" s="99" t="s">
        <v>230</v>
      </c>
      <c r="AR20" s="95" t="s">
        <v>136</v>
      </c>
      <c r="AV20" s="99" t="s">
        <v>231</v>
      </c>
    </row>
    <row r="21" spans="1:48" s="87" customFormat="1" ht="13.5" customHeight="1">
      <c r="A21" s="87" t="s">
        <v>80</v>
      </c>
      <c r="B21" s="87" t="s">
        <v>181</v>
      </c>
      <c r="C21" s="87">
        <v>2020</v>
      </c>
      <c r="D21" s="133" t="s">
        <v>375</v>
      </c>
      <c r="E21" s="87" t="s">
        <v>307</v>
      </c>
      <c r="F21" s="87" t="s">
        <v>377</v>
      </c>
      <c r="G21" s="87" t="s">
        <v>39</v>
      </c>
      <c r="H21" s="87" t="s">
        <v>187</v>
      </c>
      <c r="I21" s="87" t="s">
        <v>41</v>
      </c>
      <c r="J21" s="87" t="s">
        <v>389</v>
      </c>
      <c r="K21" s="87" t="s">
        <v>62</v>
      </c>
      <c r="L21" s="87">
        <v>2</v>
      </c>
      <c r="M21" s="136"/>
      <c r="N21" s="87">
        <v>5</v>
      </c>
      <c r="O21" s="87">
        <v>1.1000000000000001</v>
      </c>
      <c r="P21" s="87">
        <v>1.1000000000000001</v>
      </c>
      <c r="Q21" s="88">
        <f t="shared" si="0"/>
        <v>1.1000000000000001</v>
      </c>
      <c r="R21" s="87">
        <v>16.100000000000001</v>
      </c>
      <c r="S21" s="87">
        <v>83</v>
      </c>
      <c r="T21" s="89">
        <f t="shared" si="1"/>
        <v>39</v>
      </c>
      <c r="U21" s="87">
        <v>398</v>
      </c>
      <c r="V21" s="89">
        <f t="shared" si="2"/>
        <v>3104.3999999999996</v>
      </c>
      <c r="W21" s="87">
        <v>1</v>
      </c>
      <c r="X21" s="87" t="s">
        <v>44</v>
      </c>
      <c r="Y21" s="87" t="s">
        <v>54</v>
      </c>
      <c r="Z21" s="87" t="s">
        <v>46</v>
      </c>
      <c r="AA21" s="87" t="s">
        <v>79</v>
      </c>
      <c r="AB21" s="87" t="s">
        <v>164</v>
      </c>
      <c r="AP21" s="99" t="s">
        <v>232</v>
      </c>
      <c r="AR21" s="95" t="s">
        <v>139</v>
      </c>
      <c r="AV21" s="100" t="s">
        <v>233</v>
      </c>
    </row>
    <row r="22" spans="1:48" s="87" customFormat="1" ht="13.5" customHeight="1">
      <c r="A22" s="87" t="s">
        <v>80</v>
      </c>
      <c r="B22" s="87" t="s">
        <v>181</v>
      </c>
      <c r="C22" s="87">
        <v>2020</v>
      </c>
      <c r="D22" s="133" t="s">
        <v>375</v>
      </c>
      <c r="E22" s="87" t="s">
        <v>307</v>
      </c>
      <c r="F22" s="87" t="s">
        <v>377</v>
      </c>
      <c r="G22" s="87" t="s">
        <v>39</v>
      </c>
      <c r="H22" s="87" t="s">
        <v>187</v>
      </c>
      <c r="I22" s="87" t="s">
        <v>41</v>
      </c>
      <c r="J22" s="87" t="s">
        <v>389</v>
      </c>
      <c r="K22" s="87" t="s">
        <v>62</v>
      </c>
      <c r="L22" s="87">
        <v>3</v>
      </c>
      <c r="M22" s="136"/>
      <c r="N22" s="87">
        <v>5</v>
      </c>
      <c r="O22" s="87">
        <v>0.8</v>
      </c>
      <c r="P22" s="87">
        <v>0.8</v>
      </c>
      <c r="Q22" s="88">
        <f t="shared" si="0"/>
        <v>0.8</v>
      </c>
      <c r="R22" s="87">
        <v>16.7</v>
      </c>
      <c r="S22" s="87">
        <v>84</v>
      </c>
      <c r="T22" s="89">
        <f t="shared" si="1"/>
        <v>36</v>
      </c>
      <c r="U22" s="87">
        <v>398</v>
      </c>
      <c r="V22" s="89">
        <f t="shared" si="2"/>
        <v>2865.6</v>
      </c>
      <c r="W22" s="87">
        <v>1</v>
      </c>
      <c r="X22" s="87" t="s">
        <v>44</v>
      </c>
      <c r="Y22" s="87" t="s">
        <v>54</v>
      </c>
      <c r="Z22" s="87" t="s">
        <v>46</v>
      </c>
      <c r="AA22" s="87" t="s">
        <v>79</v>
      </c>
      <c r="AB22" s="87" t="s">
        <v>164</v>
      </c>
      <c r="AP22" s="99" t="s">
        <v>234</v>
      </c>
      <c r="AR22" s="95" t="s">
        <v>142</v>
      </c>
    </row>
    <row r="23" spans="1:48" s="87" customFormat="1" ht="13.5" customHeight="1">
      <c r="A23" s="87" t="s">
        <v>80</v>
      </c>
      <c r="B23" s="87" t="s">
        <v>181</v>
      </c>
      <c r="C23" s="87">
        <v>2020</v>
      </c>
      <c r="D23" s="133" t="s">
        <v>375</v>
      </c>
      <c r="E23" s="87" t="s">
        <v>307</v>
      </c>
      <c r="F23" s="87" t="s">
        <v>377</v>
      </c>
      <c r="G23" s="87" t="s">
        <v>39</v>
      </c>
      <c r="H23" s="87" t="s">
        <v>187</v>
      </c>
      <c r="I23" s="87" t="s">
        <v>41</v>
      </c>
      <c r="J23" s="87" t="s">
        <v>121</v>
      </c>
      <c r="K23" s="87" t="s">
        <v>122</v>
      </c>
      <c r="L23" s="87">
        <v>1</v>
      </c>
      <c r="M23" s="136"/>
      <c r="N23" s="87">
        <v>6</v>
      </c>
      <c r="O23" s="87">
        <v>0.6</v>
      </c>
      <c r="P23" s="87">
        <v>0.55000000000000004</v>
      </c>
      <c r="Q23" s="88">
        <f t="shared" si="0"/>
        <v>0.57499999999999996</v>
      </c>
      <c r="R23" s="87">
        <v>16.3</v>
      </c>
      <c r="S23" s="87">
        <v>61</v>
      </c>
      <c r="T23" s="89">
        <f t="shared" si="1"/>
        <v>50</v>
      </c>
      <c r="U23" s="87">
        <v>398</v>
      </c>
      <c r="V23" s="89">
        <f t="shared" si="2"/>
        <v>3316.6666666666665</v>
      </c>
      <c r="W23" s="87">
        <v>1</v>
      </c>
      <c r="X23" s="87" t="s">
        <v>44</v>
      </c>
      <c r="Y23" s="87" t="s">
        <v>54</v>
      </c>
      <c r="Z23" s="87" t="s">
        <v>46</v>
      </c>
      <c r="AA23" s="87" t="s">
        <v>79</v>
      </c>
      <c r="AB23" s="87" t="s">
        <v>164</v>
      </c>
      <c r="AP23" s="99" t="s">
        <v>240</v>
      </c>
      <c r="AR23" s="95" t="s">
        <v>88</v>
      </c>
    </row>
    <row r="24" spans="1:48" s="87" customFormat="1" ht="13.5" customHeight="1">
      <c r="A24" s="87" t="s">
        <v>80</v>
      </c>
      <c r="B24" s="87" t="s">
        <v>181</v>
      </c>
      <c r="C24" s="87">
        <v>2020</v>
      </c>
      <c r="D24" s="133" t="s">
        <v>375</v>
      </c>
      <c r="E24" s="87" t="s">
        <v>307</v>
      </c>
      <c r="F24" s="87" t="s">
        <v>377</v>
      </c>
      <c r="G24" s="87" t="s">
        <v>39</v>
      </c>
      <c r="H24" s="87" t="s">
        <v>187</v>
      </c>
      <c r="I24" s="87" t="s">
        <v>41</v>
      </c>
      <c r="J24" s="87" t="s">
        <v>121</v>
      </c>
      <c r="K24" s="87" t="s">
        <v>122</v>
      </c>
      <c r="L24" s="87">
        <v>2</v>
      </c>
      <c r="M24" s="136"/>
      <c r="N24" s="87">
        <v>6</v>
      </c>
      <c r="O24" s="87">
        <v>0.55000000000000004</v>
      </c>
      <c r="P24" s="87">
        <v>0.55000000000000004</v>
      </c>
      <c r="Q24" s="88">
        <f t="shared" si="0"/>
        <v>0.55000000000000004</v>
      </c>
      <c r="R24" s="87">
        <v>17.600000000000001</v>
      </c>
      <c r="S24" s="87">
        <v>61</v>
      </c>
      <c r="T24" s="89">
        <f t="shared" si="1"/>
        <v>50</v>
      </c>
      <c r="U24" s="87">
        <v>398</v>
      </c>
      <c r="V24" s="89">
        <f t="shared" si="2"/>
        <v>3316.6666666666665</v>
      </c>
      <c r="W24" s="87">
        <v>1</v>
      </c>
      <c r="X24" s="87" t="s">
        <v>44</v>
      </c>
      <c r="Y24" s="87" t="s">
        <v>54</v>
      </c>
      <c r="Z24" s="87" t="s">
        <v>46</v>
      </c>
      <c r="AA24" s="87" t="s">
        <v>79</v>
      </c>
      <c r="AB24" s="87" t="s">
        <v>164</v>
      </c>
      <c r="AP24" s="99" t="s">
        <v>390</v>
      </c>
      <c r="AR24" s="95" t="s">
        <v>327</v>
      </c>
    </row>
    <row r="25" spans="1:48" s="87" customFormat="1" ht="13.5" customHeight="1">
      <c r="A25" s="87" t="s">
        <v>80</v>
      </c>
      <c r="B25" s="87" t="s">
        <v>181</v>
      </c>
      <c r="C25" s="87">
        <v>2020</v>
      </c>
      <c r="D25" s="133" t="s">
        <v>375</v>
      </c>
      <c r="E25" s="87" t="s">
        <v>307</v>
      </c>
      <c r="F25" s="87" t="s">
        <v>377</v>
      </c>
      <c r="G25" s="87" t="s">
        <v>39</v>
      </c>
      <c r="H25" s="87" t="s">
        <v>187</v>
      </c>
      <c r="I25" s="87" t="s">
        <v>41</v>
      </c>
      <c r="J25" s="87" t="s">
        <v>121</v>
      </c>
      <c r="K25" s="87" t="s">
        <v>122</v>
      </c>
      <c r="L25" s="87">
        <v>3</v>
      </c>
      <c r="M25" s="136"/>
      <c r="N25" s="87">
        <v>6</v>
      </c>
      <c r="O25" s="87">
        <v>0.55000000000000004</v>
      </c>
      <c r="P25" s="87">
        <v>0.55000000000000004</v>
      </c>
      <c r="Q25" s="88">
        <f t="shared" si="0"/>
        <v>0.55000000000000004</v>
      </c>
      <c r="R25" s="87">
        <v>17</v>
      </c>
      <c r="S25" s="87">
        <v>65</v>
      </c>
      <c r="T25" s="89">
        <f t="shared" si="1"/>
        <v>50</v>
      </c>
      <c r="U25" s="87">
        <v>398</v>
      </c>
      <c r="V25" s="89">
        <f t="shared" si="2"/>
        <v>3316.6666666666665</v>
      </c>
      <c r="W25" s="87">
        <v>1</v>
      </c>
      <c r="X25" s="87" t="s">
        <v>44</v>
      </c>
      <c r="Y25" s="87" t="s">
        <v>54</v>
      </c>
      <c r="Z25" s="87" t="s">
        <v>46</v>
      </c>
      <c r="AA25" s="87" t="s">
        <v>79</v>
      </c>
      <c r="AB25" s="87" t="s">
        <v>164</v>
      </c>
      <c r="AP25" s="99" t="s">
        <v>391</v>
      </c>
      <c r="AR25" s="99" t="s">
        <v>72</v>
      </c>
    </row>
    <row r="26" spans="1:48" s="87" customFormat="1" ht="13.5" customHeight="1">
      <c r="A26" s="87" t="s">
        <v>80</v>
      </c>
      <c r="B26" s="87" t="s">
        <v>181</v>
      </c>
      <c r="C26" s="87">
        <v>2020</v>
      </c>
      <c r="D26" s="133" t="s">
        <v>375</v>
      </c>
      <c r="E26" s="87" t="s">
        <v>382</v>
      </c>
      <c r="F26" s="87" t="s">
        <v>383</v>
      </c>
      <c r="G26" s="87" t="s">
        <v>39</v>
      </c>
      <c r="H26" s="87" t="s">
        <v>40</v>
      </c>
      <c r="I26" s="87" t="s">
        <v>41</v>
      </c>
      <c r="J26" s="87" t="s">
        <v>42</v>
      </c>
      <c r="K26" s="87" t="s">
        <v>43</v>
      </c>
      <c r="L26" s="87">
        <v>1</v>
      </c>
      <c r="M26" s="136"/>
      <c r="N26" s="87">
        <v>1</v>
      </c>
      <c r="O26" s="87">
        <v>0.65</v>
      </c>
      <c r="P26" s="87">
        <v>0.65</v>
      </c>
      <c r="Q26" s="88">
        <f t="shared" si="0"/>
        <v>0.65</v>
      </c>
      <c r="R26" s="87">
        <v>12.1</v>
      </c>
      <c r="S26" s="87">
        <v>114</v>
      </c>
      <c r="T26" s="89">
        <f t="shared" si="1"/>
        <v>30</v>
      </c>
      <c r="U26" s="87">
        <v>108</v>
      </c>
      <c r="V26" s="89">
        <f t="shared" si="2"/>
        <v>3240</v>
      </c>
      <c r="W26" s="87">
        <v>1</v>
      </c>
      <c r="X26" s="87" t="s">
        <v>63</v>
      </c>
      <c r="Y26" s="87" t="s">
        <v>54</v>
      </c>
      <c r="Z26" s="87" t="s">
        <v>46</v>
      </c>
      <c r="AA26" s="87" t="s">
        <v>79</v>
      </c>
      <c r="AB26" s="87" t="s">
        <v>164</v>
      </c>
      <c r="AP26" s="99" t="s">
        <v>235</v>
      </c>
      <c r="AR26" s="87" t="s">
        <v>236</v>
      </c>
    </row>
    <row r="27" spans="1:48" s="87" customFormat="1" ht="13.5" customHeight="1">
      <c r="A27" s="87" t="s">
        <v>80</v>
      </c>
      <c r="B27" s="87" t="s">
        <v>181</v>
      </c>
      <c r="C27" s="87">
        <v>2020</v>
      </c>
      <c r="D27" s="133" t="s">
        <v>375</v>
      </c>
      <c r="E27" s="87" t="s">
        <v>382</v>
      </c>
      <c r="F27" s="87" t="s">
        <v>383</v>
      </c>
      <c r="G27" s="87" t="s">
        <v>39</v>
      </c>
      <c r="H27" s="87" t="s">
        <v>40</v>
      </c>
      <c r="I27" s="87" t="s">
        <v>41</v>
      </c>
      <c r="J27" s="87" t="s">
        <v>42</v>
      </c>
      <c r="K27" s="87" t="s">
        <v>43</v>
      </c>
      <c r="L27" s="87">
        <v>2</v>
      </c>
      <c r="M27" s="136"/>
      <c r="N27" s="87">
        <v>1</v>
      </c>
      <c r="O27" s="87">
        <v>0.75</v>
      </c>
      <c r="P27" s="87">
        <v>0.75</v>
      </c>
      <c r="Q27" s="88">
        <f t="shared" si="0"/>
        <v>0.75</v>
      </c>
      <c r="R27" s="87">
        <v>12.7</v>
      </c>
      <c r="S27" s="87">
        <v>118</v>
      </c>
      <c r="T27" s="89">
        <f t="shared" si="1"/>
        <v>30</v>
      </c>
      <c r="U27" s="87">
        <v>108</v>
      </c>
      <c r="V27" s="89">
        <f t="shared" si="2"/>
        <v>3240</v>
      </c>
      <c r="W27" s="87">
        <v>1</v>
      </c>
      <c r="X27" s="87" t="s">
        <v>63</v>
      </c>
      <c r="Y27" s="87" t="s">
        <v>54</v>
      </c>
      <c r="Z27" s="87" t="s">
        <v>46</v>
      </c>
      <c r="AA27" s="87" t="s">
        <v>79</v>
      </c>
      <c r="AB27" s="87" t="s">
        <v>164</v>
      </c>
      <c r="AP27" s="99" t="s">
        <v>237</v>
      </c>
    </row>
    <row r="28" spans="1:48" s="87" customFormat="1" ht="13.5" customHeight="1">
      <c r="A28" s="87" t="s">
        <v>80</v>
      </c>
      <c r="B28" s="87" t="s">
        <v>181</v>
      </c>
      <c r="C28" s="87">
        <v>2020</v>
      </c>
      <c r="D28" s="133" t="s">
        <v>375</v>
      </c>
      <c r="E28" s="87" t="s">
        <v>382</v>
      </c>
      <c r="F28" s="87" t="s">
        <v>383</v>
      </c>
      <c r="G28" s="87" t="s">
        <v>39</v>
      </c>
      <c r="H28" s="87" t="s">
        <v>40</v>
      </c>
      <c r="I28" s="87" t="s">
        <v>41</v>
      </c>
      <c r="J28" s="87" t="s">
        <v>42</v>
      </c>
      <c r="K28" s="87" t="s">
        <v>43</v>
      </c>
      <c r="L28" s="87">
        <v>3</v>
      </c>
      <c r="M28" s="136"/>
      <c r="N28" s="87">
        <v>1</v>
      </c>
      <c r="O28" s="87">
        <v>0.7</v>
      </c>
      <c r="P28" s="87">
        <v>0.75</v>
      </c>
      <c r="Q28" s="88">
        <f t="shared" si="0"/>
        <v>0.72499999999999998</v>
      </c>
      <c r="R28" s="87">
        <v>14.9</v>
      </c>
      <c r="S28" s="87">
        <v>121</v>
      </c>
      <c r="T28" s="89">
        <f t="shared" si="1"/>
        <v>27</v>
      </c>
      <c r="U28" s="87">
        <v>108</v>
      </c>
      <c r="V28" s="89">
        <f t="shared" si="2"/>
        <v>2916</v>
      </c>
      <c r="W28" s="87">
        <v>1</v>
      </c>
      <c r="X28" s="87" t="s">
        <v>63</v>
      </c>
      <c r="Y28" s="87" t="s">
        <v>54</v>
      </c>
      <c r="Z28" s="87" t="s">
        <v>46</v>
      </c>
      <c r="AA28" s="87" t="s">
        <v>79</v>
      </c>
      <c r="AB28" s="87" t="s">
        <v>164</v>
      </c>
      <c r="AP28" s="87" t="s">
        <v>389</v>
      </c>
    </row>
    <row r="29" spans="1:48" s="87" customFormat="1" ht="13.5" customHeight="1">
      <c r="A29" s="87" t="s">
        <v>80</v>
      </c>
      <c r="B29" s="87" t="s">
        <v>181</v>
      </c>
      <c r="C29" s="87">
        <v>2020</v>
      </c>
      <c r="D29" s="133" t="s">
        <v>375</v>
      </c>
      <c r="E29" s="87" t="s">
        <v>382</v>
      </c>
      <c r="F29" s="87" t="s">
        <v>383</v>
      </c>
      <c r="G29" s="87" t="s">
        <v>39</v>
      </c>
      <c r="H29" s="87" t="s">
        <v>40</v>
      </c>
      <c r="I29" s="87" t="s">
        <v>41</v>
      </c>
      <c r="J29" s="87" t="s">
        <v>42</v>
      </c>
      <c r="K29" s="87" t="s">
        <v>43</v>
      </c>
      <c r="L29" s="87">
        <v>1</v>
      </c>
      <c r="M29" s="136"/>
      <c r="N29" s="87">
        <v>5</v>
      </c>
      <c r="O29" s="87">
        <v>0.5</v>
      </c>
      <c r="P29" s="87">
        <v>0.55000000000000004</v>
      </c>
      <c r="Q29" s="88">
        <f t="shared" si="0"/>
        <v>0.52500000000000002</v>
      </c>
      <c r="R29" s="87">
        <v>13.3</v>
      </c>
      <c r="S29" s="87">
        <v>101</v>
      </c>
      <c r="T29" s="89">
        <f t="shared" si="1"/>
        <v>33</v>
      </c>
      <c r="U29" s="87">
        <v>398</v>
      </c>
      <c r="V29" s="89">
        <f t="shared" si="2"/>
        <v>2626.7999999999997</v>
      </c>
      <c r="W29" s="87">
        <v>2</v>
      </c>
      <c r="X29" s="87" t="s">
        <v>63</v>
      </c>
      <c r="Y29" s="87" t="s">
        <v>54</v>
      </c>
      <c r="Z29" s="87" t="s">
        <v>46</v>
      </c>
      <c r="AA29" s="87" t="s">
        <v>79</v>
      </c>
      <c r="AB29" s="87" t="s">
        <v>164</v>
      </c>
      <c r="AP29" s="87" t="s">
        <v>384</v>
      </c>
    </row>
    <row r="30" spans="1:48" s="87" customFormat="1" ht="13.5" customHeight="1">
      <c r="A30" s="87" t="s">
        <v>80</v>
      </c>
      <c r="B30" s="87" t="s">
        <v>181</v>
      </c>
      <c r="C30" s="87">
        <v>2020</v>
      </c>
      <c r="D30" s="133" t="s">
        <v>375</v>
      </c>
      <c r="E30" s="87" t="s">
        <v>382</v>
      </c>
      <c r="F30" s="87" t="s">
        <v>383</v>
      </c>
      <c r="G30" s="87" t="s">
        <v>39</v>
      </c>
      <c r="H30" s="87" t="s">
        <v>40</v>
      </c>
      <c r="I30" s="87" t="s">
        <v>41</v>
      </c>
      <c r="J30" s="87" t="s">
        <v>42</v>
      </c>
      <c r="K30" s="87" t="s">
        <v>43</v>
      </c>
      <c r="L30" s="87">
        <v>2</v>
      </c>
      <c r="M30" s="136"/>
      <c r="N30" s="87">
        <v>5</v>
      </c>
      <c r="O30" s="87">
        <v>0.6</v>
      </c>
      <c r="P30" s="87">
        <v>0.6</v>
      </c>
      <c r="Q30" s="88">
        <f t="shared" si="0"/>
        <v>0.6</v>
      </c>
      <c r="R30" s="87">
        <v>13.5</v>
      </c>
      <c r="S30" s="87">
        <v>101</v>
      </c>
      <c r="T30" s="89">
        <f t="shared" si="1"/>
        <v>33</v>
      </c>
      <c r="U30" s="87">
        <v>398</v>
      </c>
      <c r="V30" s="89">
        <f t="shared" si="2"/>
        <v>2626.7999999999997</v>
      </c>
      <c r="W30" s="87">
        <v>2</v>
      </c>
      <c r="X30" s="87" t="s">
        <v>63</v>
      </c>
      <c r="Y30" s="87" t="s">
        <v>54</v>
      </c>
      <c r="Z30" s="87" t="s">
        <v>46</v>
      </c>
      <c r="AA30" s="87" t="s">
        <v>79</v>
      </c>
      <c r="AB30" s="87" t="s">
        <v>164</v>
      </c>
    </row>
    <row r="31" spans="1:48" s="87" customFormat="1" ht="13.5" customHeight="1">
      <c r="A31" s="87" t="s">
        <v>80</v>
      </c>
      <c r="B31" s="87" t="s">
        <v>181</v>
      </c>
      <c r="C31" s="87">
        <v>2020</v>
      </c>
      <c r="D31" s="133" t="s">
        <v>375</v>
      </c>
      <c r="E31" s="87" t="s">
        <v>382</v>
      </c>
      <c r="F31" s="87" t="s">
        <v>383</v>
      </c>
      <c r="G31" s="87" t="s">
        <v>39</v>
      </c>
      <c r="H31" s="87" t="s">
        <v>40</v>
      </c>
      <c r="I31" s="87" t="s">
        <v>41</v>
      </c>
      <c r="J31" s="87" t="s">
        <v>42</v>
      </c>
      <c r="K31" s="87" t="s">
        <v>43</v>
      </c>
      <c r="L31" s="87">
        <v>3</v>
      </c>
      <c r="M31" s="136"/>
      <c r="N31" s="87">
        <v>5</v>
      </c>
      <c r="O31" s="87">
        <v>0.65</v>
      </c>
      <c r="P31" s="87">
        <v>0.6</v>
      </c>
      <c r="Q31" s="88">
        <f t="shared" si="0"/>
        <v>0.625</v>
      </c>
      <c r="R31" s="87">
        <v>14</v>
      </c>
      <c r="S31" s="87">
        <v>93</v>
      </c>
      <c r="T31" s="89">
        <f t="shared" si="1"/>
        <v>36</v>
      </c>
      <c r="U31" s="87">
        <v>398</v>
      </c>
      <c r="V31" s="89">
        <f t="shared" si="2"/>
        <v>2865.6</v>
      </c>
      <c r="W31" s="87">
        <v>2</v>
      </c>
      <c r="X31" s="87" t="s">
        <v>63</v>
      </c>
      <c r="Y31" s="87" t="s">
        <v>54</v>
      </c>
      <c r="Z31" s="87" t="s">
        <v>46</v>
      </c>
      <c r="AA31" s="87" t="s">
        <v>79</v>
      </c>
      <c r="AB31" s="87" t="s">
        <v>164</v>
      </c>
    </row>
    <row r="32" spans="1:48" s="87" customFormat="1" ht="13.5" customHeight="1">
      <c r="A32" s="87" t="s">
        <v>80</v>
      </c>
      <c r="B32" s="87" t="s">
        <v>181</v>
      </c>
      <c r="C32" s="87">
        <v>2020</v>
      </c>
      <c r="D32" s="133" t="s">
        <v>375</v>
      </c>
      <c r="E32" s="87" t="s">
        <v>382</v>
      </c>
      <c r="F32" s="87" t="s">
        <v>383</v>
      </c>
      <c r="G32" s="87" t="s">
        <v>39</v>
      </c>
      <c r="H32" s="87" t="s">
        <v>157</v>
      </c>
      <c r="I32" s="87" t="s">
        <v>41</v>
      </c>
      <c r="J32" s="87" t="s">
        <v>42</v>
      </c>
      <c r="K32" s="87" t="s">
        <v>213</v>
      </c>
      <c r="L32" s="87">
        <v>1</v>
      </c>
      <c r="M32" s="136"/>
      <c r="N32" s="87">
        <v>1</v>
      </c>
      <c r="O32" s="87">
        <v>0.6</v>
      </c>
      <c r="P32" s="87">
        <v>0.7</v>
      </c>
      <c r="Q32" s="88">
        <f t="shared" si="0"/>
        <v>0.64999999999999991</v>
      </c>
      <c r="R32" s="87">
        <v>14.3</v>
      </c>
      <c r="S32" s="87">
        <v>106</v>
      </c>
      <c r="T32" s="89">
        <f t="shared" si="1"/>
        <v>36</v>
      </c>
      <c r="U32" s="87">
        <v>138</v>
      </c>
      <c r="V32" s="89">
        <f t="shared" si="2"/>
        <v>4968</v>
      </c>
      <c r="W32" s="87">
        <v>3</v>
      </c>
      <c r="X32" s="87" t="s">
        <v>63</v>
      </c>
      <c r="Y32" s="87" t="s">
        <v>54</v>
      </c>
      <c r="Z32" s="87" t="s">
        <v>46</v>
      </c>
      <c r="AA32" s="87" t="s">
        <v>79</v>
      </c>
      <c r="AB32" s="87" t="s">
        <v>164</v>
      </c>
    </row>
    <row r="33" spans="1:28" s="87" customFormat="1" ht="13.5" customHeight="1">
      <c r="A33" s="87" t="s">
        <v>80</v>
      </c>
      <c r="B33" s="87" t="s">
        <v>181</v>
      </c>
      <c r="C33" s="87">
        <v>2020</v>
      </c>
      <c r="D33" s="133" t="s">
        <v>375</v>
      </c>
      <c r="E33" s="87" t="s">
        <v>382</v>
      </c>
      <c r="F33" s="87" t="s">
        <v>383</v>
      </c>
      <c r="G33" s="87" t="s">
        <v>39</v>
      </c>
      <c r="H33" s="87" t="s">
        <v>157</v>
      </c>
      <c r="I33" s="87" t="s">
        <v>41</v>
      </c>
      <c r="J33" s="87" t="s">
        <v>42</v>
      </c>
      <c r="K33" s="87" t="s">
        <v>213</v>
      </c>
      <c r="L33" s="87">
        <v>2</v>
      </c>
      <c r="M33" s="136"/>
      <c r="N33" s="87">
        <v>1</v>
      </c>
      <c r="O33" s="87">
        <v>0.95</v>
      </c>
      <c r="P33" s="87">
        <v>0.75</v>
      </c>
      <c r="Q33" s="88">
        <f t="shared" si="0"/>
        <v>0.85</v>
      </c>
      <c r="R33" s="87">
        <v>13.3</v>
      </c>
      <c r="S33" s="87">
        <v>98</v>
      </c>
      <c r="T33" s="89">
        <f t="shared" si="1"/>
        <v>36</v>
      </c>
      <c r="U33" s="87">
        <v>138</v>
      </c>
      <c r="V33" s="89">
        <f t="shared" si="2"/>
        <v>4968</v>
      </c>
      <c r="W33" s="87">
        <v>3</v>
      </c>
      <c r="X33" s="87" t="s">
        <v>63</v>
      </c>
      <c r="Y33" s="87" t="s">
        <v>54</v>
      </c>
      <c r="Z33" s="87" t="s">
        <v>46</v>
      </c>
      <c r="AA33" s="87" t="s">
        <v>79</v>
      </c>
      <c r="AB33" s="87" t="s">
        <v>164</v>
      </c>
    </row>
    <row r="34" spans="1:28" s="87" customFormat="1" ht="13.5" customHeight="1">
      <c r="A34" s="87" t="s">
        <v>80</v>
      </c>
      <c r="B34" s="87" t="s">
        <v>181</v>
      </c>
      <c r="C34" s="87">
        <v>2020</v>
      </c>
      <c r="D34" s="133" t="s">
        <v>375</v>
      </c>
      <c r="E34" s="87" t="s">
        <v>382</v>
      </c>
      <c r="F34" s="87" t="s">
        <v>383</v>
      </c>
      <c r="G34" s="87" t="s">
        <v>39</v>
      </c>
      <c r="H34" s="87" t="s">
        <v>157</v>
      </c>
      <c r="I34" s="87" t="s">
        <v>41</v>
      </c>
      <c r="J34" s="87" t="s">
        <v>42</v>
      </c>
      <c r="K34" s="87" t="s">
        <v>213</v>
      </c>
      <c r="L34" s="87">
        <v>3</v>
      </c>
      <c r="M34" s="136"/>
      <c r="N34" s="87">
        <v>1</v>
      </c>
      <c r="O34" s="87">
        <v>0.75</v>
      </c>
      <c r="P34" s="87">
        <v>0.75</v>
      </c>
      <c r="Q34" s="88">
        <f t="shared" si="0"/>
        <v>0.75</v>
      </c>
      <c r="R34" s="87">
        <v>13.3</v>
      </c>
      <c r="S34" s="87">
        <v>98</v>
      </c>
      <c r="T34" s="89">
        <f t="shared" si="1"/>
        <v>36</v>
      </c>
      <c r="U34" s="87">
        <v>138</v>
      </c>
      <c r="V34" s="89">
        <f t="shared" si="2"/>
        <v>4968</v>
      </c>
      <c r="W34" s="87">
        <v>3</v>
      </c>
      <c r="X34" s="87" t="s">
        <v>63</v>
      </c>
      <c r="Y34" s="87" t="s">
        <v>54</v>
      </c>
      <c r="Z34" s="87" t="s">
        <v>46</v>
      </c>
      <c r="AA34" s="87" t="s">
        <v>79</v>
      </c>
      <c r="AB34" s="87" t="s">
        <v>164</v>
      </c>
    </row>
    <row r="35" spans="1:28" s="87" customFormat="1" ht="13.5" customHeight="1">
      <c r="A35" s="87" t="s">
        <v>80</v>
      </c>
      <c r="B35" s="87" t="s">
        <v>181</v>
      </c>
      <c r="C35" s="87">
        <v>2020</v>
      </c>
      <c r="D35" s="133" t="s">
        <v>375</v>
      </c>
      <c r="E35" s="87" t="s">
        <v>385</v>
      </c>
      <c r="F35" s="87" t="s">
        <v>377</v>
      </c>
      <c r="G35" s="87" t="s">
        <v>58</v>
      </c>
      <c r="H35" s="87" t="s">
        <v>40</v>
      </c>
      <c r="I35" s="87" t="s">
        <v>41</v>
      </c>
      <c r="J35" s="87" t="s">
        <v>42</v>
      </c>
      <c r="K35" s="87" t="s">
        <v>43</v>
      </c>
      <c r="L35" s="87">
        <v>1</v>
      </c>
      <c r="M35" s="136"/>
      <c r="N35" s="87">
        <v>8</v>
      </c>
      <c r="O35" s="87">
        <v>0.8</v>
      </c>
      <c r="P35" s="87">
        <v>0.8</v>
      </c>
      <c r="Q35" s="89">
        <f t="shared" si="0"/>
        <v>0.8</v>
      </c>
      <c r="R35" s="87">
        <v>14.4</v>
      </c>
      <c r="S35" s="87">
        <v>87</v>
      </c>
      <c r="T35" s="89">
        <f t="shared" si="1"/>
        <v>36</v>
      </c>
      <c r="U35" s="87">
        <v>297</v>
      </c>
      <c r="V35" s="89">
        <f t="shared" si="2"/>
        <v>1336.5</v>
      </c>
      <c r="W35" s="87">
        <v>2</v>
      </c>
      <c r="X35" s="87" t="s">
        <v>44</v>
      </c>
      <c r="Y35" s="87" t="s">
        <v>46</v>
      </c>
      <c r="Z35" s="87" t="s">
        <v>45</v>
      </c>
      <c r="AA35" s="87" t="s">
        <v>54</v>
      </c>
      <c r="AB35" s="87" t="s">
        <v>164</v>
      </c>
    </row>
    <row r="36" spans="1:28" s="87" customFormat="1" ht="13.5" customHeight="1">
      <c r="A36" s="87" t="s">
        <v>80</v>
      </c>
      <c r="B36" s="87" t="s">
        <v>181</v>
      </c>
      <c r="C36" s="87">
        <v>2020</v>
      </c>
      <c r="D36" s="133" t="s">
        <v>375</v>
      </c>
      <c r="E36" s="87" t="s">
        <v>385</v>
      </c>
      <c r="F36" s="87" t="s">
        <v>377</v>
      </c>
      <c r="G36" s="87" t="s">
        <v>58</v>
      </c>
      <c r="H36" s="87" t="s">
        <v>40</v>
      </c>
      <c r="I36" s="87" t="s">
        <v>41</v>
      </c>
      <c r="J36" s="87" t="s">
        <v>42</v>
      </c>
      <c r="K36" s="87" t="s">
        <v>43</v>
      </c>
      <c r="L36" s="87">
        <v>2</v>
      </c>
      <c r="M36" s="136"/>
      <c r="N36" s="87">
        <v>8</v>
      </c>
      <c r="O36" s="87">
        <v>0.75</v>
      </c>
      <c r="P36" s="87">
        <v>0.8</v>
      </c>
      <c r="Q36" s="89">
        <f t="shared" si="0"/>
        <v>0.77500000000000002</v>
      </c>
      <c r="R36" s="87">
        <v>12.2</v>
      </c>
      <c r="S36" s="87">
        <v>88</v>
      </c>
      <c r="T36" s="89">
        <f t="shared" si="1"/>
        <v>36</v>
      </c>
      <c r="U36" s="87">
        <v>297</v>
      </c>
      <c r="V36" s="89">
        <f t="shared" si="2"/>
        <v>1336.5</v>
      </c>
      <c r="W36" s="87">
        <v>2</v>
      </c>
      <c r="X36" s="87" t="s">
        <v>44</v>
      </c>
      <c r="Y36" s="87" t="s">
        <v>46</v>
      </c>
      <c r="Z36" s="87" t="s">
        <v>45</v>
      </c>
      <c r="AA36" s="87" t="s">
        <v>54</v>
      </c>
      <c r="AB36" s="87" t="s">
        <v>164</v>
      </c>
    </row>
    <row r="37" spans="1:28" s="87" customFormat="1" ht="13.5" customHeight="1">
      <c r="A37" s="87" t="s">
        <v>80</v>
      </c>
      <c r="B37" s="87" t="s">
        <v>181</v>
      </c>
      <c r="C37" s="87">
        <v>2020</v>
      </c>
      <c r="D37" s="133" t="s">
        <v>375</v>
      </c>
      <c r="E37" s="87" t="s">
        <v>385</v>
      </c>
      <c r="F37" s="87" t="s">
        <v>377</v>
      </c>
      <c r="G37" s="87" t="s">
        <v>58</v>
      </c>
      <c r="H37" s="87" t="s">
        <v>40</v>
      </c>
      <c r="I37" s="87" t="s">
        <v>41</v>
      </c>
      <c r="J37" s="87" t="s">
        <v>42</v>
      </c>
      <c r="K37" s="87" t="s">
        <v>43</v>
      </c>
      <c r="L37" s="87">
        <v>3</v>
      </c>
      <c r="M37" s="136"/>
      <c r="N37" s="87">
        <v>8</v>
      </c>
      <c r="O37" s="87">
        <v>0.5</v>
      </c>
      <c r="P37" s="87">
        <v>0.5</v>
      </c>
      <c r="Q37" s="89">
        <f t="shared" si="0"/>
        <v>0.5</v>
      </c>
      <c r="R37" s="87">
        <v>14.8</v>
      </c>
      <c r="S37" s="87">
        <v>92</v>
      </c>
      <c r="T37" s="89">
        <f t="shared" si="1"/>
        <v>36</v>
      </c>
      <c r="U37" s="87">
        <v>297</v>
      </c>
      <c r="V37" s="89">
        <f t="shared" si="2"/>
        <v>1336.5</v>
      </c>
      <c r="W37" s="87">
        <v>2</v>
      </c>
      <c r="X37" s="87" t="s">
        <v>44</v>
      </c>
      <c r="Y37" s="87" t="s">
        <v>46</v>
      </c>
      <c r="Z37" s="87" t="s">
        <v>45</v>
      </c>
      <c r="AA37" s="87" t="s">
        <v>54</v>
      </c>
      <c r="AB37" s="87" t="s">
        <v>164</v>
      </c>
    </row>
    <row r="38" spans="1:28" s="87" customFormat="1" ht="13.5" customHeight="1">
      <c r="A38" s="87" t="s">
        <v>80</v>
      </c>
      <c r="B38" s="87" t="s">
        <v>181</v>
      </c>
      <c r="C38" s="87">
        <v>2020</v>
      </c>
      <c r="D38" s="133" t="s">
        <v>375</v>
      </c>
      <c r="E38" s="87" t="s">
        <v>385</v>
      </c>
      <c r="F38" s="87" t="s">
        <v>377</v>
      </c>
      <c r="G38" s="87" t="s">
        <v>58</v>
      </c>
      <c r="H38" s="87" t="s">
        <v>187</v>
      </c>
      <c r="I38" s="87" t="s">
        <v>41</v>
      </c>
      <c r="J38" s="87" t="s">
        <v>121</v>
      </c>
      <c r="K38" s="87" t="s">
        <v>122</v>
      </c>
      <c r="L38" s="87">
        <v>1</v>
      </c>
      <c r="M38" s="136"/>
      <c r="N38" s="87">
        <v>4</v>
      </c>
      <c r="O38" s="87">
        <v>0.6</v>
      </c>
      <c r="P38" s="87">
        <v>0.65</v>
      </c>
      <c r="Q38" s="89">
        <f t="shared" si="0"/>
        <v>0.625</v>
      </c>
      <c r="R38" s="87">
        <v>17.100000000000001</v>
      </c>
      <c r="S38" s="87">
        <v>73</v>
      </c>
      <c r="T38" s="89">
        <f t="shared" si="1"/>
        <v>42</v>
      </c>
      <c r="U38" s="87">
        <v>257</v>
      </c>
      <c r="V38" s="89">
        <f t="shared" si="2"/>
        <v>2698.5</v>
      </c>
      <c r="W38" s="87">
        <v>2</v>
      </c>
      <c r="X38" s="87" t="s">
        <v>44</v>
      </c>
      <c r="Y38" s="87" t="s">
        <v>46</v>
      </c>
      <c r="Z38" s="87" t="s">
        <v>45</v>
      </c>
      <c r="AA38" s="87" t="s">
        <v>54</v>
      </c>
      <c r="AB38" s="87" t="s">
        <v>164</v>
      </c>
    </row>
    <row r="39" spans="1:28" s="87" customFormat="1" ht="13.5" customHeight="1">
      <c r="A39" s="87" t="s">
        <v>80</v>
      </c>
      <c r="B39" s="87" t="s">
        <v>181</v>
      </c>
      <c r="C39" s="87">
        <v>2020</v>
      </c>
      <c r="D39" s="133" t="s">
        <v>375</v>
      </c>
      <c r="E39" s="87" t="s">
        <v>385</v>
      </c>
      <c r="F39" s="87" t="s">
        <v>377</v>
      </c>
      <c r="G39" s="87" t="s">
        <v>58</v>
      </c>
      <c r="H39" s="87" t="s">
        <v>187</v>
      </c>
      <c r="I39" s="87" t="s">
        <v>41</v>
      </c>
      <c r="J39" s="87" t="s">
        <v>121</v>
      </c>
      <c r="K39" s="87" t="s">
        <v>122</v>
      </c>
      <c r="L39" s="87">
        <v>2</v>
      </c>
      <c r="M39" s="136"/>
      <c r="N39" s="87">
        <v>4</v>
      </c>
      <c r="O39" s="87">
        <v>0.7</v>
      </c>
      <c r="P39" s="87">
        <v>0.65</v>
      </c>
      <c r="Q39" s="89">
        <f t="shared" si="0"/>
        <v>0.67500000000000004</v>
      </c>
      <c r="R39" s="87">
        <v>17.2</v>
      </c>
      <c r="S39" s="87">
        <v>77</v>
      </c>
      <c r="T39" s="89">
        <f t="shared" si="1"/>
        <v>39</v>
      </c>
      <c r="U39" s="87">
        <v>257</v>
      </c>
      <c r="V39" s="89">
        <f t="shared" si="2"/>
        <v>2505.75</v>
      </c>
      <c r="W39" s="87">
        <v>2</v>
      </c>
      <c r="X39" s="87" t="s">
        <v>44</v>
      </c>
      <c r="Y39" s="87" t="s">
        <v>46</v>
      </c>
      <c r="Z39" s="87" t="s">
        <v>45</v>
      </c>
      <c r="AA39" s="87" t="s">
        <v>54</v>
      </c>
      <c r="AB39" s="87" t="s">
        <v>164</v>
      </c>
    </row>
    <row r="40" spans="1:28" s="87" customFormat="1" ht="13.5" customHeight="1">
      <c r="A40" s="87" t="s">
        <v>80</v>
      </c>
      <c r="B40" s="87" t="s">
        <v>181</v>
      </c>
      <c r="C40" s="87">
        <v>2020</v>
      </c>
      <c r="D40" s="133" t="s">
        <v>375</v>
      </c>
      <c r="E40" s="87" t="s">
        <v>385</v>
      </c>
      <c r="F40" s="87" t="s">
        <v>377</v>
      </c>
      <c r="G40" s="87" t="s">
        <v>58</v>
      </c>
      <c r="H40" s="87" t="s">
        <v>187</v>
      </c>
      <c r="I40" s="87" t="s">
        <v>41</v>
      </c>
      <c r="J40" s="87" t="s">
        <v>121</v>
      </c>
      <c r="K40" s="87" t="s">
        <v>122</v>
      </c>
      <c r="L40" s="87">
        <v>3</v>
      </c>
      <c r="M40" s="136"/>
      <c r="N40" s="87">
        <v>4</v>
      </c>
      <c r="O40" s="87">
        <v>0.7</v>
      </c>
      <c r="P40" s="87">
        <v>0.75</v>
      </c>
      <c r="Q40" s="89">
        <f t="shared" si="0"/>
        <v>0.72499999999999998</v>
      </c>
      <c r="R40" s="87">
        <v>15.4</v>
      </c>
      <c r="S40" s="87">
        <v>71</v>
      </c>
      <c r="T40" s="89">
        <f t="shared" si="1"/>
        <v>42</v>
      </c>
      <c r="U40" s="87">
        <v>257</v>
      </c>
      <c r="V40" s="89">
        <f t="shared" si="2"/>
        <v>2698.5</v>
      </c>
      <c r="W40" s="87">
        <v>2</v>
      </c>
      <c r="X40" s="87" t="s">
        <v>44</v>
      </c>
      <c r="Y40" s="87" t="s">
        <v>46</v>
      </c>
      <c r="Z40" s="87" t="s">
        <v>45</v>
      </c>
      <c r="AA40" s="87" t="s">
        <v>54</v>
      </c>
      <c r="AB40" s="87" t="s">
        <v>164</v>
      </c>
    </row>
    <row r="41" spans="1:28" s="87" customFormat="1" ht="13.5" customHeight="1">
      <c r="A41" s="87" t="s">
        <v>80</v>
      </c>
      <c r="B41" s="87" t="s">
        <v>181</v>
      </c>
      <c r="C41" s="87">
        <v>2020</v>
      </c>
      <c r="D41" s="133" t="s">
        <v>375</v>
      </c>
      <c r="E41" s="87" t="s">
        <v>385</v>
      </c>
      <c r="F41" s="87" t="s">
        <v>377</v>
      </c>
      <c r="G41" s="87" t="s">
        <v>58</v>
      </c>
      <c r="H41" s="87" t="s">
        <v>187</v>
      </c>
      <c r="I41" s="87" t="s">
        <v>41</v>
      </c>
      <c r="J41" s="87" t="s">
        <v>121</v>
      </c>
      <c r="K41" s="87" t="s">
        <v>122</v>
      </c>
      <c r="L41" s="87">
        <v>1</v>
      </c>
      <c r="M41" s="136"/>
      <c r="N41" s="87">
        <v>9</v>
      </c>
      <c r="O41" s="87">
        <v>0.6</v>
      </c>
      <c r="P41" s="87">
        <v>0.7</v>
      </c>
      <c r="Q41" s="89">
        <f t="shared" si="0"/>
        <v>0.64999999999999991</v>
      </c>
      <c r="R41" s="87">
        <v>15.6</v>
      </c>
      <c r="S41" s="87">
        <v>58</v>
      </c>
      <c r="T41" s="89">
        <f t="shared" si="1"/>
        <v>50</v>
      </c>
      <c r="U41" s="87">
        <v>297</v>
      </c>
      <c r="V41" s="89">
        <f t="shared" si="2"/>
        <v>1650</v>
      </c>
      <c r="W41" s="87">
        <v>2</v>
      </c>
      <c r="X41" s="87" t="s">
        <v>44</v>
      </c>
      <c r="Y41" s="87" t="s">
        <v>46</v>
      </c>
      <c r="Z41" s="87" t="s">
        <v>45</v>
      </c>
      <c r="AA41" s="87" t="s">
        <v>54</v>
      </c>
      <c r="AB41" s="87" t="s">
        <v>164</v>
      </c>
    </row>
    <row r="42" spans="1:28" s="87" customFormat="1" ht="13.5" customHeight="1">
      <c r="A42" s="87" t="s">
        <v>80</v>
      </c>
      <c r="B42" s="87" t="s">
        <v>181</v>
      </c>
      <c r="C42" s="87">
        <v>2020</v>
      </c>
      <c r="D42" s="133" t="s">
        <v>375</v>
      </c>
      <c r="E42" s="87" t="s">
        <v>385</v>
      </c>
      <c r="F42" s="87" t="s">
        <v>377</v>
      </c>
      <c r="G42" s="87" t="s">
        <v>58</v>
      </c>
      <c r="H42" s="87" t="s">
        <v>187</v>
      </c>
      <c r="I42" s="87" t="s">
        <v>41</v>
      </c>
      <c r="J42" s="87" t="s">
        <v>121</v>
      </c>
      <c r="K42" s="87" t="s">
        <v>122</v>
      </c>
      <c r="L42" s="87">
        <v>2</v>
      </c>
      <c r="M42" s="136"/>
      <c r="N42" s="87">
        <v>9</v>
      </c>
      <c r="O42" s="87">
        <v>0.7</v>
      </c>
      <c r="P42" s="87">
        <v>0.7</v>
      </c>
      <c r="Q42" s="89">
        <f t="shared" si="0"/>
        <v>0.7</v>
      </c>
      <c r="R42" s="87">
        <v>16</v>
      </c>
      <c r="S42" s="87">
        <v>67</v>
      </c>
      <c r="T42" s="89">
        <f t="shared" si="1"/>
        <v>50</v>
      </c>
      <c r="U42" s="87">
        <v>297</v>
      </c>
      <c r="V42" s="89">
        <f t="shared" si="2"/>
        <v>1650</v>
      </c>
      <c r="W42" s="87">
        <v>2</v>
      </c>
      <c r="X42" s="87" t="s">
        <v>44</v>
      </c>
      <c r="Y42" s="87" t="s">
        <v>46</v>
      </c>
      <c r="Z42" s="87" t="s">
        <v>45</v>
      </c>
      <c r="AA42" s="87" t="s">
        <v>54</v>
      </c>
      <c r="AB42" s="87" t="s">
        <v>164</v>
      </c>
    </row>
    <row r="43" spans="1:28" s="87" customFormat="1" ht="13.5" customHeight="1">
      <c r="A43" s="87" t="s">
        <v>80</v>
      </c>
      <c r="B43" s="87" t="s">
        <v>181</v>
      </c>
      <c r="C43" s="87">
        <v>2020</v>
      </c>
      <c r="D43" s="133" t="s">
        <v>375</v>
      </c>
      <c r="E43" s="87" t="s">
        <v>385</v>
      </c>
      <c r="F43" s="87" t="s">
        <v>377</v>
      </c>
      <c r="G43" s="87" t="s">
        <v>58</v>
      </c>
      <c r="H43" s="87" t="s">
        <v>187</v>
      </c>
      <c r="I43" s="87" t="s">
        <v>41</v>
      </c>
      <c r="J43" s="87" t="s">
        <v>121</v>
      </c>
      <c r="K43" s="87" t="s">
        <v>122</v>
      </c>
      <c r="L43" s="87">
        <v>3</v>
      </c>
      <c r="M43" s="136"/>
      <c r="N43" s="87">
        <v>9</v>
      </c>
      <c r="O43" s="87">
        <v>0.65</v>
      </c>
      <c r="P43" s="87">
        <v>0.7</v>
      </c>
      <c r="Q43" s="89">
        <f t="shared" si="0"/>
        <v>0.67500000000000004</v>
      </c>
      <c r="R43" s="87">
        <v>15.6</v>
      </c>
      <c r="S43" s="87">
        <v>64</v>
      </c>
      <c r="T43" s="89">
        <f t="shared" si="1"/>
        <v>50</v>
      </c>
      <c r="U43" s="87">
        <v>297</v>
      </c>
      <c r="V43" s="89">
        <f t="shared" si="2"/>
        <v>1650</v>
      </c>
      <c r="W43" s="87">
        <v>2</v>
      </c>
      <c r="X43" s="87" t="s">
        <v>44</v>
      </c>
      <c r="Y43" s="87" t="s">
        <v>46</v>
      </c>
      <c r="Z43" s="87" t="s">
        <v>45</v>
      </c>
      <c r="AA43" s="87" t="s">
        <v>54</v>
      </c>
      <c r="AB43" s="87" t="s">
        <v>164</v>
      </c>
    </row>
    <row r="44" spans="1:28" s="87" customFormat="1" ht="13.5" customHeight="1">
      <c r="A44" s="87" t="s">
        <v>80</v>
      </c>
      <c r="B44" s="87" t="s">
        <v>181</v>
      </c>
      <c r="C44" s="87">
        <v>2020</v>
      </c>
      <c r="D44" s="133" t="s">
        <v>375</v>
      </c>
      <c r="E44" s="87" t="s">
        <v>307</v>
      </c>
      <c r="F44" s="87" t="s">
        <v>387</v>
      </c>
      <c r="G44" s="87" t="s">
        <v>39</v>
      </c>
      <c r="H44" s="87" t="s">
        <v>40</v>
      </c>
      <c r="I44" s="87" t="s">
        <v>41</v>
      </c>
      <c r="J44" s="87" t="s">
        <v>42</v>
      </c>
      <c r="K44" s="87" t="s">
        <v>43</v>
      </c>
      <c r="L44" s="87">
        <v>1</v>
      </c>
      <c r="M44" s="136"/>
      <c r="N44" s="87">
        <v>1</v>
      </c>
      <c r="O44" s="87">
        <v>0.7</v>
      </c>
      <c r="P44" s="87">
        <v>0.7</v>
      </c>
      <c r="Q44" s="89">
        <f t="shared" si="0"/>
        <v>0.7</v>
      </c>
      <c r="R44" s="87">
        <v>11.9</v>
      </c>
      <c r="S44" s="87">
        <v>107</v>
      </c>
      <c r="T44" s="89">
        <f t="shared" si="1"/>
        <v>33</v>
      </c>
      <c r="U44" s="87">
        <v>98</v>
      </c>
      <c r="V44" s="89">
        <f t="shared" si="2"/>
        <v>3234</v>
      </c>
      <c r="W44" s="87">
        <v>1</v>
      </c>
      <c r="X44" s="87" t="s">
        <v>44</v>
      </c>
      <c r="Y44" s="87" t="s">
        <v>46</v>
      </c>
      <c r="Z44" s="87" t="s">
        <v>54</v>
      </c>
      <c r="AA44" s="87" t="s">
        <v>45</v>
      </c>
      <c r="AB44" s="87" t="s">
        <v>164</v>
      </c>
    </row>
    <row r="45" spans="1:28" s="87" customFormat="1" ht="13.5" customHeight="1">
      <c r="A45" s="87" t="s">
        <v>80</v>
      </c>
      <c r="B45" s="87" t="s">
        <v>181</v>
      </c>
      <c r="C45" s="87">
        <v>2020</v>
      </c>
      <c r="D45" s="133" t="s">
        <v>375</v>
      </c>
      <c r="E45" s="87" t="s">
        <v>307</v>
      </c>
      <c r="F45" s="87" t="s">
        <v>387</v>
      </c>
      <c r="G45" s="87" t="s">
        <v>39</v>
      </c>
      <c r="H45" s="87" t="s">
        <v>40</v>
      </c>
      <c r="I45" s="87" t="s">
        <v>41</v>
      </c>
      <c r="J45" s="87" t="s">
        <v>42</v>
      </c>
      <c r="K45" s="87" t="s">
        <v>43</v>
      </c>
      <c r="L45" s="87">
        <v>2</v>
      </c>
      <c r="M45" s="136"/>
      <c r="N45" s="87">
        <v>1</v>
      </c>
      <c r="O45" s="87">
        <v>0.85</v>
      </c>
      <c r="P45" s="87">
        <v>0.85</v>
      </c>
      <c r="Q45" s="89">
        <f t="shared" si="0"/>
        <v>0.85</v>
      </c>
      <c r="R45" s="87">
        <v>12.2</v>
      </c>
      <c r="S45" s="87">
        <v>113</v>
      </c>
      <c r="T45" s="89">
        <f t="shared" si="1"/>
        <v>30</v>
      </c>
      <c r="U45" s="87">
        <v>98</v>
      </c>
      <c r="V45" s="89">
        <f t="shared" si="2"/>
        <v>2940</v>
      </c>
      <c r="W45" s="87">
        <v>1</v>
      </c>
      <c r="X45" s="87" t="s">
        <v>44</v>
      </c>
      <c r="Y45" s="87" t="s">
        <v>46</v>
      </c>
      <c r="Z45" s="87" t="s">
        <v>54</v>
      </c>
      <c r="AA45" s="87" t="s">
        <v>45</v>
      </c>
      <c r="AB45" s="87" t="s">
        <v>164</v>
      </c>
    </row>
    <row r="46" spans="1:28" s="87" customFormat="1" ht="13.5" customHeight="1">
      <c r="A46" s="87" t="s">
        <v>80</v>
      </c>
      <c r="B46" s="87" t="s">
        <v>181</v>
      </c>
      <c r="C46" s="87">
        <v>2020</v>
      </c>
      <c r="D46" s="133" t="s">
        <v>375</v>
      </c>
      <c r="E46" s="87" t="s">
        <v>307</v>
      </c>
      <c r="F46" s="87" t="s">
        <v>387</v>
      </c>
      <c r="G46" s="87" t="s">
        <v>39</v>
      </c>
      <c r="H46" s="87" t="s">
        <v>40</v>
      </c>
      <c r="I46" s="87" t="s">
        <v>41</v>
      </c>
      <c r="J46" s="87" t="s">
        <v>42</v>
      </c>
      <c r="K46" s="87" t="s">
        <v>43</v>
      </c>
      <c r="L46" s="87">
        <v>3</v>
      </c>
      <c r="M46" s="136"/>
      <c r="N46" s="87">
        <v>1</v>
      </c>
      <c r="O46" s="87">
        <v>0.75</v>
      </c>
      <c r="P46" s="87">
        <v>0.75</v>
      </c>
      <c r="Q46" s="89">
        <f t="shared" si="0"/>
        <v>0.75</v>
      </c>
      <c r="R46" s="87">
        <v>12.4</v>
      </c>
      <c r="S46" s="87">
        <v>104</v>
      </c>
      <c r="T46" s="89">
        <f t="shared" si="1"/>
        <v>33</v>
      </c>
      <c r="U46" s="87">
        <v>98</v>
      </c>
      <c r="V46" s="89">
        <f t="shared" si="2"/>
        <v>3234</v>
      </c>
      <c r="W46" s="87">
        <v>1</v>
      </c>
      <c r="X46" s="87" t="s">
        <v>44</v>
      </c>
      <c r="Y46" s="87" t="s">
        <v>46</v>
      </c>
      <c r="Z46" s="87" t="s">
        <v>54</v>
      </c>
      <c r="AA46" s="87" t="s">
        <v>45</v>
      </c>
      <c r="AB46" s="87" t="s">
        <v>164</v>
      </c>
    </row>
    <row r="47" spans="1:28" s="87" customFormat="1" ht="13.5" customHeight="1">
      <c r="A47" s="87" t="s">
        <v>80</v>
      </c>
      <c r="B47" s="87" t="s">
        <v>181</v>
      </c>
      <c r="C47" s="87">
        <v>2020</v>
      </c>
      <c r="D47" s="133" t="s">
        <v>375</v>
      </c>
      <c r="E47" s="87" t="s">
        <v>307</v>
      </c>
      <c r="F47" s="87" t="s">
        <v>387</v>
      </c>
      <c r="G47" s="87" t="s">
        <v>39</v>
      </c>
      <c r="H47" s="87" t="s">
        <v>187</v>
      </c>
      <c r="I47" s="87" t="s">
        <v>41</v>
      </c>
      <c r="J47" s="87" t="s">
        <v>121</v>
      </c>
      <c r="K47" s="87" t="s">
        <v>122</v>
      </c>
      <c r="L47" s="87">
        <v>1</v>
      </c>
      <c r="M47" s="136"/>
      <c r="N47" s="87">
        <v>6</v>
      </c>
      <c r="O47" s="87">
        <v>0.5</v>
      </c>
      <c r="P47" s="87">
        <v>0.6</v>
      </c>
      <c r="Q47" s="89">
        <f t="shared" si="0"/>
        <v>0.55000000000000004</v>
      </c>
      <c r="R47" s="87">
        <v>17.8</v>
      </c>
      <c r="S47" s="87">
        <v>62</v>
      </c>
      <c r="T47" s="89">
        <f t="shared" si="1"/>
        <v>50</v>
      </c>
      <c r="U47" s="87">
        <v>398</v>
      </c>
      <c r="V47" s="89">
        <f t="shared" si="2"/>
        <v>3316.6666666666665</v>
      </c>
      <c r="W47" s="87">
        <v>1</v>
      </c>
      <c r="X47" s="87" t="s">
        <v>44</v>
      </c>
      <c r="Y47" s="87" t="s">
        <v>46</v>
      </c>
      <c r="Z47" s="87" t="s">
        <v>54</v>
      </c>
      <c r="AA47" s="87" t="s">
        <v>45</v>
      </c>
      <c r="AB47" s="87" t="s">
        <v>164</v>
      </c>
    </row>
    <row r="48" spans="1:28" s="87" customFormat="1" ht="13.5" customHeight="1">
      <c r="A48" s="87" t="s">
        <v>80</v>
      </c>
      <c r="B48" s="87" t="s">
        <v>181</v>
      </c>
      <c r="C48" s="87">
        <v>2020</v>
      </c>
      <c r="D48" s="133" t="s">
        <v>375</v>
      </c>
      <c r="E48" s="87" t="s">
        <v>307</v>
      </c>
      <c r="F48" s="87" t="s">
        <v>387</v>
      </c>
      <c r="G48" s="87" t="s">
        <v>39</v>
      </c>
      <c r="H48" s="87" t="s">
        <v>187</v>
      </c>
      <c r="I48" s="87" t="s">
        <v>41</v>
      </c>
      <c r="J48" s="87" t="s">
        <v>121</v>
      </c>
      <c r="K48" s="87" t="s">
        <v>122</v>
      </c>
      <c r="L48" s="87">
        <v>2</v>
      </c>
      <c r="M48" s="136"/>
      <c r="N48" s="87">
        <v>6</v>
      </c>
      <c r="O48" s="87">
        <v>0.6</v>
      </c>
      <c r="P48" s="87">
        <v>0.7</v>
      </c>
      <c r="Q48" s="89">
        <f t="shared" si="0"/>
        <v>0.64999999999999991</v>
      </c>
      <c r="R48" s="87">
        <v>16.5</v>
      </c>
      <c r="S48" s="87">
        <v>68</v>
      </c>
      <c r="T48" s="89">
        <f t="shared" si="1"/>
        <v>50</v>
      </c>
      <c r="U48" s="87">
        <v>398</v>
      </c>
      <c r="V48" s="89">
        <f t="shared" si="2"/>
        <v>3316.6666666666665</v>
      </c>
      <c r="W48" s="87">
        <v>1</v>
      </c>
      <c r="X48" s="87" t="s">
        <v>44</v>
      </c>
      <c r="Y48" s="87" t="s">
        <v>46</v>
      </c>
      <c r="Z48" s="87" t="s">
        <v>54</v>
      </c>
      <c r="AA48" s="87" t="s">
        <v>45</v>
      </c>
      <c r="AB48" s="87" t="s">
        <v>164</v>
      </c>
    </row>
    <row r="49" spans="1:28" s="87" customFormat="1" ht="13.5" customHeight="1">
      <c r="A49" s="87" t="s">
        <v>80</v>
      </c>
      <c r="B49" s="87" t="s">
        <v>181</v>
      </c>
      <c r="C49" s="87">
        <v>2020</v>
      </c>
      <c r="D49" s="133" t="s">
        <v>375</v>
      </c>
      <c r="E49" s="87" t="s">
        <v>307</v>
      </c>
      <c r="F49" s="87" t="s">
        <v>387</v>
      </c>
      <c r="G49" s="87" t="s">
        <v>39</v>
      </c>
      <c r="H49" s="87" t="s">
        <v>187</v>
      </c>
      <c r="I49" s="87" t="s">
        <v>41</v>
      </c>
      <c r="J49" s="87" t="s">
        <v>121</v>
      </c>
      <c r="K49" s="87" t="s">
        <v>122</v>
      </c>
      <c r="L49" s="87">
        <v>3</v>
      </c>
      <c r="M49" s="136"/>
      <c r="N49" s="87">
        <v>6</v>
      </c>
      <c r="O49" s="87">
        <v>0.6</v>
      </c>
      <c r="P49" s="87">
        <v>0.6</v>
      </c>
      <c r="Q49" s="89">
        <f t="shared" si="0"/>
        <v>0.6</v>
      </c>
      <c r="R49" s="87">
        <v>17.3</v>
      </c>
      <c r="S49" s="87">
        <v>68</v>
      </c>
      <c r="T49" s="89">
        <f t="shared" si="1"/>
        <v>50</v>
      </c>
      <c r="U49" s="87">
        <v>398</v>
      </c>
      <c r="V49" s="89">
        <f t="shared" si="2"/>
        <v>3316.6666666666665</v>
      </c>
      <c r="W49" s="87">
        <v>1</v>
      </c>
      <c r="X49" s="87" t="s">
        <v>44</v>
      </c>
      <c r="Y49" s="87" t="s">
        <v>46</v>
      </c>
      <c r="Z49" s="87" t="s">
        <v>54</v>
      </c>
      <c r="AA49" s="87" t="s">
        <v>45</v>
      </c>
      <c r="AB49" s="87" t="s">
        <v>164</v>
      </c>
    </row>
    <row r="50" spans="1:28" s="87" customFormat="1" ht="13.5" customHeight="1">
      <c r="A50" s="87" t="s">
        <v>80</v>
      </c>
      <c r="B50" s="87" t="s">
        <v>181</v>
      </c>
      <c r="C50" s="87">
        <v>2020</v>
      </c>
      <c r="D50" s="133" t="s">
        <v>375</v>
      </c>
      <c r="E50" s="87" t="s">
        <v>388</v>
      </c>
      <c r="F50" s="87" t="s">
        <v>387</v>
      </c>
      <c r="G50" s="87" t="s">
        <v>58</v>
      </c>
      <c r="H50" s="87" t="s">
        <v>185</v>
      </c>
      <c r="I50" s="87" t="s">
        <v>41</v>
      </c>
      <c r="J50" s="87" t="s">
        <v>85</v>
      </c>
      <c r="K50" s="87" t="s">
        <v>78</v>
      </c>
      <c r="L50" s="87">
        <v>1</v>
      </c>
      <c r="M50" s="136"/>
      <c r="N50" s="87">
        <v>1</v>
      </c>
      <c r="O50" s="87">
        <v>0.7</v>
      </c>
      <c r="P50" s="87">
        <v>0.75</v>
      </c>
      <c r="Q50" s="89">
        <f t="shared" si="0"/>
        <v>0.72499999999999998</v>
      </c>
      <c r="R50" s="87">
        <v>15.3</v>
      </c>
      <c r="S50" s="87">
        <v>136</v>
      </c>
      <c r="T50" s="89">
        <f t="shared" si="1"/>
        <v>25</v>
      </c>
      <c r="U50" s="87">
        <v>146</v>
      </c>
      <c r="V50" s="89">
        <f t="shared" si="2"/>
        <v>3650</v>
      </c>
      <c r="W50" s="87">
        <v>1</v>
      </c>
      <c r="X50" s="87" t="s">
        <v>44</v>
      </c>
      <c r="Y50" s="87" t="s">
        <v>46</v>
      </c>
      <c r="Z50" s="87" t="s">
        <v>54</v>
      </c>
      <c r="AA50" s="87" t="s">
        <v>45</v>
      </c>
      <c r="AB50" s="87" t="s">
        <v>164</v>
      </c>
    </row>
    <row r="51" spans="1:28" s="87" customFormat="1" ht="13.5" customHeight="1">
      <c r="A51" s="87" t="s">
        <v>80</v>
      </c>
      <c r="B51" s="87" t="s">
        <v>181</v>
      </c>
      <c r="C51" s="87">
        <v>2020</v>
      </c>
      <c r="D51" s="133" t="s">
        <v>375</v>
      </c>
      <c r="E51" s="87" t="s">
        <v>388</v>
      </c>
      <c r="F51" s="87" t="s">
        <v>387</v>
      </c>
      <c r="G51" s="87" t="s">
        <v>58</v>
      </c>
      <c r="H51" s="87" t="s">
        <v>185</v>
      </c>
      <c r="I51" s="87" t="s">
        <v>41</v>
      </c>
      <c r="J51" s="87" t="s">
        <v>85</v>
      </c>
      <c r="K51" s="87" t="s">
        <v>78</v>
      </c>
      <c r="L51" s="87">
        <v>2</v>
      </c>
      <c r="M51" s="136"/>
      <c r="N51" s="87">
        <v>1</v>
      </c>
      <c r="O51" s="87">
        <v>0.65</v>
      </c>
      <c r="P51" s="87">
        <v>0.65</v>
      </c>
      <c r="Q51" s="89">
        <f t="shared" si="0"/>
        <v>0.65</v>
      </c>
      <c r="R51" s="87">
        <v>13.4</v>
      </c>
      <c r="S51" s="87">
        <v>128</v>
      </c>
      <c r="T51" s="89">
        <f t="shared" si="1"/>
        <v>27</v>
      </c>
      <c r="U51" s="87">
        <v>146</v>
      </c>
      <c r="V51" s="89">
        <f t="shared" si="2"/>
        <v>3942</v>
      </c>
      <c r="W51" s="87">
        <v>1</v>
      </c>
      <c r="X51" s="87" t="s">
        <v>44</v>
      </c>
      <c r="Y51" s="87" t="s">
        <v>46</v>
      </c>
      <c r="Z51" s="87" t="s">
        <v>54</v>
      </c>
      <c r="AA51" s="87" t="s">
        <v>45</v>
      </c>
      <c r="AB51" s="87" t="s">
        <v>164</v>
      </c>
    </row>
    <row r="52" spans="1:28" s="87" customFormat="1" ht="13.5" customHeight="1">
      <c r="A52" s="87" t="s">
        <v>80</v>
      </c>
      <c r="B52" s="87" t="s">
        <v>181</v>
      </c>
      <c r="C52" s="87">
        <v>2020</v>
      </c>
      <c r="D52" s="133" t="s">
        <v>375</v>
      </c>
      <c r="E52" s="87" t="s">
        <v>388</v>
      </c>
      <c r="F52" s="87" t="s">
        <v>387</v>
      </c>
      <c r="G52" s="87" t="s">
        <v>58</v>
      </c>
      <c r="H52" s="87" t="s">
        <v>185</v>
      </c>
      <c r="I52" s="87" t="s">
        <v>41</v>
      </c>
      <c r="J52" s="87" t="s">
        <v>85</v>
      </c>
      <c r="K52" s="87" t="s">
        <v>78</v>
      </c>
      <c r="L52" s="87">
        <v>3</v>
      </c>
      <c r="M52" s="136"/>
      <c r="N52" s="87">
        <v>1</v>
      </c>
      <c r="O52" s="87">
        <v>0.6</v>
      </c>
      <c r="P52" s="87">
        <v>0.55000000000000004</v>
      </c>
      <c r="Q52" s="89">
        <f t="shared" si="0"/>
        <v>0.57499999999999996</v>
      </c>
      <c r="R52" s="87">
        <v>14.4</v>
      </c>
      <c r="S52" s="87">
        <v>147</v>
      </c>
      <c r="T52" s="89">
        <f t="shared" si="1"/>
        <v>22</v>
      </c>
      <c r="U52" s="87">
        <v>146</v>
      </c>
      <c r="V52" s="89">
        <f t="shared" si="2"/>
        <v>3212</v>
      </c>
      <c r="W52" s="87">
        <v>1</v>
      </c>
      <c r="X52" s="87" t="s">
        <v>44</v>
      </c>
      <c r="Y52" s="87" t="s">
        <v>46</v>
      </c>
      <c r="Z52" s="87" t="s">
        <v>54</v>
      </c>
      <c r="AA52" s="87" t="s">
        <v>45</v>
      </c>
      <c r="AB52" s="87" t="s">
        <v>164</v>
      </c>
    </row>
    <row r="53" spans="1:28" s="87" customFormat="1" ht="13.5" customHeight="1">
      <c r="A53" s="87" t="s">
        <v>80</v>
      </c>
      <c r="B53" s="87" t="s">
        <v>181</v>
      </c>
      <c r="C53" s="87">
        <v>2020</v>
      </c>
      <c r="D53" s="133" t="s">
        <v>375</v>
      </c>
      <c r="E53" s="87" t="s">
        <v>378</v>
      </c>
      <c r="F53" s="87" t="s">
        <v>379</v>
      </c>
      <c r="G53" s="87" t="s">
        <v>58</v>
      </c>
      <c r="H53" s="87" t="s">
        <v>40</v>
      </c>
      <c r="I53" s="87" t="s">
        <v>41</v>
      </c>
      <c r="J53" s="87" t="s">
        <v>42</v>
      </c>
      <c r="K53" s="87" t="s">
        <v>43</v>
      </c>
      <c r="L53" s="87">
        <v>1</v>
      </c>
      <c r="M53" s="136"/>
      <c r="N53" s="87">
        <v>8</v>
      </c>
      <c r="O53" s="87">
        <v>0.95</v>
      </c>
      <c r="P53" s="87">
        <v>0.9</v>
      </c>
      <c r="Q53" s="89">
        <f t="shared" si="0"/>
        <v>0.92500000000000004</v>
      </c>
      <c r="R53" s="87">
        <v>12.5</v>
      </c>
      <c r="S53" s="87">
        <v>82</v>
      </c>
      <c r="T53" s="89">
        <f t="shared" si="1"/>
        <v>39</v>
      </c>
      <c r="U53" s="87">
        <v>297</v>
      </c>
      <c r="V53" s="89">
        <f t="shared" si="2"/>
        <v>1447.875</v>
      </c>
      <c r="W53" s="87">
        <v>1</v>
      </c>
      <c r="X53" s="87" t="s">
        <v>44</v>
      </c>
      <c r="Y53" s="87" t="s">
        <v>46</v>
      </c>
      <c r="Z53" s="87" t="s">
        <v>45</v>
      </c>
      <c r="AA53" s="87" t="s">
        <v>54</v>
      </c>
      <c r="AB53" s="87" t="s">
        <v>164</v>
      </c>
    </row>
    <row r="54" spans="1:28" s="87" customFormat="1" ht="13.5" customHeight="1">
      <c r="A54" s="87" t="s">
        <v>80</v>
      </c>
      <c r="B54" s="87" t="s">
        <v>181</v>
      </c>
      <c r="C54" s="87">
        <v>2020</v>
      </c>
      <c r="D54" s="133" t="s">
        <v>375</v>
      </c>
      <c r="E54" s="87" t="s">
        <v>378</v>
      </c>
      <c r="F54" s="87" t="s">
        <v>379</v>
      </c>
      <c r="G54" s="87" t="s">
        <v>58</v>
      </c>
      <c r="H54" s="87" t="s">
        <v>40</v>
      </c>
      <c r="I54" s="87" t="s">
        <v>41</v>
      </c>
      <c r="J54" s="87" t="s">
        <v>42</v>
      </c>
      <c r="K54" s="87" t="s">
        <v>43</v>
      </c>
      <c r="L54" s="87">
        <v>2</v>
      </c>
      <c r="M54" s="136"/>
      <c r="N54" s="87">
        <v>8</v>
      </c>
      <c r="O54" s="87">
        <v>0.65</v>
      </c>
      <c r="P54" s="87">
        <v>0.75</v>
      </c>
      <c r="Q54" s="89">
        <f t="shared" si="0"/>
        <v>0.7</v>
      </c>
      <c r="R54" s="87">
        <v>14.9</v>
      </c>
      <c r="S54" s="87">
        <v>84</v>
      </c>
      <c r="T54" s="89">
        <f t="shared" si="1"/>
        <v>36</v>
      </c>
      <c r="U54" s="87">
        <v>297</v>
      </c>
      <c r="V54" s="89">
        <f t="shared" si="2"/>
        <v>1336.5</v>
      </c>
      <c r="W54" s="87">
        <v>1</v>
      </c>
      <c r="X54" s="87" t="s">
        <v>44</v>
      </c>
      <c r="Y54" s="87" t="s">
        <v>46</v>
      </c>
      <c r="Z54" s="87" t="s">
        <v>45</v>
      </c>
      <c r="AA54" s="87" t="s">
        <v>54</v>
      </c>
      <c r="AB54" s="87" t="s">
        <v>164</v>
      </c>
    </row>
    <row r="55" spans="1:28" s="87" customFormat="1" ht="13.5" customHeight="1">
      <c r="A55" s="87" t="s">
        <v>80</v>
      </c>
      <c r="B55" s="87" t="s">
        <v>181</v>
      </c>
      <c r="C55" s="87">
        <v>2020</v>
      </c>
      <c r="D55" s="133" t="s">
        <v>375</v>
      </c>
      <c r="E55" s="87" t="s">
        <v>378</v>
      </c>
      <c r="F55" s="87" t="s">
        <v>379</v>
      </c>
      <c r="G55" s="87" t="s">
        <v>58</v>
      </c>
      <c r="H55" s="87" t="s">
        <v>40</v>
      </c>
      <c r="I55" s="87" t="s">
        <v>41</v>
      </c>
      <c r="J55" s="87" t="s">
        <v>42</v>
      </c>
      <c r="K55" s="87" t="s">
        <v>43</v>
      </c>
      <c r="L55" s="87">
        <v>3</v>
      </c>
      <c r="M55" s="136"/>
      <c r="N55" s="87">
        <v>8</v>
      </c>
      <c r="O55" s="87">
        <v>1.05</v>
      </c>
      <c r="P55" s="87">
        <v>0.9</v>
      </c>
      <c r="Q55" s="89">
        <f t="shared" si="0"/>
        <v>0.97500000000000009</v>
      </c>
      <c r="R55" s="87">
        <v>15.8</v>
      </c>
      <c r="S55" s="87">
        <v>87</v>
      </c>
      <c r="T55" s="89">
        <f t="shared" si="1"/>
        <v>36</v>
      </c>
      <c r="U55" s="87">
        <v>297</v>
      </c>
      <c r="V55" s="89">
        <f t="shared" si="2"/>
        <v>1336.5</v>
      </c>
      <c r="W55" s="87">
        <v>1</v>
      </c>
      <c r="X55" s="87" t="s">
        <v>44</v>
      </c>
      <c r="Y55" s="87" t="s">
        <v>46</v>
      </c>
      <c r="Z55" s="87" t="s">
        <v>45</v>
      </c>
      <c r="AA55" s="87" t="s">
        <v>54</v>
      </c>
      <c r="AB55" s="87" t="s">
        <v>164</v>
      </c>
    </row>
    <row r="56" spans="1:28" s="87" customFormat="1" ht="13.5" customHeight="1">
      <c r="A56" s="87" t="s">
        <v>80</v>
      </c>
      <c r="B56" s="87" t="s">
        <v>181</v>
      </c>
      <c r="C56" s="87">
        <v>2020</v>
      </c>
      <c r="D56" s="133" t="s">
        <v>375</v>
      </c>
      <c r="E56" s="87" t="s">
        <v>378</v>
      </c>
      <c r="F56" s="87" t="s">
        <v>379</v>
      </c>
      <c r="G56" s="87" t="s">
        <v>58</v>
      </c>
      <c r="H56" s="87" t="s">
        <v>187</v>
      </c>
      <c r="I56" s="87" t="s">
        <v>41</v>
      </c>
      <c r="J56" s="87" t="s">
        <v>121</v>
      </c>
      <c r="K56" s="87" t="s">
        <v>122</v>
      </c>
      <c r="L56" s="87">
        <v>1</v>
      </c>
      <c r="M56" s="136"/>
      <c r="N56" s="87">
        <v>4</v>
      </c>
      <c r="O56" s="87">
        <v>0.75</v>
      </c>
      <c r="P56" s="87">
        <v>0.75</v>
      </c>
      <c r="Q56" s="89">
        <f t="shared" si="0"/>
        <v>0.75</v>
      </c>
      <c r="R56" s="87">
        <v>16.5</v>
      </c>
      <c r="S56" s="87">
        <v>78</v>
      </c>
      <c r="T56" s="89">
        <f t="shared" si="1"/>
        <v>39</v>
      </c>
      <c r="U56" s="87">
        <v>197</v>
      </c>
      <c r="V56" s="89">
        <f t="shared" si="2"/>
        <v>1920.75</v>
      </c>
      <c r="W56" s="87">
        <v>1</v>
      </c>
      <c r="X56" s="87" t="s">
        <v>44</v>
      </c>
      <c r="Y56" s="87" t="s">
        <v>46</v>
      </c>
      <c r="Z56" s="87" t="s">
        <v>45</v>
      </c>
      <c r="AA56" s="87" t="s">
        <v>54</v>
      </c>
      <c r="AB56" s="87" t="s">
        <v>164</v>
      </c>
    </row>
    <row r="57" spans="1:28" s="87" customFormat="1" ht="13.5" customHeight="1">
      <c r="A57" s="87" t="s">
        <v>80</v>
      </c>
      <c r="B57" s="87" t="s">
        <v>181</v>
      </c>
      <c r="C57" s="87">
        <v>2020</v>
      </c>
      <c r="D57" s="133" t="s">
        <v>375</v>
      </c>
      <c r="E57" s="87" t="s">
        <v>378</v>
      </c>
      <c r="F57" s="87" t="s">
        <v>379</v>
      </c>
      <c r="G57" s="87" t="s">
        <v>58</v>
      </c>
      <c r="H57" s="87" t="s">
        <v>187</v>
      </c>
      <c r="I57" s="87" t="s">
        <v>41</v>
      </c>
      <c r="J57" s="87" t="s">
        <v>121</v>
      </c>
      <c r="K57" s="87" t="s">
        <v>122</v>
      </c>
      <c r="L57" s="87">
        <v>2</v>
      </c>
      <c r="M57" s="136"/>
      <c r="N57" s="87">
        <v>4</v>
      </c>
      <c r="O57" s="87">
        <v>0.75</v>
      </c>
      <c r="P57" s="87">
        <v>0.8</v>
      </c>
      <c r="Q57" s="89">
        <f t="shared" si="0"/>
        <v>0.77500000000000002</v>
      </c>
      <c r="R57" s="87">
        <v>15.5</v>
      </c>
      <c r="S57" s="87">
        <v>84</v>
      </c>
      <c r="T57" s="89">
        <f t="shared" si="1"/>
        <v>36</v>
      </c>
      <c r="U57" s="87">
        <v>197</v>
      </c>
      <c r="V57" s="89">
        <f t="shared" si="2"/>
        <v>1773</v>
      </c>
      <c r="W57" s="87">
        <v>1</v>
      </c>
      <c r="X57" s="87" t="s">
        <v>44</v>
      </c>
      <c r="Y57" s="87" t="s">
        <v>46</v>
      </c>
      <c r="Z57" s="87" t="s">
        <v>45</v>
      </c>
      <c r="AA57" s="87" t="s">
        <v>54</v>
      </c>
      <c r="AB57" s="87" t="s">
        <v>164</v>
      </c>
    </row>
    <row r="58" spans="1:28" s="87" customFormat="1" ht="13.5" customHeight="1">
      <c r="A58" s="87" t="s">
        <v>80</v>
      </c>
      <c r="B58" s="87" t="s">
        <v>181</v>
      </c>
      <c r="C58" s="87">
        <v>2020</v>
      </c>
      <c r="D58" s="133" t="s">
        <v>375</v>
      </c>
      <c r="E58" s="87" t="s">
        <v>378</v>
      </c>
      <c r="F58" s="87" t="s">
        <v>379</v>
      </c>
      <c r="G58" s="87" t="s">
        <v>58</v>
      </c>
      <c r="H58" s="87" t="s">
        <v>187</v>
      </c>
      <c r="I58" s="87" t="s">
        <v>41</v>
      </c>
      <c r="J58" s="87" t="s">
        <v>121</v>
      </c>
      <c r="K58" s="87" t="s">
        <v>122</v>
      </c>
      <c r="L58" s="87">
        <v>3</v>
      </c>
      <c r="M58" s="136"/>
      <c r="N58" s="87">
        <v>4</v>
      </c>
      <c r="O58" s="87">
        <v>0.6</v>
      </c>
      <c r="P58" s="87">
        <v>0.7</v>
      </c>
      <c r="Q58" s="89">
        <f t="shared" si="0"/>
        <v>0.64999999999999991</v>
      </c>
      <c r="R58" s="87">
        <v>13.7</v>
      </c>
      <c r="S58" s="87">
        <v>78</v>
      </c>
      <c r="T58" s="89">
        <f t="shared" si="1"/>
        <v>39</v>
      </c>
      <c r="U58" s="87">
        <v>197</v>
      </c>
      <c r="V58" s="89">
        <f t="shared" si="2"/>
        <v>1920.75</v>
      </c>
      <c r="W58" s="87">
        <v>1</v>
      </c>
      <c r="X58" s="87" t="s">
        <v>44</v>
      </c>
      <c r="Y58" s="87" t="s">
        <v>46</v>
      </c>
      <c r="Z58" s="87" t="s">
        <v>45</v>
      </c>
      <c r="AA58" s="87" t="s">
        <v>54</v>
      </c>
      <c r="AB58" s="87" t="s">
        <v>164</v>
      </c>
    </row>
    <row r="59" spans="1:28" s="87" customFormat="1" ht="13.5" customHeight="1">
      <c r="A59" s="87" t="s">
        <v>80</v>
      </c>
      <c r="B59" s="87" t="s">
        <v>181</v>
      </c>
      <c r="C59" s="87">
        <v>2020</v>
      </c>
      <c r="D59" s="133" t="s">
        <v>375</v>
      </c>
      <c r="E59" s="87" t="s">
        <v>378</v>
      </c>
      <c r="F59" s="87" t="s">
        <v>379</v>
      </c>
      <c r="G59" s="87" t="s">
        <v>58</v>
      </c>
      <c r="H59" s="87" t="s">
        <v>187</v>
      </c>
      <c r="I59" s="87" t="s">
        <v>41</v>
      </c>
      <c r="J59" s="87" t="s">
        <v>121</v>
      </c>
      <c r="K59" s="87" t="s">
        <v>122</v>
      </c>
      <c r="L59" s="87">
        <v>1</v>
      </c>
      <c r="M59" s="136"/>
      <c r="N59" s="87">
        <v>9</v>
      </c>
      <c r="O59" s="87">
        <v>0.6</v>
      </c>
      <c r="P59" s="87">
        <v>0.6</v>
      </c>
      <c r="Q59" s="89">
        <f t="shared" si="0"/>
        <v>0.6</v>
      </c>
      <c r="R59" s="87">
        <v>15.4</v>
      </c>
      <c r="S59" s="87">
        <v>65</v>
      </c>
      <c r="T59" s="89">
        <f t="shared" si="1"/>
        <v>50</v>
      </c>
      <c r="U59" s="87">
        <v>297</v>
      </c>
      <c r="V59" s="89">
        <f t="shared" si="2"/>
        <v>1650</v>
      </c>
      <c r="W59" s="87">
        <v>1</v>
      </c>
      <c r="X59" s="87" t="s">
        <v>44</v>
      </c>
      <c r="Y59" s="87" t="s">
        <v>46</v>
      </c>
      <c r="Z59" s="87" t="s">
        <v>45</v>
      </c>
      <c r="AA59" s="87" t="s">
        <v>54</v>
      </c>
      <c r="AB59" s="87" t="s">
        <v>164</v>
      </c>
    </row>
    <row r="60" spans="1:28" s="87" customFormat="1" ht="13.5" customHeight="1">
      <c r="A60" s="87" t="s">
        <v>80</v>
      </c>
      <c r="B60" s="87" t="s">
        <v>181</v>
      </c>
      <c r="C60" s="87">
        <v>2020</v>
      </c>
      <c r="D60" s="133" t="s">
        <v>375</v>
      </c>
      <c r="E60" s="87" t="s">
        <v>378</v>
      </c>
      <c r="F60" s="87" t="s">
        <v>379</v>
      </c>
      <c r="G60" s="87" t="s">
        <v>58</v>
      </c>
      <c r="H60" s="87" t="s">
        <v>187</v>
      </c>
      <c r="I60" s="87" t="s">
        <v>41</v>
      </c>
      <c r="J60" s="87" t="s">
        <v>121</v>
      </c>
      <c r="K60" s="87" t="s">
        <v>122</v>
      </c>
      <c r="L60" s="87">
        <v>2</v>
      </c>
      <c r="M60" s="136"/>
      <c r="N60" s="87">
        <v>9</v>
      </c>
      <c r="O60" s="87">
        <v>0.75</v>
      </c>
      <c r="P60" s="87">
        <v>0.7</v>
      </c>
      <c r="Q60" s="89">
        <f t="shared" si="0"/>
        <v>0.72499999999999998</v>
      </c>
      <c r="R60" s="87">
        <v>16.100000000000001</v>
      </c>
      <c r="S60" s="87">
        <v>66</v>
      </c>
      <c r="T60" s="89">
        <f t="shared" si="1"/>
        <v>50</v>
      </c>
      <c r="U60" s="87">
        <v>297</v>
      </c>
      <c r="V60" s="89">
        <f t="shared" si="2"/>
        <v>1650</v>
      </c>
      <c r="W60" s="87">
        <v>1</v>
      </c>
      <c r="X60" s="87" t="s">
        <v>44</v>
      </c>
      <c r="Y60" s="87" t="s">
        <v>46</v>
      </c>
      <c r="Z60" s="87" t="s">
        <v>45</v>
      </c>
      <c r="AA60" s="87" t="s">
        <v>54</v>
      </c>
      <c r="AB60" s="87" t="s">
        <v>164</v>
      </c>
    </row>
    <row r="61" spans="1:28" s="87" customFormat="1" ht="13.5" customHeight="1">
      <c r="A61" s="87" t="s">
        <v>80</v>
      </c>
      <c r="B61" s="87" t="s">
        <v>181</v>
      </c>
      <c r="C61" s="87">
        <v>2020</v>
      </c>
      <c r="D61" s="133" t="s">
        <v>375</v>
      </c>
      <c r="E61" s="87" t="s">
        <v>378</v>
      </c>
      <c r="F61" s="87" t="s">
        <v>379</v>
      </c>
      <c r="G61" s="87" t="s">
        <v>58</v>
      </c>
      <c r="H61" s="87" t="s">
        <v>187</v>
      </c>
      <c r="I61" s="87" t="s">
        <v>41</v>
      </c>
      <c r="J61" s="87" t="s">
        <v>121</v>
      </c>
      <c r="K61" s="87" t="s">
        <v>122</v>
      </c>
      <c r="L61" s="87">
        <v>3</v>
      </c>
      <c r="M61" s="136"/>
      <c r="N61" s="87">
        <v>9</v>
      </c>
      <c r="O61" s="87">
        <v>0.7</v>
      </c>
      <c r="P61" s="87">
        <v>0.7</v>
      </c>
      <c r="Q61" s="89">
        <f t="shared" si="0"/>
        <v>0.7</v>
      </c>
      <c r="R61" s="87">
        <v>16.5</v>
      </c>
      <c r="S61" s="87">
        <v>73</v>
      </c>
      <c r="T61" s="89">
        <f t="shared" si="1"/>
        <v>42</v>
      </c>
      <c r="U61" s="87">
        <v>297</v>
      </c>
      <c r="V61" s="89">
        <f t="shared" si="2"/>
        <v>1386</v>
      </c>
      <c r="W61" s="87">
        <v>1</v>
      </c>
      <c r="X61" s="87" t="s">
        <v>44</v>
      </c>
      <c r="Y61" s="87" t="s">
        <v>46</v>
      </c>
      <c r="Z61" s="87" t="s">
        <v>45</v>
      </c>
      <c r="AA61" s="87" t="s">
        <v>54</v>
      </c>
      <c r="AB61" s="87" t="s">
        <v>164</v>
      </c>
    </row>
    <row r="62" spans="1:28" s="87" customFormat="1" ht="13.5" customHeight="1">
      <c r="A62" s="87" t="s">
        <v>80</v>
      </c>
      <c r="B62" s="87" t="s">
        <v>181</v>
      </c>
      <c r="C62" s="87">
        <v>2020</v>
      </c>
      <c r="D62" s="133" t="s">
        <v>375</v>
      </c>
      <c r="E62" s="87" t="s">
        <v>380</v>
      </c>
      <c r="F62" s="87" t="s">
        <v>377</v>
      </c>
      <c r="G62" s="87" t="s">
        <v>39</v>
      </c>
      <c r="H62" s="87" t="s">
        <v>40</v>
      </c>
      <c r="I62" s="87" t="s">
        <v>41</v>
      </c>
      <c r="J62" s="87" t="s">
        <v>42</v>
      </c>
      <c r="K62" s="87" t="s">
        <v>43</v>
      </c>
      <c r="L62" s="87">
        <v>1</v>
      </c>
      <c r="M62" s="136"/>
      <c r="N62" s="87">
        <v>1</v>
      </c>
      <c r="O62" s="87">
        <v>0.5</v>
      </c>
      <c r="P62" s="87">
        <v>0.5</v>
      </c>
      <c r="Q62" s="89">
        <f t="shared" si="0"/>
        <v>0.5</v>
      </c>
      <c r="R62" s="87">
        <v>17</v>
      </c>
      <c r="S62" s="87">
        <v>116</v>
      </c>
      <c r="T62" s="89">
        <f t="shared" si="1"/>
        <v>30</v>
      </c>
      <c r="U62" s="87">
        <v>98</v>
      </c>
      <c r="V62" s="89">
        <f t="shared" si="2"/>
        <v>2940</v>
      </c>
      <c r="W62" s="87">
        <v>2</v>
      </c>
      <c r="X62" s="87" t="s">
        <v>63</v>
      </c>
      <c r="Y62" s="87" t="s">
        <v>46</v>
      </c>
      <c r="Z62" s="87" t="s">
        <v>45</v>
      </c>
      <c r="AA62" s="87" t="s">
        <v>54</v>
      </c>
      <c r="AB62" s="87" t="s">
        <v>164</v>
      </c>
    </row>
    <row r="63" spans="1:28" s="87" customFormat="1" ht="13.5" customHeight="1">
      <c r="A63" s="87" t="s">
        <v>80</v>
      </c>
      <c r="B63" s="87" t="s">
        <v>181</v>
      </c>
      <c r="C63" s="87">
        <v>2020</v>
      </c>
      <c r="D63" s="133" t="s">
        <v>375</v>
      </c>
      <c r="E63" s="87" t="s">
        <v>380</v>
      </c>
      <c r="F63" s="87" t="s">
        <v>377</v>
      </c>
      <c r="G63" s="87" t="s">
        <v>39</v>
      </c>
      <c r="H63" s="87" t="s">
        <v>40</v>
      </c>
      <c r="I63" s="87" t="s">
        <v>41</v>
      </c>
      <c r="J63" s="87" t="s">
        <v>42</v>
      </c>
      <c r="K63" s="87" t="s">
        <v>43</v>
      </c>
      <c r="L63" s="87">
        <v>2</v>
      </c>
      <c r="M63" s="136"/>
      <c r="N63" s="87">
        <v>1</v>
      </c>
      <c r="O63" s="87">
        <v>0.65</v>
      </c>
      <c r="P63" s="87">
        <v>0.55000000000000004</v>
      </c>
      <c r="Q63" s="89">
        <f t="shared" si="0"/>
        <v>0.60000000000000009</v>
      </c>
      <c r="R63" s="87">
        <v>16.3</v>
      </c>
      <c r="S63" s="87">
        <v>119</v>
      </c>
      <c r="T63" s="89">
        <f t="shared" si="1"/>
        <v>30</v>
      </c>
      <c r="U63" s="87">
        <v>98</v>
      </c>
      <c r="V63" s="89">
        <f t="shared" si="2"/>
        <v>2940</v>
      </c>
      <c r="W63" s="87">
        <v>2</v>
      </c>
      <c r="X63" s="87" t="s">
        <v>63</v>
      </c>
      <c r="Y63" s="87" t="s">
        <v>46</v>
      </c>
      <c r="Z63" s="87" t="s">
        <v>45</v>
      </c>
      <c r="AA63" s="87" t="s">
        <v>54</v>
      </c>
      <c r="AB63" s="87" t="s">
        <v>164</v>
      </c>
    </row>
    <row r="64" spans="1:28" s="87" customFormat="1" ht="13.5" customHeight="1">
      <c r="A64" s="87" t="s">
        <v>80</v>
      </c>
      <c r="B64" s="87" t="s">
        <v>181</v>
      </c>
      <c r="C64" s="87">
        <v>2020</v>
      </c>
      <c r="D64" s="133" t="s">
        <v>375</v>
      </c>
      <c r="E64" s="87" t="s">
        <v>380</v>
      </c>
      <c r="F64" s="87" t="s">
        <v>377</v>
      </c>
      <c r="G64" s="87" t="s">
        <v>39</v>
      </c>
      <c r="H64" s="87" t="s">
        <v>40</v>
      </c>
      <c r="I64" s="87" t="s">
        <v>41</v>
      </c>
      <c r="J64" s="87" t="s">
        <v>42</v>
      </c>
      <c r="K64" s="87" t="s">
        <v>43</v>
      </c>
      <c r="L64" s="87">
        <v>3</v>
      </c>
      <c r="M64" s="136"/>
      <c r="N64" s="87">
        <v>1</v>
      </c>
      <c r="O64" s="87">
        <v>0.55000000000000004</v>
      </c>
      <c r="P64" s="87">
        <v>0.55000000000000004</v>
      </c>
      <c r="Q64" s="89">
        <f t="shared" si="0"/>
        <v>0.55000000000000004</v>
      </c>
      <c r="R64" s="87">
        <v>15.8</v>
      </c>
      <c r="S64" s="87">
        <v>114</v>
      </c>
      <c r="T64" s="89">
        <f t="shared" si="1"/>
        <v>30</v>
      </c>
      <c r="U64" s="87">
        <v>98</v>
      </c>
      <c r="V64" s="89">
        <f t="shared" si="2"/>
        <v>2940</v>
      </c>
      <c r="W64" s="87">
        <v>2</v>
      </c>
      <c r="X64" s="87" t="s">
        <v>63</v>
      </c>
      <c r="Y64" s="87" t="s">
        <v>46</v>
      </c>
      <c r="Z64" s="87" t="s">
        <v>45</v>
      </c>
      <c r="AA64" s="87" t="s">
        <v>54</v>
      </c>
      <c r="AB64" s="87" t="s">
        <v>164</v>
      </c>
    </row>
    <row r="65" spans="1:28" s="87" customFormat="1" ht="13.5" customHeight="1">
      <c r="A65" s="87" t="s">
        <v>80</v>
      </c>
      <c r="B65" s="87" t="s">
        <v>181</v>
      </c>
      <c r="C65" s="87">
        <v>2020</v>
      </c>
      <c r="D65" s="133" t="s">
        <v>375</v>
      </c>
      <c r="E65" s="87" t="s">
        <v>380</v>
      </c>
      <c r="F65" s="87" t="s">
        <v>377</v>
      </c>
      <c r="G65" s="87" t="s">
        <v>39</v>
      </c>
      <c r="H65" s="87" t="s">
        <v>40</v>
      </c>
      <c r="I65" s="87" t="s">
        <v>41</v>
      </c>
      <c r="J65" s="87" t="s">
        <v>42</v>
      </c>
      <c r="K65" s="87" t="s">
        <v>43</v>
      </c>
      <c r="L65" s="87">
        <v>1</v>
      </c>
      <c r="M65" s="136"/>
      <c r="N65" s="87">
        <v>8</v>
      </c>
      <c r="O65" s="87">
        <v>0.5</v>
      </c>
      <c r="P65" s="87">
        <v>0.5</v>
      </c>
      <c r="Q65" s="89">
        <f t="shared" si="0"/>
        <v>0.5</v>
      </c>
      <c r="R65" s="87">
        <v>15.5</v>
      </c>
      <c r="S65" s="87">
        <v>100</v>
      </c>
      <c r="T65" s="89">
        <f t="shared" si="1"/>
        <v>33</v>
      </c>
      <c r="U65" s="87">
        <v>380</v>
      </c>
      <c r="V65" s="89">
        <f t="shared" si="2"/>
        <v>1567.5</v>
      </c>
      <c r="W65" s="87">
        <v>2</v>
      </c>
      <c r="X65" s="87" t="s">
        <v>63</v>
      </c>
      <c r="Y65" s="87" t="s">
        <v>46</v>
      </c>
      <c r="Z65" s="87" t="s">
        <v>45</v>
      </c>
      <c r="AA65" s="87" t="s">
        <v>54</v>
      </c>
      <c r="AB65" s="87" t="s">
        <v>164</v>
      </c>
    </row>
    <row r="66" spans="1:28" s="87" customFormat="1" ht="13.5" customHeight="1">
      <c r="A66" s="87" t="s">
        <v>80</v>
      </c>
      <c r="B66" s="87" t="s">
        <v>181</v>
      </c>
      <c r="C66" s="87">
        <v>2020</v>
      </c>
      <c r="D66" s="133" t="s">
        <v>375</v>
      </c>
      <c r="E66" s="87" t="s">
        <v>380</v>
      </c>
      <c r="F66" s="87" t="s">
        <v>377</v>
      </c>
      <c r="G66" s="87" t="s">
        <v>39</v>
      </c>
      <c r="H66" s="87" t="s">
        <v>40</v>
      </c>
      <c r="I66" s="87" t="s">
        <v>41</v>
      </c>
      <c r="J66" s="87" t="s">
        <v>42</v>
      </c>
      <c r="K66" s="87" t="s">
        <v>43</v>
      </c>
      <c r="L66" s="87">
        <v>2</v>
      </c>
      <c r="M66" s="136"/>
      <c r="N66" s="87">
        <v>8</v>
      </c>
      <c r="O66" s="87">
        <v>0.6</v>
      </c>
      <c r="P66" s="87">
        <v>0.7</v>
      </c>
      <c r="Q66" s="89">
        <f t="shared" ref="Q66:Q100" si="3">IF(OR(O66="",P66=""),"",AVERAGE(O66,P66))</f>
        <v>0.64999999999999991</v>
      </c>
      <c r="R66" s="87">
        <v>14.8</v>
      </c>
      <c r="S66" s="87">
        <v>100</v>
      </c>
      <c r="T66" s="89">
        <f t="shared" ref="T66:T76" si="4">IF(H66="","",IF(OR(H66="GREEN",H66="GK"),IF(S66&gt;=$AX$2,VLOOKUP(S66,$AX$2:$AY$10,2,1),""),IF(S66&gt;=$AZ$2,VLOOKUP(S66,$AZ$2:$BA$10,2,1),"")))</f>
        <v>33</v>
      </c>
      <c r="U66" s="87">
        <v>380</v>
      </c>
      <c r="V66" s="89">
        <f t="shared" ref="V66:V100" si="5">IF(OR(N66="",U66="",T66=""),"",U66/N66*T66)</f>
        <v>1567.5</v>
      </c>
      <c r="W66" s="87">
        <v>2</v>
      </c>
      <c r="X66" s="87" t="s">
        <v>63</v>
      </c>
      <c r="Y66" s="87" t="s">
        <v>46</v>
      </c>
      <c r="Z66" s="87" t="s">
        <v>45</v>
      </c>
      <c r="AA66" s="87" t="s">
        <v>54</v>
      </c>
      <c r="AB66" s="87" t="s">
        <v>164</v>
      </c>
    </row>
    <row r="67" spans="1:28" s="87" customFormat="1" ht="13.5" customHeight="1">
      <c r="A67" s="87" t="s">
        <v>80</v>
      </c>
      <c r="B67" s="87" t="s">
        <v>181</v>
      </c>
      <c r="C67" s="87">
        <v>2020</v>
      </c>
      <c r="D67" s="133" t="s">
        <v>375</v>
      </c>
      <c r="E67" s="87" t="s">
        <v>380</v>
      </c>
      <c r="F67" s="87" t="s">
        <v>377</v>
      </c>
      <c r="G67" s="87" t="s">
        <v>39</v>
      </c>
      <c r="H67" s="87" t="s">
        <v>40</v>
      </c>
      <c r="I67" s="87" t="s">
        <v>41</v>
      </c>
      <c r="J67" s="87" t="s">
        <v>42</v>
      </c>
      <c r="K67" s="87" t="s">
        <v>43</v>
      </c>
      <c r="L67" s="87">
        <v>3</v>
      </c>
      <c r="M67" s="136"/>
      <c r="N67" s="87">
        <v>8</v>
      </c>
      <c r="O67" s="87">
        <v>0.6</v>
      </c>
      <c r="P67" s="87">
        <v>0.6</v>
      </c>
      <c r="Q67" s="89">
        <f t="shared" si="3"/>
        <v>0.6</v>
      </c>
      <c r="R67" s="87">
        <v>14.8</v>
      </c>
      <c r="S67" s="87">
        <v>97</v>
      </c>
      <c r="T67" s="89">
        <f t="shared" si="4"/>
        <v>36</v>
      </c>
      <c r="U67" s="87">
        <v>380</v>
      </c>
      <c r="V67" s="89">
        <f t="shared" si="5"/>
        <v>1710</v>
      </c>
      <c r="W67" s="87">
        <v>2</v>
      </c>
      <c r="X67" s="87" t="s">
        <v>63</v>
      </c>
      <c r="Y67" s="87" t="s">
        <v>46</v>
      </c>
      <c r="Z67" s="87" t="s">
        <v>45</v>
      </c>
      <c r="AA67" s="87" t="s">
        <v>54</v>
      </c>
      <c r="AB67" s="87" t="s">
        <v>164</v>
      </c>
    </row>
    <row r="68" spans="1:28" s="87" customFormat="1" ht="13.5" customHeight="1">
      <c r="A68" s="87" t="s">
        <v>80</v>
      </c>
      <c r="B68" s="87" t="s">
        <v>181</v>
      </c>
      <c r="C68" s="87">
        <v>2020</v>
      </c>
      <c r="D68" s="133" t="s">
        <v>375</v>
      </c>
      <c r="E68" s="87" t="s">
        <v>386</v>
      </c>
      <c r="F68" s="87" t="s">
        <v>377</v>
      </c>
      <c r="G68" s="87" t="s">
        <v>39</v>
      </c>
      <c r="H68" s="87" t="s">
        <v>40</v>
      </c>
      <c r="I68" s="87" t="s">
        <v>41</v>
      </c>
      <c r="J68" s="87" t="s">
        <v>42</v>
      </c>
      <c r="K68" s="87" t="s">
        <v>43</v>
      </c>
      <c r="L68" s="87">
        <v>1</v>
      </c>
      <c r="M68" s="136"/>
      <c r="N68" s="87">
        <v>1</v>
      </c>
      <c r="O68" s="87">
        <v>0.75</v>
      </c>
      <c r="P68" s="87">
        <v>0.85</v>
      </c>
      <c r="Q68" s="89">
        <f t="shared" si="3"/>
        <v>0.8</v>
      </c>
      <c r="R68" s="87">
        <v>15.3</v>
      </c>
      <c r="S68" s="87">
        <v>127</v>
      </c>
      <c r="T68" s="89">
        <f t="shared" si="4"/>
        <v>27</v>
      </c>
      <c r="U68" s="87">
        <v>128</v>
      </c>
      <c r="V68" s="89">
        <f t="shared" si="5"/>
        <v>3456</v>
      </c>
      <c r="W68" s="87">
        <v>1</v>
      </c>
      <c r="X68" s="87" t="s">
        <v>63</v>
      </c>
      <c r="Y68" s="87" t="s">
        <v>46</v>
      </c>
      <c r="Z68" s="87" t="s">
        <v>54</v>
      </c>
      <c r="AA68" s="87" t="s">
        <v>45</v>
      </c>
      <c r="AB68" s="87" t="s">
        <v>164</v>
      </c>
    </row>
    <row r="69" spans="1:28" s="87" customFormat="1" ht="13.5" customHeight="1">
      <c r="A69" s="87" t="s">
        <v>80</v>
      </c>
      <c r="B69" s="87" t="s">
        <v>181</v>
      </c>
      <c r="C69" s="87">
        <v>2020</v>
      </c>
      <c r="D69" s="133" t="s">
        <v>375</v>
      </c>
      <c r="E69" s="87" t="s">
        <v>386</v>
      </c>
      <c r="F69" s="87" t="s">
        <v>377</v>
      </c>
      <c r="G69" s="87" t="s">
        <v>39</v>
      </c>
      <c r="H69" s="87" t="s">
        <v>40</v>
      </c>
      <c r="I69" s="87" t="s">
        <v>41</v>
      </c>
      <c r="J69" s="87" t="s">
        <v>42</v>
      </c>
      <c r="K69" s="87" t="s">
        <v>43</v>
      </c>
      <c r="L69" s="87">
        <v>2</v>
      </c>
      <c r="M69" s="136"/>
      <c r="N69" s="87">
        <v>1</v>
      </c>
      <c r="O69" s="87">
        <v>0.75</v>
      </c>
      <c r="P69" s="87">
        <v>0.75</v>
      </c>
      <c r="Q69" s="89">
        <f t="shared" si="3"/>
        <v>0.75</v>
      </c>
      <c r="R69" s="87">
        <v>10.6</v>
      </c>
      <c r="S69" s="87">
        <v>127</v>
      </c>
      <c r="T69" s="89">
        <f t="shared" si="4"/>
        <v>27</v>
      </c>
      <c r="U69" s="87">
        <v>128</v>
      </c>
      <c r="V69" s="89">
        <f t="shared" si="5"/>
        <v>3456</v>
      </c>
      <c r="W69" s="87">
        <v>1</v>
      </c>
      <c r="X69" s="87" t="s">
        <v>63</v>
      </c>
      <c r="Y69" s="87" t="s">
        <v>46</v>
      </c>
      <c r="Z69" s="87" t="s">
        <v>54</v>
      </c>
      <c r="AA69" s="87" t="s">
        <v>45</v>
      </c>
      <c r="AB69" s="87" t="s">
        <v>164</v>
      </c>
    </row>
    <row r="70" spans="1:28" s="87" customFormat="1" ht="13.5" customHeight="1">
      <c r="A70" s="87" t="s">
        <v>80</v>
      </c>
      <c r="B70" s="87" t="s">
        <v>181</v>
      </c>
      <c r="C70" s="87">
        <v>2020</v>
      </c>
      <c r="D70" s="133" t="s">
        <v>375</v>
      </c>
      <c r="E70" s="87" t="s">
        <v>386</v>
      </c>
      <c r="F70" s="87" t="s">
        <v>377</v>
      </c>
      <c r="G70" s="87" t="s">
        <v>39</v>
      </c>
      <c r="H70" s="87" t="s">
        <v>40</v>
      </c>
      <c r="I70" s="87" t="s">
        <v>41</v>
      </c>
      <c r="J70" s="87" t="s">
        <v>42</v>
      </c>
      <c r="K70" s="87" t="s">
        <v>43</v>
      </c>
      <c r="L70" s="87">
        <v>3</v>
      </c>
      <c r="M70" s="136"/>
      <c r="N70" s="87">
        <v>1</v>
      </c>
      <c r="O70" s="87">
        <v>0.5</v>
      </c>
      <c r="P70" s="87">
        <v>0.5</v>
      </c>
      <c r="Q70" s="89">
        <f t="shared" si="3"/>
        <v>0.5</v>
      </c>
      <c r="R70" s="87">
        <v>13.4</v>
      </c>
      <c r="S70" s="87">
        <v>122</v>
      </c>
      <c r="T70" s="89">
        <f t="shared" si="4"/>
        <v>27</v>
      </c>
      <c r="U70" s="87">
        <v>128</v>
      </c>
      <c r="V70" s="89">
        <f t="shared" si="5"/>
        <v>3456</v>
      </c>
      <c r="W70" s="87">
        <v>1</v>
      </c>
      <c r="X70" s="87" t="s">
        <v>63</v>
      </c>
      <c r="Y70" s="87" t="s">
        <v>46</v>
      </c>
      <c r="Z70" s="87" t="s">
        <v>54</v>
      </c>
      <c r="AA70" s="87" t="s">
        <v>45</v>
      </c>
      <c r="AB70" s="87" t="s">
        <v>164</v>
      </c>
    </row>
    <row r="71" spans="1:28" s="87" customFormat="1" ht="13.5" customHeight="1">
      <c r="A71" s="87" t="s">
        <v>80</v>
      </c>
      <c r="B71" s="87" t="s">
        <v>181</v>
      </c>
      <c r="C71" s="87">
        <v>2020</v>
      </c>
      <c r="D71" s="133" t="s">
        <v>375</v>
      </c>
      <c r="E71" s="87" t="s">
        <v>386</v>
      </c>
      <c r="F71" s="87" t="s">
        <v>377</v>
      </c>
      <c r="G71" s="87" t="s">
        <v>39</v>
      </c>
      <c r="H71" s="87" t="s">
        <v>40</v>
      </c>
      <c r="I71" s="87" t="s">
        <v>41</v>
      </c>
      <c r="J71" s="87" t="s">
        <v>42</v>
      </c>
      <c r="K71" s="87" t="s">
        <v>43</v>
      </c>
      <c r="L71" s="87">
        <v>1</v>
      </c>
      <c r="M71" s="136"/>
      <c r="N71" s="87">
        <v>5</v>
      </c>
      <c r="O71" s="87">
        <v>0.6</v>
      </c>
      <c r="P71" s="87">
        <v>0.65</v>
      </c>
      <c r="Q71" s="89">
        <f t="shared" si="3"/>
        <v>0.625</v>
      </c>
      <c r="R71" s="87">
        <v>15.4</v>
      </c>
      <c r="S71" s="87">
        <v>102</v>
      </c>
      <c r="T71" s="89">
        <f t="shared" si="4"/>
        <v>33</v>
      </c>
      <c r="U71" s="87">
        <v>398</v>
      </c>
      <c r="V71" s="89">
        <f t="shared" si="5"/>
        <v>2626.7999999999997</v>
      </c>
      <c r="W71" s="87">
        <v>4</v>
      </c>
      <c r="X71" s="87" t="s">
        <v>63</v>
      </c>
      <c r="Y71" s="87" t="s">
        <v>46</v>
      </c>
      <c r="Z71" s="87" t="s">
        <v>54</v>
      </c>
      <c r="AA71" s="87" t="s">
        <v>45</v>
      </c>
      <c r="AB71" s="87" t="s">
        <v>164</v>
      </c>
    </row>
    <row r="72" spans="1:28" s="87" customFormat="1" ht="13.5" customHeight="1">
      <c r="A72" s="87" t="s">
        <v>80</v>
      </c>
      <c r="B72" s="87" t="s">
        <v>181</v>
      </c>
      <c r="C72" s="87">
        <v>2020</v>
      </c>
      <c r="D72" s="133" t="s">
        <v>375</v>
      </c>
      <c r="E72" s="87" t="s">
        <v>386</v>
      </c>
      <c r="F72" s="87" t="s">
        <v>377</v>
      </c>
      <c r="G72" s="87" t="s">
        <v>39</v>
      </c>
      <c r="H72" s="87" t="s">
        <v>40</v>
      </c>
      <c r="I72" s="87" t="s">
        <v>41</v>
      </c>
      <c r="J72" s="87" t="s">
        <v>42</v>
      </c>
      <c r="K72" s="87" t="s">
        <v>43</v>
      </c>
      <c r="L72" s="87">
        <v>2</v>
      </c>
      <c r="M72" s="136"/>
      <c r="N72" s="87">
        <v>5</v>
      </c>
      <c r="O72" s="87">
        <v>0.7</v>
      </c>
      <c r="P72" s="87">
        <v>0.75</v>
      </c>
      <c r="Q72" s="89">
        <f t="shared" si="3"/>
        <v>0.72499999999999998</v>
      </c>
      <c r="R72" s="87">
        <v>14.9</v>
      </c>
      <c r="S72" s="87">
        <v>96</v>
      </c>
      <c r="T72" s="89">
        <f t="shared" si="4"/>
        <v>36</v>
      </c>
      <c r="U72" s="87">
        <v>398</v>
      </c>
      <c r="V72" s="89">
        <f t="shared" si="5"/>
        <v>2865.6</v>
      </c>
      <c r="W72" s="87">
        <v>4</v>
      </c>
      <c r="X72" s="87" t="s">
        <v>63</v>
      </c>
      <c r="Y72" s="87" t="s">
        <v>46</v>
      </c>
      <c r="Z72" s="87" t="s">
        <v>54</v>
      </c>
      <c r="AA72" s="87" t="s">
        <v>45</v>
      </c>
      <c r="AB72" s="87" t="s">
        <v>164</v>
      </c>
    </row>
    <row r="73" spans="1:28" s="87" customFormat="1" ht="13.5" customHeight="1">
      <c r="A73" s="87" t="s">
        <v>80</v>
      </c>
      <c r="B73" s="87" t="s">
        <v>181</v>
      </c>
      <c r="C73" s="87">
        <v>2020</v>
      </c>
      <c r="D73" s="133" t="s">
        <v>375</v>
      </c>
      <c r="E73" s="87" t="s">
        <v>386</v>
      </c>
      <c r="F73" s="87" t="s">
        <v>377</v>
      </c>
      <c r="G73" s="87" t="s">
        <v>39</v>
      </c>
      <c r="H73" s="87" t="s">
        <v>40</v>
      </c>
      <c r="I73" s="87" t="s">
        <v>41</v>
      </c>
      <c r="J73" s="87" t="s">
        <v>42</v>
      </c>
      <c r="K73" s="87" t="s">
        <v>43</v>
      </c>
      <c r="L73" s="87">
        <v>3</v>
      </c>
      <c r="M73" s="136"/>
      <c r="N73" s="87">
        <v>5</v>
      </c>
      <c r="O73" s="87">
        <v>0.65</v>
      </c>
      <c r="P73" s="87">
        <v>0.6</v>
      </c>
      <c r="Q73" s="89">
        <f t="shared" si="3"/>
        <v>0.625</v>
      </c>
      <c r="R73" s="87">
        <v>15.3</v>
      </c>
      <c r="S73" s="87">
        <v>98</v>
      </c>
      <c r="T73" s="89">
        <f t="shared" si="4"/>
        <v>36</v>
      </c>
      <c r="U73" s="87">
        <v>398</v>
      </c>
      <c r="V73" s="89">
        <f t="shared" si="5"/>
        <v>2865.6</v>
      </c>
      <c r="W73" s="87">
        <v>4</v>
      </c>
      <c r="X73" s="87" t="s">
        <v>63</v>
      </c>
      <c r="Y73" s="87" t="s">
        <v>46</v>
      </c>
      <c r="Z73" s="87" t="s">
        <v>54</v>
      </c>
      <c r="AA73" s="87" t="s">
        <v>45</v>
      </c>
      <c r="AB73" s="87" t="s">
        <v>164</v>
      </c>
    </row>
    <row r="74" spans="1:28" s="87" customFormat="1" ht="13.5" customHeight="1">
      <c r="A74" s="87" t="s">
        <v>80</v>
      </c>
      <c r="B74" s="87" t="s">
        <v>181</v>
      </c>
      <c r="C74" s="87">
        <v>2020</v>
      </c>
      <c r="D74" s="133" t="s">
        <v>375</v>
      </c>
      <c r="E74" s="87" t="s">
        <v>386</v>
      </c>
      <c r="F74" s="87" t="s">
        <v>377</v>
      </c>
      <c r="G74" s="87" t="s">
        <v>39</v>
      </c>
      <c r="H74" s="87" t="s">
        <v>157</v>
      </c>
      <c r="I74" s="87" t="s">
        <v>41</v>
      </c>
      <c r="J74" s="87" t="s">
        <v>42</v>
      </c>
      <c r="K74" s="87" t="s">
        <v>213</v>
      </c>
      <c r="L74" s="87">
        <v>1</v>
      </c>
      <c r="M74" s="136"/>
      <c r="N74" s="87">
        <v>1</v>
      </c>
      <c r="O74" s="87">
        <v>0.6</v>
      </c>
      <c r="P74" s="87">
        <v>0.7</v>
      </c>
      <c r="Q74" s="89">
        <f t="shared" si="3"/>
        <v>0.64999999999999991</v>
      </c>
      <c r="R74" s="87">
        <v>16.600000000000001</v>
      </c>
      <c r="S74" s="87">
        <v>124</v>
      </c>
      <c r="T74" s="89">
        <f t="shared" si="4"/>
        <v>30</v>
      </c>
      <c r="U74" s="87">
        <v>258</v>
      </c>
      <c r="V74" s="89">
        <f t="shared" si="5"/>
        <v>7740</v>
      </c>
      <c r="W74" s="87">
        <v>1</v>
      </c>
      <c r="X74" s="87" t="s">
        <v>63</v>
      </c>
      <c r="Y74" s="87" t="s">
        <v>46</v>
      </c>
      <c r="Z74" s="87" t="s">
        <v>54</v>
      </c>
      <c r="AA74" s="87" t="s">
        <v>45</v>
      </c>
      <c r="AB74" s="87" t="s">
        <v>164</v>
      </c>
    </row>
    <row r="75" spans="1:28" s="87" customFormat="1" ht="13.5" customHeight="1">
      <c r="A75" s="87" t="s">
        <v>80</v>
      </c>
      <c r="B75" s="87" t="s">
        <v>181</v>
      </c>
      <c r="C75" s="87">
        <v>2020</v>
      </c>
      <c r="D75" s="133" t="s">
        <v>375</v>
      </c>
      <c r="E75" s="87" t="s">
        <v>386</v>
      </c>
      <c r="F75" s="87" t="s">
        <v>377</v>
      </c>
      <c r="G75" s="87" t="s">
        <v>39</v>
      </c>
      <c r="H75" s="87" t="s">
        <v>157</v>
      </c>
      <c r="I75" s="87" t="s">
        <v>41</v>
      </c>
      <c r="J75" s="87" t="s">
        <v>42</v>
      </c>
      <c r="K75" s="87" t="s">
        <v>213</v>
      </c>
      <c r="L75" s="87">
        <v>2</v>
      </c>
      <c r="M75" s="136"/>
      <c r="N75" s="87">
        <v>1</v>
      </c>
      <c r="O75" s="87">
        <v>0.6</v>
      </c>
      <c r="P75" s="87">
        <v>0.7</v>
      </c>
      <c r="Q75" s="89">
        <f t="shared" si="3"/>
        <v>0.64999999999999991</v>
      </c>
      <c r="R75" s="87">
        <v>14.4</v>
      </c>
      <c r="S75" s="87">
        <v>133</v>
      </c>
      <c r="T75" s="89">
        <f t="shared" si="4"/>
        <v>27</v>
      </c>
      <c r="U75" s="87">
        <v>258</v>
      </c>
      <c r="V75" s="89">
        <f t="shared" si="5"/>
        <v>6966</v>
      </c>
      <c r="W75" s="87">
        <v>1</v>
      </c>
      <c r="X75" s="87" t="s">
        <v>63</v>
      </c>
      <c r="Y75" s="87" t="s">
        <v>46</v>
      </c>
      <c r="Z75" s="87" t="s">
        <v>54</v>
      </c>
      <c r="AA75" s="87" t="s">
        <v>45</v>
      </c>
      <c r="AB75" s="87" t="s">
        <v>164</v>
      </c>
    </row>
    <row r="76" spans="1:28" s="87" customFormat="1" ht="13.5" customHeight="1">
      <c r="A76" s="87" t="s">
        <v>80</v>
      </c>
      <c r="B76" s="87" t="s">
        <v>181</v>
      </c>
      <c r="C76" s="87">
        <v>2020</v>
      </c>
      <c r="D76" s="133" t="s">
        <v>375</v>
      </c>
      <c r="E76" s="87" t="s">
        <v>386</v>
      </c>
      <c r="F76" s="87" t="s">
        <v>377</v>
      </c>
      <c r="G76" s="87" t="s">
        <v>39</v>
      </c>
      <c r="H76" s="87" t="s">
        <v>157</v>
      </c>
      <c r="I76" s="87" t="s">
        <v>41</v>
      </c>
      <c r="J76" s="87" t="s">
        <v>42</v>
      </c>
      <c r="K76" s="87" t="s">
        <v>213</v>
      </c>
      <c r="L76" s="87">
        <v>3</v>
      </c>
      <c r="M76" s="136"/>
      <c r="N76" s="87">
        <v>1</v>
      </c>
      <c r="O76" s="87">
        <v>0.65</v>
      </c>
      <c r="P76" s="87">
        <v>0.65</v>
      </c>
      <c r="Q76" s="89">
        <f t="shared" si="3"/>
        <v>0.65</v>
      </c>
      <c r="R76" s="87">
        <v>16.399999999999999</v>
      </c>
      <c r="S76" s="87">
        <v>132</v>
      </c>
      <c r="T76" s="89">
        <f t="shared" si="4"/>
        <v>27</v>
      </c>
      <c r="U76" s="87">
        <v>258</v>
      </c>
      <c r="V76" s="89">
        <f t="shared" si="5"/>
        <v>6966</v>
      </c>
      <c r="W76" s="87">
        <v>1</v>
      </c>
      <c r="X76" s="87" t="s">
        <v>63</v>
      </c>
      <c r="Y76" s="87" t="s">
        <v>46</v>
      </c>
      <c r="Z76" s="87" t="s">
        <v>54</v>
      </c>
      <c r="AA76" s="87" t="s">
        <v>45</v>
      </c>
      <c r="AB76" s="87" t="s">
        <v>164</v>
      </c>
    </row>
    <row r="77" spans="1:28" ht="18.75">
      <c r="D77" s="62"/>
      <c r="M77" s="63"/>
    </row>
    <row r="78" spans="1:28" ht="18.75">
      <c r="D78" s="62"/>
      <c r="M78" s="63"/>
    </row>
    <row r="79" spans="1:28" ht="18.75">
      <c r="D79" s="62"/>
      <c r="M79" s="63"/>
    </row>
    <row r="80" spans="1:28" ht="18.75">
      <c r="D80" s="62"/>
      <c r="M80" s="63"/>
    </row>
    <row r="81" spans="4:13" ht="18.75">
      <c r="D81" s="62"/>
      <c r="M81" s="63"/>
    </row>
    <row r="82" spans="4:13" ht="18.75">
      <c r="D82" s="62"/>
      <c r="M82" s="63"/>
    </row>
    <row r="83" spans="4:13" ht="18.75">
      <c r="D83" s="62"/>
      <c r="M83" s="63"/>
    </row>
    <row r="84" spans="4:13" ht="18.75">
      <c r="D84" s="62"/>
      <c r="M84" s="63"/>
    </row>
    <row r="85" spans="4:13" ht="18.75">
      <c r="D85" s="62"/>
      <c r="M85" s="63"/>
    </row>
    <row r="86" spans="4:13" ht="18.75">
      <c r="D86" s="62"/>
      <c r="M86" s="63"/>
    </row>
    <row r="87" spans="4:13" ht="18.75">
      <c r="D87" s="62"/>
      <c r="M87" s="63"/>
    </row>
    <row r="88" spans="4:13" ht="18.75">
      <c r="D88" s="62"/>
      <c r="M88" s="63"/>
    </row>
    <row r="89" spans="4:13" ht="18.75">
      <c r="D89" s="62"/>
      <c r="M89" s="63"/>
    </row>
    <row r="90" spans="4:13" ht="18.75">
      <c r="D90" s="62"/>
      <c r="M90" s="63"/>
    </row>
    <row r="91" spans="4:13" ht="18.75">
      <c r="D91" s="62"/>
      <c r="M91" s="63"/>
    </row>
    <row r="92" spans="4:13" ht="18.75">
      <c r="D92" s="62"/>
      <c r="M92" s="63"/>
    </row>
    <row r="93" spans="4:13" ht="18.75">
      <c r="D93" s="62"/>
      <c r="M93" s="63"/>
    </row>
    <row r="94" spans="4:13" ht="18.75">
      <c r="D94" s="62"/>
      <c r="M94" s="63"/>
    </row>
    <row r="95" spans="4:13" ht="18.75">
      <c r="D95" s="62"/>
      <c r="M95" s="63"/>
    </row>
    <row r="96" spans="4:13" ht="18.75">
      <c r="D96" s="62"/>
      <c r="M96" s="63"/>
    </row>
    <row r="97" spans="4:13" ht="18.75">
      <c r="D97" s="62"/>
      <c r="M97" s="63"/>
    </row>
    <row r="98" spans="4:13" ht="18.75">
      <c r="D98" s="62"/>
      <c r="M98" s="63"/>
    </row>
    <row r="99" spans="4:13" ht="18.75">
      <c r="D99" s="62"/>
      <c r="M99" s="63"/>
    </row>
    <row r="100" spans="4:13" ht="18.75">
      <c r="D100" s="62"/>
      <c r="M100" s="63"/>
    </row>
    <row r="101" spans="4:13" ht="18.75">
      <c r="D101" s="62"/>
      <c r="M101" s="63"/>
    </row>
    <row r="102" spans="4:13" ht="18.75">
      <c r="D102" s="62"/>
      <c r="M102" s="63"/>
    </row>
    <row r="103" spans="4:13" ht="18.75">
      <c r="D103" s="62"/>
      <c r="M103" s="63"/>
    </row>
    <row r="104" spans="4:13" ht="18.75">
      <c r="D104" s="62"/>
      <c r="M104" s="63"/>
    </row>
    <row r="105" spans="4:13" ht="18.75">
      <c r="D105" s="62"/>
      <c r="M105" s="63"/>
    </row>
    <row r="106" spans="4:13" ht="18.75">
      <c r="D106" s="62"/>
      <c r="M106" s="63"/>
    </row>
    <row r="107" spans="4:13" ht="18.75">
      <c r="D107" s="62"/>
      <c r="M107" s="63"/>
    </row>
    <row r="108" spans="4:13" ht="18.75">
      <c r="D108" s="62"/>
      <c r="M108" s="63"/>
    </row>
    <row r="109" spans="4:13" ht="18.75">
      <c r="D109" s="62"/>
      <c r="M109" s="63"/>
    </row>
    <row r="110" spans="4:13" ht="18.75">
      <c r="D110" s="62"/>
      <c r="M110" s="63"/>
    </row>
    <row r="111" spans="4:13" ht="18.75">
      <c r="D111" s="62"/>
      <c r="M111" s="63"/>
    </row>
    <row r="112" spans="4:13" ht="18.75">
      <c r="D112" s="62"/>
      <c r="M112" s="63"/>
    </row>
    <row r="113" spans="4:13" ht="18.75">
      <c r="D113" s="62"/>
      <c r="M113" s="63"/>
    </row>
    <row r="114" spans="4:13" ht="18.75">
      <c r="D114" s="62"/>
      <c r="M114" s="63"/>
    </row>
    <row r="115" spans="4:13" ht="18.75">
      <c r="D115" s="62"/>
      <c r="M115" s="63"/>
    </row>
    <row r="116" spans="4:13" ht="18.75">
      <c r="D116" s="62"/>
      <c r="M116" s="63"/>
    </row>
    <row r="117" spans="4:13" ht="18.75">
      <c r="D117" s="62"/>
      <c r="M117" s="63"/>
    </row>
    <row r="118" spans="4:13" ht="18.75">
      <c r="D118" s="62"/>
      <c r="M118" s="63"/>
    </row>
    <row r="119" spans="4:13" ht="18.75">
      <c r="D119" s="62"/>
      <c r="M119" s="63"/>
    </row>
    <row r="120" spans="4:13" ht="18.75">
      <c r="D120" s="62"/>
      <c r="M120" s="63"/>
    </row>
    <row r="121" spans="4:13" ht="18.75">
      <c r="D121" s="62"/>
      <c r="M121" s="63"/>
    </row>
    <row r="122" spans="4:13" ht="18.75">
      <c r="D122" s="62"/>
      <c r="M122" s="63"/>
    </row>
    <row r="123" spans="4:13" ht="18.75">
      <c r="D123" s="62"/>
      <c r="M123" s="63"/>
    </row>
    <row r="124" spans="4:13" ht="18.75">
      <c r="D124" s="62"/>
      <c r="M124" s="63"/>
    </row>
    <row r="125" spans="4:13" ht="18.75">
      <c r="D125" s="62"/>
      <c r="M125" s="63"/>
    </row>
    <row r="126" spans="4:13" ht="18.75">
      <c r="D126" s="62"/>
      <c r="M126" s="63"/>
    </row>
    <row r="127" spans="4:13" ht="18.75">
      <c r="D127" s="62"/>
      <c r="M127" s="63"/>
    </row>
    <row r="128" spans="4:13" ht="18.75">
      <c r="D128" s="62"/>
      <c r="M128" s="63"/>
    </row>
    <row r="129" spans="4:13" ht="18.75">
      <c r="D129" s="62"/>
      <c r="M129" s="63"/>
    </row>
    <row r="130" spans="4:13" ht="18.75">
      <c r="D130" s="62"/>
      <c r="M130" s="63"/>
    </row>
    <row r="131" spans="4:13" ht="18.75">
      <c r="D131" s="62"/>
      <c r="M131" s="63"/>
    </row>
    <row r="132" spans="4:13" ht="18.75">
      <c r="D132" s="62"/>
      <c r="M132" s="63"/>
    </row>
    <row r="133" spans="4:13" ht="18.75">
      <c r="D133" s="62"/>
      <c r="M133" s="63"/>
    </row>
    <row r="134" spans="4:13" ht="18.75">
      <c r="D134" s="62"/>
      <c r="M134" s="63"/>
    </row>
    <row r="135" spans="4:13" ht="18.75">
      <c r="D135" s="62"/>
      <c r="M135" s="63"/>
    </row>
    <row r="136" spans="4:13" ht="18.75">
      <c r="D136" s="62"/>
      <c r="M136" s="63"/>
    </row>
    <row r="137" spans="4:13" ht="18.75">
      <c r="D137" s="62"/>
      <c r="M137" s="63"/>
    </row>
    <row r="138" spans="4:13" ht="18.75">
      <c r="D138" s="62"/>
      <c r="M138" s="63"/>
    </row>
    <row r="139" spans="4:13" ht="18.75">
      <c r="D139" s="62"/>
      <c r="M139" s="63"/>
    </row>
    <row r="140" spans="4:13" ht="18.75">
      <c r="D140" s="62"/>
      <c r="M140" s="63"/>
    </row>
    <row r="141" spans="4:13" ht="18.75">
      <c r="D141" s="62"/>
      <c r="M141" s="63"/>
    </row>
    <row r="142" spans="4:13" ht="18.75">
      <c r="D142" s="62"/>
      <c r="M142" s="63"/>
    </row>
    <row r="143" spans="4:13" ht="18.75">
      <c r="M143" s="63"/>
    </row>
    <row r="144" spans="4:13" ht="18.75">
      <c r="M144" s="63"/>
    </row>
    <row r="145" spans="13:13" ht="18.75">
      <c r="M145" s="63"/>
    </row>
    <row r="146" spans="13:13" ht="18.75">
      <c r="M146" s="63"/>
    </row>
    <row r="147" spans="13:13" ht="18.75">
      <c r="M147" s="63"/>
    </row>
    <row r="148" spans="13:13" ht="18.75">
      <c r="M148" s="63"/>
    </row>
    <row r="149" spans="13:13" ht="18.75">
      <c r="M149" s="63"/>
    </row>
    <row r="150" spans="13:13" ht="18.75">
      <c r="M150" s="63"/>
    </row>
    <row r="151" spans="13:13" ht="18.75">
      <c r="M151" s="63"/>
    </row>
    <row r="152" spans="13:13" ht="18.75">
      <c r="M152" s="63"/>
    </row>
    <row r="153" spans="13:13" ht="18.75">
      <c r="M153" s="63"/>
    </row>
    <row r="154" spans="13:13" ht="18.75">
      <c r="M154" s="63"/>
    </row>
  </sheetData>
  <autoFilter ref="A1:AB130" xr:uid="{00000000-0009-0000-0000-000002000000}"/>
  <phoneticPr fontId="3"/>
  <dataValidations count="21">
    <dataValidation type="list" allowBlank="1" showInputMessage="1" showErrorMessage="1" sqref="K65538:K65636 K131074:K131172 K196610:K196708 K262146:K262244 K327682:K327780 K393218:K393316 K458754:K458852 K524290:K524388 K589826:K589924 K655362:K655460 K720898:K720996 K786434:K786532 K851970:K852068 K917506:K917604 K983042:K983140 JG2:JG100 JG65538:JG65636 JG131074:JG131172 JG196610:JG196708 JG262146:JG262244 JG327682:JG327780 JG393218:JG393316 JG458754:JG458852 JG524290:JG524388 JG589826:JG589924 JG655362:JG655460 JG720898:JG720996 JG786434:JG786532 JG851970:JG852068 JG917506:JG917604 JG983042:JG983140 TC2:TC100 TC65538:TC65636 TC131074:TC131172 TC196610:TC196708 TC262146:TC262244 TC327682:TC327780 TC393218:TC393316 TC458754:TC458852 TC524290:TC524388 TC589826:TC589924 TC655362:TC655460 TC720898:TC720996 TC786434:TC786532 TC851970:TC852068 TC917506:TC917604 TC983042:TC983140 ACY2:ACY100 ACY65538:ACY65636 ACY131074:ACY131172 ACY196610:ACY196708 ACY262146:ACY262244 ACY327682:ACY327780 ACY393218:ACY393316 ACY458754:ACY458852 ACY524290:ACY524388 ACY589826:ACY589924 ACY655362:ACY655460 ACY720898:ACY720996 ACY786434:ACY786532 ACY851970:ACY852068 ACY917506:ACY917604 ACY983042:ACY983140 AMU2:AMU100 AMU65538:AMU65636 AMU131074:AMU131172 AMU196610:AMU196708 AMU262146:AMU262244 AMU327682:AMU327780 AMU393218:AMU393316 AMU458754:AMU458852 AMU524290:AMU524388 AMU589826:AMU589924 AMU655362:AMU655460 AMU720898:AMU720996 AMU786434:AMU786532 AMU851970:AMU852068 AMU917506:AMU917604 AMU983042:AMU983140 AWQ2:AWQ100 AWQ65538:AWQ65636 AWQ131074:AWQ131172 AWQ196610:AWQ196708 AWQ262146:AWQ262244 AWQ327682:AWQ327780 AWQ393218:AWQ393316 AWQ458754:AWQ458852 AWQ524290:AWQ524388 AWQ589826:AWQ589924 AWQ655362:AWQ655460 AWQ720898:AWQ720996 AWQ786434:AWQ786532 AWQ851970:AWQ852068 AWQ917506:AWQ917604 AWQ983042:AWQ983140 BGM2:BGM100 BGM65538:BGM65636 BGM131074:BGM131172 BGM196610:BGM196708 BGM262146:BGM262244 BGM327682:BGM327780 BGM393218:BGM393316 BGM458754:BGM458852 BGM524290:BGM524388 BGM589826:BGM589924 BGM655362:BGM655460 BGM720898:BGM720996 BGM786434:BGM786532 BGM851970:BGM852068 BGM917506:BGM917604 BGM983042:BGM983140 BQI2:BQI100 BQI65538:BQI65636 BQI131074:BQI131172 BQI196610:BQI196708 BQI262146:BQI262244 BQI327682:BQI327780 BQI393218:BQI393316 BQI458754:BQI458852 BQI524290:BQI524388 BQI589826:BQI589924 BQI655362:BQI655460 BQI720898:BQI720996 BQI786434:BQI786532 BQI851970:BQI852068 BQI917506:BQI917604 BQI983042:BQI983140 CAE2:CAE100 CAE65538:CAE65636 CAE131074:CAE131172 CAE196610:CAE196708 CAE262146:CAE262244 CAE327682:CAE327780 CAE393218:CAE393316 CAE458754:CAE458852 CAE524290:CAE524388 CAE589826:CAE589924 CAE655362:CAE655460 CAE720898:CAE720996 CAE786434:CAE786532 CAE851970:CAE852068 CAE917506:CAE917604 CAE983042:CAE983140 CKA2:CKA100 CKA65538:CKA65636 CKA131074:CKA131172 CKA196610:CKA196708 CKA262146:CKA262244 CKA327682:CKA327780 CKA393218:CKA393316 CKA458754:CKA458852 CKA524290:CKA524388 CKA589826:CKA589924 CKA655362:CKA655460 CKA720898:CKA720996 CKA786434:CKA786532 CKA851970:CKA852068 CKA917506:CKA917604 CKA983042:CKA983140 CTW2:CTW100 CTW65538:CTW65636 CTW131074:CTW131172 CTW196610:CTW196708 CTW262146:CTW262244 CTW327682:CTW327780 CTW393218:CTW393316 CTW458754:CTW458852 CTW524290:CTW524388 CTW589826:CTW589924 CTW655362:CTW655460 CTW720898:CTW720996 CTW786434:CTW786532 CTW851970:CTW852068 CTW917506:CTW917604 CTW983042:CTW983140 DDS2:DDS100 DDS65538:DDS65636 DDS131074:DDS131172 DDS196610:DDS196708 DDS262146:DDS262244 DDS327682:DDS327780 DDS393218:DDS393316 DDS458754:DDS458852 DDS524290:DDS524388 DDS589826:DDS589924 DDS655362:DDS655460 DDS720898:DDS720996 DDS786434:DDS786532 DDS851970:DDS852068 DDS917506:DDS917604 DDS983042:DDS983140 DNO2:DNO100 DNO65538:DNO65636 DNO131074:DNO131172 DNO196610:DNO196708 DNO262146:DNO262244 DNO327682:DNO327780 DNO393218:DNO393316 DNO458754:DNO458852 DNO524290:DNO524388 DNO589826:DNO589924 DNO655362:DNO655460 DNO720898:DNO720996 DNO786434:DNO786532 DNO851970:DNO852068 DNO917506:DNO917604 DNO983042:DNO983140 DXK2:DXK100 DXK65538:DXK65636 DXK131074:DXK131172 DXK196610:DXK196708 DXK262146:DXK262244 DXK327682:DXK327780 DXK393218:DXK393316 DXK458754:DXK458852 DXK524290:DXK524388 DXK589826:DXK589924 DXK655362:DXK655460 DXK720898:DXK720996 DXK786434:DXK786532 DXK851970:DXK852068 DXK917506:DXK917604 DXK983042:DXK983140 EHG2:EHG100 EHG65538:EHG65636 EHG131074:EHG131172 EHG196610:EHG196708 EHG262146:EHG262244 EHG327682:EHG327780 EHG393218:EHG393316 EHG458754:EHG458852 EHG524290:EHG524388 EHG589826:EHG589924 EHG655362:EHG655460 EHG720898:EHG720996 EHG786434:EHG786532 EHG851970:EHG852068 EHG917506:EHG917604 EHG983042:EHG983140 ERC2:ERC100 ERC65538:ERC65636 ERC131074:ERC131172 ERC196610:ERC196708 ERC262146:ERC262244 ERC327682:ERC327780 ERC393218:ERC393316 ERC458754:ERC458852 ERC524290:ERC524388 ERC589826:ERC589924 ERC655362:ERC655460 ERC720898:ERC720996 ERC786434:ERC786532 ERC851970:ERC852068 ERC917506:ERC917604 ERC983042:ERC983140 FAY2:FAY100 FAY65538:FAY65636 FAY131074:FAY131172 FAY196610:FAY196708 FAY262146:FAY262244 FAY327682:FAY327780 FAY393218:FAY393316 FAY458754:FAY458852 FAY524290:FAY524388 FAY589826:FAY589924 FAY655362:FAY655460 FAY720898:FAY720996 FAY786434:FAY786532 FAY851970:FAY852068 FAY917506:FAY917604 FAY983042:FAY983140 FKU2:FKU100 FKU65538:FKU65636 FKU131074:FKU131172 FKU196610:FKU196708 FKU262146:FKU262244 FKU327682:FKU327780 FKU393218:FKU393316 FKU458754:FKU458852 FKU524290:FKU524388 FKU589826:FKU589924 FKU655362:FKU655460 FKU720898:FKU720996 FKU786434:FKU786532 FKU851970:FKU852068 FKU917506:FKU917604 FKU983042:FKU983140 FUQ2:FUQ100 FUQ65538:FUQ65636 FUQ131074:FUQ131172 FUQ196610:FUQ196708 FUQ262146:FUQ262244 FUQ327682:FUQ327780 FUQ393218:FUQ393316 FUQ458754:FUQ458852 FUQ524290:FUQ524388 FUQ589826:FUQ589924 FUQ655362:FUQ655460 FUQ720898:FUQ720996 FUQ786434:FUQ786532 FUQ851970:FUQ852068 FUQ917506:FUQ917604 FUQ983042:FUQ983140 GEM2:GEM100 GEM65538:GEM65636 GEM131074:GEM131172 GEM196610:GEM196708 GEM262146:GEM262244 GEM327682:GEM327780 GEM393218:GEM393316 GEM458754:GEM458852 GEM524290:GEM524388 GEM589826:GEM589924 GEM655362:GEM655460 GEM720898:GEM720996 GEM786434:GEM786532 GEM851970:GEM852068 GEM917506:GEM917604 GEM983042:GEM983140 GOI2:GOI100 GOI65538:GOI65636 GOI131074:GOI131172 GOI196610:GOI196708 GOI262146:GOI262244 GOI327682:GOI327780 GOI393218:GOI393316 GOI458754:GOI458852 GOI524290:GOI524388 GOI589826:GOI589924 GOI655362:GOI655460 GOI720898:GOI720996 GOI786434:GOI786532 GOI851970:GOI852068 GOI917506:GOI917604 GOI983042:GOI983140 GYE2:GYE100 GYE65538:GYE65636 GYE131074:GYE131172 GYE196610:GYE196708 GYE262146:GYE262244 GYE327682:GYE327780 GYE393218:GYE393316 GYE458754:GYE458852 GYE524290:GYE524388 GYE589826:GYE589924 GYE655362:GYE655460 GYE720898:GYE720996 GYE786434:GYE786532 GYE851970:GYE852068 GYE917506:GYE917604 GYE983042:GYE983140 HIA2:HIA100 HIA65538:HIA65636 HIA131074:HIA131172 HIA196610:HIA196708 HIA262146:HIA262244 HIA327682:HIA327780 HIA393218:HIA393316 HIA458754:HIA458852 HIA524290:HIA524388 HIA589826:HIA589924 HIA655362:HIA655460 HIA720898:HIA720996 HIA786434:HIA786532 HIA851970:HIA852068 HIA917506:HIA917604 HIA983042:HIA983140 HRW2:HRW100 HRW65538:HRW65636 HRW131074:HRW131172 HRW196610:HRW196708 HRW262146:HRW262244 HRW327682:HRW327780 HRW393218:HRW393316 HRW458754:HRW458852 HRW524290:HRW524388 HRW589826:HRW589924 HRW655362:HRW655460 HRW720898:HRW720996 HRW786434:HRW786532 HRW851970:HRW852068 HRW917506:HRW917604 HRW983042:HRW983140 IBS2:IBS100 IBS65538:IBS65636 IBS131074:IBS131172 IBS196610:IBS196708 IBS262146:IBS262244 IBS327682:IBS327780 IBS393218:IBS393316 IBS458754:IBS458852 IBS524290:IBS524388 IBS589826:IBS589924 IBS655362:IBS655460 IBS720898:IBS720996 IBS786434:IBS786532 IBS851970:IBS852068 IBS917506:IBS917604 IBS983042:IBS983140 ILO2:ILO100 ILO65538:ILO65636 ILO131074:ILO131172 ILO196610:ILO196708 ILO262146:ILO262244 ILO327682:ILO327780 ILO393218:ILO393316 ILO458754:ILO458852 ILO524290:ILO524388 ILO589826:ILO589924 ILO655362:ILO655460 ILO720898:ILO720996 ILO786434:ILO786532 ILO851970:ILO852068 ILO917506:ILO917604 ILO983042:ILO983140 IVK2:IVK100 IVK65538:IVK65636 IVK131074:IVK131172 IVK196610:IVK196708 IVK262146:IVK262244 IVK327682:IVK327780 IVK393218:IVK393316 IVK458754:IVK458852 IVK524290:IVK524388 IVK589826:IVK589924 IVK655362:IVK655460 IVK720898:IVK720996 IVK786434:IVK786532 IVK851970:IVK852068 IVK917506:IVK917604 IVK983042:IVK983140 JFG2:JFG100 JFG65538:JFG65636 JFG131074:JFG131172 JFG196610:JFG196708 JFG262146:JFG262244 JFG327682:JFG327780 JFG393218:JFG393316 JFG458754:JFG458852 JFG524290:JFG524388 JFG589826:JFG589924 JFG655362:JFG655460 JFG720898:JFG720996 JFG786434:JFG786532 JFG851970:JFG852068 JFG917506:JFG917604 JFG983042:JFG983140 JPC2:JPC100 JPC65538:JPC65636 JPC131074:JPC131172 JPC196610:JPC196708 JPC262146:JPC262244 JPC327682:JPC327780 JPC393218:JPC393316 JPC458754:JPC458852 JPC524290:JPC524388 JPC589826:JPC589924 JPC655362:JPC655460 JPC720898:JPC720996 JPC786434:JPC786532 JPC851970:JPC852068 JPC917506:JPC917604 JPC983042:JPC983140 JYY2:JYY100 JYY65538:JYY65636 JYY131074:JYY131172 JYY196610:JYY196708 JYY262146:JYY262244 JYY327682:JYY327780 JYY393218:JYY393316 JYY458754:JYY458852 JYY524290:JYY524388 JYY589826:JYY589924 JYY655362:JYY655460 JYY720898:JYY720996 JYY786434:JYY786532 JYY851970:JYY852068 JYY917506:JYY917604 JYY983042:JYY983140 KIU2:KIU100 KIU65538:KIU65636 KIU131074:KIU131172 KIU196610:KIU196708 KIU262146:KIU262244 KIU327682:KIU327780 KIU393218:KIU393316 KIU458754:KIU458852 KIU524290:KIU524388 KIU589826:KIU589924 KIU655362:KIU655460 KIU720898:KIU720996 KIU786434:KIU786532 KIU851970:KIU852068 KIU917506:KIU917604 KIU983042:KIU983140 KSQ2:KSQ100 KSQ65538:KSQ65636 KSQ131074:KSQ131172 KSQ196610:KSQ196708 KSQ262146:KSQ262244 KSQ327682:KSQ327780 KSQ393218:KSQ393316 KSQ458754:KSQ458852 KSQ524290:KSQ524388 KSQ589826:KSQ589924 KSQ655362:KSQ655460 KSQ720898:KSQ720996 KSQ786434:KSQ786532 KSQ851970:KSQ852068 KSQ917506:KSQ917604 KSQ983042:KSQ983140 LCM2:LCM100 LCM65538:LCM65636 LCM131074:LCM131172 LCM196610:LCM196708 LCM262146:LCM262244 LCM327682:LCM327780 LCM393218:LCM393316 LCM458754:LCM458852 LCM524290:LCM524388 LCM589826:LCM589924 LCM655362:LCM655460 LCM720898:LCM720996 LCM786434:LCM786532 LCM851970:LCM852068 LCM917506:LCM917604 LCM983042:LCM983140 LMI2:LMI100 LMI65538:LMI65636 LMI131074:LMI131172 LMI196610:LMI196708 LMI262146:LMI262244 LMI327682:LMI327780 LMI393218:LMI393316 LMI458754:LMI458852 LMI524290:LMI524388 LMI589826:LMI589924 LMI655362:LMI655460 LMI720898:LMI720996 LMI786434:LMI786532 LMI851970:LMI852068 LMI917506:LMI917604 LMI983042:LMI983140 LWE2:LWE100 LWE65538:LWE65636 LWE131074:LWE131172 LWE196610:LWE196708 LWE262146:LWE262244 LWE327682:LWE327780 LWE393218:LWE393316 LWE458754:LWE458852 LWE524290:LWE524388 LWE589826:LWE589924 LWE655362:LWE655460 LWE720898:LWE720996 LWE786434:LWE786532 LWE851970:LWE852068 LWE917506:LWE917604 LWE983042:LWE983140 MGA2:MGA100 MGA65538:MGA65636 MGA131074:MGA131172 MGA196610:MGA196708 MGA262146:MGA262244 MGA327682:MGA327780 MGA393218:MGA393316 MGA458754:MGA458852 MGA524290:MGA524388 MGA589826:MGA589924 MGA655362:MGA655460 MGA720898:MGA720996 MGA786434:MGA786532 MGA851970:MGA852068 MGA917506:MGA917604 MGA983042:MGA983140 MPW2:MPW100 MPW65538:MPW65636 MPW131074:MPW131172 MPW196610:MPW196708 MPW262146:MPW262244 MPW327682:MPW327780 MPW393218:MPW393316 MPW458754:MPW458852 MPW524290:MPW524388 MPW589826:MPW589924 MPW655362:MPW655460 MPW720898:MPW720996 MPW786434:MPW786532 MPW851970:MPW852068 MPW917506:MPW917604 MPW983042:MPW983140 MZS2:MZS100 MZS65538:MZS65636 MZS131074:MZS131172 MZS196610:MZS196708 MZS262146:MZS262244 MZS327682:MZS327780 MZS393218:MZS393316 MZS458754:MZS458852 MZS524290:MZS524388 MZS589826:MZS589924 MZS655362:MZS655460 MZS720898:MZS720996 MZS786434:MZS786532 MZS851970:MZS852068 MZS917506:MZS917604 MZS983042:MZS983140 NJO2:NJO100 NJO65538:NJO65636 NJO131074:NJO131172 NJO196610:NJO196708 NJO262146:NJO262244 NJO327682:NJO327780 NJO393218:NJO393316 NJO458754:NJO458852 NJO524290:NJO524388 NJO589826:NJO589924 NJO655362:NJO655460 NJO720898:NJO720996 NJO786434:NJO786532 NJO851970:NJO852068 NJO917506:NJO917604 NJO983042:NJO983140 NTK2:NTK100 NTK65538:NTK65636 NTK131074:NTK131172 NTK196610:NTK196708 NTK262146:NTK262244 NTK327682:NTK327780 NTK393218:NTK393316 NTK458754:NTK458852 NTK524290:NTK524388 NTK589826:NTK589924 NTK655362:NTK655460 NTK720898:NTK720996 NTK786434:NTK786532 NTK851970:NTK852068 NTK917506:NTK917604 NTK983042:NTK983140 ODG2:ODG100 ODG65538:ODG65636 ODG131074:ODG131172 ODG196610:ODG196708 ODG262146:ODG262244 ODG327682:ODG327780 ODG393218:ODG393316 ODG458754:ODG458852 ODG524290:ODG524388 ODG589826:ODG589924 ODG655362:ODG655460 ODG720898:ODG720996 ODG786434:ODG786532 ODG851970:ODG852068 ODG917506:ODG917604 ODG983042:ODG983140 ONC2:ONC100 ONC65538:ONC65636 ONC131074:ONC131172 ONC196610:ONC196708 ONC262146:ONC262244 ONC327682:ONC327780 ONC393218:ONC393316 ONC458754:ONC458852 ONC524290:ONC524388 ONC589826:ONC589924 ONC655362:ONC655460 ONC720898:ONC720996 ONC786434:ONC786532 ONC851970:ONC852068 ONC917506:ONC917604 ONC983042:ONC983140 OWY2:OWY100 OWY65538:OWY65636 OWY131074:OWY131172 OWY196610:OWY196708 OWY262146:OWY262244 OWY327682:OWY327780 OWY393218:OWY393316 OWY458754:OWY458852 OWY524290:OWY524388 OWY589826:OWY589924 OWY655362:OWY655460 OWY720898:OWY720996 OWY786434:OWY786532 OWY851970:OWY852068 OWY917506:OWY917604 OWY983042:OWY983140 PGU2:PGU100 PGU65538:PGU65636 PGU131074:PGU131172 PGU196610:PGU196708 PGU262146:PGU262244 PGU327682:PGU327780 PGU393218:PGU393316 PGU458754:PGU458852 PGU524290:PGU524388 PGU589826:PGU589924 PGU655362:PGU655460 PGU720898:PGU720996 PGU786434:PGU786532 PGU851970:PGU852068 PGU917506:PGU917604 PGU983042:PGU983140 PQQ2:PQQ100 PQQ65538:PQQ65636 PQQ131074:PQQ131172 PQQ196610:PQQ196708 PQQ262146:PQQ262244 PQQ327682:PQQ327780 PQQ393218:PQQ393316 PQQ458754:PQQ458852 PQQ524290:PQQ524388 PQQ589826:PQQ589924 PQQ655362:PQQ655460 PQQ720898:PQQ720996 PQQ786434:PQQ786532 PQQ851970:PQQ852068 PQQ917506:PQQ917604 PQQ983042:PQQ983140 QAM2:QAM100 QAM65538:QAM65636 QAM131074:QAM131172 QAM196610:QAM196708 QAM262146:QAM262244 QAM327682:QAM327780 QAM393218:QAM393316 QAM458754:QAM458852 QAM524290:QAM524388 QAM589826:QAM589924 QAM655362:QAM655460 QAM720898:QAM720996 QAM786434:QAM786532 QAM851970:QAM852068 QAM917506:QAM917604 QAM983042:QAM983140 QKI2:QKI100 QKI65538:QKI65636 QKI131074:QKI131172 QKI196610:QKI196708 QKI262146:QKI262244 QKI327682:QKI327780 QKI393218:QKI393316 QKI458754:QKI458852 QKI524290:QKI524388 QKI589826:QKI589924 QKI655362:QKI655460 QKI720898:QKI720996 QKI786434:QKI786532 QKI851970:QKI852068 QKI917506:QKI917604 QKI983042:QKI983140 QUE2:QUE100 QUE65538:QUE65636 QUE131074:QUE131172 QUE196610:QUE196708 QUE262146:QUE262244 QUE327682:QUE327780 QUE393218:QUE393316 QUE458754:QUE458852 QUE524290:QUE524388 QUE589826:QUE589924 QUE655362:QUE655460 QUE720898:QUE720996 QUE786434:QUE786532 QUE851970:QUE852068 QUE917506:QUE917604 QUE983042:QUE983140 REA2:REA100 REA65538:REA65636 REA131074:REA131172 REA196610:REA196708 REA262146:REA262244 REA327682:REA327780 REA393218:REA393316 REA458754:REA458852 REA524290:REA524388 REA589826:REA589924 REA655362:REA655460 REA720898:REA720996 REA786434:REA786532 REA851970:REA852068 REA917506:REA917604 REA983042:REA983140 RNW2:RNW100 RNW65538:RNW65636 RNW131074:RNW131172 RNW196610:RNW196708 RNW262146:RNW262244 RNW327682:RNW327780 RNW393218:RNW393316 RNW458754:RNW458852 RNW524290:RNW524388 RNW589826:RNW589924 RNW655362:RNW655460 RNW720898:RNW720996 RNW786434:RNW786532 RNW851970:RNW852068 RNW917506:RNW917604 RNW983042:RNW983140 RXS2:RXS100 RXS65538:RXS65636 RXS131074:RXS131172 RXS196610:RXS196708 RXS262146:RXS262244 RXS327682:RXS327780 RXS393218:RXS393316 RXS458754:RXS458852 RXS524290:RXS524388 RXS589826:RXS589924 RXS655362:RXS655460 RXS720898:RXS720996 RXS786434:RXS786532 RXS851970:RXS852068 RXS917506:RXS917604 RXS983042:RXS983140 SHO2:SHO100 SHO65538:SHO65636 SHO131074:SHO131172 SHO196610:SHO196708 SHO262146:SHO262244 SHO327682:SHO327780 SHO393218:SHO393316 SHO458754:SHO458852 SHO524290:SHO524388 SHO589826:SHO589924 SHO655362:SHO655460 SHO720898:SHO720996 SHO786434:SHO786532 SHO851970:SHO852068 SHO917506:SHO917604 SHO983042:SHO983140 SRK2:SRK100 SRK65538:SRK65636 SRK131074:SRK131172 SRK196610:SRK196708 SRK262146:SRK262244 SRK327682:SRK327780 SRK393218:SRK393316 SRK458754:SRK458852 SRK524290:SRK524388 SRK589826:SRK589924 SRK655362:SRK655460 SRK720898:SRK720996 SRK786434:SRK786532 SRK851970:SRK852068 SRK917506:SRK917604 SRK983042:SRK983140 TBG2:TBG100 TBG65538:TBG65636 TBG131074:TBG131172 TBG196610:TBG196708 TBG262146:TBG262244 TBG327682:TBG327780 TBG393218:TBG393316 TBG458754:TBG458852 TBG524290:TBG524388 TBG589826:TBG589924 TBG655362:TBG655460 TBG720898:TBG720996 TBG786434:TBG786532 TBG851970:TBG852068 TBG917506:TBG917604 TBG983042:TBG983140 TLC2:TLC100 TLC65538:TLC65636 TLC131074:TLC131172 TLC196610:TLC196708 TLC262146:TLC262244 TLC327682:TLC327780 TLC393218:TLC393316 TLC458754:TLC458852 TLC524290:TLC524388 TLC589826:TLC589924 TLC655362:TLC655460 TLC720898:TLC720996 TLC786434:TLC786532 TLC851970:TLC852068 TLC917506:TLC917604 TLC983042:TLC983140 TUY2:TUY100 TUY65538:TUY65636 TUY131074:TUY131172 TUY196610:TUY196708 TUY262146:TUY262244 TUY327682:TUY327780 TUY393218:TUY393316 TUY458754:TUY458852 TUY524290:TUY524388 TUY589826:TUY589924 TUY655362:TUY655460 TUY720898:TUY720996 TUY786434:TUY786532 TUY851970:TUY852068 TUY917506:TUY917604 TUY983042:TUY983140 UEU2:UEU100 UEU65538:UEU65636 UEU131074:UEU131172 UEU196610:UEU196708 UEU262146:UEU262244 UEU327682:UEU327780 UEU393218:UEU393316 UEU458754:UEU458852 UEU524290:UEU524388 UEU589826:UEU589924 UEU655362:UEU655460 UEU720898:UEU720996 UEU786434:UEU786532 UEU851970:UEU852068 UEU917506:UEU917604 UEU983042:UEU983140 UOQ2:UOQ100 UOQ65538:UOQ65636 UOQ131074:UOQ131172 UOQ196610:UOQ196708 UOQ262146:UOQ262244 UOQ327682:UOQ327780 UOQ393218:UOQ393316 UOQ458754:UOQ458852 UOQ524290:UOQ524388 UOQ589826:UOQ589924 UOQ655362:UOQ655460 UOQ720898:UOQ720996 UOQ786434:UOQ786532 UOQ851970:UOQ852068 UOQ917506:UOQ917604 UOQ983042:UOQ983140 UYM2:UYM100 UYM65538:UYM65636 UYM131074:UYM131172 UYM196610:UYM196708 UYM262146:UYM262244 UYM327682:UYM327780 UYM393218:UYM393316 UYM458754:UYM458852 UYM524290:UYM524388 UYM589826:UYM589924 UYM655362:UYM655460 UYM720898:UYM720996 UYM786434:UYM786532 UYM851970:UYM852068 UYM917506:UYM917604 UYM983042:UYM983140 VII2:VII100 VII65538:VII65636 VII131074:VII131172 VII196610:VII196708 VII262146:VII262244 VII327682:VII327780 VII393218:VII393316 VII458754:VII458852 VII524290:VII524388 VII589826:VII589924 VII655362:VII655460 VII720898:VII720996 VII786434:VII786532 VII851970:VII852068 VII917506:VII917604 VII983042:VII983140 VSE2:VSE100 VSE65538:VSE65636 VSE131074:VSE131172 VSE196610:VSE196708 VSE262146:VSE262244 VSE327682:VSE327780 VSE393218:VSE393316 VSE458754:VSE458852 VSE524290:VSE524388 VSE589826:VSE589924 VSE655362:VSE655460 VSE720898:VSE720996 VSE786434:VSE786532 VSE851970:VSE852068 VSE917506:VSE917604 VSE983042:VSE983140 WCA2:WCA100 WCA65538:WCA65636 WCA131074:WCA131172 WCA196610:WCA196708 WCA262146:WCA262244 WCA327682:WCA327780 WCA393218:WCA393316 WCA458754:WCA458852 WCA524290:WCA524388 WCA589826:WCA589924 WCA655362:WCA655460 WCA720898:WCA720996 WCA786434:WCA786532 WCA851970:WCA852068 WCA917506:WCA917604 WCA983042:WCA983140 WLW2:WLW100 WLW65538:WLW65636 WLW131074:WLW131172 WLW196610:WLW196708 WLW262146:WLW262244 WLW327682:WLW327780 WLW393218:WLW393316 WLW458754:WLW458852 WLW524290:WLW524388 WLW589826:WLW589924 WLW655362:WLW655460 WLW720898:WLW720996 WLW786434:WLW786532 WLW851970:WLW852068 WLW917506:WLW917604 WLW983042:WLW983140 WVS2:WVS100 WVS65538:WVS65636 WVS131074:WVS131172 WVS196610:WVS196708 WVS262146:WVS262244 WVS327682:WVS327780 WVS393218:WVS393316 WVS458754:WVS458852 WVS524290:WVS524388 WVS589826:WVS589924 WVS655362:WVS655460 WVS720898:WVS720996 WVS786434:WVS786532 WVS851970:WVS852068 WVS917506:WVS917604 WVS983042:WVS983140" xr:uid="{BEF94FA7-004E-400F-9F35-123BCF420031}">
      <formula1>$AR$2:$AR$25</formula1>
    </dataValidation>
    <dataValidation type="list" allowBlank="1" showInputMessage="1" showErrorMessage="1" sqref="K64423:K64476 K129959:K130012 K195495:K195548 K261031:K261084 K326567:K326620 K392103:K392156 K457639:K457692 K523175:K523228 K588711:K588764 K654247:K654300 K719783:K719836 K785319:K785372 K850855:K850908 K916391:K916444 K981927:K981980 K1047463:K1047516 JG64423:JG64476 JG129959:JG130012 JG195495:JG195548 JG261031:JG261084 JG326567:JG326620 JG392103:JG392156 JG457639:JG457692 JG523175:JG523228 JG588711:JG588764 JG654247:JG654300 JG719783:JG719836 JG785319:JG785372 JG850855:JG850908 JG916391:JG916444 JG981927:JG981980 JG1047463:JG1047516 TC64423:TC64476 TC129959:TC130012 TC195495:TC195548 TC261031:TC261084 TC326567:TC326620 TC392103:TC392156 TC457639:TC457692 TC523175:TC523228 TC588711:TC588764 TC654247:TC654300 TC719783:TC719836 TC785319:TC785372 TC850855:TC850908 TC916391:TC916444 TC981927:TC981980 TC1047463:TC1047516 ACY64423:ACY64476 ACY129959:ACY130012 ACY195495:ACY195548 ACY261031:ACY261084 ACY326567:ACY326620 ACY392103:ACY392156 ACY457639:ACY457692 ACY523175:ACY523228 ACY588711:ACY588764 ACY654247:ACY654300 ACY719783:ACY719836 ACY785319:ACY785372 ACY850855:ACY850908 ACY916391:ACY916444 ACY981927:ACY981980 ACY1047463:ACY1047516 AMU64423:AMU64476 AMU129959:AMU130012 AMU195495:AMU195548 AMU261031:AMU261084 AMU326567:AMU326620 AMU392103:AMU392156 AMU457639:AMU457692 AMU523175:AMU523228 AMU588711:AMU588764 AMU654247:AMU654300 AMU719783:AMU719836 AMU785319:AMU785372 AMU850855:AMU850908 AMU916391:AMU916444 AMU981927:AMU981980 AMU1047463:AMU1047516 AWQ64423:AWQ64476 AWQ129959:AWQ130012 AWQ195495:AWQ195548 AWQ261031:AWQ261084 AWQ326567:AWQ326620 AWQ392103:AWQ392156 AWQ457639:AWQ457692 AWQ523175:AWQ523228 AWQ588711:AWQ588764 AWQ654247:AWQ654300 AWQ719783:AWQ719836 AWQ785319:AWQ785372 AWQ850855:AWQ850908 AWQ916391:AWQ916444 AWQ981927:AWQ981980 AWQ1047463:AWQ1047516 BGM64423:BGM64476 BGM129959:BGM130012 BGM195495:BGM195548 BGM261031:BGM261084 BGM326567:BGM326620 BGM392103:BGM392156 BGM457639:BGM457692 BGM523175:BGM523228 BGM588711:BGM588764 BGM654247:BGM654300 BGM719783:BGM719836 BGM785319:BGM785372 BGM850855:BGM850908 BGM916391:BGM916444 BGM981927:BGM981980 BGM1047463:BGM1047516 BQI64423:BQI64476 BQI129959:BQI130012 BQI195495:BQI195548 BQI261031:BQI261084 BQI326567:BQI326620 BQI392103:BQI392156 BQI457639:BQI457692 BQI523175:BQI523228 BQI588711:BQI588764 BQI654247:BQI654300 BQI719783:BQI719836 BQI785319:BQI785372 BQI850855:BQI850908 BQI916391:BQI916444 BQI981927:BQI981980 BQI1047463:BQI1047516 CAE64423:CAE64476 CAE129959:CAE130012 CAE195495:CAE195548 CAE261031:CAE261084 CAE326567:CAE326620 CAE392103:CAE392156 CAE457639:CAE457692 CAE523175:CAE523228 CAE588711:CAE588764 CAE654247:CAE654300 CAE719783:CAE719836 CAE785319:CAE785372 CAE850855:CAE850908 CAE916391:CAE916444 CAE981927:CAE981980 CAE1047463:CAE1047516 CKA64423:CKA64476 CKA129959:CKA130012 CKA195495:CKA195548 CKA261031:CKA261084 CKA326567:CKA326620 CKA392103:CKA392156 CKA457639:CKA457692 CKA523175:CKA523228 CKA588711:CKA588764 CKA654247:CKA654300 CKA719783:CKA719836 CKA785319:CKA785372 CKA850855:CKA850908 CKA916391:CKA916444 CKA981927:CKA981980 CKA1047463:CKA1047516 CTW64423:CTW64476 CTW129959:CTW130012 CTW195495:CTW195548 CTW261031:CTW261084 CTW326567:CTW326620 CTW392103:CTW392156 CTW457639:CTW457692 CTW523175:CTW523228 CTW588711:CTW588764 CTW654247:CTW654300 CTW719783:CTW719836 CTW785319:CTW785372 CTW850855:CTW850908 CTW916391:CTW916444 CTW981927:CTW981980 CTW1047463:CTW1047516 DDS64423:DDS64476 DDS129959:DDS130012 DDS195495:DDS195548 DDS261031:DDS261084 DDS326567:DDS326620 DDS392103:DDS392156 DDS457639:DDS457692 DDS523175:DDS523228 DDS588711:DDS588764 DDS654247:DDS654300 DDS719783:DDS719836 DDS785319:DDS785372 DDS850855:DDS850908 DDS916391:DDS916444 DDS981927:DDS981980 DDS1047463:DDS1047516 DNO64423:DNO64476 DNO129959:DNO130012 DNO195495:DNO195548 DNO261031:DNO261084 DNO326567:DNO326620 DNO392103:DNO392156 DNO457639:DNO457692 DNO523175:DNO523228 DNO588711:DNO588764 DNO654247:DNO654300 DNO719783:DNO719836 DNO785319:DNO785372 DNO850855:DNO850908 DNO916391:DNO916444 DNO981927:DNO981980 DNO1047463:DNO1047516 DXK64423:DXK64476 DXK129959:DXK130012 DXK195495:DXK195548 DXK261031:DXK261084 DXK326567:DXK326620 DXK392103:DXK392156 DXK457639:DXK457692 DXK523175:DXK523228 DXK588711:DXK588764 DXK654247:DXK654300 DXK719783:DXK719836 DXK785319:DXK785372 DXK850855:DXK850908 DXK916391:DXK916444 DXK981927:DXK981980 DXK1047463:DXK1047516 EHG64423:EHG64476 EHG129959:EHG130012 EHG195495:EHG195548 EHG261031:EHG261084 EHG326567:EHG326620 EHG392103:EHG392156 EHG457639:EHG457692 EHG523175:EHG523228 EHG588711:EHG588764 EHG654247:EHG654300 EHG719783:EHG719836 EHG785319:EHG785372 EHG850855:EHG850908 EHG916391:EHG916444 EHG981927:EHG981980 EHG1047463:EHG1047516 ERC64423:ERC64476 ERC129959:ERC130012 ERC195495:ERC195548 ERC261031:ERC261084 ERC326567:ERC326620 ERC392103:ERC392156 ERC457639:ERC457692 ERC523175:ERC523228 ERC588711:ERC588764 ERC654247:ERC654300 ERC719783:ERC719836 ERC785319:ERC785372 ERC850855:ERC850908 ERC916391:ERC916444 ERC981927:ERC981980 ERC1047463:ERC1047516 FAY64423:FAY64476 FAY129959:FAY130012 FAY195495:FAY195548 FAY261031:FAY261084 FAY326567:FAY326620 FAY392103:FAY392156 FAY457639:FAY457692 FAY523175:FAY523228 FAY588711:FAY588764 FAY654247:FAY654300 FAY719783:FAY719836 FAY785319:FAY785372 FAY850855:FAY850908 FAY916391:FAY916444 FAY981927:FAY981980 FAY1047463:FAY1047516 FKU64423:FKU64476 FKU129959:FKU130012 FKU195495:FKU195548 FKU261031:FKU261084 FKU326567:FKU326620 FKU392103:FKU392156 FKU457639:FKU457692 FKU523175:FKU523228 FKU588711:FKU588764 FKU654247:FKU654300 FKU719783:FKU719836 FKU785319:FKU785372 FKU850855:FKU850908 FKU916391:FKU916444 FKU981927:FKU981980 FKU1047463:FKU1047516 FUQ64423:FUQ64476 FUQ129959:FUQ130012 FUQ195495:FUQ195548 FUQ261031:FUQ261084 FUQ326567:FUQ326620 FUQ392103:FUQ392156 FUQ457639:FUQ457692 FUQ523175:FUQ523228 FUQ588711:FUQ588764 FUQ654247:FUQ654300 FUQ719783:FUQ719836 FUQ785319:FUQ785372 FUQ850855:FUQ850908 FUQ916391:FUQ916444 FUQ981927:FUQ981980 FUQ1047463:FUQ1047516 GEM64423:GEM64476 GEM129959:GEM130012 GEM195495:GEM195548 GEM261031:GEM261084 GEM326567:GEM326620 GEM392103:GEM392156 GEM457639:GEM457692 GEM523175:GEM523228 GEM588711:GEM588764 GEM654247:GEM654300 GEM719783:GEM719836 GEM785319:GEM785372 GEM850855:GEM850908 GEM916391:GEM916444 GEM981927:GEM981980 GEM1047463:GEM1047516 GOI64423:GOI64476 GOI129959:GOI130012 GOI195495:GOI195548 GOI261031:GOI261084 GOI326567:GOI326620 GOI392103:GOI392156 GOI457639:GOI457692 GOI523175:GOI523228 GOI588711:GOI588764 GOI654247:GOI654300 GOI719783:GOI719836 GOI785319:GOI785372 GOI850855:GOI850908 GOI916391:GOI916444 GOI981927:GOI981980 GOI1047463:GOI1047516 GYE64423:GYE64476 GYE129959:GYE130012 GYE195495:GYE195548 GYE261031:GYE261084 GYE326567:GYE326620 GYE392103:GYE392156 GYE457639:GYE457692 GYE523175:GYE523228 GYE588711:GYE588764 GYE654247:GYE654300 GYE719783:GYE719836 GYE785319:GYE785372 GYE850855:GYE850908 GYE916391:GYE916444 GYE981927:GYE981980 GYE1047463:GYE1047516 HIA64423:HIA64476 HIA129959:HIA130012 HIA195495:HIA195548 HIA261031:HIA261084 HIA326567:HIA326620 HIA392103:HIA392156 HIA457639:HIA457692 HIA523175:HIA523228 HIA588711:HIA588764 HIA654247:HIA654300 HIA719783:HIA719836 HIA785319:HIA785372 HIA850855:HIA850908 HIA916391:HIA916444 HIA981927:HIA981980 HIA1047463:HIA1047516 HRW64423:HRW64476 HRW129959:HRW130012 HRW195495:HRW195548 HRW261031:HRW261084 HRW326567:HRW326620 HRW392103:HRW392156 HRW457639:HRW457692 HRW523175:HRW523228 HRW588711:HRW588764 HRW654247:HRW654300 HRW719783:HRW719836 HRW785319:HRW785372 HRW850855:HRW850908 HRW916391:HRW916444 HRW981927:HRW981980 HRW1047463:HRW1047516 IBS64423:IBS64476 IBS129959:IBS130012 IBS195495:IBS195548 IBS261031:IBS261084 IBS326567:IBS326620 IBS392103:IBS392156 IBS457639:IBS457692 IBS523175:IBS523228 IBS588711:IBS588764 IBS654247:IBS654300 IBS719783:IBS719836 IBS785319:IBS785372 IBS850855:IBS850908 IBS916391:IBS916444 IBS981927:IBS981980 IBS1047463:IBS1047516 ILO64423:ILO64476 ILO129959:ILO130012 ILO195495:ILO195548 ILO261031:ILO261084 ILO326567:ILO326620 ILO392103:ILO392156 ILO457639:ILO457692 ILO523175:ILO523228 ILO588711:ILO588764 ILO654247:ILO654300 ILO719783:ILO719836 ILO785319:ILO785372 ILO850855:ILO850908 ILO916391:ILO916444 ILO981927:ILO981980 ILO1047463:ILO1047516 IVK64423:IVK64476 IVK129959:IVK130012 IVK195495:IVK195548 IVK261031:IVK261084 IVK326567:IVK326620 IVK392103:IVK392156 IVK457639:IVK457692 IVK523175:IVK523228 IVK588711:IVK588764 IVK654247:IVK654300 IVK719783:IVK719836 IVK785319:IVK785372 IVK850855:IVK850908 IVK916391:IVK916444 IVK981927:IVK981980 IVK1047463:IVK1047516 JFG64423:JFG64476 JFG129959:JFG130012 JFG195495:JFG195548 JFG261031:JFG261084 JFG326567:JFG326620 JFG392103:JFG392156 JFG457639:JFG457692 JFG523175:JFG523228 JFG588711:JFG588764 JFG654247:JFG654300 JFG719783:JFG719836 JFG785319:JFG785372 JFG850855:JFG850908 JFG916391:JFG916444 JFG981927:JFG981980 JFG1047463:JFG1047516 JPC64423:JPC64476 JPC129959:JPC130012 JPC195495:JPC195548 JPC261031:JPC261084 JPC326567:JPC326620 JPC392103:JPC392156 JPC457639:JPC457692 JPC523175:JPC523228 JPC588711:JPC588764 JPC654247:JPC654300 JPC719783:JPC719836 JPC785319:JPC785372 JPC850855:JPC850908 JPC916391:JPC916444 JPC981927:JPC981980 JPC1047463:JPC1047516 JYY64423:JYY64476 JYY129959:JYY130012 JYY195495:JYY195548 JYY261031:JYY261084 JYY326567:JYY326620 JYY392103:JYY392156 JYY457639:JYY457692 JYY523175:JYY523228 JYY588711:JYY588764 JYY654247:JYY654300 JYY719783:JYY719836 JYY785319:JYY785372 JYY850855:JYY850908 JYY916391:JYY916444 JYY981927:JYY981980 JYY1047463:JYY1047516 KIU64423:KIU64476 KIU129959:KIU130012 KIU195495:KIU195548 KIU261031:KIU261084 KIU326567:KIU326620 KIU392103:KIU392156 KIU457639:KIU457692 KIU523175:KIU523228 KIU588711:KIU588764 KIU654247:KIU654300 KIU719783:KIU719836 KIU785319:KIU785372 KIU850855:KIU850908 KIU916391:KIU916444 KIU981927:KIU981980 KIU1047463:KIU1047516 KSQ64423:KSQ64476 KSQ129959:KSQ130012 KSQ195495:KSQ195548 KSQ261031:KSQ261084 KSQ326567:KSQ326620 KSQ392103:KSQ392156 KSQ457639:KSQ457692 KSQ523175:KSQ523228 KSQ588711:KSQ588764 KSQ654247:KSQ654300 KSQ719783:KSQ719836 KSQ785319:KSQ785372 KSQ850855:KSQ850908 KSQ916391:KSQ916444 KSQ981927:KSQ981980 KSQ1047463:KSQ1047516 LCM64423:LCM64476 LCM129959:LCM130012 LCM195495:LCM195548 LCM261031:LCM261084 LCM326567:LCM326620 LCM392103:LCM392156 LCM457639:LCM457692 LCM523175:LCM523228 LCM588711:LCM588764 LCM654247:LCM654300 LCM719783:LCM719836 LCM785319:LCM785372 LCM850855:LCM850908 LCM916391:LCM916444 LCM981927:LCM981980 LCM1047463:LCM1047516 LMI64423:LMI64476 LMI129959:LMI130012 LMI195495:LMI195548 LMI261031:LMI261084 LMI326567:LMI326620 LMI392103:LMI392156 LMI457639:LMI457692 LMI523175:LMI523228 LMI588711:LMI588764 LMI654247:LMI654300 LMI719783:LMI719836 LMI785319:LMI785372 LMI850855:LMI850908 LMI916391:LMI916444 LMI981927:LMI981980 LMI1047463:LMI1047516 LWE64423:LWE64476 LWE129959:LWE130012 LWE195495:LWE195548 LWE261031:LWE261084 LWE326567:LWE326620 LWE392103:LWE392156 LWE457639:LWE457692 LWE523175:LWE523228 LWE588711:LWE588764 LWE654247:LWE654300 LWE719783:LWE719836 LWE785319:LWE785372 LWE850855:LWE850908 LWE916391:LWE916444 LWE981927:LWE981980 LWE1047463:LWE1047516 MGA64423:MGA64476 MGA129959:MGA130012 MGA195495:MGA195548 MGA261031:MGA261084 MGA326567:MGA326620 MGA392103:MGA392156 MGA457639:MGA457692 MGA523175:MGA523228 MGA588711:MGA588764 MGA654247:MGA654300 MGA719783:MGA719836 MGA785319:MGA785372 MGA850855:MGA850908 MGA916391:MGA916444 MGA981927:MGA981980 MGA1047463:MGA1047516 MPW64423:MPW64476 MPW129959:MPW130012 MPW195495:MPW195548 MPW261031:MPW261084 MPW326567:MPW326620 MPW392103:MPW392156 MPW457639:MPW457692 MPW523175:MPW523228 MPW588711:MPW588764 MPW654247:MPW654300 MPW719783:MPW719836 MPW785319:MPW785372 MPW850855:MPW850908 MPW916391:MPW916444 MPW981927:MPW981980 MPW1047463:MPW1047516 MZS64423:MZS64476 MZS129959:MZS130012 MZS195495:MZS195548 MZS261031:MZS261084 MZS326567:MZS326620 MZS392103:MZS392156 MZS457639:MZS457692 MZS523175:MZS523228 MZS588711:MZS588764 MZS654247:MZS654300 MZS719783:MZS719836 MZS785319:MZS785372 MZS850855:MZS850908 MZS916391:MZS916444 MZS981927:MZS981980 MZS1047463:MZS1047516 NJO64423:NJO64476 NJO129959:NJO130012 NJO195495:NJO195548 NJO261031:NJO261084 NJO326567:NJO326620 NJO392103:NJO392156 NJO457639:NJO457692 NJO523175:NJO523228 NJO588711:NJO588764 NJO654247:NJO654300 NJO719783:NJO719836 NJO785319:NJO785372 NJO850855:NJO850908 NJO916391:NJO916444 NJO981927:NJO981980 NJO1047463:NJO1047516 NTK64423:NTK64476 NTK129959:NTK130012 NTK195495:NTK195548 NTK261031:NTK261084 NTK326567:NTK326620 NTK392103:NTK392156 NTK457639:NTK457692 NTK523175:NTK523228 NTK588711:NTK588764 NTK654247:NTK654300 NTK719783:NTK719836 NTK785319:NTK785372 NTK850855:NTK850908 NTK916391:NTK916444 NTK981927:NTK981980 NTK1047463:NTK1047516 ODG64423:ODG64476 ODG129959:ODG130012 ODG195495:ODG195548 ODG261031:ODG261084 ODG326567:ODG326620 ODG392103:ODG392156 ODG457639:ODG457692 ODG523175:ODG523228 ODG588711:ODG588764 ODG654247:ODG654300 ODG719783:ODG719836 ODG785319:ODG785372 ODG850855:ODG850908 ODG916391:ODG916444 ODG981927:ODG981980 ODG1047463:ODG1047516 ONC64423:ONC64476 ONC129959:ONC130012 ONC195495:ONC195548 ONC261031:ONC261084 ONC326567:ONC326620 ONC392103:ONC392156 ONC457639:ONC457692 ONC523175:ONC523228 ONC588711:ONC588764 ONC654247:ONC654300 ONC719783:ONC719836 ONC785319:ONC785372 ONC850855:ONC850908 ONC916391:ONC916444 ONC981927:ONC981980 ONC1047463:ONC1047516 OWY64423:OWY64476 OWY129959:OWY130012 OWY195495:OWY195548 OWY261031:OWY261084 OWY326567:OWY326620 OWY392103:OWY392156 OWY457639:OWY457692 OWY523175:OWY523228 OWY588711:OWY588764 OWY654247:OWY654300 OWY719783:OWY719836 OWY785319:OWY785372 OWY850855:OWY850908 OWY916391:OWY916444 OWY981927:OWY981980 OWY1047463:OWY1047516 PGU64423:PGU64476 PGU129959:PGU130012 PGU195495:PGU195548 PGU261031:PGU261084 PGU326567:PGU326620 PGU392103:PGU392156 PGU457639:PGU457692 PGU523175:PGU523228 PGU588711:PGU588764 PGU654247:PGU654300 PGU719783:PGU719836 PGU785319:PGU785372 PGU850855:PGU850908 PGU916391:PGU916444 PGU981927:PGU981980 PGU1047463:PGU1047516 PQQ64423:PQQ64476 PQQ129959:PQQ130012 PQQ195495:PQQ195548 PQQ261031:PQQ261084 PQQ326567:PQQ326620 PQQ392103:PQQ392156 PQQ457639:PQQ457692 PQQ523175:PQQ523228 PQQ588711:PQQ588764 PQQ654247:PQQ654300 PQQ719783:PQQ719836 PQQ785319:PQQ785372 PQQ850855:PQQ850908 PQQ916391:PQQ916444 PQQ981927:PQQ981980 PQQ1047463:PQQ1047516 QAM64423:QAM64476 QAM129959:QAM130012 QAM195495:QAM195548 QAM261031:QAM261084 QAM326567:QAM326620 QAM392103:QAM392156 QAM457639:QAM457692 QAM523175:QAM523228 QAM588711:QAM588764 QAM654247:QAM654300 QAM719783:QAM719836 QAM785319:QAM785372 QAM850855:QAM850908 QAM916391:QAM916444 QAM981927:QAM981980 QAM1047463:QAM1047516 QKI64423:QKI64476 QKI129959:QKI130012 QKI195495:QKI195548 QKI261031:QKI261084 QKI326567:QKI326620 QKI392103:QKI392156 QKI457639:QKI457692 QKI523175:QKI523228 QKI588711:QKI588764 QKI654247:QKI654300 QKI719783:QKI719836 QKI785319:QKI785372 QKI850855:QKI850908 QKI916391:QKI916444 QKI981927:QKI981980 QKI1047463:QKI1047516 QUE64423:QUE64476 QUE129959:QUE130012 QUE195495:QUE195548 QUE261031:QUE261084 QUE326567:QUE326620 QUE392103:QUE392156 QUE457639:QUE457692 QUE523175:QUE523228 QUE588711:QUE588764 QUE654247:QUE654300 QUE719783:QUE719836 QUE785319:QUE785372 QUE850855:QUE850908 QUE916391:QUE916444 QUE981927:QUE981980 QUE1047463:QUE1047516 REA64423:REA64476 REA129959:REA130012 REA195495:REA195548 REA261031:REA261084 REA326567:REA326620 REA392103:REA392156 REA457639:REA457692 REA523175:REA523228 REA588711:REA588764 REA654247:REA654300 REA719783:REA719836 REA785319:REA785372 REA850855:REA850908 REA916391:REA916444 REA981927:REA981980 REA1047463:REA1047516 RNW64423:RNW64476 RNW129959:RNW130012 RNW195495:RNW195548 RNW261031:RNW261084 RNW326567:RNW326620 RNW392103:RNW392156 RNW457639:RNW457692 RNW523175:RNW523228 RNW588711:RNW588764 RNW654247:RNW654300 RNW719783:RNW719836 RNW785319:RNW785372 RNW850855:RNW850908 RNW916391:RNW916444 RNW981927:RNW981980 RNW1047463:RNW1047516 RXS64423:RXS64476 RXS129959:RXS130012 RXS195495:RXS195548 RXS261031:RXS261084 RXS326567:RXS326620 RXS392103:RXS392156 RXS457639:RXS457692 RXS523175:RXS523228 RXS588711:RXS588764 RXS654247:RXS654300 RXS719783:RXS719836 RXS785319:RXS785372 RXS850855:RXS850908 RXS916391:RXS916444 RXS981927:RXS981980 RXS1047463:RXS1047516 SHO64423:SHO64476 SHO129959:SHO130012 SHO195495:SHO195548 SHO261031:SHO261084 SHO326567:SHO326620 SHO392103:SHO392156 SHO457639:SHO457692 SHO523175:SHO523228 SHO588711:SHO588764 SHO654247:SHO654300 SHO719783:SHO719836 SHO785319:SHO785372 SHO850855:SHO850908 SHO916391:SHO916444 SHO981927:SHO981980 SHO1047463:SHO1047516 SRK64423:SRK64476 SRK129959:SRK130012 SRK195495:SRK195548 SRK261031:SRK261084 SRK326567:SRK326620 SRK392103:SRK392156 SRK457639:SRK457692 SRK523175:SRK523228 SRK588711:SRK588764 SRK654247:SRK654300 SRK719783:SRK719836 SRK785319:SRK785372 SRK850855:SRK850908 SRK916391:SRK916444 SRK981927:SRK981980 SRK1047463:SRK1047516 TBG64423:TBG64476 TBG129959:TBG130012 TBG195495:TBG195548 TBG261031:TBG261084 TBG326567:TBG326620 TBG392103:TBG392156 TBG457639:TBG457692 TBG523175:TBG523228 TBG588711:TBG588764 TBG654247:TBG654300 TBG719783:TBG719836 TBG785319:TBG785372 TBG850855:TBG850908 TBG916391:TBG916444 TBG981927:TBG981980 TBG1047463:TBG1047516 TLC64423:TLC64476 TLC129959:TLC130012 TLC195495:TLC195548 TLC261031:TLC261084 TLC326567:TLC326620 TLC392103:TLC392156 TLC457639:TLC457692 TLC523175:TLC523228 TLC588711:TLC588764 TLC654247:TLC654300 TLC719783:TLC719836 TLC785319:TLC785372 TLC850855:TLC850908 TLC916391:TLC916444 TLC981927:TLC981980 TLC1047463:TLC1047516 TUY64423:TUY64476 TUY129959:TUY130012 TUY195495:TUY195548 TUY261031:TUY261084 TUY326567:TUY326620 TUY392103:TUY392156 TUY457639:TUY457692 TUY523175:TUY523228 TUY588711:TUY588764 TUY654247:TUY654300 TUY719783:TUY719836 TUY785319:TUY785372 TUY850855:TUY850908 TUY916391:TUY916444 TUY981927:TUY981980 TUY1047463:TUY1047516 UEU64423:UEU64476 UEU129959:UEU130012 UEU195495:UEU195548 UEU261031:UEU261084 UEU326567:UEU326620 UEU392103:UEU392156 UEU457639:UEU457692 UEU523175:UEU523228 UEU588711:UEU588764 UEU654247:UEU654300 UEU719783:UEU719836 UEU785319:UEU785372 UEU850855:UEU850908 UEU916391:UEU916444 UEU981927:UEU981980 UEU1047463:UEU1047516 UOQ64423:UOQ64476 UOQ129959:UOQ130012 UOQ195495:UOQ195548 UOQ261031:UOQ261084 UOQ326567:UOQ326620 UOQ392103:UOQ392156 UOQ457639:UOQ457692 UOQ523175:UOQ523228 UOQ588711:UOQ588764 UOQ654247:UOQ654300 UOQ719783:UOQ719836 UOQ785319:UOQ785372 UOQ850855:UOQ850908 UOQ916391:UOQ916444 UOQ981927:UOQ981980 UOQ1047463:UOQ1047516 UYM64423:UYM64476 UYM129959:UYM130012 UYM195495:UYM195548 UYM261031:UYM261084 UYM326567:UYM326620 UYM392103:UYM392156 UYM457639:UYM457692 UYM523175:UYM523228 UYM588711:UYM588764 UYM654247:UYM654300 UYM719783:UYM719836 UYM785319:UYM785372 UYM850855:UYM850908 UYM916391:UYM916444 UYM981927:UYM981980 UYM1047463:UYM1047516 VII64423:VII64476 VII129959:VII130012 VII195495:VII195548 VII261031:VII261084 VII326567:VII326620 VII392103:VII392156 VII457639:VII457692 VII523175:VII523228 VII588711:VII588764 VII654247:VII654300 VII719783:VII719836 VII785319:VII785372 VII850855:VII850908 VII916391:VII916444 VII981927:VII981980 VII1047463:VII1047516 VSE64423:VSE64476 VSE129959:VSE130012 VSE195495:VSE195548 VSE261031:VSE261084 VSE326567:VSE326620 VSE392103:VSE392156 VSE457639:VSE457692 VSE523175:VSE523228 VSE588711:VSE588764 VSE654247:VSE654300 VSE719783:VSE719836 VSE785319:VSE785372 VSE850855:VSE850908 VSE916391:VSE916444 VSE981927:VSE981980 VSE1047463:VSE1047516 WCA64423:WCA64476 WCA129959:WCA130012 WCA195495:WCA195548 WCA261031:WCA261084 WCA326567:WCA326620 WCA392103:WCA392156 WCA457639:WCA457692 WCA523175:WCA523228 WCA588711:WCA588764 WCA654247:WCA654300 WCA719783:WCA719836 WCA785319:WCA785372 WCA850855:WCA850908 WCA916391:WCA916444 WCA981927:WCA981980 WCA1047463:WCA1047516 WLW64423:WLW64476 WLW129959:WLW130012 WLW195495:WLW195548 WLW261031:WLW261084 WLW326567:WLW326620 WLW392103:WLW392156 WLW457639:WLW457692 WLW523175:WLW523228 WLW588711:WLW588764 WLW654247:WLW654300 WLW719783:WLW719836 WLW785319:WLW785372 WLW850855:WLW850908 WLW916391:WLW916444 WLW981927:WLW981980 WLW1047463:WLW1047516 WVS64423:WVS64476 WVS129959:WVS130012 WVS195495:WVS195548 WVS261031:WVS261084 WVS326567:WVS326620 WVS392103:WVS392156 WVS457639:WVS457692 WVS523175:WVS523228 WVS588711:WVS588764 WVS654247:WVS654300 WVS719783:WVS719836 WVS785319:WVS785372 WVS850855:WVS850908 WVS916391:WVS916444 WVS981927:WVS981980 WVS1047463:WVS1047516" xr:uid="{FF670689-7AE4-43BD-90A4-894C31BBD03B}">
      <formula1>$AR$2:$AR$21</formula1>
    </dataValidation>
    <dataValidation type="list" allowBlank="1" showInputMessage="1" showErrorMessage="1" sqref="J64423:J64476 J129959:J130012 J195495:J195548 J261031:J261084 J326567:J326620 J392103:J392156 J457639:J457692 J523175:J523228 J588711:J588764 J654247:J654300 J719783:J719836 J785319:J785372 J850855:J850908 J916391:J916444 J981927:J981980 J1047463:J1047516 JF64423:JF64476 JF129959:JF130012 JF195495:JF195548 JF261031:JF261084 JF326567:JF326620 JF392103:JF392156 JF457639:JF457692 JF523175:JF523228 JF588711:JF588764 JF654247:JF654300 JF719783:JF719836 JF785319:JF785372 JF850855:JF850908 JF916391:JF916444 JF981927:JF981980 JF1047463:JF1047516 TB64423:TB64476 TB129959:TB130012 TB195495:TB195548 TB261031:TB261084 TB326567:TB326620 TB392103:TB392156 TB457639:TB457692 TB523175:TB523228 TB588711:TB588764 TB654247:TB654300 TB719783:TB719836 TB785319:TB785372 TB850855:TB850908 TB916391:TB916444 TB981927:TB981980 TB1047463:TB1047516 ACX64423:ACX64476 ACX129959:ACX130012 ACX195495:ACX195548 ACX261031:ACX261084 ACX326567:ACX326620 ACX392103:ACX392156 ACX457639:ACX457692 ACX523175:ACX523228 ACX588711:ACX588764 ACX654247:ACX654300 ACX719783:ACX719836 ACX785319:ACX785372 ACX850855:ACX850908 ACX916391:ACX916444 ACX981927:ACX981980 ACX1047463:ACX1047516 AMT64423:AMT64476 AMT129959:AMT130012 AMT195495:AMT195548 AMT261031:AMT261084 AMT326567:AMT326620 AMT392103:AMT392156 AMT457639:AMT457692 AMT523175:AMT523228 AMT588711:AMT588764 AMT654247:AMT654300 AMT719783:AMT719836 AMT785319:AMT785372 AMT850855:AMT850908 AMT916391:AMT916444 AMT981927:AMT981980 AMT1047463:AMT1047516 AWP64423:AWP64476 AWP129959:AWP130012 AWP195495:AWP195548 AWP261031:AWP261084 AWP326567:AWP326620 AWP392103:AWP392156 AWP457639:AWP457692 AWP523175:AWP523228 AWP588711:AWP588764 AWP654247:AWP654300 AWP719783:AWP719836 AWP785319:AWP785372 AWP850855:AWP850908 AWP916391:AWP916444 AWP981927:AWP981980 AWP1047463:AWP1047516 BGL64423:BGL64476 BGL129959:BGL130012 BGL195495:BGL195548 BGL261031:BGL261084 BGL326567:BGL326620 BGL392103:BGL392156 BGL457639:BGL457692 BGL523175:BGL523228 BGL588711:BGL588764 BGL654247:BGL654300 BGL719783:BGL719836 BGL785319:BGL785372 BGL850855:BGL850908 BGL916391:BGL916444 BGL981927:BGL981980 BGL1047463:BGL1047516 BQH64423:BQH64476 BQH129959:BQH130012 BQH195495:BQH195548 BQH261031:BQH261084 BQH326567:BQH326620 BQH392103:BQH392156 BQH457639:BQH457692 BQH523175:BQH523228 BQH588711:BQH588764 BQH654247:BQH654300 BQH719783:BQH719836 BQH785319:BQH785372 BQH850855:BQH850908 BQH916391:BQH916444 BQH981927:BQH981980 BQH1047463:BQH1047516 CAD64423:CAD64476 CAD129959:CAD130012 CAD195495:CAD195548 CAD261031:CAD261084 CAD326567:CAD326620 CAD392103:CAD392156 CAD457639:CAD457692 CAD523175:CAD523228 CAD588711:CAD588764 CAD654247:CAD654300 CAD719783:CAD719836 CAD785319:CAD785372 CAD850855:CAD850908 CAD916391:CAD916444 CAD981927:CAD981980 CAD1047463:CAD1047516 CJZ64423:CJZ64476 CJZ129959:CJZ130012 CJZ195495:CJZ195548 CJZ261031:CJZ261084 CJZ326567:CJZ326620 CJZ392103:CJZ392156 CJZ457639:CJZ457692 CJZ523175:CJZ523228 CJZ588711:CJZ588764 CJZ654247:CJZ654300 CJZ719783:CJZ719836 CJZ785319:CJZ785372 CJZ850855:CJZ850908 CJZ916391:CJZ916444 CJZ981927:CJZ981980 CJZ1047463:CJZ1047516 CTV64423:CTV64476 CTV129959:CTV130012 CTV195495:CTV195548 CTV261031:CTV261084 CTV326567:CTV326620 CTV392103:CTV392156 CTV457639:CTV457692 CTV523175:CTV523228 CTV588711:CTV588764 CTV654247:CTV654300 CTV719783:CTV719836 CTV785319:CTV785372 CTV850855:CTV850908 CTV916391:CTV916444 CTV981927:CTV981980 CTV1047463:CTV1047516 DDR64423:DDR64476 DDR129959:DDR130012 DDR195495:DDR195548 DDR261031:DDR261084 DDR326567:DDR326620 DDR392103:DDR392156 DDR457639:DDR457692 DDR523175:DDR523228 DDR588711:DDR588764 DDR654247:DDR654300 DDR719783:DDR719836 DDR785319:DDR785372 DDR850855:DDR850908 DDR916391:DDR916444 DDR981927:DDR981980 DDR1047463:DDR1047516 DNN64423:DNN64476 DNN129959:DNN130012 DNN195495:DNN195548 DNN261031:DNN261084 DNN326567:DNN326620 DNN392103:DNN392156 DNN457639:DNN457692 DNN523175:DNN523228 DNN588711:DNN588764 DNN654247:DNN654300 DNN719783:DNN719836 DNN785319:DNN785372 DNN850855:DNN850908 DNN916391:DNN916444 DNN981927:DNN981980 DNN1047463:DNN1047516 DXJ64423:DXJ64476 DXJ129959:DXJ130012 DXJ195495:DXJ195548 DXJ261031:DXJ261084 DXJ326567:DXJ326620 DXJ392103:DXJ392156 DXJ457639:DXJ457692 DXJ523175:DXJ523228 DXJ588711:DXJ588764 DXJ654247:DXJ654300 DXJ719783:DXJ719836 DXJ785319:DXJ785372 DXJ850855:DXJ850908 DXJ916391:DXJ916444 DXJ981927:DXJ981980 DXJ1047463:DXJ1047516 EHF64423:EHF64476 EHF129959:EHF130012 EHF195495:EHF195548 EHF261031:EHF261084 EHF326567:EHF326620 EHF392103:EHF392156 EHF457639:EHF457692 EHF523175:EHF523228 EHF588711:EHF588764 EHF654247:EHF654300 EHF719783:EHF719836 EHF785319:EHF785372 EHF850855:EHF850908 EHF916391:EHF916444 EHF981927:EHF981980 EHF1047463:EHF1047516 ERB64423:ERB64476 ERB129959:ERB130012 ERB195495:ERB195548 ERB261031:ERB261084 ERB326567:ERB326620 ERB392103:ERB392156 ERB457639:ERB457692 ERB523175:ERB523228 ERB588711:ERB588764 ERB654247:ERB654300 ERB719783:ERB719836 ERB785319:ERB785372 ERB850855:ERB850908 ERB916391:ERB916444 ERB981927:ERB981980 ERB1047463:ERB1047516 FAX64423:FAX64476 FAX129959:FAX130012 FAX195495:FAX195548 FAX261031:FAX261084 FAX326567:FAX326620 FAX392103:FAX392156 FAX457639:FAX457692 FAX523175:FAX523228 FAX588711:FAX588764 FAX654247:FAX654300 FAX719783:FAX719836 FAX785319:FAX785372 FAX850855:FAX850908 FAX916391:FAX916444 FAX981927:FAX981980 FAX1047463:FAX1047516 FKT64423:FKT64476 FKT129959:FKT130012 FKT195495:FKT195548 FKT261031:FKT261084 FKT326567:FKT326620 FKT392103:FKT392156 FKT457639:FKT457692 FKT523175:FKT523228 FKT588711:FKT588764 FKT654247:FKT654300 FKT719783:FKT719836 FKT785319:FKT785372 FKT850855:FKT850908 FKT916391:FKT916444 FKT981927:FKT981980 FKT1047463:FKT1047516 FUP64423:FUP64476 FUP129959:FUP130012 FUP195495:FUP195548 FUP261031:FUP261084 FUP326567:FUP326620 FUP392103:FUP392156 FUP457639:FUP457692 FUP523175:FUP523228 FUP588711:FUP588764 FUP654247:FUP654300 FUP719783:FUP719836 FUP785319:FUP785372 FUP850855:FUP850908 FUP916391:FUP916444 FUP981927:FUP981980 FUP1047463:FUP1047516 GEL64423:GEL64476 GEL129959:GEL130012 GEL195495:GEL195548 GEL261031:GEL261084 GEL326567:GEL326620 GEL392103:GEL392156 GEL457639:GEL457692 GEL523175:GEL523228 GEL588711:GEL588764 GEL654247:GEL654300 GEL719783:GEL719836 GEL785319:GEL785372 GEL850855:GEL850908 GEL916391:GEL916444 GEL981927:GEL981980 GEL1047463:GEL1047516 GOH64423:GOH64476 GOH129959:GOH130012 GOH195495:GOH195548 GOH261031:GOH261084 GOH326567:GOH326620 GOH392103:GOH392156 GOH457639:GOH457692 GOH523175:GOH523228 GOH588711:GOH588764 GOH654247:GOH654300 GOH719783:GOH719836 GOH785319:GOH785372 GOH850855:GOH850908 GOH916391:GOH916444 GOH981927:GOH981980 GOH1047463:GOH1047516 GYD64423:GYD64476 GYD129959:GYD130012 GYD195495:GYD195548 GYD261031:GYD261084 GYD326567:GYD326620 GYD392103:GYD392156 GYD457639:GYD457692 GYD523175:GYD523228 GYD588711:GYD588764 GYD654247:GYD654300 GYD719783:GYD719836 GYD785319:GYD785372 GYD850855:GYD850908 GYD916391:GYD916444 GYD981927:GYD981980 GYD1047463:GYD1047516 HHZ64423:HHZ64476 HHZ129959:HHZ130012 HHZ195495:HHZ195548 HHZ261031:HHZ261084 HHZ326567:HHZ326620 HHZ392103:HHZ392156 HHZ457639:HHZ457692 HHZ523175:HHZ523228 HHZ588711:HHZ588764 HHZ654247:HHZ654300 HHZ719783:HHZ719836 HHZ785319:HHZ785372 HHZ850855:HHZ850908 HHZ916391:HHZ916444 HHZ981927:HHZ981980 HHZ1047463:HHZ1047516 HRV64423:HRV64476 HRV129959:HRV130012 HRV195495:HRV195548 HRV261031:HRV261084 HRV326567:HRV326620 HRV392103:HRV392156 HRV457639:HRV457692 HRV523175:HRV523228 HRV588711:HRV588764 HRV654247:HRV654300 HRV719783:HRV719836 HRV785319:HRV785372 HRV850855:HRV850908 HRV916391:HRV916444 HRV981927:HRV981980 HRV1047463:HRV1047516 IBR64423:IBR64476 IBR129959:IBR130012 IBR195495:IBR195548 IBR261031:IBR261084 IBR326567:IBR326620 IBR392103:IBR392156 IBR457639:IBR457692 IBR523175:IBR523228 IBR588711:IBR588764 IBR654247:IBR654300 IBR719783:IBR719836 IBR785319:IBR785372 IBR850855:IBR850908 IBR916391:IBR916444 IBR981927:IBR981980 IBR1047463:IBR1047516 ILN64423:ILN64476 ILN129959:ILN130012 ILN195495:ILN195548 ILN261031:ILN261084 ILN326567:ILN326620 ILN392103:ILN392156 ILN457639:ILN457692 ILN523175:ILN523228 ILN588711:ILN588764 ILN654247:ILN654300 ILN719783:ILN719836 ILN785319:ILN785372 ILN850855:ILN850908 ILN916391:ILN916444 ILN981927:ILN981980 ILN1047463:ILN1047516 IVJ64423:IVJ64476 IVJ129959:IVJ130012 IVJ195495:IVJ195548 IVJ261031:IVJ261084 IVJ326567:IVJ326620 IVJ392103:IVJ392156 IVJ457639:IVJ457692 IVJ523175:IVJ523228 IVJ588711:IVJ588764 IVJ654247:IVJ654300 IVJ719783:IVJ719836 IVJ785319:IVJ785372 IVJ850855:IVJ850908 IVJ916391:IVJ916444 IVJ981927:IVJ981980 IVJ1047463:IVJ1047516 JFF64423:JFF64476 JFF129959:JFF130012 JFF195495:JFF195548 JFF261031:JFF261084 JFF326567:JFF326620 JFF392103:JFF392156 JFF457639:JFF457692 JFF523175:JFF523228 JFF588711:JFF588764 JFF654247:JFF654300 JFF719783:JFF719836 JFF785319:JFF785372 JFF850855:JFF850908 JFF916391:JFF916444 JFF981927:JFF981980 JFF1047463:JFF1047516 JPB64423:JPB64476 JPB129959:JPB130012 JPB195495:JPB195548 JPB261031:JPB261084 JPB326567:JPB326620 JPB392103:JPB392156 JPB457639:JPB457692 JPB523175:JPB523228 JPB588711:JPB588764 JPB654247:JPB654300 JPB719783:JPB719836 JPB785319:JPB785372 JPB850855:JPB850908 JPB916391:JPB916444 JPB981927:JPB981980 JPB1047463:JPB1047516 JYX64423:JYX64476 JYX129959:JYX130012 JYX195495:JYX195548 JYX261031:JYX261084 JYX326567:JYX326620 JYX392103:JYX392156 JYX457639:JYX457692 JYX523175:JYX523228 JYX588711:JYX588764 JYX654247:JYX654300 JYX719783:JYX719836 JYX785319:JYX785372 JYX850855:JYX850908 JYX916391:JYX916444 JYX981927:JYX981980 JYX1047463:JYX1047516 KIT64423:KIT64476 KIT129959:KIT130012 KIT195495:KIT195548 KIT261031:KIT261084 KIT326567:KIT326620 KIT392103:KIT392156 KIT457639:KIT457692 KIT523175:KIT523228 KIT588711:KIT588764 KIT654247:KIT654300 KIT719783:KIT719836 KIT785319:KIT785372 KIT850855:KIT850908 KIT916391:KIT916444 KIT981927:KIT981980 KIT1047463:KIT1047516 KSP64423:KSP64476 KSP129959:KSP130012 KSP195495:KSP195548 KSP261031:KSP261084 KSP326567:KSP326620 KSP392103:KSP392156 KSP457639:KSP457692 KSP523175:KSP523228 KSP588711:KSP588764 KSP654247:KSP654300 KSP719783:KSP719836 KSP785319:KSP785372 KSP850855:KSP850908 KSP916391:KSP916444 KSP981927:KSP981980 KSP1047463:KSP1047516 LCL64423:LCL64476 LCL129959:LCL130012 LCL195495:LCL195548 LCL261031:LCL261084 LCL326567:LCL326620 LCL392103:LCL392156 LCL457639:LCL457692 LCL523175:LCL523228 LCL588711:LCL588764 LCL654247:LCL654300 LCL719783:LCL719836 LCL785319:LCL785372 LCL850855:LCL850908 LCL916391:LCL916444 LCL981927:LCL981980 LCL1047463:LCL1047516 LMH64423:LMH64476 LMH129959:LMH130012 LMH195495:LMH195548 LMH261031:LMH261084 LMH326567:LMH326620 LMH392103:LMH392156 LMH457639:LMH457692 LMH523175:LMH523228 LMH588711:LMH588764 LMH654247:LMH654300 LMH719783:LMH719836 LMH785319:LMH785372 LMH850855:LMH850908 LMH916391:LMH916444 LMH981927:LMH981980 LMH1047463:LMH1047516 LWD64423:LWD64476 LWD129959:LWD130012 LWD195495:LWD195548 LWD261031:LWD261084 LWD326567:LWD326620 LWD392103:LWD392156 LWD457639:LWD457692 LWD523175:LWD523228 LWD588711:LWD588764 LWD654247:LWD654300 LWD719783:LWD719836 LWD785319:LWD785372 LWD850855:LWD850908 LWD916391:LWD916444 LWD981927:LWD981980 LWD1047463:LWD1047516 MFZ64423:MFZ64476 MFZ129959:MFZ130012 MFZ195495:MFZ195548 MFZ261031:MFZ261084 MFZ326567:MFZ326620 MFZ392103:MFZ392156 MFZ457639:MFZ457692 MFZ523175:MFZ523228 MFZ588711:MFZ588764 MFZ654247:MFZ654300 MFZ719783:MFZ719836 MFZ785319:MFZ785372 MFZ850855:MFZ850908 MFZ916391:MFZ916444 MFZ981927:MFZ981980 MFZ1047463:MFZ1047516 MPV64423:MPV64476 MPV129959:MPV130012 MPV195495:MPV195548 MPV261031:MPV261084 MPV326567:MPV326620 MPV392103:MPV392156 MPV457639:MPV457692 MPV523175:MPV523228 MPV588711:MPV588764 MPV654247:MPV654300 MPV719783:MPV719836 MPV785319:MPV785372 MPV850855:MPV850908 MPV916391:MPV916444 MPV981927:MPV981980 MPV1047463:MPV1047516 MZR64423:MZR64476 MZR129959:MZR130012 MZR195495:MZR195548 MZR261031:MZR261084 MZR326567:MZR326620 MZR392103:MZR392156 MZR457639:MZR457692 MZR523175:MZR523228 MZR588711:MZR588764 MZR654247:MZR654300 MZR719783:MZR719836 MZR785319:MZR785372 MZR850855:MZR850908 MZR916391:MZR916444 MZR981927:MZR981980 MZR1047463:MZR1047516 NJN64423:NJN64476 NJN129959:NJN130012 NJN195495:NJN195548 NJN261031:NJN261084 NJN326567:NJN326620 NJN392103:NJN392156 NJN457639:NJN457692 NJN523175:NJN523228 NJN588711:NJN588764 NJN654247:NJN654300 NJN719783:NJN719836 NJN785319:NJN785372 NJN850855:NJN850908 NJN916391:NJN916444 NJN981927:NJN981980 NJN1047463:NJN1047516 NTJ64423:NTJ64476 NTJ129959:NTJ130012 NTJ195495:NTJ195548 NTJ261031:NTJ261084 NTJ326567:NTJ326620 NTJ392103:NTJ392156 NTJ457639:NTJ457692 NTJ523175:NTJ523228 NTJ588711:NTJ588764 NTJ654247:NTJ654300 NTJ719783:NTJ719836 NTJ785319:NTJ785372 NTJ850855:NTJ850908 NTJ916391:NTJ916444 NTJ981927:NTJ981980 NTJ1047463:NTJ1047516 ODF64423:ODF64476 ODF129959:ODF130012 ODF195495:ODF195548 ODF261031:ODF261084 ODF326567:ODF326620 ODF392103:ODF392156 ODF457639:ODF457692 ODF523175:ODF523228 ODF588711:ODF588764 ODF654247:ODF654300 ODF719783:ODF719836 ODF785319:ODF785372 ODF850855:ODF850908 ODF916391:ODF916444 ODF981927:ODF981980 ODF1047463:ODF1047516 ONB64423:ONB64476 ONB129959:ONB130012 ONB195495:ONB195548 ONB261031:ONB261084 ONB326567:ONB326620 ONB392103:ONB392156 ONB457639:ONB457692 ONB523175:ONB523228 ONB588711:ONB588764 ONB654247:ONB654300 ONB719783:ONB719836 ONB785319:ONB785372 ONB850855:ONB850908 ONB916391:ONB916444 ONB981927:ONB981980 ONB1047463:ONB1047516 OWX64423:OWX64476 OWX129959:OWX130012 OWX195495:OWX195548 OWX261031:OWX261084 OWX326567:OWX326620 OWX392103:OWX392156 OWX457639:OWX457692 OWX523175:OWX523228 OWX588711:OWX588764 OWX654247:OWX654300 OWX719783:OWX719836 OWX785319:OWX785372 OWX850855:OWX850908 OWX916391:OWX916444 OWX981927:OWX981980 OWX1047463:OWX1047516 PGT64423:PGT64476 PGT129959:PGT130012 PGT195495:PGT195548 PGT261031:PGT261084 PGT326567:PGT326620 PGT392103:PGT392156 PGT457639:PGT457692 PGT523175:PGT523228 PGT588711:PGT588764 PGT654247:PGT654300 PGT719783:PGT719836 PGT785319:PGT785372 PGT850855:PGT850908 PGT916391:PGT916444 PGT981927:PGT981980 PGT1047463:PGT1047516 PQP64423:PQP64476 PQP129959:PQP130012 PQP195495:PQP195548 PQP261031:PQP261084 PQP326567:PQP326620 PQP392103:PQP392156 PQP457639:PQP457692 PQP523175:PQP523228 PQP588711:PQP588764 PQP654247:PQP654300 PQP719783:PQP719836 PQP785319:PQP785372 PQP850855:PQP850908 PQP916391:PQP916444 PQP981927:PQP981980 PQP1047463:PQP1047516 QAL64423:QAL64476 QAL129959:QAL130012 QAL195495:QAL195548 QAL261031:QAL261084 QAL326567:QAL326620 QAL392103:QAL392156 QAL457639:QAL457692 QAL523175:QAL523228 QAL588711:QAL588764 QAL654247:QAL654300 QAL719783:QAL719836 QAL785319:QAL785372 QAL850855:QAL850908 QAL916391:QAL916444 QAL981927:QAL981980 QAL1047463:QAL1047516 QKH64423:QKH64476 QKH129959:QKH130012 QKH195495:QKH195548 QKH261031:QKH261084 QKH326567:QKH326620 QKH392103:QKH392156 QKH457639:QKH457692 QKH523175:QKH523228 QKH588711:QKH588764 QKH654247:QKH654300 QKH719783:QKH719836 QKH785319:QKH785372 QKH850855:QKH850908 QKH916391:QKH916444 QKH981927:QKH981980 QKH1047463:QKH1047516 QUD64423:QUD64476 QUD129959:QUD130012 QUD195495:QUD195548 QUD261031:QUD261084 QUD326567:QUD326620 QUD392103:QUD392156 QUD457639:QUD457692 QUD523175:QUD523228 QUD588711:QUD588764 QUD654247:QUD654300 QUD719783:QUD719836 QUD785319:QUD785372 QUD850855:QUD850908 QUD916391:QUD916444 QUD981927:QUD981980 QUD1047463:QUD1047516 RDZ64423:RDZ64476 RDZ129959:RDZ130012 RDZ195495:RDZ195548 RDZ261031:RDZ261084 RDZ326567:RDZ326620 RDZ392103:RDZ392156 RDZ457639:RDZ457692 RDZ523175:RDZ523228 RDZ588711:RDZ588764 RDZ654247:RDZ654300 RDZ719783:RDZ719836 RDZ785319:RDZ785372 RDZ850855:RDZ850908 RDZ916391:RDZ916444 RDZ981927:RDZ981980 RDZ1047463:RDZ1047516 RNV64423:RNV64476 RNV129959:RNV130012 RNV195495:RNV195548 RNV261031:RNV261084 RNV326567:RNV326620 RNV392103:RNV392156 RNV457639:RNV457692 RNV523175:RNV523228 RNV588711:RNV588764 RNV654247:RNV654300 RNV719783:RNV719836 RNV785319:RNV785372 RNV850855:RNV850908 RNV916391:RNV916444 RNV981927:RNV981980 RNV1047463:RNV1047516 RXR64423:RXR64476 RXR129959:RXR130012 RXR195495:RXR195548 RXR261031:RXR261084 RXR326567:RXR326620 RXR392103:RXR392156 RXR457639:RXR457692 RXR523175:RXR523228 RXR588711:RXR588764 RXR654247:RXR654300 RXR719783:RXR719836 RXR785319:RXR785372 RXR850855:RXR850908 RXR916391:RXR916444 RXR981927:RXR981980 RXR1047463:RXR1047516 SHN64423:SHN64476 SHN129959:SHN130012 SHN195495:SHN195548 SHN261031:SHN261084 SHN326567:SHN326620 SHN392103:SHN392156 SHN457639:SHN457692 SHN523175:SHN523228 SHN588711:SHN588764 SHN654247:SHN654300 SHN719783:SHN719836 SHN785319:SHN785372 SHN850855:SHN850908 SHN916391:SHN916444 SHN981927:SHN981980 SHN1047463:SHN1047516 SRJ64423:SRJ64476 SRJ129959:SRJ130012 SRJ195495:SRJ195548 SRJ261031:SRJ261084 SRJ326567:SRJ326620 SRJ392103:SRJ392156 SRJ457639:SRJ457692 SRJ523175:SRJ523228 SRJ588711:SRJ588764 SRJ654247:SRJ654300 SRJ719783:SRJ719836 SRJ785319:SRJ785372 SRJ850855:SRJ850908 SRJ916391:SRJ916444 SRJ981927:SRJ981980 SRJ1047463:SRJ1047516 TBF64423:TBF64476 TBF129959:TBF130012 TBF195495:TBF195548 TBF261031:TBF261084 TBF326567:TBF326620 TBF392103:TBF392156 TBF457639:TBF457692 TBF523175:TBF523228 TBF588711:TBF588764 TBF654247:TBF654300 TBF719783:TBF719836 TBF785319:TBF785372 TBF850855:TBF850908 TBF916391:TBF916444 TBF981927:TBF981980 TBF1047463:TBF1047516 TLB64423:TLB64476 TLB129959:TLB130012 TLB195495:TLB195548 TLB261031:TLB261084 TLB326567:TLB326620 TLB392103:TLB392156 TLB457639:TLB457692 TLB523175:TLB523228 TLB588711:TLB588764 TLB654247:TLB654300 TLB719783:TLB719836 TLB785319:TLB785372 TLB850855:TLB850908 TLB916391:TLB916444 TLB981927:TLB981980 TLB1047463:TLB1047516 TUX64423:TUX64476 TUX129959:TUX130012 TUX195495:TUX195548 TUX261031:TUX261084 TUX326567:TUX326620 TUX392103:TUX392156 TUX457639:TUX457692 TUX523175:TUX523228 TUX588711:TUX588764 TUX654247:TUX654300 TUX719783:TUX719836 TUX785319:TUX785372 TUX850855:TUX850908 TUX916391:TUX916444 TUX981927:TUX981980 TUX1047463:TUX1047516 UET64423:UET64476 UET129959:UET130012 UET195495:UET195548 UET261031:UET261084 UET326567:UET326620 UET392103:UET392156 UET457639:UET457692 UET523175:UET523228 UET588711:UET588764 UET654247:UET654300 UET719783:UET719836 UET785319:UET785372 UET850855:UET850908 UET916391:UET916444 UET981927:UET981980 UET1047463:UET1047516 UOP64423:UOP64476 UOP129959:UOP130012 UOP195495:UOP195548 UOP261031:UOP261084 UOP326567:UOP326620 UOP392103:UOP392156 UOP457639:UOP457692 UOP523175:UOP523228 UOP588711:UOP588764 UOP654247:UOP654300 UOP719783:UOP719836 UOP785319:UOP785372 UOP850855:UOP850908 UOP916391:UOP916444 UOP981927:UOP981980 UOP1047463:UOP1047516 UYL64423:UYL64476 UYL129959:UYL130012 UYL195495:UYL195548 UYL261031:UYL261084 UYL326567:UYL326620 UYL392103:UYL392156 UYL457639:UYL457692 UYL523175:UYL523228 UYL588711:UYL588764 UYL654247:UYL654300 UYL719783:UYL719836 UYL785319:UYL785372 UYL850855:UYL850908 UYL916391:UYL916444 UYL981927:UYL981980 UYL1047463:UYL1047516 VIH64423:VIH64476 VIH129959:VIH130012 VIH195495:VIH195548 VIH261031:VIH261084 VIH326567:VIH326620 VIH392103:VIH392156 VIH457639:VIH457692 VIH523175:VIH523228 VIH588711:VIH588764 VIH654247:VIH654300 VIH719783:VIH719836 VIH785319:VIH785372 VIH850855:VIH850908 VIH916391:VIH916444 VIH981927:VIH981980 VIH1047463:VIH1047516 VSD64423:VSD64476 VSD129959:VSD130012 VSD195495:VSD195548 VSD261031:VSD261084 VSD326567:VSD326620 VSD392103:VSD392156 VSD457639:VSD457692 VSD523175:VSD523228 VSD588711:VSD588764 VSD654247:VSD654300 VSD719783:VSD719836 VSD785319:VSD785372 VSD850855:VSD850908 VSD916391:VSD916444 VSD981927:VSD981980 VSD1047463:VSD1047516 WBZ64423:WBZ64476 WBZ129959:WBZ130012 WBZ195495:WBZ195548 WBZ261031:WBZ261084 WBZ326567:WBZ326620 WBZ392103:WBZ392156 WBZ457639:WBZ457692 WBZ523175:WBZ523228 WBZ588711:WBZ588764 WBZ654247:WBZ654300 WBZ719783:WBZ719836 WBZ785319:WBZ785372 WBZ850855:WBZ850908 WBZ916391:WBZ916444 WBZ981927:WBZ981980 WBZ1047463:WBZ1047516 WLV64423:WLV64476 WLV129959:WLV130012 WLV195495:WLV195548 WLV261031:WLV261084 WLV326567:WLV326620 WLV392103:WLV392156 WLV457639:WLV457692 WLV523175:WLV523228 WLV588711:WLV588764 WLV654247:WLV654300 WLV719783:WLV719836 WLV785319:WLV785372 WLV850855:WLV850908 WLV916391:WLV916444 WLV981927:WLV981980 WLV1047463:WLV1047516 WVR64423:WVR64476 WVR129959:WVR130012 WVR195495:WVR195548 WVR261031:WVR261084 WVR326567:WVR326620 WVR392103:WVR392156 WVR457639:WVR457692 WVR523175:WVR523228 WVR588711:WVR588764 WVR654247:WVR654300 WVR719783:WVR719836 WVR785319:WVR785372 WVR850855:WVR850908 WVR916391:WVR916444 WVR981927:WVR981980 WVR1047463:WVR1047516" xr:uid="{D4202B1A-073A-46C9-91E8-4696BDE46351}">
      <formula1>$AP$2:$AP$12</formula1>
    </dataValidation>
    <dataValidation type="list" allowBlank="1" showInputMessage="1" showErrorMessage="1" sqref="J131:J154 J65538:J65636 J131074:J131172 J196610:J196708 J262146:J262244 J327682:J327780 J393218:J393316 J458754:J458852 J524290:J524388 J589826:J589924 J655362:J655460 J720898:J720996 J786434:J786532 J851970:J852068 J917506:J917604 J983042:J983140 JF2:JF100 JF65538:JF65636 JF131074:JF131172 JF196610:JF196708 JF262146:JF262244 JF327682:JF327780 JF393218:JF393316 JF458754:JF458852 JF524290:JF524388 JF589826:JF589924 JF655362:JF655460 JF720898:JF720996 JF786434:JF786532 JF851970:JF852068 JF917506:JF917604 JF983042:JF983140 TB2:TB100 TB65538:TB65636 TB131074:TB131172 TB196610:TB196708 TB262146:TB262244 TB327682:TB327780 TB393218:TB393316 TB458754:TB458852 TB524290:TB524388 TB589826:TB589924 TB655362:TB655460 TB720898:TB720996 TB786434:TB786532 TB851970:TB852068 TB917506:TB917604 TB983042:TB983140 ACX2:ACX100 ACX65538:ACX65636 ACX131074:ACX131172 ACX196610:ACX196708 ACX262146:ACX262244 ACX327682:ACX327780 ACX393218:ACX393316 ACX458754:ACX458852 ACX524290:ACX524388 ACX589826:ACX589924 ACX655362:ACX655460 ACX720898:ACX720996 ACX786434:ACX786532 ACX851970:ACX852068 ACX917506:ACX917604 ACX983042:ACX983140 AMT2:AMT100 AMT65538:AMT65636 AMT131074:AMT131172 AMT196610:AMT196708 AMT262146:AMT262244 AMT327682:AMT327780 AMT393218:AMT393316 AMT458754:AMT458852 AMT524290:AMT524388 AMT589826:AMT589924 AMT655362:AMT655460 AMT720898:AMT720996 AMT786434:AMT786532 AMT851970:AMT852068 AMT917506:AMT917604 AMT983042:AMT983140 AWP2:AWP100 AWP65538:AWP65636 AWP131074:AWP131172 AWP196610:AWP196708 AWP262146:AWP262244 AWP327682:AWP327780 AWP393218:AWP393316 AWP458754:AWP458852 AWP524290:AWP524388 AWP589826:AWP589924 AWP655362:AWP655460 AWP720898:AWP720996 AWP786434:AWP786532 AWP851970:AWP852068 AWP917506:AWP917604 AWP983042:AWP983140 BGL2:BGL100 BGL65538:BGL65636 BGL131074:BGL131172 BGL196610:BGL196708 BGL262146:BGL262244 BGL327682:BGL327780 BGL393218:BGL393316 BGL458754:BGL458852 BGL524290:BGL524388 BGL589826:BGL589924 BGL655362:BGL655460 BGL720898:BGL720996 BGL786434:BGL786532 BGL851970:BGL852068 BGL917506:BGL917604 BGL983042:BGL983140 BQH2:BQH100 BQH65538:BQH65636 BQH131074:BQH131172 BQH196610:BQH196708 BQH262146:BQH262244 BQH327682:BQH327780 BQH393218:BQH393316 BQH458754:BQH458852 BQH524290:BQH524388 BQH589826:BQH589924 BQH655362:BQH655460 BQH720898:BQH720996 BQH786434:BQH786532 BQH851970:BQH852068 BQH917506:BQH917604 BQH983042:BQH983140 CAD2:CAD100 CAD65538:CAD65636 CAD131074:CAD131172 CAD196610:CAD196708 CAD262146:CAD262244 CAD327682:CAD327780 CAD393218:CAD393316 CAD458754:CAD458852 CAD524290:CAD524388 CAD589826:CAD589924 CAD655362:CAD655460 CAD720898:CAD720996 CAD786434:CAD786532 CAD851970:CAD852068 CAD917506:CAD917604 CAD983042:CAD983140 CJZ2:CJZ100 CJZ65538:CJZ65636 CJZ131074:CJZ131172 CJZ196610:CJZ196708 CJZ262146:CJZ262244 CJZ327682:CJZ327780 CJZ393218:CJZ393316 CJZ458754:CJZ458852 CJZ524290:CJZ524388 CJZ589826:CJZ589924 CJZ655362:CJZ655460 CJZ720898:CJZ720996 CJZ786434:CJZ786532 CJZ851970:CJZ852068 CJZ917506:CJZ917604 CJZ983042:CJZ983140 CTV2:CTV100 CTV65538:CTV65636 CTV131074:CTV131172 CTV196610:CTV196708 CTV262146:CTV262244 CTV327682:CTV327780 CTV393218:CTV393316 CTV458754:CTV458852 CTV524290:CTV524388 CTV589826:CTV589924 CTV655362:CTV655460 CTV720898:CTV720996 CTV786434:CTV786532 CTV851970:CTV852068 CTV917506:CTV917604 CTV983042:CTV983140 DDR2:DDR100 DDR65538:DDR65636 DDR131074:DDR131172 DDR196610:DDR196708 DDR262146:DDR262244 DDR327682:DDR327780 DDR393218:DDR393316 DDR458754:DDR458852 DDR524290:DDR524388 DDR589826:DDR589924 DDR655362:DDR655460 DDR720898:DDR720996 DDR786434:DDR786532 DDR851970:DDR852068 DDR917506:DDR917604 DDR983042:DDR983140 DNN2:DNN100 DNN65538:DNN65636 DNN131074:DNN131172 DNN196610:DNN196708 DNN262146:DNN262244 DNN327682:DNN327780 DNN393218:DNN393316 DNN458754:DNN458852 DNN524290:DNN524388 DNN589826:DNN589924 DNN655362:DNN655460 DNN720898:DNN720996 DNN786434:DNN786532 DNN851970:DNN852068 DNN917506:DNN917604 DNN983042:DNN983140 DXJ2:DXJ100 DXJ65538:DXJ65636 DXJ131074:DXJ131172 DXJ196610:DXJ196708 DXJ262146:DXJ262244 DXJ327682:DXJ327780 DXJ393218:DXJ393316 DXJ458754:DXJ458852 DXJ524290:DXJ524388 DXJ589826:DXJ589924 DXJ655362:DXJ655460 DXJ720898:DXJ720996 DXJ786434:DXJ786532 DXJ851970:DXJ852068 DXJ917506:DXJ917604 DXJ983042:DXJ983140 EHF2:EHF100 EHF65538:EHF65636 EHF131074:EHF131172 EHF196610:EHF196708 EHF262146:EHF262244 EHF327682:EHF327780 EHF393218:EHF393316 EHF458754:EHF458852 EHF524290:EHF524388 EHF589826:EHF589924 EHF655362:EHF655460 EHF720898:EHF720996 EHF786434:EHF786532 EHF851970:EHF852068 EHF917506:EHF917604 EHF983042:EHF983140 ERB2:ERB100 ERB65538:ERB65636 ERB131074:ERB131172 ERB196610:ERB196708 ERB262146:ERB262244 ERB327682:ERB327780 ERB393218:ERB393316 ERB458754:ERB458852 ERB524290:ERB524388 ERB589826:ERB589924 ERB655362:ERB655460 ERB720898:ERB720996 ERB786434:ERB786532 ERB851970:ERB852068 ERB917506:ERB917604 ERB983042:ERB983140 FAX2:FAX100 FAX65538:FAX65636 FAX131074:FAX131172 FAX196610:FAX196708 FAX262146:FAX262244 FAX327682:FAX327780 FAX393218:FAX393316 FAX458754:FAX458852 FAX524290:FAX524388 FAX589826:FAX589924 FAX655362:FAX655460 FAX720898:FAX720996 FAX786434:FAX786532 FAX851970:FAX852068 FAX917506:FAX917604 FAX983042:FAX983140 FKT2:FKT100 FKT65538:FKT65636 FKT131074:FKT131172 FKT196610:FKT196708 FKT262146:FKT262244 FKT327682:FKT327780 FKT393218:FKT393316 FKT458754:FKT458852 FKT524290:FKT524388 FKT589826:FKT589924 FKT655362:FKT655460 FKT720898:FKT720996 FKT786434:FKT786532 FKT851970:FKT852068 FKT917506:FKT917604 FKT983042:FKT983140 FUP2:FUP100 FUP65538:FUP65636 FUP131074:FUP131172 FUP196610:FUP196708 FUP262146:FUP262244 FUP327682:FUP327780 FUP393218:FUP393316 FUP458754:FUP458852 FUP524290:FUP524388 FUP589826:FUP589924 FUP655362:FUP655460 FUP720898:FUP720996 FUP786434:FUP786532 FUP851970:FUP852068 FUP917506:FUP917604 FUP983042:FUP983140 GEL2:GEL100 GEL65538:GEL65636 GEL131074:GEL131172 GEL196610:GEL196708 GEL262146:GEL262244 GEL327682:GEL327780 GEL393218:GEL393316 GEL458754:GEL458852 GEL524290:GEL524388 GEL589826:GEL589924 GEL655362:GEL655460 GEL720898:GEL720996 GEL786434:GEL786532 GEL851970:GEL852068 GEL917506:GEL917604 GEL983042:GEL983140 GOH2:GOH100 GOH65538:GOH65636 GOH131074:GOH131172 GOH196610:GOH196708 GOH262146:GOH262244 GOH327682:GOH327780 GOH393218:GOH393316 GOH458754:GOH458852 GOH524290:GOH524388 GOH589826:GOH589924 GOH655362:GOH655460 GOH720898:GOH720996 GOH786434:GOH786532 GOH851970:GOH852068 GOH917506:GOH917604 GOH983042:GOH983140 GYD2:GYD100 GYD65538:GYD65636 GYD131074:GYD131172 GYD196610:GYD196708 GYD262146:GYD262244 GYD327682:GYD327780 GYD393218:GYD393316 GYD458754:GYD458852 GYD524290:GYD524388 GYD589826:GYD589924 GYD655362:GYD655460 GYD720898:GYD720996 GYD786434:GYD786532 GYD851970:GYD852068 GYD917506:GYD917604 GYD983042:GYD983140 HHZ2:HHZ100 HHZ65538:HHZ65636 HHZ131074:HHZ131172 HHZ196610:HHZ196708 HHZ262146:HHZ262244 HHZ327682:HHZ327780 HHZ393218:HHZ393316 HHZ458754:HHZ458852 HHZ524290:HHZ524388 HHZ589826:HHZ589924 HHZ655362:HHZ655460 HHZ720898:HHZ720996 HHZ786434:HHZ786532 HHZ851970:HHZ852068 HHZ917506:HHZ917604 HHZ983042:HHZ983140 HRV2:HRV100 HRV65538:HRV65636 HRV131074:HRV131172 HRV196610:HRV196708 HRV262146:HRV262244 HRV327682:HRV327780 HRV393218:HRV393316 HRV458754:HRV458852 HRV524290:HRV524388 HRV589826:HRV589924 HRV655362:HRV655460 HRV720898:HRV720996 HRV786434:HRV786532 HRV851970:HRV852068 HRV917506:HRV917604 HRV983042:HRV983140 IBR2:IBR100 IBR65538:IBR65636 IBR131074:IBR131172 IBR196610:IBR196708 IBR262146:IBR262244 IBR327682:IBR327780 IBR393218:IBR393316 IBR458754:IBR458852 IBR524290:IBR524388 IBR589826:IBR589924 IBR655362:IBR655460 IBR720898:IBR720996 IBR786434:IBR786532 IBR851970:IBR852068 IBR917506:IBR917604 IBR983042:IBR983140 ILN2:ILN100 ILN65538:ILN65636 ILN131074:ILN131172 ILN196610:ILN196708 ILN262146:ILN262244 ILN327682:ILN327780 ILN393218:ILN393316 ILN458754:ILN458852 ILN524290:ILN524388 ILN589826:ILN589924 ILN655362:ILN655460 ILN720898:ILN720996 ILN786434:ILN786532 ILN851970:ILN852068 ILN917506:ILN917604 ILN983042:ILN983140 IVJ2:IVJ100 IVJ65538:IVJ65636 IVJ131074:IVJ131172 IVJ196610:IVJ196708 IVJ262146:IVJ262244 IVJ327682:IVJ327780 IVJ393218:IVJ393316 IVJ458754:IVJ458852 IVJ524290:IVJ524388 IVJ589826:IVJ589924 IVJ655362:IVJ655460 IVJ720898:IVJ720996 IVJ786434:IVJ786532 IVJ851970:IVJ852068 IVJ917506:IVJ917604 IVJ983042:IVJ983140 JFF2:JFF100 JFF65538:JFF65636 JFF131074:JFF131172 JFF196610:JFF196708 JFF262146:JFF262244 JFF327682:JFF327780 JFF393218:JFF393316 JFF458754:JFF458852 JFF524290:JFF524388 JFF589826:JFF589924 JFF655362:JFF655460 JFF720898:JFF720996 JFF786434:JFF786532 JFF851970:JFF852068 JFF917506:JFF917604 JFF983042:JFF983140 JPB2:JPB100 JPB65538:JPB65636 JPB131074:JPB131172 JPB196610:JPB196708 JPB262146:JPB262244 JPB327682:JPB327780 JPB393218:JPB393316 JPB458754:JPB458852 JPB524290:JPB524388 JPB589826:JPB589924 JPB655362:JPB655460 JPB720898:JPB720996 JPB786434:JPB786532 JPB851970:JPB852068 JPB917506:JPB917604 JPB983042:JPB983140 JYX2:JYX100 JYX65538:JYX65636 JYX131074:JYX131172 JYX196610:JYX196708 JYX262146:JYX262244 JYX327682:JYX327780 JYX393218:JYX393316 JYX458754:JYX458852 JYX524290:JYX524388 JYX589826:JYX589924 JYX655362:JYX655460 JYX720898:JYX720996 JYX786434:JYX786532 JYX851970:JYX852068 JYX917506:JYX917604 JYX983042:JYX983140 KIT2:KIT100 KIT65538:KIT65636 KIT131074:KIT131172 KIT196610:KIT196708 KIT262146:KIT262244 KIT327682:KIT327780 KIT393218:KIT393316 KIT458754:KIT458852 KIT524290:KIT524388 KIT589826:KIT589924 KIT655362:KIT655460 KIT720898:KIT720996 KIT786434:KIT786532 KIT851970:KIT852068 KIT917506:KIT917604 KIT983042:KIT983140 KSP2:KSP100 KSP65538:KSP65636 KSP131074:KSP131172 KSP196610:KSP196708 KSP262146:KSP262244 KSP327682:KSP327780 KSP393218:KSP393316 KSP458754:KSP458852 KSP524290:KSP524388 KSP589826:KSP589924 KSP655362:KSP655460 KSP720898:KSP720996 KSP786434:KSP786532 KSP851970:KSP852068 KSP917506:KSP917604 KSP983042:KSP983140 LCL2:LCL100 LCL65538:LCL65636 LCL131074:LCL131172 LCL196610:LCL196708 LCL262146:LCL262244 LCL327682:LCL327780 LCL393218:LCL393316 LCL458754:LCL458852 LCL524290:LCL524388 LCL589826:LCL589924 LCL655362:LCL655460 LCL720898:LCL720996 LCL786434:LCL786532 LCL851970:LCL852068 LCL917506:LCL917604 LCL983042:LCL983140 LMH2:LMH100 LMH65538:LMH65636 LMH131074:LMH131172 LMH196610:LMH196708 LMH262146:LMH262244 LMH327682:LMH327780 LMH393218:LMH393316 LMH458754:LMH458852 LMH524290:LMH524388 LMH589826:LMH589924 LMH655362:LMH655460 LMH720898:LMH720996 LMH786434:LMH786532 LMH851970:LMH852068 LMH917506:LMH917604 LMH983042:LMH983140 LWD2:LWD100 LWD65538:LWD65636 LWD131074:LWD131172 LWD196610:LWD196708 LWD262146:LWD262244 LWD327682:LWD327780 LWD393218:LWD393316 LWD458754:LWD458852 LWD524290:LWD524388 LWD589826:LWD589924 LWD655362:LWD655460 LWD720898:LWD720996 LWD786434:LWD786532 LWD851970:LWD852068 LWD917506:LWD917604 LWD983042:LWD983140 MFZ2:MFZ100 MFZ65538:MFZ65636 MFZ131074:MFZ131172 MFZ196610:MFZ196708 MFZ262146:MFZ262244 MFZ327682:MFZ327780 MFZ393218:MFZ393316 MFZ458754:MFZ458852 MFZ524290:MFZ524388 MFZ589826:MFZ589924 MFZ655362:MFZ655460 MFZ720898:MFZ720996 MFZ786434:MFZ786532 MFZ851970:MFZ852068 MFZ917506:MFZ917604 MFZ983042:MFZ983140 MPV2:MPV100 MPV65538:MPV65636 MPV131074:MPV131172 MPV196610:MPV196708 MPV262146:MPV262244 MPV327682:MPV327780 MPV393218:MPV393316 MPV458754:MPV458852 MPV524290:MPV524388 MPV589826:MPV589924 MPV655362:MPV655460 MPV720898:MPV720996 MPV786434:MPV786532 MPV851970:MPV852068 MPV917506:MPV917604 MPV983042:MPV983140 MZR2:MZR100 MZR65538:MZR65636 MZR131074:MZR131172 MZR196610:MZR196708 MZR262146:MZR262244 MZR327682:MZR327780 MZR393218:MZR393316 MZR458754:MZR458852 MZR524290:MZR524388 MZR589826:MZR589924 MZR655362:MZR655460 MZR720898:MZR720996 MZR786434:MZR786532 MZR851970:MZR852068 MZR917506:MZR917604 MZR983042:MZR983140 NJN2:NJN100 NJN65538:NJN65636 NJN131074:NJN131172 NJN196610:NJN196708 NJN262146:NJN262244 NJN327682:NJN327780 NJN393218:NJN393316 NJN458754:NJN458852 NJN524290:NJN524388 NJN589826:NJN589924 NJN655362:NJN655460 NJN720898:NJN720996 NJN786434:NJN786532 NJN851970:NJN852068 NJN917506:NJN917604 NJN983042:NJN983140 NTJ2:NTJ100 NTJ65538:NTJ65636 NTJ131074:NTJ131172 NTJ196610:NTJ196708 NTJ262146:NTJ262244 NTJ327682:NTJ327780 NTJ393218:NTJ393316 NTJ458754:NTJ458852 NTJ524290:NTJ524388 NTJ589826:NTJ589924 NTJ655362:NTJ655460 NTJ720898:NTJ720996 NTJ786434:NTJ786532 NTJ851970:NTJ852068 NTJ917506:NTJ917604 NTJ983042:NTJ983140 ODF2:ODF100 ODF65538:ODF65636 ODF131074:ODF131172 ODF196610:ODF196708 ODF262146:ODF262244 ODF327682:ODF327780 ODF393218:ODF393316 ODF458754:ODF458852 ODF524290:ODF524388 ODF589826:ODF589924 ODF655362:ODF655460 ODF720898:ODF720996 ODF786434:ODF786532 ODF851970:ODF852068 ODF917506:ODF917604 ODF983042:ODF983140 ONB2:ONB100 ONB65538:ONB65636 ONB131074:ONB131172 ONB196610:ONB196708 ONB262146:ONB262244 ONB327682:ONB327780 ONB393218:ONB393316 ONB458754:ONB458852 ONB524290:ONB524388 ONB589826:ONB589924 ONB655362:ONB655460 ONB720898:ONB720996 ONB786434:ONB786532 ONB851970:ONB852068 ONB917506:ONB917604 ONB983042:ONB983140 OWX2:OWX100 OWX65538:OWX65636 OWX131074:OWX131172 OWX196610:OWX196708 OWX262146:OWX262244 OWX327682:OWX327780 OWX393218:OWX393316 OWX458754:OWX458852 OWX524290:OWX524388 OWX589826:OWX589924 OWX655362:OWX655460 OWX720898:OWX720996 OWX786434:OWX786532 OWX851970:OWX852068 OWX917506:OWX917604 OWX983042:OWX983140 PGT2:PGT100 PGT65538:PGT65636 PGT131074:PGT131172 PGT196610:PGT196708 PGT262146:PGT262244 PGT327682:PGT327780 PGT393218:PGT393316 PGT458754:PGT458852 PGT524290:PGT524388 PGT589826:PGT589924 PGT655362:PGT655460 PGT720898:PGT720996 PGT786434:PGT786532 PGT851970:PGT852068 PGT917506:PGT917604 PGT983042:PGT983140 PQP2:PQP100 PQP65538:PQP65636 PQP131074:PQP131172 PQP196610:PQP196708 PQP262146:PQP262244 PQP327682:PQP327780 PQP393218:PQP393316 PQP458754:PQP458852 PQP524290:PQP524388 PQP589826:PQP589924 PQP655362:PQP655460 PQP720898:PQP720996 PQP786434:PQP786532 PQP851970:PQP852068 PQP917506:PQP917604 PQP983042:PQP983140 QAL2:QAL100 QAL65538:QAL65636 QAL131074:QAL131172 QAL196610:QAL196708 QAL262146:QAL262244 QAL327682:QAL327780 QAL393218:QAL393316 QAL458754:QAL458852 QAL524290:QAL524388 QAL589826:QAL589924 QAL655362:QAL655460 QAL720898:QAL720996 QAL786434:QAL786532 QAL851970:QAL852068 QAL917506:QAL917604 QAL983042:QAL983140 QKH2:QKH100 QKH65538:QKH65636 QKH131074:QKH131172 QKH196610:QKH196708 QKH262146:QKH262244 QKH327682:QKH327780 QKH393218:QKH393316 QKH458754:QKH458852 QKH524290:QKH524388 QKH589826:QKH589924 QKH655362:QKH655460 QKH720898:QKH720996 QKH786434:QKH786532 QKH851970:QKH852068 QKH917506:QKH917604 QKH983042:QKH983140 QUD2:QUD100 QUD65538:QUD65636 QUD131074:QUD131172 QUD196610:QUD196708 QUD262146:QUD262244 QUD327682:QUD327780 QUD393218:QUD393316 QUD458754:QUD458852 QUD524290:QUD524388 QUD589826:QUD589924 QUD655362:QUD655460 QUD720898:QUD720996 QUD786434:QUD786532 QUD851970:QUD852068 QUD917506:QUD917604 QUD983042:QUD983140 RDZ2:RDZ100 RDZ65538:RDZ65636 RDZ131074:RDZ131172 RDZ196610:RDZ196708 RDZ262146:RDZ262244 RDZ327682:RDZ327780 RDZ393218:RDZ393316 RDZ458754:RDZ458852 RDZ524290:RDZ524388 RDZ589826:RDZ589924 RDZ655362:RDZ655460 RDZ720898:RDZ720996 RDZ786434:RDZ786532 RDZ851970:RDZ852068 RDZ917506:RDZ917604 RDZ983042:RDZ983140 RNV2:RNV100 RNV65538:RNV65636 RNV131074:RNV131172 RNV196610:RNV196708 RNV262146:RNV262244 RNV327682:RNV327780 RNV393218:RNV393316 RNV458754:RNV458852 RNV524290:RNV524388 RNV589826:RNV589924 RNV655362:RNV655460 RNV720898:RNV720996 RNV786434:RNV786532 RNV851970:RNV852068 RNV917506:RNV917604 RNV983042:RNV983140 RXR2:RXR100 RXR65538:RXR65636 RXR131074:RXR131172 RXR196610:RXR196708 RXR262146:RXR262244 RXR327682:RXR327780 RXR393218:RXR393316 RXR458754:RXR458852 RXR524290:RXR524388 RXR589826:RXR589924 RXR655362:RXR655460 RXR720898:RXR720996 RXR786434:RXR786532 RXR851970:RXR852068 RXR917506:RXR917604 RXR983042:RXR983140 SHN2:SHN100 SHN65538:SHN65636 SHN131074:SHN131172 SHN196610:SHN196708 SHN262146:SHN262244 SHN327682:SHN327780 SHN393218:SHN393316 SHN458754:SHN458852 SHN524290:SHN524388 SHN589826:SHN589924 SHN655362:SHN655460 SHN720898:SHN720996 SHN786434:SHN786532 SHN851970:SHN852068 SHN917506:SHN917604 SHN983042:SHN983140 SRJ2:SRJ100 SRJ65538:SRJ65636 SRJ131074:SRJ131172 SRJ196610:SRJ196708 SRJ262146:SRJ262244 SRJ327682:SRJ327780 SRJ393218:SRJ393316 SRJ458754:SRJ458852 SRJ524290:SRJ524388 SRJ589826:SRJ589924 SRJ655362:SRJ655460 SRJ720898:SRJ720996 SRJ786434:SRJ786532 SRJ851970:SRJ852068 SRJ917506:SRJ917604 SRJ983042:SRJ983140 TBF2:TBF100 TBF65538:TBF65636 TBF131074:TBF131172 TBF196610:TBF196708 TBF262146:TBF262244 TBF327682:TBF327780 TBF393218:TBF393316 TBF458754:TBF458852 TBF524290:TBF524388 TBF589826:TBF589924 TBF655362:TBF655460 TBF720898:TBF720996 TBF786434:TBF786532 TBF851970:TBF852068 TBF917506:TBF917604 TBF983042:TBF983140 TLB2:TLB100 TLB65538:TLB65636 TLB131074:TLB131172 TLB196610:TLB196708 TLB262146:TLB262244 TLB327682:TLB327780 TLB393218:TLB393316 TLB458754:TLB458852 TLB524290:TLB524388 TLB589826:TLB589924 TLB655362:TLB655460 TLB720898:TLB720996 TLB786434:TLB786532 TLB851970:TLB852068 TLB917506:TLB917604 TLB983042:TLB983140 TUX2:TUX100 TUX65538:TUX65636 TUX131074:TUX131172 TUX196610:TUX196708 TUX262146:TUX262244 TUX327682:TUX327780 TUX393218:TUX393316 TUX458754:TUX458852 TUX524290:TUX524388 TUX589826:TUX589924 TUX655362:TUX655460 TUX720898:TUX720996 TUX786434:TUX786532 TUX851970:TUX852068 TUX917506:TUX917604 TUX983042:TUX983140 UET2:UET100 UET65538:UET65636 UET131074:UET131172 UET196610:UET196708 UET262146:UET262244 UET327682:UET327780 UET393218:UET393316 UET458754:UET458852 UET524290:UET524388 UET589826:UET589924 UET655362:UET655460 UET720898:UET720996 UET786434:UET786532 UET851970:UET852068 UET917506:UET917604 UET983042:UET983140 UOP2:UOP100 UOP65538:UOP65636 UOP131074:UOP131172 UOP196610:UOP196708 UOP262146:UOP262244 UOP327682:UOP327780 UOP393218:UOP393316 UOP458754:UOP458852 UOP524290:UOP524388 UOP589826:UOP589924 UOP655362:UOP655460 UOP720898:UOP720996 UOP786434:UOP786532 UOP851970:UOP852068 UOP917506:UOP917604 UOP983042:UOP983140 UYL2:UYL100 UYL65538:UYL65636 UYL131074:UYL131172 UYL196610:UYL196708 UYL262146:UYL262244 UYL327682:UYL327780 UYL393218:UYL393316 UYL458754:UYL458852 UYL524290:UYL524388 UYL589826:UYL589924 UYL655362:UYL655460 UYL720898:UYL720996 UYL786434:UYL786532 UYL851970:UYL852068 UYL917506:UYL917604 UYL983042:UYL983140 VIH2:VIH100 VIH65538:VIH65636 VIH131074:VIH131172 VIH196610:VIH196708 VIH262146:VIH262244 VIH327682:VIH327780 VIH393218:VIH393316 VIH458754:VIH458852 VIH524290:VIH524388 VIH589826:VIH589924 VIH655362:VIH655460 VIH720898:VIH720996 VIH786434:VIH786532 VIH851970:VIH852068 VIH917506:VIH917604 VIH983042:VIH983140 VSD2:VSD100 VSD65538:VSD65636 VSD131074:VSD131172 VSD196610:VSD196708 VSD262146:VSD262244 VSD327682:VSD327780 VSD393218:VSD393316 VSD458754:VSD458852 VSD524290:VSD524388 VSD589826:VSD589924 VSD655362:VSD655460 VSD720898:VSD720996 VSD786434:VSD786532 VSD851970:VSD852068 VSD917506:VSD917604 VSD983042:VSD983140 WBZ2:WBZ100 WBZ65538:WBZ65636 WBZ131074:WBZ131172 WBZ196610:WBZ196708 WBZ262146:WBZ262244 WBZ327682:WBZ327780 WBZ393218:WBZ393316 WBZ458754:WBZ458852 WBZ524290:WBZ524388 WBZ589826:WBZ589924 WBZ655362:WBZ655460 WBZ720898:WBZ720996 WBZ786434:WBZ786532 WBZ851970:WBZ852068 WBZ917506:WBZ917604 WBZ983042:WBZ983140 WLV2:WLV100 WLV65538:WLV65636 WLV131074:WLV131172 WLV196610:WLV196708 WLV262146:WLV262244 WLV327682:WLV327780 WLV393218:WLV393316 WLV458754:WLV458852 WLV524290:WLV524388 WLV589826:WLV589924 WLV655362:WLV655460 WLV720898:WLV720996 WLV786434:WLV786532 WLV851970:WLV852068 WLV917506:WLV917604 WLV983042:WLV983140 WVR2:WVR100 WVR65538:WVR65636 WVR131074:WVR131172 WVR196610:WVR196708 WVR262146:WVR262244 WVR327682:WVR327780 WVR393218:WVR393316 WVR458754:WVR458852 WVR524290:WVR524388 WVR589826:WVR589924 WVR655362:WVR655460 WVR720898:WVR720996 WVR786434:WVR786532 WVR851970:WVR852068 WVR917506:WVR917604 WVR983042:WVR983140" xr:uid="{00AA0EDA-8478-4A2D-AE16-F69DAC548F9D}">
      <formula1>$AP$2:$AP$27</formula1>
    </dataValidation>
    <dataValidation type="list" allowBlank="1" showInputMessage="1" showErrorMessage="1" sqref="J113:J130" xr:uid="{A5AC96B2-C0F4-4DB3-8A95-50759FE43DE9}">
      <formula1>$AP$2:$AP$28</formula1>
    </dataValidation>
    <dataValidation type="list" allowBlank="1" showInputMessage="1" showErrorMessage="1" sqref="H65538:H66036 H131074:H131572 H196610:H197108 H262146:H262644 H327682:H328180 H393218:H393716 H458754:H459252 H524290:H524788 H589826:H590324 H655362:H655860 H720898:H721396 H786434:H786932 H851970:H852468 H917506:H918004 H983042:H983540 JD2:JD500 JD65538:JD66036 JD131074:JD131572 JD196610:JD197108 JD262146:JD262644 JD327682:JD328180 JD393218:JD393716 JD458754:JD459252 JD524290:JD524788 JD589826:JD590324 JD655362:JD655860 JD720898:JD721396 JD786434:JD786932 JD851970:JD852468 JD917506:JD918004 JD983042:JD983540 SZ2:SZ500 SZ65538:SZ66036 SZ131074:SZ131572 SZ196610:SZ197108 SZ262146:SZ262644 SZ327682:SZ328180 SZ393218:SZ393716 SZ458754:SZ459252 SZ524290:SZ524788 SZ589826:SZ590324 SZ655362:SZ655860 SZ720898:SZ721396 SZ786434:SZ786932 SZ851970:SZ852468 SZ917506:SZ918004 SZ983042:SZ983540 ACV2:ACV500 ACV65538:ACV66036 ACV131074:ACV131572 ACV196610:ACV197108 ACV262146:ACV262644 ACV327682:ACV328180 ACV393218:ACV393716 ACV458754:ACV459252 ACV524290:ACV524788 ACV589826:ACV590324 ACV655362:ACV655860 ACV720898:ACV721396 ACV786434:ACV786932 ACV851970:ACV852468 ACV917506:ACV918004 ACV983042:ACV983540 AMR2:AMR500 AMR65538:AMR66036 AMR131074:AMR131572 AMR196610:AMR197108 AMR262146:AMR262644 AMR327682:AMR328180 AMR393218:AMR393716 AMR458754:AMR459252 AMR524290:AMR524788 AMR589826:AMR590324 AMR655362:AMR655860 AMR720898:AMR721396 AMR786434:AMR786932 AMR851970:AMR852468 AMR917506:AMR918004 AMR983042:AMR983540 AWN2:AWN500 AWN65538:AWN66036 AWN131074:AWN131572 AWN196610:AWN197108 AWN262146:AWN262644 AWN327682:AWN328180 AWN393218:AWN393716 AWN458754:AWN459252 AWN524290:AWN524788 AWN589826:AWN590324 AWN655362:AWN655860 AWN720898:AWN721396 AWN786434:AWN786932 AWN851970:AWN852468 AWN917506:AWN918004 AWN983042:AWN983540 BGJ2:BGJ500 BGJ65538:BGJ66036 BGJ131074:BGJ131572 BGJ196610:BGJ197108 BGJ262146:BGJ262644 BGJ327682:BGJ328180 BGJ393218:BGJ393716 BGJ458754:BGJ459252 BGJ524290:BGJ524788 BGJ589826:BGJ590324 BGJ655362:BGJ655860 BGJ720898:BGJ721396 BGJ786434:BGJ786932 BGJ851970:BGJ852468 BGJ917506:BGJ918004 BGJ983042:BGJ983540 BQF2:BQF500 BQF65538:BQF66036 BQF131074:BQF131572 BQF196610:BQF197108 BQF262146:BQF262644 BQF327682:BQF328180 BQF393218:BQF393716 BQF458754:BQF459252 BQF524290:BQF524788 BQF589826:BQF590324 BQF655362:BQF655860 BQF720898:BQF721396 BQF786434:BQF786932 BQF851970:BQF852468 BQF917506:BQF918004 BQF983042:BQF983540 CAB2:CAB500 CAB65538:CAB66036 CAB131074:CAB131572 CAB196610:CAB197108 CAB262146:CAB262644 CAB327682:CAB328180 CAB393218:CAB393716 CAB458754:CAB459252 CAB524290:CAB524788 CAB589826:CAB590324 CAB655362:CAB655860 CAB720898:CAB721396 CAB786434:CAB786932 CAB851970:CAB852468 CAB917506:CAB918004 CAB983042:CAB983540 CJX2:CJX500 CJX65538:CJX66036 CJX131074:CJX131572 CJX196610:CJX197108 CJX262146:CJX262644 CJX327682:CJX328180 CJX393218:CJX393716 CJX458754:CJX459252 CJX524290:CJX524788 CJX589826:CJX590324 CJX655362:CJX655860 CJX720898:CJX721396 CJX786434:CJX786932 CJX851970:CJX852468 CJX917506:CJX918004 CJX983042:CJX983540 CTT2:CTT500 CTT65538:CTT66036 CTT131074:CTT131572 CTT196610:CTT197108 CTT262146:CTT262644 CTT327682:CTT328180 CTT393218:CTT393716 CTT458754:CTT459252 CTT524290:CTT524788 CTT589826:CTT590324 CTT655362:CTT655860 CTT720898:CTT721396 CTT786434:CTT786932 CTT851970:CTT852468 CTT917506:CTT918004 CTT983042:CTT983540 DDP2:DDP500 DDP65538:DDP66036 DDP131074:DDP131572 DDP196610:DDP197108 DDP262146:DDP262644 DDP327682:DDP328180 DDP393218:DDP393716 DDP458754:DDP459252 DDP524290:DDP524788 DDP589826:DDP590324 DDP655362:DDP655860 DDP720898:DDP721396 DDP786434:DDP786932 DDP851970:DDP852468 DDP917506:DDP918004 DDP983042:DDP983540 DNL2:DNL500 DNL65538:DNL66036 DNL131074:DNL131572 DNL196610:DNL197108 DNL262146:DNL262644 DNL327682:DNL328180 DNL393218:DNL393716 DNL458754:DNL459252 DNL524290:DNL524788 DNL589826:DNL590324 DNL655362:DNL655860 DNL720898:DNL721396 DNL786434:DNL786932 DNL851970:DNL852468 DNL917506:DNL918004 DNL983042:DNL983540 DXH2:DXH500 DXH65538:DXH66036 DXH131074:DXH131572 DXH196610:DXH197108 DXH262146:DXH262644 DXH327682:DXH328180 DXH393218:DXH393716 DXH458754:DXH459252 DXH524290:DXH524788 DXH589826:DXH590324 DXH655362:DXH655860 DXH720898:DXH721396 DXH786434:DXH786932 DXH851970:DXH852468 DXH917506:DXH918004 DXH983042:DXH983540 EHD2:EHD500 EHD65538:EHD66036 EHD131074:EHD131572 EHD196610:EHD197108 EHD262146:EHD262644 EHD327682:EHD328180 EHD393218:EHD393716 EHD458754:EHD459252 EHD524290:EHD524788 EHD589826:EHD590324 EHD655362:EHD655860 EHD720898:EHD721396 EHD786434:EHD786932 EHD851970:EHD852468 EHD917506:EHD918004 EHD983042:EHD983540 EQZ2:EQZ500 EQZ65538:EQZ66036 EQZ131074:EQZ131572 EQZ196610:EQZ197108 EQZ262146:EQZ262644 EQZ327682:EQZ328180 EQZ393218:EQZ393716 EQZ458754:EQZ459252 EQZ524290:EQZ524788 EQZ589826:EQZ590324 EQZ655362:EQZ655860 EQZ720898:EQZ721396 EQZ786434:EQZ786932 EQZ851970:EQZ852468 EQZ917506:EQZ918004 EQZ983042:EQZ983540 FAV2:FAV500 FAV65538:FAV66036 FAV131074:FAV131572 FAV196610:FAV197108 FAV262146:FAV262644 FAV327682:FAV328180 FAV393218:FAV393716 FAV458754:FAV459252 FAV524290:FAV524788 FAV589826:FAV590324 FAV655362:FAV655860 FAV720898:FAV721396 FAV786434:FAV786932 FAV851970:FAV852468 FAV917506:FAV918004 FAV983042:FAV983540 FKR2:FKR500 FKR65538:FKR66036 FKR131074:FKR131572 FKR196610:FKR197108 FKR262146:FKR262644 FKR327682:FKR328180 FKR393218:FKR393716 FKR458754:FKR459252 FKR524290:FKR524788 FKR589826:FKR590324 FKR655362:FKR655860 FKR720898:FKR721396 FKR786434:FKR786932 FKR851970:FKR852468 FKR917506:FKR918004 FKR983042:FKR983540 FUN2:FUN500 FUN65538:FUN66036 FUN131074:FUN131572 FUN196610:FUN197108 FUN262146:FUN262644 FUN327682:FUN328180 FUN393218:FUN393716 FUN458754:FUN459252 FUN524290:FUN524788 FUN589826:FUN590324 FUN655362:FUN655860 FUN720898:FUN721396 FUN786434:FUN786932 FUN851970:FUN852468 FUN917506:FUN918004 FUN983042:FUN983540 GEJ2:GEJ500 GEJ65538:GEJ66036 GEJ131074:GEJ131572 GEJ196610:GEJ197108 GEJ262146:GEJ262644 GEJ327682:GEJ328180 GEJ393218:GEJ393716 GEJ458754:GEJ459252 GEJ524290:GEJ524788 GEJ589826:GEJ590324 GEJ655362:GEJ655860 GEJ720898:GEJ721396 GEJ786434:GEJ786932 GEJ851970:GEJ852468 GEJ917506:GEJ918004 GEJ983042:GEJ983540 GOF2:GOF500 GOF65538:GOF66036 GOF131074:GOF131572 GOF196610:GOF197108 GOF262146:GOF262644 GOF327682:GOF328180 GOF393218:GOF393716 GOF458754:GOF459252 GOF524290:GOF524788 GOF589826:GOF590324 GOF655362:GOF655860 GOF720898:GOF721396 GOF786434:GOF786932 GOF851970:GOF852468 GOF917506:GOF918004 GOF983042:GOF983540 GYB2:GYB500 GYB65538:GYB66036 GYB131074:GYB131572 GYB196610:GYB197108 GYB262146:GYB262644 GYB327682:GYB328180 GYB393218:GYB393716 GYB458754:GYB459252 GYB524290:GYB524788 GYB589826:GYB590324 GYB655362:GYB655860 GYB720898:GYB721396 GYB786434:GYB786932 GYB851970:GYB852468 GYB917506:GYB918004 GYB983042:GYB983540 HHX2:HHX500 HHX65538:HHX66036 HHX131074:HHX131572 HHX196610:HHX197108 HHX262146:HHX262644 HHX327682:HHX328180 HHX393218:HHX393716 HHX458754:HHX459252 HHX524290:HHX524788 HHX589826:HHX590324 HHX655362:HHX655860 HHX720898:HHX721396 HHX786434:HHX786932 HHX851970:HHX852468 HHX917506:HHX918004 HHX983042:HHX983540 HRT2:HRT500 HRT65538:HRT66036 HRT131074:HRT131572 HRT196610:HRT197108 HRT262146:HRT262644 HRT327682:HRT328180 HRT393218:HRT393716 HRT458754:HRT459252 HRT524290:HRT524788 HRT589826:HRT590324 HRT655362:HRT655860 HRT720898:HRT721396 HRT786434:HRT786932 HRT851970:HRT852468 HRT917506:HRT918004 HRT983042:HRT983540 IBP2:IBP500 IBP65538:IBP66036 IBP131074:IBP131572 IBP196610:IBP197108 IBP262146:IBP262644 IBP327682:IBP328180 IBP393218:IBP393716 IBP458754:IBP459252 IBP524290:IBP524788 IBP589826:IBP590324 IBP655362:IBP655860 IBP720898:IBP721396 IBP786434:IBP786932 IBP851970:IBP852468 IBP917506:IBP918004 IBP983042:IBP983540 ILL2:ILL500 ILL65538:ILL66036 ILL131074:ILL131572 ILL196610:ILL197108 ILL262146:ILL262644 ILL327682:ILL328180 ILL393218:ILL393716 ILL458754:ILL459252 ILL524290:ILL524788 ILL589826:ILL590324 ILL655362:ILL655860 ILL720898:ILL721396 ILL786434:ILL786932 ILL851970:ILL852468 ILL917506:ILL918004 ILL983042:ILL983540 IVH2:IVH500 IVH65538:IVH66036 IVH131074:IVH131572 IVH196610:IVH197108 IVH262146:IVH262644 IVH327682:IVH328180 IVH393218:IVH393716 IVH458754:IVH459252 IVH524290:IVH524788 IVH589826:IVH590324 IVH655362:IVH655860 IVH720898:IVH721396 IVH786434:IVH786932 IVH851970:IVH852468 IVH917506:IVH918004 IVH983042:IVH983540 JFD2:JFD500 JFD65538:JFD66036 JFD131074:JFD131572 JFD196610:JFD197108 JFD262146:JFD262644 JFD327682:JFD328180 JFD393218:JFD393716 JFD458754:JFD459252 JFD524290:JFD524788 JFD589826:JFD590324 JFD655362:JFD655860 JFD720898:JFD721396 JFD786434:JFD786932 JFD851970:JFD852468 JFD917506:JFD918004 JFD983042:JFD983540 JOZ2:JOZ500 JOZ65538:JOZ66036 JOZ131074:JOZ131572 JOZ196610:JOZ197108 JOZ262146:JOZ262644 JOZ327682:JOZ328180 JOZ393218:JOZ393716 JOZ458754:JOZ459252 JOZ524290:JOZ524788 JOZ589826:JOZ590324 JOZ655362:JOZ655860 JOZ720898:JOZ721396 JOZ786434:JOZ786932 JOZ851970:JOZ852468 JOZ917506:JOZ918004 JOZ983042:JOZ983540 JYV2:JYV500 JYV65538:JYV66036 JYV131074:JYV131572 JYV196610:JYV197108 JYV262146:JYV262644 JYV327682:JYV328180 JYV393218:JYV393716 JYV458754:JYV459252 JYV524290:JYV524788 JYV589826:JYV590324 JYV655362:JYV655860 JYV720898:JYV721396 JYV786434:JYV786932 JYV851970:JYV852468 JYV917506:JYV918004 JYV983042:JYV983540 KIR2:KIR500 KIR65538:KIR66036 KIR131074:KIR131572 KIR196610:KIR197108 KIR262146:KIR262644 KIR327682:KIR328180 KIR393218:KIR393716 KIR458754:KIR459252 KIR524290:KIR524788 KIR589826:KIR590324 KIR655362:KIR655860 KIR720898:KIR721396 KIR786434:KIR786932 KIR851970:KIR852468 KIR917506:KIR918004 KIR983042:KIR983540 KSN2:KSN500 KSN65538:KSN66036 KSN131074:KSN131572 KSN196610:KSN197108 KSN262146:KSN262644 KSN327682:KSN328180 KSN393218:KSN393716 KSN458754:KSN459252 KSN524290:KSN524788 KSN589826:KSN590324 KSN655362:KSN655860 KSN720898:KSN721396 KSN786434:KSN786932 KSN851970:KSN852468 KSN917506:KSN918004 KSN983042:KSN983540 LCJ2:LCJ500 LCJ65538:LCJ66036 LCJ131074:LCJ131572 LCJ196610:LCJ197108 LCJ262146:LCJ262644 LCJ327682:LCJ328180 LCJ393218:LCJ393716 LCJ458754:LCJ459252 LCJ524290:LCJ524788 LCJ589826:LCJ590324 LCJ655362:LCJ655860 LCJ720898:LCJ721396 LCJ786434:LCJ786932 LCJ851970:LCJ852468 LCJ917506:LCJ918004 LCJ983042:LCJ983540 LMF2:LMF500 LMF65538:LMF66036 LMF131074:LMF131572 LMF196610:LMF197108 LMF262146:LMF262644 LMF327682:LMF328180 LMF393218:LMF393716 LMF458754:LMF459252 LMF524290:LMF524788 LMF589826:LMF590324 LMF655362:LMF655860 LMF720898:LMF721396 LMF786434:LMF786932 LMF851970:LMF852468 LMF917506:LMF918004 LMF983042:LMF983540 LWB2:LWB500 LWB65538:LWB66036 LWB131074:LWB131572 LWB196610:LWB197108 LWB262146:LWB262644 LWB327682:LWB328180 LWB393218:LWB393716 LWB458754:LWB459252 LWB524290:LWB524788 LWB589826:LWB590324 LWB655362:LWB655860 LWB720898:LWB721396 LWB786434:LWB786932 LWB851970:LWB852468 LWB917506:LWB918004 LWB983042:LWB983540 MFX2:MFX500 MFX65538:MFX66036 MFX131074:MFX131572 MFX196610:MFX197108 MFX262146:MFX262644 MFX327682:MFX328180 MFX393218:MFX393716 MFX458754:MFX459252 MFX524290:MFX524788 MFX589826:MFX590324 MFX655362:MFX655860 MFX720898:MFX721396 MFX786434:MFX786932 MFX851970:MFX852468 MFX917506:MFX918004 MFX983042:MFX983540 MPT2:MPT500 MPT65538:MPT66036 MPT131074:MPT131572 MPT196610:MPT197108 MPT262146:MPT262644 MPT327682:MPT328180 MPT393218:MPT393716 MPT458754:MPT459252 MPT524290:MPT524788 MPT589826:MPT590324 MPT655362:MPT655860 MPT720898:MPT721396 MPT786434:MPT786932 MPT851970:MPT852468 MPT917506:MPT918004 MPT983042:MPT983540 MZP2:MZP500 MZP65538:MZP66036 MZP131074:MZP131572 MZP196610:MZP197108 MZP262146:MZP262644 MZP327682:MZP328180 MZP393218:MZP393716 MZP458754:MZP459252 MZP524290:MZP524788 MZP589826:MZP590324 MZP655362:MZP655860 MZP720898:MZP721396 MZP786434:MZP786932 MZP851970:MZP852468 MZP917506:MZP918004 MZP983042:MZP983540 NJL2:NJL500 NJL65538:NJL66036 NJL131074:NJL131572 NJL196610:NJL197108 NJL262146:NJL262644 NJL327682:NJL328180 NJL393218:NJL393716 NJL458754:NJL459252 NJL524290:NJL524788 NJL589826:NJL590324 NJL655362:NJL655860 NJL720898:NJL721396 NJL786434:NJL786932 NJL851970:NJL852468 NJL917506:NJL918004 NJL983042:NJL983540 NTH2:NTH500 NTH65538:NTH66036 NTH131074:NTH131572 NTH196610:NTH197108 NTH262146:NTH262644 NTH327682:NTH328180 NTH393218:NTH393716 NTH458754:NTH459252 NTH524290:NTH524788 NTH589826:NTH590324 NTH655362:NTH655860 NTH720898:NTH721396 NTH786434:NTH786932 NTH851970:NTH852468 NTH917506:NTH918004 NTH983042:NTH983540 ODD2:ODD500 ODD65538:ODD66036 ODD131074:ODD131572 ODD196610:ODD197108 ODD262146:ODD262644 ODD327682:ODD328180 ODD393218:ODD393716 ODD458754:ODD459252 ODD524290:ODD524788 ODD589826:ODD590324 ODD655362:ODD655860 ODD720898:ODD721396 ODD786434:ODD786932 ODD851970:ODD852468 ODD917506:ODD918004 ODD983042:ODD983540 OMZ2:OMZ500 OMZ65538:OMZ66036 OMZ131074:OMZ131572 OMZ196610:OMZ197108 OMZ262146:OMZ262644 OMZ327682:OMZ328180 OMZ393218:OMZ393716 OMZ458754:OMZ459252 OMZ524290:OMZ524788 OMZ589826:OMZ590324 OMZ655362:OMZ655860 OMZ720898:OMZ721396 OMZ786434:OMZ786932 OMZ851970:OMZ852468 OMZ917506:OMZ918004 OMZ983042:OMZ983540 OWV2:OWV500 OWV65538:OWV66036 OWV131074:OWV131572 OWV196610:OWV197108 OWV262146:OWV262644 OWV327682:OWV328180 OWV393218:OWV393716 OWV458754:OWV459252 OWV524290:OWV524788 OWV589826:OWV590324 OWV655362:OWV655860 OWV720898:OWV721396 OWV786434:OWV786932 OWV851970:OWV852468 OWV917506:OWV918004 OWV983042:OWV983540 PGR2:PGR500 PGR65538:PGR66036 PGR131074:PGR131572 PGR196610:PGR197108 PGR262146:PGR262644 PGR327682:PGR328180 PGR393218:PGR393716 PGR458754:PGR459252 PGR524290:PGR524788 PGR589826:PGR590324 PGR655362:PGR655860 PGR720898:PGR721396 PGR786434:PGR786932 PGR851970:PGR852468 PGR917506:PGR918004 PGR983042:PGR983540 PQN2:PQN500 PQN65538:PQN66036 PQN131074:PQN131572 PQN196610:PQN197108 PQN262146:PQN262644 PQN327682:PQN328180 PQN393218:PQN393716 PQN458754:PQN459252 PQN524290:PQN524788 PQN589826:PQN590324 PQN655362:PQN655860 PQN720898:PQN721396 PQN786434:PQN786932 PQN851970:PQN852468 PQN917506:PQN918004 PQN983042:PQN983540 QAJ2:QAJ500 QAJ65538:QAJ66036 QAJ131074:QAJ131572 QAJ196610:QAJ197108 QAJ262146:QAJ262644 QAJ327682:QAJ328180 QAJ393218:QAJ393716 QAJ458754:QAJ459252 QAJ524290:QAJ524788 QAJ589826:QAJ590324 QAJ655362:QAJ655860 QAJ720898:QAJ721396 QAJ786434:QAJ786932 QAJ851970:QAJ852468 QAJ917506:QAJ918004 QAJ983042:QAJ983540 QKF2:QKF500 QKF65538:QKF66036 QKF131074:QKF131572 QKF196610:QKF197108 QKF262146:QKF262644 QKF327682:QKF328180 QKF393218:QKF393716 QKF458754:QKF459252 QKF524290:QKF524788 QKF589826:QKF590324 QKF655362:QKF655860 QKF720898:QKF721396 QKF786434:QKF786932 QKF851970:QKF852468 QKF917506:QKF918004 QKF983042:QKF983540 QUB2:QUB500 QUB65538:QUB66036 QUB131074:QUB131572 QUB196610:QUB197108 QUB262146:QUB262644 QUB327682:QUB328180 QUB393218:QUB393716 QUB458754:QUB459252 QUB524290:QUB524788 QUB589826:QUB590324 QUB655362:QUB655860 QUB720898:QUB721396 QUB786434:QUB786932 QUB851970:QUB852468 QUB917506:QUB918004 QUB983042:QUB983540 RDX2:RDX500 RDX65538:RDX66036 RDX131074:RDX131572 RDX196610:RDX197108 RDX262146:RDX262644 RDX327682:RDX328180 RDX393218:RDX393716 RDX458754:RDX459252 RDX524290:RDX524788 RDX589826:RDX590324 RDX655362:RDX655860 RDX720898:RDX721396 RDX786434:RDX786932 RDX851970:RDX852468 RDX917506:RDX918004 RDX983042:RDX983540 RNT2:RNT500 RNT65538:RNT66036 RNT131074:RNT131572 RNT196610:RNT197108 RNT262146:RNT262644 RNT327682:RNT328180 RNT393218:RNT393716 RNT458754:RNT459252 RNT524290:RNT524788 RNT589826:RNT590324 RNT655362:RNT655860 RNT720898:RNT721396 RNT786434:RNT786932 RNT851970:RNT852468 RNT917506:RNT918004 RNT983042:RNT983540 RXP2:RXP500 RXP65538:RXP66036 RXP131074:RXP131572 RXP196610:RXP197108 RXP262146:RXP262644 RXP327682:RXP328180 RXP393218:RXP393716 RXP458754:RXP459252 RXP524290:RXP524788 RXP589826:RXP590324 RXP655362:RXP655860 RXP720898:RXP721396 RXP786434:RXP786932 RXP851970:RXP852468 RXP917506:RXP918004 RXP983042:RXP983540 SHL2:SHL500 SHL65538:SHL66036 SHL131074:SHL131572 SHL196610:SHL197108 SHL262146:SHL262644 SHL327682:SHL328180 SHL393218:SHL393716 SHL458754:SHL459252 SHL524290:SHL524788 SHL589826:SHL590324 SHL655362:SHL655860 SHL720898:SHL721396 SHL786434:SHL786932 SHL851970:SHL852468 SHL917506:SHL918004 SHL983042:SHL983540 SRH2:SRH500 SRH65538:SRH66036 SRH131074:SRH131572 SRH196610:SRH197108 SRH262146:SRH262644 SRH327682:SRH328180 SRH393218:SRH393716 SRH458754:SRH459252 SRH524290:SRH524788 SRH589826:SRH590324 SRH655362:SRH655860 SRH720898:SRH721396 SRH786434:SRH786932 SRH851970:SRH852468 SRH917506:SRH918004 SRH983042:SRH983540 TBD2:TBD500 TBD65538:TBD66036 TBD131074:TBD131572 TBD196610:TBD197108 TBD262146:TBD262644 TBD327682:TBD328180 TBD393218:TBD393716 TBD458754:TBD459252 TBD524290:TBD524788 TBD589826:TBD590324 TBD655362:TBD655860 TBD720898:TBD721396 TBD786434:TBD786932 TBD851970:TBD852468 TBD917506:TBD918004 TBD983042:TBD983540 TKZ2:TKZ500 TKZ65538:TKZ66036 TKZ131074:TKZ131572 TKZ196610:TKZ197108 TKZ262146:TKZ262644 TKZ327682:TKZ328180 TKZ393218:TKZ393716 TKZ458754:TKZ459252 TKZ524290:TKZ524788 TKZ589826:TKZ590324 TKZ655362:TKZ655860 TKZ720898:TKZ721396 TKZ786434:TKZ786932 TKZ851970:TKZ852468 TKZ917506:TKZ918004 TKZ983042:TKZ983540 TUV2:TUV500 TUV65538:TUV66036 TUV131074:TUV131572 TUV196610:TUV197108 TUV262146:TUV262644 TUV327682:TUV328180 TUV393218:TUV393716 TUV458754:TUV459252 TUV524290:TUV524788 TUV589826:TUV590324 TUV655362:TUV655860 TUV720898:TUV721396 TUV786434:TUV786932 TUV851970:TUV852468 TUV917506:TUV918004 TUV983042:TUV983540 UER2:UER500 UER65538:UER66036 UER131074:UER131572 UER196610:UER197108 UER262146:UER262644 UER327682:UER328180 UER393218:UER393716 UER458754:UER459252 UER524290:UER524788 UER589826:UER590324 UER655362:UER655860 UER720898:UER721396 UER786434:UER786932 UER851970:UER852468 UER917506:UER918004 UER983042:UER983540 UON2:UON500 UON65538:UON66036 UON131074:UON131572 UON196610:UON197108 UON262146:UON262644 UON327682:UON328180 UON393218:UON393716 UON458754:UON459252 UON524290:UON524788 UON589826:UON590324 UON655362:UON655860 UON720898:UON721396 UON786434:UON786932 UON851970:UON852468 UON917506:UON918004 UON983042:UON983540 UYJ2:UYJ500 UYJ65538:UYJ66036 UYJ131074:UYJ131572 UYJ196610:UYJ197108 UYJ262146:UYJ262644 UYJ327682:UYJ328180 UYJ393218:UYJ393716 UYJ458754:UYJ459252 UYJ524290:UYJ524788 UYJ589826:UYJ590324 UYJ655362:UYJ655860 UYJ720898:UYJ721396 UYJ786434:UYJ786932 UYJ851970:UYJ852468 UYJ917506:UYJ918004 UYJ983042:UYJ983540 VIF2:VIF500 VIF65538:VIF66036 VIF131074:VIF131572 VIF196610:VIF197108 VIF262146:VIF262644 VIF327682:VIF328180 VIF393218:VIF393716 VIF458754:VIF459252 VIF524290:VIF524788 VIF589826:VIF590324 VIF655362:VIF655860 VIF720898:VIF721396 VIF786434:VIF786932 VIF851970:VIF852468 VIF917506:VIF918004 VIF983042:VIF983540 VSB2:VSB500 VSB65538:VSB66036 VSB131074:VSB131572 VSB196610:VSB197108 VSB262146:VSB262644 VSB327682:VSB328180 VSB393218:VSB393716 VSB458754:VSB459252 VSB524290:VSB524788 VSB589826:VSB590324 VSB655362:VSB655860 VSB720898:VSB721396 VSB786434:VSB786932 VSB851970:VSB852468 VSB917506:VSB918004 VSB983042:VSB983540 WBX2:WBX500 WBX65538:WBX66036 WBX131074:WBX131572 WBX196610:WBX197108 WBX262146:WBX262644 WBX327682:WBX328180 WBX393218:WBX393716 WBX458754:WBX459252 WBX524290:WBX524788 WBX589826:WBX590324 WBX655362:WBX655860 WBX720898:WBX721396 WBX786434:WBX786932 WBX851970:WBX852468 WBX917506:WBX918004 WBX983042:WBX983540 WLT2:WLT500 WLT65538:WLT66036 WLT131074:WLT131572 WLT196610:WLT197108 WLT262146:WLT262644 WLT327682:WLT328180 WLT393218:WLT393716 WLT458754:WLT459252 WLT524290:WLT524788 WLT589826:WLT590324 WLT655362:WLT655860 WLT720898:WLT721396 WLT786434:WLT786932 WLT851970:WLT852468 WLT917506:WLT918004 WLT983042:WLT983540 WVP2:WVP500 WVP65538:WVP66036 WVP131074:WVP131572 WVP196610:WVP197108 WVP262146:WVP262644 WVP327682:WVP328180 WVP393218:WVP393716 WVP458754:WVP459252 WVP524290:WVP524788 WVP589826:WVP590324 WVP655362:WVP655860 WVP720898:WVP721396 WVP786434:WVP786932 WVP851970:WVP852468 WVP917506:WVP918004 WVP983042:WVP983540" xr:uid="{C86FEFEC-AE24-4808-94E4-150A2010BA96}">
      <formula1>$AL$2:$AL$8</formula1>
    </dataValidation>
    <dataValidation type="list" allowBlank="1" showInputMessage="1" showErrorMessage="1" sqref="H64423:H64476 H129959:H130012 H195495:H195548 H261031:H261084 H326567:H326620 H392103:H392156 H457639:H457692 H523175:H523228 H588711:H588764 H654247:H654300 H719783:H719836 H785319:H785372 H850855:H850908 H916391:H916444 H981927:H981980 H1047463:H1047516 JD64423:JD64476 JD129959:JD130012 JD195495:JD195548 JD261031:JD261084 JD326567:JD326620 JD392103:JD392156 JD457639:JD457692 JD523175:JD523228 JD588711:JD588764 JD654247:JD654300 JD719783:JD719836 JD785319:JD785372 JD850855:JD850908 JD916391:JD916444 JD981927:JD981980 JD1047463:JD1047516 SZ64423:SZ64476 SZ129959:SZ130012 SZ195495:SZ195548 SZ261031:SZ261084 SZ326567:SZ326620 SZ392103:SZ392156 SZ457639:SZ457692 SZ523175:SZ523228 SZ588711:SZ588764 SZ654247:SZ654300 SZ719783:SZ719836 SZ785319:SZ785372 SZ850855:SZ850908 SZ916391:SZ916444 SZ981927:SZ981980 SZ1047463:SZ1047516 ACV64423:ACV64476 ACV129959:ACV130012 ACV195495:ACV195548 ACV261031:ACV261084 ACV326567:ACV326620 ACV392103:ACV392156 ACV457639:ACV457692 ACV523175:ACV523228 ACV588711:ACV588764 ACV654247:ACV654300 ACV719783:ACV719836 ACV785319:ACV785372 ACV850855:ACV850908 ACV916391:ACV916444 ACV981927:ACV981980 ACV1047463:ACV1047516 AMR64423:AMR64476 AMR129959:AMR130012 AMR195495:AMR195548 AMR261031:AMR261084 AMR326567:AMR326620 AMR392103:AMR392156 AMR457639:AMR457692 AMR523175:AMR523228 AMR588711:AMR588764 AMR654247:AMR654300 AMR719783:AMR719836 AMR785319:AMR785372 AMR850855:AMR850908 AMR916391:AMR916444 AMR981927:AMR981980 AMR1047463:AMR1047516 AWN64423:AWN64476 AWN129959:AWN130012 AWN195495:AWN195548 AWN261031:AWN261084 AWN326567:AWN326620 AWN392103:AWN392156 AWN457639:AWN457692 AWN523175:AWN523228 AWN588711:AWN588764 AWN654247:AWN654300 AWN719783:AWN719836 AWN785319:AWN785372 AWN850855:AWN850908 AWN916391:AWN916444 AWN981927:AWN981980 AWN1047463:AWN1047516 BGJ64423:BGJ64476 BGJ129959:BGJ130012 BGJ195495:BGJ195548 BGJ261031:BGJ261084 BGJ326567:BGJ326620 BGJ392103:BGJ392156 BGJ457639:BGJ457692 BGJ523175:BGJ523228 BGJ588711:BGJ588764 BGJ654247:BGJ654300 BGJ719783:BGJ719836 BGJ785319:BGJ785372 BGJ850855:BGJ850908 BGJ916391:BGJ916444 BGJ981927:BGJ981980 BGJ1047463:BGJ1047516 BQF64423:BQF64476 BQF129959:BQF130012 BQF195495:BQF195548 BQF261031:BQF261084 BQF326567:BQF326620 BQF392103:BQF392156 BQF457639:BQF457692 BQF523175:BQF523228 BQF588711:BQF588764 BQF654247:BQF654300 BQF719783:BQF719836 BQF785319:BQF785372 BQF850855:BQF850908 BQF916391:BQF916444 BQF981927:BQF981980 BQF1047463:BQF1047516 CAB64423:CAB64476 CAB129959:CAB130012 CAB195495:CAB195548 CAB261031:CAB261084 CAB326567:CAB326620 CAB392103:CAB392156 CAB457639:CAB457692 CAB523175:CAB523228 CAB588711:CAB588764 CAB654247:CAB654300 CAB719783:CAB719836 CAB785319:CAB785372 CAB850855:CAB850908 CAB916391:CAB916444 CAB981927:CAB981980 CAB1047463:CAB1047516 CJX64423:CJX64476 CJX129959:CJX130012 CJX195495:CJX195548 CJX261031:CJX261084 CJX326567:CJX326620 CJX392103:CJX392156 CJX457639:CJX457692 CJX523175:CJX523228 CJX588711:CJX588764 CJX654247:CJX654300 CJX719783:CJX719836 CJX785319:CJX785372 CJX850855:CJX850908 CJX916391:CJX916444 CJX981927:CJX981980 CJX1047463:CJX1047516 CTT64423:CTT64476 CTT129959:CTT130012 CTT195495:CTT195548 CTT261031:CTT261084 CTT326567:CTT326620 CTT392103:CTT392156 CTT457639:CTT457692 CTT523175:CTT523228 CTT588711:CTT588764 CTT654247:CTT654300 CTT719783:CTT719836 CTT785319:CTT785372 CTT850855:CTT850908 CTT916391:CTT916444 CTT981927:CTT981980 CTT1047463:CTT1047516 DDP64423:DDP64476 DDP129959:DDP130012 DDP195495:DDP195548 DDP261031:DDP261084 DDP326567:DDP326620 DDP392103:DDP392156 DDP457639:DDP457692 DDP523175:DDP523228 DDP588711:DDP588764 DDP654247:DDP654300 DDP719783:DDP719836 DDP785319:DDP785372 DDP850855:DDP850908 DDP916391:DDP916444 DDP981927:DDP981980 DDP1047463:DDP1047516 DNL64423:DNL64476 DNL129959:DNL130012 DNL195495:DNL195548 DNL261031:DNL261084 DNL326567:DNL326620 DNL392103:DNL392156 DNL457639:DNL457692 DNL523175:DNL523228 DNL588711:DNL588764 DNL654247:DNL654300 DNL719783:DNL719836 DNL785319:DNL785372 DNL850855:DNL850908 DNL916391:DNL916444 DNL981927:DNL981980 DNL1047463:DNL1047516 DXH64423:DXH64476 DXH129959:DXH130012 DXH195495:DXH195548 DXH261031:DXH261084 DXH326567:DXH326620 DXH392103:DXH392156 DXH457639:DXH457692 DXH523175:DXH523228 DXH588711:DXH588764 DXH654247:DXH654300 DXH719783:DXH719836 DXH785319:DXH785372 DXH850855:DXH850908 DXH916391:DXH916444 DXH981927:DXH981980 DXH1047463:DXH1047516 EHD64423:EHD64476 EHD129959:EHD130012 EHD195495:EHD195548 EHD261031:EHD261084 EHD326567:EHD326620 EHD392103:EHD392156 EHD457639:EHD457692 EHD523175:EHD523228 EHD588711:EHD588764 EHD654247:EHD654300 EHD719783:EHD719836 EHD785319:EHD785372 EHD850855:EHD850908 EHD916391:EHD916444 EHD981927:EHD981980 EHD1047463:EHD1047516 EQZ64423:EQZ64476 EQZ129959:EQZ130012 EQZ195495:EQZ195548 EQZ261031:EQZ261084 EQZ326567:EQZ326620 EQZ392103:EQZ392156 EQZ457639:EQZ457692 EQZ523175:EQZ523228 EQZ588711:EQZ588764 EQZ654247:EQZ654300 EQZ719783:EQZ719836 EQZ785319:EQZ785372 EQZ850855:EQZ850908 EQZ916391:EQZ916444 EQZ981927:EQZ981980 EQZ1047463:EQZ1047516 FAV64423:FAV64476 FAV129959:FAV130012 FAV195495:FAV195548 FAV261031:FAV261084 FAV326567:FAV326620 FAV392103:FAV392156 FAV457639:FAV457692 FAV523175:FAV523228 FAV588711:FAV588764 FAV654247:FAV654300 FAV719783:FAV719836 FAV785319:FAV785372 FAV850855:FAV850908 FAV916391:FAV916444 FAV981927:FAV981980 FAV1047463:FAV1047516 FKR64423:FKR64476 FKR129959:FKR130012 FKR195495:FKR195548 FKR261031:FKR261084 FKR326567:FKR326620 FKR392103:FKR392156 FKR457639:FKR457692 FKR523175:FKR523228 FKR588711:FKR588764 FKR654247:FKR654300 FKR719783:FKR719836 FKR785319:FKR785372 FKR850855:FKR850908 FKR916391:FKR916444 FKR981927:FKR981980 FKR1047463:FKR1047516 FUN64423:FUN64476 FUN129959:FUN130012 FUN195495:FUN195548 FUN261031:FUN261084 FUN326567:FUN326620 FUN392103:FUN392156 FUN457639:FUN457692 FUN523175:FUN523228 FUN588711:FUN588764 FUN654247:FUN654300 FUN719783:FUN719836 FUN785319:FUN785372 FUN850855:FUN850908 FUN916391:FUN916444 FUN981927:FUN981980 FUN1047463:FUN1047516 GEJ64423:GEJ64476 GEJ129959:GEJ130012 GEJ195495:GEJ195548 GEJ261031:GEJ261084 GEJ326567:GEJ326620 GEJ392103:GEJ392156 GEJ457639:GEJ457692 GEJ523175:GEJ523228 GEJ588711:GEJ588764 GEJ654247:GEJ654300 GEJ719783:GEJ719836 GEJ785319:GEJ785372 GEJ850855:GEJ850908 GEJ916391:GEJ916444 GEJ981927:GEJ981980 GEJ1047463:GEJ1047516 GOF64423:GOF64476 GOF129959:GOF130012 GOF195495:GOF195548 GOF261031:GOF261084 GOF326567:GOF326620 GOF392103:GOF392156 GOF457639:GOF457692 GOF523175:GOF523228 GOF588711:GOF588764 GOF654247:GOF654300 GOF719783:GOF719836 GOF785319:GOF785372 GOF850855:GOF850908 GOF916391:GOF916444 GOF981927:GOF981980 GOF1047463:GOF1047516 GYB64423:GYB64476 GYB129959:GYB130012 GYB195495:GYB195548 GYB261031:GYB261084 GYB326567:GYB326620 GYB392103:GYB392156 GYB457639:GYB457692 GYB523175:GYB523228 GYB588711:GYB588764 GYB654247:GYB654300 GYB719783:GYB719836 GYB785319:GYB785372 GYB850855:GYB850908 GYB916391:GYB916444 GYB981927:GYB981980 GYB1047463:GYB1047516 HHX64423:HHX64476 HHX129959:HHX130012 HHX195495:HHX195548 HHX261031:HHX261084 HHX326567:HHX326620 HHX392103:HHX392156 HHX457639:HHX457692 HHX523175:HHX523228 HHX588711:HHX588764 HHX654247:HHX654300 HHX719783:HHX719836 HHX785319:HHX785372 HHX850855:HHX850908 HHX916391:HHX916444 HHX981927:HHX981980 HHX1047463:HHX1047516 HRT64423:HRT64476 HRT129959:HRT130012 HRT195495:HRT195548 HRT261031:HRT261084 HRT326567:HRT326620 HRT392103:HRT392156 HRT457639:HRT457692 HRT523175:HRT523228 HRT588711:HRT588764 HRT654247:HRT654300 HRT719783:HRT719836 HRT785319:HRT785372 HRT850855:HRT850908 HRT916391:HRT916444 HRT981927:HRT981980 HRT1047463:HRT1047516 IBP64423:IBP64476 IBP129959:IBP130012 IBP195495:IBP195548 IBP261031:IBP261084 IBP326567:IBP326620 IBP392103:IBP392156 IBP457639:IBP457692 IBP523175:IBP523228 IBP588711:IBP588764 IBP654247:IBP654300 IBP719783:IBP719836 IBP785319:IBP785372 IBP850855:IBP850908 IBP916391:IBP916444 IBP981927:IBP981980 IBP1047463:IBP1047516 ILL64423:ILL64476 ILL129959:ILL130012 ILL195495:ILL195548 ILL261031:ILL261084 ILL326567:ILL326620 ILL392103:ILL392156 ILL457639:ILL457692 ILL523175:ILL523228 ILL588711:ILL588764 ILL654247:ILL654300 ILL719783:ILL719836 ILL785319:ILL785372 ILL850855:ILL850908 ILL916391:ILL916444 ILL981927:ILL981980 ILL1047463:ILL1047516 IVH64423:IVH64476 IVH129959:IVH130012 IVH195495:IVH195548 IVH261031:IVH261084 IVH326567:IVH326620 IVH392103:IVH392156 IVH457639:IVH457692 IVH523175:IVH523228 IVH588711:IVH588764 IVH654247:IVH654300 IVH719783:IVH719836 IVH785319:IVH785372 IVH850855:IVH850908 IVH916391:IVH916444 IVH981927:IVH981980 IVH1047463:IVH1047516 JFD64423:JFD64476 JFD129959:JFD130012 JFD195495:JFD195548 JFD261031:JFD261084 JFD326567:JFD326620 JFD392103:JFD392156 JFD457639:JFD457692 JFD523175:JFD523228 JFD588711:JFD588764 JFD654247:JFD654300 JFD719783:JFD719836 JFD785319:JFD785372 JFD850855:JFD850908 JFD916391:JFD916444 JFD981927:JFD981980 JFD1047463:JFD1047516 JOZ64423:JOZ64476 JOZ129959:JOZ130012 JOZ195495:JOZ195548 JOZ261031:JOZ261084 JOZ326567:JOZ326620 JOZ392103:JOZ392156 JOZ457639:JOZ457692 JOZ523175:JOZ523228 JOZ588711:JOZ588764 JOZ654247:JOZ654300 JOZ719783:JOZ719836 JOZ785319:JOZ785372 JOZ850855:JOZ850908 JOZ916391:JOZ916444 JOZ981927:JOZ981980 JOZ1047463:JOZ1047516 JYV64423:JYV64476 JYV129959:JYV130012 JYV195495:JYV195548 JYV261031:JYV261084 JYV326567:JYV326620 JYV392103:JYV392156 JYV457639:JYV457692 JYV523175:JYV523228 JYV588711:JYV588764 JYV654247:JYV654300 JYV719783:JYV719836 JYV785319:JYV785372 JYV850855:JYV850908 JYV916391:JYV916444 JYV981927:JYV981980 JYV1047463:JYV1047516 KIR64423:KIR64476 KIR129959:KIR130012 KIR195495:KIR195548 KIR261031:KIR261084 KIR326567:KIR326620 KIR392103:KIR392156 KIR457639:KIR457692 KIR523175:KIR523228 KIR588711:KIR588764 KIR654247:KIR654300 KIR719783:KIR719836 KIR785319:KIR785372 KIR850855:KIR850908 KIR916391:KIR916444 KIR981927:KIR981980 KIR1047463:KIR1047516 KSN64423:KSN64476 KSN129959:KSN130012 KSN195495:KSN195548 KSN261031:KSN261084 KSN326567:KSN326620 KSN392103:KSN392156 KSN457639:KSN457692 KSN523175:KSN523228 KSN588711:KSN588764 KSN654247:KSN654300 KSN719783:KSN719836 KSN785319:KSN785372 KSN850855:KSN850908 KSN916391:KSN916444 KSN981927:KSN981980 KSN1047463:KSN1047516 LCJ64423:LCJ64476 LCJ129959:LCJ130012 LCJ195495:LCJ195548 LCJ261031:LCJ261084 LCJ326567:LCJ326620 LCJ392103:LCJ392156 LCJ457639:LCJ457692 LCJ523175:LCJ523228 LCJ588711:LCJ588764 LCJ654247:LCJ654300 LCJ719783:LCJ719836 LCJ785319:LCJ785372 LCJ850855:LCJ850908 LCJ916391:LCJ916444 LCJ981927:LCJ981980 LCJ1047463:LCJ1047516 LMF64423:LMF64476 LMF129959:LMF130012 LMF195495:LMF195548 LMF261031:LMF261084 LMF326567:LMF326620 LMF392103:LMF392156 LMF457639:LMF457692 LMF523175:LMF523228 LMF588711:LMF588764 LMF654247:LMF654300 LMF719783:LMF719836 LMF785319:LMF785372 LMF850855:LMF850908 LMF916391:LMF916444 LMF981927:LMF981980 LMF1047463:LMF1047516 LWB64423:LWB64476 LWB129959:LWB130012 LWB195495:LWB195548 LWB261031:LWB261084 LWB326567:LWB326620 LWB392103:LWB392156 LWB457639:LWB457692 LWB523175:LWB523228 LWB588711:LWB588764 LWB654247:LWB654300 LWB719783:LWB719836 LWB785319:LWB785372 LWB850855:LWB850908 LWB916391:LWB916444 LWB981927:LWB981980 LWB1047463:LWB1047516 MFX64423:MFX64476 MFX129959:MFX130012 MFX195495:MFX195548 MFX261031:MFX261084 MFX326567:MFX326620 MFX392103:MFX392156 MFX457639:MFX457692 MFX523175:MFX523228 MFX588711:MFX588764 MFX654247:MFX654300 MFX719783:MFX719836 MFX785319:MFX785372 MFX850855:MFX850908 MFX916391:MFX916444 MFX981927:MFX981980 MFX1047463:MFX1047516 MPT64423:MPT64476 MPT129959:MPT130012 MPT195495:MPT195548 MPT261031:MPT261084 MPT326567:MPT326620 MPT392103:MPT392156 MPT457639:MPT457692 MPT523175:MPT523228 MPT588711:MPT588764 MPT654247:MPT654300 MPT719783:MPT719836 MPT785319:MPT785372 MPT850855:MPT850908 MPT916391:MPT916444 MPT981927:MPT981980 MPT1047463:MPT1047516 MZP64423:MZP64476 MZP129959:MZP130012 MZP195495:MZP195548 MZP261031:MZP261084 MZP326567:MZP326620 MZP392103:MZP392156 MZP457639:MZP457692 MZP523175:MZP523228 MZP588711:MZP588764 MZP654247:MZP654300 MZP719783:MZP719836 MZP785319:MZP785372 MZP850855:MZP850908 MZP916391:MZP916444 MZP981927:MZP981980 MZP1047463:MZP1047516 NJL64423:NJL64476 NJL129959:NJL130012 NJL195495:NJL195548 NJL261031:NJL261084 NJL326567:NJL326620 NJL392103:NJL392156 NJL457639:NJL457692 NJL523175:NJL523228 NJL588711:NJL588764 NJL654247:NJL654300 NJL719783:NJL719836 NJL785319:NJL785372 NJL850855:NJL850908 NJL916391:NJL916444 NJL981927:NJL981980 NJL1047463:NJL1047516 NTH64423:NTH64476 NTH129959:NTH130012 NTH195495:NTH195548 NTH261031:NTH261084 NTH326567:NTH326620 NTH392103:NTH392156 NTH457639:NTH457692 NTH523175:NTH523228 NTH588711:NTH588764 NTH654247:NTH654300 NTH719783:NTH719836 NTH785319:NTH785372 NTH850855:NTH850908 NTH916391:NTH916444 NTH981927:NTH981980 NTH1047463:NTH1047516 ODD64423:ODD64476 ODD129959:ODD130012 ODD195495:ODD195548 ODD261031:ODD261084 ODD326567:ODD326620 ODD392103:ODD392156 ODD457639:ODD457692 ODD523175:ODD523228 ODD588711:ODD588764 ODD654247:ODD654300 ODD719783:ODD719836 ODD785319:ODD785372 ODD850855:ODD850908 ODD916391:ODD916444 ODD981927:ODD981980 ODD1047463:ODD1047516 OMZ64423:OMZ64476 OMZ129959:OMZ130012 OMZ195495:OMZ195548 OMZ261031:OMZ261084 OMZ326567:OMZ326620 OMZ392103:OMZ392156 OMZ457639:OMZ457692 OMZ523175:OMZ523228 OMZ588711:OMZ588764 OMZ654247:OMZ654300 OMZ719783:OMZ719836 OMZ785319:OMZ785372 OMZ850855:OMZ850908 OMZ916391:OMZ916444 OMZ981927:OMZ981980 OMZ1047463:OMZ1047516 OWV64423:OWV64476 OWV129959:OWV130012 OWV195495:OWV195548 OWV261031:OWV261084 OWV326567:OWV326620 OWV392103:OWV392156 OWV457639:OWV457692 OWV523175:OWV523228 OWV588711:OWV588764 OWV654247:OWV654300 OWV719783:OWV719836 OWV785319:OWV785372 OWV850855:OWV850908 OWV916391:OWV916444 OWV981927:OWV981980 OWV1047463:OWV1047516 PGR64423:PGR64476 PGR129959:PGR130012 PGR195495:PGR195548 PGR261031:PGR261084 PGR326567:PGR326620 PGR392103:PGR392156 PGR457639:PGR457692 PGR523175:PGR523228 PGR588711:PGR588764 PGR654247:PGR654300 PGR719783:PGR719836 PGR785319:PGR785372 PGR850855:PGR850908 PGR916391:PGR916444 PGR981927:PGR981980 PGR1047463:PGR1047516 PQN64423:PQN64476 PQN129959:PQN130012 PQN195495:PQN195548 PQN261031:PQN261084 PQN326567:PQN326620 PQN392103:PQN392156 PQN457639:PQN457692 PQN523175:PQN523228 PQN588711:PQN588764 PQN654247:PQN654300 PQN719783:PQN719836 PQN785319:PQN785372 PQN850855:PQN850908 PQN916391:PQN916444 PQN981927:PQN981980 PQN1047463:PQN1047516 QAJ64423:QAJ64476 QAJ129959:QAJ130012 QAJ195495:QAJ195548 QAJ261031:QAJ261084 QAJ326567:QAJ326620 QAJ392103:QAJ392156 QAJ457639:QAJ457692 QAJ523175:QAJ523228 QAJ588711:QAJ588764 QAJ654247:QAJ654300 QAJ719783:QAJ719836 QAJ785319:QAJ785372 QAJ850855:QAJ850908 QAJ916391:QAJ916444 QAJ981927:QAJ981980 QAJ1047463:QAJ1047516 QKF64423:QKF64476 QKF129959:QKF130012 QKF195495:QKF195548 QKF261031:QKF261084 QKF326567:QKF326620 QKF392103:QKF392156 QKF457639:QKF457692 QKF523175:QKF523228 QKF588711:QKF588764 QKF654247:QKF654300 QKF719783:QKF719836 QKF785319:QKF785372 QKF850855:QKF850908 QKF916391:QKF916444 QKF981927:QKF981980 QKF1047463:QKF1047516 QUB64423:QUB64476 QUB129959:QUB130012 QUB195495:QUB195548 QUB261031:QUB261084 QUB326567:QUB326620 QUB392103:QUB392156 QUB457639:QUB457692 QUB523175:QUB523228 QUB588711:QUB588764 QUB654247:QUB654300 QUB719783:QUB719836 QUB785319:QUB785372 QUB850855:QUB850908 QUB916391:QUB916444 QUB981927:QUB981980 QUB1047463:QUB1047516 RDX64423:RDX64476 RDX129959:RDX130012 RDX195495:RDX195548 RDX261031:RDX261084 RDX326567:RDX326620 RDX392103:RDX392156 RDX457639:RDX457692 RDX523175:RDX523228 RDX588711:RDX588764 RDX654247:RDX654300 RDX719783:RDX719836 RDX785319:RDX785372 RDX850855:RDX850908 RDX916391:RDX916444 RDX981927:RDX981980 RDX1047463:RDX1047516 RNT64423:RNT64476 RNT129959:RNT130012 RNT195495:RNT195548 RNT261031:RNT261084 RNT326567:RNT326620 RNT392103:RNT392156 RNT457639:RNT457692 RNT523175:RNT523228 RNT588711:RNT588764 RNT654247:RNT654300 RNT719783:RNT719836 RNT785319:RNT785372 RNT850855:RNT850908 RNT916391:RNT916444 RNT981927:RNT981980 RNT1047463:RNT1047516 RXP64423:RXP64476 RXP129959:RXP130012 RXP195495:RXP195548 RXP261031:RXP261084 RXP326567:RXP326620 RXP392103:RXP392156 RXP457639:RXP457692 RXP523175:RXP523228 RXP588711:RXP588764 RXP654247:RXP654300 RXP719783:RXP719836 RXP785319:RXP785372 RXP850855:RXP850908 RXP916391:RXP916444 RXP981927:RXP981980 RXP1047463:RXP1047516 SHL64423:SHL64476 SHL129959:SHL130012 SHL195495:SHL195548 SHL261031:SHL261084 SHL326567:SHL326620 SHL392103:SHL392156 SHL457639:SHL457692 SHL523175:SHL523228 SHL588711:SHL588764 SHL654247:SHL654300 SHL719783:SHL719836 SHL785319:SHL785372 SHL850855:SHL850908 SHL916391:SHL916444 SHL981927:SHL981980 SHL1047463:SHL1047516 SRH64423:SRH64476 SRH129959:SRH130012 SRH195495:SRH195548 SRH261031:SRH261084 SRH326567:SRH326620 SRH392103:SRH392156 SRH457639:SRH457692 SRH523175:SRH523228 SRH588711:SRH588764 SRH654247:SRH654300 SRH719783:SRH719836 SRH785319:SRH785372 SRH850855:SRH850908 SRH916391:SRH916444 SRH981927:SRH981980 SRH1047463:SRH1047516 TBD64423:TBD64476 TBD129959:TBD130012 TBD195495:TBD195548 TBD261031:TBD261084 TBD326567:TBD326620 TBD392103:TBD392156 TBD457639:TBD457692 TBD523175:TBD523228 TBD588711:TBD588764 TBD654247:TBD654300 TBD719783:TBD719836 TBD785319:TBD785372 TBD850855:TBD850908 TBD916391:TBD916444 TBD981927:TBD981980 TBD1047463:TBD1047516 TKZ64423:TKZ64476 TKZ129959:TKZ130012 TKZ195495:TKZ195548 TKZ261031:TKZ261084 TKZ326567:TKZ326620 TKZ392103:TKZ392156 TKZ457639:TKZ457692 TKZ523175:TKZ523228 TKZ588711:TKZ588764 TKZ654247:TKZ654300 TKZ719783:TKZ719836 TKZ785319:TKZ785372 TKZ850855:TKZ850908 TKZ916391:TKZ916444 TKZ981927:TKZ981980 TKZ1047463:TKZ1047516 TUV64423:TUV64476 TUV129959:TUV130012 TUV195495:TUV195548 TUV261031:TUV261084 TUV326567:TUV326620 TUV392103:TUV392156 TUV457639:TUV457692 TUV523175:TUV523228 TUV588711:TUV588764 TUV654247:TUV654300 TUV719783:TUV719836 TUV785319:TUV785372 TUV850855:TUV850908 TUV916391:TUV916444 TUV981927:TUV981980 TUV1047463:TUV1047516 UER64423:UER64476 UER129959:UER130012 UER195495:UER195548 UER261031:UER261084 UER326567:UER326620 UER392103:UER392156 UER457639:UER457692 UER523175:UER523228 UER588711:UER588764 UER654247:UER654300 UER719783:UER719836 UER785319:UER785372 UER850855:UER850908 UER916391:UER916444 UER981927:UER981980 UER1047463:UER1047516 UON64423:UON64476 UON129959:UON130012 UON195495:UON195548 UON261031:UON261084 UON326567:UON326620 UON392103:UON392156 UON457639:UON457692 UON523175:UON523228 UON588711:UON588764 UON654247:UON654300 UON719783:UON719836 UON785319:UON785372 UON850855:UON850908 UON916391:UON916444 UON981927:UON981980 UON1047463:UON1047516 UYJ64423:UYJ64476 UYJ129959:UYJ130012 UYJ195495:UYJ195548 UYJ261031:UYJ261084 UYJ326567:UYJ326620 UYJ392103:UYJ392156 UYJ457639:UYJ457692 UYJ523175:UYJ523228 UYJ588711:UYJ588764 UYJ654247:UYJ654300 UYJ719783:UYJ719836 UYJ785319:UYJ785372 UYJ850855:UYJ850908 UYJ916391:UYJ916444 UYJ981927:UYJ981980 UYJ1047463:UYJ1047516 VIF64423:VIF64476 VIF129959:VIF130012 VIF195495:VIF195548 VIF261031:VIF261084 VIF326567:VIF326620 VIF392103:VIF392156 VIF457639:VIF457692 VIF523175:VIF523228 VIF588711:VIF588764 VIF654247:VIF654300 VIF719783:VIF719836 VIF785319:VIF785372 VIF850855:VIF850908 VIF916391:VIF916444 VIF981927:VIF981980 VIF1047463:VIF1047516 VSB64423:VSB64476 VSB129959:VSB130012 VSB195495:VSB195548 VSB261031:VSB261084 VSB326567:VSB326620 VSB392103:VSB392156 VSB457639:VSB457692 VSB523175:VSB523228 VSB588711:VSB588764 VSB654247:VSB654300 VSB719783:VSB719836 VSB785319:VSB785372 VSB850855:VSB850908 VSB916391:VSB916444 VSB981927:VSB981980 VSB1047463:VSB1047516 WBX64423:WBX64476 WBX129959:WBX130012 WBX195495:WBX195548 WBX261031:WBX261084 WBX326567:WBX326620 WBX392103:WBX392156 WBX457639:WBX457692 WBX523175:WBX523228 WBX588711:WBX588764 WBX654247:WBX654300 WBX719783:WBX719836 WBX785319:WBX785372 WBX850855:WBX850908 WBX916391:WBX916444 WBX981927:WBX981980 WBX1047463:WBX1047516 WLT64423:WLT64476 WLT129959:WLT130012 WLT195495:WLT195548 WLT261031:WLT261084 WLT326567:WLT326620 WLT392103:WLT392156 WLT457639:WLT457692 WLT523175:WLT523228 WLT588711:WLT588764 WLT654247:WLT654300 WLT719783:WLT719836 WLT785319:WLT785372 WLT850855:WLT850908 WLT916391:WLT916444 WLT981927:WLT981980 WLT1047463:WLT1047516 WVP64423:WVP64476 WVP129959:WVP130012 WVP195495:WVP195548 WVP261031:WVP261084 WVP326567:WVP326620 WVP392103:WVP392156 WVP457639:WVP457692 WVP523175:WVP523228 WVP588711:WVP588764 WVP654247:WVP654300 WVP719783:WVP719836 WVP785319:WVP785372 WVP850855:WVP850908 WVP916391:WVP916444 WVP981927:WVP981980 WVP1047463:WVP1047516" xr:uid="{02DF17B8-E2B0-4911-A474-01C1CBD9E188}">
      <formula1>$AL$5:$AL$12</formula1>
    </dataValidation>
    <dataValidation allowBlank="1" showInputMessage="1" showErrorMessage="1" sqref="B64423:B64476 B129959:B130012 B195495:B195548 B261031:B261084 B326567:B326620 B392103:B392156 B457639:B457692 B523175:B523228 B588711:B588764 B654247:B654300 B719783:B719836 B785319:B785372 B850855:B850908 B916391:B916444 B981927:B981980 B1047463:B1047516 IX64423:IX64476 IX129959:IX130012 IX195495:IX195548 IX261031:IX261084 IX326567:IX326620 IX392103:IX392156 IX457639:IX457692 IX523175:IX523228 IX588711:IX588764 IX654247:IX654300 IX719783:IX719836 IX785319:IX785372 IX850855:IX850908 IX916391:IX916444 IX981927:IX981980 IX1047463:IX1047516 ST64423:ST64476 ST129959:ST130012 ST195495:ST195548 ST261031:ST261084 ST326567:ST326620 ST392103:ST392156 ST457639:ST457692 ST523175:ST523228 ST588711:ST588764 ST654247:ST654300 ST719783:ST719836 ST785319:ST785372 ST850855:ST850908 ST916391:ST916444 ST981927:ST981980 ST1047463:ST1047516 ACP64423:ACP64476 ACP129959:ACP130012 ACP195495:ACP195548 ACP261031:ACP261084 ACP326567:ACP326620 ACP392103:ACP392156 ACP457639:ACP457692 ACP523175:ACP523228 ACP588711:ACP588764 ACP654247:ACP654300 ACP719783:ACP719836 ACP785319:ACP785372 ACP850855:ACP850908 ACP916391:ACP916444 ACP981927:ACP981980 ACP1047463:ACP1047516 AML64423:AML64476 AML129959:AML130012 AML195495:AML195548 AML261031:AML261084 AML326567:AML326620 AML392103:AML392156 AML457639:AML457692 AML523175:AML523228 AML588711:AML588764 AML654247:AML654300 AML719783:AML719836 AML785319:AML785372 AML850855:AML850908 AML916391:AML916444 AML981927:AML981980 AML1047463:AML1047516 AWH64423:AWH64476 AWH129959:AWH130012 AWH195495:AWH195548 AWH261031:AWH261084 AWH326567:AWH326620 AWH392103:AWH392156 AWH457639:AWH457692 AWH523175:AWH523228 AWH588711:AWH588764 AWH654247:AWH654300 AWH719783:AWH719836 AWH785319:AWH785372 AWH850855:AWH850908 AWH916391:AWH916444 AWH981927:AWH981980 AWH1047463:AWH1047516 BGD64423:BGD64476 BGD129959:BGD130012 BGD195495:BGD195548 BGD261031:BGD261084 BGD326567:BGD326620 BGD392103:BGD392156 BGD457639:BGD457692 BGD523175:BGD523228 BGD588711:BGD588764 BGD654247:BGD654300 BGD719783:BGD719836 BGD785319:BGD785372 BGD850855:BGD850908 BGD916391:BGD916444 BGD981927:BGD981980 BGD1047463:BGD1047516 BPZ64423:BPZ64476 BPZ129959:BPZ130012 BPZ195495:BPZ195548 BPZ261031:BPZ261084 BPZ326567:BPZ326620 BPZ392103:BPZ392156 BPZ457639:BPZ457692 BPZ523175:BPZ523228 BPZ588711:BPZ588764 BPZ654247:BPZ654300 BPZ719783:BPZ719836 BPZ785319:BPZ785372 BPZ850855:BPZ850908 BPZ916391:BPZ916444 BPZ981927:BPZ981980 BPZ1047463:BPZ1047516 BZV64423:BZV64476 BZV129959:BZV130012 BZV195495:BZV195548 BZV261031:BZV261084 BZV326567:BZV326620 BZV392103:BZV392156 BZV457639:BZV457692 BZV523175:BZV523228 BZV588711:BZV588764 BZV654247:BZV654300 BZV719783:BZV719836 BZV785319:BZV785372 BZV850855:BZV850908 BZV916391:BZV916444 BZV981927:BZV981980 BZV1047463:BZV1047516 CJR64423:CJR64476 CJR129959:CJR130012 CJR195495:CJR195548 CJR261031:CJR261084 CJR326567:CJR326620 CJR392103:CJR392156 CJR457639:CJR457692 CJR523175:CJR523228 CJR588711:CJR588764 CJR654247:CJR654300 CJR719783:CJR719836 CJR785319:CJR785372 CJR850855:CJR850908 CJR916391:CJR916444 CJR981927:CJR981980 CJR1047463:CJR1047516 CTN64423:CTN64476 CTN129959:CTN130012 CTN195495:CTN195548 CTN261031:CTN261084 CTN326567:CTN326620 CTN392103:CTN392156 CTN457639:CTN457692 CTN523175:CTN523228 CTN588711:CTN588764 CTN654247:CTN654300 CTN719783:CTN719836 CTN785319:CTN785372 CTN850855:CTN850908 CTN916391:CTN916444 CTN981927:CTN981980 CTN1047463:CTN1047516 DDJ64423:DDJ64476 DDJ129959:DDJ130012 DDJ195495:DDJ195548 DDJ261031:DDJ261084 DDJ326567:DDJ326620 DDJ392103:DDJ392156 DDJ457639:DDJ457692 DDJ523175:DDJ523228 DDJ588711:DDJ588764 DDJ654247:DDJ654300 DDJ719783:DDJ719836 DDJ785319:DDJ785372 DDJ850855:DDJ850908 DDJ916391:DDJ916444 DDJ981927:DDJ981980 DDJ1047463:DDJ1047516 DNF64423:DNF64476 DNF129959:DNF130012 DNF195495:DNF195548 DNF261031:DNF261084 DNF326567:DNF326620 DNF392103:DNF392156 DNF457639:DNF457692 DNF523175:DNF523228 DNF588711:DNF588764 DNF654247:DNF654300 DNF719783:DNF719836 DNF785319:DNF785372 DNF850855:DNF850908 DNF916391:DNF916444 DNF981927:DNF981980 DNF1047463:DNF1047516 DXB64423:DXB64476 DXB129959:DXB130012 DXB195495:DXB195548 DXB261031:DXB261084 DXB326567:DXB326620 DXB392103:DXB392156 DXB457639:DXB457692 DXB523175:DXB523228 DXB588711:DXB588764 DXB654247:DXB654300 DXB719783:DXB719836 DXB785319:DXB785372 DXB850855:DXB850908 DXB916391:DXB916444 DXB981927:DXB981980 DXB1047463:DXB1047516 EGX64423:EGX64476 EGX129959:EGX130012 EGX195495:EGX195548 EGX261031:EGX261084 EGX326567:EGX326620 EGX392103:EGX392156 EGX457639:EGX457692 EGX523175:EGX523228 EGX588711:EGX588764 EGX654247:EGX654300 EGX719783:EGX719836 EGX785319:EGX785372 EGX850855:EGX850908 EGX916391:EGX916444 EGX981927:EGX981980 EGX1047463:EGX1047516 EQT64423:EQT64476 EQT129959:EQT130012 EQT195495:EQT195548 EQT261031:EQT261084 EQT326567:EQT326620 EQT392103:EQT392156 EQT457639:EQT457692 EQT523175:EQT523228 EQT588711:EQT588764 EQT654247:EQT654300 EQT719783:EQT719836 EQT785319:EQT785372 EQT850855:EQT850908 EQT916391:EQT916444 EQT981927:EQT981980 EQT1047463:EQT1047516 FAP64423:FAP64476 FAP129959:FAP130012 FAP195495:FAP195548 FAP261031:FAP261084 FAP326567:FAP326620 FAP392103:FAP392156 FAP457639:FAP457692 FAP523175:FAP523228 FAP588711:FAP588764 FAP654247:FAP654300 FAP719783:FAP719836 FAP785319:FAP785372 FAP850855:FAP850908 FAP916391:FAP916444 FAP981927:FAP981980 FAP1047463:FAP1047516 FKL64423:FKL64476 FKL129959:FKL130012 FKL195495:FKL195548 FKL261031:FKL261084 FKL326567:FKL326620 FKL392103:FKL392156 FKL457639:FKL457692 FKL523175:FKL523228 FKL588711:FKL588764 FKL654247:FKL654300 FKL719783:FKL719836 FKL785319:FKL785372 FKL850855:FKL850908 FKL916391:FKL916444 FKL981927:FKL981980 FKL1047463:FKL1047516 FUH64423:FUH64476 FUH129959:FUH130012 FUH195495:FUH195548 FUH261031:FUH261084 FUH326567:FUH326620 FUH392103:FUH392156 FUH457639:FUH457692 FUH523175:FUH523228 FUH588711:FUH588764 FUH654247:FUH654300 FUH719783:FUH719836 FUH785319:FUH785372 FUH850855:FUH850908 FUH916391:FUH916444 FUH981927:FUH981980 FUH1047463:FUH1047516 GED64423:GED64476 GED129959:GED130012 GED195495:GED195548 GED261031:GED261084 GED326567:GED326620 GED392103:GED392156 GED457639:GED457692 GED523175:GED523228 GED588711:GED588764 GED654247:GED654300 GED719783:GED719836 GED785319:GED785372 GED850855:GED850908 GED916391:GED916444 GED981927:GED981980 GED1047463:GED1047516 GNZ64423:GNZ64476 GNZ129959:GNZ130012 GNZ195495:GNZ195548 GNZ261031:GNZ261084 GNZ326567:GNZ326620 GNZ392103:GNZ392156 GNZ457639:GNZ457692 GNZ523175:GNZ523228 GNZ588711:GNZ588764 GNZ654247:GNZ654300 GNZ719783:GNZ719836 GNZ785319:GNZ785372 GNZ850855:GNZ850908 GNZ916391:GNZ916444 GNZ981927:GNZ981980 GNZ1047463:GNZ1047516 GXV64423:GXV64476 GXV129959:GXV130012 GXV195495:GXV195548 GXV261031:GXV261084 GXV326567:GXV326620 GXV392103:GXV392156 GXV457639:GXV457692 GXV523175:GXV523228 GXV588711:GXV588764 GXV654247:GXV654300 GXV719783:GXV719836 GXV785319:GXV785372 GXV850855:GXV850908 GXV916391:GXV916444 GXV981927:GXV981980 GXV1047463:GXV1047516 HHR64423:HHR64476 HHR129959:HHR130012 HHR195495:HHR195548 HHR261031:HHR261084 HHR326567:HHR326620 HHR392103:HHR392156 HHR457639:HHR457692 HHR523175:HHR523228 HHR588711:HHR588764 HHR654247:HHR654300 HHR719783:HHR719836 HHR785319:HHR785372 HHR850855:HHR850908 HHR916391:HHR916444 HHR981927:HHR981980 HHR1047463:HHR1047516 HRN64423:HRN64476 HRN129959:HRN130012 HRN195495:HRN195548 HRN261031:HRN261084 HRN326567:HRN326620 HRN392103:HRN392156 HRN457639:HRN457692 HRN523175:HRN523228 HRN588711:HRN588764 HRN654247:HRN654300 HRN719783:HRN719836 HRN785319:HRN785372 HRN850855:HRN850908 HRN916391:HRN916444 HRN981927:HRN981980 HRN1047463:HRN1047516 IBJ64423:IBJ64476 IBJ129959:IBJ130012 IBJ195495:IBJ195548 IBJ261031:IBJ261084 IBJ326567:IBJ326620 IBJ392103:IBJ392156 IBJ457639:IBJ457692 IBJ523175:IBJ523228 IBJ588711:IBJ588764 IBJ654247:IBJ654300 IBJ719783:IBJ719836 IBJ785319:IBJ785372 IBJ850855:IBJ850908 IBJ916391:IBJ916444 IBJ981927:IBJ981980 IBJ1047463:IBJ1047516 ILF64423:ILF64476 ILF129959:ILF130012 ILF195495:ILF195548 ILF261031:ILF261084 ILF326567:ILF326620 ILF392103:ILF392156 ILF457639:ILF457692 ILF523175:ILF523228 ILF588711:ILF588764 ILF654247:ILF654300 ILF719783:ILF719836 ILF785319:ILF785372 ILF850855:ILF850908 ILF916391:ILF916444 ILF981927:ILF981980 ILF1047463:ILF1047516 IVB64423:IVB64476 IVB129959:IVB130012 IVB195495:IVB195548 IVB261031:IVB261084 IVB326567:IVB326620 IVB392103:IVB392156 IVB457639:IVB457692 IVB523175:IVB523228 IVB588711:IVB588764 IVB654247:IVB654300 IVB719783:IVB719836 IVB785319:IVB785372 IVB850855:IVB850908 IVB916391:IVB916444 IVB981927:IVB981980 IVB1047463:IVB1047516 JEX64423:JEX64476 JEX129959:JEX130012 JEX195495:JEX195548 JEX261031:JEX261084 JEX326567:JEX326620 JEX392103:JEX392156 JEX457639:JEX457692 JEX523175:JEX523228 JEX588711:JEX588764 JEX654247:JEX654300 JEX719783:JEX719836 JEX785319:JEX785372 JEX850855:JEX850908 JEX916391:JEX916444 JEX981927:JEX981980 JEX1047463:JEX1047516 JOT64423:JOT64476 JOT129959:JOT130012 JOT195495:JOT195548 JOT261031:JOT261084 JOT326567:JOT326620 JOT392103:JOT392156 JOT457639:JOT457692 JOT523175:JOT523228 JOT588711:JOT588764 JOT654247:JOT654300 JOT719783:JOT719836 JOT785319:JOT785372 JOT850855:JOT850908 JOT916391:JOT916444 JOT981927:JOT981980 JOT1047463:JOT1047516 JYP64423:JYP64476 JYP129959:JYP130012 JYP195495:JYP195548 JYP261031:JYP261084 JYP326567:JYP326620 JYP392103:JYP392156 JYP457639:JYP457692 JYP523175:JYP523228 JYP588711:JYP588764 JYP654247:JYP654300 JYP719783:JYP719836 JYP785319:JYP785372 JYP850855:JYP850908 JYP916391:JYP916444 JYP981927:JYP981980 JYP1047463:JYP1047516 KIL64423:KIL64476 KIL129959:KIL130012 KIL195495:KIL195548 KIL261031:KIL261084 KIL326567:KIL326620 KIL392103:KIL392156 KIL457639:KIL457692 KIL523175:KIL523228 KIL588711:KIL588764 KIL654247:KIL654300 KIL719783:KIL719836 KIL785319:KIL785372 KIL850855:KIL850908 KIL916391:KIL916444 KIL981927:KIL981980 KIL1047463:KIL1047516 KSH64423:KSH64476 KSH129959:KSH130012 KSH195495:KSH195548 KSH261031:KSH261084 KSH326567:KSH326620 KSH392103:KSH392156 KSH457639:KSH457692 KSH523175:KSH523228 KSH588711:KSH588764 KSH654247:KSH654300 KSH719783:KSH719836 KSH785319:KSH785372 KSH850855:KSH850908 KSH916391:KSH916444 KSH981927:KSH981980 KSH1047463:KSH1047516 LCD64423:LCD64476 LCD129959:LCD130012 LCD195495:LCD195548 LCD261031:LCD261084 LCD326567:LCD326620 LCD392103:LCD392156 LCD457639:LCD457692 LCD523175:LCD523228 LCD588711:LCD588764 LCD654247:LCD654300 LCD719783:LCD719836 LCD785319:LCD785372 LCD850855:LCD850908 LCD916391:LCD916444 LCD981927:LCD981980 LCD1047463:LCD1047516 LLZ64423:LLZ64476 LLZ129959:LLZ130012 LLZ195495:LLZ195548 LLZ261031:LLZ261084 LLZ326567:LLZ326620 LLZ392103:LLZ392156 LLZ457639:LLZ457692 LLZ523175:LLZ523228 LLZ588711:LLZ588764 LLZ654247:LLZ654300 LLZ719783:LLZ719836 LLZ785319:LLZ785372 LLZ850855:LLZ850908 LLZ916391:LLZ916444 LLZ981927:LLZ981980 LLZ1047463:LLZ1047516 LVV64423:LVV64476 LVV129959:LVV130012 LVV195495:LVV195548 LVV261031:LVV261084 LVV326567:LVV326620 LVV392103:LVV392156 LVV457639:LVV457692 LVV523175:LVV523228 LVV588711:LVV588764 LVV654247:LVV654300 LVV719783:LVV719836 LVV785319:LVV785372 LVV850855:LVV850908 LVV916391:LVV916444 LVV981927:LVV981980 LVV1047463:LVV1047516 MFR64423:MFR64476 MFR129959:MFR130012 MFR195495:MFR195548 MFR261031:MFR261084 MFR326567:MFR326620 MFR392103:MFR392156 MFR457639:MFR457692 MFR523175:MFR523228 MFR588711:MFR588764 MFR654247:MFR654300 MFR719783:MFR719836 MFR785319:MFR785372 MFR850855:MFR850908 MFR916391:MFR916444 MFR981927:MFR981980 MFR1047463:MFR1047516 MPN64423:MPN64476 MPN129959:MPN130012 MPN195495:MPN195548 MPN261031:MPN261084 MPN326567:MPN326620 MPN392103:MPN392156 MPN457639:MPN457692 MPN523175:MPN523228 MPN588711:MPN588764 MPN654247:MPN654300 MPN719783:MPN719836 MPN785319:MPN785372 MPN850855:MPN850908 MPN916391:MPN916444 MPN981927:MPN981980 MPN1047463:MPN1047516 MZJ64423:MZJ64476 MZJ129959:MZJ130012 MZJ195495:MZJ195548 MZJ261031:MZJ261084 MZJ326567:MZJ326620 MZJ392103:MZJ392156 MZJ457639:MZJ457692 MZJ523175:MZJ523228 MZJ588711:MZJ588764 MZJ654247:MZJ654300 MZJ719783:MZJ719836 MZJ785319:MZJ785372 MZJ850855:MZJ850908 MZJ916391:MZJ916444 MZJ981927:MZJ981980 MZJ1047463:MZJ1047516 NJF64423:NJF64476 NJF129959:NJF130012 NJF195495:NJF195548 NJF261031:NJF261084 NJF326567:NJF326620 NJF392103:NJF392156 NJF457639:NJF457692 NJF523175:NJF523228 NJF588711:NJF588764 NJF654247:NJF654300 NJF719783:NJF719836 NJF785319:NJF785372 NJF850855:NJF850908 NJF916391:NJF916444 NJF981927:NJF981980 NJF1047463:NJF1047516 NTB64423:NTB64476 NTB129959:NTB130012 NTB195495:NTB195548 NTB261031:NTB261084 NTB326567:NTB326620 NTB392103:NTB392156 NTB457639:NTB457692 NTB523175:NTB523228 NTB588711:NTB588764 NTB654247:NTB654300 NTB719783:NTB719836 NTB785319:NTB785372 NTB850855:NTB850908 NTB916391:NTB916444 NTB981927:NTB981980 NTB1047463:NTB1047516 OCX64423:OCX64476 OCX129959:OCX130012 OCX195495:OCX195548 OCX261031:OCX261084 OCX326567:OCX326620 OCX392103:OCX392156 OCX457639:OCX457692 OCX523175:OCX523228 OCX588711:OCX588764 OCX654247:OCX654300 OCX719783:OCX719836 OCX785319:OCX785372 OCX850855:OCX850908 OCX916391:OCX916444 OCX981927:OCX981980 OCX1047463:OCX1047516 OMT64423:OMT64476 OMT129959:OMT130012 OMT195495:OMT195548 OMT261031:OMT261084 OMT326567:OMT326620 OMT392103:OMT392156 OMT457639:OMT457692 OMT523175:OMT523228 OMT588711:OMT588764 OMT654247:OMT654300 OMT719783:OMT719836 OMT785319:OMT785372 OMT850855:OMT850908 OMT916391:OMT916444 OMT981927:OMT981980 OMT1047463:OMT1047516 OWP64423:OWP64476 OWP129959:OWP130012 OWP195495:OWP195548 OWP261031:OWP261084 OWP326567:OWP326620 OWP392103:OWP392156 OWP457639:OWP457692 OWP523175:OWP523228 OWP588711:OWP588764 OWP654247:OWP654300 OWP719783:OWP719836 OWP785319:OWP785372 OWP850855:OWP850908 OWP916391:OWP916444 OWP981927:OWP981980 OWP1047463:OWP1047516 PGL64423:PGL64476 PGL129959:PGL130012 PGL195495:PGL195548 PGL261031:PGL261084 PGL326567:PGL326620 PGL392103:PGL392156 PGL457639:PGL457692 PGL523175:PGL523228 PGL588711:PGL588764 PGL654247:PGL654300 PGL719783:PGL719836 PGL785319:PGL785372 PGL850855:PGL850908 PGL916391:PGL916444 PGL981927:PGL981980 PGL1047463:PGL1047516 PQH64423:PQH64476 PQH129959:PQH130012 PQH195495:PQH195548 PQH261031:PQH261084 PQH326567:PQH326620 PQH392103:PQH392156 PQH457639:PQH457692 PQH523175:PQH523228 PQH588711:PQH588764 PQH654247:PQH654300 PQH719783:PQH719836 PQH785319:PQH785372 PQH850855:PQH850908 PQH916391:PQH916444 PQH981927:PQH981980 PQH1047463:PQH1047516 QAD64423:QAD64476 QAD129959:QAD130012 QAD195495:QAD195548 QAD261031:QAD261084 QAD326567:QAD326620 QAD392103:QAD392156 QAD457639:QAD457692 QAD523175:QAD523228 QAD588711:QAD588764 QAD654247:QAD654300 QAD719783:QAD719836 QAD785319:QAD785372 QAD850855:QAD850908 QAD916391:QAD916444 QAD981927:QAD981980 QAD1047463:QAD1047516 QJZ64423:QJZ64476 QJZ129959:QJZ130012 QJZ195495:QJZ195548 QJZ261031:QJZ261084 QJZ326567:QJZ326620 QJZ392103:QJZ392156 QJZ457639:QJZ457692 QJZ523175:QJZ523228 QJZ588711:QJZ588764 QJZ654247:QJZ654300 QJZ719783:QJZ719836 QJZ785319:QJZ785372 QJZ850855:QJZ850908 QJZ916391:QJZ916444 QJZ981927:QJZ981980 QJZ1047463:QJZ1047516 QTV64423:QTV64476 QTV129959:QTV130012 QTV195495:QTV195548 QTV261031:QTV261084 QTV326567:QTV326620 QTV392103:QTV392156 QTV457639:QTV457692 QTV523175:QTV523228 QTV588711:QTV588764 QTV654247:QTV654300 QTV719783:QTV719836 QTV785319:QTV785372 QTV850855:QTV850908 QTV916391:QTV916444 QTV981927:QTV981980 QTV1047463:QTV1047516 RDR64423:RDR64476 RDR129959:RDR130012 RDR195495:RDR195548 RDR261031:RDR261084 RDR326567:RDR326620 RDR392103:RDR392156 RDR457639:RDR457692 RDR523175:RDR523228 RDR588711:RDR588764 RDR654247:RDR654300 RDR719783:RDR719836 RDR785319:RDR785372 RDR850855:RDR850908 RDR916391:RDR916444 RDR981927:RDR981980 RDR1047463:RDR1047516 RNN64423:RNN64476 RNN129959:RNN130012 RNN195495:RNN195548 RNN261031:RNN261084 RNN326567:RNN326620 RNN392103:RNN392156 RNN457639:RNN457692 RNN523175:RNN523228 RNN588711:RNN588764 RNN654247:RNN654300 RNN719783:RNN719836 RNN785319:RNN785372 RNN850855:RNN850908 RNN916391:RNN916444 RNN981927:RNN981980 RNN1047463:RNN1047516 RXJ64423:RXJ64476 RXJ129959:RXJ130012 RXJ195495:RXJ195548 RXJ261031:RXJ261084 RXJ326567:RXJ326620 RXJ392103:RXJ392156 RXJ457639:RXJ457692 RXJ523175:RXJ523228 RXJ588711:RXJ588764 RXJ654247:RXJ654300 RXJ719783:RXJ719836 RXJ785319:RXJ785372 RXJ850855:RXJ850908 RXJ916391:RXJ916444 RXJ981927:RXJ981980 RXJ1047463:RXJ1047516 SHF64423:SHF64476 SHF129959:SHF130012 SHF195495:SHF195548 SHF261031:SHF261084 SHF326567:SHF326620 SHF392103:SHF392156 SHF457639:SHF457692 SHF523175:SHF523228 SHF588711:SHF588764 SHF654247:SHF654300 SHF719783:SHF719836 SHF785319:SHF785372 SHF850855:SHF850908 SHF916391:SHF916444 SHF981927:SHF981980 SHF1047463:SHF1047516 SRB64423:SRB64476 SRB129959:SRB130012 SRB195495:SRB195548 SRB261031:SRB261084 SRB326567:SRB326620 SRB392103:SRB392156 SRB457639:SRB457692 SRB523175:SRB523228 SRB588711:SRB588764 SRB654247:SRB654300 SRB719783:SRB719836 SRB785319:SRB785372 SRB850855:SRB850908 SRB916391:SRB916444 SRB981927:SRB981980 SRB1047463:SRB1047516 TAX64423:TAX64476 TAX129959:TAX130012 TAX195495:TAX195548 TAX261031:TAX261084 TAX326567:TAX326620 TAX392103:TAX392156 TAX457639:TAX457692 TAX523175:TAX523228 TAX588711:TAX588764 TAX654247:TAX654300 TAX719783:TAX719836 TAX785319:TAX785372 TAX850855:TAX850908 TAX916391:TAX916444 TAX981927:TAX981980 TAX1047463:TAX1047516 TKT64423:TKT64476 TKT129959:TKT130012 TKT195495:TKT195548 TKT261031:TKT261084 TKT326567:TKT326620 TKT392103:TKT392156 TKT457639:TKT457692 TKT523175:TKT523228 TKT588711:TKT588764 TKT654247:TKT654300 TKT719783:TKT719836 TKT785319:TKT785372 TKT850855:TKT850908 TKT916391:TKT916444 TKT981927:TKT981980 TKT1047463:TKT1047516 TUP64423:TUP64476 TUP129959:TUP130012 TUP195495:TUP195548 TUP261031:TUP261084 TUP326567:TUP326620 TUP392103:TUP392156 TUP457639:TUP457692 TUP523175:TUP523228 TUP588711:TUP588764 TUP654247:TUP654300 TUP719783:TUP719836 TUP785319:TUP785372 TUP850855:TUP850908 TUP916391:TUP916444 TUP981927:TUP981980 TUP1047463:TUP1047516 UEL64423:UEL64476 UEL129959:UEL130012 UEL195495:UEL195548 UEL261031:UEL261084 UEL326567:UEL326620 UEL392103:UEL392156 UEL457639:UEL457692 UEL523175:UEL523228 UEL588711:UEL588764 UEL654247:UEL654300 UEL719783:UEL719836 UEL785319:UEL785372 UEL850855:UEL850908 UEL916391:UEL916444 UEL981927:UEL981980 UEL1047463:UEL1047516 UOH64423:UOH64476 UOH129959:UOH130012 UOH195495:UOH195548 UOH261031:UOH261084 UOH326567:UOH326620 UOH392103:UOH392156 UOH457639:UOH457692 UOH523175:UOH523228 UOH588711:UOH588764 UOH654247:UOH654300 UOH719783:UOH719836 UOH785319:UOH785372 UOH850855:UOH850908 UOH916391:UOH916444 UOH981927:UOH981980 UOH1047463:UOH1047516 UYD64423:UYD64476 UYD129959:UYD130012 UYD195495:UYD195548 UYD261031:UYD261084 UYD326567:UYD326620 UYD392103:UYD392156 UYD457639:UYD457692 UYD523175:UYD523228 UYD588711:UYD588764 UYD654247:UYD654300 UYD719783:UYD719836 UYD785319:UYD785372 UYD850855:UYD850908 UYD916391:UYD916444 UYD981927:UYD981980 UYD1047463:UYD1047516 VHZ64423:VHZ64476 VHZ129959:VHZ130012 VHZ195495:VHZ195548 VHZ261031:VHZ261084 VHZ326567:VHZ326620 VHZ392103:VHZ392156 VHZ457639:VHZ457692 VHZ523175:VHZ523228 VHZ588711:VHZ588764 VHZ654247:VHZ654300 VHZ719783:VHZ719836 VHZ785319:VHZ785372 VHZ850855:VHZ850908 VHZ916391:VHZ916444 VHZ981927:VHZ981980 VHZ1047463:VHZ1047516 VRV64423:VRV64476 VRV129959:VRV130012 VRV195495:VRV195548 VRV261031:VRV261084 VRV326567:VRV326620 VRV392103:VRV392156 VRV457639:VRV457692 VRV523175:VRV523228 VRV588711:VRV588764 VRV654247:VRV654300 VRV719783:VRV719836 VRV785319:VRV785372 VRV850855:VRV850908 VRV916391:VRV916444 VRV981927:VRV981980 VRV1047463:VRV1047516 WBR64423:WBR64476 WBR129959:WBR130012 WBR195495:WBR195548 WBR261031:WBR261084 WBR326567:WBR326620 WBR392103:WBR392156 WBR457639:WBR457692 WBR523175:WBR523228 WBR588711:WBR588764 WBR654247:WBR654300 WBR719783:WBR719836 WBR785319:WBR785372 WBR850855:WBR850908 WBR916391:WBR916444 WBR981927:WBR981980 WBR1047463:WBR1047516 WLN64423:WLN64476 WLN129959:WLN130012 WLN195495:WLN195548 WLN261031:WLN261084 WLN326567:WLN326620 WLN392103:WLN392156 WLN457639:WLN457692 WLN523175:WLN523228 WLN588711:WLN588764 WLN654247:WLN654300 WLN719783:WLN719836 WLN785319:WLN785372 WLN850855:WLN850908 WLN916391:WLN916444 WLN981927:WLN981980 WLN1047463:WLN1047516 WVJ64423:WVJ64476 WVJ129959:WVJ130012 WVJ195495:WVJ195548 WVJ261031:WVJ261084 WVJ326567:WVJ326620 WVJ392103:WVJ392156 WVJ457639:WVJ457692 WVJ523175:WVJ523228 WVJ588711:WVJ588764 WVJ654247:WVJ654300 WVJ719783:WVJ719836 WVJ785319:WVJ785372 WVJ850855:WVJ850908 WVJ916391:WVJ916444 WVJ981927:WVJ981980 WVJ1047463:WVJ1047516" xr:uid="{DC4C558E-CF99-4C2D-9B9A-AF35B2F66AF7}"/>
    <dataValidation type="list" allowBlank="1" showInputMessage="1" showErrorMessage="1" sqref="A2:A500 A65538:A66036 A131074:A131572 A196610:A197108 A262146:A262644 A327682:A328180 A393218:A393716 A458754:A459252 A524290:A524788 A589826:A590324 A655362:A655860 A720898:A721396 A786434:A786932 A851970:A852468 A917506:A918004 A983042:A983540 IW2:IW500 IW65538:IW66036 IW131074:IW131572 IW196610:IW197108 IW262146:IW262644 IW327682:IW328180 IW393218:IW393716 IW458754:IW459252 IW524290:IW524788 IW589826:IW590324 IW655362:IW655860 IW720898:IW721396 IW786434:IW786932 IW851970:IW852468 IW917506:IW918004 IW983042:IW983540 SS2:SS500 SS65538:SS66036 SS131074:SS131572 SS196610:SS197108 SS262146:SS262644 SS327682:SS328180 SS393218:SS393716 SS458754:SS459252 SS524290:SS524788 SS589826:SS590324 SS655362:SS655860 SS720898:SS721396 SS786434:SS786932 SS851970:SS852468 SS917506:SS918004 SS983042:SS983540 ACO2:ACO500 ACO65538:ACO66036 ACO131074:ACO131572 ACO196610:ACO197108 ACO262146:ACO262644 ACO327682:ACO328180 ACO393218:ACO393716 ACO458754:ACO459252 ACO524290:ACO524788 ACO589826:ACO590324 ACO655362:ACO655860 ACO720898:ACO721396 ACO786434:ACO786932 ACO851970:ACO852468 ACO917506:ACO918004 ACO983042:ACO983540 AMK2:AMK500 AMK65538:AMK66036 AMK131074:AMK131572 AMK196610:AMK197108 AMK262146:AMK262644 AMK327682:AMK328180 AMK393218:AMK393716 AMK458754:AMK459252 AMK524290:AMK524788 AMK589826:AMK590324 AMK655362:AMK655860 AMK720898:AMK721396 AMK786434:AMK786932 AMK851970:AMK852468 AMK917506:AMK918004 AMK983042:AMK983540 AWG2:AWG500 AWG65538:AWG66036 AWG131074:AWG131572 AWG196610:AWG197108 AWG262146:AWG262644 AWG327682:AWG328180 AWG393218:AWG393716 AWG458754:AWG459252 AWG524290:AWG524788 AWG589826:AWG590324 AWG655362:AWG655860 AWG720898:AWG721396 AWG786434:AWG786932 AWG851970:AWG852468 AWG917506:AWG918004 AWG983042:AWG983540 BGC2:BGC500 BGC65538:BGC66036 BGC131074:BGC131572 BGC196610:BGC197108 BGC262146:BGC262644 BGC327682:BGC328180 BGC393218:BGC393716 BGC458754:BGC459252 BGC524290:BGC524788 BGC589826:BGC590324 BGC655362:BGC655860 BGC720898:BGC721396 BGC786434:BGC786932 BGC851970:BGC852468 BGC917506:BGC918004 BGC983042:BGC983540 BPY2:BPY500 BPY65538:BPY66036 BPY131074:BPY131572 BPY196610:BPY197108 BPY262146:BPY262644 BPY327682:BPY328180 BPY393218:BPY393716 BPY458754:BPY459252 BPY524290:BPY524788 BPY589826:BPY590324 BPY655362:BPY655860 BPY720898:BPY721396 BPY786434:BPY786932 BPY851970:BPY852468 BPY917506:BPY918004 BPY983042:BPY983540 BZU2:BZU500 BZU65538:BZU66036 BZU131074:BZU131572 BZU196610:BZU197108 BZU262146:BZU262644 BZU327682:BZU328180 BZU393218:BZU393716 BZU458754:BZU459252 BZU524290:BZU524788 BZU589826:BZU590324 BZU655362:BZU655860 BZU720898:BZU721396 BZU786434:BZU786932 BZU851970:BZU852468 BZU917506:BZU918004 BZU983042:BZU983540 CJQ2:CJQ500 CJQ65538:CJQ66036 CJQ131074:CJQ131572 CJQ196610:CJQ197108 CJQ262146:CJQ262644 CJQ327682:CJQ328180 CJQ393218:CJQ393716 CJQ458754:CJQ459252 CJQ524290:CJQ524788 CJQ589826:CJQ590324 CJQ655362:CJQ655860 CJQ720898:CJQ721396 CJQ786434:CJQ786932 CJQ851970:CJQ852468 CJQ917506:CJQ918004 CJQ983042:CJQ983540 CTM2:CTM500 CTM65538:CTM66036 CTM131074:CTM131572 CTM196610:CTM197108 CTM262146:CTM262644 CTM327682:CTM328180 CTM393218:CTM393716 CTM458754:CTM459252 CTM524290:CTM524788 CTM589826:CTM590324 CTM655362:CTM655860 CTM720898:CTM721396 CTM786434:CTM786932 CTM851970:CTM852468 CTM917506:CTM918004 CTM983042:CTM983540 DDI2:DDI500 DDI65538:DDI66036 DDI131074:DDI131572 DDI196610:DDI197108 DDI262146:DDI262644 DDI327682:DDI328180 DDI393218:DDI393716 DDI458754:DDI459252 DDI524290:DDI524788 DDI589826:DDI590324 DDI655362:DDI655860 DDI720898:DDI721396 DDI786434:DDI786932 DDI851970:DDI852468 DDI917506:DDI918004 DDI983042:DDI983540 DNE2:DNE500 DNE65538:DNE66036 DNE131074:DNE131572 DNE196610:DNE197108 DNE262146:DNE262644 DNE327682:DNE328180 DNE393218:DNE393716 DNE458754:DNE459252 DNE524290:DNE524788 DNE589826:DNE590324 DNE655362:DNE655860 DNE720898:DNE721396 DNE786434:DNE786932 DNE851970:DNE852468 DNE917506:DNE918004 DNE983042:DNE983540 DXA2:DXA500 DXA65538:DXA66036 DXA131074:DXA131572 DXA196610:DXA197108 DXA262146:DXA262644 DXA327682:DXA328180 DXA393218:DXA393716 DXA458754:DXA459252 DXA524290:DXA524788 DXA589826:DXA590324 DXA655362:DXA655860 DXA720898:DXA721396 DXA786434:DXA786932 DXA851970:DXA852468 DXA917506:DXA918004 DXA983042:DXA983540 EGW2:EGW500 EGW65538:EGW66036 EGW131074:EGW131572 EGW196610:EGW197108 EGW262146:EGW262644 EGW327682:EGW328180 EGW393218:EGW393716 EGW458754:EGW459252 EGW524290:EGW524788 EGW589826:EGW590324 EGW655362:EGW655860 EGW720898:EGW721396 EGW786434:EGW786932 EGW851970:EGW852468 EGW917506:EGW918004 EGW983042:EGW983540 EQS2:EQS500 EQS65538:EQS66036 EQS131074:EQS131572 EQS196610:EQS197108 EQS262146:EQS262644 EQS327682:EQS328180 EQS393218:EQS393716 EQS458754:EQS459252 EQS524290:EQS524788 EQS589826:EQS590324 EQS655362:EQS655860 EQS720898:EQS721396 EQS786434:EQS786932 EQS851970:EQS852468 EQS917506:EQS918004 EQS983042:EQS983540 FAO2:FAO500 FAO65538:FAO66036 FAO131074:FAO131572 FAO196610:FAO197108 FAO262146:FAO262644 FAO327682:FAO328180 FAO393218:FAO393716 FAO458754:FAO459252 FAO524290:FAO524788 FAO589826:FAO590324 FAO655362:FAO655860 FAO720898:FAO721396 FAO786434:FAO786932 FAO851970:FAO852468 FAO917506:FAO918004 FAO983042:FAO983540 FKK2:FKK500 FKK65538:FKK66036 FKK131074:FKK131572 FKK196610:FKK197108 FKK262146:FKK262644 FKK327682:FKK328180 FKK393218:FKK393716 FKK458754:FKK459252 FKK524290:FKK524788 FKK589826:FKK590324 FKK655362:FKK655860 FKK720898:FKK721396 FKK786434:FKK786932 FKK851970:FKK852468 FKK917506:FKK918004 FKK983042:FKK983540 FUG2:FUG500 FUG65538:FUG66036 FUG131074:FUG131572 FUG196610:FUG197108 FUG262146:FUG262644 FUG327682:FUG328180 FUG393218:FUG393716 FUG458754:FUG459252 FUG524290:FUG524788 FUG589826:FUG590324 FUG655362:FUG655860 FUG720898:FUG721396 FUG786434:FUG786932 FUG851970:FUG852468 FUG917506:FUG918004 FUG983042:FUG983540 GEC2:GEC500 GEC65538:GEC66036 GEC131074:GEC131572 GEC196610:GEC197108 GEC262146:GEC262644 GEC327682:GEC328180 GEC393218:GEC393716 GEC458754:GEC459252 GEC524290:GEC524788 GEC589826:GEC590324 GEC655362:GEC655860 GEC720898:GEC721396 GEC786434:GEC786932 GEC851970:GEC852468 GEC917506:GEC918004 GEC983042:GEC983540 GNY2:GNY500 GNY65538:GNY66036 GNY131074:GNY131572 GNY196610:GNY197108 GNY262146:GNY262644 GNY327682:GNY328180 GNY393218:GNY393716 GNY458754:GNY459252 GNY524290:GNY524788 GNY589826:GNY590324 GNY655362:GNY655860 GNY720898:GNY721396 GNY786434:GNY786932 GNY851970:GNY852468 GNY917506:GNY918004 GNY983042:GNY983540 GXU2:GXU500 GXU65538:GXU66036 GXU131074:GXU131572 GXU196610:GXU197108 GXU262146:GXU262644 GXU327682:GXU328180 GXU393218:GXU393716 GXU458754:GXU459252 GXU524290:GXU524788 GXU589826:GXU590324 GXU655362:GXU655860 GXU720898:GXU721396 GXU786434:GXU786932 GXU851970:GXU852468 GXU917506:GXU918004 GXU983042:GXU983540 HHQ2:HHQ500 HHQ65538:HHQ66036 HHQ131074:HHQ131572 HHQ196610:HHQ197108 HHQ262146:HHQ262644 HHQ327682:HHQ328180 HHQ393218:HHQ393716 HHQ458754:HHQ459252 HHQ524290:HHQ524788 HHQ589826:HHQ590324 HHQ655362:HHQ655860 HHQ720898:HHQ721396 HHQ786434:HHQ786932 HHQ851970:HHQ852468 HHQ917506:HHQ918004 HHQ983042:HHQ983540 HRM2:HRM500 HRM65538:HRM66036 HRM131074:HRM131572 HRM196610:HRM197108 HRM262146:HRM262644 HRM327682:HRM328180 HRM393218:HRM393716 HRM458754:HRM459252 HRM524290:HRM524788 HRM589826:HRM590324 HRM655362:HRM655860 HRM720898:HRM721396 HRM786434:HRM786932 HRM851970:HRM852468 HRM917506:HRM918004 HRM983042:HRM983540 IBI2:IBI500 IBI65538:IBI66036 IBI131074:IBI131572 IBI196610:IBI197108 IBI262146:IBI262644 IBI327682:IBI328180 IBI393218:IBI393716 IBI458754:IBI459252 IBI524290:IBI524788 IBI589826:IBI590324 IBI655362:IBI655860 IBI720898:IBI721396 IBI786434:IBI786932 IBI851970:IBI852468 IBI917506:IBI918004 IBI983042:IBI983540 ILE2:ILE500 ILE65538:ILE66036 ILE131074:ILE131572 ILE196610:ILE197108 ILE262146:ILE262644 ILE327682:ILE328180 ILE393218:ILE393716 ILE458754:ILE459252 ILE524290:ILE524788 ILE589826:ILE590324 ILE655362:ILE655860 ILE720898:ILE721396 ILE786434:ILE786932 ILE851970:ILE852468 ILE917506:ILE918004 ILE983042:ILE983540 IVA2:IVA500 IVA65538:IVA66036 IVA131074:IVA131572 IVA196610:IVA197108 IVA262146:IVA262644 IVA327682:IVA328180 IVA393218:IVA393716 IVA458754:IVA459252 IVA524290:IVA524788 IVA589826:IVA590324 IVA655362:IVA655860 IVA720898:IVA721396 IVA786434:IVA786932 IVA851970:IVA852468 IVA917506:IVA918004 IVA983042:IVA983540 JEW2:JEW500 JEW65538:JEW66036 JEW131074:JEW131572 JEW196610:JEW197108 JEW262146:JEW262644 JEW327682:JEW328180 JEW393218:JEW393716 JEW458754:JEW459252 JEW524290:JEW524788 JEW589826:JEW590324 JEW655362:JEW655860 JEW720898:JEW721396 JEW786434:JEW786932 JEW851970:JEW852468 JEW917506:JEW918004 JEW983042:JEW983540 JOS2:JOS500 JOS65538:JOS66036 JOS131074:JOS131572 JOS196610:JOS197108 JOS262146:JOS262644 JOS327682:JOS328180 JOS393218:JOS393716 JOS458754:JOS459252 JOS524290:JOS524788 JOS589826:JOS590324 JOS655362:JOS655860 JOS720898:JOS721396 JOS786434:JOS786932 JOS851970:JOS852468 JOS917506:JOS918004 JOS983042:JOS983540 JYO2:JYO500 JYO65538:JYO66036 JYO131074:JYO131572 JYO196610:JYO197108 JYO262146:JYO262644 JYO327682:JYO328180 JYO393218:JYO393716 JYO458754:JYO459252 JYO524290:JYO524788 JYO589826:JYO590324 JYO655362:JYO655860 JYO720898:JYO721396 JYO786434:JYO786932 JYO851970:JYO852468 JYO917506:JYO918004 JYO983042:JYO983540 KIK2:KIK500 KIK65538:KIK66036 KIK131074:KIK131572 KIK196610:KIK197108 KIK262146:KIK262644 KIK327682:KIK328180 KIK393218:KIK393716 KIK458754:KIK459252 KIK524290:KIK524788 KIK589826:KIK590324 KIK655362:KIK655860 KIK720898:KIK721396 KIK786434:KIK786932 KIK851970:KIK852468 KIK917506:KIK918004 KIK983042:KIK983540 KSG2:KSG500 KSG65538:KSG66036 KSG131074:KSG131572 KSG196610:KSG197108 KSG262146:KSG262644 KSG327682:KSG328180 KSG393218:KSG393716 KSG458754:KSG459252 KSG524290:KSG524788 KSG589826:KSG590324 KSG655362:KSG655860 KSG720898:KSG721396 KSG786434:KSG786932 KSG851970:KSG852468 KSG917506:KSG918004 KSG983042:KSG983540 LCC2:LCC500 LCC65538:LCC66036 LCC131074:LCC131572 LCC196610:LCC197108 LCC262146:LCC262644 LCC327682:LCC328180 LCC393218:LCC393716 LCC458754:LCC459252 LCC524290:LCC524788 LCC589826:LCC590324 LCC655362:LCC655860 LCC720898:LCC721396 LCC786434:LCC786932 LCC851970:LCC852468 LCC917506:LCC918004 LCC983042:LCC983540 LLY2:LLY500 LLY65538:LLY66036 LLY131074:LLY131572 LLY196610:LLY197108 LLY262146:LLY262644 LLY327682:LLY328180 LLY393218:LLY393716 LLY458754:LLY459252 LLY524290:LLY524788 LLY589826:LLY590324 LLY655362:LLY655860 LLY720898:LLY721396 LLY786434:LLY786932 LLY851970:LLY852468 LLY917506:LLY918004 LLY983042:LLY983540 LVU2:LVU500 LVU65538:LVU66036 LVU131074:LVU131572 LVU196610:LVU197108 LVU262146:LVU262644 LVU327682:LVU328180 LVU393218:LVU393716 LVU458754:LVU459252 LVU524290:LVU524788 LVU589826:LVU590324 LVU655362:LVU655860 LVU720898:LVU721396 LVU786434:LVU786932 LVU851970:LVU852468 LVU917506:LVU918004 LVU983042:LVU983540 MFQ2:MFQ500 MFQ65538:MFQ66036 MFQ131074:MFQ131572 MFQ196610:MFQ197108 MFQ262146:MFQ262644 MFQ327682:MFQ328180 MFQ393218:MFQ393716 MFQ458754:MFQ459252 MFQ524290:MFQ524788 MFQ589826:MFQ590324 MFQ655362:MFQ655860 MFQ720898:MFQ721396 MFQ786434:MFQ786932 MFQ851970:MFQ852468 MFQ917506:MFQ918004 MFQ983042:MFQ983540 MPM2:MPM500 MPM65538:MPM66036 MPM131074:MPM131572 MPM196610:MPM197108 MPM262146:MPM262644 MPM327682:MPM328180 MPM393218:MPM393716 MPM458754:MPM459252 MPM524290:MPM524788 MPM589826:MPM590324 MPM655362:MPM655860 MPM720898:MPM721396 MPM786434:MPM786932 MPM851970:MPM852468 MPM917506:MPM918004 MPM983042:MPM983540 MZI2:MZI500 MZI65538:MZI66036 MZI131074:MZI131572 MZI196610:MZI197108 MZI262146:MZI262644 MZI327682:MZI328180 MZI393218:MZI393716 MZI458754:MZI459252 MZI524290:MZI524788 MZI589826:MZI590324 MZI655362:MZI655860 MZI720898:MZI721396 MZI786434:MZI786932 MZI851970:MZI852468 MZI917506:MZI918004 MZI983042:MZI983540 NJE2:NJE500 NJE65538:NJE66036 NJE131074:NJE131572 NJE196610:NJE197108 NJE262146:NJE262644 NJE327682:NJE328180 NJE393218:NJE393716 NJE458754:NJE459252 NJE524290:NJE524788 NJE589826:NJE590324 NJE655362:NJE655860 NJE720898:NJE721396 NJE786434:NJE786932 NJE851970:NJE852468 NJE917506:NJE918004 NJE983042:NJE983540 NTA2:NTA500 NTA65538:NTA66036 NTA131074:NTA131572 NTA196610:NTA197108 NTA262146:NTA262644 NTA327682:NTA328180 NTA393218:NTA393716 NTA458754:NTA459252 NTA524290:NTA524788 NTA589826:NTA590324 NTA655362:NTA655860 NTA720898:NTA721396 NTA786434:NTA786932 NTA851970:NTA852468 NTA917506:NTA918004 NTA983042:NTA983540 OCW2:OCW500 OCW65538:OCW66036 OCW131074:OCW131572 OCW196610:OCW197108 OCW262146:OCW262644 OCW327682:OCW328180 OCW393218:OCW393716 OCW458754:OCW459252 OCW524290:OCW524788 OCW589826:OCW590324 OCW655362:OCW655860 OCW720898:OCW721396 OCW786434:OCW786932 OCW851970:OCW852468 OCW917506:OCW918004 OCW983042:OCW983540 OMS2:OMS500 OMS65538:OMS66036 OMS131074:OMS131572 OMS196610:OMS197108 OMS262146:OMS262644 OMS327682:OMS328180 OMS393218:OMS393716 OMS458754:OMS459252 OMS524290:OMS524788 OMS589826:OMS590324 OMS655362:OMS655860 OMS720898:OMS721396 OMS786434:OMS786932 OMS851970:OMS852468 OMS917506:OMS918004 OMS983042:OMS983540 OWO2:OWO500 OWO65538:OWO66036 OWO131074:OWO131572 OWO196610:OWO197108 OWO262146:OWO262644 OWO327682:OWO328180 OWO393218:OWO393716 OWO458754:OWO459252 OWO524290:OWO524788 OWO589826:OWO590324 OWO655362:OWO655860 OWO720898:OWO721396 OWO786434:OWO786932 OWO851970:OWO852468 OWO917506:OWO918004 OWO983042:OWO983540 PGK2:PGK500 PGK65538:PGK66036 PGK131074:PGK131572 PGK196610:PGK197108 PGK262146:PGK262644 PGK327682:PGK328180 PGK393218:PGK393716 PGK458754:PGK459252 PGK524290:PGK524788 PGK589826:PGK590324 PGK655362:PGK655860 PGK720898:PGK721396 PGK786434:PGK786932 PGK851970:PGK852468 PGK917506:PGK918004 PGK983042:PGK983540 PQG2:PQG500 PQG65538:PQG66036 PQG131074:PQG131572 PQG196610:PQG197108 PQG262146:PQG262644 PQG327682:PQG328180 PQG393218:PQG393716 PQG458754:PQG459252 PQG524290:PQG524788 PQG589826:PQG590324 PQG655362:PQG655860 PQG720898:PQG721396 PQG786434:PQG786932 PQG851970:PQG852468 PQG917506:PQG918004 PQG983042:PQG983540 QAC2:QAC500 QAC65538:QAC66036 QAC131074:QAC131572 QAC196610:QAC197108 QAC262146:QAC262644 QAC327682:QAC328180 QAC393218:QAC393716 QAC458754:QAC459252 QAC524290:QAC524788 QAC589826:QAC590324 QAC655362:QAC655860 QAC720898:QAC721396 QAC786434:QAC786932 QAC851970:QAC852468 QAC917506:QAC918004 QAC983042:QAC983540 QJY2:QJY500 QJY65538:QJY66036 QJY131074:QJY131572 QJY196610:QJY197108 QJY262146:QJY262644 QJY327682:QJY328180 QJY393218:QJY393716 QJY458754:QJY459252 QJY524290:QJY524788 QJY589826:QJY590324 QJY655362:QJY655860 QJY720898:QJY721396 QJY786434:QJY786932 QJY851970:QJY852468 QJY917506:QJY918004 QJY983042:QJY983540 QTU2:QTU500 QTU65538:QTU66036 QTU131074:QTU131572 QTU196610:QTU197108 QTU262146:QTU262644 QTU327682:QTU328180 QTU393218:QTU393716 QTU458754:QTU459252 QTU524290:QTU524788 QTU589826:QTU590324 QTU655362:QTU655860 QTU720898:QTU721396 QTU786434:QTU786932 QTU851970:QTU852468 QTU917506:QTU918004 QTU983042:QTU983540 RDQ2:RDQ500 RDQ65538:RDQ66036 RDQ131074:RDQ131572 RDQ196610:RDQ197108 RDQ262146:RDQ262644 RDQ327682:RDQ328180 RDQ393218:RDQ393716 RDQ458754:RDQ459252 RDQ524290:RDQ524788 RDQ589826:RDQ590324 RDQ655362:RDQ655860 RDQ720898:RDQ721396 RDQ786434:RDQ786932 RDQ851970:RDQ852468 RDQ917506:RDQ918004 RDQ983042:RDQ983540 RNM2:RNM500 RNM65538:RNM66036 RNM131074:RNM131572 RNM196610:RNM197108 RNM262146:RNM262644 RNM327682:RNM328180 RNM393218:RNM393716 RNM458754:RNM459252 RNM524290:RNM524788 RNM589826:RNM590324 RNM655362:RNM655860 RNM720898:RNM721396 RNM786434:RNM786932 RNM851970:RNM852468 RNM917506:RNM918004 RNM983042:RNM983540 RXI2:RXI500 RXI65538:RXI66036 RXI131074:RXI131572 RXI196610:RXI197108 RXI262146:RXI262644 RXI327682:RXI328180 RXI393218:RXI393716 RXI458754:RXI459252 RXI524290:RXI524788 RXI589826:RXI590324 RXI655362:RXI655860 RXI720898:RXI721396 RXI786434:RXI786932 RXI851970:RXI852468 RXI917506:RXI918004 RXI983042:RXI983540 SHE2:SHE500 SHE65538:SHE66036 SHE131074:SHE131572 SHE196610:SHE197108 SHE262146:SHE262644 SHE327682:SHE328180 SHE393218:SHE393716 SHE458754:SHE459252 SHE524290:SHE524788 SHE589826:SHE590324 SHE655362:SHE655860 SHE720898:SHE721396 SHE786434:SHE786932 SHE851970:SHE852468 SHE917506:SHE918004 SHE983042:SHE983540 SRA2:SRA500 SRA65538:SRA66036 SRA131074:SRA131572 SRA196610:SRA197108 SRA262146:SRA262644 SRA327682:SRA328180 SRA393218:SRA393716 SRA458754:SRA459252 SRA524290:SRA524788 SRA589826:SRA590324 SRA655362:SRA655860 SRA720898:SRA721396 SRA786434:SRA786932 SRA851970:SRA852468 SRA917506:SRA918004 SRA983042:SRA983540 TAW2:TAW500 TAW65538:TAW66036 TAW131074:TAW131572 TAW196610:TAW197108 TAW262146:TAW262644 TAW327682:TAW328180 TAW393218:TAW393716 TAW458754:TAW459252 TAW524290:TAW524788 TAW589826:TAW590324 TAW655362:TAW655860 TAW720898:TAW721396 TAW786434:TAW786932 TAW851970:TAW852468 TAW917506:TAW918004 TAW983042:TAW983540 TKS2:TKS500 TKS65538:TKS66036 TKS131074:TKS131572 TKS196610:TKS197108 TKS262146:TKS262644 TKS327682:TKS328180 TKS393218:TKS393716 TKS458754:TKS459252 TKS524290:TKS524788 TKS589826:TKS590324 TKS655362:TKS655860 TKS720898:TKS721396 TKS786434:TKS786932 TKS851970:TKS852468 TKS917506:TKS918004 TKS983042:TKS983540 TUO2:TUO500 TUO65538:TUO66036 TUO131074:TUO131572 TUO196610:TUO197108 TUO262146:TUO262644 TUO327682:TUO328180 TUO393218:TUO393716 TUO458754:TUO459252 TUO524290:TUO524788 TUO589826:TUO590324 TUO655362:TUO655860 TUO720898:TUO721396 TUO786434:TUO786932 TUO851970:TUO852468 TUO917506:TUO918004 TUO983042:TUO983540 UEK2:UEK500 UEK65538:UEK66036 UEK131074:UEK131572 UEK196610:UEK197108 UEK262146:UEK262644 UEK327682:UEK328180 UEK393218:UEK393716 UEK458754:UEK459252 UEK524290:UEK524788 UEK589826:UEK590324 UEK655362:UEK655860 UEK720898:UEK721396 UEK786434:UEK786932 UEK851970:UEK852468 UEK917506:UEK918004 UEK983042:UEK983540 UOG2:UOG500 UOG65538:UOG66036 UOG131074:UOG131572 UOG196610:UOG197108 UOG262146:UOG262644 UOG327682:UOG328180 UOG393218:UOG393716 UOG458754:UOG459252 UOG524290:UOG524788 UOG589826:UOG590324 UOG655362:UOG655860 UOG720898:UOG721396 UOG786434:UOG786932 UOG851970:UOG852468 UOG917506:UOG918004 UOG983042:UOG983540 UYC2:UYC500 UYC65538:UYC66036 UYC131074:UYC131572 UYC196610:UYC197108 UYC262146:UYC262644 UYC327682:UYC328180 UYC393218:UYC393716 UYC458754:UYC459252 UYC524290:UYC524788 UYC589826:UYC590324 UYC655362:UYC655860 UYC720898:UYC721396 UYC786434:UYC786932 UYC851970:UYC852468 UYC917506:UYC918004 UYC983042:UYC983540 VHY2:VHY500 VHY65538:VHY66036 VHY131074:VHY131572 VHY196610:VHY197108 VHY262146:VHY262644 VHY327682:VHY328180 VHY393218:VHY393716 VHY458754:VHY459252 VHY524290:VHY524788 VHY589826:VHY590324 VHY655362:VHY655860 VHY720898:VHY721396 VHY786434:VHY786932 VHY851970:VHY852468 VHY917506:VHY918004 VHY983042:VHY983540 VRU2:VRU500 VRU65538:VRU66036 VRU131074:VRU131572 VRU196610:VRU197108 VRU262146:VRU262644 VRU327682:VRU328180 VRU393218:VRU393716 VRU458754:VRU459252 VRU524290:VRU524788 VRU589826:VRU590324 VRU655362:VRU655860 VRU720898:VRU721396 VRU786434:VRU786932 VRU851970:VRU852468 VRU917506:VRU918004 VRU983042:VRU983540 WBQ2:WBQ500 WBQ65538:WBQ66036 WBQ131074:WBQ131572 WBQ196610:WBQ197108 WBQ262146:WBQ262644 WBQ327682:WBQ328180 WBQ393218:WBQ393716 WBQ458754:WBQ459252 WBQ524290:WBQ524788 WBQ589826:WBQ590324 WBQ655362:WBQ655860 WBQ720898:WBQ721396 WBQ786434:WBQ786932 WBQ851970:WBQ852468 WBQ917506:WBQ918004 WBQ983042:WBQ983540 WLM2:WLM500 WLM65538:WLM66036 WLM131074:WLM131572 WLM196610:WLM197108 WLM262146:WLM262644 WLM327682:WLM328180 WLM393218:WLM393716 WLM458754:WLM459252 WLM524290:WLM524788 WLM589826:WLM590324 WLM655362:WLM655860 WLM720898:WLM721396 WLM786434:WLM786932 WLM851970:WLM852468 WLM917506:WLM918004 WLM983042:WLM983540 WVI2:WVI500 WVI65538:WVI66036 WVI131074:WVI131572 WVI196610:WVI197108 WVI262146:WVI262644 WVI327682:WVI328180 WVI393218:WVI393716 WVI458754:WVI459252 WVI524290:WVI524788 WVI589826:WVI590324 WVI655362:WVI655860 WVI720898:WVI721396 WVI786434:WVI786932 WVI851970:WVI852468 WVI917506:WVI918004 WVI983042:WVI983540" xr:uid="{E4CD4A22-D275-4641-A96C-CF5CEEBA190E}">
      <formula1>$AE$2:$AE$19</formula1>
    </dataValidation>
    <dataValidation type="list" allowBlank="1" showInputMessage="1" showErrorMessage="1" sqref="J2:J112" xr:uid="{8340D6A2-5EC4-49F5-B969-149E859C47C2}">
      <formula1>$AP$2:$AP$29</formula1>
    </dataValidation>
    <dataValidation type="list" allowBlank="1" showInputMessage="1" showErrorMessage="1" sqref="K2:K450" xr:uid="{A16D88F8-CEB6-4989-A862-1166024A1AAA}">
      <formula1>$AR$2:$AR$26</formula1>
    </dataValidation>
    <dataValidation type="list" allowBlank="1" showInputMessage="1" showErrorMessage="1" sqref="H2:H1254" xr:uid="{C6233D30-3F46-4A5D-95B2-3EAAEE86F1AC}">
      <formula1>$AL$2:$AL$9</formula1>
    </dataValidation>
    <dataValidation type="list" allowBlank="1" showInputMessage="1" showErrorMessage="1" sqref="ADM2:ADO500 BHA2:BHC500 CKO2:CKQ500 DOC2:DOE500 ERQ2:ERS500 FVE2:FVG500 GYS2:GYU500 ICG2:ICI500 JFU2:JFW500 KJI2:KJK500 LMW2:LMY500 MQK2:MQM500 NTY2:NUA500 OXM2:OXO500 QBA2:QBC500 REO2:REQ500 SIC2:SIE500 TLQ2:TLS500 UPE2:UPG500 VSS2:VSU500 WWG2:WWI500 JU2:JW500 ANI2:ANK500 BQW2:BQY500 CUK2:CUM500 DXY2:DYA500 FBM2:FBO500 GFA2:GFC500 HIO2:HIQ500 IMC2:IME500 JPQ2:JPS500 KTE2:KTG500 LWS2:LWU500 NAG2:NAI500 ODU2:ODW500 PHI2:PHK500 QKW2:QKY500 ROK2:ROM500 SRY2:SSA500 TVM2:TVO500 UZA2:UZC500 WCO2:WCQ500 TQ2:TS500 AXE2:AXG500 CAS2:CAU500 DEG2:DEI500 EHU2:EHW500 FLI2:FLK500 GOW2:GOY500 HSK2:HSM500 IVY2:IWA500 JZM2:JZO500 LDA2:LDC500 MGO2:MGQ500 NKC2:NKE500 ONQ2:ONS500 PRE2:PRG500 QUS2:QUU500 RYG2:RYI500 TBU2:TBW500 UFI2:UFK500 VIW2:VIY500 WMK2:WMM500 Y65538:AA66036 ADM65538:ADO66036 BHA65538:BHC66036 CKO65538:CKQ66036 DOC65538:DOE66036 ERQ65538:ERS66036 FVE65538:FVG66036 GYS65538:GYU66036 ICG65538:ICI66036 JFU65538:JFW66036 KJI65538:KJK66036 LMW65538:LMY66036 MQK65538:MQM66036 NTY65538:NUA66036 OXM65538:OXO66036 QBA65538:QBC66036 REO65538:REQ66036 SIC65538:SIE66036 TLQ65538:TLS66036 UPE65538:UPG66036 VSS65538:VSU66036 WWG65538:WWI66036 JU65538:JW66036 ANI65538:ANK66036 BQW65538:BQY66036 CUK65538:CUM66036 DXY65538:DYA66036 FBM65538:FBO66036 GFA65538:GFC66036 HIO65538:HIQ66036 IMC65538:IME66036 JPQ65538:JPS66036 KTE65538:KTG66036 LWS65538:LWU66036 NAG65538:NAI66036 ODU65538:ODW66036 PHI65538:PHK66036 QKW65538:QKY66036 ROK65538:ROM66036 SRY65538:SSA66036 TVM65538:TVO66036 UZA65538:UZC66036 WCO65538:WCQ66036 TQ65538:TS66036 AXE65538:AXG66036 CAS65538:CAU66036 DEG65538:DEI66036 EHU65538:EHW66036 FLI65538:FLK66036 GOW65538:GOY66036 HSK65538:HSM66036 IVY65538:IWA66036 JZM65538:JZO66036 LDA65538:LDC66036 MGO65538:MGQ66036 NKC65538:NKE66036 ONQ65538:ONS66036 PRE65538:PRG66036 QUS65538:QUU66036 RYG65538:RYI66036 TBU65538:TBW66036 UFI65538:UFK66036 VIW65538:VIY66036 WMK65538:WMM66036 Y131074:AA131572 ADM131074:ADO131572 BHA131074:BHC131572 CKO131074:CKQ131572 DOC131074:DOE131572 ERQ131074:ERS131572 FVE131074:FVG131572 GYS131074:GYU131572 ICG131074:ICI131572 JFU131074:JFW131572 KJI131074:KJK131572 LMW131074:LMY131572 MQK131074:MQM131572 NTY131074:NUA131572 OXM131074:OXO131572 QBA131074:QBC131572 REO131074:REQ131572 SIC131074:SIE131572 TLQ131074:TLS131572 UPE131074:UPG131572 VSS131074:VSU131572 WWG131074:WWI131572 JU131074:JW131572 ANI131074:ANK131572 BQW131074:BQY131572 CUK131074:CUM131572 DXY131074:DYA131572 FBM131074:FBO131572 GFA131074:GFC131572 HIO131074:HIQ131572 IMC131074:IME131572 JPQ131074:JPS131572 KTE131074:KTG131572 LWS131074:LWU131572 NAG131074:NAI131572 ODU131074:ODW131572 PHI131074:PHK131572 QKW131074:QKY131572 ROK131074:ROM131572 SRY131074:SSA131572 TVM131074:TVO131572 UZA131074:UZC131572 WCO131074:WCQ131572 TQ131074:TS131572 AXE131074:AXG131572 CAS131074:CAU131572 DEG131074:DEI131572 EHU131074:EHW131572 FLI131074:FLK131572 GOW131074:GOY131572 HSK131074:HSM131572 IVY131074:IWA131572 JZM131074:JZO131572 LDA131074:LDC131572 MGO131074:MGQ131572 NKC131074:NKE131572 ONQ131074:ONS131572 PRE131074:PRG131572 QUS131074:QUU131572 RYG131074:RYI131572 TBU131074:TBW131572 UFI131074:UFK131572 VIW131074:VIY131572 WMK131074:WMM131572 Y196610:AA197108 ADM196610:ADO197108 BHA196610:BHC197108 CKO196610:CKQ197108 DOC196610:DOE197108 ERQ196610:ERS197108 FVE196610:FVG197108 GYS196610:GYU197108 ICG196610:ICI197108 JFU196610:JFW197108 KJI196610:KJK197108 LMW196610:LMY197108 MQK196610:MQM197108 NTY196610:NUA197108 OXM196610:OXO197108 QBA196610:QBC197108 REO196610:REQ197108 SIC196610:SIE197108 TLQ196610:TLS197108 UPE196610:UPG197108 VSS196610:VSU197108 WWG196610:WWI197108 JU196610:JW197108 ANI196610:ANK197108 BQW196610:BQY197108 CUK196610:CUM197108 DXY196610:DYA197108 FBM196610:FBO197108 GFA196610:GFC197108 HIO196610:HIQ197108 IMC196610:IME197108 JPQ196610:JPS197108 KTE196610:KTG197108 LWS196610:LWU197108 NAG196610:NAI197108 ODU196610:ODW197108 PHI196610:PHK197108 QKW196610:QKY197108 ROK196610:ROM197108 SRY196610:SSA197108 TVM196610:TVO197108 UZA196610:UZC197108 WCO196610:WCQ197108 TQ196610:TS197108 AXE196610:AXG197108 CAS196610:CAU197108 DEG196610:DEI197108 EHU196610:EHW197108 FLI196610:FLK197108 GOW196610:GOY197108 HSK196610:HSM197108 IVY196610:IWA197108 JZM196610:JZO197108 LDA196610:LDC197108 MGO196610:MGQ197108 NKC196610:NKE197108 ONQ196610:ONS197108 PRE196610:PRG197108 QUS196610:QUU197108 RYG196610:RYI197108 TBU196610:TBW197108 UFI196610:UFK197108 VIW196610:VIY197108 WMK196610:WMM197108 Y262146:AA262644 ADM262146:ADO262644 BHA262146:BHC262644 CKO262146:CKQ262644 DOC262146:DOE262644 ERQ262146:ERS262644 FVE262146:FVG262644 GYS262146:GYU262644 ICG262146:ICI262644 JFU262146:JFW262644 KJI262146:KJK262644 LMW262146:LMY262644 MQK262146:MQM262644 NTY262146:NUA262644 OXM262146:OXO262644 QBA262146:QBC262644 REO262146:REQ262644 SIC262146:SIE262644 TLQ262146:TLS262644 UPE262146:UPG262644 VSS262146:VSU262644 WWG262146:WWI262644 JU262146:JW262644 ANI262146:ANK262644 BQW262146:BQY262644 CUK262146:CUM262644 DXY262146:DYA262644 FBM262146:FBO262644 GFA262146:GFC262644 HIO262146:HIQ262644 IMC262146:IME262644 JPQ262146:JPS262644 KTE262146:KTG262644 LWS262146:LWU262644 NAG262146:NAI262644 ODU262146:ODW262644 PHI262146:PHK262644 QKW262146:QKY262644 ROK262146:ROM262644 SRY262146:SSA262644 TVM262146:TVO262644 UZA262146:UZC262644 WCO262146:WCQ262644 TQ262146:TS262644 AXE262146:AXG262644 CAS262146:CAU262644 DEG262146:DEI262644 EHU262146:EHW262644 FLI262146:FLK262644 GOW262146:GOY262644 HSK262146:HSM262644 IVY262146:IWA262644 JZM262146:JZO262644 LDA262146:LDC262644 MGO262146:MGQ262644 NKC262146:NKE262644 ONQ262146:ONS262644 PRE262146:PRG262644 QUS262146:QUU262644 RYG262146:RYI262644 TBU262146:TBW262644 UFI262146:UFK262644 VIW262146:VIY262644 WMK262146:WMM262644 Y327682:AA328180 ADM327682:ADO328180 BHA327682:BHC328180 CKO327682:CKQ328180 DOC327682:DOE328180 ERQ327682:ERS328180 FVE327682:FVG328180 GYS327682:GYU328180 ICG327682:ICI328180 JFU327682:JFW328180 KJI327682:KJK328180 LMW327682:LMY328180 MQK327682:MQM328180 NTY327682:NUA328180 OXM327682:OXO328180 QBA327682:QBC328180 REO327682:REQ328180 SIC327682:SIE328180 TLQ327682:TLS328180 UPE327682:UPG328180 VSS327682:VSU328180 WWG327682:WWI328180 JU327682:JW328180 ANI327682:ANK328180 BQW327682:BQY328180 CUK327682:CUM328180 DXY327682:DYA328180 FBM327682:FBO328180 GFA327682:GFC328180 HIO327682:HIQ328180 IMC327682:IME328180 JPQ327682:JPS328180 KTE327682:KTG328180 LWS327682:LWU328180 NAG327682:NAI328180 ODU327682:ODW328180 PHI327682:PHK328180 QKW327682:QKY328180 ROK327682:ROM328180 SRY327682:SSA328180 TVM327682:TVO328180 UZA327682:UZC328180 WCO327682:WCQ328180 TQ327682:TS328180 AXE327682:AXG328180 CAS327682:CAU328180 DEG327682:DEI328180 EHU327682:EHW328180 FLI327682:FLK328180 GOW327682:GOY328180 HSK327682:HSM328180 IVY327682:IWA328180 JZM327682:JZO328180 LDA327682:LDC328180 MGO327682:MGQ328180 NKC327682:NKE328180 ONQ327682:ONS328180 PRE327682:PRG328180 QUS327682:QUU328180 RYG327682:RYI328180 TBU327682:TBW328180 UFI327682:UFK328180 VIW327682:VIY328180 WMK327682:WMM328180 Y393218:AA393716 ADM393218:ADO393716 BHA393218:BHC393716 CKO393218:CKQ393716 DOC393218:DOE393716 ERQ393218:ERS393716 FVE393218:FVG393716 GYS393218:GYU393716 ICG393218:ICI393716 JFU393218:JFW393716 KJI393218:KJK393716 LMW393218:LMY393716 MQK393218:MQM393716 NTY393218:NUA393716 OXM393218:OXO393716 QBA393218:QBC393716 REO393218:REQ393716 SIC393218:SIE393716 TLQ393218:TLS393716 UPE393218:UPG393716 VSS393218:VSU393716 WWG393218:WWI393716 JU393218:JW393716 ANI393218:ANK393716 BQW393218:BQY393716 CUK393218:CUM393716 DXY393218:DYA393716 FBM393218:FBO393716 GFA393218:GFC393716 HIO393218:HIQ393716 IMC393218:IME393716 JPQ393218:JPS393716 KTE393218:KTG393716 LWS393218:LWU393716 NAG393218:NAI393716 ODU393218:ODW393716 PHI393218:PHK393716 QKW393218:QKY393716 ROK393218:ROM393716 SRY393218:SSA393716 TVM393218:TVO393716 UZA393218:UZC393716 WCO393218:WCQ393716 TQ393218:TS393716 AXE393218:AXG393716 CAS393218:CAU393716 DEG393218:DEI393716 EHU393218:EHW393716 FLI393218:FLK393716 GOW393218:GOY393716 HSK393218:HSM393716 IVY393218:IWA393716 JZM393218:JZO393716 LDA393218:LDC393716 MGO393218:MGQ393716 NKC393218:NKE393716 ONQ393218:ONS393716 PRE393218:PRG393716 QUS393218:QUU393716 RYG393218:RYI393716 TBU393218:TBW393716 UFI393218:UFK393716 VIW393218:VIY393716 WMK393218:WMM393716 Y458754:AA459252 ADM458754:ADO459252 BHA458754:BHC459252 CKO458754:CKQ459252 DOC458754:DOE459252 ERQ458754:ERS459252 FVE458754:FVG459252 GYS458754:GYU459252 ICG458754:ICI459252 JFU458754:JFW459252 KJI458754:KJK459252 LMW458754:LMY459252 MQK458754:MQM459252 NTY458754:NUA459252 OXM458754:OXO459252 QBA458754:QBC459252 REO458754:REQ459252 SIC458754:SIE459252 TLQ458754:TLS459252 UPE458754:UPG459252 VSS458754:VSU459252 WWG458754:WWI459252 JU458754:JW459252 ANI458754:ANK459252 BQW458754:BQY459252 CUK458754:CUM459252 DXY458754:DYA459252 FBM458754:FBO459252 GFA458754:GFC459252 HIO458754:HIQ459252 IMC458754:IME459252 JPQ458754:JPS459252 KTE458754:KTG459252 LWS458754:LWU459252 NAG458754:NAI459252 ODU458754:ODW459252 PHI458754:PHK459252 QKW458754:QKY459252 ROK458754:ROM459252 SRY458754:SSA459252 TVM458754:TVO459252 UZA458754:UZC459252 WCO458754:WCQ459252 TQ458754:TS459252 AXE458754:AXG459252 CAS458754:CAU459252 DEG458754:DEI459252 EHU458754:EHW459252 FLI458754:FLK459252 GOW458754:GOY459252 HSK458754:HSM459252 IVY458754:IWA459252 JZM458754:JZO459252 LDA458754:LDC459252 MGO458754:MGQ459252 NKC458754:NKE459252 ONQ458754:ONS459252 PRE458754:PRG459252 QUS458754:QUU459252 RYG458754:RYI459252 TBU458754:TBW459252 UFI458754:UFK459252 VIW458754:VIY459252 WMK458754:WMM459252 Y524290:AA524788 ADM524290:ADO524788 BHA524290:BHC524788 CKO524290:CKQ524788 DOC524290:DOE524788 ERQ524290:ERS524788 FVE524290:FVG524788 GYS524290:GYU524788 ICG524290:ICI524788 JFU524290:JFW524788 KJI524290:KJK524788 LMW524290:LMY524788 MQK524290:MQM524788 NTY524290:NUA524788 OXM524290:OXO524788 QBA524290:QBC524788 REO524290:REQ524788 SIC524290:SIE524788 TLQ524290:TLS524788 UPE524290:UPG524788 VSS524290:VSU524788 WWG524290:WWI524788 JU524290:JW524788 ANI524290:ANK524788 BQW524290:BQY524788 CUK524290:CUM524788 DXY524290:DYA524788 FBM524290:FBO524788 GFA524290:GFC524788 HIO524290:HIQ524788 IMC524290:IME524788 JPQ524290:JPS524788 KTE524290:KTG524788 LWS524290:LWU524788 NAG524290:NAI524788 ODU524290:ODW524788 PHI524290:PHK524788 QKW524290:QKY524788 ROK524290:ROM524788 SRY524290:SSA524788 TVM524290:TVO524788 UZA524290:UZC524788 WCO524290:WCQ524788 TQ524290:TS524788 AXE524290:AXG524788 CAS524290:CAU524788 DEG524290:DEI524788 EHU524290:EHW524788 FLI524290:FLK524788 GOW524290:GOY524788 HSK524290:HSM524788 IVY524290:IWA524788 JZM524290:JZO524788 LDA524290:LDC524788 MGO524290:MGQ524788 NKC524290:NKE524788 ONQ524290:ONS524788 PRE524290:PRG524788 QUS524290:QUU524788 RYG524290:RYI524788 TBU524290:TBW524788 UFI524290:UFK524788 VIW524290:VIY524788 WMK524290:WMM524788 Y589826:AA590324 ADM589826:ADO590324 BHA589826:BHC590324 CKO589826:CKQ590324 DOC589826:DOE590324 ERQ589826:ERS590324 FVE589826:FVG590324 GYS589826:GYU590324 ICG589826:ICI590324 JFU589826:JFW590324 KJI589826:KJK590324 LMW589826:LMY590324 MQK589826:MQM590324 NTY589826:NUA590324 OXM589826:OXO590324 QBA589826:QBC590324 REO589826:REQ590324 SIC589826:SIE590324 TLQ589826:TLS590324 UPE589826:UPG590324 VSS589826:VSU590324 WWG589826:WWI590324 JU589826:JW590324 ANI589826:ANK590324 BQW589826:BQY590324 CUK589826:CUM590324 DXY589826:DYA590324 FBM589826:FBO590324 GFA589826:GFC590324 HIO589826:HIQ590324 IMC589826:IME590324 JPQ589826:JPS590324 KTE589826:KTG590324 LWS589826:LWU590324 NAG589826:NAI590324 ODU589826:ODW590324 PHI589826:PHK590324 QKW589826:QKY590324 ROK589826:ROM590324 SRY589826:SSA590324 TVM589826:TVO590324 UZA589826:UZC590324 WCO589826:WCQ590324 TQ589826:TS590324 AXE589826:AXG590324 CAS589826:CAU590324 DEG589826:DEI590324 EHU589826:EHW590324 FLI589826:FLK590324 GOW589826:GOY590324 HSK589826:HSM590324 IVY589826:IWA590324 JZM589826:JZO590324 LDA589826:LDC590324 MGO589826:MGQ590324 NKC589826:NKE590324 ONQ589826:ONS590324 PRE589826:PRG590324 QUS589826:QUU590324 RYG589826:RYI590324 TBU589826:TBW590324 UFI589826:UFK590324 VIW589826:VIY590324 WMK589826:WMM590324 Y655362:AA655860 ADM655362:ADO655860 BHA655362:BHC655860 CKO655362:CKQ655860 DOC655362:DOE655860 ERQ655362:ERS655860 FVE655362:FVG655860 GYS655362:GYU655860 ICG655362:ICI655860 JFU655362:JFW655860 KJI655362:KJK655860 LMW655362:LMY655860 MQK655362:MQM655860 NTY655362:NUA655860 OXM655362:OXO655860 QBA655362:QBC655860 REO655362:REQ655860 SIC655362:SIE655860 TLQ655362:TLS655860 UPE655362:UPG655860 VSS655362:VSU655860 WWG655362:WWI655860 JU655362:JW655860 ANI655362:ANK655860 BQW655362:BQY655860 CUK655362:CUM655860 DXY655362:DYA655860 FBM655362:FBO655860 GFA655362:GFC655860 HIO655362:HIQ655860 IMC655362:IME655860 JPQ655362:JPS655860 KTE655362:KTG655860 LWS655362:LWU655860 NAG655362:NAI655860 ODU655362:ODW655860 PHI655362:PHK655860 QKW655362:QKY655860 ROK655362:ROM655860 SRY655362:SSA655860 TVM655362:TVO655860 UZA655362:UZC655860 WCO655362:WCQ655860 TQ655362:TS655860 AXE655362:AXG655860 CAS655362:CAU655860 DEG655362:DEI655860 EHU655362:EHW655860 FLI655362:FLK655860 GOW655362:GOY655860 HSK655362:HSM655860 IVY655362:IWA655860 JZM655362:JZO655860 LDA655362:LDC655860 MGO655362:MGQ655860 NKC655362:NKE655860 ONQ655362:ONS655860 PRE655362:PRG655860 QUS655362:QUU655860 RYG655362:RYI655860 TBU655362:TBW655860 UFI655362:UFK655860 VIW655362:VIY655860 WMK655362:WMM655860 Y720898:AA721396 ADM720898:ADO721396 BHA720898:BHC721396 CKO720898:CKQ721396 DOC720898:DOE721396 ERQ720898:ERS721396 FVE720898:FVG721396 GYS720898:GYU721396 ICG720898:ICI721396 JFU720898:JFW721396 KJI720898:KJK721396 LMW720898:LMY721396 MQK720898:MQM721396 NTY720898:NUA721396 OXM720898:OXO721396 QBA720898:QBC721396 REO720898:REQ721396 SIC720898:SIE721396 TLQ720898:TLS721396 UPE720898:UPG721396 VSS720898:VSU721396 WWG720898:WWI721396 JU720898:JW721396 ANI720898:ANK721396 BQW720898:BQY721396 CUK720898:CUM721396 DXY720898:DYA721396 FBM720898:FBO721396 GFA720898:GFC721396 HIO720898:HIQ721396 IMC720898:IME721396 JPQ720898:JPS721396 KTE720898:KTG721396 LWS720898:LWU721396 NAG720898:NAI721396 ODU720898:ODW721396 PHI720898:PHK721396 QKW720898:QKY721396 ROK720898:ROM721396 SRY720898:SSA721396 TVM720898:TVO721396 UZA720898:UZC721396 WCO720898:WCQ721396 TQ720898:TS721396 AXE720898:AXG721396 CAS720898:CAU721396 DEG720898:DEI721396 EHU720898:EHW721396 FLI720898:FLK721396 GOW720898:GOY721396 HSK720898:HSM721396 IVY720898:IWA721396 JZM720898:JZO721396 LDA720898:LDC721396 MGO720898:MGQ721396 NKC720898:NKE721396 ONQ720898:ONS721396 PRE720898:PRG721396 QUS720898:QUU721396 RYG720898:RYI721396 TBU720898:TBW721396 UFI720898:UFK721396 VIW720898:VIY721396 WMK720898:WMM721396 Y786434:AA786932 ADM786434:ADO786932 BHA786434:BHC786932 CKO786434:CKQ786932 DOC786434:DOE786932 ERQ786434:ERS786932 FVE786434:FVG786932 GYS786434:GYU786932 ICG786434:ICI786932 JFU786434:JFW786932 KJI786434:KJK786932 LMW786434:LMY786932 MQK786434:MQM786932 NTY786434:NUA786932 OXM786434:OXO786932 QBA786434:QBC786932 REO786434:REQ786932 SIC786434:SIE786932 TLQ786434:TLS786932 UPE786434:UPG786932 VSS786434:VSU786932 WWG786434:WWI786932 JU786434:JW786932 ANI786434:ANK786932 BQW786434:BQY786932 CUK786434:CUM786932 DXY786434:DYA786932 FBM786434:FBO786932 GFA786434:GFC786932 HIO786434:HIQ786932 IMC786434:IME786932 JPQ786434:JPS786932 KTE786434:KTG786932 LWS786434:LWU786932 NAG786434:NAI786932 ODU786434:ODW786932 PHI786434:PHK786932 QKW786434:QKY786932 ROK786434:ROM786932 SRY786434:SSA786932 TVM786434:TVO786932 UZA786434:UZC786932 WCO786434:WCQ786932 TQ786434:TS786932 AXE786434:AXG786932 CAS786434:CAU786932 DEG786434:DEI786932 EHU786434:EHW786932 FLI786434:FLK786932 GOW786434:GOY786932 HSK786434:HSM786932 IVY786434:IWA786932 JZM786434:JZO786932 LDA786434:LDC786932 MGO786434:MGQ786932 NKC786434:NKE786932 ONQ786434:ONS786932 PRE786434:PRG786932 QUS786434:QUU786932 RYG786434:RYI786932 TBU786434:TBW786932 UFI786434:UFK786932 VIW786434:VIY786932 WMK786434:WMM786932 Y851970:AA852468 ADM851970:ADO852468 BHA851970:BHC852468 CKO851970:CKQ852468 DOC851970:DOE852468 ERQ851970:ERS852468 FVE851970:FVG852468 GYS851970:GYU852468 ICG851970:ICI852468 JFU851970:JFW852468 KJI851970:KJK852468 LMW851970:LMY852468 MQK851970:MQM852468 NTY851970:NUA852468 OXM851970:OXO852468 QBA851970:QBC852468 REO851970:REQ852468 SIC851970:SIE852468 TLQ851970:TLS852468 UPE851970:UPG852468 VSS851970:VSU852468 WWG851970:WWI852468 JU851970:JW852468 ANI851970:ANK852468 BQW851970:BQY852468 CUK851970:CUM852468 DXY851970:DYA852468 FBM851970:FBO852468 GFA851970:GFC852468 HIO851970:HIQ852468 IMC851970:IME852468 JPQ851970:JPS852468 KTE851970:KTG852468 LWS851970:LWU852468 NAG851970:NAI852468 ODU851970:ODW852468 PHI851970:PHK852468 QKW851970:QKY852468 ROK851970:ROM852468 SRY851970:SSA852468 TVM851970:TVO852468 UZA851970:UZC852468 WCO851970:WCQ852468 TQ851970:TS852468 AXE851970:AXG852468 CAS851970:CAU852468 DEG851970:DEI852468 EHU851970:EHW852468 FLI851970:FLK852468 GOW851970:GOY852468 HSK851970:HSM852468 IVY851970:IWA852468 JZM851970:JZO852468 LDA851970:LDC852468 MGO851970:MGQ852468 NKC851970:NKE852468 ONQ851970:ONS852468 PRE851970:PRG852468 QUS851970:QUU852468 RYG851970:RYI852468 TBU851970:TBW852468 UFI851970:UFK852468 VIW851970:VIY852468 WMK851970:WMM852468 Y917506:AA918004 ADM917506:ADO918004 BHA917506:BHC918004 CKO917506:CKQ918004 DOC917506:DOE918004 ERQ917506:ERS918004 FVE917506:FVG918004 GYS917506:GYU918004 ICG917506:ICI918004 JFU917506:JFW918004 KJI917506:KJK918004 LMW917506:LMY918004 MQK917506:MQM918004 NTY917506:NUA918004 OXM917506:OXO918004 QBA917506:QBC918004 REO917506:REQ918004 SIC917506:SIE918004 TLQ917506:TLS918004 UPE917506:UPG918004 VSS917506:VSU918004 WWG917506:WWI918004 JU917506:JW918004 ANI917506:ANK918004 BQW917506:BQY918004 CUK917506:CUM918004 DXY917506:DYA918004 FBM917506:FBO918004 GFA917506:GFC918004 HIO917506:HIQ918004 IMC917506:IME918004 JPQ917506:JPS918004 KTE917506:KTG918004 LWS917506:LWU918004 NAG917506:NAI918004 ODU917506:ODW918004 PHI917506:PHK918004 QKW917506:QKY918004 ROK917506:ROM918004 SRY917506:SSA918004 TVM917506:TVO918004 UZA917506:UZC918004 WCO917506:WCQ918004 TQ917506:TS918004 AXE917506:AXG918004 CAS917506:CAU918004 DEG917506:DEI918004 EHU917506:EHW918004 FLI917506:FLK918004 GOW917506:GOY918004 HSK917506:HSM918004 IVY917506:IWA918004 JZM917506:JZO918004 LDA917506:LDC918004 MGO917506:MGQ918004 NKC917506:NKE918004 ONQ917506:ONS918004 PRE917506:PRG918004 QUS917506:QUU918004 RYG917506:RYI918004 TBU917506:TBW918004 UFI917506:UFK918004 VIW917506:VIY918004 WMK917506:WMM918004 Y983042:AA983540 ADM983042:ADO983540 BHA983042:BHC983540 CKO983042:CKQ983540 DOC983042:DOE983540 ERQ983042:ERS983540 FVE983042:FVG983540 GYS983042:GYU983540 ICG983042:ICI983540 JFU983042:JFW983540 KJI983042:KJK983540 LMW983042:LMY983540 MQK983042:MQM983540 NTY983042:NUA983540 OXM983042:OXO983540 QBA983042:QBC983540 REO983042:REQ983540 SIC983042:SIE983540 TLQ983042:TLS983540 UPE983042:UPG983540 VSS983042:VSU983540 WWG983042:WWI983540 JU983042:JW983540 ANI983042:ANK983540 BQW983042:BQY983540 CUK983042:CUM983540 DXY983042:DYA983540 FBM983042:FBO983540 GFA983042:GFC983540 HIO983042:HIQ983540 IMC983042:IME983540 JPQ983042:JPS983540 KTE983042:KTG983540 LWS983042:LWU983540 NAG983042:NAI983540 ODU983042:ODW983540 PHI983042:PHK983540 QKW983042:QKY983540 ROK983042:ROM983540 SRY983042:SSA983540 TVM983042:TVO983540 UZA983042:UZC983540 WCO983042:WCQ983540 TQ983042:TS983540 AXE983042:AXG983540 CAS983042:CAU983540 DEG983042:DEI983540 EHU983042:EHW983540 FLI983042:FLK983540 GOW983042:GOY983540 HSK983042:HSM983540 IVY983042:IWA983540 JZM983042:JZO983540 LDA983042:LDC983540 MGO983042:MGQ983540 NKC983042:NKE983540 ONQ983042:ONS983540 PRE983042:PRG983540 QUS983042:QUU983540 RYG983042:RYI983540 TBU983042:TBW983540 UFI983042:UFK983540 VIW983042:VIY983540 WMK983042:WMM983540 Y2:AA500" xr:uid="{54162359-6058-47CD-806B-DE897052AD78}">
      <formula1>$AV$2:$AV$21</formula1>
    </dataValidation>
    <dataValidation type="decimal" allowBlank="1" showInputMessage="1" showErrorMessage="1" error="硬度を正しく入力して下さい。" sqref="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WVW983042:WVX983540 O2:P500" xr:uid="{67657002-B586-4D35-B3BB-5B196374F8BD}">
      <formula1>0</formula1>
      <formula2>7</formula2>
    </dataValidation>
    <dataValidation type="list" allowBlank="1" showInputMessage="1" showErrorMessage="1" sqref="F2:F65536 F65538:F131072 F131074:F196608 F196610:F262144 F262146:F327680 F327682:F393216 F393218:F458752 F458754:F524288 F524290:F589824 F589826:F655360 F655362:F720896 F720898:F786432 F786434:F851968 F851970:F917504 F917506:F983040 F983042:F1048576 JB2:JB65536 JB65538:JB131072 JB131074:JB196608 JB196610:JB262144 JB262146:JB327680 JB327682:JB393216 JB393218:JB458752 JB458754:JB524288 JB524290:JB589824 JB589826:JB655360 JB655362:JB720896 JB720898:JB786432 JB786434:JB851968 JB851970:JB917504 JB917506:JB983040 JB983042:JB1048576 SX2:SX65536 SX65538:SX131072 SX131074:SX196608 SX196610:SX262144 SX262146:SX327680 SX327682:SX393216 SX393218:SX458752 SX458754:SX524288 SX524290:SX589824 SX589826:SX655360 SX655362:SX720896 SX720898:SX786432 SX786434:SX851968 SX851970:SX917504 SX917506:SX983040 SX983042:SX1048576 ACT2:ACT65536 ACT65538:ACT131072 ACT131074:ACT196608 ACT196610:ACT262144 ACT262146:ACT327680 ACT327682:ACT393216 ACT393218:ACT458752 ACT458754:ACT524288 ACT524290:ACT589824 ACT589826:ACT655360 ACT655362:ACT720896 ACT720898:ACT786432 ACT786434:ACT851968 ACT851970:ACT917504 ACT917506:ACT983040 ACT983042:ACT1048576 AMP2:AMP65536 AMP65538:AMP131072 AMP131074:AMP196608 AMP196610:AMP262144 AMP262146:AMP327680 AMP327682:AMP393216 AMP393218:AMP458752 AMP458754:AMP524288 AMP524290:AMP589824 AMP589826:AMP655360 AMP655362:AMP720896 AMP720898:AMP786432 AMP786434:AMP851968 AMP851970:AMP917504 AMP917506:AMP983040 AMP983042:AMP1048576 AWL2:AWL65536 AWL65538:AWL131072 AWL131074:AWL196608 AWL196610:AWL262144 AWL262146:AWL327680 AWL327682:AWL393216 AWL393218:AWL458752 AWL458754:AWL524288 AWL524290:AWL589824 AWL589826:AWL655360 AWL655362:AWL720896 AWL720898:AWL786432 AWL786434:AWL851968 AWL851970:AWL917504 AWL917506:AWL983040 AWL983042:AWL1048576 BGH2:BGH65536 BGH65538:BGH131072 BGH131074:BGH196608 BGH196610:BGH262144 BGH262146:BGH327680 BGH327682:BGH393216 BGH393218:BGH458752 BGH458754:BGH524288 BGH524290:BGH589824 BGH589826:BGH655360 BGH655362:BGH720896 BGH720898:BGH786432 BGH786434:BGH851968 BGH851970:BGH917504 BGH917506:BGH983040 BGH983042:BGH1048576 BQD2:BQD65536 BQD65538:BQD131072 BQD131074:BQD196608 BQD196610:BQD262144 BQD262146:BQD327680 BQD327682:BQD393216 BQD393218:BQD458752 BQD458754:BQD524288 BQD524290:BQD589824 BQD589826:BQD655360 BQD655362:BQD720896 BQD720898:BQD786432 BQD786434:BQD851968 BQD851970:BQD917504 BQD917506:BQD983040 BQD983042:BQD1048576 BZZ2:BZZ65536 BZZ65538:BZZ131072 BZZ131074:BZZ196608 BZZ196610:BZZ262144 BZZ262146:BZZ327680 BZZ327682:BZZ393216 BZZ393218:BZZ458752 BZZ458754:BZZ524288 BZZ524290:BZZ589824 BZZ589826:BZZ655360 BZZ655362:BZZ720896 BZZ720898:BZZ786432 BZZ786434:BZZ851968 BZZ851970:BZZ917504 BZZ917506:BZZ983040 BZZ983042:BZZ1048576 CJV2:CJV65536 CJV65538:CJV131072 CJV131074:CJV196608 CJV196610:CJV262144 CJV262146:CJV327680 CJV327682:CJV393216 CJV393218:CJV458752 CJV458754:CJV524288 CJV524290:CJV589824 CJV589826:CJV655360 CJV655362:CJV720896 CJV720898:CJV786432 CJV786434:CJV851968 CJV851970:CJV917504 CJV917506:CJV983040 CJV983042:CJV1048576 CTR2:CTR65536 CTR65538:CTR131072 CTR131074:CTR196608 CTR196610:CTR262144 CTR262146:CTR327680 CTR327682:CTR393216 CTR393218:CTR458752 CTR458754:CTR524288 CTR524290:CTR589824 CTR589826:CTR655360 CTR655362:CTR720896 CTR720898:CTR786432 CTR786434:CTR851968 CTR851970:CTR917504 CTR917506:CTR983040 CTR983042:CTR1048576 DDN2:DDN65536 DDN65538:DDN131072 DDN131074:DDN196608 DDN196610:DDN262144 DDN262146:DDN327680 DDN327682:DDN393216 DDN393218:DDN458752 DDN458754:DDN524288 DDN524290:DDN589824 DDN589826:DDN655360 DDN655362:DDN720896 DDN720898:DDN786432 DDN786434:DDN851968 DDN851970:DDN917504 DDN917506:DDN983040 DDN983042:DDN1048576 DNJ2:DNJ65536 DNJ65538:DNJ131072 DNJ131074:DNJ196608 DNJ196610:DNJ262144 DNJ262146:DNJ327680 DNJ327682:DNJ393216 DNJ393218:DNJ458752 DNJ458754:DNJ524288 DNJ524290:DNJ589824 DNJ589826:DNJ655360 DNJ655362:DNJ720896 DNJ720898:DNJ786432 DNJ786434:DNJ851968 DNJ851970:DNJ917504 DNJ917506:DNJ983040 DNJ983042:DNJ1048576 DXF2:DXF65536 DXF65538:DXF131072 DXF131074:DXF196608 DXF196610:DXF262144 DXF262146:DXF327680 DXF327682:DXF393216 DXF393218:DXF458752 DXF458754:DXF524288 DXF524290:DXF589824 DXF589826:DXF655360 DXF655362:DXF720896 DXF720898:DXF786432 DXF786434:DXF851968 DXF851970:DXF917504 DXF917506:DXF983040 DXF983042:DXF1048576 EHB2:EHB65536 EHB65538:EHB131072 EHB131074:EHB196608 EHB196610:EHB262144 EHB262146:EHB327680 EHB327682:EHB393216 EHB393218:EHB458752 EHB458754:EHB524288 EHB524290:EHB589824 EHB589826:EHB655360 EHB655362:EHB720896 EHB720898:EHB786432 EHB786434:EHB851968 EHB851970:EHB917504 EHB917506:EHB983040 EHB983042:EHB1048576 EQX2:EQX65536 EQX65538:EQX131072 EQX131074:EQX196608 EQX196610:EQX262144 EQX262146:EQX327680 EQX327682:EQX393216 EQX393218:EQX458752 EQX458754:EQX524288 EQX524290:EQX589824 EQX589826:EQX655360 EQX655362:EQX720896 EQX720898:EQX786432 EQX786434:EQX851968 EQX851970:EQX917504 EQX917506:EQX983040 EQX983042:EQX1048576 FAT2:FAT65536 FAT65538:FAT131072 FAT131074:FAT196608 FAT196610:FAT262144 FAT262146:FAT327680 FAT327682:FAT393216 FAT393218:FAT458752 FAT458754:FAT524288 FAT524290:FAT589824 FAT589826:FAT655360 FAT655362:FAT720896 FAT720898:FAT786432 FAT786434:FAT851968 FAT851970:FAT917504 FAT917506:FAT983040 FAT983042:FAT1048576 FKP2:FKP65536 FKP65538:FKP131072 FKP131074:FKP196608 FKP196610:FKP262144 FKP262146:FKP327680 FKP327682:FKP393216 FKP393218:FKP458752 FKP458754:FKP524288 FKP524290:FKP589824 FKP589826:FKP655360 FKP655362:FKP720896 FKP720898:FKP786432 FKP786434:FKP851968 FKP851970:FKP917504 FKP917506:FKP983040 FKP983042:FKP1048576 FUL2:FUL65536 FUL65538:FUL131072 FUL131074:FUL196608 FUL196610:FUL262144 FUL262146:FUL327680 FUL327682:FUL393216 FUL393218:FUL458752 FUL458754:FUL524288 FUL524290:FUL589824 FUL589826:FUL655360 FUL655362:FUL720896 FUL720898:FUL786432 FUL786434:FUL851968 FUL851970:FUL917504 FUL917506:FUL983040 FUL983042:FUL1048576 GEH2:GEH65536 GEH65538:GEH131072 GEH131074:GEH196608 GEH196610:GEH262144 GEH262146:GEH327680 GEH327682:GEH393216 GEH393218:GEH458752 GEH458754:GEH524288 GEH524290:GEH589824 GEH589826:GEH655360 GEH655362:GEH720896 GEH720898:GEH786432 GEH786434:GEH851968 GEH851970:GEH917504 GEH917506:GEH983040 GEH983042:GEH1048576 GOD2:GOD65536 GOD65538:GOD131072 GOD131074:GOD196608 GOD196610:GOD262144 GOD262146:GOD327680 GOD327682:GOD393216 GOD393218:GOD458752 GOD458754:GOD524288 GOD524290:GOD589824 GOD589826:GOD655360 GOD655362:GOD720896 GOD720898:GOD786432 GOD786434:GOD851968 GOD851970:GOD917504 GOD917506:GOD983040 GOD983042:GOD1048576 GXZ2:GXZ65536 GXZ65538:GXZ131072 GXZ131074:GXZ196608 GXZ196610:GXZ262144 GXZ262146:GXZ327680 GXZ327682:GXZ393216 GXZ393218:GXZ458752 GXZ458754:GXZ524288 GXZ524290:GXZ589824 GXZ589826:GXZ655360 GXZ655362:GXZ720896 GXZ720898:GXZ786432 GXZ786434:GXZ851968 GXZ851970:GXZ917504 GXZ917506:GXZ983040 GXZ983042:GXZ1048576 HHV2:HHV65536 HHV65538:HHV131072 HHV131074:HHV196608 HHV196610:HHV262144 HHV262146:HHV327680 HHV327682:HHV393216 HHV393218:HHV458752 HHV458754:HHV524288 HHV524290:HHV589824 HHV589826:HHV655360 HHV655362:HHV720896 HHV720898:HHV786432 HHV786434:HHV851968 HHV851970:HHV917504 HHV917506:HHV983040 HHV983042:HHV1048576 HRR2:HRR65536 HRR65538:HRR131072 HRR131074:HRR196608 HRR196610:HRR262144 HRR262146:HRR327680 HRR327682:HRR393216 HRR393218:HRR458752 HRR458754:HRR524288 HRR524290:HRR589824 HRR589826:HRR655360 HRR655362:HRR720896 HRR720898:HRR786432 HRR786434:HRR851968 HRR851970:HRR917504 HRR917506:HRR983040 HRR983042:HRR1048576 IBN2:IBN65536 IBN65538:IBN131072 IBN131074:IBN196608 IBN196610:IBN262144 IBN262146:IBN327680 IBN327682:IBN393216 IBN393218:IBN458752 IBN458754:IBN524288 IBN524290:IBN589824 IBN589826:IBN655360 IBN655362:IBN720896 IBN720898:IBN786432 IBN786434:IBN851968 IBN851970:IBN917504 IBN917506:IBN983040 IBN983042:IBN1048576 ILJ2:ILJ65536 ILJ65538:ILJ131072 ILJ131074:ILJ196608 ILJ196610:ILJ262144 ILJ262146:ILJ327680 ILJ327682:ILJ393216 ILJ393218:ILJ458752 ILJ458754:ILJ524288 ILJ524290:ILJ589824 ILJ589826:ILJ655360 ILJ655362:ILJ720896 ILJ720898:ILJ786432 ILJ786434:ILJ851968 ILJ851970:ILJ917504 ILJ917506:ILJ983040 ILJ983042:ILJ1048576 IVF2:IVF65536 IVF65538:IVF131072 IVF131074:IVF196608 IVF196610:IVF262144 IVF262146:IVF327680 IVF327682:IVF393216 IVF393218:IVF458752 IVF458754:IVF524288 IVF524290:IVF589824 IVF589826:IVF655360 IVF655362:IVF720896 IVF720898:IVF786432 IVF786434:IVF851968 IVF851970:IVF917504 IVF917506:IVF983040 IVF983042:IVF1048576 JFB2:JFB65536 JFB65538:JFB131072 JFB131074:JFB196608 JFB196610:JFB262144 JFB262146:JFB327680 JFB327682:JFB393216 JFB393218:JFB458752 JFB458754:JFB524288 JFB524290:JFB589824 JFB589826:JFB655360 JFB655362:JFB720896 JFB720898:JFB786432 JFB786434:JFB851968 JFB851970:JFB917504 JFB917506:JFB983040 JFB983042:JFB1048576 JOX2:JOX65536 JOX65538:JOX131072 JOX131074:JOX196608 JOX196610:JOX262144 JOX262146:JOX327680 JOX327682:JOX393216 JOX393218:JOX458752 JOX458754:JOX524288 JOX524290:JOX589824 JOX589826:JOX655360 JOX655362:JOX720896 JOX720898:JOX786432 JOX786434:JOX851968 JOX851970:JOX917504 JOX917506:JOX983040 JOX983042:JOX1048576 JYT2:JYT65536 JYT65538:JYT131072 JYT131074:JYT196608 JYT196610:JYT262144 JYT262146:JYT327680 JYT327682:JYT393216 JYT393218:JYT458752 JYT458754:JYT524288 JYT524290:JYT589824 JYT589826:JYT655360 JYT655362:JYT720896 JYT720898:JYT786432 JYT786434:JYT851968 JYT851970:JYT917504 JYT917506:JYT983040 JYT983042:JYT1048576 KIP2:KIP65536 KIP65538:KIP131072 KIP131074:KIP196608 KIP196610:KIP262144 KIP262146:KIP327680 KIP327682:KIP393216 KIP393218:KIP458752 KIP458754:KIP524288 KIP524290:KIP589824 KIP589826:KIP655360 KIP655362:KIP720896 KIP720898:KIP786432 KIP786434:KIP851968 KIP851970:KIP917504 KIP917506:KIP983040 KIP983042:KIP1048576 KSL2:KSL65536 KSL65538:KSL131072 KSL131074:KSL196608 KSL196610:KSL262144 KSL262146:KSL327680 KSL327682:KSL393216 KSL393218:KSL458752 KSL458754:KSL524288 KSL524290:KSL589824 KSL589826:KSL655360 KSL655362:KSL720896 KSL720898:KSL786432 KSL786434:KSL851968 KSL851970:KSL917504 KSL917506:KSL983040 KSL983042:KSL1048576 LCH2:LCH65536 LCH65538:LCH131072 LCH131074:LCH196608 LCH196610:LCH262144 LCH262146:LCH327680 LCH327682:LCH393216 LCH393218:LCH458752 LCH458754:LCH524288 LCH524290:LCH589824 LCH589826:LCH655360 LCH655362:LCH720896 LCH720898:LCH786432 LCH786434:LCH851968 LCH851970:LCH917504 LCH917506:LCH983040 LCH983042:LCH1048576 LMD2:LMD65536 LMD65538:LMD131072 LMD131074:LMD196608 LMD196610:LMD262144 LMD262146:LMD327680 LMD327682:LMD393216 LMD393218:LMD458752 LMD458754:LMD524288 LMD524290:LMD589824 LMD589826:LMD655360 LMD655362:LMD720896 LMD720898:LMD786432 LMD786434:LMD851968 LMD851970:LMD917504 LMD917506:LMD983040 LMD983042:LMD1048576 LVZ2:LVZ65536 LVZ65538:LVZ131072 LVZ131074:LVZ196608 LVZ196610:LVZ262144 LVZ262146:LVZ327680 LVZ327682:LVZ393216 LVZ393218:LVZ458752 LVZ458754:LVZ524288 LVZ524290:LVZ589824 LVZ589826:LVZ655360 LVZ655362:LVZ720896 LVZ720898:LVZ786432 LVZ786434:LVZ851968 LVZ851970:LVZ917504 LVZ917506:LVZ983040 LVZ983042:LVZ1048576 MFV2:MFV65536 MFV65538:MFV131072 MFV131074:MFV196608 MFV196610:MFV262144 MFV262146:MFV327680 MFV327682:MFV393216 MFV393218:MFV458752 MFV458754:MFV524288 MFV524290:MFV589824 MFV589826:MFV655360 MFV655362:MFV720896 MFV720898:MFV786432 MFV786434:MFV851968 MFV851970:MFV917504 MFV917506:MFV983040 MFV983042:MFV1048576 MPR2:MPR65536 MPR65538:MPR131072 MPR131074:MPR196608 MPR196610:MPR262144 MPR262146:MPR327680 MPR327682:MPR393216 MPR393218:MPR458752 MPR458754:MPR524288 MPR524290:MPR589824 MPR589826:MPR655360 MPR655362:MPR720896 MPR720898:MPR786432 MPR786434:MPR851968 MPR851970:MPR917504 MPR917506:MPR983040 MPR983042:MPR1048576 MZN2:MZN65536 MZN65538:MZN131072 MZN131074:MZN196608 MZN196610:MZN262144 MZN262146:MZN327680 MZN327682:MZN393216 MZN393218:MZN458752 MZN458754:MZN524288 MZN524290:MZN589824 MZN589826:MZN655360 MZN655362:MZN720896 MZN720898:MZN786432 MZN786434:MZN851968 MZN851970:MZN917504 MZN917506:MZN983040 MZN983042:MZN1048576 NJJ2:NJJ65536 NJJ65538:NJJ131072 NJJ131074:NJJ196608 NJJ196610:NJJ262144 NJJ262146:NJJ327680 NJJ327682:NJJ393216 NJJ393218:NJJ458752 NJJ458754:NJJ524288 NJJ524290:NJJ589824 NJJ589826:NJJ655360 NJJ655362:NJJ720896 NJJ720898:NJJ786432 NJJ786434:NJJ851968 NJJ851970:NJJ917504 NJJ917506:NJJ983040 NJJ983042:NJJ1048576 NTF2:NTF65536 NTF65538:NTF131072 NTF131074:NTF196608 NTF196610:NTF262144 NTF262146:NTF327680 NTF327682:NTF393216 NTF393218:NTF458752 NTF458754:NTF524288 NTF524290:NTF589824 NTF589826:NTF655360 NTF655362:NTF720896 NTF720898:NTF786432 NTF786434:NTF851968 NTF851970:NTF917504 NTF917506:NTF983040 NTF983042:NTF1048576 ODB2:ODB65536 ODB65538:ODB131072 ODB131074:ODB196608 ODB196610:ODB262144 ODB262146:ODB327680 ODB327682:ODB393216 ODB393218:ODB458752 ODB458754:ODB524288 ODB524290:ODB589824 ODB589826:ODB655360 ODB655362:ODB720896 ODB720898:ODB786432 ODB786434:ODB851968 ODB851970:ODB917504 ODB917506:ODB983040 ODB983042:ODB1048576 OMX2:OMX65536 OMX65538:OMX131072 OMX131074:OMX196608 OMX196610:OMX262144 OMX262146:OMX327680 OMX327682:OMX393216 OMX393218:OMX458752 OMX458754:OMX524288 OMX524290:OMX589824 OMX589826:OMX655360 OMX655362:OMX720896 OMX720898:OMX786432 OMX786434:OMX851968 OMX851970:OMX917504 OMX917506:OMX983040 OMX983042:OMX1048576 OWT2:OWT65536 OWT65538:OWT131072 OWT131074:OWT196608 OWT196610:OWT262144 OWT262146:OWT327680 OWT327682:OWT393216 OWT393218:OWT458752 OWT458754:OWT524288 OWT524290:OWT589824 OWT589826:OWT655360 OWT655362:OWT720896 OWT720898:OWT786432 OWT786434:OWT851968 OWT851970:OWT917504 OWT917506:OWT983040 OWT983042:OWT1048576 PGP2:PGP65536 PGP65538:PGP131072 PGP131074:PGP196608 PGP196610:PGP262144 PGP262146:PGP327680 PGP327682:PGP393216 PGP393218:PGP458752 PGP458754:PGP524288 PGP524290:PGP589824 PGP589826:PGP655360 PGP655362:PGP720896 PGP720898:PGP786432 PGP786434:PGP851968 PGP851970:PGP917504 PGP917506:PGP983040 PGP983042:PGP1048576 PQL2:PQL65536 PQL65538:PQL131072 PQL131074:PQL196608 PQL196610:PQL262144 PQL262146:PQL327680 PQL327682:PQL393216 PQL393218:PQL458752 PQL458754:PQL524288 PQL524290:PQL589824 PQL589826:PQL655360 PQL655362:PQL720896 PQL720898:PQL786432 PQL786434:PQL851968 PQL851970:PQL917504 PQL917506:PQL983040 PQL983042:PQL1048576 QAH2:QAH65536 QAH65538:QAH131072 QAH131074:QAH196608 QAH196610:QAH262144 QAH262146:QAH327680 QAH327682:QAH393216 QAH393218:QAH458752 QAH458754:QAH524288 QAH524290:QAH589824 QAH589826:QAH655360 QAH655362:QAH720896 QAH720898:QAH786432 QAH786434:QAH851968 QAH851970:QAH917504 QAH917506:QAH983040 QAH983042:QAH1048576 QKD2:QKD65536 QKD65538:QKD131072 QKD131074:QKD196608 QKD196610:QKD262144 QKD262146:QKD327680 QKD327682:QKD393216 QKD393218:QKD458752 QKD458754:QKD524288 QKD524290:QKD589824 QKD589826:QKD655360 QKD655362:QKD720896 QKD720898:QKD786432 QKD786434:QKD851968 QKD851970:QKD917504 QKD917506:QKD983040 QKD983042:QKD1048576 QTZ2:QTZ65536 QTZ65538:QTZ131072 QTZ131074:QTZ196608 QTZ196610:QTZ262144 QTZ262146:QTZ327680 QTZ327682:QTZ393216 QTZ393218:QTZ458752 QTZ458754:QTZ524288 QTZ524290:QTZ589824 QTZ589826:QTZ655360 QTZ655362:QTZ720896 QTZ720898:QTZ786432 QTZ786434:QTZ851968 QTZ851970:QTZ917504 QTZ917506:QTZ983040 QTZ983042:QTZ1048576 RDV2:RDV65536 RDV65538:RDV131072 RDV131074:RDV196608 RDV196610:RDV262144 RDV262146:RDV327680 RDV327682:RDV393216 RDV393218:RDV458752 RDV458754:RDV524288 RDV524290:RDV589824 RDV589826:RDV655360 RDV655362:RDV720896 RDV720898:RDV786432 RDV786434:RDV851968 RDV851970:RDV917504 RDV917506:RDV983040 RDV983042:RDV1048576 RNR2:RNR65536 RNR65538:RNR131072 RNR131074:RNR196608 RNR196610:RNR262144 RNR262146:RNR327680 RNR327682:RNR393216 RNR393218:RNR458752 RNR458754:RNR524288 RNR524290:RNR589824 RNR589826:RNR655360 RNR655362:RNR720896 RNR720898:RNR786432 RNR786434:RNR851968 RNR851970:RNR917504 RNR917506:RNR983040 RNR983042:RNR1048576 RXN2:RXN65536 RXN65538:RXN131072 RXN131074:RXN196608 RXN196610:RXN262144 RXN262146:RXN327680 RXN327682:RXN393216 RXN393218:RXN458752 RXN458754:RXN524288 RXN524290:RXN589824 RXN589826:RXN655360 RXN655362:RXN720896 RXN720898:RXN786432 RXN786434:RXN851968 RXN851970:RXN917504 RXN917506:RXN983040 RXN983042:RXN1048576 SHJ2:SHJ65536 SHJ65538:SHJ131072 SHJ131074:SHJ196608 SHJ196610:SHJ262144 SHJ262146:SHJ327680 SHJ327682:SHJ393216 SHJ393218:SHJ458752 SHJ458754:SHJ524288 SHJ524290:SHJ589824 SHJ589826:SHJ655360 SHJ655362:SHJ720896 SHJ720898:SHJ786432 SHJ786434:SHJ851968 SHJ851970:SHJ917504 SHJ917506:SHJ983040 SHJ983042:SHJ1048576 SRF2:SRF65536 SRF65538:SRF131072 SRF131074:SRF196608 SRF196610:SRF262144 SRF262146:SRF327680 SRF327682:SRF393216 SRF393218:SRF458752 SRF458754:SRF524288 SRF524290:SRF589824 SRF589826:SRF655360 SRF655362:SRF720896 SRF720898:SRF786432 SRF786434:SRF851968 SRF851970:SRF917504 SRF917506:SRF983040 SRF983042:SRF1048576 TBB2:TBB65536 TBB65538:TBB131072 TBB131074:TBB196608 TBB196610:TBB262144 TBB262146:TBB327680 TBB327682:TBB393216 TBB393218:TBB458752 TBB458754:TBB524288 TBB524290:TBB589824 TBB589826:TBB655360 TBB655362:TBB720896 TBB720898:TBB786432 TBB786434:TBB851968 TBB851970:TBB917504 TBB917506:TBB983040 TBB983042:TBB1048576 TKX2:TKX65536 TKX65538:TKX131072 TKX131074:TKX196608 TKX196610:TKX262144 TKX262146:TKX327680 TKX327682:TKX393216 TKX393218:TKX458752 TKX458754:TKX524288 TKX524290:TKX589824 TKX589826:TKX655360 TKX655362:TKX720896 TKX720898:TKX786432 TKX786434:TKX851968 TKX851970:TKX917504 TKX917506:TKX983040 TKX983042:TKX1048576 TUT2:TUT65536 TUT65538:TUT131072 TUT131074:TUT196608 TUT196610:TUT262144 TUT262146:TUT327680 TUT327682:TUT393216 TUT393218:TUT458752 TUT458754:TUT524288 TUT524290:TUT589824 TUT589826:TUT655360 TUT655362:TUT720896 TUT720898:TUT786432 TUT786434:TUT851968 TUT851970:TUT917504 TUT917506:TUT983040 TUT983042:TUT1048576 UEP2:UEP65536 UEP65538:UEP131072 UEP131074:UEP196608 UEP196610:UEP262144 UEP262146:UEP327680 UEP327682:UEP393216 UEP393218:UEP458752 UEP458754:UEP524288 UEP524290:UEP589824 UEP589826:UEP655360 UEP655362:UEP720896 UEP720898:UEP786432 UEP786434:UEP851968 UEP851970:UEP917504 UEP917506:UEP983040 UEP983042:UEP1048576 UOL2:UOL65536 UOL65538:UOL131072 UOL131074:UOL196608 UOL196610:UOL262144 UOL262146:UOL327680 UOL327682:UOL393216 UOL393218:UOL458752 UOL458754:UOL524288 UOL524290:UOL589824 UOL589826:UOL655360 UOL655362:UOL720896 UOL720898:UOL786432 UOL786434:UOL851968 UOL851970:UOL917504 UOL917506:UOL983040 UOL983042:UOL1048576 UYH2:UYH65536 UYH65538:UYH131072 UYH131074:UYH196608 UYH196610:UYH262144 UYH262146:UYH327680 UYH327682:UYH393216 UYH393218:UYH458752 UYH458754:UYH524288 UYH524290:UYH589824 UYH589826:UYH655360 UYH655362:UYH720896 UYH720898:UYH786432 UYH786434:UYH851968 UYH851970:UYH917504 UYH917506:UYH983040 UYH983042:UYH1048576 VID2:VID65536 VID65538:VID131072 VID131074:VID196608 VID196610:VID262144 VID262146:VID327680 VID327682:VID393216 VID393218:VID458752 VID458754:VID524288 VID524290:VID589824 VID589826:VID655360 VID655362:VID720896 VID720898:VID786432 VID786434:VID851968 VID851970:VID917504 VID917506:VID983040 VID983042:VID1048576 VRZ2:VRZ65536 VRZ65538:VRZ131072 VRZ131074:VRZ196608 VRZ196610:VRZ262144 VRZ262146:VRZ327680 VRZ327682:VRZ393216 VRZ393218:VRZ458752 VRZ458754:VRZ524288 VRZ524290:VRZ589824 VRZ589826:VRZ655360 VRZ655362:VRZ720896 VRZ720898:VRZ786432 VRZ786434:VRZ851968 VRZ851970:VRZ917504 VRZ917506:VRZ983040 VRZ983042:VRZ1048576 WBV2:WBV65536 WBV65538:WBV131072 WBV131074:WBV196608 WBV196610:WBV262144 WBV262146:WBV327680 WBV327682:WBV393216 WBV393218:WBV458752 WBV458754:WBV524288 WBV524290:WBV589824 WBV589826:WBV655360 WBV655362:WBV720896 WBV720898:WBV786432 WBV786434:WBV851968 WBV851970:WBV917504 WBV917506:WBV983040 WBV983042:WBV1048576 WLR2:WLR65536 WLR65538:WLR131072 WLR131074:WLR196608 WLR196610:WLR262144 WLR262146:WLR327680 WLR327682:WLR393216 WLR393218:WLR458752 WLR458754:WLR524288 WLR524290:WLR589824 WLR589826:WLR655360 WLR655362:WLR720896 WLR720898:WLR786432 WLR786434:WLR851968 WLR851970:WLR917504 WLR917506:WLR983040 WLR983042:WLR1048576 WVN2:WVN65536 WVN65538:WVN131072 WVN131074:WVN196608 WVN196610:WVN262144 WVN262146:WVN327680 WVN327682:WVN393216 WVN393218:WVN458752 WVN458754:WVN524288 WVN524290:WVN589824 WVN589826:WVN655360 WVN655362:WVN720896 WVN720898:WVN786432 WVN786434:WVN851968 WVN851970:WVN917504 WVN917506:WVN983040 WVN983042:WVN1048576" xr:uid="{0A923FAC-01B3-4D43-AA96-AA0EE98068A2}">
      <formula1>$AH$2:$AH$12</formula1>
    </dataValidation>
    <dataValidation type="list" allowBlank="1" showInputMessage="1" showErrorMessage="1" sqref="E2:E65536 E65538:E131072 E131074:E196608 E196610:E262144 E262146:E327680 E327682:E393216 E393218:E458752 E458754:E524288 E524290:E589824 E589826:E655360 E655362:E720896 E720898:E786432 E786434:E851968 E851970:E917504 E917506:E983040 E983042:E1048576 JA2:JA65536 JA65538:JA131072 JA131074:JA196608 JA196610:JA262144 JA262146:JA327680 JA327682:JA393216 JA393218:JA458752 JA458754:JA524288 JA524290:JA589824 JA589826:JA655360 JA655362:JA720896 JA720898:JA786432 JA786434:JA851968 JA851970:JA917504 JA917506:JA983040 JA983042:JA1048576 SW2:SW65536 SW65538:SW131072 SW131074:SW196608 SW196610:SW262144 SW262146:SW327680 SW327682:SW393216 SW393218:SW458752 SW458754:SW524288 SW524290:SW589824 SW589826:SW655360 SW655362:SW720896 SW720898:SW786432 SW786434:SW851968 SW851970:SW917504 SW917506:SW983040 SW983042:SW1048576 ACS2:ACS65536 ACS65538:ACS131072 ACS131074:ACS196608 ACS196610:ACS262144 ACS262146:ACS327680 ACS327682:ACS393216 ACS393218:ACS458752 ACS458754:ACS524288 ACS524290:ACS589824 ACS589826:ACS655360 ACS655362:ACS720896 ACS720898:ACS786432 ACS786434:ACS851968 ACS851970:ACS917504 ACS917506:ACS983040 ACS983042:ACS1048576 AMO2:AMO65536 AMO65538:AMO131072 AMO131074:AMO196608 AMO196610:AMO262144 AMO262146:AMO327680 AMO327682:AMO393216 AMO393218:AMO458752 AMO458754:AMO524288 AMO524290:AMO589824 AMO589826:AMO655360 AMO655362:AMO720896 AMO720898:AMO786432 AMO786434:AMO851968 AMO851970:AMO917504 AMO917506:AMO983040 AMO983042:AMO1048576 AWK2:AWK65536 AWK65538:AWK131072 AWK131074:AWK196608 AWK196610:AWK262144 AWK262146:AWK327680 AWK327682:AWK393216 AWK393218:AWK458752 AWK458754:AWK524288 AWK524290:AWK589824 AWK589826:AWK655360 AWK655362:AWK720896 AWK720898:AWK786432 AWK786434:AWK851968 AWK851970:AWK917504 AWK917506:AWK983040 AWK983042:AWK1048576 BGG2:BGG65536 BGG65538:BGG131072 BGG131074:BGG196608 BGG196610:BGG262144 BGG262146:BGG327680 BGG327682:BGG393216 BGG393218:BGG458752 BGG458754:BGG524288 BGG524290:BGG589824 BGG589826:BGG655360 BGG655362:BGG720896 BGG720898:BGG786432 BGG786434:BGG851968 BGG851970:BGG917504 BGG917506:BGG983040 BGG983042:BGG1048576 BQC2:BQC65536 BQC65538:BQC131072 BQC131074:BQC196608 BQC196610:BQC262144 BQC262146:BQC327680 BQC327682:BQC393216 BQC393218:BQC458752 BQC458754:BQC524288 BQC524290:BQC589824 BQC589826:BQC655360 BQC655362:BQC720896 BQC720898:BQC786432 BQC786434:BQC851968 BQC851970:BQC917504 BQC917506:BQC983040 BQC983042:BQC1048576 BZY2:BZY65536 BZY65538:BZY131072 BZY131074:BZY196608 BZY196610:BZY262144 BZY262146:BZY327680 BZY327682:BZY393216 BZY393218:BZY458752 BZY458754:BZY524288 BZY524290:BZY589824 BZY589826:BZY655360 BZY655362:BZY720896 BZY720898:BZY786432 BZY786434:BZY851968 BZY851970:BZY917504 BZY917506:BZY983040 BZY983042:BZY1048576 CJU2:CJU65536 CJU65538:CJU131072 CJU131074:CJU196608 CJU196610:CJU262144 CJU262146:CJU327680 CJU327682:CJU393216 CJU393218:CJU458752 CJU458754:CJU524288 CJU524290:CJU589824 CJU589826:CJU655360 CJU655362:CJU720896 CJU720898:CJU786432 CJU786434:CJU851968 CJU851970:CJU917504 CJU917506:CJU983040 CJU983042:CJU1048576 CTQ2:CTQ65536 CTQ65538:CTQ131072 CTQ131074:CTQ196608 CTQ196610:CTQ262144 CTQ262146:CTQ327680 CTQ327682:CTQ393216 CTQ393218:CTQ458752 CTQ458754:CTQ524288 CTQ524290:CTQ589824 CTQ589826:CTQ655360 CTQ655362:CTQ720896 CTQ720898:CTQ786432 CTQ786434:CTQ851968 CTQ851970:CTQ917504 CTQ917506:CTQ983040 CTQ983042:CTQ1048576 DDM2:DDM65536 DDM65538:DDM131072 DDM131074:DDM196608 DDM196610:DDM262144 DDM262146:DDM327680 DDM327682:DDM393216 DDM393218:DDM458752 DDM458754:DDM524288 DDM524290:DDM589824 DDM589826:DDM655360 DDM655362:DDM720896 DDM720898:DDM786432 DDM786434:DDM851968 DDM851970:DDM917504 DDM917506:DDM983040 DDM983042:DDM1048576 DNI2:DNI65536 DNI65538:DNI131072 DNI131074:DNI196608 DNI196610:DNI262144 DNI262146:DNI327680 DNI327682:DNI393216 DNI393218:DNI458752 DNI458754:DNI524288 DNI524290:DNI589824 DNI589826:DNI655360 DNI655362:DNI720896 DNI720898:DNI786432 DNI786434:DNI851968 DNI851970:DNI917504 DNI917506:DNI983040 DNI983042:DNI1048576 DXE2:DXE65536 DXE65538:DXE131072 DXE131074:DXE196608 DXE196610:DXE262144 DXE262146:DXE327680 DXE327682:DXE393216 DXE393218:DXE458752 DXE458754:DXE524288 DXE524290:DXE589824 DXE589826:DXE655360 DXE655362:DXE720896 DXE720898:DXE786432 DXE786434:DXE851968 DXE851970:DXE917504 DXE917506:DXE983040 DXE983042:DXE1048576 EHA2:EHA65536 EHA65538:EHA131072 EHA131074:EHA196608 EHA196610:EHA262144 EHA262146:EHA327680 EHA327682:EHA393216 EHA393218:EHA458752 EHA458754:EHA524288 EHA524290:EHA589824 EHA589826:EHA655360 EHA655362:EHA720896 EHA720898:EHA786432 EHA786434:EHA851968 EHA851970:EHA917504 EHA917506:EHA983040 EHA983042:EHA1048576 EQW2:EQW65536 EQW65538:EQW131072 EQW131074:EQW196608 EQW196610:EQW262144 EQW262146:EQW327680 EQW327682:EQW393216 EQW393218:EQW458752 EQW458754:EQW524288 EQW524290:EQW589824 EQW589826:EQW655360 EQW655362:EQW720896 EQW720898:EQW786432 EQW786434:EQW851968 EQW851970:EQW917504 EQW917506:EQW983040 EQW983042:EQW1048576 FAS2:FAS65536 FAS65538:FAS131072 FAS131074:FAS196608 FAS196610:FAS262144 FAS262146:FAS327680 FAS327682:FAS393216 FAS393218:FAS458752 FAS458754:FAS524288 FAS524290:FAS589824 FAS589826:FAS655360 FAS655362:FAS720896 FAS720898:FAS786432 FAS786434:FAS851968 FAS851970:FAS917504 FAS917506:FAS983040 FAS983042:FAS1048576 FKO2:FKO65536 FKO65538:FKO131072 FKO131074:FKO196608 FKO196610:FKO262144 FKO262146:FKO327680 FKO327682:FKO393216 FKO393218:FKO458752 FKO458754:FKO524288 FKO524290:FKO589824 FKO589826:FKO655360 FKO655362:FKO720896 FKO720898:FKO786432 FKO786434:FKO851968 FKO851970:FKO917504 FKO917506:FKO983040 FKO983042:FKO1048576 FUK2:FUK65536 FUK65538:FUK131072 FUK131074:FUK196608 FUK196610:FUK262144 FUK262146:FUK327680 FUK327682:FUK393216 FUK393218:FUK458752 FUK458754:FUK524288 FUK524290:FUK589824 FUK589826:FUK655360 FUK655362:FUK720896 FUK720898:FUK786432 FUK786434:FUK851968 FUK851970:FUK917504 FUK917506:FUK983040 FUK983042:FUK1048576 GEG2:GEG65536 GEG65538:GEG131072 GEG131074:GEG196608 GEG196610:GEG262144 GEG262146:GEG327680 GEG327682:GEG393216 GEG393218:GEG458752 GEG458754:GEG524288 GEG524290:GEG589824 GEG589826:GEG655360 GEG655362:GEG720896 GEG720898:GEG786432 GEG786434:GEG851968 GEG851970:GEG917504 GEG917506:GEG983040 GEG983042:GEG1048576 GOC2:GOC65536 GOC65538:GOC131072 GOC131074:GOC196608 GOC196610:GOC262144 GOC262146:GOC327680 GOC327682:GOC393216 GOC393218:GOC458752 GOC458754:GOC524288 GOC524290:GOC589824 GOC589826:GOC655360 GOC655362:GOC720896 GOC720898:GOC786432 GOC786434:GOC851968 GOC851970:GOC917504 GOC917506:GOC983040 GOC983042:GOC1048576 GXY2:GXY65536 GXY65538:GXY131072 GXY131074:GXY196608 GXY196610:GXY262144 GXY262146:GXY327680 GXY327682:GXY393216 GXY393218:GXY458752 GXY458754:GXY524288 GXY524290:GXY589824 GXY589826:GXY655360 GXY655362:GXY720896 GXY720898:GXY786432 GXY786434:GXY851968 GXY851970:GXY917504 GXY917506:GXY983040 GXY983042:GXY1048576 HHU2:HHU65536 HHU65538:HHU131072 HHU131074:HHU196608 HHU196610:HHU262144 HHU262146:HHU327680 HHU327682:HHU393216 HHU393218:HHU458752 HHU458754:HHU524288 HHU524290:HHU589824 HHU589826:HHU655360 HHU655362:HHU720896 HHU720898:HHU786432 HHU786434:HHU851968 HHU851970:HHU917504 HHU917506:HHU983040 HHU983042:HHU1048576 HRQ2:HRQ65536 HRQ65538:HRQ131072 HRQ131074:HRQ196608 HRQ196610:HRQ262144 HRQ262146:HRQ327680 HRQ327682:HRQ393216 HRQ393218:HRQ458752 HRQ458754:HRQ524288 HRQ524290:HRQ589824 HRQ589826:HRQ655360 HRQ655362:HRQ720896 HRQ720898:HRQ786432 HRQ786434:HRQ851968 HRQ851970:HRQ917504 HRQ917506:HRQ983040 HRQ983042:HRQ1048576 IBM2:IBM65536 IBM65538:IBM131072 IBM131074:IBM196608 IBM196610:IBM262144 IBM262146:IBM327680 IBM327682:IBM393216 IBM393218:IBM458752 IBM458754:IBM524288 IBM524290:IBM589824 IBM589826:IBM655360 IBM655362:IBM720896 IBM720898:IBM786432 IBM786434:IBM851968 IBM851970:IBM917504 IBM917506:IBM983040 IBM983042:IBM1048576 ILI2:ILI65536 ILI65538:ILI131072 ILI131074:ILI196608 ILI196610:ILI262144 ILI262146:ILI327680 ILI327682:ILI393216 ILI393218:ILI458752 ILI458754:ILI524288 ILI524290:ILI589824 ILI589826:ILI655360 ILI655362:ILI720896 ILI720898:ILI786432 ILI786434:ILI851968 ILI851970:ILI917504 ILI917506:ILI983040 ILI983042:ILI1048576 IVE2:IVE65536 IVE65538:IVE131072 IVE131074:IVE196608 IVE196610:IVE262144 IVE262146:IVE327680 IVE327682:IVE393216 IVE393218:IVE458752 IVE458754:IVE524288 IVE524290:IVE589824 IVE589826:IVE655360 IVE655362:IVE720896 IVE720898:IVE786432 IVE786434:IVE851968 IVE851970:IVE917504 IVE917506:IVE983040 IVE983042:IVE1048576 JFA2:JFA65536 JFA65538:JFA131072 JFA131074:JFA196608 JFA196610:JFA262144 JFA262146:JFA327680 JFA327682:JFA393216 JFA393218:JFA458752 JFA458754:JFA524288 JFA524290:JFA589824 JFA589826:JFA655360 JFA655362:JFA720896 JFA720898:JFA786432 JFA786434:JFA851968 JFA851970:JFA917504 JFA917506:JFA983040 JFA983042:JFA1048576 JOW2:JOW65536 JOW65538:JOW131072 JOW131074:JOW196608 JOW196610:JOW262144 JOW262146:JOW327680 JOW327682:JOW393216 JOW393218:JOW458752 JOW458754:JOW524288 JOW524290:JOW589824 JOW589826:JOW655360 JOW655362:JOW720896 JOW720898:JOW786432 JOW786434:JOW851968 JOW851970:JOW917504 JOW917506:JOW983040 JOW983042:JOW1048576 JYS2:JYS65536 JYS65538:JYS131072 JYS131074:JYS196608 JYS196610:JYS262144 JYS262146:JYS327680 JYS327682:JYS393216 JYS393218:JYS458752 JYS458754:JYS524288 JYS524290:JYS589824 JYS589826:JYS655360 JYS655362:JYS720896 JYS720898:JYS786432 JYS786434:JYS851968 JYS851970:JYS917504 JYS917506:JYS983040 JYS983042:JYS1048576 KIO2:KIO65536 KIO65538:KIO131072 KIO131074:KIO196608 KIO196610:KIO262144 KIO262146:KIO327680 KIO327682:KIO393216 KIO393218:KIO458752 KIO458754:KIO524288 KIO524290:KIO589824 KIO589826:KIO655360 KIO655362:KIO720896 KIO720898:KIO786432 KIO786434:KIO851968 KIO851970:KIO917504 KIO917506:KIO983040 KIO983042:KIO1048576 KSK2:KSK65536 KSK65538:KSK131072 KSK131074:KSK196608 KSK196610:KSK262144 KSK262146:KSK327680 KSK327682:KSK393216 KSK393218:KSK458752 KSK458754:KSK524288 KSK524290:KSK589824 KSK589826:KSK655360 KSK655362:KSK720896 KSK720898:KSK786432 KSK786434:KSK851968 KSK851970:KSK917504 KSK917506:KSK983040 KSK983042:KSK1048576 LCG2:LCG65536 LCG65538:LCG131072 LCG131074:LCG196608 LCG196610:LCG262144 LCG262146:LCG327680 LCG327682:LCG393216 LCG393218:LCG458752 LCG458754:LCG524288 LCG524290:LCG589824 LCG589826:LCG655360 LCG655362:LCG720896 LCG720898:LCG786432 LCG786434:LCG851968 LCG851970:LCG917504 LCG917506:LCG983040 LCG983042:LCG1048576 LMC2:LMC65536 LMC65538:LMC131072 LMC131074:LMC196608 LMC196610:LMC262144 LMC262146:LMC327680 LMC327682:LMC393216 LMC393218:LMC458752 LMC458754:LMC524288 LMC524290:LMC589824 LMC589826:LMC655360 LMC655362:LMC720896 LMC720898:LMC786432 LMC786434:LMC851968 LMC851970:LMC917504 LMC917506:LMC983040 LMC983042:LMC1048576 LVY2:LVY65536 LVY65538:LVY131072 LVY131074:LVY196608 LVY196610:LVY262144 LVY262146:LVY327680 LVY327682:LVY393216 LVY393218:LVY458752 LVY458754:LVY524288 LVY524290:LVY589824 LVY589826:LVY655360 LVY655362:LVY720896 LVY720898:LVY786432 LVY786434:LVY851968 LVY851970:LVY917504 LVY917506:LVY983040 LVY983042:LVY1048576 MFU2:MFU65536 MFU65538:MFU131072 MFU131074:MFU196608 MFU196610:MFU262144 MFU262146:MFU327680 MFU327682:MFU393216 MFU393218:MFU458752 MFU458754:MFU524288 MFU524290:MFU589824 MFU589826:MFU655360 MFU655362:MFU720896 MFU720898:MFU786432 MFU786434:MFU851968 MFU851970:MFU917504 MFU917506:MFU983040 MFU983042:MFU1048576 MPQ2:MPQ65536 MPQ65538:MPQ131072 MPQ131074:MPQ196608 MPQ196610:MPQ262144 MPQ262146:MPQ327680 MPQ327682:MPQ393216 MPQ393218:MPQ458752 MPQ458754:MPQ524288 MPQ524290:MPQ589824 MPQ589826:MPQ655360 MPQ655362:MPQ720896 MPQ720898:MPQ786432 MPQ786434:MPQ851968 MPQ851970:MPQ917504 MPQ917506:MPQ983040 MPQ983042:MPQ1048576 MZM2:MZM65536 MZM65538:MZM131072 MZM131074:MZM196608 MZM196610:MZM262144 MZM262146:MZM327680 MZM327682:MZM393216 MZM393218:MZM458752 MZM458754:MZM524288 MZM524290:MZM589824 MZM589826:MZM655360 MZM655362:MZM720896 MZM720898:MZM786432 MZM786434:MZM851968 MZM851970:MZM917504 MZM917506:MZM983040 MZM983042:MZM1048576 NJI2:NJI65536 NJI65538:NJI131072 NJI131074:NJI196608 NJI196610:NJI262144 NJI262146:NJI327680 NJI327682:NJI393216 NJI393218:NJI458752 NJI458754:NJI524288 NJI524290:NJI589824 NJI589826:NJI655360 NJI655362:NJI720896 NJI720898:NJI786432 NJI786434:NJI851968 NJI851970:NJI917504 NJI917506:NJI983040 NJI983042:NJI1048576 NTE2:NTE65536 NTE65538:NTE131072 NTE131074:NTE196608 NTE196610:NTE262144 NTE262146:NTE327680 NTE327682:NTE393216 NTE393218:NTE458752 NTE458754:NTE524288 NTE524290:NTE589824 NTE589826:NTE655360 NTE655362:NTE720896 NTE720898:NTE786432 NTE786434:NTE851968 NTE851970:NTE917504 NTE917506:NTE983040 NTE983042:NTE1048576 ODA2:ODA65536 ODA65538:ODA131072 ODA131074:ODA196608 ODA196610:ODA262144 ODA262146:ODA327680 ODA327682:ODA393216 ODA393218:ODA458752 ODA458754:ODA524288 ODA524290:ODA589824 ODA589826:ODA655360 ODA655362:ODA720896 ODA720898:ODA786432 ODA786434:ODA851968 ODA851970:ODA917504 ODA917506:ODA983040 ODA983042:ODA1048576 OMW2:OMW65536 OMW65538:OMW131072 OMW131074:OMW196608 OMW196610:OMW262144 OMW262146:OMW327680 OMW327682:OMW393216 OMW393218:OMW458752 OMW458754:OMW524288 OMW524290:OMW589824 OMW589826:OMW655360 OMW655362:OMW720896 OMW720898:OMW786432 OMW786434:OMW851968 OMW851970:OMW917504 OMW917506:OMW983040 OMW983042:OMW1048576 OWS2:OWS65536 OWS65538:OWS131072 OWS131074:OWS196608 OWS196610:OWS262144 OWS262146:OWS327680 OWS327682:OWS393216 OWS393218:OWS458752 OWS458754:OWS524288 OWS524290:OWS589824 OWS589826:OWS655360 OWS655362:OWS720896 OWS720898:OWS786432 OWS786434:OWS851968 OWS851970:OWS917504 OWS917506:OWS983040 OWS983042:OWS1048576 PGO2:PGO65536 PGO65538:PGO131072 PGO131074:PGO196608 PGO196610:PGO262144 PGO262146:PGO327680 PGO327682:PGO393216 PGO393218:PGO458752 PGO458754:PGO524288 PGO524290:PGO589824 PGO589826:PGO655360 PGO655362:PGO720896 PGO720898:PGO786432 PGO786434:PGO851968 PGO851970:PGO917504 PGO917506:PGO983040 PGO983042:PGO1048576 PQK2:PQK65536 PQK65538:PQK131072 PQK131074:PQK196608 PQK196610:PQK262144 PQK262146:PQK327680 PQK327682:PQK393216 PQK393218:PQK458752 PQK458754:PQK524288 PQK524290:PQK589824 PQK589826:PQK655360 PQK655362:PQK720896 PQK720898:PQK786432 PQK786434:PQK851968 PQK851970:PQK917504 PQK917506:PQK983040 PQK983042:PQK1048576 QAG2:QAG65536 QAG65538:QAG131072 QAG131074:QAG196608 QAG196610:QAG262144 QAG262146:QAG327680 QAG327682:QAG393216 QAG393218:QAG458752 QAG458754:QAG524288 QAG524290:QAG589824 QAG589826:QAG655360 QAG655362:QAG720896 QAG720898:QAG786432 QAG786434:QAG851968 QAG851970:QAG917504 QAG917506:QAG983040 QAG983042:QAG1048576 QKC2:QKC65536 QKC65538:QKC131072 QKC131074:QKC196608 QKC196610:QKC262144 QKC262146:QKC327680 QKC327682:QKC393216 QKC393218:QKC458752 QKC458754:QKC524288 QKC524290:QKC589824 QKC589826:QKC655360 QKC655362:QKC720896 QKC720898:QKC786432 QKC786434:QKC851968 QKC851970:QKC917504 QKC917506:QKC983040 QKC983042:QKC1048576 QTY2:QTY65536 QTY65538:QTY131072 QTY131074:QTY196608 QTY196610:QTY262144 QTY262146:QTY327680 QTY327682:QTY393216 QTY393218:QTY458752 QTY458754:QTY524288 QTY524290:QTY589824 QTY589826:QTY655360 QTY655362:QTY720896 QTY720898:QTY786432 QTY786434:QTY851968 QTY851970:QTY917504 QTY917506:QTY983040 QTY983042:QTY1048576 RDU2:RDU65536 RDU65538:RDU131072 RDU131074:RDU196608 RDU196610:RDU262144 RDU262146:RDU327680 RDU327682:RDU393216 RDU393218:RDU458752 RDU458754:RDU524288 RDU524290:RDU589824 RDU589826:RDU655360 RDU655362:RDU720896 RDU720898:RDU786432 RDU786434:RDU851968 RDU851970:RDU917504 RDU917506:RDU983040 RDU983042:RDU1048576 RNQ2:RNQ65536 RNQ65538:RNQ131072 RNQ131074:RNQ196608 RNQ196610:RNQ262144 RNQ262146:RNQ327680 RNQ327682:RNQ393216 RNQ393218:RNQ458752 RNQ458754:RNQ524288 RNQ524290:RNQ589824 RNQ589826:RNQ655360 RNQ655362:RNQ720896 RNQ720898:RNQ786432 RNQ786434:RNQ851968 RNQ851970:RNQ917504 RNQ917506:RNQ983040 RNQ983042:RNQ1048576 RXM2:RXM65536 RXM65538:RXM131072 RXM131074:RXM196608 RXM196610:RXM262144 RXM262146:RXM327680 RXM327682:RXM393216 RXM393218:RXM458752 RXM458754:RXM524288 RXM524290:RXM589824 RXM589826:RXM655360 RXM655362:RXM720896 RXM720898:RXM786432 RXM786434:RXM851968 RXM851970:RXM917504 RXM917506:RXM983040 RXM983042:RXM1048576 SHI2:SHI65536 SHI65538:SHI131072 SHI131074:SHI196608 SHI196610:SHI262144 SHI262146:SHI327680 SHI327682:SHI393216 SHI393218:SHI458752 SHI458754:SHI524288 SHI524290:SHI589824 SHI589826:SHI655360 SHI655362:SHI720896 SHI720898:SHI786432 SHI786434:SHI851968 SHI851970:SHI917504 SHI917506:SHI983040 SHI983042:SHI1048576 SRE2:SRE65536 SRE65538:SRE131072 SRE131074:SRE196608 SRE196610:SRE262144 SRE262146:SRE327680 SRE327682:SRE393216 SRE393218:SRE458752 SRE458754:SRE524288 SRE524290:SRE589824 SRE589826:SRE655360 SRE655362:SRE720896 SRE720898:SRE786432 SRE786434:SRE851968 SRE851970:SRE917504 SRE917506:SRE983040 SRE983042:SRE1048576 TBA2:TBA65536 TBA65538:TBA131072 TBA131074:TBA196608 TBA196610:TBA262144 TBA262146:TBA327680 TBA327682:TBA393216 TBA393218:TBA458752 TBA458754:TBA524288 TBA524290:TBA589824 TBA589826:TBA655360 TBA655362:TBA720896 TBA720898:TBA786432 TBA786434:TBA851968 TBA851970:TBA917504 TBA917506:TBA983040 TBA983042:TBA1048576 TKW2:TKW65536 TKW65538:TKW131072 TKW131074:TKW196608 TKW196610:TKW262144 TKW262146:TKW327680 TKW327682:TKW393216 TKW393218:TKW458752 TKW458754:TKW524288 TKW524290:TKW589824 TKW589826:TKW655360 TKW655362:TKW720896 TKW720898:TKW786432 TKW786434:TKW851968 TKW851970:TKW917504 TKW917506:TKW983040 TKW983042:TKW1048576 TUS2:TUS65536 TUS65538:TUS131072 TUS131074:TUS196608 TUS196610:TUS262144 TUS262146:TUS327680 TUS327682:TUS393216 TUS393218:TUS458752 TUS458754:TUS524288 TUS524290:TUS589824 TUS589826:TUS655360 TUS655362:TUS720896 TUS720898:TUS786432 TUS786434:TUS851968 TUS851970:TUS917504 TUS917506:TUS983040 TUS983042:TUS1048576 UEO2:UEO65536 UEO65538:UEO131072 UEO131074:UEO196608 UEO196610:UEO262144 UEO262146:UEO327680 UEO327682:UEO393216 UEO393218:UEO458752 UEO458754:UEO524288 UEO524290:UEO589824 UEO589826:UEO655360 UEO655362:UEO720896 UEO720898:UEO786432 UEO786434:UEO851968 UEO851970:UEO917504 UEO917506:UEO983040 UEO983042:UEO1048576 UOK2:UOK65536 UOK65538:UOK131072 UOK131074:UOK196608 UOK196610:UOK262144 UOK262146:UOK327680 UOK327682:UOK393216 UOK393218:UOK458752 UOK458754:UOK524288 UOK524290:UOK589824 UOK589826:UOK655360 UOK655362:UOK720896 UOK720898:UOK786432 UOK786434:UOK851968 UOK851970:UOK917504 UOK917506:UOK983040 UOK983042:UOK1048576 UYG2:UYG65536 UYG65538:UYG131072 UYG131074:UYG196608 UYG196610:UYG262144 UYG262146:UYG327680 UYG327682:UYG393216 UYG393218:UYG458752 UYG458754:UYG524288 UYG524290:UYG589824 UYG589826:UYG655360 UYG655362:UYG720896 UYG720898:UYG786432 UYG786434:UYG851968 UYG851970:UYG917504 UYG917506:UYG983040 UYG983042:UYG1048576 VIC2:VIC65536 VIC65538:VIC131072 VIC131074:VIC196608 VIC196610:VIC262144 VIC262146:VIC327680 VIC327682:VIC393216 VIC393218:VIC458752 VIC458754:VIC524288 VIC524290:VIC589824 VIC589826:VIC655360 VIC655362:VIC720896 VIC720898:VIC786432 VIC786434:VIC851968 VIC851970:VIC917504 VIC917506:VIC983040 VIC983042:VIC1048576 VRY2:VRY65536 VRY65538:VRY131072 VRY131074:VRY196608 VRY196610:VRY262144 VRY262146:VRY327680 VRY327682:VRY393216 VRY393218:VRY458752 VRY458754:VRY524288 VRY524290:VRY589824 VRY589826:VRY655360 VRY655362:VRY720896 VRY720898:VRY786432 VRY786434:VRY851968 VRY851970:VRY917504 VRY917506:VRY983040 VRY983042:VRY1048576 WBU2:WBU65536 WBU65538:WBU131072 WBU131074:WBU196608 WBU196610:WBU262144 WBU262146:WBU327680 WBU327682:WBU393216 WBU393218:WBU458752 WBU458754:WBU524288 WBU524290:WBU589824 WBU589826:WBU655360 WBU655362:WBU720896 WBU720898:WBU786432 WBU786434:WBU851968 WBU851970:WBU917504 WBU917506:WBU983040 WBU983042:WBU1048576 WLQ2:WLQ65536 WLQ65538:WLQ131072 WLQ131074:WLQ196608 WLQ196610:WLQ262144 WLQ262146:WLQ327680 WLQ327682:WLQ393216 WLQ393218:WLQ458752 WLQ458754:WLQ524288 WLQ524290:WLQ589824 WLQ589826:WLQ655360 WLQ655362:WLQ720896 WLQ720898:WLQ786432 WLQ786434:WLQ851968 WLQ851970:WLQ917504 WLQ917506:WLQ983040 WLQ983042:WLQ1048576 WVM2:WVM65536 WVM65538:WVM131072 WVM131074:WVM196608 WVM196610:WVM262144 WVM262146:WVM327680 WVM327682:WVM393216 WVM393218:WVM458752 WVM458754:WVM524288 WVM524290:WVM589824 WVM589826:WVM655360 WVM655362:WVM720896 WVM720898:WVM786432 WVM786434:WVM851968 WVM851970:WVM917504 WVM917506:WVM983040 WVM983042:WVM1048576" xr:uid="{B5BA505D-B498-407E-9DF6-BF320C7AC821}">
      <formula1>$AG$2:$AG$12</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ADM501:ADO65537 BHA501:BHC65537 CKO501:CKQ65537 DOC501:DOE65537 ERQ501:ERS65537 FVE501:FVG65537 GYS501:GYU65537 ICG501:ICI65537 JFU501:JFW65537 KJI501:KJK65537 LMW501:LMY65537 MQK501:MQM65537 NTY501:NUA65537 OXM501:OXO65537 QBA501:QBC65537 REO501:REQ65537 SIC501:SIE65537 TLQ501:TLS65537 UPE501:UPG65537 VSS501:VSU65537 WWG501:WWI65537 JU501:JW65537 ANI501:ANK65537 BQW501:BQY65537 CUK501:CUM65537 DXY501:DYA65537 FBM501:FBO65537 GFA501:GFC65537 HIO501:HIQ65537 IMC501:IME65537 JPQ501:JPS65537 KTE501:KTG65537 LWS501:LWU65537 NAG501:NAI65537 ODU501:ODW65537 PHI501:PHK65537 QKW501:QKY65537 ROK501:ROM65537 SRY501:SSA65537 TVM501:TVO65537 UZA501:UZC65537 WCO501:WCQ65537 TQ501:TS65537 AXE501:AXG65537 CAS501:CAU65537 DEG501:DEI65537 EHU501:EHW65537 FLI501:FLK65537 GOW501:GOY65537 HSK501:HSM65537 IVY501:IWA65537 JZM501:JZO65537 LDA501:LDC65537 MGO501:MGQ65537 NKC501:NKE65537 ONQ501:ONS65537 PRE501:PRG65537 QUS501:QUU65537 RYG501:RYI65537 TBU501:TBW65537 UFI501:UFK65537 VIW501:VIY65537 WMK501:WMM65537 Y66037:AA131073 ADM66037:ADO131073 BHA66037:BHC131073 CKO66037:CKQ131073 DOC66037:DOE131073 ERQ66037:ERS131073 FVE66037:FVG131073 GYS66037:GYU131073 ICG66037:ICI131073 JFU66037:JFW131073 KJI66037:KJK131073 LMW66037:LMY131073 MQK66037:MQM131073 NTY66037:NUA131073 OXM66037:OXO131073 QBA66037:QBC131073 REO66037:REQ131073 SIC66037:SIE131073 TLQ66037:TLS131073 UPE66037:UPG131073 VSS66037:VSU131073 WWG66037:WWI131073 JU66037:JW131073 ANI66037:ANK131073 BQW66037:BQY131073 CUK66037:CUM131073 DXY66037:DYA131073 FBM66037:FBO131073 GFA66037:GFC131073 HIO66037:HIQ131073 IMC66037:IME131073 JPQ66037:JPS131073 KTE66037:KTG131073 LWS66037:LWU131073 NAG66037:NAI131073 ODU66037:ODW131073 PHI66037:PHK131073 QKW66037:QKY131073 ROK66037:ROM131073 SRY66037:SSA131073 TVM66037:TVO131073 UZA66037:UZC131073 WCO66037:WCQ131073 TQ66037:TS131073 AXE66037:AXG131073 CAS66037:CAU131073 DEG66037:DEI131073 EHU66037:EHW131073 FLI66037:FLK131073 GOW66037:GOY131073 HSK66037:HSM131073 IVY66037:IWA131073 JZM66037:JZO131073 LDA66037:LDC131073 MGO66037:MGQ131073 NKC66037:NKE131073 ONQ66037:ONS131073 PRE66037:PRG131073 QUS66037:QUU131073 RYG66037:RYI131073 TBU66037:TBW131073 UFI66037:UFK131073 VIW66037:VIY131073 WMK66037:WMM131073 Y131573:AA196609 ADM131573:ADO196609 BHA131573:BHC196609 CKO131573:CKQ196609 DOC131573:DOE196609 ERQ131573:ERS196609 FVE131573:FVG196609 GYS131573:GYU196609 ICG131573:ICI196609 JFU131573:JFW196609 KJI131573:KJK196609 LMW131573:LMY196609 MQK131573:MQM196609 NTY131573:NUA196609 OXM131573:OXO196609 QBA131573:QBC196609 REO131573:REQ196609 SIC131573:SIE196609 TLQ131573:TLS196609 UPE131573:UPG196609 VSS131573:VSU196609 WWG131573:WWI196609 JU131573:JW196609 ANI131573:ANK196609 BQW131573:BQY196609 CUK131573:CUM196609 DXY131573:DYA196609 FBM131573:FBO196609 GFA131573:GFC196609 HIO131573:HIQ196609 IMC131573:IME196609 JPQ131573:JPS196609 KTE131573:KTG196609 LWS131573:LWU196609 NAG131573:NAI196609 ODU131573:ODW196609 PHI131573:PHK196609 QKW131573:QKY196609 ROK131573:ROM196609 SRY131573:SSA196609 TVM131573:TVO196609 UZA131573:UZC196609 WCO131573:WCQ196609 TQ131573:TS196609 AXE131573:AXG196609 CAS131573:CAU196609 DEG131573:DEI196609 EHU131573:EHW196609 FLI131573:FLK196609 GOW131573:GOY196609 HSK131573:HSM196609 IVY131573:IWA196609 JZM131573:JZO196609 LDA131573:LDC196609 MGO131573:MGQ196609 NKC131573:NKE196609 ONQ131573:ONS196609 PRE131573:PRG196609 QUS131573:QUU196609 RYG131573:RYI196609 TBU131573:TBW196609 UFI131573:UFK196609 VIW131573:VIY196609 WMK131573:WMM196609 Y197109:AA262145 ADM197109:ADO262145 BHA197109:BHC262145 CKO197109:CKQ262145 DOC197109:DOE262145 ERQ197109:ERS262145 FVE197109:FVG262145 GYS197109:GYU262145 ICG197109:ICI262145 JFU197109:JFW262145 KJI197109:KJK262145 LMW197109:LMY262145 MQK197109:MQM262145 NTY197109:NUA262145 OXM197109:OXO262145 QBA197109:QBC262145 REO197109:REQ262145 SIC197109:SIE262145 TLQ197109:TLS262145 UPE197109:UPG262145 VSS197109:VSU262145 WWG197109:WWI262145 JU197109:JW262145 ANI197109:ANK262145 BQW197109:BQY262145 CUK197109:CUM262145 DXY197109:DYA262145 FBM197109:FBO262145 GFA197109:GFC262145 HIO197109:HIQ262145 IMC197109:IME262145 JPQ197109:JPS262145 KTE197109:KTG262145 LWS197109:LWU262145 NAG197109:NAI262145 ODU197109:ODW262145 PHI197109:PHK262145 QKW197109:QKY262145 ROK197109:ROM262145 SRY197109:SSA262145 TVM197109:TVO262145 UZA197109:UZC262145 WCO197109:WCQ262145 TQ197109:TS262145 AXE197109:AXG262145 CAS197109:CAU262145 DEG197109:DEI262145 EHU197109:EHW262145 FLI197109:FLK262145 GOW197109:GOY262145 HSK197109:HSM262145 IVY197109:IWA262145 JZM197109:JZO262145 LDA197109:LDC262145 MGO197109:MGQ262145 NKC197109:NKE262145 ONQ197109:ONS262145 PRE197109:PRG262145 QUS197109:QUU262145 RYG197109:RYI262145 TBU197109:TBW262145 UFI197109:UFK262145 VIW197109:VIY262145 WMK197109:WMM262145 Y262645:AA327681 ADM262645:ADO327681 BHA262645:BHC327681 CKO262645:CKQ327681 DOC262645:DOE327681 ERQ262645:ERS327681 FVE262645:FVG327681 GYS262645:GYU327681 ICG262645:ICI327681 JFU262645:JFW327681 KJI262645:KJK327681 LMW262645:LMY327681 MQK262645:MQM327681 NTY262645:NUA327681 OXM262645:OXO327681 QBA262645:QBC327681 REO262645:REQ327681 SIC262645:SIE327681 TLQ262645:TLS327681 UPE262645:UPG327681 VSS262645:VSU327681 WWG262645:WWI327681 JU262645:JW327681 ANI262645:ANK327681 BQW262645:BQY327681 CUK262645:CUM327681 DXY262645:DYA327681 FBM262645:FBO327681 GFA262645:GFC327681 HIO262645:HIQ327681 IMC262645:IME327681 JPQ262645:JPS327681 KTE262645:KTG327681 LWS262645:LWU327681 NAG262645:NAI327681 ODU262645:ODW327681 PHI262645:PHK327681 QKW262645:QKY327681 ROK262645:ROM327681 SRY262645:SSA327681 TVM262645:TVO327681 UZA262645:UZC327681 WCO262645:WCQ327681 TQ262645:TS327681 AXE262645:AXG327681 CAS262645:CAU327681 DEG262645:DEI327681 EHU262645:EHW327681 FLI262645:FLK327681 GOW262645:GOY327681 HSK262645:HSM327681 IVY262645:IWA327681 JZM262645:JZO327681 LDA262645:LDC327681 MGO262645:MGQ327681 NKC262645:NKE327681 ONQ262645:ONS327681 PRE262645:PRG327681 QUS262645:QUU327681 RYG262645:RYI327681 TBU262645:TBW327681 UFI262645:UFK327681 VIW262645:VIY327681 WMK262645:WMM327681 Y328181:AA393217 ADM328181:ADO393217 BHA328181:BHC393217 CKO328181:CKQ393217 DOC328181:DOE393217 ERQ328181:ERS393217 FVE328181:FVG393217 GYS328181:GYU393217 ICG328181:ICI393217 JFU328181:JFW393217 KJI328181:KJK393217 LMW328181:LMY393217 MQK328181:MQM393217 NTY328181:NUA393217 OXM328181:OXO393217 QBA328181:QBC393217 REO328181:REQ393217 SIC328181:SIE393217 TLQ328181:TLS393217 UPE328181:UPG393217 VSS328181:VSU393217 WWG328181:WWI393217 JU328181:JW393217 ANI328181:ANK393217 BQW328181:BQY393217 CUK328181:CUM393217 DXY328181:DYA393217 FBM328181:FBO393217 GFA328181:GFC393217 HIO328181:HIQ393217 IMC328181:IME393217 JPQ328181:JPS393217 KTE328181:KTG393217 LWS328181:LWU393217 NAG328181:NAI393217 ODU328181:ODW393217 PHI328181:PHK393217 QKW328181:QKY393217 ROK328181:ROM393217 SRY328181:SSA393217 TVM328181:TVO393217 UZA328181:UZC393217 WCO328181:WCQ393217 TQ328181:TS393217 AXE328181:AXG393217 CAS328181:CAU393217 DEG328181:DEI393217 EHU328181:EHW393217 FLI328181:FLK393217 GOW328181:GOY393217 HSK328181:HSM393217 IVY328181:IWA393217 JZM328181:JZO393217 LDA328181:LDC393217 MGO328181:MGQ393217 NKC328181:NKE393217 ONQ328181:ONS393217 PRE328181:PRG393217 QUS328181:QUU393217 RYG328181:RYI393217 TBU328181:TBW393217 UFI328181:UFK393217 VIW328181:VIY393217 WMK328181:WMM393217 Y393717:AA458753 ADM393717:ADO458753 BHA393717:BHC458753 CKO393717:CKQ458753 DOC393717:DOE458753 ERQ393717:ERS458753 FVE393717:FVG458753 GYS393717:GYU458753 ICG393717:ICI458753 JFU393717:JFW458753 KJI393717:KJK458753 LMW393717:LMY458753 MQK393717:MQM458753 NTY393717:NUA458753 OXM393717:OXO458753 QBA393717:QBC458753 REO393717:REQ458753 SIC393717:SIE458753 TLQ393717:TLS458753 UPE393717:UPG458753 VSS393717:VSU458753 WWG393717:WWI458753 JU393717:JW458753 ANI393717:ANK458753 BQW393717:BQY458753 CUK393717:CUM458753 DXY393717:DYA458753 FBM393717:FBO458753 GFA393717:GFC458753 HIO393717:HIQ458753 IMC393717:IME458753 JPQ393717:JPS458753 KTE393717:KTG458753 LWS393717:LWU458753 NAG393717:NAI458753 ODU393717:ODW458753 PHI393717:PHK458753 QKW393717:QKY458753 ROK393717:ROM458753 SRY393717:SSA458753 TVM393717:TVO458753 UZA393717:UZC458753 WCO393717:WCQ458753 TQ393717:TS458753 AXE393717:AXG458753 CAS393717:CAU458753 DEG393717:DEI458753 EHU393717:EHW458753 FLI393717:FLK458753 GOW393717:GOY458753 HSK393717:HSM458753 IVY393717:IWA458753 JZM393717:JZO458753 LDA393717:LDC458753 MGO393717:MGQ458753 NKC393717:NKE458753 ONQ393717:ONS458753 PRE393717:PRG458753 QUS393717:QUU458753 RYG393717:RYI458753 TBU393717:TBW458753 UFI393717:UFK458753 VIW393717:VIY458753 WMK393717:WMM458753 Y459253:AA524289 ADM459253:ADO524289 BHA459253:BHC524289 CKO459253:CKQ524289 DOC459253:DOE524289 ERQ459253:ERS524289 FVE459253:FVG524289 GYS459253:GYU524289 ICG459253:ICI524289 JFU459253:JFW524289 KJI459253:KJK524289 LMW459253:LMY524289 MQK459253:MQM524289 NTY459253:NUA524289 OXM459253:OXO524289 QBA459253:QBC524289 REO459253:REQ524289 SIC459253:SIE524289 TLQ459253:TLS524289 UPE459253:UPG524289 VSS459253:VSU524289 WWG459253:WWI524289 JU459253:JW524289 ANI459253:ANK524289 BQW459253:BQY524289 CUK459253:CUM524289 DXY459253:DYA524289 FBM459253:FBO524289 GFA459253:GFC524289 HIO459253:HIQ524289 IMC459253:IME524289 JPQ459253:JPS524289 KTE459253:KTG524289 LWS459253:LWU524289 NAG459253:NAI524289 ODU459253:ODW524289 PHI459253:PHK524289 QKW459253:QKY524289 ROK459253:ROM524289 SRY459253:SSA524289 TVM459253:TVO524289 UZA459253:UZC524289 WCO459253:WCQ524289 TQ459253:TS524289 AXE459253:AXG524289 CAS459253:CAU524289 DEG459253:DEI524289 EHU459253:EHW524289 FLI459253:FLK524289 GOW459253:GOY524289 HSK459253:HSM524289 IVY459253:IWA524289 JZM459253:JZO524289 LDA459253:LDC524289 MGO459253:MGQ524289 NKC459253:NKE524289 ONQ459253:ONS524289 PRE459253:PRG524289 QUS459253:QUU524289 RYG459253:RYI524289 TBU459253:TBW524289 UFI459253:UFK524289 VIW459253:VIY524289 WMK459253:WMM524289 Y524789:AA589825 ADM524789:ADO589825 BHA524789:BHC589825 CKO524789:CKQ589825 DOC524789:DOE589825 ERQ524789:ERS589825 FVE524789:FVG589825 GYS524789:GYU589825 ICG524789:ICI589825 JFU524789:JFW589825 KJI524789:KJK589825 LMW524789:LMY589825 MQK524789:MQM589825 NTY524789:NUA589825 OXM524789:OXO589825 QBA524789:QBC589825 REO524789:REQ589825 SIC524789:SIE589825 TLQ524789:TLS589825 UPE524789:UPG589825 VSS524789:VSU589825 WWG524789:WWI589825 JU524789:JW589825 ANI524789:ANK589825 BQW524789:BQY589825 CUK524789:CUM589825 DXY524789:DYA589825 FBM524789:FBO589825 GFA524789:GFC589825 HIO524789:HIQ589825 IMC524789:IME589825 JPQ524789:JPS589825 KTE524789:KTG589825 LWS524789:LWU589825 NAG524789:NAI589825 ODU524789:ODW589825 PHI524789:PHK589825 QKW524789:QKY589825 ROK524789:ROM589825 SRY524789:SSA589825 TVM524789:TVO589825 UZA524789:UZC589825 WCO524789:WCQ589825 TQ524789:TS589825 AXE524789:AXG589825 CAS524789:CAU589825 DEG524789:DEI589825 EHU524789:EHW589825 FLI524789:FLK589825 GOW524789:GOY589825 HSK524789:HSM589825 IVY524789:IWA589825 JZM524789:JZO589825 LDA524789:LDC589825 MGO524789:MGQ589825 NKC524789:NKE589825 ONQ524789:ONS589825 PRE524789:PRG589825 QUS524789:QUU589825 RYG524789:RYI589825 TBU524789:TBW589825 UFI524789:UFK589825 VIW524789:VIY589825 WMK524789:WMM589825 Y590325:AA655361 ADM590325:ADO655361 BHA590325:BHC655361 CKO590325:CKQ655361 DOC590325:DOE655361 ERQ590325:ERS655361 FVE590325:FVG655361 GYS590325:GYU655361 ICG590325:ICI655361 JFU590325:JFW655361 KJI590325:KJK655361 LMW590325:LMY655361 MQK590325:MQM655361 NTY590325:NUA655361 OXM590325:OXO655361 QBA590325:QBC655361 REO590325:REQ655361 SIC590325:SIE655361 TLQ590325:TLS655361 UPE590325:UPG655361 VSS590325:VSU655361 WWG590325:WWI655361 JU590325:JW655361 ANI590325:ANK655361 BQW590325:BQY655361 CUK590325:CUM655361 DXY590325:DYA655361 FBM590325:FBO655361 GFA590325:GFC655361 HIO590325:HIQ655361 IMC590325:IME655361 JPQ590325:JPS655361 KTE590325:KTG655361 LWS590325:LWU655361 NAG590325:NAI655361 ODU590325:ODW655361 PHI590325:PHK655361 QKW590325:QKY655361 ROK590325:ROM655361 SRY590325:SSA655361 TVM590325:TVO655361 UZA590325:UZC655361 WCO590325:WCQ655361 TQ590325:TS655361 AXE590325:AXG655361 CAS590325:CAU655361 DEG590325:DEI655361 EHU590325:EHW655361 FLI590325:FLK655361 GOW590325:GOY655361 HSK590325:HSM655361 IVY590325:IWA655361 JZM590325:JZO655361 LDA590325:LDC655361 MGO590325:MGQ655361 NKC590325:NKE655361 ONQ590325:ONS655361 PRE590325:PRG655361 QUS590325:QUU655361 RYG590325:RYI655361 TBU590325:TBW655361 UFI590325:UFK655361 VIW590325:VIY655361 WMK590325:WMM655361 Y655861:AA720897 ADM655861:ADO720897 BHA655861:BHC720897 CKO655861:CKQ720897 DOC655861:DOE720897 ERQ655861:ERS720897 FVE655861:FVG720897 GYS655861:GYU720897 ICG655861:ICI720897 JFU655861:JFW720897 KJI655861:KJK720897 LMW655861:LMY720897 MQK655861:MQM720897 NTY655861:NUA720897 OXM655861:OXO720897 QBA655861:QBC720897 REO655861:REQ720897 SIC655861:SIE720897 TLQ655861:TLS720897 UPE655861:UPG720897 VSS655861:VSU720897 WWG655861:WWI720897 JU655861:JW720897 ANI655861:ANK720897 BQW655861:BQY720897 CUK655861:CUM720897 DXY655861:DYA720897 FBM655861:FBO720897 GFA655861:GFC720897 HIO655861:HIQ720897 IMC655861:IME720897 JPQ655861:JPS720897 KTE655861:KTG720897 LWS655861:LWU720897 NAG655861:NAI720897 ODU655861:ODW720897 PHI655861:PHK720897 QKW655861:QKY720897 ROK655861:ROM720897 SRY655861:SSA720897 TVM655861:TVO720897 UZA655861:UZC720897 WCO655861:WCQ720897 TQ655861:TS720897 AXE655861:AXG720897 CAS655861:CAU720897 DEG655861:DEI720897 EHU655861:EHW720897 FLI655861:FLK720897 GOW655861:GOY720897 HSK655861:HSM720897 IVY655861:IWA720897 JZM655861:JZO720897 LDA655861:LDC720897 MGO655861:MGQ720897 NKC655861:NKE720897 ONQ655861:ONS720897 PRE655861:PRG720897 QUS655861:QUU720897 RYG655861:RYI720897 TBU655861:TBW720897 UFI655861:UFK720897 VIW655861:VIY720897 WMK655861:WMM720897 Y721397:AA786433 ADM721397:ADO786433 BHA721397:BHC786433 CKO721397:CKQ786433 DOC721397:DOE786433 ERQ721397:ERS786433 FVE721397:FVG786433 GYS721397:GYU786433 ICG721397:ICI786433 JFU721397:JFW786433 KJI721397:KJK786433 LMW721397:LMY786433 MQK721397:MQM786433 NTY721397:NUA786433 OXM721397:OXO786433 QBA721397:QBC786433 REO721397:REQ786433 SIC721397:SIE786433 TLQ721397:TLS786433 UPE721397:UPG786433 VSS721397:VSU786433 WWG721397:WWI786433 JU721397:JW786433 ANI721397:ANK786433 BQW721397:BQY786433 CUK721397:CUM786433 DXY721397:DYA786433 FBM721397:FBO786433 GFA721397:GFC786433 HIO721397:HIQ786433 IMC721397:IME786433 JPQ721397:JPS786433 KTE721397:KTG786433 LWS721397:LWU786433 NAG721397:NAI786433 ODU721397:ODW786433 PHI721397:PHK786433 QKW721397:QKY786433 ROK721397:ROM786433 SRY721397:SSA786433 TVM721397:TVO786433 UZA721397:UZC786433 WCO721397:WCQ786433 TQ721397:TS786433 AXE721397:AXG786433 CAS721397:CAU786433 DEG721397:DEI786433 EHU721397:EHW786433 FLI721397:FLK786433 GOW721397:GOY786433 HSK721397:HSM786433 IVY721397:IWA786433 JZM721397:JZO786433 LDA721397:LDC786433 MGO721397:MGQ786433 NKC721397:NKE786433 ONQ721397:ONS786433 PRE721397:PRG786433 QUS721397:QUU786433 RYG721397:RYI786433 TBU721397:TBW786433 UFI721397:UFK786433 VIW721397:VIY786433 WMK721397:WMM786433 Y786933:AA851969 ADM786933:ADO851969 BHA786933:BHC851969 CKO786933:CKQ851969 DOC786933:DOE851969 ERQ786933:ERS851969 FVE786933:FVG851969 GYS786933:GYU851969 ICG786933:ICI851969 JFU786933:JFW851969 KJI786933:KJK851969 LMW786933:LMY851969 MQK786933:MQM851969 NTY786933:NUA851969 OXM786933:OXO851969 QBA786933:QBC851969 REO786933:REQ851969 SIC786933:SIE851969 TLQ786933:TLS851969 UPE786933:UPG851969 VSS786933:VSU851969 WWG786933:WWI851969 JU786933:JW851969 ANI786933:ANK851969 BQW786933:BQY851969 CUK786933:CUM851969 DXY786933:DYA851969 FBM786933:FBO851969 GFA786933:GFC851969 HIO786933:HIQ851969 IMC786933:IME851969 JPQ786933:JPS851969 KTE786933:KTG851969 LWS786933:LWU851969 NAG786933:NAI851969 ODU786933:ODW851969 PHI786933:PHK851969 QKW786933:QKY851969 ROK786933:ROM851969 SRY786933:SSA851969 TVM786933:TVO851969 UZA786933:UZC851969 WCO786933:WCQ851969 TQ786933:TS851969 AXE786933:AXG851969 CAS786933:CAU851969 DEG786933:DEI851969 EHU786933:EHW851969 FLI786933:FLK851969 GOW786933:GOY851969 HSK786933:HSM851969 IVY786933:IWA851969 JZM786933:JZO851969 LDA786933:LDC851969 MGO786933:MGQ851969 NKC786933:NKE851969 ONQ786933:ONS851969 PRE786933:PRG851969 QUS786933:QUU851969 RYG786933:RYI851969 TBU786933:TBW851969 UFI786933:UFK851969 VIW786933:VIY851969 WMK786933:WMM851969 Y852469:AA917505 ADM852469:ADO917505 BHA852469:BHC917505 CKO852469:CKQ917505 DOC852469:DOE917505 ERQ852469:ERS917505 FVE852469:FVG917505 GYS852469:GYU917505 ICG852469:ICI917505 JFU852469:JFW917505 KJI852469:KJK917505 LMW852469:LMY917505 MQK852469:MQM917505 NTY852469:NUA917505 OXM852469:OXO917505 QBA852469:QBC917505 REO852469:REQ917505 SIC852469:SIE917505 TLQ852469:TLS917505 UPE852469:UPG917505 VSS852469:VSU917505 WWG852469:WWI917505 JU852469:JW917505 ANI852469:ANK917505 BQW852469:BQY917505 CUK852469:CUM917505 DXY852469:DYA917505 FBM852469:FBO917505 GFA852469:GFC917505 HIO852469:HIQ917505 IMC852469:IME917505 JPQ852469:JPS917505 KTE852469:KTG917505 LWS852469:LWU917505 NAG852469:NAI917505 ODU852469:ODW917505 PHI852469:PHK917505 QKW852469:QKY917505 ROK852469:ROM917505 SRY852469:SSA917505 TVM852469:TVO917505 UZA852469:UZC917505 WCO852469:WCQ917505 TQ852469:TS917505 AXE852469:AXG917505 CAS852469:CAU917505 DEG852469:DEI917505 EHU852469:EHW917505 FLI852469:FLK917505 GOW852469:GOY917505 HSK852469:HSM917505 IVY852469:IWA917505 JZM852469:JZO917505 LDA852469:LDC917505 MGO852469:MGQ917505 NKC852469:NKE917505 ONQ852469:ONS917505 PRE852469:PRG917505 QUS852469:QUU917505 RYG852469:RYI917505 TBU852469:TBW917505 UFI852469:UFK917505 VIW852469:VIY917505 WMK852469:WMM917505 Y918005:AA983041 ADM918005:ADO983041 BHA918005:BHC983041 CKO918005:CKQ983041 DOC918005:DOE983041 ERQ918005:ERS983041 FVE918005:FVG983041 GYS918005:GYU983041 ICG918005:ICI983041 JFU918005:JFW983041 KJI918005:KJK983041 LMW918005:LMY983041 MQK918005:MQM983041 NTY918005:NUA983041 OXM918005:OXO983041 QBA918005:QBC983041 REO918005:REQ983041 SIC918005:SIE983041 TLQ918005:TLS983041 UPE918005:UPG983041 VSS918005:VSU983041 WWG918005:WWI983041 JU918005:JW983041 ANI918005:ANK983041 BQW918005:BQY983041 CUK918005:CUM983041 DXY918005:DYA983041 FBM918005:FBO983041 GFA918005:GFC983041 HIO918005:HIQ983041 IMC918005:IME983041 JPQ918005:JPS983041 KTE918005:KTG983041 LWS918005:LWU983041 NAG918005:NAI983041 ODU918005:ODW983041 PHI918005:PHK983041 QKW918005:QKY983041 ROK918005:ROM983041 SRY918005:SSA983041 TVM918005:TVO983041 UZA918005:UZC983041 WCO918005:WCQ983041 TQ918005:TS983041 AXE918005:AXG983041 CAS918005:CAU983041 DEG918005:DEI983041 EHU918005:EHW983041 FLI918005:FLK983041 GOW918005:GOY983041 HSK918005:HSM983041 IVY918005:IWA983041 JZM918005:JZO983041 LDA918005:LDC983041 MGO918005:MGQ983041 NKC918005:NKE983041 ONQ918005:ONS983041 PRE918005:PRG983041 QUS918005:QUU983041 RYG918005:RYI983041 TBU918005:TBW983041 UFI918005:UFK983041 VIW918005:VIY983041 WMK918005:WMM983041 Y983541:AA1048576 ADM983541:ADO1048576 BHA983541:BHC1048576 CKO983541:CKQ1048576 DOC983541:DOE1048576 ERQ983541:ERS1048576 FVE983541:FVG1048576 GYS983541:GYU1048576 ICG983541:ICI1048576 JFU983541:JFW1048576 KJI983541:KJK1048576 LMW983541:LMY1048576 MQK983541:MQM1048576 NTY983541:NUA1048576 OXM983541:OXO1048576 QBA983541:QBC1048576 REO983541:REQ1048576 SIC983541:SIE1048576 TLQ983541:TLS1048576 UPE983541:UPG1048576 VSS983541:VSU1048576 WWG983541:WWI1048576 JU983541:JW1048576 ANI983541:ANK1048576 BQW983541:BQY1048576 CUK983541:CUM1048576 DXY983541:DYA1048576 FBM983541:FBO1048576 GFA983541:GFC1048576 HIO983541:HIQ1048576 IMC983541:IME1048576 JPQ983541:JPS1048576 KTE983541:KTG1048576 LWS983541:LWU1048576 NAG983541:NAI1048576 ODU983541:ODW1048576 PHI983541:PHK1048576 QKW983541:QKY1048576 ROK983541:ROM1048576 SRY983541:SSA1048576 TVM983541:TVO1048576 UZA983541:UZC1048576 WCO983541:WCQ1048576 TQ983541:TS1048576 AXE983541:AXG1048576 CAS983541:CAU1048576 DEG983541:DEI1048576 EHU983541:EHW1048576 FLI983541:FLK1048576 GOW983541:GOY1048576 HSK983541:HSM1048576 IVY983541:IWA1048576 JZM983541:JZO1048576 LDA983541:LDC1048576 MGO983541:MGQ1048576 NKC983541:NKE1048576 ONQ983541:ONS1048576 PRE983541:PRG1048576 QUS983541:QUU1048576 RYG983541:RYI1048576 TBU983541:TBW1048576 UFI983541:UFK1048576 VIW983541:VIY1048576 WMK983541:WMM1048576" xr:uid="{4D29FC87-871F-48BE-B2FB-D0FC376F5B1B}">
      <formula1>$AV$2:$AV$10</formula1>
    </dataValidation>
    <dataValidation type="list" allowBlank="1" showInputMessage="1" showErrorMessage="1" sqref="X1:X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WWF1:WWF1048576" xr:uid="{62A621AA-15BD-4202-A445-BAB0795623D5}">
      <formula1>$AT$2:$AT$3</formula1>
    </dataValidation>
    <dataValidation type="list" allowBlank="1" showInputMessage="1" showErrorMessage="1" sqref="I1:I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WVQ1:WVQ1048576" xr:uid="{8253A7DF-28FC-4DD0-AC60-6AC61ADAF42F}">
      <formula1>$AN$5:$AN$6</formula1>
    </dataValidation>
    <dataValidation type="list" allowBlank="1" showInputMessage="1" showErrorMessage="1" sqref="G1:G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WVO1:WVO1048576" xr:uid="{E832F11D-E583-4EE9-8316-F0575AF8ECE1}">
      <formula1>$AJ$2:$AJ$4</formula1>
    </dataValidation>
    <dataValidation type="list" allowBlank="1" showInputMessage="1" showErrorMessage="1" sqref="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A66037:A131073 A131573:A196609 A197109:A262145 A262645:A327681 A328181:A393217 A393717:A458753 A459253:A524289 A524789:A589825 A590325:A655361 A655861:A720897 A721397:A786433 A786933:A851969 A852469:A917505 A918005:A983041 A983541:A1048576 IU11:IU21 IU65547:IU65557 IU131083:IU131093 IU196619:IU196629 IU262155:IU262165 IU327691:IU327701 IU393227:IU393237 IU458763:IU458773 IU524299:IU524309 IU589835:IU589845 IU655371:IU655381 IU720907:IU720917 IU786443:IU786453 IU851979:IU851989 IU917515:IU917525 IU983051:IU983061 IW501:IW65537 IW66037:IW131073 IW131573:IW196609 IW197109:IW262145 IW262645:IW327681 IW328181:IW393217 IW393717:IW458753 IW459253:IW524289 IW524789:IW589825 IW590325:IW655361 IW655861:IW720897 IW721397:IW786433 IW786933:IW851969 IW852469:IW917505 IW918005:IW983041 IW983541:IW1048576 SQ11:SQ21 SQ65547:SQ65557 SQ131083:SQ131093 SQ196619:SQ196629 SQ262155:SQ262165 SQ327691:SQ327701 SQ393227:SQ393237 SQ458763:SQ458773 SQ524299:SQ524309 SQ589835:SQ589845 SQ655371:SQ655381 SQ720907:SQ720917 SQ786443:SQ786453 SQ851979:SQ851989 SQ917515:SQ917525 SQ983051:SQ983061 SS501:SS65537 SS66037:SS131073 SS131573:SS196609 SS197109:SS262145 SS262645:SS327681 SS328181:SS393217 SS393717:SS458753 SS459253:SS524289 SS524789:SS589825 SS590325:SS655361 SS655861:SS720897 SS721397:SS786433 SS786933:SS851969 SS852469:SS917505 SS918005:SS983041 SS983541:SS1048576 ACM11:ACM21 ACM65547:ACM65557 ACM131083:ACM131093 ACM196619:ACM196629 ACM262155:ACM262165 ACM327691:ACM327701 ACM393227:ACM393237 ACM458763:ACM458773 ACM524299:ACM524309 ACM589835:ACM589845 ACM655371:ACM655381 ACM720907:ACM720917 ACM786443:ACM786453 ACM851979:ACM851989 ACM917515:ACM917525 ACM983051:ACM983061 ACO501:ACO65537 ACO66037:ACO131073 ACO131573:ACO196609 ACO197109:ACO262145 ACO262645:ACO327681 ACO328181:ACO393217 ACO393717:ACO458753 ACO459253:ACO524289 ACO524789:ACO589825 ACO590325:ACO655361 ACO655861:ACO720897 ACO721397:ACO786433 ACO786933:ACO851969 ACO852469:ACO917505 ACO918005:ACO983041 ACO983541:ACO1048576 AMI11:AMI21 AMI65547:AMI65557 AMI131083:AMI131093 AMI196619:AMI196629 AMI262155:AMI262165 AMI327691:AMI327701 AMI393227:AMI393237 AMI458763:AMI458773 AMI524299:AMI524309 AMI589835:AMI589845 AMI655371:AMI655381 AMI720907:AMI720917 AMI786443:AMI786453 AMI851979:AMI851989 AMI917515:AMI917525 AMI983051:AMI983061 AMK501:AMK65537 AMK66037:AMK131073 AMK131573:AMK196609 AMK197109:AMK262145 AMK262645:AMK327681 AMK328181:AMK393217 AMK393717:AMK458753 AMK459253:AMK524289 AMK524789:AMK589825 AMK590325:AMK655361 AMK655861:AMK720897 AMK721397:AMK786433 AMK786933:AMK851969 AMK852469:AMK917505 AMK918005:AMK983041 AMK983541:AMK1048576 AWE11:AWE21 AWE65547:AWE65557 AWE131083:AWE131093 AWE196619:AWE196629 AWE262155:AWE262165 AWE327691:AWE327701 AWE393227:AWE393237 AWE458763:AWE458773 AWE524299:AWE524309 AWE589835:AWE589845 AWE655371:AWE655381 AWE720907:AWE720917 AWE786443:AWE786453 AWE851979:AWE851989 AWE917515:AWE917525 AWE983051:AWE983061 AWG501:AWG65537 AWG66037:AWG131073 AWG131573:AWG196609 AWG197109:AWG262145 AWG262645:AWG327681 AWG328181:AWG393217 AWG393717:AWG458753 AWG459253:AWG524289 AWG524789:AWG589825 AWG590325:AWG655361 AWG655861:AWG720897 AWG721397:AWG786433 AWG786933:AWG851969 AWG852469:AWG917505 AWG918005:AWG983041 AWG983541:AWG1048576 BGA11:BGA21 BGA65547:BGA65557 BGA131083:BGA131093 BGA196619:BGA196629 BGA262155:BGA262165 BGA327691:BGA327701 BGA393227:BGA393237 BGA458763:BGA458773 BGA524299:BGA524309 BGA589835:BGA589845 BGA655371:BGA655381 BGA720907:BGA720917 BGA786443:BGA786453 BGA851979:BGA851989 BGA917515:BGA917525 BGA983051:BGA983061 BGC501:BGC65537 BGC66037:BGC131073 BGC131573:BGC196609 BGC197109:BGC262145 BGC262645:BGC327681 BGC328181:BGC393217 BGC393717:BGC458753 BGC459253:BGC524289 BGC524789:BGC589825 BGC590325:BGC655361 BGC655861:BGC720897 BGC721397:BGC786433 BGC786933:BGC851969 BGC852469:BGC917505 BGC918005:BGC983041 BGC983541:BGC1048576 BPW11:BPW21 BPW65547:BPW65557 BPW131083:BPW131093 BPW196619:BPW196629 BPW262155:BPW262165 BPW327691:BPW327701 BPW393227:BPW393237 BPW458763:BPW458773 BPW524299:BPW524309 BPW589835:BPW589845 BPW655371:BPW655381 BPW720907:BPW720917 BPW786443:BPW786453 BPW851979:BPW851989 BPW917515:BPW917525 BPW983051:BPW983061 BPY501:BPY65537 BPY66037:BPY131073 BPY131573:BPY196609 BPY197109:BPY262145 BPY262645:BPY327681 BPY328181:BPY393217 BPY393717:BPY458753 BPY459253:BPY524289 BPY524789:BPY589825 BPY590325:BPY655361 BPY655861:BPY720897 BPY721397:BPY786433 BPY786933:BPY851969 BPY852469:BPY917505 BPY918005:BPY983041 BPY983541:BPY1048576 BZS11:BZS21 BZS65547:BZS65557 BZS131083:BZS131093 BZS196619:BZS196629 BZS262155:BZS262165 BZS327691:BZS327701 BZS393227:BZS393237 BZS458763:BZS458773 BZS524299:BZS524309 BZS589835:BZS589845 BZS655371:BZS655381 BZS720907:BZS720917 BZS786443:BZS786453 BZS851979:BZS851989 BZS917515:BZS917525 BZS983051:BZS983061 BZU501:BZU65537 BZU66037:BZU131073 BZU131573:BZU196609 BZU197109:BZU262145 BZU262645:BZU327681 BZU328181:BZU393217 BZU393717:BZU458753 BZU459253:BZU524289 BZU524789:BZU589825 BZU590325:BZU655361 BZU655861:BZU720897 BZU721397:BZU786433 BZU786933:BZU851969 BZU852469:BZU917505 BZU918005:BZU983041 BZU983541:BZU1048576 CJO11:CJO21 CJO65547:CJO65557 CJO131083:CJO131093 CJO196619:CJO196629 CJO262155:CJO262165 CJO327691:CJO327701 CJO393227:CJO393237 CJO458763:CJO458773 CJO524299:CJO524309 CJO589835:CJO589845 CJO655371:CJO655381 CJO720907:CJO720917 CJO786443:CJO786453 CJO851979:CJO851989 CJO917515:CJO917525 CJO983051:CJO983061 CJQ501:CJQ65537 CJQ66037:CJQ131073 CJQ131573:CJQ196609 CJQ197109:CJQ262145 CJQ262645:CJQ327681 CJQ328181:CJQ393217 CJQ393717:CJQ458753 CJQ459253:CJQ524289 CJQ524789:CJQ589825 CJQ590325:CJQ655361 CJQ655861:CJQ720897 CJQ721397:CJQ786433 CJQ786933:CJQ851969 CJQ852469:CJQ917505 CJQ918005:CJQ983041 CJQ983541:CJQ1048576 CTK11:CTK21 CTK65547:CTK65557 CTK131083:CTK131093 CTK196619:CTK196629 CTK262155:CTK262165 CTK327691:CTK327701 CTK393227:CTK393237 CTK458763:CTK458773 CTK524299:CTK524309 CTK589835:CTK589845 CTK655371:CTK655381 CTK720907:CTK720917 CTK786443:CTK786453 CTK851979:CTK851989 CTK917515:CTK917525 CTK983051:CTK983061 CTM501:CTM65537 CTM66037:CTM131073 CTM131573:CTM196609 CTM197109:CTM262145 CTM262645:CTM327681 CTM328181:CTM393217 CTM393717:CTM458753 CTM459253:CTM524289 CTM524789:CTM589825 CTM590325:CTM655361 CTM655861:CTM720897 CTM721397:CTM786433 CTM786933:CTM851969 CTM852469:CTM917505 CTM918005:CTM983041 CTM983541:CTM1048576 DDG11:DDG21 DDG65547:DDG65557 DDG131083:DDG131093 DDG196619:DDG196629 DDG262155:DDG262165 DDG327691:DDG327701 DDG393227:DDG393237 DDG458763:DDG458773 DDG524299:DDG524309 DDG589835:DDG589845 DDG655371:DDG655381 DDG720907:DDG720917 DDG786443:DDG786453 DDG851979:DDG851989 DDG917515:DDG917525 DDG983051:DDG983061 DDI501:DDI65537 DDI66037:DDI131073 DDI131573:DDI196609 DDI197109:DDI262145 DDI262645:DDI327681 DDI328181:DDI393217 DDI393717:DDI458753 DDI459253:DDI524289 DDI524789:DDI589825 DDI590325:DDI655361 DDI655861:DDI720897 DDI721397:DDI786433 DDI786933:DDI851969 DDI852469:DDI917505 DDI918005:DDI983041 DDI983541:DDI1048576 DNC11:DNC21 DNC65547:DNC65557 DNC131083:DNC131093 DNC196619:DNC196629 DNC262155:DNC262165 DNC327691:DNC327701 DNC393227:DNC393237 DNC458763:DNC458773 DNC524299:DNC524309 DNC589835:DNC589845 DNC655371:DNC655381 DNC720907:DNC720917 DNC786443:DNC786453 DNC851979:DNC851989 DNC917515:DNC917525 DNC983051:DNC983061 DNE501:DNE65537 DNE66037:DNE131073 DNE131573:DNE196609 DNE197109:DNE262145 DNE262645:DNE327681 DNE328181:DNE393217 DNE393717:DNE458753 DNE459253:DNE524289 DNE524789:DNE589825 DNE590325:DNE655361 DNE655861:DNE720897 DNE721397:DNE786433 DNE786933:DNE851969 DNE852469:DNE917505 DNE918005:DNE983041 DNE983541:DNE1048576 DWY11:DWY21 DWY65547:DWY65557 DWY131083:DWY131093 DWY196619:DWY196629 DWY262155:DWY262165 DWY327691:DWY327701 DWY393227:DWY393237 DWY458763:DWY458773 DWY524299:DWY524309 DWY589835:DWY589845 DWY655371:DWY655381 DWY720907:DWY720917 DWY786443:DWY786453 DWY851979:DWY851989 DWY917515:DWY917525 DWY983051:DWY983061 DXA501:DXA65537 DXA66037:DXA131073 DXA131573:DXA196609 DXA197109:DXA262145 DXA262645:DXA327681 DXA328181:DXA393217 DXA393717:DXA458753 DXA459253:DXA524289 DXA524789:DXA589825 DXA590325:DXA655361 DXA655861:DXA720897 DXA721397:DXA786433 DXA786933:DXA851969 DXA852469:DXA917505 DXA918005:DXA983041 DXA983541:DXA1048576 EGU11:EGU21 EGU65547:EGU65557 EGU131083:EGU131093 EGU196619:EGU196629 EGU262155:EGU262165 EGU327691:EGU327701 EGU393227:EGU393237 EGU458763:EGU458773 EGU524299:EGU524309 EGU589835:EGU589845 EGU655371:EGU655381 EGU720907:EGU720917 EGU786443:EGU786453 EGU851979:EGU851989 EGU917515:EGU917525 EGU983051:EGU983061 EGW501:EGW65537 EGW66037:EGW131073 EGW131573:EGW196609 EGW197109:EGW262145 EGW262645:EGW327681 EGW328181:EGW393217 EGW393717:EGW458753 EGW459253:EGW524289 EGW524789:EGW589825 EGW590325:EGW655361 EGW655861:EGW720897 EGW721397:EGW786433 EGW786933:EGW851969 EGW852469:EGW917505 EGW918005:EGW983041 EGW983541:EGW1048576 EQQ11:EQQ21 EQQ65547:EQQ65557 EQQ131083:EQQ131093 EQQ196619:EQQ196629 EQQ262155:EQQ262165 EQQ327691:EQQ327701 EQQ393227:EQQ393237 EQQ458763:EQQ458773 EQQ524299:EQQ524309 EQQ589835:EQQ589845 EQQ655371:EQQ655381 EQQ720907:EQQ720917 EQQ786443:EQQ786453 EQQ851979:EQQ851989 EQQ917515:EQQ917525 EQQ983051:EQQ983061 EQS501:EQS65537 EQS66037:EQS131073 EQS131573:EQS196609 EQS197109:EQS262145 EQS262645:EQS327681 EQS328181:EQS393217 EQS393717:EQS458753 EQS459253:EQS524289 EQS524789:EQS589825 EQS590325:EQS655361 EQS655861:EQS720897 EQS721397:EQS786433 EQS786933:EQS851969 EQS852469:EQS917505 EQS918005:EQS983041 EQS983541:EQS1048576 FAM11:FAM21 FAM65547:FAM65557 FAM131083:FAM131093 FAM196619:FAM196629 FAM262155:FAM262165 FAM327691:FAM327701 FAM393227:FAM393237 FAM458763:FAM458773 FAM524299:FAM524309 FAM589835:FAM589845 FAM655371:FAM655381 FAM720907:FAM720917 FAM786443:FAM786453 FAM851979:FAM851989 FAM917515:FAM917525 FAM983051:FAM983061 FAO501:FAO65537 FAO66037:FAO131073 FAO131573:FAO196609 FAO197109:FAO262145 FAO262645:FAO327681 FAO328181:FAO393217 FAO393717:FAO458753 FAO459253:FAO524289 FAO524789:FAO589825 FAO590325:FAO655361 FAO655861:FAO720897 FAO721397:FAO786433 FAO786933:FAO851969 FAO852469:FAO917505 FAO918005:FAO983041 FAO983541:FAO1048576 FKI11:FKI21 FKI65547:FKI65557 FKI131083:FKI131093 FKI196619:FKI196629 FKI262155:FKI262165 FKI327691:FKI327701 FKI393227:FKI393237 FKI458763:FKI458773 FKI524299:FKI524309 FKI589835:FKI589845 FKI655371:FKI655381 FKI720907:FKI720917 FKI786443:FKI786453 FKI851979:FKI851989 FKI917515:FKI917525 FKI983051:FKI983061 FKK501:FKK65537 FKK66037:FKK131073 FKK131573:FKK196609 FKK197109:FKK262145 FKK262645:FKK327681 FKK328181:FKK393217 FKK393717:FKK458753 FKK459253:FKK524289 FKK524789:FKK589825 FKK590325:FKK655361 FKK655861:FKK720897 FKK721397:FKK786433 FKK786933:FKK851969 FKK852469:FKK917505 FKK918005:FKK983041 FKK983541:FKK1048576 FUE11:FUE21 FUE65547:FUE65557 FUE131083:FUE131093 FUE196619:FUE196629 FUE262155:FUE262165 FUE327691:FUE327701 FUE393227:FUE393237 FUE458763:FUE458773 FUE524299:FUE524309 FUE589835:FUE589845 FUE655371:FUE655381 FUE720907:FUE720917 FUE786443:FUE786453 FUE851979:FUE851989 FUE917515:FUE917525 FUE983051:FUE983061 FUG501:FUG65537 FUG66037:FUG131073 FUG131573:FUG196609 FUG197109:FUG262145 FUG262645:FUG327681 FUG328181:FUG393217 FUG393717:FUG458753 FUG459253:FUG524289 FUG524789:FUG589825 FUG590325:FUG655361 FUG655861:FUG720897 FUG721397:FUG786433 FUG786933:FUG851969 FUG852469:FUG917505 FUG918005:FUG983041 FUG983541:FUG1048576 GEA11:GEA21 GEA65547:GEA65557 GEA131083:GEA131093 GEA196619:GEA196629 GEA262155:GEA262165 GEA327691:GEA327701 GEA393227:GEA393237 GEA458763:GEA458773 GEA524299:GEA524309 GEA589835:GEA589845 GEA655371:GEA655381 GEA720907:GEA720917 GEA786443:GEA786453 GEA851979:GEA851989 GEA917515:GEA917525 GEA983051:GEA983061 GEC501:GEC65537 GEC66037:GEC131073 GEC131573:GEC196609 GEC197109:GEC262145 GEC262645:GEC327681 GEC328181:GEC393217 GEC393717:GEC458753 GEC459253:GEC524289 GEC524789:GEC589825 GEC590325:GEC655361 GEC655861:GEC720897 GEC721397:GEC786433 GEC786933:GEC851969 GEC852469:GEC917505 GEC918005:GEC983041 GEC983541:GEC1048576 GNW11:GNW21 GNW65547:GNW65557 GNW131083:GNW131093 GNW196619:GNW196629 GNW262155:GNW262165 GNW327691:GNW327701 GNW393227:GNW393237 GNW458763:GNW458773 GNW524299:GNW524309 GNW589835:GNW589845 GNW655371:GNW655381 GNW720907:GNW720917 GNW786443:GNW786453 GNW851979:GNW851989 GNW917515:GNW917525 GNW983051:GNW983061 GNY501:GNY65537 GNY66037:GNY131073 GNY131573:GNY196609 GNY197109:GNY262145 GNY262645:GNY327681 GNY328181:GNY393217 GNY393717:GNY458753 GNY459253:GNY524289 GNY524789:GNY589825 GNY590325:GNY655361 GNY655861:GNY720897 GNY721397:GNY786433 GNY786933:GNY851969 GNY852469:GNY917505 GNY918005:GNY983041 GNY983541:GNY1048576 GXS11:GXS21 GXS65547:GXS65557 GXS131083:GXS131093 GXS196619:GXS196629 GXS262155:GXS262165 GXS327691:GXS327701 GXS393227:GXS393237 GXS458763:GXS458773 GXS524299:GXS524309 GXS589835:GXS589845 GXS655371:GXS655381 GXS720907:GXS720917 GXS786443:GXS786453 GXS851979:GXS851989 GXS917515:GXS917525 GXS983051:GXS983061 GXU501:GXU65537 GXU66037:GXU131073 GXU131573:GXU196609 GXU197109:GXU262145 GXU262645:GXU327681 GXU328181:GXU393217 GXU393717:GXU458753 GXU459253:GXU524289 GXU524789:GXU589825 GXU590325:GXU655361 GXU655861:GXU720897 GXU721397:GXU786433 GXU786933:GXU851969 GXU852469:GXU917505 GXU918005:GXU983041 GXU983541:GXU1048576 HHO11:HHO21 HHO65547:HHO65557 HHO131083:HHO131093 HHO196619:HHO196629 HHO262155:HHO262165 HHO327691:HHO327701 HHO393227:HHO393237 HHO458763:HHO458773 HHO524299:HHO524309 HHO589835:HHO589845 HHO655371:HHO655381 HHO720907:HHO720917 HHO786443:HHO786453 HHO851979:HHO851989 HHO917515:HHO917525 HHO983051:HHO983061 HHQ501:HHQ65537 HHQ66037:HHQ131073 HHQ131573:HHQ196609 HHQ197109:HHQ262145 HHQ262645:HHQ327681 HHQ328181:HHQ393217 HHQ393717:HHQ458753 HHQ459253:HHQ524289 HHQ524789:HHQ589825 HHQ590325:HHQ655361 HHQ655861:HHQ720897 HHQ721397:HHQ786433 HHQ786933:HHQ851969 HHQ852469:HHQ917505 HHQ918005:HHQ983041 HHQ983541:HHQ1048576 HRK11:HRK21 HRK65547:HRK65557 HRK131083:HRK131093 HRK196619:HRK196629 HRK262155:HRK262165 HRK327691:HRK327701 HRK393227:HRK393237 HRK458763:HRK458773 HRK524299:HRK524309 HRK589835:HRK589845 HRK655371:HRK655381 HRK720907:HRK720917 HRK786443:HRK786453 HRK851979:HRK851989 HRK917515:HRK917525 HRK983051:HRK983061 HRM501:HRM65537 HRM66037:HRM131073 HRM131573:HRM196609 HRM197109:HRM262145 HRM262645:HRM327681 HRM328181:HRM393217 HRM393717:HRM458753 HRM459253:HRM524289 HRM524789:HRM589825 HRM590325:HRM655361 HRM655861:HRM720897 HRM721397:HRM786433 HRM786933:HRM851969 HRM852469:HRM917505 HRM918005:HRM983041 HRM983541:HRM1048576 IBG11:IBG21 IBG65547:IBG65557 IBG131083:IBG131093 IBG196619:IBG196629 IBG262155:IBG262165 IBG327691:IBG327701 IBG393227:IBG393237 IBG458763:IBG458773 IBG524299:IBG524309 IBG589835:IBG589845 IBG655371:IBG655381 IBG720907:IBG720917 IBG786443:IBG786453 IBG851979:IBG851989 IBG917515:IBG917525 IBG983051:IBG983061 IBI501:IBI65537 IBI66037:IBI131073 IBI131573:IBI196609 IBI197109:IBI262145 IBI262645:IBI327681 IBI328181:IBI393217 IBI393717:IBI458753 IBI459253:IBI524289 IBI524789:IBI589825 IBI590325:IBI655361 IBI655861:IBI720897 IBI721397:IBI786433 IBI786933:IBI851969 IBI852469:IBI917505 IBI918005:IBI983041 IBI983541:IBI1048576 ILC11:ILC21 ILC65547:ILC65557 ILC131083:ILC131093 ILC196619:ILC196629 ILC262155:ILC262165 ILC327691:ILC327701 ILC393227:ILC393237 ILC458763:ILC458773 ILC524299:ILC524309 ILC589835:ILC589845 ILC655371:ILC655381 ILC720907:ILC720917 ILC786443:ILC786453 ILC851979:ILC851989 ILC917515:ILC917525 ILC983051:ILC983061 ILE501:ILE65537 ILE66037:ILE131073 ILE131573:ILE196609 ILE197109:ILE262145 ILE262645:ILE327681 ILE328181:ILE393217 ILE393717:ILE458753 ILE459253:ILE524289 ILE524789:ILE589825 ILE590325:ILE655361 ILE655861:ILE720897 ILE721397:ILE786433 ILE786933:ILE851969 ILE852469:ILE917505 ILE918005:ILE983041 ILE983541:ILE1048576 IUY11:IUY21 IUY65547:IUY65557 IUY131083:IUY131093 IUY196619:IUY196629 IUY262155:IUY262165 IUY327691:IUY327701 IUY393227:IUY393237 IUY458763:IUY458773 IUY524299:IUY524309 IUY589835:IUY589845 IUY655371:IUY655381 IUY720907:IUY720917 IUY786443:IUY786453 IUY851979:IUY851989 IUY917515:IUY917525 IUY983051:IUY983061 IVA501:IVA65537 IVA66037:IVA131073 IVA131573:IVA196609 IVA197109:IVA262145 IVA262645:IVA327681 IVA328181:IVA393217 IVA393717:IVA458753 IVA459253:IVA524289 IVA524789:IVA589825 IVA590325:IVA655361 IVA655861:IVA720897 IVA721397:IVA786433 IVA786933:IVA851969 IVA852469:IVA917505 IVA918005:IVA983041 IVA983541:IVA1048576 JEU11:JEU21 JEU65547:JEU65557 JEU131083:JEU131093 JEU196619:JEU196629 JEU262155:JEU262165 JEU327691:JEU327701 JEU393227:JEU393237 JEU458763:JEU458773 JEU524299:JEU524309 JEU589835:JEU589845 JEU655371:JEU655381 JEU720907:JEU720917 JEU786443:JEU786453 JEU851979:JEU851989 JEU917515:JEU917525 JEU983051:JEU983061 JEW501:JEW65537 JEW66037:JEW131073 JEW131573:JEW196609 JEW197109:JEW262145 JEW262645:JEW327681 JEW328181:JEW393217 JEW393717:JEW458753 JEW459253:JEW524289 JEW524789:JEW589825 JEW590325:JEW655361 JEW655861:JEW720897 JEW721397:JEW786433 JEW786933:JEW851969 JEW852469:JEW917505 JEW918005:JEW983041 JEW983541:JEW1048576 JOQ11:JOQ21 JOQ65547:JOQ65557 JOQ131083:JOQ131093 JOQ196619:JOQ196629 JOQ262155:JOQ262165 JOQ327691:JOQ327701 JOQ393227:JOQ393237 JOQ458763:JOQ458773 JOQ524299:JOQ524309 JOQ589835:JOQ589845 JOQ655371:JOQ655381 JOQ720907:JOQ720917 JOQ786443:JOQ786453 JOQ851979:JOQ851989 JOQ917515:JOQ917525 JOQ983051:JOQ983061 JOS501:JOS65537 JOS66037:JOS131073 JOS131573:JOS196609 JOS197109:JOS262145 JOS262645:JOS327681 JOS328181:JOS393217 JOS393717:JOS458753 JOS459253:JOS524289 JOS524789:JOS589825 JOS590325:JOS655361 JOS655861:JOS720897 JOS721397:JOS786433 JOS786933:JOS851969 JOS852469:JOS917505 JOS918005:JOS983041 JOS983541:JOS1048576 JYM11:JYM21 JYM65547:JYM65557 JYM131083:JYM131093 JYM196619:JYM196629 JYM262155:JYM262165 JYM327691:JYM327701 JYM393227:JYM393237 JYM458763:JYM458773 JYM524299:JYM524309 JYM589835:JYM589845 JYM655371:JYM655381 JYM720907:JYM720917 JYM786443:JYM786453 JYM851979:JYM851989 JYM917515:JYM917525 JYM983051:JYM983061 JYO501:JYO65537 JYO66037:JYO131073 JYO131573:JYO196609 JYO197109:JYO262145 JYO262645:JYO327681 JYO328181:JYO393217 JYO393717:JYO458753 JYO459253:JYO524289 JYO524789:JYO589825 JYO590325:JYO655361 JYO655861:JYO720897 JYO721397:JYO786433 JYO786933:JYO851969 JYO852469:JYO917505 JYO918005:JYO983041 JYO983541:JYO1048576 KII11:KII21 KII65547:KII65557 KII131083:KII131093 KII196619:KII196629 KII262155:KII262165 KII327691:KII327701 KII393227:KII393237 KII458763:KII458773 KII524299:KII524309 KII589835:KII589845 KII655371:KII655381 KII720907:KII720917 KII786443:KII786453 KII851979:KII851989 KII917515:KII917525 KII983051:KII983061 KIK501:KIK65537 KIK66037:KIK131073 KIK131573:KIK196609 KIK197109:KIK262145 KIK262645:KIK327681 KIK328181:KIK393217 KIK393717:KIK458753 KIK459253:KIK524289 KIK524789:KIK589825 KIK590325:KIK655361 KIK655861:KIK720897 KIK721397:KIK786433 KIK786933:KIK851969 KIK852469:KIK917505 KIK918005:KIK983041 KIK983541:KIK1048576 KSE11:KSE21 KSE65547:KSE65557 KSE131083:KSE131093 KSE196619:KSE196629 KSE262155:KSE262165 KSE327691:KSE327701 KSE393227:KSE393237 KSE458763:KSE458773 KSE524299:KSE524309 KSE589835:KSE589845 KSE655371:KSE655381 KSE720907:KSE720917 KSE786443:KSE786453 KSE851979:KSE851989 KSE917515:KSE917525 KSE983051:KSE983061 KSG501:KSG65537 KSG66037:KSG131073 KSG131573:KSG196609 KSG197109:KSG262145 KSG262645:KSG327681 KSG328181:KSG393217 KSG393717:KSG458753 KSG459253:KSG524289 KSG524789:KSG589825 KSG590325:KSG655361 KSG655861:KSG720897 KSG721397:KSG786433 KSG786933:KSG851969 KSG852469:KSG917505 KSG918005:KSG983041 KSG983541:KSG1048576 LCA11:LCA21 LCA65547:LCA65557 LCA131083:LCA131093 LCA196619:LCA196629 LCA262155:LCA262165 LCA327691:LCA327701 LCA393227:LCA393237 LCA458763:LCA458773 LCA524299:LCA524309 LCA589835:LCA589845 LCA655371:LCA655381 LCA720907:LCA720917 LCA786443:LCA786453 LCA851979:LCA851989 LCA917515:LCA917525 LCA983051:LCA983061 LCC501:LCC65537 LCC66037:LCC131073 LCC131573:LCC196609 LCC197109:LCC262145 LCC262645:LCC327681 LCC328181:LCC393217 LCC393717:LCC458753 LCC459253:LCC524289 LCC524789:LCC589825 LCC590325:LCC655361 LCC655861:LCC720897 LCC721397:LCC786433 LCC786933:LCC851969 LCC852469:LCC917505 LCC918005:LCC983041 LCC983541:LCC1048576 LLW11:LLW21 LLW65547:LLW65557 LLW131083:LLW131093 LLW196619:LLW196629 LLW262155:LLW262165 LLW327691:LLW327701 LLW393227:LLW393237 LLW458763:LLW458773 LLW524299:LLW524309 LLW589835:LLW589845 LLW655371:LLW655381 LLW720907:LLW720917 LLW786443:LLW786453 LLW851979:LLW851989 LLW917515:LLW917525 LLW983051:LLW983061 LLY501:LLY65537 LLY66037:LLY131073 LLY131573:LLY196609 LLY197109:LLY262145 LLY262645:LLY327681 LLY328181:LLY393217 LLY393717:LLY458753 LLY459253:LLY524289 LLY524789:LLY589825 LLY590325:LLY655361 LLY655861:LLY720897 LLY721397:LLY786433 LLY786933:LLY851969 LLY852469:LLY917505 LLY918005:LLY983041 LLY983541:LLY1048576 LVS11:LVS21 LVS65547:LVS65557 LVS131083:LVS131093 LVS196619:LVS196629 LVS262155:LVS262165 LVS327691:LVS327701 LVS393227:LVS393237 LVS458763:LVS458773 LVS524299:LVS524309 LVS589835:LVS589845 LVS655371:LVS655381 LVS720907:LVS720917 LVS786443:LVS786453 LVS851979:LVS851989 LVS917515:LVS917525 LVS983051:LVS983061 LVU501:LVU65537 LVU66037:LVU131073 LVU131573:LVU196609 LVU197109:LVU262145 LVU262645:LVU327681 LVU328181:LVU393217 LVU393717:LVU458753 LVU459253:LVU524289 LVU524789:LVU589825 LVU590325:LVU655361 LVU655861:LVU720897 LVU721397:LVU786433 LVU786933:LVU851969 LVU852469:LVU917505 LVU918005:LVU983041 LVU983541:LVU1048576 MFO11:MFO21 MFO65547:MFO65557 MFO131083:MFO131093 MFO196619:MFO196629 MFO262155:MFO262165 MFO327691:MFO327701 MFO393227:MFO393237 MFO458763:MFO458773 MFO524299:MFO524309 MFO589835:MFO589845 MFO655371:MFO655381 MFO720907:MFO720917 MFO786443:MFO786453 MFO851979:MFO851989 MFO917515:MFO917525 MFO983051:MFO983061 MFQ501:MFQ65537 MFQ66037:MFQ131073 MFQ131573:MFQ196609 MFQ197109:MFQ262145 MFQ262645:MFQ327681 MFQ328181:MFQ393217 MFQ393717:MFQ458753 MFQ459253:MFQ524289 MFQ524789:MFQ589825 MFQ590325:MFQ655361 MFQ655861:MFQ720897 MFQ721397:MFQ786433 MFQ786933:MFQ851969 MFQ852469:MFQ917505 MFQ918005:MFQ983041 MFQ983541:MFQ1048576 MPK11:MPK21 MPK65547:MPK65557 MPK131083:MPK131093 MPK196619:MPK196629 MPK262155:MPK262165 MPK327691:MPK327701 MPK393227:MPK393237 MPK458763:MPK458773 MPK524299:MPK524309 MPK589835:MPK589845 MPK655371:MPK655381 MPK720907:MPK720917 MPK786443:MPK786453 MPK851979:MPK851989 MPK917515:MPK917525 MPK983051:MPK983061 MPM501:MPM65537 MPM66037:MPM131073 MPM131573:MPM196609 MPM197109:MPM262145 MPM262645:MPM327681 MPM328181:MPM393217 MPM393717:MPM458753 MPM459253:MPM524289 MPM524789:MPM589825 MPM590325:MPM655361 MPM655861:MPM720897 MPM721397:MPM786433 MPM786933:MPM851969 MPM852469:MPM917505 MPM918005:MPM983041 MPM983541:MPM1048576 MZG11:MZG21 MZG65547:MZG65557 MZG131083:MZG131093 MZG196619:MZG196629 MZG262155:MZG262165 MZG327691:MZG327701 MZG393227:MZG393237 MZG458763:MZG458773 MZG524299:MZG524309 MZG589835:MZG589845 MZG655371:MZG655381 MZG720907:MZG720917 MZG786443:MZG786453 MZG851979:MZG851989 MZG917515:MZG917525 MZG983051:MZG983061 MZI501:MZI65537 MZI66037:MZI131073 MZI131573:MZI196609 MZI197109:MZI262145 MZI262645:MZI327681 MZI328181:MZI393217 MZI393717:MZI458753 MZI459253:MZI524289 MZI524789:MZI589825 MZI590325:MZI655361 MZI655861:MZI720897 MZI721397:MZI786433 MZI786933:MZI851969 MZI852469:MZI917505 MZI918005:MZI983041 MZI983541:MZI1048576 NJC11:NJC21 NJC65547:NJC65557 NJC131083:NJC131093 NJC196619:NJC196629 NJC262155:NJC262165 NJC327691:NJC327701 NJC393227:NJC393237 NJC458763:NJC458773 NJC524299:NJC524309 NJC589835:NJC589845 NJC655371:NJC655381 NJC720907:NJC720917 NJC786443:NJC786453 NJC851979:NJC851989 NJC917515:NJC917525 NJC983051:NJC983061 NJE501:NJE65537 NJE66037:NJE131073 NJE131573:NJE196609 NJE197109:NJE262145 NJE262645:NJE327681 NJE328181:NJE393217 NJE393717:NJE458753 NJE459253:NJE524289 NJE524789:NJE589825 NJE590325:NJE655361 NJE655861:NJE720897 NJE721397:NJE786433 NJE786933:NJE851969 NJE852469:NJE917505 NJE918005:NJE983041 NJE983541:NJE1048576 NSY11:NSY21 NSY65547:NSY65557 NSY131083:NSY131093 NSY196619:NSY196629 NSY262155:NSY262165 NSY327691:NSY327701 NSY393227:NSY393237 NSY458763:NSY458773 NSY524299:NSY524309 NSY589835:NSY589845 NSY655371:NSY655381 NSY720907:NSY720917 NSY786443:NSY786453 NSY851979:NSY851989 NSY917515:NSY917525 NSY983051:NSY983061 NTA501:NTA65537 NTA66037:NTA131073 NTA131573:NTA196609 NTA197109:NTA262145 NTA262645:NTA327681 NTA328181:NTA393217 NTA393717:NTA458753 NTA459253:NTA524289 NTA524789:NTA589825 NTA590325:NTA655361 NTA655861:NTA720897 NTA721397:NTA786433 NTA786933:NTA851969 NTA852469:NTA917505 NTA918005:NTA983041 NTA983541:NTA1048576 OCU11:OCU21 OCU65547:OCU65557 OCU131083:OCU131093 OCU196619:OCU196629 OCU262155:OCU262165 OCU327691:OCU327701 OCU393227:OCU393237 OCU458763:OCU458773 OCU524299:OCU524309 OCU589835:OCU589845 OCU655371:OCU655381 OCU720907:OCU720917 OCU786443:OCU786453 OCU851979:OCU851989 OCU917515:OCU917525 OCU983051:OCU983061 OCW501:OCW65537 OCW66037:OCW131073 OCW131573:OCW196609 OCW197109:OCW262145 OCW262645:OCW327681 OCW328181:OCW393217 OCW393717:OCW458753 OCW459253:OCW524289 OCW524789:OCW589825 OCW590325:OCW655361 OCW655861:OCW720897 OCW721397:OCW786433 OCW786933:OCW851969 OCW852469:OCW917505 OCW918005:OCW983041 OCW983541:OCW1048576 OMQ11:OMQ21 OMQ65547:OMQ65557 OMQ131083:OMQ131093 OMQ196619:OMQ196629 OMQ262155:OMQ262165 OMQ327691:OMQ327701 OMQ393227:OMQ393237 OMQ458763:OMQ458773 OMQ524299:OMQ524309 OMQ589835:OMQ589845 OMQ655371:OMQ655381 OMQ720907:OMQ720917 OMQ786443:OMQ786453 OMQ851979:OMQ851989 OMQ917515:OMQ917525 OMQ983051:OMQ983061 OMS501:OMS65537 OMS66037:OMS131073 OMS131573:OMS196609 OMS197109:OMS262145 OMS262645:OMS327681 OMS328181:OMS393217 OMS393717:OMS458753 OMS459253:OMS524289 OMS524789:OMS589825 OMS590325:OMS655361 OMS655861:OMS720897 OMS721397:OMS786433 OMS786933:OMS851969 OMS852469:OMS917505 OMS918005:OMS983041 OMS983541:OMS1048576 OWM11:OWM21 OWM65547:OWM65557 OWM131083:OWM131093 OWM196619:OWM196629 OWM262155:OWM262165 OWM327691:OWM327701 OWM393227:OWM393237 OWM458763:OWM458773 OWM524299:OWM524309 OWM589835:OWM589845 OWM655371:OWM655381 OWM720907:OWM720917 OWM786443:OWM786453 OWM851979:OWM851989 OWM917515:OWM917525 OWM983051:OWM983061 OWO501:OWO65537 OWO66037:OWO131073 OWO131573:OWO196609 OWO197109:OWO262145 OWO262645:OWO327681 OWO328181:OWO393217 OWO393717:OWO458753 OWO459253:OWO524289 OWO524789:OWO589825 OWO590325:OWO655361 OWO655861:OWO720897 OWO721397:OWO786433 OWO786933:OWO851969 OWO852469:OWO917505 OWO918005:OWO983041 OWO983541:OWO1048576 PGI11:PGI21 PGI65547:PGI65557 PGI131083:PGI131093 PGI196619:PGI196629 PGI262155:PGI262165 PGI327691:PGI327701 PGI393227:PGI393237 PGI458763:PGI458773 PGI524299:PGI524309 PGI589835:PGI589845 PGI655371:PGI655381 PGI720907:PGI720917 PGI786443:PGI786453 PGI851979:PGI851989 PGI917515:PGI917525 PGI983051:PGI983061 PGK501:PGK65537 PGK66037:PGK131073 PGK131573:PGK196609 PGK197109:PGK262145 PGK262645:PGK327681 PGK328181:PGK393217 PGK393717:PGK458753 PGK459253:PGK524289 PGK524789:PGK589825 PGK590325:PGK655361 PGK655861:PGK720897 PGK721397:PGK786433 PGK786933:PGK851969 PGK852469:PGK917505 PGK918005:PGK983041 PGK983541:PGK1048576 PQE11:PQE21 PQE65547:PQE65557 PQE131083:PQE131093 PQE196619:PQE196629 PQE262155:PQE262165 PQE327691:PQE327701 PQE393227:PQE393237 PQE458763:PQE458773 PQE524299:PQE524309 PQE589835:PQE589845 PQE655371:PQE655381 PQE720907:PQE720917 PQE786443:PQE786453 PQE851979:PQE851989 PQE917515:PQE917525 PQE983051:PQE983061 PQG501:PQG65537 PQG66037:PQG131073 PQG131573:PQG196609 PQG197109:PQG262145 PQG262645:PQG327681 PQG328181:PQG393217 PQG393717:PQG458753 PQG459253:PQG524289 PQG524789:PQG589825 PQG590325:PQG655361 PQG655861:PQG720897 PQG721397:PQG786433 PQG786933:PQG851969 PQG852469:PQG917505 PQG918005:PQG983041 PQG983541:PQG1048576 QAA11:QAA21 QAA65547:QAA65557 QAA131083:QAA131093 QAA196619:QAA196629 QAA262155:QAA262165 QAA327691:QAA327701 QAA393227:QAA393237 QAA458763:QAA458773 QAA524299:QAA524309 QAA589835:QAA589845 QAA655371:QAA655381 QAA720907:QAA720917 QAA786443:QAA786453 QAA851979:QAA851989 QAA917515:QAA917525 QAA983051:QAA983061 QAC501:QAC65537 QAC66037:QAC131073 QAC131573:QAC196609 QAC197109:QAC262145 QAC262645:QAC327681 QAC328181:QAC393217 QAC393717:QAC458753 QAC459253:QAC524289 QAC524789:QAC589825 QAC590325:QAC655361 QAC655861:QAC720897 QAC721397:QAC786433 QAC786933:QAC851969 QAC852469:QAC917505 QAC918005:QAC983041 QAC983541:QAC1048576 QJW11:QJW21 QJW65547:QJW65557 QJW131083:QJW131093 QJW196619:QJW196629 QJW262155:QJW262165 QJW327691:QJW327701 QJW393227:QJW393237 QJW458763:QJW458773 QJW524299:QJW524309 QJW589835:QJW589845 QJW655371:QJW655381 QJW720907:QJW720917 QJW786443:QJW786453 QJW851979:QJW851989 QJW917515:QJW917525 QJW983051:QJW983061 QJY501:QJY65537 QJY66037:QJY131073 QJY131573:QJY196609 QJY197109:QJY262145 QJY262645:QJY327681 QJY328181:QJY393217 QJY393717:QJY458753 QJY459253:QJY524289 QJY524789:QJY589825 QJY590325:QJY655361 QJY655861:QJY720897 QJY721397:QJY786433 QJY786933:QJY851969 QJY852469:QJY917505 QJY918005:QJY983041 QJY983541:QJY1048576 QTS11:QTS21 QTS65547:QTS65557 QTS131083:QTS131093 QTS196619:QTS196629 QTS262155:QTS262165 QTS327691:QTS327701 QTS393227:QTS393237 QTS458763:QTS458773 QTS524299:QTS524309 QTS589835:QTS589845 QTS655371:QTS655381 QTS720907:QTS720917 QTS786443:QTS786453 QTS851979:QTS851989 QTS917515:QTS917525 QTS983051:QTS983061 QTU501:QTU65537 QTU66037:QTU131073 QTU131573:QTU196609 QTU197109:QTU262145 QTU262645:QTU327681 QTU328181:QTU393217 QTU393717:QTU458753 QTU459253:QTU524289 QTU524789:QTU589825 QTU590325:QTU655361 QTU655861:QTU720897 QTU721397:QTU786433 QTU786933:QTU851969 QTU852469:QTU917505 QTU918005:QTU983041 QTU983541:QTU1048576 RDO11:RDO21 RDO65547:RDO65557 RDO131083:RDO131093 RDO196619:RDO196629 RDO262155:RDO262165 RDO327691:RDO327701 RDO393227:RDO393237 RDO458763:RDO458773 RDO524299:RDO524309 RDO589835:RDO589845 RDO655371:RDO655381 RDO720907:RDO720917 RDO786443:RDO786453 RDO851979:RDO851989 RDO917515:RDO917525 RDO983051:RDO983061 RDQ501:RDQ65537 RDQ66037:RDQ131073 RDQ131573:RDQ196609 RDQ197109:RDQ262145 RDQ262645:RDQ327681 RDQ328181:RDQ393217 RDQ393717:RDQ458753 RDQ459253:RDQ524289 RDQ524789:RDQ589825 RDQ590325:RDQ655361 RDQ655861:RDQ720897 RDQ721397:RDQ786433 RDQ786933:RDQ851969 RDQ852469:RDQ917505 RDQ918005:RDQ983041 RDQ983541:RDQ1048576 RNK11:RNK21 RNK65547:RNK65557 RNK131083:RNK131093 RNK196619:RNK196629 RNK262155:RNK262165 RNK327691:RNK327701 RNK393227:RNK393237 RNK458763:RNK458773 RNK524299:RNK524309 RNK589835:RNK589845 RNK655371:RNK655381 RNK720907:RNK720917 RNK786443:RNK786453 RNK851979:RNK851989 RNK917515:RNK917525 RNK983051:RNK983061 RNM501:RNM65537 RNM66037:RNM131073 RNM131573:RNM196609 RNM197109:RNM262145 RNM262645:RNM327681 RNM328181:RNM393217 RNM393717:RNM458753 RNM459253:RNM524289 RNM524789:RNM589825 RNM590325:RNM655361 RNM655861:RNM720897 RNM721397:RNM786433 RNM786933:RNM851969 RNM852469:RNM917505 RNM918005:RNM983041 RNM983541:RNM1048576 RXG11:RXG21 RXG65547:RXG65557 RXG131083:RXG131093 RXG196619:RXG196629 RXG262155:RXG262165 RXG327691:RXG327701 RXG393227:RXG393237 RXG458763:RXG458773 RXG524299:RXG524309 RXG589835:RXG589845 RXG655371:RXG655381 RXG720907:RXG720917 RXG786443:RXG786453 RXG851979:RXG851989 RXG917515:RXG917525 RXG983051:RXG983061 RXI501:RXI65537 RXI66037:RXI131073 RXI131573:RXI196609 RXI197109:RXI262145 RXI262645:RXI327681 RXI328181:RXI393217 RXI393717:RXI458753 RXI459253:RXI524289 RXI524789:RXI589825 RXI590325:RXI655361 RXI655861:RXI720897 RXI721397:RXI786433 RXI786933:RXI851969 RXI852469:RXI917505 RXI918005:RXI983041 RXI983541:RXI1048576 SHC11:SHC21 SHC65547:SHC65557 SHC131083:SHC131093 SHC196619:SHC196629 SHC262155:SHC262165 SHC327691:SHC327701 SHC393227:SHC393237 SHC458763:SHC458773 SHC524299:SHC524309 SHC589835:SHC589845 SHC655371:SHC655381 SHC720907:SHC720917 SHC786443:SHC786453 SHC851979:SHC851989 SHC917515:SHC917525 SHC983051:SHC983061 SHE501:SHE65537 SHE66037:SHE131073 SHE131573:SHE196609 SHE197109:SHE262145 SHE262645:SHE327681 SHE328181:SHE393217 SHE393717:SHE458753 SHE459253:SHE524289 SHE524789:SHE589825 SHE590325:SHE655361 SHE655861:SHE720897 SHE721397:SHE786433 SHE786933:SHE851969 SHE852469:SHE917505 SHE918005:SHE983041 SHE983541:SHE1048576 SQY11:SQY21 SQY65547:SQY65557 SQY131083:SQY131093 SQY196619:SQY196629 SQY262155:SQY262165 SQY327691:SQY327701 SQY393227:SQY393237 SQY458763:SQY458773 SQY524299:SQY524309 SQY589835:SQY589845 SQY655371:SQY655381 SQY720907:SQY720917 SQY786443:SQY786453 SQY851979:SQY851989 SQY917515:SQY917525 SQY983051:SQY983061 SRA501:SRA65537 SRA66037:SRA131073 SRA131573:SRA196609 SRA197109:SRA262145 SRA262645:SRA327681 SRA328181:SRA393217 SRA393717:SRA458753 SRA459253:SRA524289 SRA524789:SRA589825 SRA590325:SRA655361 SRA655861:SRA720897 SRA721397:SRA786433 SRA786933:SRA851969 SRA852469:SRA917505 SRA918005:SRA983041 SRA983541:SRA1048576 TAU11:TAU21 TAU65547:TAU65557 TAU131083:TAU131093 TAU196619:TAU196629 TAU262155:TAU262165 TAU327691:TAU327701 TAU393227:TAU393237 TAU458763:TAU458773 TAU524299:TAU524309 TAU589835:TAU589845 TAU655371:TAU655381 TAU720907:TAU720917 TAU786443:TAU786453 TAU851979:TAU851989 TAU917515:TAU917525 TAU983051:TAU983061 TAW501:TAW65537 TAW66037:TAW131073 TAW131573:TAW196609 TAW197109:TAW262145 TAW262645:TAW327681 TAW328181:TAW393217 TAW393717:TAW458753 TAW459253:TAW524289 TAW524789:TAW589825 TAW590325:TAW655361 TAW655861:TAW720897 TAW721397:TAW786433 TAW786933:TAW851969 TAW852469:TAW917505 TAW918005:TAW983041 TAW983541:TAW1048576 TKQ11:TKQ21 TKQ65547:TKQ65557 TKQ131083:TKQ131093 TKQ196619:TKQ196629 TKQ262155:TKQ262165 TKQ327691:TKQ327701 TKQ393227:TKQ393237 TKQ458763:TKQ458773 TKQ524299:TKQ524309 TKQ589835:TKQ589845 TKQ655371:TKQ655381 TKQ720907:TKQ720917 TKQ786443:TKQ786453 TKQ851979:TKQ851989 TKQ917515:TKQ917525 TKQ983051:TKQ983061 TKS501:TKS65537 TKS66037:TKS131073 TKS131573:TKS196609 TKS197109:TKS262145 TKS262645:TKS327681 TKS328181:TKS393217 TKS393717:TKS458753 TKS459253:TKS524289 TKS524789:TKS589825 TKS590325:TKS655361 TKS655861:TKS720897 TKS721397:TKS786433 TKS786933:TKS851969 TKS852469:TKS917505 TKS918005:TKS983041 TKS983541:TKS1048576 TUM11:TUM21 TUM65547:TUM65557 TUM131083:TUM131093 TUM196619:TUM196629 TUM262155:TUM262165 TUM327691:TUM327701 TUM393227:TUM393237 TUM458763:TUM458773 TUM524299:TUM524309 TUM589835:TUM589845 TUM655371:TUM655381 TUM720907:TUM720917 TUM786443:TUM786453 TUM851979:TUM851989 TUM917515:TUM917525 TUM983051:TUM983061 TUO501:TUO65537 TUO66037:TUO131073 TUO131573:TUO196609 TUO197109:TUO262145 TUO262645:TUO327681 TUO328181:TUO393217 TUO393717:TUO458753 TUO459253:TUO524289 TUO524789:TUO589825 TUO590325:TUO655361 TUO655861:TUO720897 TUO721397:TUO786433 TUO786933:TUO851969 TUO852469:TUO917505 TUO918005:TUO983041 TUO983541:TUO1048576 UEI11:UEI21 UEI65547:UEI65557 UEI131083:UEI131093 UEI196619:UEI196629 UEI262155:UEI262165 UEI327691:UEI327701 UEI393227:UEI393237 UEI458763:UEI458773 UEI524299:UEI524309 UEI589835:UEI589845 UEI655371:UEI655381 UEI720907:UEI720917 UEI786443:UEI786453 UEI851979:UEI851989 UEI917515:UEI917525 UEI983051:UEI983061 UEK501:UEK65537 UEK66037:UEK131073 UEK131573:UEK196609 UEK197109:UEK262145 UEK262645:UEK327681 UEK328181:UEK393217 UEK393717:UEK458753 UEK459253:UEK524289 UEK524789:UEK589825 UEK590325:UEK655361 UEK655861:UEK720897 UEK721397:UEK786433 UEK786933:UEK851969 UEK852469:UEK917505 UEK918005:UEK983041 UEK983541:UEK1048576 UOE11:UOE21 UOE65547:UOE65557 UOE131083:UOE131093 UOE196619:UOE196629 UOE262155:UOE262165 UOE327691:UOE327701 UOE393227:UOE393237 UOE458763:UOE458773 UOE524299:UOE524309 UOE589835:UOE589845 UOE655371:UOE655381 UOE720907:UOE720917 UOE786443:UOE786453 UOE851979:UOE851989 UOE917515:UOE917525 UOE983051:UOE983061 UOG501:UOG65537 UOG66037:UOG131073 UOG131573:UOG196609 UOG197109:UOG262145 UOG262645:UOG327681 UOG328181:UOG393217 UOG393717:UOG458753 UOG459253:UOG524289 UOG524789:UOG589825 UOG590325:UOG655361 UOG655861:UOG720897 UOG721397:UOG786433 UOG786933:UOG851969 UOG852469:UOG917505 UOG918005:UOG983041 UOG983541:UOG1048576 UYA11:UYA21 UYA65547:UYA65557 UYA131083:UYA131093 UYA196619:UYA196629 UYA262155:UYA262165 UYA327691:UYA327701 UYA393227:UYA393237 UYA458763:UYA458773 UYA524299:UYA524309 UYA589835:UYA589845 UYA655371:UYA655381 UYA720907:UYA720917 UYA786443:UYA786453 UYA851979:UYA851989 UYA917515:UYA917525 UYA983051:UYA983061 UYC501:UYC65537 UYC66037:UYC131073 UYC131573:UYC196609 UYC197109:UYC262145 UYC262645:UYC327681 UYC328181:UYC393217 UYC393717:UYC458753 UYC459253:UYC524289 UYC524789:UYC589825 UYC590325:UYC655361 UYC655861:UYC720897 UYC721397:UYC786433 UYC786933:UYC851969 UYC852469:UYC917505 UYC918005:UYC983041 UYC983541:UYC1048576 VHW11:VHW21 VHW65547:VHW65557 VHW131083:VHW131093 VHW196619:VHW196629 VHW262155:VHW262165 VHW327691:VHW327701 VHW393227:VHW393237 VHW458763:VHW458773 VHW524299:VHW524309 VHW589835:VHW589845 VHW655371:VHW655381 VHW720907:VHW720917 VHW786443:VHW786453 VHW851979:VHW851989 VHW917515:VHW917525 VHW983051:VHW983061 VHY501:VHY65537 VHY66037:VHY131073 VHY131573:VHY196609 VHY197109:VHY262145 VHY262645:VHY327681 VHY328181:VHY393217 VHY393717:VHY458753 VHY459253:VHY524289 VHY524789:VHY589825 VHY590325:VHY655361 VHY655861:VHY720897 VHY721397:VHY786433 VHY786933:VHY851969 VHY852469:VHY917505 VHY918005:VHY983041 VHY983541:VHY1048576 VRS11:VRS21 VRS65547:VRS65557 VRS131083:VRS131093 VRS196619:VRS196629 VRS262155:VRS262165 VRS327691:VRS327701 VRS393227:VRS393237 VRS458763:VRS458773 VRS524299:VRS524309 VRS589835:VRS589845 VRS655371:VRS655381 VRS720907:VRS720917 VRS786443:VRS786453 VRS851979:VRS851989 VRS917515:VRS917525 VRS983051:VRS983061 VRU501:VRU65537 VRU66037:VRU131073 VRU131573:VRU196609 VRU197109:VRU262145 VRU262645:VRU327681 VRU328181:VRU393217 VRU393717:VRU458753 VRU459253:VRU524289 VRU524789:VRU589825 VRU590325:VRU655361 VRU655861:VRU720897 VRU721397:VRU786433 VRU786933:VRU851969 VRU852469:VRU917505 VRU918005:VRU983041 VRU983541:VRU1048576 WBO11:WBO21 WBO65547:WBO65557 WBO131083:WBO131093 WBO196619:WBO196629 WBO262155:WBO262165 WBO327691:WBO327701 WBO393227:WBO393237 WBO458763:WBO458773 WBO524299:WBO524309 WBO589835:WBO589845 WBO655371:WBO655381 WBO720907:WBO720917 WBO786443:WBO786453 WBO851979:WBO851989 WBO917515:WBO917525 WBO983051:WBO983061 WBQ501:WBQ65537 WBQ66037:WBQ131073 WBQ131573:WBQ196609 WBQ197109:WBQ262145 WBQ262645:WBQ327681 WBQ328181:WBQ393217 WBQ393717:WBQ458753 WBQ459253:WBQ524289 WBQ524789:WBQ589825 WBQ590325:WBQ655361 WBQ655861:WBQ720897 WBQ721397:WBQ786433 WBQ786933:WBQ851969 WBQ852469:WBQ917505 WBQ918005:WBQ983041 WBQ983541:WBQ1048576 WLK11:WLK21 WLK65547:WLK65557 WLK131083:WLK131093 WLK196619:WLK196629 WLK262155:WLK262165 WLK327691:WLK327701 WLK393227:WLK393237 WLK458763:WLK458773 WLK524299:WLK524309 WLK589835:WLK589845 WLK655371:WLK655381 WLK720907:WLK720917 WLK786443:WLK786453 WLK851979:WLK851989 WLK917515:WLK917525 WLK983051:WLK983061 WLM501:WLM65537 WLM66037:WLM131073 WLM131573:WLM196609 WLM197109:WLM262145 WLM262645:WLM327681 WLM328181:WLM393217 WLM393717:WLM458753 WLM459253:WLM524289 WLM524789:WLM589825 WLM590325:WLM655361 WLM655861:WLM720897 WLM721397:WLM786433 WLM786933:WLM851969 WLM852469:WLM917505 WLM918005:WLM983041 WLM983541:WLM1048576 WVG11:WVG21 WVG65547:WVG65557 WVG131083:WVG131093 WVG196619:WVG196629 WVG262155:WVG262165 WVG327691:WVG327701 WVG393227:WVG393237 WVG458763:WVG458773 WVG524299:WVG524309 WVG589835:WVG589845 WVG655371:WVG655381 WVG720907:WVG720917 WVG786443:WVG786453 WVG851979:WVG851989 WVG917515:WVG917525 WVG983051:WVG983061 WVI501:WVI65537 WVI66037:WVI131073 WVI131573:WVI196609 WVI197109:WVI262145 WVI262645:WVI327681 WVI328181:WVI393217 WVI393717:WVI458753 WVI459253:WVI524289 WVI524789:WVI589825 WVI590325:WVI655361 WVI655861:WVI720897 WVI721397:WVI786433 WVI786933:WVI851969 WVI852469:WVI917505 WVI918005:WVI983041 WVI983541:WVI1048576 XFC11:XFC21 XFC65547:XFC65557 XFC131083:XFC131093 XFC196619:XFC196629 XFC262155:XFC262165 XFC327691:XFC327701 XFC393227:XFC393237 XFC458763:XFC458773 XFC524299:XFC524309 XFC589835:XFC589845 XFC655371:XFC655381 XFC720907:XFC720917 XFC786443:XFC786453 XFC851979:XFC851989 XFC917515:XFC917525 XFC983051:XFC983061" xr:uid="{69C456CE-5042-49BC-A4E1-FC505C40FBA7}">
      <formula1>$AE$2:$AE$16</formula1>
    </dataValidation>
  </dataValidations>
  <pageMargins left="0.7" right="0.7" top="0.75" bottom="0.75" header="0.3" footer="0.3"/>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EC34-F294-4B3B-ABE7-DA1FD94AC44A}">
  <dimension ref="A1:BA1000"/>
  <sheetViews>
    <sheetView zoomScale="85" zoomScaleNormal="85" workbookViewId="0">
      <pane ySplit="1" topLeftCell="A2" activePane="bottomLeft" state="frozen"/>
      <selection pane="bottomLeft" activeCell="A2" sqref="A2"/>
    </sheetView>
  </sheetViews>
  <sheetFormatPr defaultColWidth="12.625" defaultRowHeight="15" customHeight="1"/>
  <cols>
    <col min="1" max="3" width="7.875" style="80" customWidth="1"/>
    <col min="4" max="4" width="9.125" style="80" customWidth="1"/>
    <col min="5" max="18" width="7.875" style="80" customWidth="1"/>
    <col min="19" max="19" width="8.25" style="80" customWidth="1"/>
    <col min="20" max="22" width="7.875" style="80" customWidth="1"/>
    <col min="23" max="23" width="9.125" style="80" customWidth="1"/>
    <col min="24" max="32" width="7.875" style="80" customWidth="1"/>
    <col min="33" max="33" width="17.125" style="80" customWidth="1"/>
    <col min="34" max="34" width="8.25" style="80" customWidth="1"/>
    <col min="35" max="53" width="7.875" style="80" customWidth="1"/>
    <col min="54" max="16384" width="12.625" style="80"/>
  </cols>
  <sheetData>
    <row r="1" spans="1:53" ht="45">
      <c r="A1" s="64" t="s">
        <v>0</v>
      </c>
      <c r="B1" s="65" t="s">
        <v>165</v>
      </c>
      <c r="C1" s="65" t="s">
        <v>166</v>
      </c>
      <c r="D1" s="66" t="s">
        <v>3</v>
      </c>
      <c r="E1" s="67" t="s">
        <v>4</v>
      </c>
      <c r="F1" s="67" t="s">
        <v>5</v>
      </c>
      <c r="G1" s="67" t="s">
        <v>6</v>
      </c>
      <c r="H1" s="67" t="s">
        <v>7</v>
      </c>
      <c r="I1" s="67" t="s">
        <v>8</v>
      </c>
      <c r="J1" s="67" t="s">
        <v>9</v>
      </c>
      <c r="K1" s="67" t="s">
        <v>10</v>
      </c>
      <c r="L1" s="66" t="s">
        <v>167</v>
      </c>
      <c r="M1" s="66" t="s">
        <v>168</v>
      </c>
      <c r="N1" s="66" t="s">
        <v>13</v>
      </c>
      <c r="O1" s="66" t="s">
        <v>169</v>
      </c>
      <c r="P1" s="66" t="s">
        <v>170</v>
      </c>
      <c r="Q1" s="68" t="s">
        <v>171</v>
      </c>
      <c r="R1" s="66" t="s">
        <v>172</v>
      </c>
      <c r="S1" s="66" t="s">
        <v>173</v>
      </c>
      <c r="T1" s="68" t="s">
        <v>19</v>
      </c>
      <c r="U1" s="69" t="s">
        <v>20</v>
      </c>
      <c r="V1" s="68" t="s">
        <v>21</v>
      </c>
      <c r="W1" s="66" t="s">
        <v>174</v>
      </c>
      <c r="X1" s="67" t="s">
        <v>23</v>
      </c>
      <c r="Y1" s="67" t="s">
        <v>24</v>
      </c>
      <c r="Z1" s="67" t="s">
        <v>25</v>
      </c>
      <c r="AA1" s="70" t="s">
        <v>26</v>
      </c>
      <c r="AB1" s="71" t="s">
        <v>175</v>
      </c>
      <c r="AC1" s="72"/>
      <c r="AD1" s="72"/>
      <c r="AE1" s="73" t="s">
        <v>0</v>
      </c>
      <c r="AF1" s="74"/>
      <c r="AG1" s="73" t="s">
        <v>4</v>
      </c>
      <c r="AH1" s="73" t="s">
        <v>5</v>
      </c>
      <c r="AI1" s="74"/>
      <c r="AJ1" s="73" t="s">
        <v>6</v>
      </c>
      <c r="AK1" s="74"/>
      <c r="AL1" s="75" t="s">
        <v>7</v>
      </c>
      <c r="AM1" s="74"/>
      <c r="AN1" s="75" t="s">
        <v>8</v>
      </c>
      <c r="AO1" s="74"/>
      <c r="AP1" s="75" t="s">
        <v>28</v>
      </c>
      <c r="AQ1" s="74"/>
      <c r="AR1" s="75" t="s">
        <v>10</v>
      </c>
      <c r="AS1" s="74"/>
      <c r="AT1" s="76" t="s">
        <v>176</v>
      </c>
      <c r="AU1" s="74"/>
      <c r="AV1" s="75" t="s">
        <v>30</v>
      </c>
      <c r="AW1" s="72"/>
      <c r="AX1" s="77" t="s">
        <v>373</v>
      </c>
      <c r="AY1" s="78" t="s">
        <v>178</v>
      </c>
      <c r="AZ1" s="78" t="s">
        <v>374</v>
      </c>
      <c r="BA1" s="79" t="s">
        <v>180</v>
      </c>
    </row>
    <row r="2" spans="1:53" s="137" customFormat="1" ht="13.5" customHeight="1">
      <c r="A2" s="137" t="s">
        <v>72</v>
      </c>
      <c r="B2" s="137" t="s">
        <v>181</v>
      </c>
      <c r="C2" s="137">
        <v>2020</v>
      </c>
      <c r="D2" s="138" t="s">
        <v>375</v>
      </c>
      <c r="E2" s="137" t="s">
        <v>392</v>
      </c>
      <c r="F2" s="137" t="s">
        <v>393</v>
      </c>
      <c r="G2" s="137" t="s">
        <v>58</v>
      </c>
      <c r="H2" s="137" t="s">
        <v>40</v>
      </c>
      <c r="I2" s="137" t="s">
        <v>41</v>
      </c>
      <c r="J2" s="137" t="s">
        <v>42</v>
      </c>
      <c r="K2" s="137" t="s">
        <v>43</v>
      </c>
      <c r="L2" s="137">
        <v>1</v>
      </c>
      <c r="N2" s="137">
        <v>5</v>
      </c>
      <c r="O2" s="137">
        <v>1.1000000000000001</v>
      </c>
      <c r="P2" s="137">
        <v>1.1499999999999999</v>
      </c>
      <c r="Q2" s="139">
        <f t="shared" ref="Q2:Q115" si="0">IF(OR(O2="",P2=""),"",AVERAGE(O2,P2))</f>
        <v>1.125</v>
      </c>
      <c r="R2" s="138">
        <v>13.8</v>
      </c>
      <c r="S2" s="138">
        <v>92</v>
      </c>
      <c r="T2" s="140">
        <f t="shared" ref="T2:T115" si="1">IF(H2="","",IF(OR(H2="GREEN",H2="GK"),IF(S2&gt;=$AX$2,VLOOKUP(S2,$AX$2:$AY$12,2,1),""),IF(S2&gt;=$AZ$2,VLOOKUP(S2,$AZ$2:$BA$12,2,1),"")))</f>
        <v>36</v>
      </c>
      <c r="U2" s="138">
        <v>358</v>
      </c>
      <c r="V2" s="141">
        <f t="shared" ref="V2:V115" si="2">IF(OR(N2="",U2="",T2=""),"",U2/N2*T2)</f>
        <v>2577.6</v>
      </c>
      <c r="W2" s="138">
        <v>12</v>
      </c>
      <c r="X2" s="137" t="s">
        <v>44</v>
      </c>
      <c r="Y2" s="137" t="s">
        <v>46</v>
      </c>
      <c r="Z2" s="137" t="s">
        <v>161</v>
      </c>
      <c r="AA2" s="137" t="s">
        <v>79</v>
      </c>
      <c r="AB2" s="137" t="s">
        <v>164</v>
      </c>
      <c r="AE2" s="142" t="s">
        <v>49</v>
      </c>
      <c r="AG2" s="143" t="s">
        <v>210</v>
      </c>
      <c r="AH2" s="143" t="s">
        <v>394</v>
      </c>
      <c r="AJ2" s="143" t="s">
        <v>39</v>
      </c>
      <c r="AL2" s="142" t="s">
        <v>185</v>
      </c>
      <c r="AN2" s="143" t="s">
        <v>52</v>
      </c>
      <c r="AP2" s="143" t="s">
        <v>42</v>
      </c>
      <c r="AR2" s="143" t="s">
        <v>43</v>
      </c>
      <c r="AT2" s="143" t="s">
        <v>44</v>
      </c>
      <c r="AV2" s="143" t="s">
        <v>54</v>
      </c>
      <c r="AX2" s="144">
        <v>1</v>
      </c>
      <c r="AY2" s="145">
        <v>50</v>
      </c>
      <c r="AZ2" s="145">
        <v>1</v>
      </c>
      <c r="BA2" s="146">
        <v>50</v>
      </c>
    </row>
    <row r="3" spans="1:53" s="137" customFormat="1" ht="13.5" customHeight="1">
      <c r="A3" s="137" t="s">
        <v>72</v>
      </c>
      <c r="B3" s="137" t="s">
        <v>181</v>
      </c>
      <c r="C3" s="137">
        <v>2020</v>
      </c>
      <c r="D3" s="138" t="s">
        <v>375</v>
      </c>
      <c r="E3" s="137" t="s">
        <v>392</v>
      </c>
      <c r="F3" s="137" t="s">
        <v>393</v>
      </c>
      <c r="G3" s="137" t="s">
        <v>58</v>
      </c>
      <c r="H3" s="137" t="s">
        <v>40</v>
      </c>
      <c r="I3" s="137" t="s">
        <v>41</v>
      </c>
      <c r="J3" s="137" t="s">
        <v>42</v>
      </c>
      <c r="K3" s="137" t="s">
        <v>43</v>
      </c>
      <c r="L3" s="137">
        <v>2</v>
      </c>
      <c r="N3" s="137">
        <v>5</v>
      </c>
      <c r="O3" s="137">
        <v>1.05</v>
      </c>
      <c r="P3" s="137">
        <v>1</v>
      </c>
      <c r="Q3" s="139">
        <f t="shared" si="0"/>
        <v>1.0249999999999999</v>
      </c>
      <c r="R3" s="138">
        <v>14.3</v>
      </c>
      <c r="S3" s="138">
        <v>84</v>
      </c>
      <c r="T3" s="140">
        <f t="shared" si="1"/>
        <v>36</v>
      </c>
      <c r="U3" s="138">
        <v>358</v>
      </c>
      <c r="V3" s="141">
        <f t="shared" si="2"/>
        <v>2577.6</v>
      </c>
      <c r="W3" s="138">
        <v>12</v>
      </c>
      <c r="X3" s="137" t="s">
        <v>44</v>
      </c>
      <c r="Y3" s="137" t="s">
        <v>46</v>
      </c>
      <c r="Z3" s="137" t="s">
        <v>161</v>
      </c>
      <c r="AA3" s="137" t="s">
        <v>79</v>
      </c>
      <c r="AB3" s="137" t="s">
        <v>164</v>
      </c>
      <c r="AE3" s="147" t="s">
        <v>55</v>
      </c>
      <c r="AG3" s="143" t="s">
        <v>395</v>
      </c>
      <c r="AH3" s="143" t="s">
        <v>396</v>
      </c>
      <c r="AJ3" s="147" t="s">
        <v>58</v>
      </c>
      <c r="AL3" s="147" t="s">
        <v>187</v>
      </c>
      <c r="AN3" s="147" t="s">
        <v>60</v>
      </c>
      <c r="AP3" s="147" t="s">
        <v>61</v>
      </c>
      <c r="AR3" s="147" t="s">
        <v>62</v>
      </c>
      <c r="AT3" s="147" t="s">
        <v>63</v>
      </c>
      <c r="AV3" s="147" t="s">
        <v>64</v>
      </c>
      <c r="AX3" s="148">
        <v>72</v>
      </c>
      <c r="AY3" s="149">
        <v>46</v>
      </c>
      <c r="AZ3" s="149">
        <v>71</v>
      </c>
      <c r="BA3" s="150">
        <v>42</v>
      </c>
    </row>
    <row r="4" spans="1:53" s="137" customFormat="1" ht="13.5" customHeight="1">
      <c r="A4" s="137" t="s">
        <v>72</v>
      </c>
      <c r="B4" s="137" t="s">
        <v>181</v>
      </c>
      <c r="C4" s="137">
        <v>2020</v>
      </c>
      <c r="D4" s="138" t="s">
        <v>375</v>
      </c>
      <c r="E4" s="137" t="s">
        <v>392</v>
      </c>
      <c r="F4" s="137" t="s">
        <v>393</v>
      </c>
      <c r="G4" s="137" t="s">
        <v>58</v>
      </c>
      <c r="H4" s="137" t="s">
        <v>40</v>
      </c>
      <c r="I4" s="137" t="s">
        <v>41</v>
      </c>
      <c r="J4" s="137" t="s">
        <v>42</v>
      </c>
      <c r="K4" s="137" t="s">
        <v>43</v>
      </c>
      <c r="L4" s="137">
        <v>3</v>
      </c>
      <c r="N4" s="137">
        <v>5</v>
      </c>
      <c r="O4" s="137">
        <v>1</v>
      </c>
      <c r="P4" s="137">
        <v>0.95</v>
      </c>
      <c r="Q4" s="139">
        <f t="shared" si="0"/>
        <v>0.97499999999999998</v>
      </c>
      <c r="R4" s="138">
        <v>14.6</v>
      </c>
      <c r="S4" s="138">
        <v>94</v>
      </c>
      <c r="T4" s="140">
        <f t="shared" si="1"/>
        <v>36</v>
      </c>
      <c r="U4" s="138">
        <v>358</v>
      </c>
      <c r="V4" s="141">
        <f t="shared" si="2"/>
        <v>2577.6</v>
      </c>
      <c r="W4" s="138">
        <v>12</v>
      </c>
      <c r="X4" s="137" t="s">
        <v>44</v>
      </c>
      <c r="Y4" s="137" t="s">
        <v>46</v>
      </c>
      <c r="Z4" s="137" t="s">
        <v>161</v>
      </c>
      <c r="AA4" s="137" t="s">
        <v>79</v>
      </c>
      <c r="AB4" s="137" t="s">
        <v>164</v>
      </c>
      <c r="AE4" s="147" t="s">
        <v>35</v>
      </c>
      <c r="AG4" s="143" t="s">
        <v>397</v>
      </c>
      <c r="AH4" s="143" t="s">
        <v>398</v>
      </c>
      <c r="AJ4" s="151" t="s">
        <v>67</v>
      </c>
      <c r="AL4" s="147" t="s">
        <v>189</v>
      </c>
      <c r="AN4" s="152" t="s">
        <v>190</v>
      </c>
      <c r="AP4" s="147" t="s">
        <v>191</v>
      </c>
      <c r="AR4" s="147" t="s">
        <v>192</v>
      </c>
      <c r="AT4" s="152"/>
      <c r="AV4" s="147" t="s">
        <v>47</v>
      </c>
      <c r="AX4" s="148">
        <v>75</v>
      </c>
      <c r="AY4" s="149">
        <v>42</v>
      </c>
      <c r="AZ4" s="149">
        <v>76</v>
      </c>
      <c r="BA4" s="150">
        <v>39</v>
      </c>
    </row>
    <row r="5" spans="1:53" s="137" customFormat="1" ht="13.5" customHeight="1">
      <c r="A5" s="137" t="s">
        <v>72</v>
      </c>
      <c r="B5" s="137" t="s">
        <v>181</v>
      </c>
      <c r="C5" s="137">
        <v>2020</v>
      </c>
      <c r="D5" s="138" t="s">
        <v>375</v>
      </c>
      <c r="E5" s="137" t="s">
        <v>392</v>
      </c>
      <c r="F5" s="137" t="s">
        <v>393</v>
      </c>
      <c r="G5" s="137" t="s">
        <v>58</v>
      </c>
      <c r="H5" s="137" t="s">
        <v>185</v>
      </c>
      <c r="I5" s="137" t="s">
        <v>41</v>
      </c>
      <c r="J5" s="137" t="s">
        <v>227</v>
      </c>
      <c r="K5" s="137" t="s">
        <v>229</v>
      </c>
      <c r="L5" s="137">
        <v>1</v>
      </c>
      <c r="N5" s="138">
        <v>1</v>
      </c>
      <c r="O5" s="137">
        <v>1.1499999999999999</v>
      </c>
      <c r="P5" s="137">
        <v>1.25</v>
      </c>
      <c r="Q5" s="139">
        <f t="shared" si="0"/>
        <v>1.2</v>
      </c>
      <c r="R5" s="138">
        <v>13.8</v>
      </c>
      <c r="S5" s="138">
        <v>134</v>
      </c>
      <c r="T5" s="140">
        <f t="shared" si="1"/>
        <v>25</v>
      </c>
      <c r="U5" s="138">
        <v>98</v>
      </c>
      <c r="V5" s="141">
        <f t="shared" si="2"/>
        <v>2450</v>
      </c>
      <c r="W5" s="138">
        <v>12</v>
      </c>
      <c r="X5" s="137" t="s">
        <v>44</v>
      </c>
      <c r="Y5" s="137" t="s">
        <v>46</v>
      </c>
      <c r="Z5" s="137" t="s">
        <v>161</v>
      </c>
      <c r="AA5" s="137" t="s">
        <v>79</v>
      </c>
      <c r="AB5" s="137" t="s">
        <v>164</v>
      </c>
      <c r="AE5" s="147" t="s">
        <v>72</v>
      </c>
      <c r="AG5" s="143" t="s">
        <v>143</v>
      </c>
      <c r="AH5" s="143" t="s">
        <v>399</v>
      </c>
      <c r="AJ5" s="152"/>
      <c r="AL5" s="147" t="s">
        <v>40</v>
      </c>
      <c r="AN5" s="153" t="s">
        <v>41</v>
      </c>
      <c r="AP5" s="147" t="s">
        <v>194</v>
      </c>
      <c r="AR5" s="147" t="s">
        <v>78</v>
      </c>
      <c r="AV5" s="147" t="s">
        <v>79</v>
      </c>
      <c r="AX5" s="148">
        <v>84</v>
      </c>
      <c r="AY5" s="149">
        <v>39</v>
      </c>
      <c r="AZ5" s="149">
        <v>84</v>
      </c>
      <c r="BA5" s="150">
        <v>36</v>
      </c>
    </row>
    <row r="6" spans="1:53" s="137" customFormat="1" ht="13.5" customHeight="1">
      <c r="A6" s="137" t="s">
        <v>72</v>
      </c>
      <c r="B6" s="137" t="s">
        <v>181</v>
      </c>
      <c r="C6" s="137">
        <v>2020</v>
      </c>
      <c r="D6" s="138" t="s">
        <v>375</v>
      </c>
      <c r="E6" s="137" t="s">
        <v>392</v>
      </c>
      <c r="F6" s="137" t="s">
        <v>393</v>
      </c>
      <c r="G6" s="137" t="s">
        <v>58</v>
      </c>
      <c r="H6" s="137" t="s">
        <v>185</v>
      </c>
      <c r="I6" s="137" t="s">
        <v>41</v>
      </c>
      <c r="J6" s="137" t="s">
        <v>227</v>
      </c>
      <c r="K6" s="137" t="s">
        <v>229</v>
      </c>
      <c r="L6" s="137">
        <v>2</v>
      </c>
      <c r="N6" s="138">
        <v>1</v>
      </c>
      <c r="O6" s="137">
        <v>1.2</v>
      </c>
      <c r="P6" s="137">
        <v>1.1000000000000001</v>
      </c>
      <c r="Q6" s="139">
        <f t="shared" si="0"/>
        <v>1.1499999999999999</v>
      </c>
      <c r="R6" s="138">
        <v>14.4</v>
      </c>
      <c r="S6" s="138">
        <v>136</v>
      </c>
      <c r="T6" s="140">
        <f t="shared" si="1"/>
        <v>25</v>
      </c>
      <c r="U6" s="138">
        <v>98</v>
      </c>
      <c r="V6" s="141">
        <f t="shared" si="2"/>
        <v>2450</v>
      </c>
      <c r="W6" s="138">
        <v>12</v>
      </c>
      <c r="X6" s="137" t="s">
        <v>44</v>
      </c>
      <c r="Y6" s="137" t="s">
        <v>46</v>
      </c>
      <c r="Z6" s="137" t="s">
        <v>161</v>
      </c>
      <c r="AA6" s="137" t="s">
        <v>79</v>
      </c>
      <c r="AB6" s="137" t="s">
        <v>164</v>
      </c>
      <c r="AE6" s="147" t="s">
        <v>80</v>
      </c>
      <c r="AG6" s="143" t="s">
        <v>400</v>
      </c>
      <c r="AH6" s="143" t="s">
        <v>401</v>
      </c>
      <c r="AL6" s="147" t="s">
        <v>157</v>
      </c>
      <c r="AN6" s="153" t="s">
        <v>153</v>
      </c>
      <c r="AP6" s="147" t="s">
        <v>85</v>
      </c>
      <c r="AR6" s="147" t="s">
        <v>86</v>
      </c>
      <c r="AV6" s="147" t="s">
        <v>87</v>
      </c>
      <c r="AX6" s="148">
        <v>97</v>
      </c>
      <c r="AY6" s="149">
        <v>36</v>
      </c>
      <c r="AZ6" s="149">
        <v>99</v>
      </c>
      <c r="BA6" s="150">
        <v>33</v>
      </c>
    </row>
    <row r="7" spans="1:53" s="137" customFormat="1" ht="13.5" customHeight="1">
      <c r="A7" s="137" t="s">
        <v>72</v>
      </c>
      <c r="B7" s="137" t="s">
        <v>181</v>
      </c>
      <c r="C7" s="137">
        <v>2020</v>
      </c>
      <c r="D7" s="138" t="s">
        <v>375</v>
      </c>
      <c r="E7" s="137" t="s">
        <v>392</v>
      </c>
      <c r="F7" s="137" t="s">
        <v>393</v>
      </c>
      <c r="G7" s="137" t="s">
        <v>58</v>
      </c>
      <c r="H7" s="137" t="s">
        <v>185</v>
      </c>
      <c r="I7" s="137" t="s">
        <v>41</v>
      </c>
      <c r="J7" s="137" t="s">
        <v>227</v>
      </c>
      <c r="K7" s="137" t="s">
        <v>229</v>
      </c>
      <c r="L7" s="137">
        <v>3</v>
      </c>
      <c r="N7" s="138">
        <v>1</v>
      </c>
      <c r="O7" s="137">
        <v>1.1000000000000001</v>
      </c>
      <c r="P7" s="137">
        <v>1.05</v>
      </c>
      <c r="Q7" s="139">
        <f t="shared" si="0"/>
        <v>1.0750000000000002</v>
      </c>
      <c r="R7" s="138">
        <v>14.7</v>
      </c>
      <c r="S7" s="138">
        <v>142</v>
      </c>
      <c r="T7" s="140">
        <f t="shared" si="1"/>
        <v>22</v>
      </c>
      <c r="U7" s="138">
        <v>98</v>
      </c>
      <c r="V7" s="141">
        <f t="shared" si="2"/>
        <v>2156</v>
      </c>
      <c r="W7" s="138">
        <v>12</v>
      </c>
      <c r="X7" s="137" t="s">
        <v>44</v>
      </c>
      <c r="Y7" s="137" t="s">
        <v>46</v>
      </c>
      <c r="Z7" s="137" t="s">
        <v>161</v>
      </c>
      <c r="AA7" s="137" t="s">
        <v>79</v>
      </c>
      <c r="AB7" s="137" t="s">
        <v>164</v>
      </c>
      <c r="AE7" s="147" t="s">
        <v>88</v>
      </c>
      <c r="AG7" s="143" t="s">
        <v>402</v>
      </c>
      <c r="AH7" s="143" t="s">
        <v>394</v>
      </c>
      <c r="AL7" s="147" t="s">
        <v>197</v>
      </c>
      <c r="AP7" s="147" t="s">
        <v>91</v>
      </c>
      <c r="AR7" s="147" t="s">
        <v>198</v>
      </c>
      <c r="AV7" s="147" t="s">
        <v>93</v>
      </c>
      <c r="AX7" s="148">
        <v>109</v>
      </c>
      <c r="AY7" s="149">
        <v>33</v>
      </c>
      <c r="AZ7" s="149">
        <v>113</v>
      </c>
      <c r="BA7" s="150">
        <v>30</v>
      </c>
    </row>
    <row r="8" spans="1:53" s="137" customFormat="1" ht="13.5" customHeight="1">
      <c r="A8" s="137" t="s">
        <v>72</v>
      </c>
      <c r="B8" s="137" t="s">
        <v>181</v>
      </c>
      <c r="C8" s="137">
        <v>2020</v>
      </c>
      <c r="D8" s="138" t="s">
        <v>375</v>
      </c>
      <c r="E8" s="137" t="s">
        <v>392</v>
      </c>
      <c r="F8" s="137" t="s">
        <v>393</v>
      </c>
      <c r="G8" s="137" t="s">
        <v>58</v>
      </c>
      <c r="H8" s="137" t="s">
        <v>185</v>
      </c>
      <c r="I8" s="137" t="s">
        <v>41</v>
      </c>
      <c r="J8" s="137" t="s">
        <v>212</v>
      </c>
      <c r="K8" s="137" t="s">
        <v>209</v>
      </c>
      <c r="L8" s="137">
        <v>1</v>
      </c>
      <c r="N8" s="138">
        <v>2</v>
      </c>
      <c r="O8" s="137">
        <v>1.55</v>
      </c>
      <c r="P8" s="137">
        <v>1.6</v>
      </c>
      <c r="Q8" s="139">
        <f t="shared" si="0"/>
        <v>1.5750000000000002</v>
      </c>
      <c r="R8" s="138">
        <v>14.1</v>
      </c>
      <c r="S8" s="138">
        <v>150</v>
      </c>
      <c r="T8" s="140">
        <f t="shared" si="1"/>
        <v>22</v>
      </c>
      <c r="U8" s="138">
        <v>398</v>
      </c>
      <c r="V8" s="141">
        <f t="shared" si="2"/>
        <v>4378</v>
      </c>
      <c r="W8" s="138">
        <v>12</v>
      </c>
      <c r="X8" s="137" t="s">
        <v>44</v>
      </c>
      <c r="Y8" s="137" t="s">
        <v>46</v>
      </c>
      <c r="Z8" s="137" t="s">
        <v>161</v>
      </c>
      <c r="AA8" s="137" t="s">
        <v>79</v>
      </c>
      <c r="AB8" s="137" t="s">
        <v>164</v>
      </c>
      <c r="AE8" s="147" t="s">
        <v>86</v>
      </c>
      <c r="AG8" s="143" t="s">
        <v>403</v>
      </c>
      <c r="AH8" s="143" t="s">
        <v>404</v>
      </c>
      <c r="AL8" s="147" t="s">
        <v>201</v>
      </c>
      <c r="AP8" s="147" t="s">
        <v>97</v>
      </c>
      <c r="AR8" s="147" t="s">
        <v>98</v>
      </c>
      <c r="AV8" s="147" t="s">
        <v>99</v>
      </c>
      <c r="AX8" s="148">
        <v>119</v>
      </c>
      <c r="AY8" s="149">
        <v>30</v>
      </c>
      <c r="AZ8" s="149">
        <v>121</v>
      </c>
      <c r="BA8" s="150">
        <v>27</v>
      </c>
    </row>
    <row r="9" spans="1:53" s="137" customFormat="1" ht="13.5" customHeight="1">
      <c r="A9" s="137" t="s">
        <v>72</v>
      </c>
      <c r="B9" s="137" t="s">
        <v>181</v>
      </c>
      <c r="C9" s="137">
        <v>2020</v>
      </c>
      <c r="D9" s="138" t="s">
        <v>375</v>
      </c>
      <c r="E9" s="137" t="s">
        <v>392</v>
      </c>
      <c r="F9" s="137" t="s">
        <v>393</v>
      </c>
      <c r="G9" s="137" t="s">
        <v>58</v>
      </c>
      <c r="H9" s="137" t="s">
        <v>185</v>
      </c>
      <c r="I9" s="137" t="s">
        <v>41</v>
      </c>
      <c r="J9" s="137" t="s">
        <v>212</v>
      </c>
      <c r="K9" s="137" t="s">
        <v>209</v>
      </c>
      <c r="L9" s="137">
        <v>2</v>
      </c>
      <c r="N9" s="138">
        <v>2</v>
      </c>
      <c r="O9" s="137">
        <v>1.75</v>
      </c>
      <c r="P9" s="137">
        <v>1.85</v>
      </c>
      <c r="Q9" s="139">
        <f t="shared" si="0"/>
        <v>1.8</v>
      </c>
      <c r="R9" s="138">
        <v>13.8</v>
      </c>
      <c r="S9" s="138">
        <v>150</v>
      </c>
      <c r="T9" s="140">
        <f t="shared" si="1"/>
        <v>22</v>
      </c>
      <c r="U9" s="138">
        <v>398</v>
      </c>
      <c r="V9" s="141">
        <f t="shared" si="2"/>
        <v>4378</v>
      </c>
      <c r="W9" s="138">
        <v>12</v>
      </c>
      <c r="X9" s="137" t="s">
        <v>44</v>
      </c>
      <c r="Y9" s="137" t="s">
        <v>46</v>
      </c>
      <c r="Z9" s="137" t="s">
        <v>161</v>
      </c>
      <c r="AA9" s="137" t="s">
        <v>79</v>
      </c>
      <c r="AB9" s="137" t="s">
        <v>164</v>
      </c>
      <c r="AE9" s="147" t="s">
        <v>202</v>
      </c>
      <c r="AG9" s="143" t="s">
        <v>405</v>
      </c>
      <c r="AH9" s="143" t="s">
        <v>393</v>
      </c>
      <c r="AL9" s="147" t="s">
        <v>205</v>
      </c>
      <c r="AP9" s="147" t="s">
        <v>103</v>
      </c>
      <c r="AR9" s="147" t="s">
        <v>206</v>
      </c>
      <c r="AV9" s="147" t="s">
        <v>105</v>
      </c>
      <c r="AX9" s="148">
        <v>128</v>
      </c>
      <c r="AY9" s="149">
        <v>27</v>
      </c>
      <c r="AZ9" s="149">
        <v>129</v>
      </c>
      <c r="BA9" s="150">
        <v>25</v>
      </c>
    </row>
    <row r="10" spans="1:53" s="137" customFormat="1" ht="13.5" customHeight="1">
      <c r="A10" s="137" t="s">
        <v>72</v>
      </c>
      <c r="B10" s="137" t="s">
        <v>181</v>
      </c>
      <c r="C10" s="137">
        <v>2020</v>
      </c>
      <c r="D10" s="138" t="s">
        <v>375</v>
      </c>
      <c r="E10" s="137" t="s">
        <v>392</v>
      </c>
      <c r="F10" s="137" t="s">
        <v>393</v>
      </c>
      <c r="G10" s="137" t="s">
        <v>58</v>
      </c>
      <c r="H10" s="137" t="s">
        <v>185</v>
      </c>
      <c r="I10" s="137" t="s">
        <v>41</v>
      </c>
      <c r="J10" s="137" t="s">
        <v>212</v>
      </c>
      <c r="K10" s="137" t="s">
        <v>209</v>
      </c>
      <c r="L10" s="137">
        <v>3</v>
      </c>
      <c r="N10" s="138">
        <v>2</v>
      </c>
      <c r="O10" s="137">
        <v>1.9</v>
      </c>
      <c r="P10" s="137">
        <v>1.65</v>
      </c>
      <c r="Q10" s="139">
        <f t="shared" si="0"/>
        <v>1.7749999999999999</v>
      </c>
      <c r="R10" s="138">
        <v>13.6</v>
      </c>
      <c r="S10" s="138">
        <v>142</v>
      </c>
      <c r="T10" s="140">
        <f t="shared" si="1"/>
        <v>22</v>
      </c>
      <c r="U10" s="138">
        <v>398</v>
      </c>
      <c r="V10" s="141">
        <f t="shared" si="2"/>
        <v>4378</v>
      </c>
      <c r="W10" s="138">
        <v>12</v>
      </c>
      <c r="X10" s="137" t="s">
        <v>44</v>
      </c>
      <c r="Y10" s="137" t="s">
        <v>46</v>
      </c>
      <c r="Z10" s="137" t="s">
        <v>161</v>
      </c>
      <c r="AA10" s="137" t="s">
        <v>79</v>
      </c>
      <c r="AB10" s="137" t="s">
        <v>164</v>
      </c>
      <c r="AE10" s="147" t="s">
        <v>207</v>
      </c>
      <c r="AG10" s="143" t="s">
        <v>392</v>
      </c>
      <c r="AH10" s="147" t="s">
        <v>393</v>
      </c>
      <c r="AP10" s="147" t="s">
        <v>109</v>
      </c>
      <c r="AR10" s="147" t="s">
        <v>209</v>
      </c>
      <c r="AV10" s="147" t="s">
        <v>111</v>
      </c>
      <c r="AX10" s="148">
        <v>138</v>
      </c>
      <c r="AY10" s="149">
        <v>25</v>
      </c>
      <c r="AZ10" s="149">
        <v>138</v>
      </c>
      <c r="BA10" s="150">
        <v>22</v>
      </c>
    </row>
    <row r="11" spans="1:53" s="137" customFormat="1" ht="13.5" customHeight="1">
      <c r="A11" s="137" t="s">
        <v>72</v>
      </c>
      <c r="B11" s="137" t="s">
        <v>181</v>
      </c>
      <c r="C11" s="137">
        <v>2020</v>
      </c>
      <c r="D11" s="138" t="s">
        <v>375</v>
      </c>
      <c r="E11" s="137" t="s">
        <v>395</v>
      </c>
      <c r="F11" s="137" t="s">
        <v>396</v>
      </c>
      <c r="G11" s="137" t="s">
        <v>39</v>
      </c>
      <c r="H11" s="137" t="s">
        <v>40</v>
      </c>
      <c r="I11" s="137" t="s">
        <v>41</v>
      </c>
      <c r="J11" s="137" t="s">
        <v>42</v>
      </c>
      <c r="K11" s="137" t="s">
        <v>43</v>
      </c>
      <c r="L11" s="137">
        <v>1</v>
      </c>
      <c r="N11" s="138">
        <v>1</v>
      </c>
      <c r="O11" s="137">
        <v>0.75</v>
      </c>
      <c r="P11" s="137">
        <v>0.85</v>
      </c>
      <c r="Q11" s="139">
        <f t="shared" si="0"/>
        <v>0.8</v>
      </c>
      <c r="R11" s="138">
        <v>15.6</v>
      </c>
      <c r="S11" s="138">
        <v>99</v>
      </c>
      <c r="T11" s="140">
        <f t="shared" si="1"/>
        <v>33</v>
      </c>
      <c r="U11" s="138">
        <v>128</v>
      </c>
      <c r="V11" s="141">
        <f t="shared" si="2"/>
        <v>4224</v>
      </c>
      <c r="W11" s="138">
        <v>2</v>
      </c>
      <c r="X11" s="137" t="s">
        <v>44</v>
      </c>
      <c r="Y11" s="137" t="s">
        <v>46</v>
      </c>
      <c r="Z11" s="137" t="s">
        <v>161</v>
      </c>
      <c r="AA11" s="137" t="s">
        <v>45</v>
      </c>
      <c r="AB11" s="137" t="s">
        <v>164</v>
      </c>
      <c r="AE11" s="147" t="s">
        <v>139</v>
      </c>
      <c r="AG11" s="143" t="s">
        <v>406</v>
      </c>
      <c r="AH11" s="147" t="s">
        <v>407</v>
      </c>
      <c r="AP11" s="147" t="s">
        <v>212</v>
      </c>
      <c r="AR11" s="147" t="s">
        <v>213</v>
      </c>
      <c r="AV11" s="147" t="s">
        <v>161</v>
      </c>
      <c r="AX11" s="148">
        <v>151</v>
      </c>
      <c r="AY11" s="149">
        <v>22</v>
      </c>
      <c r="AZ11" s="149">
        <v>152</v>
      </c>
      <c r="BA11" s="150">
        <v>18</v>
      </c>
    </row>
    <row r="12" spans="1:53" s="137" customFormat="1" ht="13.5" customHeight="1">
      <c r="A12" s="137" t="s">
        <v>72</v>
      </c>
      <c r="B12" s="137" t="s">
        <v>181</v>
      </c>
      <c r="C12" s="137">
        <v>2020</v>
      </c>
      <c r="D12" s="138" t="s">
        <v>375</v>
      </c>
      <c r="E12" s="137" t="s">
        <v>395</v>
      </c>
      <c r="F12" s="137" t="s">
        <v>396</v>
      </c>
      <c r="G12" s="137" t="s">
        <v>39</v>
      </c>
      <c r="H12" s="137" t="s">
        <v>40</v>
      </c>
      <c r="I12" s="137" t="s">
        <v>41</v>
      </c>
      <c r="J12" s="137" t="s">
        <v>42</v>
      </c>
      <c r="K12" s="137" t="s">
        <v>43</v>
      </c>
      <c r="L12" s="137">
        <v>2</v>
      </c>
      <c r="N12" s="138">
        <v>1</v>
      </c>
      <c r="O12" s="137">
        <v>0.75</v>
      </c>
      <c r="P12" s="137">
        <v>0.7</v>
      </c>
      <c r="Q12" s="139">
        <f t="shared" si="0"/>
        <v>0.72499999999999998</v>
      </c>
      <c r="R12" s="138">
        <v>16.5</v>
      </c>
      <c r="S12" s="138">
        <v>104</v>
      </c>
      <c r="T12" s="140">
        <f t="shared" si="1"/>
        <v>33</v>
      </c>
      <c r="U12" s="138">
        <v>128</v>
      </c>
      <c r="V12" s="141">
        <f t="shared" si="2"/>
        <v>4224</v>
      </c>
      <c r="W12" s="138">
        <v>2</v>
      </c>
      <c r="X12" s="137" t="s">
        <v>44</v>
      </c>
      <c r="Y12" s="137" t="s">
        <v>46</v>
      </c>
      <c r="Z12" s="137" t="s">
        <v>161</v>
      </c>
      <c r="AA12" s="137" t="s">
        <v>45</v>
      </c>
      <c r="AB12" s="137" t="s">
        <v>164</v>
      </c>
      <c r="AE12" s="147" t="s">
        <v>214</v>
      </c>
      <c r="AG12" s="147"/>
      <c r="AH12" s="147"/>
      <c r="AP12" s="147" t="s">
        <v>215</v>
      </c>
      <c r="AR12" s="147" t="s">
        <v>216</v>
      </c>
      <c r="AV12" s="147" t="s">
        <v>217</v>
      </c>
      <c r="AX12" s="154">
        <v>180</v>
      </c>
      <c r="AY12" s="155">
        <v>18</v>
      </c>
      <c r="AZ12" s="155">
        <v>181</v>
      </c>
      <c r="BA12" s="156">
        <v>16</v>
      </c>
    </row>
    <row r="13" spans="1:53" s="137" customFormat="1" ht="13.5" customHeight="1">
      <c r="A13" s="137" t="s">
        <v>72</v>
      </c>
      <c r="B13" s="137" t="s">
        <v>181</v>
      </c>
      <c r="C13" s="137">
        <v>2020</v>
      </c>
      <c r="D13" s="138" t="s">
        <v>375</v>
      </c>
      <c r="E13" s="137" t="s">
        <v>395</v>
      </c>
      <c r="F13" s="137" t="s">
        <v>396</v>
      </c>
      <c r="G13" s="137" t="s">
        <v>39</v>
      </c>
      <c r="H13" s="137" t="s">
        <v>40</v>
      </c>
      <c r="I13" s="137" t="s">
        <v>41</v>
      </c>
      <c r="J13" s="137" t="s">
        <v>42</v>
      </c>
      <c r="K13" s="137" t="s">
        <v>43</v>
      </c>
      <c r="L13" s="137">
        <v>3</v>
      </c>
      <c r="N13" s="138">
        <v>1</v>
      </c>
      <c r="O13" s="137">
        <v>0.8</v>
      </c>
      <c r="P13" s="137">
        <v>0.7</v>
      </c>
      <c r="Q13" s="139">
        <f t="shared" si="0"/>
        <v>0.75</v>
      </c>
      <c r="R13" s="138">
        <v>15.8</v>
      </c>
      <c r="S13" s="138">
        <v>99</v>
      </c>
      <c r="T13" s="140">
        <f t="shared" si="1"/>
        <v>33</v>
      </c>
      <c r="U13" s="138">
        <v>128</v>
      </c>
      <c r="V13" s="141">
        <f t="shared" si="2"/>
        <v>4224</v>
      </c>
      <c r="W13" s="138">
        <v>2</v>
      </c>
      <c r="X13" s="137" t="s">
        <v>44</v>
      </c>
      <c r="Y13" s="137" t="s">
        <v>46</v>
      </c>
      <c r="Z13" s="137" t="s">
        <v>161</v>
      </c>
      <c r="AA13" s="137" t="s">
        <v>45</v>
      </c>
      <c r="AB13" s="137" t="s">
        <v>164</v>
      </c>
      <c r="AE13" s="147" t="s">
        <v>218</v>
      </c>
      <c r="AG13" s="147"/>
      <c r="AH13" s="147"/>
      <c r="AP13" s="147" t="s">
        <v>219</v>
      </c>
      <c r="AR13" s="147" t="s">
        <v>207</v>
      </c>
      <c r="AV13" s="147" t="s">
        <v>220</v>
      </c>
    </row>
    <row r="14" spans="1:53" s="137" customFormat="1" ht="13.5" customHeight="1">
      <c r="A14" s="137" t="s">
        <v>72</v>
      </c>
      <c r="B14" s="137" t="s">
        <v>181</v>
      </c>
      <c r="C14" s="137">
        <v>2020</v>
      </c>
      <c r="D14" s="138" t="s">
        <v>375</v>
      </c>
      <c r="E14" s="137" t="s">
        <v>395</v>
      </c>
      <c r="F14" s="137" t="s">
        <v>396</v>
      </c>
      <c r="G14" s="137" t="s">
        <v>39</v>
      </c>
      <c r="H14" s="137" t="s">
        <v>40</v>
      </c>
      <c r="I14" s="137" t="s">
        <v>41</v>
      </c>
      <c r="J14" s="137" t="s">
        <v>42</v>
      </c>
      <c r="K14" s="137" t="s">
        <v>43</v>
      </c>
      <c r="L14" s="137">
        <v>1</v>
      </c>
      <c r="N14" s="138">
        <v>6</v>
      </c>
      <c r="O14" s="137">
        <v>0.7</v>
      </c>
      <c r="P14" s="137">
        <v>0.7</v>
      </c>
      <c r="Q14" s="139">
        <f t="shared" si="0"/>
        <v>0.7</v>
      </c>
      <c r="R14" s="138">
        <v>15.3</v>
      </c>
      <c r="S14" s="138">
        <v>82</v>
      </c>
      <c r="T14" s="140">
        <f t="shared" si="1"/>
        <v>39</v>
      </c>
      <c r="U14" s="138">
        <v>398</v>
      </c>
      <c r="V14" s="141">
        <f t="shared" si="2"/>
        <v>2587</v>
      </c>
      <c r="W14" s="138">
        <v>2</v>
      </c>
      <c r="X14" s="137" t="s">
        <v>44</v>
      </c>
      <c r="Y14" s="137" t="s">
        <v>46</v>
      </c>
      <c r="Z14" s="137" t="s">
        <v>161</v>
      </c>
      <c r="AA14" s="137" t="s">
        <v>45</v>
      </c>
      <c r="AB14" s="137" t="s">
        <v>164</v>
      </c>
      <c r="AE14" s="147" t="s">
        <v>126</v>
      </c>
      <c r="AG14" s="147"/>
      <c r="AH14" s="147"/>
      <c r="AP14" s="147" t="s">
        <v>113</v>
      </c>
      <c r="AR14" s="147" t="s">
        <v>222</v>
      </c>
      <c r="AV14" s="147" t="s">
        <v>115</v>
      </c>
    </row>
    <row r="15" spans="1:53" s="137" customFormat="1" ht="13.5" customHeight="1">
      <c r="A15" s="137" t="s">
        <v>72</v>
      </c>
      <c r="B15" s="137" t="s">
        <v>181</v>
      </c>
      <c r="C15" s="137">
        <v>2020</v>
      </c>
      <c r="D15" s="138" t="s">
        <v>375</v>
      </c>
      <c r="E15" s="137" t="s">
        <v>395</v>
      </c>
      <c r="F15" s="137" t="s">
        <v>396</v>
      </c>
      <c r="G15" s="137" t="s">
        <v>39</v>
      </c>
      <c r="H15" s="137" t="s">
        <v>40</v>
      </c>
      <c r="I15" s="137" t="s">
        <v>41</v>
      </c>
      <c r="J15" s="137" t="s">
        <v>42</v>
      </c>
      <c r="K15" s="137" t="s">
        <v>43</v>
      </c>
      <c r="L15" s="137">
        <v>2</v>
      </c>
      <c r="N15" s="138">
        <v>6</v>
      </c>
      <c r="O15" s="137">
        <v>0.65</v>
      </c>
      <c r="P15" s="137">
        <v>0.75</v>
      </c>
      <c r="Q15" s="139">
        <f t="shared" si="0"/>
        <v>0.7</v>
      </c>
      <c r="R15" s="138">
        <v>14.7</v>
      </c>
      <c r="S15" s="138">
        <v>80</v>
      </c>
      <c r="T15" s="140">
        <f t="shared" si="1"/>
        <v>39</v>
      </c>
      <c r="U15" s="138">
        <v>398</v>
      </c>
      <c r="V15" s="141">
        <f t="shared" si="2"/>
        <v>2587</v>
      </c>
      <c r="W15" s="138">
        <v>2</v>
      </c>
      <c r="X15" s="137" t="s">
        <v>44</v>
      </c>
      <c r="Y15" s="137" t="s">
        <v>46</v>
      </c>
      <c r="Z15" s="137" t="s">
        <v>161</v>
      </c>
      <c r="AA15" s="137" t="s">
        <v>45</v>
      </c>
      <c r="AB15" s="137" t="s">
        <v>164</v>
      </c>
      <c r="AE15" s="147" t="s">
        <v>223</v>
      </c>
      <c r="AG15" s="147"/>
      <c r="AH15" s="147"/>
      <c r="AP15" s="147" t="s">
        <v>117</v>
      </c>
      <c r="AR15" s="147" t="s">
        <v>121</v>
      </c>
      <c r="AV15" s="147" t="s">
        <v>119</v>
      </c>
    </row>
    <row r="16" spans="1:53" s="137" customFormat="1" ht="13.5" customHeight="1">
      <c r="A16" s="137" t="s">
        <v>72</v>
      </c>
      <c r="B16" s="137" t="s">
        <v>181</v>
      </c>
      <c r="C16" s="137">
        <v>2020</v>
      </c>
      <c r="D16" s="138" t="s">
        <v>375</v>
      </c>
      <c r="E16" s="137" t="s">
        <v>395</v>
      </c>
      <c r="F16" s="137" t="s">
        <v>396</v>
      </c>
      <c r="G16" s="137" t="s">
        <v>39</v>
      </c>
      <c r="H16" s="137" t="s">
        <v>40</v>
      </c>
      <c r="I16" s="137" t="s">
        <v>41</v>
      </c>
      <c r="J16" s="137" t="s">
        <v>42</v>
      </c>
      <c r="K16" s="137" t="s">
        <v>43</v>
      </c>
      <c r="L16" s="137">
        <v>3</v>
      </c>
      <c r="N16" s="138">
        <v>6</v>
      </c>
      <c r="O16" s="137">
        <v>0.7</v>
      </c>
      <c r="P16" s="137">
        <v>0.55000000000000004</v>
      </c>
      <c r="Q16" s="139">
        <f t="shared" si="0"/>
        <v>0.625</v>
      </c>
      <c r="R16" s="138">
        <v>14.5</v>
      </c>
      <c r="S16" s="138">
        <v>75</v>
      </c>
      <c r="T16" s="140">
        <f t="shared" si="1"/>
        <v>42</v>
      </c>
      <c r="U16" s="138">
        <v>398</v>
      </c>
      <c r="V16" s="141">
        <f t="shared" si="2"/>
        <v>2786</v>
      </c>
      <c r="W16" s="138">
        <v>2</v>
      </c>
      <c r="X16" s="137" t="s">
        <v>44</v>
      </c>
      <c r="Y16" s="137" t="s">
        <v>46</v>
      </c>
      <c r="Z16" s="137" t="s">
        <v>161</v>
      </c>
      <c r="AA16" s="137" t="s">
        <v>45</v>
      </c>
      <c r="AB16" s="137" t="s">
        <v>164</v>
      </c>
      <c r="AE16" s="147" t="s">
        <v>224</v>
      </c>
      <c r="AG16" s="152"/>
      <c r="AH16" s="152"/>
      <c r="AP16" s="147" t="s">
        <v>121</v>
      </c>
      <c r="AR16" s="147" t="s">
        <v>122</v>
      </c>
      <c r="AV16" s="147" t="s">
        <v>46</v>
      </c>
    </row>
    <row r="17" spans="1:48" s="137" customFormat="1" ht="13.5" customHeight="1">
      <c r="A17" s="137" t="s">
        <v>72</v>
      </c>
      <c r="B17" s="137" t="s">
        <v>181</v>
      </c>
      <c r="C17" s="137">
        <v>2020</v>
      </c>
      <c r="D17" s="138" t="s">
        <v>375</v>
      </c>
      <c r="E17" s="137" t="s">
        <v>406</v>
      </c>
      <c r="F17" s="137" t="s">
        <v>407</v>
      </c>
      <c r="G17" s="137" t="s">
        <v>39</v>
      </c>
      <c r="H17" s="137" t="s">
        <v>40</v>
      </c>
      <c r="I17" s="137" t="s">
        <v>41</v>
      </c>
      <c r="J17" s="137" t="s">
        <v>42</v>
      </c>
      <c r="K17" s="137" t="s">
        <v>43</v>
      </c>
      <c r="L17" s="137">
        <v>1</v>
      </c>
      <c r="N17" s="138">
        <v>1</v>
      </c>
      <c r="O17" s="137">
        <v>0.8</v>
      </c>
      <c r="P17" s="137">
        <v>0.85</v>
      </c>
      <c r="Q17" s="139">
        <f t="shared" si="0"/>
        <v>0.82499999999999996</v>
      </c>
      <c r="R17" s="138">
        <v>13.7</v>
      </c>
      <c r="S17" s="138">
        <v>110</v>
      </c>
      <c r="T17" s="140">
        <f t="shared" si="1"/>
        <v>33</v>
      </c>
      <c r="U17" s="138">
        <v>98</v>
      </c>
      <c r="V17" s="141">
        <f t="shared" si="2"/>
        <v>3234</v>
      </c>
      <c r="W17" s="138">
        <v>3</v>
      </c>
      <c r="X17" s="137" t="s">
        <v>63</v>
      </c>
      <c r="Y17" s="137" t="s">
        <v>46</v>
      </c>
      <c r="Z17" s="137" t="s">
        <v>45</v>
      </c>
      <c r="AA17" s="137" t="s">
        <v>161</v>
      </c>
      <c r="AB17" s="137" t="s">
        <v>164</v>
      </c>
      <c r="AE17" s="147" t="s">
        <v>225</v>
      </c>
      <c r="AP17" s="151" t="s">
        <v>226</v>
      </c>
      <c r="AR17" s="147" t="s">
        <v>126</v>
      </c>
      <c r="AV17" s="147" t="s">
        <v>127</v>
      </c>
    </row>
    <row r="18" spans="1:48" s="137" customFormat="1" ht="13.5" customHeight="1">
      <c r="A18" s="137" t="s">
        <v>72</v>
      </c>
      <c r="B18" s="137" t="s">
        <v>181</v>
      </c>
      <c r="C18" s="137">
        <v>2020</v>
      </c>
      <c r="D18" s="138" t="s">
        <v>375</v>
      </c>
      <c r="E18" s="137" t="s">
        <v>406</v>
      </c>
      <c r="F18" s="137" t="s">
        <v>407</v>
      </c>
      <c r="G18" s="137" t="s">
        <v>39</v>
      </c>
      <c r="H18" s="137" t="s">
        <v>40</v>
      </c>
      <c r="I18" s="137" t="s">
        <v>41</v>
      </c>
      <c r="J18" s="137" t="s">
        <v>42</v>
      </c>
      <c r="K18" s="137" t="s">
        <v>43</v>
      </c>
      <c r="L18" s="137">
        <v>2</v>
      </c>
      <c r="N18" s="138">
        <v>1</v>
      </c>
      <c r="O18" s="137">
        <v>0.9</v>
      </c>
      <c r="P18" s="137">
        <v>0.8</v>
      </c>
      <c r="Q18" s="139">
        <f t="shared" si="0"/>
        <v>0.85000000000000009</v>
      </c>
      <c r="R18" s="138">
        <v>14.1</v>
      </c>
      <c r="S18" s="138">
        <v>116</v>
      </c>
      <c r="T18" s="140">
        <f t="shared" si="1"/>
        <v>30</v>
      </c>
      <c r="U18" s="138">
        <v>98</v>
      </c>
      <c r="V18" s="141">
        <f t="shared" si="2"/>
        <v>2940</v>
      </c>
      <c r="W18" s="138">
        <v>3</v>
      </c>
      <c r="X18" s="137" t="s">
        <v>63</v>
      </c>
      <c r="Y18" s="137" t="s">
        <v>46</v>
      </c>
      <c r="Z18" s="137" t="s">
        <v>45</v>
      </c>
      <c r="AA18" s="137" t="s">
        <v>161</v>
      </c>
      <c r="AB18" s="137" t="s">
        <v>164</v>
      </c>
      <c r="AE18" s="147" t="s">
        <v>213</v>
      </c>
      <c r="AP18" s="151" t="s">
        <v>227</v>
      </c>
      <c r="AR18" s="147" t="s">
        <v>130</v>
      </c>
      <c r="AV18" s="147" t="s">
        <v>131</v>
      </c>
    </row>
    <row r="19" spans="1:48" s="137" customFormat="1" ht="13.5" customHeight="1">
      <c r="A19" s="137" t="s">
        <v>72</v>
      </c>
      <c r="B19" s="137" t="s">
        <v>181</v>
      </c>
      <c r="C19" s="137">
        <v>2020</v>
      </c>
      <c r="D19" s="138" t="s">
        <v>375</v>
      </c>
      <c r="E19" s="137" t="s">
        <v>406</v>
      </c>
      <c r="F19" s="137" t="s">
        <v>407</v>
      </c>
      <c r="G19" s="137" t="s">
        <v>39</v>
      </c>
      <c r="H19" s="137" t="s">
        <v>40</v>
      </c>
      <c r="I19" s="137" t="s">
        <v>41</v>
      </c>
      <c r="J19" s="137" t="s">
        <v>42</v>
      </c>
      <c r="K19" s="137" t="s">
        <v>43</v>
      </c>
      <c r="L19" s="137">
        <v>3</v>
      </c>
      <c r="N19" s="138">
        <v>1</v>
      </c>
      <c r="O19" s="137">
        <v>0.85</v>
      </c>
      <c r="P19" s="137">
        <v>0.75</v>
      </c>
      <c r="Q19" s="139">
        <f t="shared" si="0"/>
        <v>0.8</v>
      </c>
      <c r="R19" s="138">
        <v>14.6</v>
      </c>
      <c r="S19" s="138">
        <v>116</v>
      </c>
      <c r="T19" s="140">
        <f t="shared" si="1"/>
        <v>30</v>
      </c>
      <c r="U19" s="138">
        <v>98</v>
      </c>
      <c r="V19" s="141">
        <f t="shared" si="2"/>
        <v>2940</v>
      </c>
      <c r="W19" s="138">
        <v>3</v>
      </c>
      <c r="X19" s="137" t="s">
        <v>63</v>
      </c>
      <c r="Y19" s="137" t="s">
        <v>46</v>
      </c>
      <c r="Z19" s="137" t="s">
        <v>45</v>
      </c>
      <c r="AA19" s="137" t="s">
        <v>161</v>
      </c>
      <c r="AB19" s="137" t="s">
        <v>164</v>
      </c>
      <c r="AE19" s="151" t="s">
        <v>206</v>
      </c>
      <c r="AP19" s="151" t="s">
        <v>228</v>
      </c>
      <c r="AR19" s="147" t="s">
        <v>229</v>
      </c>
      <c r="AV19" s="147" t="s">
        <v>45</v>
      </c>
    </row>
    <row r="20" spans="1:48" s="137" customFormat="1" ht="13.5" customHeight="1">
      <c r="A20" s="137" t="s">
        <v>72</v>
      </c>
      <c r="B20" s="137" t="s">
        <v>181</v>
      </c>
      <c r="C20" s="137">
        <v>2020</v>
      </c>
      <c r="D20" s="138" t="s">
        <v>375</v>
      </c>
      <c r="E20" s="137" t="s">
        <v>406</v>
      </c>
      <c r="F20" s="137" t="s">
        <v>407</v>
      </c>
      <c r="G20" s="137" t="s">
        <v>39</v>
      </c>
      <c r="H20" s="137" t="s">
        <v>157</v>
      </c>
      <c r="I20" s="137" t="s">
        <v>41</v>
      </c>
      <c r="J20" s="137" t="s">
        <v>42</v>
      </c>
      <c r="K20" s="137" t="s">
        <v>78</v>
      </c>
      <c r="L20" s="137">
        <v>1</v>
      </c>
      <c r="N20" s="138">
        <v>1</v>
      </c>
      <c r="O20" s="137">
        <v>0.7</v>
      </c>
      <c r="P20" s="137">
        <v>0.7</v>
      </c>
      <c r="Q20" s="139">
        <f t="shared" si="0"/>
        <v>0.7</v>
      </c>
      <c r="R20" s="138">
        <v>16</v>
      </c>
      <c r="S20" s="138">
        <v>104</v>
      </c>
      <c r="T20" s="140">
        <f t="shared" si="1"/>
        <v>36</v>
      </c>
      <c r="U20" s="138">
        <v>138</v>
      </c>
      <c r="V20" s="141">
        <f t="shared" si="2"/>
        <v>4968</v>
      </c>
      <c r="W20" s="138">
        <v>3</v>
      </c>
      <c r="X20" s="137" t="s">
        <v>63</v>
      </c>
      <c r="Y20" s="137" t="s">
        <v>46</v>
      </c>
      <c r="Z20" s="137" t="s">
        <v>45</v>
      </c>
      <c r="AA20" s="137" t="s">
        <v>161</v>
      </c>
      <c r="AB20" s="137" t="s">
        <v>164</v>
      </c>
      <c r="AE20" s="151"/>
      <c r="AP20" s="151" t="s">
        <v>230</v>
      </c>
      <c r="AR20" s="147" t="s">
        <v>136</v>
      </c>
      <c r="AV20" s="151" t="s">
        <v>231</v>
      </c>
    </row>
    <row r="21" spans="1:48" s="137" customFormat="1" ht="13.5" customHeight="1">
      <c r="A21" s="137" t="s">
        <v>72</v>
      </c>
      <c r="B21" s="137" t="s">
        <v>181</v>
      </c>
      <c r="C21" s="137">
        <v>2020</v>
      </c>
      <c r="D21" s="138" t="s">
        <v>375</v>
      </c>
      <c r="E21" s="137" t="s">
        <v>406</v>
      </c>
      <c r="F21" s="137" t="s">
        <v>407</v>
      </c>
      <c r="G21" s="137" t="s">
        <v>39</v>
      </c>
      <c r="H21" s="137" t="s">
        <v>157</v>
      </c>
      <c r="I21" s="137" t="s">
        <v>41</v>
      </c>
      <c r="J21" s="137" t="s">
        <v>42</v>
      </c>
      <c r="K21" s="137" t="s">
        <v>78</v>
      </c>
      <c r="L21" s="137">
        <v>2</v>
      </c>
      <c r="N21" s="138">
        <v>1</v>
      </c>
      <c r="O21" s="137">
        <v>0.75</v>
      </c>
      <c r="P21" s="137">
        <v>0.75</v>
      </c>
      <c r="Q21" s="139">
        <f t="shared" si="0"/>
        <v>0.75</v>
      </c>
      <c r="R21" s="138">
        <v>15.7</v>
      </c>
      <c r="S21" s="138">
        <v>98</v>
      </c>
      <c r="T21" s="140">
        <f t="shared" si="1"/>
        <v>36</v>
      </c>
      <c r="U21" s="138">
        <v>138</v>
      </c>
      <c r="V21" s="141">
        <f t="shared" si="2"/>
        <v>4968</v>
      </c>
      <c r="W21" s="138">
        <v>3</v>
      </c>
      <c r="X21" s="137" t="s">
        <v>63</v>
      </c>
      <c r="Y21" s="137" t="s">
        <v>46</v>
      </c>
      <c r="Z21" s="137" t="s">
        <v>45</v>
      </c>
      <c r="AA21" s="137" t="s">
        <v>161</v>
      </c>
      <c r="AB21" s="137" t="s">
        <v>164</v>
      </c>
      <c r="AE21" s="152"/>
      <c r="AP21" s="151" t="s">
        <v>232</v>
      </c>
      <c r="AR21" s="147" t="s">
        <v>139</v>
      </c>
      <c r="AV21" s="151" t="s">
        <v>233</v>
      </c>
    </row>
    <row r="22" spans="1:48" s="137" customFormat="1" ht="13.5" customHeight="1">
      <c r="A22" s="137" t="s">
        <v>72</v>
      </c>
      <c r="B22" s="137" t="s">
        <v>181</v>
      </c>
      <c r="C22" s="137">
        <v>2020</v>
      </c>
      <c r="D22" s="138" t="s">
        <v>375</v>
      </c>
      <c r="E22" s="137" t="s">
        <v>406</v>
      </c>
      <c r="F22" s="137" t="s">
        <v>407</v>
      </c>
      <c r="G22" s="137" t="s">
        <v>39</v>
      </c>
      <c r="H22" s="137" t="s">
        <v>157</v>
      </c>
      <c r="I22" s="137" t="s">
        <v>41</v>
      </c>
      <c r="J22" s="137" t="s">
        <v>42</v>
      </c>
      <c r="K22" s="137" t="s">
        <v>78</v>
      </c>
      <c r="L22" s="137">
        <v>3</v>
      </c>
      <c r="N22" s="138">
        <v>1</v>
      </c>
      <c r="O22" s="137">
        <v>0.8</v>
      </c>
      <c r="P22" s="137">
        <v>0.75</v>
      </c>
      <c r="Q22" s="139">
        <f t="shared" si="0"/>
        <v>0.77500000000000002</v>
      </c>
      <c r="R22" s="138">
        <v>15.4</v>
      </c>
      <c r="S22" s="138">
        <v>98</v>
      </c>
      <c r="T22" s="140">
        <f t="shared" si="1"/>
        <v>36</v>
      </c>
      <c r="U22" s="138">
        <v>138</v>
      </c>
      <c r="V22" s="141">
        <f t="shared" si="2"/>
        <v>4968</v>
      </c>
      <c r="W22" s="138">
        <v>3</v>
      </c>
      <c r="X22" s="137" t="s">
        <v>63</v>
      </c>
      <c r="Y22" s="137" t="s">
        <v>46</v>
      </c>
      <c r="Z22" s="137" t="s">
        <v>45</v>
      </c>
      <c r="AA22" s="137" t="s">
        <v>161</v>
      </c>
      <c r="AB22" s="137" t="s">
        <v>164</v>
      </c>
      <c r="AP22" s="151" t="s">
        <v>234</v>
      </c>
      <c r="AR22" s="147" t="s">
        <v>142</v>
      </c>
      <c r="AV22" s="151"/>
    </row>
    <row r="23" spans="1:48" s="137" customFormat="1" ht="13.5" customHeight="1">
      <c r="A23" s="137" t="s">
        <v>72</v>
      </c>
      <c r="B23" s="137" t="s">
        <v>181</v>
      </c>
      <c r="C23" s="137">
        <v>2020</v>
      </c>
      <c r="D23" s="138" t="s">
        <v>375</v>
      </c>
      <c r="E23" s="137" t="s">
        <v>143</v>
      </c>
      <c r="F23" s="137" t="s">
        <v>399</v>
      </c>
      <c r="G23" s="137" t="s">
        <v>39</v>
      </c>
      <c r="H23" s="137" t="s">
        <v>40</v>
      </c>
      <c r="I23" s="137" t="s">
        <v>41</v>
      </c>
      <c r="J23" s="137" t="s">
        <v>42</v>
      </c>
      <c r="K23" s="137" t="s">
        <v>43</v>
      </c>
      <c r="L23" s="137">
        <v>1</v>
      </c>
      <c r="N23" s="138">
        <v>1</v>
      </c>
      <c r="O23" s="137">
        <v>0.75</v>
      </c>
      <c r="P23" s="137">
        <v>0.9</v>
      </c>
      <c r="Q23" s="139">
        <f t="shared" si="0"/>
        <v>0.82499999999999996</v>
      </c>
      <c r="R23" s="138">
        <v>15.7</v>
      </c>
      <c r="S23" s="138">
        <v>110</v>
      </c>
      <c r="T23" s="140">
        <f t="shared" si="1"/>
        <v>33</v>
      </c>
      <c r="U23" s="138">
        <v>128</v>
      </c>
      <c r="V23" s="141">
        <f t="shared" si="2"/>
        <v>4224</v>
      </c>
      <c r="W23" s="138">
        <v>5</v>
      </c>
      <c r="X23" s="137" t="s">
        <v>63</v>
      </c>
      <c r="Y23" s="137" t="s">
        <v>46</v>
      </c>
      <c r="Z23" s="137" t="s">
        <v>45</v>
      </c>
      <c r="AA23" s="137" t="s">
        <v>161</v>
      </c>
      <c r="AB23" s="137" t="s">
        <v>164</v>
      </c>
      <c r="AP23" s="151" t="s">
        <v>240</v>
      </c>
      <c r="AR23" s="147" t="s">
        <v>88</v>
      </c>
    </row>
    <row r="24" spans="1:48" s="137" customFormat="1" ht="13.5" customHeight="1">
      <c r="A24" s="137" t="s">
        <v>72</v>
      </c>
      <c r="B24" s="137" t="s">
        <v>181</v>
      </c>
      <c r="C24" s="137">
        <v>2020</v>
      </c>
      <c r="D24" s="138" t="s">
        <v>375</v>
      </c>
      <c r="E24" s="137" t="s">
        <v>143</v>
      </c>
      <c r="F24" s="137" t="s">
        <v>399</v>
      </c>
      <c r="G24" s="137" t="s">
        <v>39</v>
      </c>
      <c r="H24" s="137" t="s">
        <v>40</v>
      </c>
      <c r="I24" s="137" t="s">
        <v>41</v>
      </c>
      <c r="J24" s="137" t="s">
        <v>42</v>
      </c>
      <c r="K24" s="137" t="s">
        <v>43</v>
      </c>
      <c r="L24" s="137">
        <v>2</v>
      </c>
      <c r="N24" s="138">
        <v>1</v>
      </c>
      <c r="O24" s="137">
        <v>0.9</v>
      </c>
      <c r="P24" s="137">
        <v>0.95</v>
      </c>
      <c r="Q24" s="139">
        <f t="shared" si="0"/>
        <v>0.92500000000000004</v>
      </c>
      <c r="R24" s="138">
        <v>15</v>
      </c>
      <c r="S24" s="138">
        <v>106</v>
      </c>
      <c r="T24" s="140">
        <f t="shared" si="1"/>
        <v>33</v>
      </c>
      <c r="U24" s="138">
        <v>128</v>
      </c>
      <c r="V24" s="141">
        <f t="shared" si="2"/>
        <v>4224</v>
      </c>
      <c r="W24" s="138">
        <v>5</v>
      </c>
      <c r="X24" s="137" t="s">
        <v>63</v>
      </c>
      <c r="Y24" s="137" t="s">
        <v>46</v>
      </c>
      <c r="Z24" s="137" t="s">
        <v>45</v>
      </c>
      <c r="AA24" s="137" t="s">
        <v>161</v>
      </c>
      <c r="AB24" s="137" t="s">
        <v>164</v>
      </c>
      <c r="AP24" s="151" t="s">
        <v>390</v>
      </c>
      <c r="AR24" s="147" t="s">
        <v>327</v>
      </c>
    </row>
    <row r="25" spans="1:48" s="137" customFormat="1" ht="13.5" customHeight="1">
      <c r="A25" s="137" t="s">
        <v>72</v>
      </c>
      <c r="B25" s="137" t="s">
        <v>181</v>
      </c>
      <c r="C25" s="137">
        <v>2020</v>
      </c>
      <c r="D25" s="138" t="s">
        <v>375</v>
      </c>
      <c r="E25" s="137" t="s">
        <v>143</v>
      </c>
      <c r="F25" s="137" t="s">
        <v>399</v>
      </c>
      <c r="G25" s="137" t="s">
        <v>39</v>
      </c>
      <c r="H25" s="137" t="s">
        <v>40</v>
      </c>
      <c r="I25" s="137" t="s">
        <v>41</v>
      </c>
      <c r="J25" s="137" t="s">
        <v>42</v>
      </c>
      <c r="K25" s="137" t="s">
        <v>43</v>
      </c>
      <c r="L25" s="137">
        <v>3</v>
      </c>
      <c r="N25" s="138">
        <v>1</v>
      </c>
      <c r="O25" s="137">
        <v>0.85</v>
      </c>
      <c r="P25" s="137">
        <v>0.8</v>
      </c>
      <c r="Q25" s="139">
        <f t="shared" si="0"/>
        <v>0.82499999999999996</v>
      </c>
      <c r="R25" s="138">
        <v>15.3</v>
      </c>
      <c r="S25" s="138">
        <v>108</v>
      </c>
      <c r="T25" s="140">
        <f t="shared" si="1"/>
        <v>33</v>
      </c>
      <c r="U25" s="138">
        <v>128</v>
      </c>
      <c r="V25" s="141">
        <f t="shared" si="2"/>
        <v>4224</v>
      </c>
      <c r="W25" s="138">
        <v>5</v>
      </c>
      <c r="X25" s="137" t="s">
        <v>63</v>
      </c>
      <c r="Y25" s="137" t="s">
        <v>46</v>
      </c>
      <c r="Z25" s="137" t="s">
        <v>45</v>
      </c>
      <c r="AA25" s="137" t="s">
        <v>161</v>
      </c>
      <c r="AB25" s="137" t="s">
        <v>164</v>
      </c>
      <c r="AP25" s="151" t="s">
        <v>391</v>
      </c>
      <c r="AR25" s="151" t="s">
        <v>72</v>
      </c>
    </row>
    <row r="26" spans="1:48" s="137" customFormat="1" ht="13.5" customHeight="1">
      <c r="A26" s="137" t="s">
        <v>72</v>
      </c>
      <c r="B26" s="137" t="s">
        <v>181</v>
      </c>
      <c r="C26" s="137">
        <v>2020</v>
      </c>
      <c r="D26" s="138" t="s">
        <v>375</v>
      </c>
      <c r="E26" s="137" t="s">
        <v>143</v>
      </c>
      <c r="F26" s="137" t="s">
        <v>399</v>
      </c>
      <c r="G26" s="137" t="s">
        <v>39</v>
      </c>
      <c r="H26" s="137" t="s">
        <v>40</v>
      </c>
      <c r="I26" s="137" t="s">
        <v>41</v>
      </c>
      <c r="J26" s="137" t="s">
        <v>42</v>
      </c>
      <c r="K26" s="137" t="s">
        <v>43</v>
      </c>
      <c r="L26" s="137">
        <v>1</v>
      </c>
      <c r="N26" s="138">
        <v>4</v>
      </c>
      <c r="O26" s="137">
        <v>0.9</v>
      </c>
      <c r="P26" s="137">
        <v>0.95</v>
      </c>
      <c r="Q26" s="139">
        <f t="shared" si="0"/>
        <v>0.92500000000000004</v>
      </c>
      <c r="R26" s="138">
        <v>13.4</v>
      </c>
      <c r="S26" s="138">
        <v>96</v>
      </c>
      <c r="T26" s="140">
        <f t="shared" si="1"/>
        <v>36</v>
      </c>
      <c r="U26" s="138">
        <v>398</v>
      </c>
      <c r="V26" s="141">
        <f t="shared" si="2"/>
        <v>3582</v>
      </c>
      <c r="W26" s="138">
        <v>5</v>
      </c>
      <c r="X26" s="137" t="s">
        <v>63</v>
      </c>
      <c r="Y26" s="137" t="s">
        <v>46</v>
      </c>
      <c r="Z26" s="137" t="s">
        <v>45</v>
      </c>
      <c r="AA26" s="137" t="s">
        <v>161</v>
      </c>
      <c r="AB26" s="137" t="s">
        <v>164</v>
      </c>
      <c r="AP26" s="151" t="s">
        <v>235</v>
      </c>
      <c r="AR26" s="137" t="s">
        <v>236</v>
      </c>
    </row>
    <row r="27" spans="1:48" s="137" customFormat="1" ht="13.5" customHeight="1">
      <c r="A27" s="137" t="s">
        <v>72</v>
      </c>
      <c r="B27" s="137" t="s">
        <v>181</v>
      </c>
      <c r="C27" s="137">
        <v>2020</v>
      </c>
      <c r="D27" s="138" t="s">
        <v>375</v>
      </c>
      <c r="E27" s="137" t="s">
        <v>143</v>
      </c>
      <c r="F27" s="137" t="s">
        <v>399</v>
      </c>
      <c r="G27" s="137" t="s">
        <v>39</v>
      </c>
      <c r="H27" s="137" t="s">
        <v>40</v>
      </c>
      <c r="I27" s="137" t="s">
        <v>41</v>
      </c>
      <c r="J27" s="137" t="s">
        <v>42</v>
      </c>
      <c r="K27" s="137" t="s">
        <v>43</v>
      </c>
      <c r="L27" s="137">
        <v>2</v>
      </c>
      <c r="N27" s="138">
        <v>4</v>
      </c>
      <c r="O27" s="137">
        <v>0.85</v>
      </c>
      <c r="P27" s="137">
        <v>0.85</v>
      </c>
      <c r="Q27" s="139">
        <f t="shared" si="0"/>
        <v>0.85</v>
      </c>
      <c r="R27" s="138">
        <v>14.5</v>
      </c>
      <c r="S27" s="138">
        <v>106</v>
      </c>
      <c r="T27" s="140">
        <f t="shared" si="1"/>
        <v>33</v>
      </c>
      <c r="U27" s="138">
        <v>398</v>
      </c>
      <c r="V27" s="141">
        <f t="shared" si="2"/>
        <v>3283.5</v>
      </c>
      <c r="W27" s="138">
        <v>5</v>
      </c>
      <c r="X27" s="137" t="s">
        <v>63</v>
      </c>
      <c r="Y27" s="137" t="s">
        <v>46</v>
      </c>
      <c r="Z27" s="137" t="s">
        <v>45</v>
      </c>
      <c r="AA27" s="137" t="s">
        <v>161</v>
      </c>
      <c r="AB27" s="137" t="s">
        <v>164</v>
      </c>
      <c r="AP27" s="151" t="s">
        <v>237</v>
      </c>
      <c r="AR27" s="147" t="s">
        <v>408</v>
      </c>
    </row>
    <row r="28" spans="1:48" s="137" customFormat="1" ht="13.5" customHeight="1">
      <c r="A28" s="137" t="s">
        <v>72</v>
      </c>
      <c r="B28" s="137" t="s">
        <v>181</v>
      </c>
      <c r="C28" s="137">
        <v>2020</v>
      </c>
      <c r="D28" s="138" t="s">
        <v>375</v>
      </c>
      <c r="E28" s="137" t="s">
        <v>143</v>
      </c>
      <c r="F28" s="137" t="s">
        <v>399</v>
      </c>
      <c r="G28" s="137" t="s">
        <v>39</v>
      </c>
      <c r="H28" s="137" t="s">
        <v>40</v>
      </c>
      <c r="I28" s="137" t="s">
        <v>41</v>
      </c>
      <c r="J28" s="137" t="s">
        <v>42</v>
      </c>
      <c r="K28" s="137" t="s">
        <v>43</v>
      </c>
      <c r="L28" s="137">
        <v>3</v>
      </c>
      <c r="N28" s="138">
        <v>4</v>
      </c>
      <c r="O28" s="137">
        <v>0.75</v>
      </c>
      <c r="P28" s="137">
        <v>0.9</v>
      </c>
      <c r="Q28" s="139">
        <f t="shared" si="0"/>
        <v>0.82499999999999996</v>
      </c>
      <c r="R28" s="138">
        <v>14.7</v>
      </c>
      <c r="S28" s="138">
        <v>108</v>
      </c>
      <c r="T28" s="140">
        <f t="shared" si="1"/>
        <v>33</v>
      </c>
      <c r="U28" s="138">
        <v>398</v>
      </c>
      <c r="V28" s="141">
        <f t="shared" si="2"/>
        <v>3283.5</v>
      </c>
      <c r="W28" s="138">
        <v>5</v>
      </c>
      <c r="X28" s="137" t="s">
        <v>63</v>
      </c>
      <c r="Y28" s="137" t="s">
        <v>46</v>
      </c>
      <c r="Z28" s="137" t="s">
        <v>45</v>
      </c>
      <c r="AA28" s="137" t="s">
        <v>161</v>
      </c>
      <c r="AB28" s="137" t="s">
        <v>164</v>
      </c>
      <c r="AP28" s="151" t="s">
        <v>409</v>
      </c>
      <c r="AR28" s="147" t="s">
        <v>410</v>
      </c>
    </row>
    <row r="29" spans="1:48" s="137" customFormat="1" ht="13.5" customHeight="1">
      <c r="A29" s="137" t="s">
        <v>72</v>
      </c>
      <c r="B29" s="137" t="s">
        <v>181</v>
      </c>
      <c r="C29" s="137">
        <v>2020</v>
      </c>
      <c r="D29" s="138" t="s">
        <v>375</v>
      </c>
      <c r="E29" s="137" t="s">
        <v>400</v>
      </c>
      <c r="F29" s="137" t="s">
        <v>401</v>
      </c>
      <c r="G29" s="137" t="s">
        <v>39</v>
      </c>
      <c r="H29" s="137" t="s">
        <v>40</v>
      </c>
      <c r="I29" s="137" t="s">
        <v>41</v>
      </c>
      <c r="J29" s="137" t="s">
        <v>42</v>
      </c>
      <c r="K29" s="137" t="s">
        <v>43</v>
      </c>
      <c r="L29" s="137">
        <v>1</v>
      </c>
      <c r="N29" s="138">
        <v>1</v>
      </c>
      <c r="O29" s="137">
        <v>0.65</v>
      </c>
      <c r="P29" s="137">
        <v>0.6</v>
      </c>
      <c r="Q29" s="139">
        <f t="shared" si="0"/>
        <v>0.625</v>
      </c>
      <c r="R29" s="138">
        <v>14.8</v>
      </c>
      <c r="S29" s="138">
        <v>128</v>
      </c>
      <c r="T29" s="140">
        <f t="shared" si="1"/>
        <v>27</v>
      </c>
      <c r="U29" s="138">
        <v>98</v>
      </c>
      <c r="V29" s="141">
        <f t="shared" si="2"/>
        <v>2646</v>
      </c>
      <c r="W29" s="138">
        <v>3</v>
      </c>
      <c r="X29" s="137" t="s">
        <v>63</v>
      </c>
      <c r="Y29" s="137" t="s">
        <v>46</v>
      </c>
      <c r="Z29" s="137" t="s">
        <v>45</v>
      </c>
      <c r="AA29" s="137" t="s">
        <v>161</v>
      </c>
      <c r="AB29" s="137" t="s">
        <v>164</v>
      </c>
      <c r="AP29" s="151" t="s">
        <v>411</v>
      </c>
      <c r="AR29" s="152"/>
    </row>
    <row r="30" spans="1:48" s="137" customFormat="1" ht="13.5" customHeight="1">
      <c r="A30" s="137" t="s">
        <v>72</v>
      </c>
      <c r="B30" s="137" t="s">
        <v>181</v>
      </c>
      <c r="C30" s="137">
        <v>2020</v>
      </c>
      <c r="D30" s="138" t="s">
        <v>375</v>
      </c>
      <c r="E30" s="137" t="s">
        <v>400</v>
      </c>
      <c r="F30" s="137" t="s">
        <v>401</v>
      </c>
      <c r="G30" s="137" t="s">
        <v>39</v>
      </c>
      <c r="H30" s="137" t="s">
        <v>40</v>
      </c>
      <c r="I30" s="137" t="s">
        <v>41</v>
      </c>
      <c r="J30" s="137" t="s">
        <v>42</v>
      </c>
      <c r="K30" s="137" t="s">
        <v>43</v>
      </c>
      <c r="L30" s="137">
        <v>2</v>
      </c>
      <c r="N30" s="138">
        <v>1</v>
      </c>
      <c r="O30" s="137">
        <v>0.6</v>
      </c>
      <c r="P30" s="137">
        <v>0.7</v>
      </c>
      <c r="Q30" s="139">
        <f t="shared" si="0"/>
        <v>0.64999999999999991</v>
      </c>
      <c r="R30" s="138">
        <v>14.4</v>
      </c>
      <c r="S30" s="138">
        <v>122</v>
      </c>
      <c r="T30" s="140">
        <f t="shared" si="1"/>
        <v>27</v>
      </c>
      <c r="U30" s="138">
        <v>98</v>
      </c>
      <c r="V30" s="141">
        <f t="shared" si="2"/>
        <v>2646</v>
      </c>
      <c r="W30" s="138">
        <v>3</v>
      </c>
      <c r="X30" s="137" t="s">
        <v>63</v>
      </c>
      <c r="Y30" s="137" t="s">
        <v>46</v>
      </c>
      <c r="Z30" s="137" t="s">
        <v>45</v>
      </c>
      <c r="AA30" s="137" t="s">
        <v>161</v>
      </c>
      <c r="AB30" s="137" t="s">
        <v>164</v>
      </c>
      <c r="AP30" s="137" t="s">
        <v>238</v>
      </c>
    </row>
    <row r="31" spans="1:48" s="137" customFormat="1" ht="13.5" customHeight="1">
      <c r="A31" s="137" t="s">
        <v>72</v>
      </c>
      <c r="B31" s="137" t="s">
        <v>181</v>
      </c>
      <c r="C31" s="137">
        <v>2020</v>
      </c>
      <c r="D31" s="138" t="s">
        <v>375</v>
      </c>
      <c r="E31" s="137" t="s">
        <v>400</v>
      </c>
      <c r="F31" s="137" t="s">
        <v>401</v>
      </c>
      <c r="G31" s="137" t="s">
        <v>39</v>
      </c>
      <c r="H31" s="137" t="s">
        <v>40</v>
      </c>
      <c r="I31" s="137" t="s">
        <v>41</v>
      </c>
      <c r="J31" s="137" t="s">
        <v>42</v>
      </c>
      <c r="K31" s="137" t="s">
        <v>43</v>
      </c>
      <c r="L31" s="137">
        <v>3</v>
      </c>
      <c r="N31" s="138">
        <v>1</v>
      </c>
      <c r="O31" s="137">
        <v>0.75</v>
      </c>
      <c r="P31" s="137">
        <v>0.65</v>
      </c>
      <c r="Q31" s="139">
        <f t="shared" si="0"/>
        <v>0.7</v>
      </c>
      <c r="R31" s="138">
        <v>14.2</v>
      </c>
      <c r="S31" s="138">
        <v>122</v>
      </c>
      <c r="T31" s="140">
        <f t="shared" si="1"/>
        <v>27</v>
      </c>
      <c r="U31" s="138">
        <v>98</v>
      </c>
      <c r="V31" s="141">
        <f t="shared" si="2"/>
        <v>2646</v>
      </c>
      <c r="W31" s="138">
        <v>3</v>
      </c>
      <c r="X31" s="137" t="s">
        <v>63</v>
      </c>
      <c r="Y31" s="137" t="s">
        <v>46</v>
      </c>
      <c r="Z31" s="137" t="s">
        <v>45</v>
      </c>
      <c r="AA31" s="137" t="s">
        <v>161</v>
      </c>
      <c r="AB31" s="137" t="s">
        <v>164</v>
      </c>
    </row>
    <row r="32" spans="1:48" s="137" customFormat="1" ht="13.5" customHeight="1">
      <c r="A32" s="137" t="s">
        <v>72</v>
      </c>
      <c r="B32" s="137" t="s">
        <v>181</v>
      </c>
      <c r="C32" s="137">
        <v>2020</v>
      </c>
      <c r="D32" s="138" t="s">
        <v>375</v>
      </c>
      <c r="E32" s="137" t="s">
        <v>400</v>
      </c>
      <c r="F32" s="137" t="s">
        <v>401</v>
      </c>
      <c r="G32" s="137" t="s">
        <v>39</v>
      </c>
      <c r="H32" s="137" t="s">
        <v>40</v>
      </c>
      <c r="I32" s="137" t="s">
        <v>41</v>
      </c>
      <c r="J32" s="137" t="s">
        <v>42</v>
      </c>
      <c r="K32" s="137" t="s">
        <v>43</v>
      </c>
      <c r="L32" s="137">
        <v>1</v>
      </c>
      <c r="N32" s="138">
        <v>4</v>
      </c>
      <c r="O32" s="137">
        <v>0.65</v>
      </c>
      <c r="P32" s="137">
        <v>0.7</v>
      </c>
      <c r="Q32" s="139">
        <f t="shared" si="0"/>
        <v>0.67500000000000004</v>
      </c>
      <c r="R32" s="138">
        <v>16.100000000000001</v>
      </c>
      <c r="S32" s="138">
        <v>104</v>
      </c>
      <c r="T32" s="140">
        <f t="shared" si="1"/>
        <v>33</v>
      </c>
      <c r="U32" s="138">
        <v>398</v>
      </c>
      <c r="V32" s="141">
        <f t="shared" si="2"/>
        <v>3283.5</v>
      </c>
      <c r="W32" s="138">
        <v>3</v>
      </c>
      <c r="X32" s="137" t="s">
        <v>63</v>
      </c>
      <c r="Y32" s="137" t="s">
        <v>46</v>
      </c>
      <c r="Z32" s="137" t="s">
        <v>45</v>
      </c>
      <c r="AA32" s="137" t="s">
        <v>161</v>
      </c>
      <c r="AB32" s="137" t="s">
        <v>164</v>
      </c>
    </row>
    <row r="33" spans="1:28" s="137" customFormat="1" ht="13.5" customHeight="1">
      <c r="A33" s="137" t="s">
        <v>72</v>
      </c>
      <c r="B33" s="137" t="s">
        <v>181</v>
      </c>
      <c r="C33" s="137">
        <v>2020</v>
      </c>
      <c r="D33" s="138" t="s">
        <v>375</v>
      </c>
      <c r="E33" s="137" t="s">
        <v>400</v>
      </c>
      <c r="F33" s="137" t="s">
        <v>401</v>
      </c>
      <c r="G33" s="137" t="s">
        <v>39</v>
      </c>
      <c r="H33" s="137" t="s">
        <v>40</v>
      </c>
      <c r="I33" s="137" t="s">
        <v>41</v>
      </c>
      <c r="J33" s="137" t="s">
        <v>42</v>
      </c>
      <c r="K33" s="137" t="s">
        <v>43</v>
      </c>
      <c r="L33" s="137">
        <v>2</v>
      </c>
      <c r="N33" s="138">
        <v>4</v>
      </c>
      <c r="O33" s="137">
        <v>0.6</v>
      </c>
      <c r="P33" s="137">
        <v>0.5</v>
      </c>
      <c r="Q33" s="139">
        <f t="shared" si="0"/>
        <v>0.55000000000000004</v>
      </c>
      <c r="R33" s="138">
        <v>15.8</v>
      </c>
      <c r="S33" s="138">
        <v>93</v>
      </c>
      <c r="T33" s="140">
        <f t="shared" si="1"/>
        <v>36</v>
      </c>
      <c r="U33" s="138">
        <v>398</v>
      </c>
      <c r="V33" s="141">
        <f t="shared" si="2"/>
        <v>3582</v>
      </c>
      <c r="W33" s="138">
        <v>3</v>
      </c>
      <c r="X33" s="137" t="s">
        <v>63</v>
      </c>
      <c r="Y33" s="137" t="s">
        <v>46</v>
      </c>
      <c r="Z33" s="137" t="s">
        <v>45</v>
      </c>
      <c r="AA33" s="137" t="s">
        <v>161</v>
      </c>
      <c r="AB33" s="137" t="s">
        <v>164</v>
      </c>
    </row>
    <row r="34" spans="1:28" s="137" customFormat="1" ht="13.5" customHeight="1">
      <c r="A34" s="137" t="s">
        <v>72</v>
      </c>
      <c r="B34" s="137" t="s">
        <v>181</v>
      </c>
      <c r="C34" s="137">
        <v>2020</v>
      </c>
      <c r="D34" s="138" t="s">
        <v>375</v>
      </c>
      <c r="E34" s="137" t="s">
        <v>400</v>
      </c>
      <c r="F34" s="137" t="s">
        <v>401</v>
      </c>
      <c r="G34" s="137" t="s">
        <v>39</v>
      </c>
      <c r="H34" s="137" t="s">
        <v>40</v>
      </c>
      <c r="I34" s="137" t="s">
        <v>41</v>
      </c>
      <c r="J34" s="137" t="s">
        <v>42</v>
      </c>
      <c r="K34" s="137" t="s">
        <v>43</v>
      </c>
      <c r="L34" s="137">
        <v>3</v>
      </c>
      <c r="N34" s="138">
        <v>4</v>
      </c>
      <c r="O34" s="137">
        <v>0.6</v>
      </c>
      <c r="P34" s="137">
        <v>0.55000000000000004</v>
      </c>
      <c r="Q34" s="139">
        <f t="shared" si="0"/>
        <v>0.57499999999999996</v>
      </c>
      <c r="R34" s="138">
        <v>15.6</v>
      </c>
      <c r="S34" s="138">
        <v>92</v>
      </c>
      <c r="T34" s="140">
        <f t="shared" si="1"/>
        <v>36</v>
      </c>
      <c r="U34" s="138">
        <v>398</v>
      </c>
      <c r="V34" s="141">
        <f t="shared" si="2"/>
        <v>3582</v>
      </c>
      <c r="W34" s="138">
        <v>3</v>
      </c>
      <c r="X34" s="137" t="s">
        <v>63</v>
      </c>
      <c r="Y34" s="137" t="s">
        <v>46</v>
      </c>
      <c r="Z34" s="137" t="s">
        <v>45</v>
      </c>
      <c r="AA34" s="137" t="s">
        <v>161</v>
      </c>
      <c r="AB34" s="137" t="s">
        <v>164</v>
      </c>
    </row>
    <row r="35" spans="1:28" s="137" customFormat="1" ht="13.5" customHeight="1">
      <c r="A35" s="137" t="s">
        <v>72</v>
      </c>
      <c r="B35" s="137" t="s">
        <v>181</v>
      </c>
      <c r="C35" s="137">
        <v>2020</v>
      </c>
      <c r="D35" s="138" t="s">
        <v>375</v>
      </c>
      <c r="E35" s="137" t="s">
        <v>210</v>
      </c>
      <c r="F35" s="137" t="s">
        <v>394</v>
      </c>
      <c r="G35" s="137" t="s">
        <v>39</v>
      </c>
      <c r="H35" s="137" t="s">
        <v>40</v>
      </c>
      <c r="I35" s="137" t="s">
        <v>41</v>
      </c>
      <c r="J35" s="137" t="s">
        <v>42</v>
      </c>
      <c r="K35" s="137" t="s">
        <v>43</v>
      </c>
      <c r="L35" s="137">
        <v>1</v>
      </c>
      <c r="N35" s="138">
        <v>1</v>
      </c>
      <c r="O35" s="137">
        <v>1</v>
      </c>
      <c r="P35" s="137">
        <v>1.05</v>
      </c>
      <c r="Q35" s="139">
        <f t="shared" si="0"/>
        <v>1.0249999999999999</v>
      </c>
      <c r="R35" s="138">
        <v>15.3</v>
      </c>
      <c r="S35" s="138">
        <v>126</v>
      </c>
      <c r="T35" s="140">
        <f t="shared" si="1"/>
        <v>27</v>
      </c>
      <c r="U35" s="138">
        <v>87</v>
      </c>
      <c r="V35" s="141">
        <f t="shared" si="2"/>
        <v>2349</v>
      </c>
      <c r="W35" s="138">
        <v>3</v>
      </c>
      <c r="X35" s="137" t="s">
        <v>63</v>
      </c>
      <c r="Y35" s="137" t="s">
        <v>46</v>
      </c>
      <c r="Z35" s="137" t="s">
        <v>54</v>
      </c>
      <c r="AA35" s="137" t="s">
        <v>45</v>
      </c>
      <c r="AB35" s="137" t="s">
        <v>164</v>
      </c>
    </row>
    <row r="36" spans="1:28" s="137" customFormat="1" ht="13.5" customHeight="1">
      <c r="A36" s="137" t="s">
        <v>72</v>
      </c>
      <c r="B36" s="137" t="s">
        <v>181</v>
      </c>
      <c r="C36" s="137">
        <v>2020</v>
      </c>
      <c r="D36" s="138" t="s">
        <v>375</v>
      </c>
      <c r="E36" s="137" t="s">
        <v>210</v>
      </c>
      <c r="F36" s="137" t="s">
        <v>394</v>
      </c>
      <c r="G36" s="137" t="s">
        <v>39</v>
      </c>
      <c r="H36" s="137" t="s">
        <v>40</v>
      </c>
      <c r="I36" s="137" t="s">
        <v>41</v>
      </c>
      <c r="J36" s="137" t="s">
        <v>42</v>
      </c>
      <c r="K36" s="137" t="s">
        <v>43</v>
      </c>
      <c r="L36" s="137">
        <v>2</v>
      </c>
      <c r="N36" s="138">
        <v>1</v>
      </c>
      <c r="O36" s="137">
        <v>0.95</v>
      </c>
      <c r="P36" s="137">
        <v>0.85</v>
      </c>
      <c r="Q36" s="139">
        <f t="shared" si="0"/>
        <v>0.89999999999999991</v>
      </c>
      <c r="R36" s="138">
        <v>15.2</v>
      </c>
      <c r="S36" s="138">
        <v>122</v>
      </c>
      <c r="T36" s="140">
        <f t="shared" si="1"/>
        <v>27</v>
      </c>
      <c r="U36" s="138">
        <v>87</v>
      </c>
      <c r="V36" s="141">
        <f t="shared" si="2"/>
        <v>2349</v>
      </c>
      <c r="W36" s="138">
        <v>3</v>
      </c>
      <c r="X36" s="137" t="s">
        <v>63</v>
      </c>
      <c r="Y36" s="137" t="s">
        <v>46</v>
      </c>
      <c r="Z36" s="137" t="s">
        <v>54</v>
      </c>
      <c r="AA36" s="137" t="s">
        <v>45</v>
      </c>
      <c r="AB36" s="137" t="s">
        <v>164</v>
      </c>
    </row>
    <row r="37" spans="1:28" s="137" customFormat="1" ht="13.5" customHeight="1">
      <c r="A37" s="137" t="s">
        <v>72</v>
      </c>
      <c r="B37" s="137" t="s">
        <v>181</v>
      </c>
      <c r="C37" s="137">
        <v>2020</v>
      </c>
      <c r="D37" s="138" t="s">
        <v>375</v>
      </c>
      <c r="E37" s="137" t="s">
        <v>210</v>
      </c>
      <c r="F37" s="137" t="s">
        <v>394</v>
      </c>
      <c r="G37" s="137" t="s">
        <v>39</v>
      </c>
      <c r="H37" s="137" t="s">
        <v>40</v>
      </c>
      <c r="I37" s="137" t="s">
        <v>41</v>
      </c>
      <c r="J37" s="137" t="s">
        <v>42</v>
      </c>
      <c r="K37" s="137" t="s">
        <v>43</v>
      </c>
      <c r="L37" s="137">
        <v>3</v>
      </c>
      <c r="N37" s="138">
        <v>1</v>
      </c>
      <c r="O37" s="137">
        <v>0.9</v>
      </c>
      <c r="P37" s="137">
        <v>0.85</v>
      </c>
      <c r="Q37" s="139">
        <f t="shared" si="0"/>
        <v>0.875</v>
      </c>
      <c r="R37" s="138">
        <v>15.5</v>
      </c>
      <c r="S37" s="138">
        <v>122</v>
      </c>
      <c r="T37" s="140">
        <f t="shared" si="1"/>
        <v>27</v>
      </c>
      <c r="U37" s="138">
        <v>87</v>
      </c>
      <c r="V37" s="141">
        <f t="shared" si="2"/>
        <v>2349</v>
      </c>
      <c r="W37" s="138">
        <v>3</v>
      </c>
      <c r="X37" s="137" t="s">
        <v>63</v>
      </c>
      <c r="Y37" s="137" t="s">
        <v>46</v>
      </c>
      <c r="Z37" s="137" t="s">
        <v>54</v>
      </c>
      <c r="AA37" s="137" t="s">
        <v>45</v>
      </c>
      <c r="AB37" s="137" t="s">
        <v>164</v>
      </c>
    </row>
    <row r="38" spans="1:28" s="137" customFormat="1" ht="13.5" customHeight="1">
      <c r="A38" s="137" t="s">
        <v>72</v>
      </c>
      <c r="B38" s="137" t="s">
        <v>181</v>
      </c>
      <c r="C38" s="137">
        <v>2020</v>
      </c>
      <c r="D38" s="138" t="s">
        <v>375</v>
      </c>
      <c r="E38" s="137" t="s">
        <v>210</v>
      </c>
      <c r="F38" s="137" t="s">
        <v>394</v>
      </c>
      <c r="G38" s="137" t="s">
        <v>39</v>
      </c>
      <c r="H38" s="137" t="s">
        <v>40</v>
      </c>
      <c r="I38" s="137" t="s">
        <v>41</v>
      </c>
      <c r="J38" s="137" t="s">
        <v>42</v>
      </c>
      <c r="K38" s="137" t="s">
        <v>43</v>
      </c>
      <c r="L38" s="137">
        <v>1</v>
      </c>
      <c r="N38" s="138">
        <v>5</v>
      </c>
      <c r="O38" s="137">
        <v>0.85</v>
      </c>
      <c r="P38" s="137">
        <v>0.95</v>
      </c>
      <c r="Q38" s="139">
        <f t="shared" si="0"/>
        <v>0.89999999999999991</v>
      </c>
      <c r="R38" s="138">
        <v>15.9</v>
      </c>
      <c r="S38" s="138">
        <v>77</v>
      </c>
      <c r="T38" s="140">
        <f t="shared" si="1"/>
        <v>39</v>
      </c>
      <c r="U38" s="138">
        <v>377</v>
      </c>
      <c r="V38" s="141">
        <f t="shared" si="2"/>
        <v>2940.6000000000004</v>
      </c>
      <c r="W38" s="138">
        <v>3</v>
      </c>
      <c r="X38" s="137" t="s">
        <v>63</v>
      </c>
      <c r="Y38" s="137" t="s">
        <v>46</v>
      </c>
      <c r="Z38" s="137" t="s">
        <v>54</v>
      </c>
      <c r="AA38" s="137" t="s">
        <v>45</v>
      </c>
      <c r="AB38" s="137" t="s">
        <v>164</v>
      </c>
    </row>
    <row r="39" spans="1:28" s="137" customFormat="1" ht="13.5" customHeight="1">
      <c r="A39" s="137" t="s">
        <v>72</v>
      </c>
      <c r="B39" s="137" t="s">
        <v>181</v>
      </c>
      <c r="C39" s="137">
        <v>2020</v>
      </c>
      <c r="D39" s="138" t="s">
        <v>375</v>
      </c>
      <c r="E39" s="137" t="s">
        <v>210</v>
      </c>
      <c r="F39" s="137" t="s">
        <v>394</v>
      </c>
      <c r="G39" s="137" t="s">
        <v>39</v>
      </c>
      <c r="H39" s="137" t="s">
        <v>40</v>
      </c>
      <c r="I39" s="137" t="s">
        <v>41</v>
      </c>
      <c r="J39" s="137" t="s">
        <v>42</v>
      </c>
      <c r="K39" s="137" t="s">
        <v>43</v>
      </c>
      <c r="L39" s="137">
        <v>2</v>
      </c>
      <c r="N39" s="138">
        <v>5</v>
      </c>
      <c r="O39" s="137">
        <v>0.9</v>
      </c>
      <c r="P39" s="137">
        <v>0.8</v>
      </c>
      <c r="Q39" s="139">
        <f t="shared" si="0"/>
        <v>0.85000000000000009</v>
      </c>
      <c r="R39" s="138">
        <v>16.3</v>
      </c>
      <c r="S39" s="138">
        <v>77</v>
      </c>
      <c r="T39" s="140">
        <f t="shared" si="1"/>
        <v>39</v>
      </c>
      <c r="U39" s="138">
        <v>377</v>
      </c>
      <c r="V39" s="141">
        <f t="shared" si="2"/>
        <v>2940.6000000000004</v>
      </c>
      <c r="W39" s="138">
        <v>3</v>
      </c>
      <c r="X39" s="137" t="s">
        <v>63</v>
      </c>
      <c r="Y39" s="137" t="s">
        <v>46</v>
      </c>
      <c r="Z39" s="137" t="s">
        <v>54</v>
      </c>
      <c r="AA39" s="137" t="s">
        <v>45</v>
      </c>
      <c r="AB39" s="137" t="s">
        <v>164</v>
      </c>
    </row>
    <row r="40" spans="1:28" s="137" customFormat="1" ht="13.5" customHeight="1">
      <c r="A40" s="137" t="s">
        <v>72</v>
      </c>
      <c r="B40" s="137" t="s">
        <v>181</v>
      </c>
      <c r="C40" s="137">
        <v>2020</v>
      </c>
      <c r="D40" s="138" t="s">
        <v>375</v>
      </c>
      <c r="E40" s="137" t="s">
        <v>210</v>
      </c>
      <c r="F40" s="137" t="s">
        <v>394</v>
      </c>
      <c r="G40" s="137" t="s">
        <v>39</v>
      </c>
      <c r="H40" s="137" t="s">
        <v>40</v>
      </c>
      <c r="I40" s="137" t="s">
        <v>41</v>
      </c>
      <c r="J40" s="137" t="s">
        <v>42</v>
      </c>
      <c r="K40" s="137" t="s">
        <v>43</v>
      </c>
      <c r="L40" s="137">
        <v>3</v>
      </c>
      <c r="N40" s="138">
        <v>5</v>
      </c>
      <c r="O40" s="137">
        <v>1</v>
      </c>
      <c r="P40" s="137">
        <v>0.95</v>
      </c>
      <c r="Q40" s="139">
        <f t="shared" si="0"/>
        <v>0.97499999999999998</v>
      </c>
      <c r="R40" s="138">
        <v>15.6</v>
      </c>
      <c r="S40" s="138">
        <v>78</v>
      </c>
      <c r="T40" s="140">
        <f t="shared" si="1"/>
        <v>39</v>
      </c>
      <c r="U40" s="138">
        <v>377</v>
      </c>
      <c r="V40" s="141">
        <f t="shared" si="2"/>
        <v>2940.6000000000004</v>
      </c>
      <c r="W40" s="138">
        <v>3</v>
      </c>
      <c r="X40" s="137" t="s">
        <v>63</v>
      </c>
      <c r="Y40" s="137" t="s">
        <v>46</v>
      </c>
      <c r="Z40" s="137" t="s">
        <v>54</v>
      </c>
      <c r="AA40" s="137" t="s">
        <v>45</v>
      </c>
      <c r="AB40" s="137" t="s">
        <v>164</v>
      </c>
    </row>
    <row r="41" spans="1:28" s="137" customFormat="1" ht="13.5" customHeight="1">
      <c r="A41" s="137" t="s">
        <v>72</v>
      </c>
      <c r="B41" s="137" t="s">
        <v>181</v>
      </c>
      <c r="C41" s="137">
        <v>2020</v>
      </c>
      <c r="D41" s="138" t="s">
        <v>375</v>
      </c>
      <c r="E41" s="137" t="s">
        <v>402</v>
      </c>
      <c r="F41" s="137" t="s">
        <v>394</v>
      </c>
      <c r="G41" s="137" t="s">
        <v>39</v>
      </c>
      <c r="H41" s="137" t="s">
        <v>40</v>
      </c>
      <c r="I41" s="137" t="s">
        <v>41</v>
      </c>
      <c r="J41" s="137" t="s">
        <v>42</v>
      </c>
      <c r="K41" s="137" t="s">
        <v>43</v>
      </c>
      <c r="L41" s="137">
        <v>1</v>
      </c>
      <c r="N41" s="138">
        <v>1</v>
      </c>
      <c r="O41" s="137">
        <v>0.7</v>
      </c>
      <c r="P41" s="137">
        <v>0.75</v>
      </c>
      <c r="Q41" s="139">
        <f t="shared" si="0"/>
        <v>0.72499999999999998</v>
      </c>
      <c r="R41" s="138">
        <v>13.9</v>
      </c>
      <c r="S41" s="138">
        <v>118</v>
      </c>
      <c r="T41" s="140">
        <f t="shared" si="1"/>
        <v>30</v>
      </c>
      <c r="U41" s="138">
        <v>68</v>
      </c>
      <c r="V41" s="141">
        <f t="shared" si="2"/>
        <v>2040</v>
      </c>
      <c r="W41" s="138">
        <v>11</v>
      </c>
      <c r="X41" s="137" t="s">
        <v>44</v>
      </c>
      <c r="Y41" s="137" t="s">
        <v>45</v>
      </c>
      <c r="Z41" s="137" t="s">
        <v>46</v>
      </c>
      <c r="AA41" s="137" t="s">
        <v>161</v>
      </c>
      <c r="AB41" s="138" t="s">
        <v>164</v>
      </c>
    </row>
    <row r="42" spans="1:28" s="137" customFormat="1" ht="13.5" customHeight="1">
      <c r="A42" s="137" t="s">
        <v>72</v>
      </c>
      <c r="B42" s="137" t="s">
        <v>181</v>
      </c>
      <c r="C42" s="137">
        <v>2020</v>
      </c>
      <c r="D42" s="138" t="s">
        <v>375</v>
      </c>
      <c r="E42" s="137" t="s">
        <v>402</v>
      </c>
      <c r="F42" s="137" t="s">
        <v>394</v>
      </c>
      <c r="G42" s="137" t="s">
        <v>39</v>
      </c>
      <c r="H42" s="137" t="s">
        <v>40</v>
      </c>
      <c r="I42" s="137" t="s">
        <v>41</v>
      </c>
      <c r="J42" s="137" t="s">
        <v>42</v>
      </c>
      <c r="K42" s="137" t="s">
        <v>43</v>
      </c>
      <c r="L42" s="137">
        <v>2</v>
      </c>
      <c r="N42" s="138">
        <v>1</v>
      </c>
      <c r="O42" s="137">
        <v>0.7</v>
      </c>
      <c r="P42" s="137">
        <v>0.7</v>
      </c>
      <c r="Q42" s="139">
        <f t="shared" si="0"/>
        <v>0.7</v>
      </c>
      <c r="R42" s="138">
        <v>14</v>
      </c>
      <c r="S42" s="138">
        <v>112</v>
      </c>
      <c r="T42" s="140">
        <f t="shared" si="1"/>
        <v>33</v>
      </c>
      <c r="U42" s="138">
        <v>68</v>
      </c>
      <c r="V42" s="141">
        <f t="shared" si="2"/>
        <v>2244</v>
      </c>
      <c r="W42" s="138">
        <v>11</v>
      </c>
      <c r="X42" s="137" t="s">
        <v>44</v>
      </c>
      <c r="Y42" s="137" t="s">
        <v>45</v>
      </c>
      <c r="Z42" s="137" t="s">
        <v>46</v>
      </c>
      <c r="AA42" s="137" t="s">
        <v>161</v>
      </c>
      <c r="AB42" s="138" t="s">
        <v>164</v>
      </c>
    </row>
    <row r="43" spans="1:28" s="137" customFormat="1" ht="13.5" customHeight="1">
      <c r="A43" s="137" t="s">
        <v>72</v>
      </c>
      <c r="B43" s="137" t="s">
        <v>181</v>
      </c>
      <c r="C43" s="137">
        <v>2020</v>
      </c>
      <c r="D43" s="138" t="s">
        <v>375</v>
      </c>
      <c r="E43" s="137" t="s">
        <v>402</v>
      </c>
      <c r="F43" s="137" t="s">
        <v>394</v>
      </c>
      <c r="G43" s="137" t="s">
        <v>39</v>
      </c>
      <c r="H43" s="137" t="s">
        <v>40</v>
      </c>
      <c r="I43" s="137" t="s">
        <v>41</v>
      </c>
      <c r="J43" s="137" t="s">
        <v>42</v>
      </c>
      <c r="K43" s="137" t="s">
        <v>43</v>
      </c>
      <c r="L43" s="137">
        <v>3</v>
      </c>
      <c r="N43" s="138">
        <v>1</v>
      </c>
      <c r="O43" s="137">
        <v>0.75</v>
      </c>
      <c r="P43" s="137">
        <v>0.6</v>
      </c>
      <c r="Q43" s="139">
        <f t="shared" si="0"/>
        <v>0.67500000000000004</v>
      </c>
      <c r="R43" s="138">
        <v>13.7</v>
      </c>
      <c r="S43" s="138">
        <v>108</v>
      </c>
      <c r="T43" s="140">
        <f t="shared" si="1"/>
        <v>33</v>
      </c>
      <c r="U43" s="138">
        <v>68</v>
      </c>
      <c r="V43" s="141">
        <f t="shared" si="2"/>
        <v>2244</v>
      </c>
      <c r="W43" s="138">
        <v>11</v>
      </c>
      <c r="X43" s="137" t="s">
        <v>44</v>
      </c>
      <c r="Y43" s="137" t="s">
        <v>45</v>
      </c>
      <c r="Z43" s="137" t="s">
        <v>46</v>
      </c>
      <c r="AA43" s="137" t="s">
        <v>161</v>
      </c>
      <c r="AB43" s="138" t="s">
        <v>164</v>
      </c>
    </row>
    <row r="44" spans="1:28" s="137" customFormat="1" ht="13.5" customHeight="1">
      <c r="A44" s="137" t="s">
        <v>72</v>
      </c>
      <c r="B44" s="137" t="s">
        <v>181</v>
      </c>
      <c r="C44" s="137">
        <v>2020</v>
      </c>
      <c r="D44" s="138" t="s">
        <v>375</v>
      </c>
      <c r="E44" s="137" t="s">
        <v>402</v>
      </c>
      <c r="F44" s="137" t="s">
        <v>394</v>
      </c>
      <c r="G44" s="137" t="s">
        <v>39</v>
      </c>
      <c r="H44" s="137" t="s">
        <v>40</v>
      </c>
      <c r="I44" s="137" t="s">
        <v>41</v>
      </c>
      <c r="J44" s="137" t="s">
        <v>42</v>
      </c>
      <c r="K44" s="137" t="s">
        <v>43</v>
      </c>
      <c r="L44" s="137">
        <v>1</v>
      </c>
      <c r="N44" s="138">
        <v>4</v>
      </c>
      <c r="O44" s="137">
        <v>0.7</v>
      </c>
      <c r="P44" s="137">
        <v>0.7</v>
      </c>
      <c r="Q44" s="139">
        <f t="shared" si="0"/>
        <v>0.7</v>
      </c>
      <c r="R44" s="138">
        <v>15.3</v>
      </c>
      <c r="S44" s="138">
        <v>99</v>
      </c>
      <c r="T44" s="140">
        <f t="shared" si="1"/>
        <v>33</v>
      </c>
      <c r="U44" s="138">
        <v>398</v>
      </c>
      <c r="V44" s="141">
        <f t="shared" si="2"/>
        <v>3283.5</v>
      </c>
      <c r="W44" s="138">
        <v>11</v>
      </c>
      <c r="X44" s="137" t="s">
        <v>44</v>
      </c>
      <c r="Y44" s="137" t="s">
        <v>45</v>
      </c>
      <c r="Z44" s="137" t="s">
        <v>46</v>
      </c>
      <c r="AA44" s="137" t="s">
        <v>161</v>
      </c>
      <c r="AB44" s="138" t="s">
        <v>164</v>
      </c>
    </row>
    <row r="45" spans="1:28" s="137" customFormat="1" ht="13.5" customHeight="1">
      <c r="A45" s="137" t="s">
        <v>72</v>
      </c>
      <c r="B45" s="137" t="s">
        <v>181</v>
      </c>
      <c r="C45" s="137">
        <v>2020</v>
      </c>
      <c r="D45" s="138" t="s">
        <v>375</v>
      </c>
      <c r="E45" s="137" t="s">
        <v>402</v>
      </c>
      <c r="F45" s="137" t="s">
        <v>394</v>
      </c>
      <c r="G45" s="137" t="s">
        <v>39</v>
      </c>
      <c r="H45" s="137" t="s">
        <v>40</v>
      </c>
      <c r="I45" s="137" t="s">
        <v>41</v>
      </c>
      <c r="J45" s="137" t="s">
        <v>42</v>
      </c>
      <c r="K45" s="137" t="s">
        <v>43</v>
      </c>
      <c r="L45" s="137">
        <v>2</v>
      </c>
      <c r="N45" s="138">
        <v>4</v>
      </c>
      <c r="O45" s="137">
        <v>0.6</v>
      </c>
      <c r="P45" s="137">
        <v>0.65</v>
      </c>
      <c r="Q45" s="139">
        <f t="shared" si="0"/>
        <v>0.625</v>
      </c>
      <c r="R45" s="138">
        <v>15.1</v>
      </c>
      <c r="S45" s="138">
        <v>98</v>
      </c>
      <c r="T45" s="140">
        <f t="shared" si="1"/>
        <v>36</v>
      </c>
      <c r="U45" s="138">
        <v>398</v>
      </c>
      <c r="V45" s="141">
        <f t="shared" si="2"/>
        <v>3582</v>
      </c>
      <c r="W45" s="138">
        <v>11</v>
      </c>
      <c r="X45" s="137" t="s">
        <v>44</v>
      </c>
      <c r="Y45" s="137" t="s">
        <v>45</v>
      </c>
      <c r="Z45" s="137" t="s">
        <v>46</v>
      </c>
      <c r="AA45" s="137" t="s">
        <v>161</v>
      </c>
      <c r="AB45" s="138" t="s">
        <v>164</v>
      </c>
    </row>
    <row r="46" spans="1:28" s="137" customFormat="1" ht="13.5" customHeight="1">
      <c r="A46" s="137" t="s">
        <v>72</v>
      </c>
      <c r="B46" s="137" t="s">
        <v>181</v>
      </c>
      <c r="C46" s="137">
        <v>2020</v>
      </c>
      <c r="D46" s="138" t="s">
        <v>375</v>
      </c>
      <c r="E46" s="137" t="s">
        <v>402</v>
      </c>
      <c r="F46" s="137" t="s">
        <v>394</v>
      </c>
      <c r="G46" s="137" t="s">
        <v>39</v>
      </c>
      <c r="H46" s="137" t="s">
        <v>40</v>
      </c>
      <c r="I46" s="137" t="s">
        <v>41</v>
      </c>
      <c r="J46" s="137" t="s">
        <v>42</v>
      </c>
      <c r="K46" s="137" t="s">
        <v>43</v>
      </c>
      <c r="L46" s="137">
        <v>3</v>
      </c>
      <c r="N46" s="138">
        <v>4</v>
      </c>
      <c r="O46" s="137">
        <v>0.55000000000000004</v>
      </c>
      <c r="P46" s="137">
        <v>0.25</v>
      </c>
      <c r="Q46" s="139">
        <f t="shared" si="0"/>
        <v>0.4</v>
      </c>
      <c r="R46" s="138">
        <v>15.5</v>
      </c>
      <c r="S46" s="138">
        <v>94</v>
      </c>
      <c r="T46" s="140">
        <f t="shared" si="1"/>
        <v>36</v>
      </c>
      <c r="U46" s="138">
        <v>398</v>
      </c>
      <c r="V46" s="141">
        <f t="shared" si="2"/>
        <v>3582</v>
      </c>
      <c r="W46" s="138">
        <v>11</v>
      </c>
      <c r="X46" s="137" t="s">
        <v>44</v>
      </c>
      <c r="Y46" s="137" t="s">
        <v>45</v>
      </c>
      <c r="Z46" s="137" t="s">
        <v>46</v>
      </c>
      <c r="AA46" s="137" t="s">
        <v>161</v>
      </c>
      <c r="AB46" s="138" t="s">
        <v>164</v>
      </c>
    </row>
    <row r="47" spans="1:28" s="137" customFormat="1" ht="13.5" customHeight="1">
      <c r="A47" s="137" t="s">
        <v>72</v>
      </c>
      <c r="B47" s="137" t="s">
        <v>181</v>
      </c>
      <c r="C47" s="137">
        <v>2020</v>
      </c>
      <c r="D47" s="138" t="s">
        <v>375</v>
      </c>
      <c r="E47" s="137" t="s">
        <v>402</v>
      </c>
      <c r="F47" s="137" t="s">
        <v>394</v>
      </c>
      <c r="G47" s="137" t="s">
        <v>39</v>
      </c>
      <c r="H47" s="137" t="s">
        <v>40</v>
      </c>
      <c r="I47" s="137" t="s">
        <v>41</v>
      </c>
      <c r="J47" s="137" t="s">
        <v>42</v>
      </c>
      <c r="K47" s="137" t="s">
        <v>43</v>
      </c>
      <c r="L47" s="137">
        <v>1</v>
      </c>
      <c r="N47" s="138">
        <v>8</v>
      </c>
      <c r="O47" s="137">
        <v>0.6</v>
      </c>
      <c r="P47" s="137">
        <v>0.65</v>
      </c>
      <c r="Q47" s="139">
        <f t="shared" si="0"/>
        <v>0.625</v>
      </c>
      <c r="R47" s="138">
        <v>14.8</v>
      </c>
      <c r="S47" s="138">
        <v>86</v>
      </c>
      <c r="T47" s="140">
        <f t="shared" si="1"/>
        <v>36</v>
      </c>
      <c r="U47" s="138">
        <v>680</v>
      </c>
      <c r="V47" s="141">
        <f t="shared" si="2"/>
        <v>3060</v>
      </c>
      <c r="W47" s="138">
        <v>11</v>
      </c>
      <c r="X47" s="137" t="s">
        <v>44</v>
      </c>
      <c r="Y47" s="137" t="s">
        <v>45</v>
      </c>
      <c r="Z47" s="137" t="s">
        <v>46</v>
      </c>
      <c r="AA47" s="137" t="s">
        <v>161</v>
      </c>
      <c r="AB47" s="138" t="s">
        <v>164</v>
      </c>
    </row>
    <row r="48" spans="1:28" s="137" customFormat="1" ht="13.5" customHeight="1">
      <c r="A48" s="137" t="s">
        <v>72</v>
      </c>
      <c r="B48" s="137" t="s">
        <v>181</v>
      </c>
      <c r="C48" s="137">
        <v>2020</v>
      </c>
      <c r="D48" s="138" t="s">
        <v>375</v>
      </c>
      <c r="E48" s="137" t="s">
        <v>402</v>
      </c>
      <c r="F48" s="137" t="s">
        <v>394</v>
      </c>
      <c r="G48" s="137" t="s">
        <v>39</v>
      </c>
      <c r="H48" s="137" t="s">
        <v>40</v>
      </c>
      <c r="I48" s="137" t="s">
        <v>41</v>
      </c>
      <c r="J48" s="137" t="s">
        <v>42</v>
      </c>
      <c r="K48" s="137" t="s">
        <v>43</v>
      </c>
      <c r="L48" s="137">
        <v>2</v>
      </c>
      <c r="N48" s="138">
        <v>8</v>
      </c>
      <c r="O48" s="137">
        <v>0.7</v>
      </c>
      <c r="P48" s="137">
        <v>0.7</v>
      </c>
      <c r="Q48" s="139">
        <f t="shared" si="0"/>
        <v>0.7</v>
      </c>
      <c r="R48" s="138">
        <v>14.5</v>
      </c>
      <c r="S48" s="138">
        <v>88</v>
      </c>
      <c r="T48" s="140">
        <f t="shared" si="1"/>
        <v>36</v>
      </c>
      <c r="U48" s="138">
        <v>680</v>
      </c>
      <c r="V48" s="141">
        <f t="shared" si="2"/>
        <v>3060</v>
      </c>
      <c r="W48" s="138">
        <v>11</v>
      </c>
      <c r="X48" s="137" t="s">
        <v>44</v>
      </c>
      <c r="Y48" s="137" t="s">
        <v>45</v>
      </c>
      <c r="Z48" s="137" t="s">
        <v>46</v>
      </c>
      <c r="AA48" s="137" t="s">
        <v>161</v>
      </c>
      <c r="AB48" s="138" t="s">
        <v>164</v>
      </c>
    </row>
    <row r="49" spans="1:28" s="137" customFormat="1" ht="13.5" customHeight="1">
      <c r="A49" s="137" t="s">
        <v>72</v>
      </c>
      <c r="B49" s="137" t="s">
        <v>181</v>
      </c>
      <c r="C49" s="137">
        <v>2020</v>
      </c>
      <c r="D49" s="138" t="s">
        <v>375</v>
      </c>
      <c r="E49" s="137" t="s">
        <v>402</v>
      </c>
      <c r="F49" s="137" t="s">
        <v>394</v>
      </c>
      <c r="G49" s="137" t="s">
        <v>39</v>
      </c>
      <c r="H49" s="137" t="s">
        <v>40</v>
      </c>
      <c r="I49" s="137" t="s">
        <v>41</v>
      </c>
      <c r="J49" s="137" t="s">
        <v>42</v>
      </c>
      <c r="K49" s="137" t="s">
        <v>43</v>
      </c>
      <c r="L49" s="137">
        <v>3</v>
      </c>
      <c r="N49" s="138">
        <v>8</v>
      </c>
      <c r="O49" s="137">
        <v>0.65</v>
      </c>
      <c r="P49" s="137">
        <v>0.65</v>
      </c>
      <c r="Q49" s="139">
        <f t="shared" si="0"/>
        <v>0.65</v>
      </c>
      <c r="R49" s="138">
        <v>15.2</v>
      </c>
      <c r="S49" s="138">
        <v>89</v>
      </c>
      <c r="T49" s="140">
        <f t="shared" si="1"/>
        <v>36</v>
      </c>
      <c r="U49" s="138">
        <v>680</v>
      </c>
      <c r="V49" s="141">
        <f t="shared" si="2"/>
        <v>3060</v>
      </c>
      <c r="W49" s="138">
        <v>11</v>
      </c>
      <c r="X49" s="137" t="s">
        <v>44</v>
      </c>
      <c r="Y49" s="137" t="s">
        <v>45</v>
      </c>
      <c r="Z49" s="137" t="s">
        <v>46</v>
      </c>
      <c r="AA49" s="137" t="s">
        <v>161</v>
      </c>
      <c r="AB49" s="138" t="s">
        <v>164</v>
      </c>
    </row>
    <row r="50" spans="1:28" s="137" customFormat="1" ht="13.5" customHeight="1">
      <c r="A50" s="137" t="s">
        <v>72</v>
      </c>
      <c r="B50" s="137" t="s">
        <v>181</v>
      </c>
      <c r="C50" s="137">
        <v>2020</v>
      </c>
      <c r="D50" s="138" t="s">
        <v>375</v>
      </c>
      <c r="E50" s="137" t="s">
        <v>402</v>
      </c>
      <c r="F50" s="137" t="s">
        <v>394</v>
      </c>
      <c r="G50" s="137" t="s">
        <v>39</v>
      </c>
      <c r="H50" s="137" t="s">
        <v>187</v>
      </c>
      <c r="I50" s="137" t="s">
        <v>41</v>
      </c>
      <c r="J50" s="137" t="s">
        <v>121</v>
      </c>
      <c r="K50" s="137" t="s">
        <v>62</v>
      </c>
      <c r="L50" s="137">
        <v>1</v>
      </c>
      <c r="N50" s="138">
        <v>6</v>
      </c>
      <c r="O50" s="137">
        <v>0.85</v>
      </c>
      <c r="P50" s="137">
        <v>0.7</v>
      </c>
      <c r="Q50" s="139">
        <f t="shared" si="0"/>
        <v>0.77499999999999991</v>
      </c>
      <c r="R50" s="138">
        <v>16.600000000000001</v>
      </c>
      <c r="S50" s="138">
        <v>69</v>
      </c>
      <c r="T50" s="140">
        <f t="shared" si="1"/>
        <v>50</v>
      </c>
      <c r="U50" s="138">
        <v>398</v>
      </c>
      <c r="V50" s="141">
        <f t="shared" si="2"/>
        <v>3316.6666666666665</v>
      </c>
      <c r="W50" s="138">
        <v>11</v>
      </c>
      <c r="X50" s="137" t="s">
        <v>44</v>
      </c>
      <c r="Y50" s="137" t="s">
        <v>45</v>
      </c>
      <c r="Z50" s="137" t="s">
        <v>46</v>
      </c>
      <c r="AA50" s="137" t="s">
        <v>161</v>
      </c>
      <c r="AB50" s="138" t="s">
        <v>164</v>
      </c>
    </row>
    <row r="51" spans="1:28" s="137" customFormat="1" ht="13.5" customHeight="1">
      <c r="A51" s="137" t="s">
        <v>72</v>
      </c>
      <c r="B51" s="137" t="s">
        <v>181</v>
      </c>
      <c r="C51" s="137">
        <v>2020</v>
      </c>
      <c r="D51" s="138" t="s">
        <v>375</v>
      </c>
      <c r="E51" s="137" t="s">
        <v>402</v>
      </c>
      <c r="F51" s="137" t="s">
        <v>394</v>
      </c>
      <c r="G51" s="137" t="s">
        <v>39</v>
      </c>
      <c r="H51" s="137" t="s">
        <v>187</v>
      </c>
      <c r="I51" s="137" t="s">
        <v>41</v>
      </c>
      <c r="J51" s="137" t="s">
        <v>121</v>
      </c>
      <c r="K51" s="137" t="s">
        <v>62</v>
      </c>
      <c r="L51" s="137">
        <v>2</v>
      </c>
      <c r="N51" s="138">
        <v>6</v>
      </c>
      <c r="O51" s="137">
        <v>0.8</v>
      </c>
      <c r="P51" s="137">
        <v>0.8</v>
      </c>
      <c r="Q51" s="139">
        <f t="shared" si="0"/>
        <v>0.8</v>
      </c>
      <c r="R51" s="138">
        <v>16.2</v>
      </c>
      <c r="S51" s="138">
        <v>65</v>
      </c>
      <c r="T51" s="140">
        <f t="shared" si="1"/>
        <v>50</v>
      </c>
      <c r="U51" s="138">
        <v>398</v>
      </c>
      <c r="V51" s="141">
        <f t="shared" si="2"/>
        <v>3316.6666666666665</v>
      </c>
      <c r="W51" s="138">
        <v>11</v>
      </c>
      <c r="X51" s="137" t="s">
        <v>44</v>
      </c>
      <c r="Y51" s="137" t="s">
        <v>45</v>
      </c>
      <c r="Z51" s="137" t="s">
        <v>46</v>
      </c>
      <c r="AA51" s="137" t="s">
        <v>161</v>
      </c>
      <c r="AB51" s="138" t="s">
        <v>164</v>
      </c>
    </row>
    <row r="52" spans="1:28" s="137" customFormat="1" ht="13.5" customHeight="1">
      <c r="A52" s="137" t="s">
        <v>72</v>
      </c>
      <c r="B52" s="137" t="s">
        <v>181</v>
      </c>
      <c r="C52" s="137">
        <v>2020</v>
      </c>
      <c r="D52" s="138" t="s">
        <v>375</v>
      </c>
      <c r="E52" s="137" t="s">
        <v>402</v>
      </c>
      <c r="F52" s="137" t="s">
        <v>394</v>
      </c>
      <c r="G52" s="137" t="s">
        <v>39</v>
      </c>
      <c r="H52" s="137" t="s">
        <v>187</v>
      </c>
      <c r="I52" s="137" t="s">
        <v>41</v>
      </c>
      <c r="J52" s="137" t="s">
        <v>121</v>
      </c>
      <c r="K52" s="137" t="s">
        <v>62</v>
      </c>
      <c r="L52" s="137">
        <v>3</v>
      </c>
      <c r="N52" s="138">
        <v>6</v>
      </c>
      <c r="O52" s="137">
        <v>0.9</v>
      </c>
      <c r="P52" s="137">
        <v>0.75</v>
      </c>
      <c r="Q52" s="139">
        <f t="shared" si="0"/>
        <v>0.82499999999999996</v>
      </c>
      <c r="R52" s="138">
        <v>15.9</v>
      </c>
      <c r="S52" s="138">
        <v>66</v>
      </c>
      <c r="T52" s="140">
        <f t="shared" si="1"/>
        <v>50</v>
      </c>
      <c r="U52" s="138">
        <v>398</v>
      </c>
      <c r="V52" s="141">
        <f t="shared" si="2"/>
        <v>3316.6666666666665</v>
      </c>
      <c r="W52" s="138">
        <v>11</v>
      </c>
      <c r="X52" s="137" t="s">
        <v>44</v>
      </c>
      <c r="Y52" s="137" t="s">
        <v>45</v>
      </c>
      <c r="Z52" s="137" t="s">
        <v>46</v>
      </c>
      <c r="AA52" s="137" t="s">
        <v>161</v>
      </c>
      <c r="AB52" s="138" t="s">
        <v>164</v>
      </c>
    </row>
    <row r="53" spans="1:28" s="137" customFormat="1" ht="13.5" customHeight="1">
      <c r="A53" s="137" t="s">
        <v>72</v>
      </c>
      <c r="B53" s="137" t="s">
        <v>181</v>
      </c>
      <c r="C53" s="137">
        <v>2020</v>
      </c>
      <c r="D53" s="138" t="s">
        <v>375</v>
      </c>
      <c r="E53" s="137" t="s">
        <v>397</v>
      </c>
      <c r="F53" s="137" t="s">
        <v>398</v>
      </c>
      <c r="G53" s="137" t="s">
        <v>58</v>
      </c>
      <c r="H53" s="137" t="s">
        <v>40</v>
      </c>
      <c r="I53" s="137" t="s">
        <v>41</v>
      </c>
      <c r="J53" s="137" t="s">
        <v>42</v>
      </c>
      <c r="K53" s="137" t="s">
        <v>43</v>
      </c>
      <c r="L53" s="137">
        <v>1</v>
      </c>
      <c r="N53" s="138">
        <v>1</v>
      </c>
      <c r="O53" s="137">
        <v>1.1000000000000001</v>
      </c>
      <c r="P53" s="137">
        <v>1.1000000000000001</v>
      </c>
      <c r="Q53" s="139">
        <f t="shared" si="0"/>
        <v>1.1000000000000001</v>
      </c>
      <c r="R53" s="138">
        <v>13.9</v>
      </c>
      <c r="S53" s="138">
        <v>122</v>
      </c>
      <c r="T53" s="140">
        <f t="shared" si="1"/>
        <v>27</v>
      </c>
      <c r="U53" s="138">
        <v>138</v>
      </c>
      <c r="V53" s="141">
        <f t="shared" si="2"/>
        <v>3726</v>
      </c>
      <c r="W53" s="138">
        <v>2</v>
      </c>
      <c r="X53" s="137" t="s">
        <v>44</v>
      </c>
      <c r="Y53" s="137" t="s">
        <v>46</v>
      </c>
      <c r="Z53" s="137" t="s">
        <v>161</v>
      </c>
      <c r="AA53" s="137" t="s">
        <v>45</v>
      </c>
      <c r="AB53" s="138" t="s">
        <v>164</v>
      </c>
    </row>
    <row r="54" spans="1:28" s="137" customFormat="1" ht="13.5" customHeight="1">
      <c r="A54" s="137" t="s">
        <v>72</v>
      </c>
      <c r="B54" s="137" t="s">
        <v>181</v>
      </c>
      <c r="C54" s="137">
        <v>2020</v>
      </c>
      <c r="D54" s="138" t="s">
        <v>375</v>
      </c>
      <c r="E54" s="137" t="s">
        <v>397</v>
      </c>
      <c r="F54" s="137" t="s">
        <v>398</v>
      </c>
      <c r="G54" s="137" t="s">
        <v>58</v>
      </c>
      <c r="H54" s="137" t="s">
        <v>40</v>
      </c>
      <c r="I54" s="137" t="s">
        <v>41</v>
      </c>
      <c r="J54" s="137" t="s">
        <v>42</v>
      </c>
      <c r="K54" s="137" t="s">
        <v>43</v>
      </c>
      <c r="L54" s="137">
        <v>2</v>
      </c>
      <c r="N54" s="138">
        <v>1</v>
      </c>
      <c r="O54" s="137">
        <v>1</v>
      </c>
      <c r="P54" s="137">
        <v>1.05</v>
      </c>
      <c r="Q54" s="139">
        <f t="shared" si="0"/>
        <v>1.0249999999999999</v>
      </c>
      <c r="R54" s="138">
        <v>14.3</v>
      </c>
      <c r="S54" s="138">
        <v>118</v>
      </c>
      <c r="T54" s="140">
        <f t="shared" si="1"/>
        <v>30</v>
      </c>
      <c r="U54" s="138">
        <v>138</v>
      </c>
      <c r="V54" s="141">
        <f t="shared" si="2"/>
        <v>4140</v>
      </c>
      <c r="W54" s="138">
        <v>2</v>
      </c>
      <c r="X54" s="137" t="s">
        <v>44</v>
      </c>
      <c r="Y54" s="137" t="s">
        <v>46</v>
      </c>
      <c r="Z54" s="137" t="s">
        <v>161</v>
      </c>
      <c r="AA54" s="137" t="s">
        <v>45</v>
      </c>
      <c r="AB54" s="138" t="s">
        <v>164</v>
      </c>
    </row>
    <row r="55" spans="1:28" s="137" customFormat="1" ht="13.5" customHeight="1">
      <c r="A55" s="137" t="s">
        <v>72</v>
      </c>
      <c r="B55" s="137" t="s">
        <v>181</v>
      </c>
      <c r="C55" s="137">
        <v>2020</v>
      </c>
      <c r="D55" s="138" t="s">
        <v>375</v>
      </c>
      <c r="E55" s="137" t="s">
        <v>397</v>
      </c>
      <c r="F55" s="137" t="s">
        <v>398</v>
      </c>
      <c r="G55" s="137" t="s">
        <v>58</v>
      </c>
      <c r="H55" s="137" t="s">
        <v>40</v>
      </c>
      <c r="I55" s="137" t="s">
        <v>41</v>
      </c>
      <c r="J55" s="137" t="s">
        <v>42</v>
      </c>
      <c r="K55" s="137" t="s">
        <v>43</v>
      </c>
      <c r="L55" s="137">
        <v>3</v>
      </c>
      <c r="N55" s="138">
        <v>1</v>
      </c>
      <c r="O55" s="137">
        <v>0.95</v>
      </c>
      <c r="P55" s="137">
        <v>1</v>
      </c>
      <c r="Q55" s="139">
        <f t="shared" si="0"/>
        <v>0.97499999999999998</v>
      </c>
      <c r="R55" s="138">
        <v>14.7</v>
      </c>
      <c r="S55" s="138">
        <v>126</v>
      </c>
      <c r="T55" s="140">
        <f t="shared" si="1"/>
        <v>27</v>
      </c>
      <c r="U55" s="138">
        <v>138</v>
      </c>
      <c r="V55" s="141">
        <f t="shared" si="2"/>
        <v>3726</v>
      </c>
      <c r="W55" s="138">
        <v>2</v>
      </c>
      <c r="X55" s="137" t="s">
        <v>44</v>
      </c>
      <c r="Y55" s="137" t="s">
        <v>46</v>
      </c>
      <c r="Z55" s="137" t="s">
        <v>161</v>
      </c>
      <c r="AA55" s="137" t="s">
        <v>45</v>
      </c>
      <c r="AB55" s="138" t="s">
        <v>164</v>
      </c>
    </row>
    <row r="56" spans="1:28" s="137" customFormat="1" ht="13.5" customHeight="1">
      <c r="A56" s="137" t="s">
        <v>72</v>
      </c>
      <c r="B56" s="137" t="s">
        <v>181</v>
      </c>
      <c r="C56" s="137">
        <v>2020</v>
      </c>
      <c r="D56" s="138" t="s">
        <v>375</v>
      </c>
      <c r="E56" s="137" t="s">
        <v>403</v>
      </c>
      <c r="F56" s="137" t="s">
        <v>404</v>
      </c>
      <c r="G56" s="137" t="s">
        <v>39</v>
      </c>
      <c r="H56" s="137" t="s">
        <v>40</v>
      </c>
      <c r="I56" s="137" t="s">
        <v>41</v>
      </c>
      <c r="J56" s="137" t="s">
        <v>42</v>
      </c>
      <c r="K56" s="137" t="s">
        <v>43</v>
      </c>
      <c r="L56" s="137">
        <v>1</v>
      </c>
      <c r="N56" s="138">
        <v>1</v>
      </c>
      <c r="O56" s="137">
        <v>0.65</v>
      </c>
      <c r="P56" s="137">
        <v>0.65</v>
      </c>
      <c r="Q56" s="139">
        <f t="shared" si="0"/>
        <v>0.65</v>
      </c>
      <c r="R56" s="138">
        <v>15.5</v>
      </c>
      <c r="S56" s="138">
        <v>130</v>
      </c>
      <c r="T56" s="140">
        <f t="shared" si="1"/>
        <v>25</v>
      </c>
      <c r="U56" s="138">
        <v>128</v>
      </c>
      <c r="V56" s="141">
        <f t="shared" si="2"/>
        <v>3200</v>
      </c>
      <c r="W56" s="138">
        <v>4</v>
      </c>
      <c r="X56" s="137" t="s">
        <v>44</v>
      </c>
      <c r="Y56" s="137" t="s">
        <v>46</v>
      </c>
      <c r="Z56" s="137" t="s">
        <v>45</v>
      </c>
      <c r="AA56" s="137" t="s">
        <v>161</v>
      </c>
      <c r="AB56" s="138" t="s">
        <v>164</v>
      </c>
    </row>
    <row r="57" spans="1:28" s="137" customFormat="1" ht="13.5" customHeight="1">
      <c r="A57" s="137" t="s">
        <v>72</v>
      </c>
      <c r="B57" s="137" t="s">
        <v>181</v>
      </c>
      <c r="C57" s="137">
        <v>2020</v>
      </c>
      <c r="D57" s="138" t="s">
        <v>375</v>
      </c>
      <c r="E57" s="137" t="s">
        <v>403</v>
      </c>
      <c r="F57" s="137" t="s">
        <v>404</v>
      </c>
      <c r="G57" s="137" t="s">
        <v>39</v>
      </c>
      <c r="H57" s="137" t="s">
        <v>40</v>
      </c>
      <c r="I57" s="137" t="s">
        <v>41</v>
      </c>
      <c r="J57" s="137" t="s">
        <v>42</v>
      </c>
      <c r="K57" s="137" t="s">
        <v>43</v>
      </c>
      <c r="L57" s="137">
        <v>2</v>
      </c>
      <c r="N57" s="138">
        <v>1</v>
      </c>
      <c r="O57" s="137">
        <v>0.7</v>
      </c>
      <c r="P57" s="137">
        <v>0.75</v>
      </c>
      <c r="Q57" s="139">
        <f t="shared" si="0"/>
        <v>0.72499999999999998</v>
      </c>
      <c r="R57" s="138">
        <v>15.1</v>
      </c>
      <c r="S57" s="138">
        <v>134</v>
      </c>
      <c r="T57" s="140">
        <f t="shared" si="1"/>
        <v>25</v>
      </c>
      <c r="U57" s="138">
        <v>128</v>
      </c>
      <c r="V57" s="141">
        <f t="shared" si="2"/>
        <v>3200</v>
      </c>
      <c r="W57" s="138">
        <v>4</v>
      </c>
      <c r="X57" s="137" t="s">
        <v>44</v>
      </c>
      <c r="Y57" s="137" t="s">
        <v>46</v>
      </c>
      <c r="Z57" s="137" t="s">
        <v>45</v>
      </c>
      <c r="AA57" s="137" t="s">
        <v>161</v>
      </c>
      <c r="AB57" s="138" t="s">
        <v>164</v>
      </c>
    </row>
    <row r="58" spans="1:28" s="137" customFormat="1" ht="13.5" customHeight="1">
      <c r="A58" s="137" t="s">
        <v>72</v>
      </c>
      <c r="B58" s="137" t="s">
        <v>181</v>
      </c>
      <c r="C58" s="137">
        <v>2020</v>
      </c>
      <c r="D58" s="138" t="s">
        <v>375</v>
      </c>
      <c r="E58" s="137" t="s">
        <v>403</v>
      </c>
      <c r="F58" s="137" t="s">
        <v>404</v>
      </c>
      <c r="G58" s="137" t="s">
        <v>39</v>
      </c>
      <c r="H58" s="137" t="s">
        <v>40</v>
      </c>
      <c r="I58" s="137" t="s">
        <v>41</v>
      </c>
      <c r="J58" s="137" t="s">
        <v>42</v>
      </c>
      <c r="K58" s="137" t="s">
        <v>43</v>
      </c>
      <c r="L58" s="137">
        <v>3</v>
      </c>
      <c r="N58" s="138">
        <v>1</v>
      </c>
      <c r="O58" s="137">
        <v>0.7</v>
      </c>
      <c r="P58" s="137">
        <v>0.7</v>
      </c>
      <c r="Q58" s="139">
        <f t="shared" si="0"/>
        <v>0.7</v>
      </c>
      <c r="R58" s="138">
        <v>15.6</v>
      </c>
      <c r="S58" s="138">
        <v>136</v>
      </c>
      <c r="T58" s="140">
        <f t="shared" si="1"/>
        <v>25</v>
      </c>
      <c r="U58" s="138">
        <v>128</v>
      </c>
      <c r="V58" s="141">
        <f t="shared" si="2"/>
        <v>3200</v>
      </c>
      <c r="W58" s="138">
        <v>4</v>
      </c>
      <c r="X58" s="137" t="s">
        <v>44</v>
      </c>
      <c r="Y58" s="137" t="s">
        <v>46</v>
      </c>
      <c r="Z58" s="137" t="s">
        <v>45</v>
      </c>
      <c r="AA58" s="137" t="s">
        <v>161</v>
      </c>
      <c r="AB58" s="138" t="s">
        <v>164</v>
      </c>
    </row>
    <row r="59" spans="1:28" s="137" customFormat="1" ht="13.5" customHeight="1">
      <c r="A59" s="137" t="s">
        <v>72</v>
      </c>
      <c r="B59" s="137" t="s">
        <v>181</v>
      </c>
      <c r="C59" s="137">
        <v>2020</v>
      </c>
      <c r="D59" s="138" t="s">
        <v>375</v>
      </c>
      <c r="E59" s="137" t="s">
        <v>403</v>
      </c>
      <c r="F59" s="137" t="s">
        <v>404</v>
      </c>
      <c r="G59" s="137" t="s">
        <v>39</v>
      </c>
      <c r="H59" s="137" t="s">
        <v>40</v>
      </c>
      <c r="I59" s="137" t="s">
        <v>41</v>
      </c>
      <c r="J59" s="137" t="s">
        <v>42</v>
      </c>
      <c r="K59" s="137" t="s">
        <v>43</v>
      </c>
      <c r="L59" s="137">
        <v>1</v>
      </c>
      <c r="N59" s="138">
        <v>6</v>
      </c>
      <c r="O59" s="137">
        <v>0.55000000000000004</v>
      </c>
      <c r="P59" s="137">
        <v>0.65</v>
      </c>
      <c r="Q59" s="139">
        <f t="shared" si="0"/>
        <v>0.60000000000000009</v>
      </c>
      <c r="R59" s="138">
        <v>14.8</v>
      </c>
      <c r="S59" s="138">
        <v>74</v>
      </c>
      <c r="T59" s="140">
        <f t="shared" si="1"/>
        <v>42</v>
      </c>
      <c r="U59" s="138">
        <v>398</v>
      </c>
      <c r="V59" s="141">
        <f t="shared" si="2"/>
        <v>2786</v>
      </c>
      <c r="W59" s="138">
        <v>4</v>
      </c>
      <c r="X59" s="137" t="s">
        <v>44</v>
      </c>
      <c r="Y59" s="137" t="s">
        <v>46</v>
      </c>
      <c r="Z59" s="137" t="s">
        <v>45</v>
      </c>
      <c r="AA59" s="137" t="s">
        <v>161</v>
      </c>
      <c r="AB59" s="138" t="s">
        <v>164</v>
      </c>
    </row>
    <row r="60" spans="1:28" s="137" customFormat="1" ht="13.5" customHeight="1">
      <c r="A60" s="137" t="s">
        <v>72</v>
      </c>
      <c r="B60" s="137" t="s">
        <v>181</v>
      </c>
      <c r="C60" s="137">
        <v>2020</v>
      </c>
      <c r="D60" s="138" t="s">
        <v>375</v>
      </c>
      <c r="E60" s="137" t="s">
        <v>403</v>
      </c>
      <c r="F60" s="137" t="s">
        <v>404</v>
      </c>
      <c r="G60" s="137" t="s">
        <v>39</v>
      </c>
      <c r="H60" s="137" t="s">
        <v>40</v>
      </c>
      <c r="I60" s="137" t="s">
        <v>41</v>
      </c>
      <c r="J60" s="137" t="s">
        <v>42</v>
      </c>
      <c r="K60" s="137" t="s">
        <v>43</v>
      </c>
      <c r="L60" s="137">
        <v>2</v>
      </c>
      <c r="N60" s="138">
        <v>6</v>
      </c>
      <c r="O60" s="137">
        <v>0.6</v>
      </c>
      <c r="P60" s="137">
        <v>0.5</v>
      </c>
      <c r="Q60" s="139">
        <f t="shared" si="0"/>
        <v>0.55000000000000004</v>
      </c>
      <c r="R60" s="138">
        <v>15.1</v>
      </c>
      <c r="S60" s="138">
        <v>75</v>
      </c>
      <c r="T60" s="140">
        <f t="shared" si="1"/>
        <v>42</v>
      </c>
      <c r="U60" s="138">
        <v>398</v>
      </c>
      <c r="V60" s="141">
        <f t="shared" si="2"/>
        <v>2786</v>
      </c>
      <c r="W60" s="138">
        <v>4</v>
      </c>
      <c r="X60" s="137" t="s">
        <v>44</v>
      </c>
      <c r="Y60" s="137" t="s">
        <v>46</v>
      </c>
      <c r="Z60" s="137" t="s">
        <v>45</v>
      </c>
      <c r="AA60" s="137" t="s">
        <v>161</v>
      </c>
      <c r="AB60" s="138" t="s">
        <v>164</v>
      </c>
    </row>
    <row r="61" spans="1:28" s="137" customFormat="1" ht="13.5" customHeight="1">
      <c r="A61" s="137" t="s">
        <v>72</v>
      </c>
      <c r="B61" s="137" t="s">
        <v>181</v>
      </c>
      <c r="C61" s="137">
        <v>2020</v>
      </c>
      <c r="D61" s="138" t="s">
        <v>375</v>
      </c>
      <c r="E61" s="137" t="s">
        <v>403</v>
      </c>
      <c r="F61" s="137" t="s">
        <v>404</v>
      </c>
      <c r="G61" s="137" t="s">
        <v>39</v>
      </c>
      <c r="H61" s="137" t="s">
        <v>40</v>
      </c>
      <c r="I61" s="137" t="s">
        <v>41</v>
      </c>
      <c r="J61" s="137" t="s">
        <v>42</v>
      </c>
      <c r="K61" s="137" t="s">
        <v>43</v>
      </c>
      <c r="L61" s="137">
        <v>3</v>
      </c>
      <c r="N61" s="138">
        <v>6</v>
      </c>
      <c r="O61" s="137">
        <v>0.6</v>
      </c>
      <c r="P61" s="137">
        <v>0.6</v>
      </c>
      <c r="Q61" s="139">
        <f t="shared" si="0"/>
        <v>0.6</v>
      </c>
      <c r="R61" s="138">
        <v>15.3</v>
      </c>
      <c r="S61" s="138">
        <v>78</v>
      </c>
      <c r="T61" s="140">
        <f t="shared" si="1"/>
        <v>39</v>
      </c>
      <c r="U61" s="138">
        <v>398</v>
      </c>
      <c r="V61" s="141">
        <f t="shared" si="2"/>
        <v>2587</v>
      </c>
      <c r="W61" s="138">
        <v>4</v>
      </c>
      <c r="X61" s="137" t="s">
        <v>44</v>
      </c>
      <c r="Y61" s="137" t="s">
        <v>46</v>
      </c>
      <c r="Z61" s="137" t="s">
        <v>45</v>
      </c>
      <c r="AA61" s="137" t="s">
        <v>161</v>
      </c>
      <c r="AB61" s="138" t="s">
        <v>164</v>
      </c>
    </row>
    <row r="62" spans="1:28" s="137" customFormat="1" ht="13.5" customHeight="1">
      <c r="A62" s="137" t="s">
        <v>72</v>
      </c>
      <c r="B62" s="137" t="s">
        <v>181</v>
      </c>
      <c r="C62" s="137">
        <v>2020</v>
      </c>
      <c r="D62" s="138" t="s">
        <v>375</v>
      </c>
      <c r="E62" s="137" t="s">
        <v>403</v>
      </c>
      <c r="F62" s="137" t="s">
        <v>404</v>
      </c>
      <c r="G62" s="137" t="s">
        <v>39</v>
      </c>
      <c r="H62" s="137" t="s">
        <v>157</v>
      </c>
      <c r="I62" s="137" t="s">
        <v>41</v>
      </c>
      <c r="J62" s="137" t="s">
        <v>42</v>
      </c>
      <c r="K62" s="137" t="s">
        <v>78</v>
      </c>
      <c r="L62" s="137">
        <v>1</v>
      </c>
      <c r="N62" s="138">
        <v>2</v>
      </c>
      <c r="O62" s="137">
        <v>0.8</v>
      </c>
      <c r="P62" s="137">
        <v>0.85</v>
      </c>
      <c r="Q62" s="139">
        <f t="shared" si="0"/>
        <v>0.82499999999999996</v>
      </c>
      <c r="R62" s="138">
        <v>12.1</v>
      </c>
      <c r="S62" s="138">
        <v>154</v>
      </c>
      <c r="T62" s="140">
        <f t="shared" si="1"/>
        <v>22</v>
      </c>
      <c r="U62" s="138">
        <v>498</v>
      </c>
      <c r="V62" s="141">
        <f t="shared" si="2"/>
        <v>5478</v>
      </c>
      <c r="W62" s="138">
        <v>4</v>
      </c>
      <c r="X62" s="137" t="s">
        <v>44</v>
      </c>
      <c r="Y62" s="137" t="s">
        <v>46</v>
      </c>
      <c r="Z62" s="137" t="s">
        <v>45</v>
      </c>
      <c r="AA62" s="137" t="s">
        <v>161</v>
      </c>
      <c r="AB62" s="138" t="s">
        <v>164</v>
      </c>
    </row>
    <row r="63" spans="1:28" s="137" customFormat="1" ht="13.5" customHeight="1">
      <c r="A63" s="137" t="s">
        <v>72</v>
      </c>
      <c r="B63" s="137" t="s">
        <v>181</v>
      </c>
      <c r="C63" s="137">
        <v>2020</v>
      </c>
      <c r="D63" s="138" t="s">
        <v>375</v>
      </c>
      <c r="E63" s="137" t="s">
        <v>403</v>
      </c>
      <c r="F63" s="137" t="s">
        <v>404</v>
      </c>
      <c r="G63" s="137" t="s">
        <v>39</v>
      </c>
      <c r="H63" s="137" t="s">
        <v>157</v>
      </c>
      <c r="I63" s="137" t="s">
        <v>41</v>
      </c>
      <c r="J63" s="137" t="s">
        <v>42</v>
      </c>
      <c r="K63" s="137" t="s">
        <v>78</v>
      </c>
      <c r="L63" s="137">
        <v>2</v>
      </c>
      <c r="N63" s="138">
        <v>2</v>
      </c>
      <c r="O63" s="137">
        <v>0.9</v>
      </c>
      <c r="P63" s="137">
        <v>0.85</v>
      </c>
      <c r="Q63" s="139">
        <f t="shared" si="0"/>
        <v>0.875</v>
      </c>
      <c r="R63" s="138">
        <v>12.4</v>
      </c>
      <c r="S63" s="138">
        <v>168</v>
      </c>
      <c r="T63" s="140">
        <f t="shared" si="1"/>
        <v>22</v>
      </c>
      <c r="U63" s="138">
        <v>498</v>
      </c>
      <c r="V63" s="141">
        <f t="shared" si="2"/>
        <v>5478</v>
      </c>
      <c r="W63" s="138">
        <v>4</v>
      </c>
      <c r="X63" s="137" t="s">
        <v>44</v>
      </c>
      <c r="Y63" s="137" t="s">
        <v>46</v>
      </c>
      <c r="Z63" s="137" t="s">
        <v>45</v>
      </c>
      <c r="AA63" s="137" t="s">
        <v>161</v>
      </c>
      <c r="AB63" s="138" t="s">
        <v>164</v>
      </c>
    </row>
    <row r="64" spans="1:28" s="137" customFormat="1" ht="13.5" customHeight="1">
      <c r="A64" s="137" t="s">
        <v>72</v>
      </c>
      <c r="B64" s="137" t="s">
        <v>181</v>
      </c>
      <c r="C64" s="137">
        <v>2020</v>
      </c>
      <c r="D64" s="138" t="s">
        <v>375</v>
      </c>
      <c r="E64" s="137" t="s">
        <v>403</v>
      </c>
      <c r="F64" s="137" t="s">
        <v>404</v>
      </c>
      <c r="G64" s="137" t="s">
        <v>39</v>
      </c>
      <c r="H64" s="137" t="s">
        <v>157</v>
      </c>
      <c r="I64" s="137" t="s">
        <v>41</v>
      </c>
      <c r="J64" s="137" t="s">
        <v>42</v>
      </c>
      <c r="K64" s="137" t="s">
        <v>78</v>
      </c>
      <c r="L64" s="137">
        <v>3</v>
      </c>
      <c r="N64" s="138">
        <v>2</v>
      </c>
      <c r="O64" s="137">
        <v>0.85</v>
      </c>
      <c r="P64" s="137">
        <v>0.8</v>
      </c>
      <c r="Q64" s="139">
        <f t="shared" si="0"/>
        <v>0.82499999999999996</v>
      </c>
      <c r="R64" s="138">
        <v>13.2</v>
      </c>
      <c r="S64" s="138">
        <v>168</v>
      </c>
      <c r="T64" s="140">
        <f t="shared" si="1"/>
        <v>22</v>
      </c>
      <c r="U64" s="138">
        <v>498</v>
      </c>
      <c r="V64" s="141">
        <f t="shared" si="2"/>
        <v>5478</v>
      </c>
      <c r="W64" s="138">
        <v>4</v>
      </c>
      <c r="X64" s="137" t="s">
        <v>44</v>
      </c>
      <c r="Y64" s="137" t="s">
        <v>46</v>
      </c>
      <c r="Z64" s="137" t="s">
        <v>45</v>
      </c>
      <c r="AA64" s="137" t="s">
        <v>161</v>
      </c>
      <c r="AB64" s="138" t="s">
        <v>164</v>
      </c>
    </row>
    <row r="65" spans="1:53" s="137" customFormat="1" ht="13.5" customHeight="1">
      <c r="A65" s="137" t="s">
        <v>72</v>
      </c>
      <c r="B65" s="137" t="s">
        <v>181</v>
      </c>
      <c r="C65" s="137">
        <v>2020</v>
      </c>
      <c r="D65" s="138" t="s">
        <v>375</v>
      </c>
      <c r="E65" s="137" t="s">
        <v>403</v>
      </c>
      <c r="F65" s="137" t="s">
        <v>404</v>
      </c>
      <c r="G65" s="137" t="s">
        <v>39</v>
      </c>
      <c r="H65" s="137" t="s">
        <v>187</v>
      </c>
      <c r="I65" s="137" t="s">
        <v>41</v>
      </c>
      <c r="J65" s="137" t="s">
        <v>121</v>
      </c>
      <c r="K65" s="137" t="s">
        <v>62</v>
      </c>
      <c r="L65" s="137">
        <v>1</v>
      </c>
      <c r="N65" s="138">
        <v>1</v>
      </c>
      <c r="O65" s="137">
        <v>1.25</v>
      </c>
      <c r="P65" s="137">
        <v>1.3</v>
      </c>
      <c r="Q65" s="140">
        <f t="shared" si="0"/>
        <v>1.2749999999999999</v>
      </c>
      <c r="R65" s="138">
        <v>14.7</v>
      </c>
      <c r="S65" s="138">
        <v>95</v>
      </c>
      <c r="T65" s="140">
        <f t="shared" si="1"/>
        <v>36</v>
      </c>
      <c r="U65" s="138">
        <v>128</v>
      </c>
      <c r="V65" s="140">
        <f t="shared" si="2"/>
        <v>4608</v>
      </c>
      <c r="W65" s="138">
        <v>4</v>
      </c>
      <c r="X65" s="137" t="s">
        <v>44</v>
      </c>
      <c r="Y65" s="137" t="s">
        <v>46</v>
      </c>
      <c r="Z65" s="137" t="s">
        <v>45</v>
      </c>
      <c r="AA65" s="137" t="s">
        <v>161</v>
      </c>
      <c r="AB65" s="138" t="s">
        <v>164</v>
      </c>
    </row>
    <row r="66" spans="1:53" s="137" customFormat="1" ht="13.5" customHeight="1">
      <c r="A66" s="137" t="s">
        <v>72</v>
      </c>
      <c r="B66" s="137" t="s">
        <v>181</v>
      </c>
      <c r="C66" s="137">
        <v>2020</v>
      </c>
      <c r="D66" s="138" t="s">
        <v>375</v>
      </c>
      <c r="E66" s="137" t="s">
        <v>403</v>
      </c>
      <c r="F66" s="137" t="s">
        <v>404</v>
      </c>
      <c r="G66" s="137" t="s">
        <v>39</v>
      </c>
      <c r="H66" s="137" t="s">
        <v>187</v>
      </c>
      <c r="I66" s="137" t="s">
        <v>41</v>
      </c>
      <c r="J66" s="137" t="s">
        <v>121</v>
      </c>
      <c r="K66" s="137" t="s">
        <v>62</v>
      </c>
      <c r="L66" s="137">
        <v>2</v>
      </c>
      <c r="N66" s="138">
        <v>1</v>
      </c>
      <c r="O66" s="137">
        <v>1.2</v>
      </c>
      <c r="P66" s="137">
        <v>1</v>
      </c>
      <c r="Q66" s="140">
        <f t="shared" si="0"/>
        <v>1.1000000000000001</v>
      </c>
      <c r="R66" s="138">
        <v>15</v>
      </c>
      <c r="S66" s="138">
        <v>96</v>
      </c>
      <c r="T66" s="140">
        <f t="shared" si="1"/>
        <v>36</v>
      </c>
      <c r="U66" s="138">
        <v>128</v>
      </c>
      <c r="V66" s="140">
        <f t="shared" si="2"/>
        <v>4608</v>
      </c>
      <c r="W66" s="138">
        <v>4</v>
      </c>
      <c r="X66" s="137" t="s">
        <v>44</v>
      </c>
      <c r="Y66" s="137" t="s">
        <v>46</v>
      </c>
      <c r="Z66" s="137" t="s">
        <v>45</v>
      </c>
      <c r="AA66" s="137" t="s">
        <v>161</v>
      </c>
      <c r="AB66" s="138" t="s">
        <v>164</v>
      </c>
    </row>
    <row r="67" spans="1:53" s="137" customFormat="1" ht="13.5" customHeight="1">
      <c r="A67" s="137" t="s">
        <v>72</v>
      </c>
      <c r="B67" s="137" t="s">
        <v>181</v>
      </c>
      <c r="C67" s="137">
        <v>2020</v>
      </c>
      <c r="D67" s="138" t="s">
        <v>375</v>
      </c>
      <c r="E67" s="137" t="s">
        <v>403</v>
      </c>
      <c r="F67" s="137" t="s">
        <v>404</v>
      </c>
      <c r="G67" s="137" t="s">
        <v>39</v>
      </c>
      <c r="H67" s="137" t="s">
        <v>187</v>
      </c>
      <c r="I67" s="137" t="s">
        <v>41</v>
      </c>
      <c r="J67" s="137" t="s">
        <v>121</v>
      </c>
      <c r="K67" s="137" t="s">
        <v>62</v>
      </c>
      <c r="L67" s="137">
        <v>3</v>
      </c>
      <c r="N67" s="138">
        <v>1</v>
      </c>
      <c r="O67" s="137">
        <v>1.1499999999999999</v>
      </c>
      <c r="P67" s="137">
        <v>1.35</v>
      </c>
      <c r="Q67" s="140">
        <f t="shared" si="0"/>
        <v>1.25</v>
      </c>
      <c r="R67" s="138">
        <v>14.6</v>
      </c>
      <c r="S67" s="138">
        <v>99</v>
      </c>
      <c r="T67" s="140">
        <f t="shared" si="1"/>
        <v>33</v>
      </c>
      <c r="U67" s="138">
        <v>128</v>
      </c>
      <c r="V67" s="140">
        <f t="shared" si="2"/>
        <v>4224</v>
      </c>
      <c r="W67" s="138">
        <v>4</v>
      </c>
      <c r="X67" s="137" t="s">
        <v>44</v>
      </c>
      <c r="Y67" s="137" t="s">
        <v>46</v>
      </c>
      <c r="Z67" s="137" t="s">
        <v>45</v>
      </c>
      <c r="AA67" s="137" t="s">
        <v>161</v>
      </c>
      <c r="AB67" s="138" t="s">
        <v>164</v>
      </c>
    </row>
    <row r="68" spans="1:53" s="137" customFormat="1" ht="13.5" customHeight="1">
      <c r="A68" s="137" t="s">
        <v>72</v>
      </c>
      <c r="B68" s="137" t="s">
        <v>181</v>
      </c>
      <c r="C68" s="137">
        <v>2020</v>
      </c>
      <c r="D68" s="138" t="s">
        <v>375</v>
      </c>
      <c r="E68" s="137" t="s">
        <v>405</v>
      </c>
      <c r="F68" s="137" t="s">
        <v>393</v>
      </c>
      <c r="G68" s="137" t="s">
        <v>39</v>
      </c>
      <c r="H68" s="137" t="s">
        <v>40</v>
      </c>
      <c r="I68" s="137" t="s">
        <v>41</v>
      </c>
      <c r="J68" s="137" t="s">
        <v>42</v>
      </c>
      <c r="K68" s="137" t="s">
        <v>43</v>
      </c>
      <c r="L68" s="137">
        <v>1</v>
      </c>
      <c r="N68" s="138">
        <v>1</v>
      </c>
      <c r="O68" s="137">
        <v>0.7</v>
      </c>
      <c r="P68" s="137">
        <v>0.65</v>
      </c>
      <c r="Q68" s="140">
        <f t="shared" si="0"/>
        <v>0.67500000000000004</v>
      </c>
      <c r="R68" s="138">
        <v>16.100000000000001</v>
      </c>
      <c r="S68" s="138">
        <v>112</v>
      </c>
      <c r="T68" s="140">
        <f t="shared" si="1"/>
        <v>33</v>
      </c>
      <c r="U68" s="138">
        <v>98</v>
      </c>
      <c r="V68" s="140">
        <f t="shared" si="2"/>
        <v>3234</v>
      </c>
      <c r="W68" s="138">
        <v>2</v>
      </c>
      <c r="X68" s="137" t="s">
        <v>63</v>
      </c>
      <c r="Y68" s="137" t="s">
        <v>46</v>
      </c>
      <c r="Z68" s="137" t="s">
        <v>45</v>
      </c>
      <c r="AA68" s="137" t="s">
        <v>161</v>
      </c>
      <c r="AB68" s="138" t="s">
        <v>164</v>
      </c>
    </row>
    <row r="69" spans="1:53" s="137" customFormat="1" ht="13.5" customHeight="1">
      <c r="A69" s="137" t="s">
        <v>72</v>
      </c>
      <c r="B69" s="137" t="s">
        <v>181</v>
      </c>
      <c r="C69" s="137">
        <v>2020</v>
      </c>
      <c r="D69" s="138" t="s">
        <v>375</v>
      </c>
      <c r="E69" s="137" t="s">
        <v>405</v>
      </c>
      <c r="F69" s="137" t="s">
        <v>393</v>
      </c>
      <c r="G69" s="137" t="s">
        <v>39</v>
      </c>
      <c r="H69" s="137" t="s">
        <v>40</v>
      </c>
      <c r="I69" s="137" t="s">
        <v>41</v>
      </c>
      <c r="J69" s="137" t="s">
        <v>42</v>
      </c>
      <c r="K69" s="137" t="s">
        <v>43</v>
      </c>
      <c r="L69" s="137">
        <v>2</v>
      </c>
      <c r="N69" s="138">
        <v>1</v>
      </c>
      <c r="O69" s="137">
        <v>0.6</v>
      </c>
      <c r="P69" s="137">
        <v>0.6</v>
      </c>
      <c r="Q69" s="140">
        <f t="shared" si="0"/>
        <v>0.6</v>
      </c>
      <c r="R69" s="138">
        <v>16.399999999999999</v>
      </c>
      <c r="S69" s="138">
        <v>112</v>
      </c>
      <c r="T69" s="140">
        <f t="shared" si="1"/>
        <v>33</v>
      </c>
      <c r="U69" s="138">
        <v>98</v>
      </c>
      <c r="V69" s="140">
        <f t="shared" si="2"/>
        <v>3234</v>
      </c>
      <c r="W69" s="138">
        <v>2</v>
      </c>
      <c r="X69" s="137" t="s">
        <v>63</v>
      </c>
      <c r="Y69" s="137" t="s">
        <v>46</v>
      </c>
      <c r="Z69" s="137" t="s">
        <v>45</v>
      </c>
      <c r="AA69" s="137" t="s">
        <v>161</v>
      </c>
      <c r="AB69" s="138" t="s">
        <v>164</v>
      </c>
    </row>
    <row r="70" spans="1:53" s="137" customFormat="1" ht="13.5" customHeight="1">
      <c r="A70" s="137" t="s">
        <v>72</v>
      </c>
      <c r="B70" s="137" t="s">
        <v>181</v>
      </c>
      <c r="C70" s="137">
        <v>2020</v>
      </c>
      <c r="D70" s="138" t="s">
        <v>375</v>
      </c>
      <c r="E70" s="137" t="s">
        <v>405</v>
      </c>
      <c r="F70" s="137" t="s">
        <v>393</v>
      </c>
      <c r="G70" s="137" t="s">
        <v>39</v>
      </c>
      <c r="H70" s="137" t="s">
        <v>40</v>
      </c>
      <c r="I70" s="137" t="s">
        <v>41</v>
      </c>
      <c r="J70" s="137" t="s">
        <v>42</v>
      </c>
      <c r="K70" s="137" t="s">
        <v>43</v>
      </c>
      <c r="L70" s="137">
        <v>3</v>
      </c>
      <c r="N70" s="138">
        <v>1</v>
      </c>
      <c r="O70" s="137">
        <v>0.55000000000000004</v>
      </c>
      <c r="P70" s="137">
        <v>0.7</v>
      </c>
      <c r="Q70" s="140">
        <f t="shared" si="0"/>
        <v>0.625</v>
      </c>
      <c r="R70" s="138">
        <v>16.8</v>
      </c>
      <c r="S70" s="138">
        <v>116</v>
      </c>
      <c r="T70" s="140">
        <f t="shared" si="1"/>
        <v>30</v>
      </c>
      <c r="U70" s="138">
        <v>98</v>
      </c>
      <c r="V70" s="140">
        <f t="shared" si="2"/>
        <v>2940</v>
      </c>
      <c r="W70" s="138">
        <v>2</v>
      </c>
      <c r="X70" s="137" t="s">
        <v>63</v>
      </c>
      <c r="Y70" s="137" t="s">
        <v>46</v>
      </c>
      <c r="Z70" s="137" t="s">
        <v>45</v>
      </c>
      <c r="AA70" s="137" t="s">
        <v>161</v>
      </c>
      <c r="AB70" s="138" t="s">
        <v>164</v>
      </c>
    </row>
    <row r="71" spans="1:53" s="137" customFormat="1" ht="13.5" customHeight="1">
      <c r="A71" s="137" t="s">
        <v>72</v>
      </c>
      <c r="B71" s="137" t="s">
        <v>181</v>
      </c>
      <c r="C71" s="137">
        <v>2020</v>
      </c>
      <c r="D71" s="138" t="s">
        <v>375</v>
      </c>
      <c r="E71" s="137" t="s">
        <v>405</v>
      </c>
      <c r="F71" s="137" t="s">
        <v>393</v>
      </c>
      <c r="G71" s="137" t="s">
        <v>39</v>
      </c>
      <c r="H71" s="137" t="s">
        <v>157</v>
      </c>
      <c r="I71" s="137" t="s">
        <v>41</v>
      </c>
      <c r="J71" s="137" t="s">
        <v>42</v>
      </c>
      <c r="K71" s="137" t="s">
        <v>213</v>
      </c>
      <c r="L71" s="137">
        <v>1</v>
      </c>
      <c r="N71" s="138">
        <v>4</v>
      </c>
      <c r="O71" s="137">
        <v>0.75</v>
      </c>
      <c r="P71" s="137">
        <v>0.7</v>
      </c>
      <c r="Q71" s="140">
        <f t="shared" si="0"/>
        <v>0.72499999999999998</v>
      </c>
      <c r="R71" s="138">
        <v>14.5</v>
      </c>
      <c r="S71" s="138">
        <v>80</v>
      </c>
      <c r="T71" s="140">
        <f t="shared" si="1"/>
        <v>42</v>
      </c>
      <c r="U71" s="138">
        <v>598</v>
      </c>
      <c r="V71" s="140">
        <f t="shared" si="2"/>
        <v>6279</v>
      </c>
      <c r="W71" s="138">
        <v>2</v>
      </c>
      <c r="X71" s="137" t="s">
        <v>63</v>
      </c>
      <c r="Y71" s="137" t="s">
        <v>46</v>
      </c>
      <c r="Z71" s="137" t="s">
        <v>45</v>
      </c>
      <c r="AA71" s="137" t="s">
        <v>161</v>
      </c>
      <c r="AB71" s="138" t="s">
        <v>164</v>
      </c>
    </row>
    <row r="72" spans="1:53" s="137" customFormat="1" ht="13.5" customHeight="1">
      <c r="A72" s="137" t="s">
        <v>72</v>
      </c>
      <c r="B72" s="137" t="s">
        <v>181</v>
      </c>
      <c r="C72" s="137">
        <v>2020</v>
      </c>
      <c r="D72" s="138" t="s">
        <v>375</v>
      </c>
      <c r="E72" s="137" t="s">
        <v>405</v>
      </c>
      <c r="F72" s="137" t="s">
        <v>393</v>
      </c>
      <c r="G72" s="137" t="s">
        <v>39</v>
      </c>
      <c r="H72" s="137" t="s">
        <v>157</v>
      </c>
      <c r="I72" s="137" t="s">
        <v>41</v>
      </c>
      <c r="J72" s="137" t="s">
        <v>42</v>
      </c>
      <c r="K72" s="137" t="s">
        <v>213</v>
      </c>
      <c r="L72" s="137">
        <v>2</v>
      </c>
      <c r="N72" s="138">
        <v>4</v>
      </c>
      <c r="O72" s="137">
        <v>0.8</v>
      </c>
      <c r="P72" s="137">
        <v>0.75</v>
      </c>
      <c r="Q72" s="140">
        <f t="shared" si="0"/>
        <v>0.77500000000000002</v>
      </c>
      <c r="R72" s="138">
        <v>14.1</v>
      </c>
      <c r="S72" s="138">
        <v>73</v>
      </c>
      <c r="T72" s="140">
        <f t="shared" si="1"/>
        <v>46</v>
      </c>
      <c r="U72" s="138">
        <v>598</v>
      </c>
      <c r="V72" s="140">
        <f t="shared" si="2"/>
        <v>6877</v>
      </c>
      <c r="W72" s="138">
        <v>2</v>
      </c>
      <c r="X72" s="137" t="s">
        <v>63</v>
      </c>
      <c r="Y72" s="137" t="s">
        <v>46</v>
      </c>
      <c r="Z72" s="137" t="s">
        <v>45</v>
      </c>
      <c r="AA72" s="137" t="s">
        <v>161</v>
      </c>
      <c r="AB72" s="138" t="s">
        <v>164</v>
      </c>
    </row>
    <row r="73" spans="1:53" s="137" customFormat="1" ht="13.5" customHeight="1">
      <c r="A73" s="137" t="s">
        <v>72</v>
      </c>
      <c r="B73" s="137" t="s">
        <v>181</v>
      </c>
      <c r="C73" s="137">
        <v>2020</v>
      </c>
      <c r="D73" s="138" t="s">
        <v>375</v>
      </c>
      <c r="E73" s="137" t="s">
        <v>405</v>
      </c>
      <c r="F73" s="137" t="s">
        <v>393</v>
      </c>
      <c r="G73" s="137" t="s">
        <v>39</v>
      </c>
      <c r="H73" s="137" t="s">
        <v>157</v>
      </c>
      <c r="I73" s="137" t="s">
        <v>41</v>
      </c>
      <c r="J73" s="137" t="s">
        <v>42</v>
      </c>
      <c r="K73" s="137" t="s">
        <v>213</v>
      </c>
      <c r="L73" s="137">
        <v>3</v>
      </c>
      <c r="N73" s="138">
        <v>4</v>
      </c>
      <c r="O73" s="137">
        <v>0.8</v>
      </c>
      <c r="P73" s="137">
        <v>0.8</v>
      </c>
      <c r="Q73" s="140">
        <f t="shared" si="0"/>
        <v>0.8</v>
      </c>
      <c r="R73" s="138">
        <v>13.7</v>
      </c>
      <c r="S73" s="138">
        <v>75</v>
      </c>
      <c r="T73" s="140">
        <f t="shared" si="1"/>
        <v>42</v>
      </c>
      <c r="U73" s="138">
        <v>598</v>
      </c>
      <c r="V73" s="140">
        <f t="shared" si="2"/>
        <v>6279</v>
      </c>
      <c r="W73" s="138">
        <v>2</v>
      </c>
      <c r="X73" s="137" t="s">
        <v>63</v>
      </c>
      <c r="Y73" s="137" t="s">
        <v>46</v>
      </c>
      <c r="Z73" s="137" t="s">
        <v>45</v>
      </c>
      <c r="AA73" s="137" t="s">
        <v>161</v>
      </c>
      <c r="AB73" s="138" t="s">
        <v>164</v>
      </c>
    </row>
    <row r="74" spans="1:53" ht="13.5" customHeight="1">
      <c r="A74" s="72"/>
      <c r="B74" s="72"/>
      <c r="C74" s="72"/>
      <c r="D74" s="81"/>
      <c r="E74" s="72"/>
      <c r="F74" s="72"/>
      <c r="G74" s="72"/>
      <c r="H74" s="72"/>
      <c r="I74" s="72"/>
      <c r="J74" s="72"/>
      <c r="K74" s="72"/>
      <c r="L74" s="72"/>
      <c r="M74" s="72"/>
      <c r="N74" s="81"/>
      <c r="O74" s="72"/>
      <c r="P74" s="72"/>
      <c r="Q74" s="82" t="str">
        <f t="shared" si="0"/>
        <v/>
      </c>
      <c r="R74" s="81"/>
      <c r="S74" s="81"/>
      <c r="T74" s="82" t="str">
        <f t="shared" si="1"/>
        <v/>
      </c>
      <c r="U74" s="81"/>
      <c r="V74" s="82" t="str">
        <f t="shared" si="2"/>
        <v/>
      </c>
      <c r="W74" s="81"/>
      <c r="X74" s="72"/>
      <c r="Y74" s="72"/>
      <c r="Z74" s="72"/>
      <c r="AA74" s="72"/>
      <c r="AB74" s="81"/>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row>
    <row r="75" spans="1:53" ht="13.5" customHeight="1">
      <c r="A75" s="72"/>
      <c r="B75" s="72"/>
      <c r="C75" s="72"/>
      <c r="D75" s="81"/>
      <c r="E75" s="72"/>
      <c r="F75" s="72"/>
      <c r="G75" s="72"/>
      <c r="H75" s="72"/>
      <c r="I75" s="72"/>
      <c r="J75" s="72"/>
      <c r="K75" s="72"/>
      <c r="L75" s="72"/>
      <c r="M75" s="72"/>
      <c r="N75" s="81"/>
      <c r="O75" s="72"/>
      <c r="P75" s="72"/>
      <c r="Q75" s="82" t="str">
        <f t="shared" si="0"/>
        <v/>
      </c>
      <c r="R75" s="81"/>
      <c r="S75" s="81"/>
      <c r="T75" s="82" t="str">
        <f t="shared" si="1"/>
        <v/>
      </c>
      <c r="U75" s="81"/>
      <c r="V75" s="82" t="str">
        <f t="shared" si="2"/>
        <v/>
      </c>
      <c r="W75" s="81"/>
      <c r="X75" s="72"/>
      <c r="Y75" s="72"/>
      <c r="Z75" s="72"/>
      <c r="AA75" s="72"/>
      <c r="AB75" s="81"/>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row>
    <row r="76" spans="1:53" ht="13.5" customHeight="1">
      <c r="A76" s="72"/>
      <c r="B76" s="72"/>
      <c r="C76" s="72"/>
      <c r="D76" s="81"/>
      <c r="E76" s="72"/>
      <c r="F76" s="72"/>
      <c r="G76" s="72"/>
      <c r="H76" s="72"/>
      <c r="I76" s="72"/>
      <c r="J76" s="72"/>
      <c r="K76" s="72"/>
      <c r="L76" s="72"/>
      <c r="M76" s="72"/>
      <c r="N76" s="81"/>
      <c r="O76" s="72"/>
      <c r="P76" s="72"/>
      <c r="Q76" s="82" t="str">
        <f t="shared" si="0"/>
        <v/>
      </c>
      <c r="R76" s="81"/>
      <c r="S76" s="81"/>
      <c r="T76" s="82" t="str">
        <f t="shared" si="1"/>
        <v/>
      </c>
      <c r="U76" s="81"/>
      <c r="V76" s="82" t="str">
        <f t="shared" si="2"/>
        <v/>
      </c>
      <c r="W76" s="81"/>
      <c r="X76" s="72"/>
      <c r="Y76" s="72"/>
      <c r="Z76" s="72"/>
      <c r="AA76" s="72"/>
      <c r="AB76" s="81"/>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row>
    <row r="77" spans="1:53" ht="13.5" customHeight="1">
      <c r="A77" s="72"/>
      <c r="B77" s="72"/>
      <c r="C77" s="72"/>
      <c r="D77" s="81"/>
      <c r="E77" s="72"/>
      <c r="F77" s="72"/>
      <c r="G77" s="72"/>
      <c r="H77" s="72"/>
      <c r="I77" s="72"/>
      <c r="J77" s="72"/>
      <c r="K77" s="72"/>
      <c r="L77" s="72"/>
      <c r="M77" s="72"/>
      <c r="N77" s="81"/>
      <c r="O77" s="72"/>
      <c r="P77" s="72"/>
      <c r="Q77" s="82" t="str">
        <f t="shared" si="0"/>
        <v/>
      </c>
      <c r="R77" s="81"/>
      <c r="S77" s="81"/>
      <c r="T77" s="82" t="str">
        <f t="shared" si="1"/>
        <v/>
      </c>
      <c r="U77" s="81"/>
      <c r="V77" s="82" t="str">
        <f t="shared" si="2"/>
        <v/>
      </c>
      <c r="W77" s="81"/>
      <c r="X77" s="72"/>
      <c r="Y77" s="72"/>
      <c r="Z77" s="72"/>
      <c r="AA77" s="72"/>
      <c r="AB77" s="81"/>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row>
    <row r="78" spans="1:53" ht="13.5" customHeight="1">
      <c r="A78" s="72"/>
      <c r="B78" s="72"/>
      <c r="C78" s="72"/>
      <c r="D78" s="81"/>
      <c r="E78" s="72"/>
      <c r="F78" s="72"/>
      <c r="G78" s="72"/>
      <c r="H78" s="72"/>
      <c r="I78" s="72"/>
      <c r="J78" s="72"/>
      <c r="K78" s="72"/>
      <c r="L78" s="72"/>
      <c r="M78" s="72"/>
      <c r="N78" s="81"/>
      <c r="O78" s="72"/>
      <c r="P78" s="72"/>
      <c r="Q78" s="82" t="str">
        <f t="shared" si="0"/>
        <v/>
      </c>
      <c r="R78" s="81"/>
      <c r="S78" s="81"/>
      <c r="T78" s="82" t="str">
        <f t="shared" si="1"/>
        <v/>
      </c>
      <c r="U78" s="81"/>
      <c r="V78" s="82" t="str">
        <f t="shared" si="2"/>
        <v/>
      </c>
      <c r="W78" s="81"/>
      <c r="X78" s="72"/>
      <c r="Y78" s="72"/>
      <c r="Z78" s="72"/>
      <c r="AA78" s="72"/>
      <c r="AB78" s="81"/>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row>
    <row r="79" spans="1:53" ht="13.5" customHeight="1">
      <c r="A79" s="72"/>
      <c r="B79" s="72"/>
      <c r="C79" s="72"/>
      <c r="D79" s="81"/>
      <c r="E79" s="72"/>
      <c r="F79" s="72"/>
      <c r="G79" s="72"/>
      <c r="H79" s="72"/>
      <c r="I79" s="72"/>
      <c r="J79" s="72"/>
      <c r="K79" s="72"/>
      <c r="L79" s="72"/>
      <c r="M79" s="72"/>
      <c r="N79" s="81"/>
      <c r="O79" s="72"/>
      <c r="P79" s="72"/>
      <c r="Q79" s="82" t="str">
        <f t="shared" si="0"/>
        <v/>
      </c>
      <c r="R79" s="81"/>
      <c r="S79" s="81"/>
      <c r="T79" s="82" t="str">
        <f t="shared" si="1"/>
        <v/>
      </c>
      <c r="U79" s="81"/>
      <c r="V79" s="82" t="str">
        <f t="shared" si="2"/>
        <v/>
      </c>
      <c r="W79" s="81"/>
      <c r="X79" s="72"/>
      <c r="Y79" s="72"/>
      <c r="Z79" s="72"/>
      <c r="AA79" s="72"/>
      <c r="AB79" s="81"/>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row>
    <row r="80" spans="1:53" ht="13.5" customHeight="1">
      <c r="A80" s="72"/>
      <c r="B80" s="72"/>
      <c r="C80" s="72"/>
      <c r="D80" s="81"/>
      <c r="E80" s="72"/>
      <c r="F80" s="72"/>
      <c r="G80" s="72"/>
      <c r="H80" s="72"/>
      <c r="I80" s="72"/>
      <c r="J80" s="72"/>
      <c r="K80" s="72"/>
      <c r="L80" s="72"/>
      <c r="M80" s="72"/>
      <c r="N80" s="81"/>
      <c r="O80" s="72"/>
      <c r="P80" s="72"/>
      <c r="Q80" s="82" t="str">
        <f t="shared" si="0"/>
        <v/>
      </c>
      <c r="R80" s="81"/>
      <c r="S80" s="81"/>
      <c r="T80" s="82" t="str">
        <f t="shared" si="1"/>
        <v/>
      </c>
      <c r="U80" s="81"/>
      <c r="V80" s="82" t="str">
        <f t="shared" si="2"/>
        <v/>
      </c>
      <c r="W80" s="81"/>
      <c r="X80" s="72"/>
      <c r="Y80" s="72"/>
      <c r="Z80" s="72"/>
      <c r="AA80" s="72"/>
      <c r="AB80" s="81"/>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row>
    <row r="81" spans="1:53" ht="13.5" customHeight="1">
      <c r="A81" s="72"/>
      <c r="B81" s="72"/>
      <c r="C81" s="72"/>
      <c r="D81" s="81"/>
      <c r="E81" s="72"/>
      <c r="F81" s="72"/>
      <c r="G81" s="72"/>
      <c r="H81" s="72"/>
      <c r="I81" s="72"/>
      <c r="J81" s="72"/>
      <c r="K81" s="72"/>
      <c r="L81" s="72"/>
      <c r="M81" s="72"/>
      <c r="N81" s="81"/>
      <c r="O81" s="72"/>
      <c r="P81" s="72"/>
      <c r="Q81" s="82" t="str">
        <f t="shared" si="0"/>
        <v/>
      </c>
      <c r="R81" s="81"/>
      <c r="S81" s="81"/>
      <c r="T81" s="82" t="str">
        <f t="shared" si="1"/>
        <v/>
      </c>
      <c r="U81" s="81"/>
      <c r="V81" s="82" t="str">
        <f t="shared" si="2"/>
        <v/>
      </c>
      <c r="W81" s="81"/>
      <c r="X81" s="72"/>
      <c r="Y81" s="72"/>
      <c r="Z81" s="72"/>
      <c r="AA81" s="72"/>
      <c r="AB81" s="81"/>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row>
    <row r="82" spans="1:53" ht="13.5" customHeight="1">
      <c r="A82" s="72"/>
      <c r="B82" s="72"/>
      <c r="C82" s="72"/>
      <c r="D82" s="81"/>
      <c r="E82" s="72"/>
      <c r="F82" s="72"/>
      <c r="G82" s="72"/>
      <c r="H82" s="72"/>
      <c r="I82" s="72"/>
      <c r="J82" s="72"/>
      <c r="K82" s="72"/>
      <c r="L82" s="72"/>
      <c r="M82" s="72"/>
      <c r="N82" s="81"/>
      <c r="O82" s="72"/>
      <c r="P82" s="72"/>
      <c r="Q82" s="82" t="str">
        <f t="shared" si="0"/>
        <v/>
      </c>
      <c r="R82" s="81"/>
      <c r="S82" s="81"/>
      <c r="T82" s="82" t="str">
        <f t="shared" si="1"/>
        <v/>
      </c>
      <c r="U82" s="81"/>
      <c r="V82" s="82" t="str">
        <f t="shared" si="2"/>
        <v/>
      </c>
      <c r="W82" s="81"/>
      <c r="X82" s="72"/>
      <c r="Y82" s="72"/>
      <c r="Z82" s="72"/>
      <c r="AA82" s="72"/>
      <c r="AB82" s="81"/>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row>
    <row r="83" spans="1:53" ht="13.5" customHeight="1">
      <c r="A83" s="72"/>
      <c r="B83" s="72"/>
      <c r="C83" s="72"/>
      <c r="D83" s="81"/>
      <c r="E83" s="72"/>
      <c r="F83" s="72"/>
      <c r="G83" s="72"/>
      <c r="H83" s="72"/>
      <c r="I83" s="72"/>
      <c r="J83" s="72"/>
      <c r="K83" s="72"/>
      <c r="L83" s="72"/>
      <c r="M83" s="72"/>
      <c r="N83" s="81"/>
      <c r="O83" s="72"/>
      <c r="P83" s="72"/>
      <c r="Q83" s="82" t="str">
        <f t="shared" si="0"/>
        <v/>
      </c>
      <c r="R83" s="81"/>
      <c r="S83" s="81"/>
      <c r="T83" s="82" t="str">
        <f t="shared" si="1"/>
        <v/>
      </c>
      <c r="U83" s="81"/>
      <c r="V83" s="82" t="str">
        <f t="shared" si="2"/>
        <v/>
      </c>
      <c r="W83" s="81"/>
      <c r="X83" s="72"/>
      <c r="Y83" s="72"/>
      <c r="Z83" s="72"/>
      <c r="AA83" s="72"/>
      <c r="AB83" s="81"/>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row>
    <row r="84" spans="1:53" ht="13.5" customHeight="1">
      <c r="A84" s="72"/>
      <c r="B84" s="72"/>
      <c r="C84" s="72"/>
      <c r="D84" s="81"/>
      <c r="E84" s="72"/>
      <c r="F84" s="72"/>
      <c r="G84" s="72"/>
      <c r="H84" s="72"/>
      <c r="I84" s="72"/>
      <c r="J84" s="72"/>
      <c r="K84" s="72"/>
      <c r="L84" s="72"/>
      <c r="M84" s="72"/>
      <c r="N84" s="81"/>
      <c r="O84" s="72"/>
      <c r="P84" s="72"/>
      <c r="Q84" s="82" t="str">
        <f t="shared" si="0"/>
        <v/>
      </c>
      <c r="R84" s="81"/>
      <c r="S84" s="81"/>
      <c r="T84" s="82" t="str">
        <f t="shared" si="1"/>
        <v/>
      </c>
      <c r="U84" s="81"/>
      <c r="V84" s="82" t="str">
        <f t="shared" si="2"/>
        <v/>
      </c>
      <c r="W84" s="81"/>
      <c r="X84" s="72"/>
      <c r="Y84" s="72"/>
      <c r="Z84" s="72"/>
      <c r="AA84" s="72"/>
      <c r="AB84" s="81"/>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row>
    <row r="85" spans="1:53" ht="13.5" customHeight="1">
      <c r="A85" s="72"/>
      <c r="B85" s="72"/>
      <c r="C85" s="72"/>
      <c r="D85" s="81"/>
      <c r="E85" s="72"/>
      <c r="F85" s="72"/>
      <c r="G85" s="72"/>
      <c r="H85" s="72"/>
      <c r="I85" s="72"/>
      <c r="J85" s="72"/>
      <c r="K85" s="72"/>
      <c r="L85" s="72"/>
      <c r="M85" s="72"/>
      <c r="N85" s="81"/>
      <c r="O85" s="72"/>
      <c r="P85" s="72"/>
      <c r="Q85" s="82" t="str">
        <f t="shared" si="0"/>
        <v/>
      </c>
      <c r="R85" s="81"/>
      <c r="S85" s="81"/>
      <c r="T85" s="82" t="str">
        <f t="shared" si="1"/>
        <v/>
      </c>
      <c r="U85" s="81"/>
      <c r="V85" s="82" t="str">
        <f t="shared" si="2"/>
        <v/>
      </c>
      <c r="W85" s="81"/>
      <c r="X85" s="72"/>
      <c r="Y85" s="72"/>
      <c r="Z85" s="72"/>
      <c r="AA85" s="72"/>
      <c r="AB85" s="81"/>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row>
    <row r="86" spans="1:53" ht="13.5" customHeight="1">
      <c r="A86" s="72"/>
      <c r="B86" s="72"/>
      <c r="C86" s="72"/>
      <c r="D86" s="81"/>
      <c r="E86" s="72"/>
      <c r="F86" s="72"/>
      <c r="G86" s="72"/>
      <c r="H86" s="72"/>
      <c r="I86" s="72"/>
      <c r="J86" s="72"/>
      <c r="K86" s="72"/>
      <c r="L86" s="72"/>
      <c r="M86" s="72"/>
      <c r="N86" s="81"/>
      <c r="O86" s="72"/>
      <c r="P86" s="72"/>
      <c r="Q86" s="82" t="str">
        <f t="shared" si="0"/>
        <v/>
      </c>
      <c r="R86" s="81"/>
      <c r="S86" s="81"/>
      <c r="T86" s="82" t="str">
        <f t="shared" si="1"/>
        <v/>
      </c>
      <c r="U86" s="81"/>
      <c r="V86" s="82" t="str">
        <f t="shared" si="2"/>
        <v/>
      </c>
      <c r="W86" s="81"/>
      <c r="X86" s="72"/>
      <c r="Y86" s="72"/>
      <c r="Z86" s="72"/>
      <c r="AA86" s="72"/>
      <c r="AB86" s="81"/>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row>
    <row r="87" spans="1:53" ht="13.5" customHeight="1">
      <c r="A87" s="72"/>
      <c r="B87" s="72"/>
      <c r="C87" s="72"/>
      <c r="D87" s="81"/>
      <c r="E87" s="72"/>
      <c r="F87" s="72"/>
      <c r="G87" s="72"/>
      <c r="H87" s="72"/>
      <c r="I87" s="72"/>
      <c r="J87" s="72"/>
      <c r="K87" s="72"/>
      <c r="L87" s="72"/>
      <c r="M87" s="72"/>
      <c r="N87" s="81"/>
      <c r="O87" s="72"/>
      <c r="P87" s="72"/>
      <c r="Q87" s="82" t="str">
        <f t="shared" si="0"/>
        <v/>
      </c>
      <c r="R87" s="81"/>
      <c r="S87" s="81"/>
      <c r="T87" s="82" t="str">
        <f t="shared" si="1"/>
        <v/>
      </c>
      <c r="U87" s="81"/>
      <c r="V87" s="82" t="str">
        <f t="shared" si="2"/>
        <v/>
      </c>
      <c r="W87" s="81"/>
      <c r="X87" s="72"/>
      <c r="Y87" s="72"/>
      <c r="Z87" s="72"/>
      <c r="AA87" s="72"/>
      <c r="AB87" s="81"/>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row>
    <row r="88" spans="1:53" ht="13.5" customHeight="1">
      <c r="A88" s="72"/>
      <c r="B88" s="72"/>
      <c r="C88" s="72"/>
      <c r="D88" s="81"/>
      <c r="E88" s="72"/>
      <c r="F88" s="72"/>
      <c r="G88" s="72"/>
      <c r="H88" s="72"/>
      <c r="I88" s="72"/>
      <c r="J88" s="72"/>
      <c r="K88" s="72"/>
      <c r="L88" s="72"/>
      <c r="M88" s="72"/>
      <c r="N88" s="81"/>
      <c r="O88" s="72"/>
      <c r="P88" s="72"/>
      <c r="Q88" s="82" t="str">
        <f t="shared" si="0"/>
        <v/>
      </c>
      <c r="R88" s="81"/>
      <c r="S88" s="81"/>
      <c r="T88" s="82" t="str">
        <f t="shared" si="1"/>
        <v/>
      </c>
      <c r="U88" s="81"/>
      <c r="V88" s="82" t="str">
        <f t="shared" si="2"/>
        <v/>
      </c>
      <c r="W88" s="81"/>
      <c r="X88" s="72"/>
      <c r="Y88" s="72"/>
      <c r="Z88" s="72"/>
      <c r="AA88" s="72"/>
      <c r="AB88" s="81"/>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row>
    <row r="89" spans="1:53" ht="13.5" customHeight="1">
      <c r="A89" s="72"/>
      <c r="B89" s="72"/>
      <c r="C89" s="72"/>
      <c r="D89" s="81"/>
      <c r="E89" s="72"/>
      <c r="F89" s="72"/>
      <c r="G89" s="72"/>
      <c r="H89" s="72"/>
      <c r="I89" s="72"/>
      <c r="J89" s="72"/>
      <c r="K89" s="72"/>
      <c r="L89" s="72"/>
      <c r="M89" s="72"/>
      <c r="N89" s="81"/>
      <c r="O89" s="72"/>
      <c r="P89" s="72"/>
      <c r="Q89" s="82" t="str">
        <f t="shared" si="0"/>
        <v/>
      </c>
      <c r="R89" s="81"/>
      <c r="S89" s="81"/>
      <c r="T89" s="82" t="str">
        <f t="shared" si="1"/>
        <v/>
      </c>
      <c r="U89" s="81"/>
      <c r="V89" s="82" t="str">
        <f t="shared" si="2"/>
        <v/>
      </c>
      <c r="W89" s="81"/>
      <c r="X89" s="72"/>
      <c r="Y89" s="72"/>
      <c r="Z89" s="72"/>
      <c r="AA89" s="72"/>
      <c r="AB89" s="81"/>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row>
    <row r="90" spans="1:53" ht="13.5" customHeight="1">
      <c r="A90" s="72"/>
      <c r="B90" s="72"/>
      <c r="C90" s="72"/>
      <c r="D90" s="81"/>
      <c r="E90" s="72"/>
      <c r="F90" s="72"/>
      <c r="G90" s="72"/>
      <c r="H90" s="72"/>
      <c r="I90" s="72"/>
      <c r="J90" s="72"/>
      <c r="K90" s="72"/>
      <c r="L90" s="72"/>
      <c r="M90" s="72"/>
      <c r="N90" s="81"/>
      <c r="O90" s="72"/>
      <c r="P90" s="72"/>
      <c r="Q90" s="82" t="str">
        <f t="shared" si="0"/>
        <v/>
      </c>
      <c r="R90" s="81"/>
      <c r="S90" s="81"/>
      <c r="T90" s="82" t="str">
        <f t="shared" si="1"/>
        <v/>
      </c>
      <c r="U90" s="81"/>
      <c r="V90" s="82" t="str">
        <f t="shared" si="2"/>
        <v/>
      </c>
      <c r="W90" s="81"/>
      <c r="X90" s="72"/>
      <c r="Y90" s="72"/>
      <c r="Z90" s="72"/>
      <c r="AA90" s="72"/>
      <c r="AB90" s="81"/>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row>
    <row r="91" spans="1:53" ht="13.5" customHeight="1">
      <c r="A91" s="72"/>
      <c r="B91" s="72"/>
      <c r="C91" s="72"/>
      <c r="D91" s="81"/>
      <c r="E91" s="72"/>
      <c r="F91" s="72"/>
      <c r="G91" s="72"/>
      <c r="H91" s="72"/>
      <c r="I91" s="72"/>
      <c r="J91" s="72"/>
      <c r="K91" s="72"/>
      <c r="L91" s="72"/>
      <c r="M91" s="72"/>
      <c r="N91" s="81"/>
      <c r="O91" s="72"/>
      <c r="P91" s="72"/>
      <c r="Q91" s="82" t="str">
        <f t="shared" si="0"/>
        <v/>
      </c>
      <c r="R91" s="81"/>
      <c r="S91" s="81"/>
      <c r="T91" s="82" t="str">
        <f t="shared" si="1"/>
        <v/>
      </c>
      <c r="U91" s="81"/>
      <c r="V91" s="82" t="str">
        <f t="shared" si="2"/>
        <v/>
      </c>
      <c r="W91" s="81"/>
      <c r="X91" s="72"/>
      <c r="Y91" s="72"/>
      <c r="Z91" s="72"/>
      <c r="AA91" s="72"/>
      <c r="AB91" s="81"/>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row>
    <row r="92" spans="1:53" ht="13.5" customHeight="1">
      <c r="A92" s="72"/>
      <c r="B92" s="72"/>
      <c r="C92" s="72"/>
      <c r="D92" s="81"/>
      <c r="E92" s="72"/>
      <c r="F92" s="72"/>
      <c r="G92" s="72"/>
      <c r="H92" s="72"/>
      <c r="I92" s="72"/>
      <c r="J92" s="72"/>
      <c r="K92" s="72"/>
      <c r="L92" s="72"/>
      <c r="M92" s="72"/>
      <c r="N92" s="81"/>
      <c r="O92" s="72"/>
      <c r="P92" s="72"/>
      <c r="Q92" s="82" t="str">
        <f t="shared" si="0"/>
        <v/>
      </c>
      <c r="R92" s="81"/>
      <c r="S92" s="81"/>
      <c r="T92" s="82" t="str">
        <f t="shared" si="1"/>
        <v/>
      </c>
      <c r="U92" s="81"/>
      <c r="V92" s="82" t="str">
        <f t="shared" si="2"/>
        <v/>
      </c>
      <c r="W92" s="81"/>
      <c r="X92" s="72"/>
      <c r="Y92" s="72"/>
      <c r="Z92" s="72"/>
      <c r="AA92" s="72"/>
      <c r="AB92" s="81"/>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row>
    <row r="93" spans="1:53" ht="13.5" customHeight="1">
      <c r="A93" s="72"/>
      <c r="B93" s="72"/>
      <c r="C93" s="72"/>
      <c r="D93" s="81"/>
      <c r="E93" s="72"/>
      <c r="F93" s="72"/>
      <c r="G93" s="72"/>
      <c r="H93" s="72"/>
      <c r="I93" s="72"/>
      <c r="J93" s="72"/>
      <c r="K93" s="72"/>
      <c r="L93" s="72"/>
      <c r="M93" s="72"/>
      <c r="N93" s="81"/>
      <c r="O93" s="72"/>
      <c r="P93" s="72"/>
      <c r="Q93" s="82" t="str">
        <f t="shared" si="0"/>
        <v/>
      </c>
      <c r="R93" s="81"/>
      <c r="S93" s="81"/>
      <c r="T93" s="82" t="str">
        <f t="shared" si="1"/>
        <v/>
      </c>
      <c r="U93" s="81"/>
      <c r="V93" s="82" t="str">
        <f t="shared" si="2"/>
        <v/>
      </c>
      <c r="W93" s="81"/>
      <c r="X93" s="72"/>
      <c r="Y93" s="72"/>
      <c r="Z93" s="72"/>
      <c r="AA93" s="72"/>
      <c r="AB93" s="81"/>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row>
    <row r="94" spans="1:53" ht="13.5" customHeight="1">
      <c r="A94" s="72"/>
      <c r="B94" s="72"/>
      <c r="C94" s="72"/>
      <c r="D94" s="81"/>
      <c r="E94" s="72"/>
      <c r="F94" s="72"/>
      <c r="G94" s="72"/>
      <c r="H94" s="72"/>
      <c r="I94" s="72"/>
      <c r="J94" s="72"/>
      <c r="K94" s="72"/>
      <c r="L94" s="72"/>
      <c r="M94" s="72"/>
      <c r="N94" s="81"/>
      <c r="O94" s="72"/>
      <c r="P94" s="72"/>
      <c r="Q94" s="82" t="str">
        <f t="shared" si="0"/>
        <v/>
      </c>
      <c r="R94" s="81"/>
      <c r="S94" s="81"/>
      <c r="T94" s="82" t="str">
        <f t="shared" si="1"/>
        <v/>
      </c>
      <c r="U94" s="81"/>
      <c r="V94" s="82" t="str">
        <f t="shared" si="2"/>
        <v/>
      </c>
      <c r="W94" s="81"/>
      <c r="X94" s="72"/>
      <c r="Y94" s="72"/>
      <c r="Z94" s="72"/>
      <c r="AA94" s="72"/>
      <c r="AB94" s="81"/>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row>
    <row r="95" spans="1:53" ht="13.5" customHeight="1">
      <c r="A95" s="72"/>
      <c r="B95" s="72"/>
      <c r="C95" s="72"/>
      <c r="D95" s="81"/>
      <c r="E95" s="72"/>
      <c r="F95" s="72"/>
      <c r="G95" s="72"/>
      <c r="H95" s="72"/>
      <c r="I95" s="72"/>
      <c r="J95" s="72"/>
      <c r="K95" s="72"/>
      <c r="L95" s="72"/>
      <c r="M95" s="72"/>
      <c r="N95" s="81"/>
      <c r="O95" s="72"/>
      <c r="P95" s="72"/>
      <c r="Q95" s="82" t="str">
        <f t="shared" si="0"/>
        <v/>
      </c>
      <c r="R95" s="81"/>
      <c r="S95" s="81"/>
      <c r="T95" s="82" t="str">
        <f t="shared" si="1"/>
        <v/>
      </c>
      <c r="U95" s="81"/>
      <c r="V95" s="82" t="str">
        <f t="shared" si="2"/>
        <v/>
      </c>
      <c r="W95" s="81"/>
      <c r="X95" s="72"/>
      <c r="Y95" s="72"/>
      <c r="Z95" s="72"/>
      <c r="AA95" s="72"/>
      <c r="AB95" s="81"/>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row>
    <row r="96" spans="1:53" ht="13.5" customHeight="1">
      <c r="A96" s="72"/>
      <c r="B96" s="72"/>
      <c r="C96" s="72"/>
      <c r="D96" s="81"/>
      <c r="E96" s="72"/>
      <c r="F96" s="72"/>
      <c r="G96" s="72"/>
      <c r="H96" s="72"/>
      <c r="I96" s="72"/>
      <c r="J96" s="72"/>
      <c r="K96" s="72"/>
      <c r="L96" s="72"/>
      <c r="M96" s="72"/>
      <c r="N96" s="81"/>
      <c r="O96" s="72"/>
      <c r="P96" s="72"/>
      <c r="Q96" s="82" t="str">
        <f t="shared" si="0"/>
        <v/>
      </c>
      <c r="R96" s="81"/>
      <c r="S96" s="81"/>
      <c r="T96" s="82" t="str">
        <f t="shared" si="1"/>
        <v/>
      </c>
      <c r="U96" s="81"/>
      <c r="V96" s="82" t="str">
        <f t="shared" si="2"/>
        <v/>
      </c>
      <c r="W96" s="81"/>
      <c r="X96" s="72"/>
      <c r="Y96" s="72"/>
      <c r="Z96" s="72"/>
      <c r="AA96" s="72"/>
      <c r="AB96" s="81"/>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row>
    <row r="97" spans="1:53" ht="13.5" customHeight="1">
      <c r="A97" s="72"/>
      <c r="B97" s="72"/>
      <c r="C97" s="72"/>
      <c r="D97" s="81"/>
      <c r="E97" s="72"/>
      <c r="F97" s="72"/>
      <c r="G97" s="72"/>
      <c r="H97" s="72"/>
      <c r="I97" s="72"/>
      <c r="J97" s="72"/>
      <c r="K97" s="72"/>
      <c r="L97" s="72"/>
      <c r="M97" s="72"/>
      <c r="N97" s="81"/>
      <c r="O97" s="72"/>
      <c r="P97" s="72"/>
      <c r="Q97" s="82" t="str">
        <f t="shared" si="0"/>
        <v/>
      </c>
      <c r="R97" s="81"/>
      <c r="S97" s="81"/>
      <c r="T97" s="82" t="str">
        <f t="shared" si="1"/>
        <v/>
      </c>
      <c r="U97" s="81"/>
      <c r="V97" s="82" t="str">
        <f t="shared" si="2"/>
        <v/>
      </c>
      <c r="W97" s="81"/>
      <c r="X97" s="72"/>
      <c r="Y97" s="72"/>
      <c r="Z97" s="72"/>
      <c r="AA97" s="72"/>
      <c r="AB97" s="81"/>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row>
    <row r="98" spans="1:53" ht="13.5" customHeight="1">
      <c r="A98" s="72"/>
      <c r="B98" s="72"/>
      <c r="C98" s="72"/>
      <c r="D98" s="81"/>
      <c r="E98" s="72"/>
      <c r="F98" s="72"/>
      <c r="G98" s="72"/>
      <c r="H98" s="72"/>
      <c r="I98" s="72"/>
      <c r="J98" s="72"/>
      <c r="K98" s="72"/>
      <c r="L98" s="72"/>
      <c r="M98" s="72"/>
      <c r="N98" s="81"/>
      <c r="O98" s="72"/>
      <c r="P98" s="72"/>
      <c r="Q98" s="82" t="str">
        <f t="shared" si="0"/>
        <v/>
      </c>
      <c r="R98" s="81"/>
      <c r="S98" s="81"/>
      <c r="T98" s="82" t="str">
        <f t="shared" si="1"/>
        <v/>
      </c>
      <c r="U98" s="81"/>
      <c r="V98" s="82" t="str">
        <f t="shared" si="2"/>
        <v/>
      </c>
      <c r="W98" s="81"/>
      <c r="X98" s="72"/>
      <c r="Y98" s="72"/>
      <c r="Z98" s="72"/>
      <c r="AA98" s="72"/>
      <c r="AB98" s="81"/>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row>
    <row r="99" spans="1:53" ht="13.5" customHeight="1">
      <c r="A99" s="72"/>
      <c r="B99" s="72"/>
      <c r="C99" s="72"/>
      <c r="D99" s="81"/>
      <c r="E99" s="72"/>
      <c r="F99" s="72"/>
      <c r="G99" s="72"/>
      <c r="H99" s="72"/>
      <c r="I99" s="72"/>
      <c r="J99" s="72"/>
      <c r="K99" s="72"/>
      <c r="L99" s="72"/>
      <c r="M99" s="72"/>
      <c r="N99" s="81"/>
      <c r="O99" s="72"/>
      <c r="P99" s="72"/>
      <c r="Q99" s="82" t="str">
        <f t="shared" si="0"/>
        <v/>
      </c>
      <c r="R99" s="81"/>
      <c r="S99" s="81"/>
      <c r="T99" s="82" t="str">
        <f t="shared" si="1"/>
        <v/>
      </c>
      <c r="U99" s="81"/>
      <c r="V99" s="82" t="str">
        <f t="shared" si="2"/>
        <v/>
      </c>
      <c r="W99" s="81"/>
      <c r="X99" s="72"/>
      <c r="Y99" s="72"/>
      <c r="Z99" s="72"/>
      <c r="AA99" s="72"/>
      <c r="AB99" s="81"/>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row>
    <row r="100" spans="1:53" ht="13.5" customHeight="1">
      <c r="A100" s="72"/>
      <c r="B100" s="72"/>
      <c r="C100" s="72"/>
      <c r="D100" s="81"/>
      <c r="E100" s="72"/>
      <c r="F100" s="72"/>
      <c r="G100" s="72"/>
      <c r="H100" s="72"/>
      <c r="I100" s="72"/>
      <c r="J100" s="72"/>
      <c r="K100" s="72"/>
      <c r="L100" s="72"/>
      <c r="M100" s="72"/>
      <c r="N100" s="81"/>
      <c r="O100" s="72"/>
      <c r="P100" s="72"/>
      <c r="Q100" s="82" t="str">
        <f t="shared" si="0"/>
        <v/>
      </c>
      <c r="R100" s="81"/>
      <c r="S100" s="81"/>
      <c r="T100" s="82" t="str">
        <f t="shared" si="1"/>
        <v/>
      </c>
      <c r="U100" s="81"/>
      <c r="V100" s="82" t="str">
        <f t="shared" si="2"/>
        <v/>
      </c>
      <c r="W100" s="81"/>
      <c r="X100" s="72"/>
      <c r="Y100" s="72"/>
      <c r="Z100" s="72"/>
      <c r="AA100" s="72"/>
      <c r="AB100" s="81"/>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row>
    <row r="101" spans="1:53" ht="13.5" customHeight="1">
      <c r="A101" s="72"/>
      <c r="B101" s="72"/>
      <c r="C101" s="72"/>
      <c r="D101" s="81"/>
      <c r="E101" s="72"/>
      <c r="F101" s="72"/>
      <c r="G101" s="72"/>
      <c r="H101" s="72"/>
      <c r="I101" s="72"/>
      <c r="J101" s="72"/>
      <c r="K101" s="72"/>
      <c r="L101" s="72"/>
      <c r="M101" s="72"/>
      <c r="N101" s="81"/>
      <c r="O101" s="72"/>
      <c r="P101" s="72"/>
      <c r="Q101" s="82" t="str">
        <f t="shared" si="0"/>
        <v/>
      </c>
      <c r="R101" s="81"/>
      <c r="S101" s="81"/>
      <c r="T101" s="82" t="str">
        <f t="shared" si="1"/>
        <v/>
      </c>
      <c r="U101" s="81"/>
      <c r="V101" s="82" t="str">
        <f t="shared" si="2"/>
        <v/>
      </c>
      <c r="W101" s="81"/>
      <c r="X101" s="72"/>
      <c r="Y101" s="72"/>
      <c r="Z101" s="72"/>
      <c r="AA101" s="72"/>
      <c r="AB101" s="81"/>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row>
    <row r="102" spans="1:53" ht="13.5" customHeight="1">
      <c r="A102" s="72"/>
      <c r="B102" s="72"/>
      <c r="C102" s="72"/>
      <c r="D102" s="81"/>
      <c r="E102" s="72"/>
      <c r="F102" s="72"/>
      <c r="G102" s="72"/>
      <c r="H102" s="72"/>
      <c r="I102" s="72"/>
      <c r="J102" s="72"/>
      <c r="K102" s="72"/>
      <c r="L102" s="72"/>
      <c r="M102" s="72"/>
      <c r="N102" s="81"/>
      <c r="O102" s="72"/>
      <c r="P102" s="72"/>
      <c r="Q102" s="82" t="str">
        <f t="shared" si="0"/>
        <v/>
      </c>
      <c r="R102" s="81"/>
      <c r="S102" s="81"/>
      <c r="T102" s="82" t="str">
        <f t="shared" si="1"/>
        <v/>
      </c>
      <c r="U102" s="81"/>
      <c r="V102" s="82" t="str">
        <f t="shared" si="2"/>
        <v/>
      </c>
      <c r="W102" s="81"/>
      <c r="X102" s="72"/>
      <c r="Y102" s="72"/>
      <c r="Z102" s="72"/>
      <c r="AA102" s="72"/>
      <c r="AB102" s="81"/>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row>
    <row r="103" spans="1:53" ht="13.5" customHeight="1">
      <c r="A103" s="72"/>
      <c r="B103" s="72"/>
      <c r="C103" s="72"/>
      <c r="D103" s="81"/>
      <c r="E103" s="72"/>
      <c r="F103" s="72"/>
      <c r="G103" s="72"/>
      <c r="H103" s="72"/>
      <c r="I103" s="72"/>
      <c r="J103" s="72"/>
      <c r="K103" s="72"/>
      <c r="L103" s="72"/>
      <c r="M103" s="72"/>
      <c r="N103" s="81"/>
      <c r="O103" s="72"/>
      <c r="P103" s="72"/>
      <c r="Q103" s="82" t="str">
        <f t="shared" si="0"/>
        <v/>
      </c>
      <c r="R103" s="81"/>
      <c r="S103" s="81"/>
      <c r="T103" s="82" t="str">
        <f t="shared" si="1"/>
        <v/>
      </c>
      <c r="U103" s="81"/>
      <c r="V103" s="82" t="str">
        <f t="shared" si="2"/>
        <v/>
      </c>
      <c r="W103" s="81"/>
      <c r="X103" s="72"/>
      <c r="Y103" s="72"/>
      <c r="Z103" s="72"/>
      <c r="AA103" s="72"/>
      <c r="AB103" s="81"/>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row>
    <row r="104" spans="1:53" ht="13.5" customHeight="1">
      <c r="A104" s="72"/>
      <c r="B104" s="72"/>
      <c r="C104" s="72"/>
      <c r="D104" s="81"/>
      <c r="E104" s="72"/>
      <c r="F104" s="72"/>
      <c r="G104" s="72"/>
      <c r="H104" s="72"/>
      <c r="I104" s="72"/>
      <c r="J104" s="72"/>
      <c r="K104" s="72"/>
      <c r="L104" s="72"/>
      <c r="M104" s="72"/>
      <c r="N104" s="81"/>
      <c r="O104" s="72"/>
      <c r="P104" s="72"/>
      <c r="Q104" s="82" t="str">
        <f t="shared" si="0"/>
        <v/>
      </c>
      <c r="R104" s="81"/>
      <c r="S104" s="81"/>
      <c r="T104" s="82" t="str">
        <f t="shared" si="1"/>
        <v/>
      </c>
      <c r="U104" s="81"/>
      <c r="V104" s="82" t="str">
        <f t="shared" si="2"/>
        <v/>
      </c>
      <c r="W104" s="81"/>
      <c r="X104" s="72"/>
      <c r="Y104" s="72"/>
      <c r="Z104" s="72"/>
      <c r="AA104" s="72"/>
      <c r="AB104" s="81"/>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row>
    <row r="105" spans="1:53" ht="13.5" customHeight="1">
      <c r="A105" s="72"/>
      <c r="B105" s="72"/>
      <c r="C105" s="72"/>
      <c r="D105" s="81"/>
      <c r="E105" s="72"/>
      <c r="F105" s="72"/>
      <c r="G105" s="72"/>
      <c r="H105" s="72"/>
      <c r="I105" s="72"/>
      <c r="J105" s="72"/>
      <c r="K105" s="72"/>
      <c r="L105" s="72"/>
      <c r="M105" s="72"/>
      <c r="N105" s="81"/>
      <c r="O105" s="72"/>
      <c r="P105" s="72"/>
      <c r="Q105" s="82" t="str">
        <f t="shared" si="0"/>
        <v/>
      </c>
      <c r="R105" s="81"/>
      <c r="S105" s="81"/>
      <c r="T105" s="82" t="str">
        <f t="shared" si="1"/>
        <v/>
      </c>
      <c r="U105" s="81"/>
      <c r="V105" s="82" t="str">
        <f t="shared" si="2"/>
        <v/>
      </c>
      <c r="W105" s="81"/>
      <c r="X105" s="72"/>
      <c r="Y105" s="72"/>
      <c r="Z105" s="72"/>
      <c r="AA105" s="72"/>
      <c r="AB105" s="81"/>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row>
    <row r="106" spans="1:53" ht="13.5" customHeight="1">
      <c r="A106" s="72"/>
      <c r="B106" s="72"/>
      <c r="C106" s="72"/>
      <c r="D106" s="81"/>
      <c r="E106" s="72"/>
      <c r="F106" s="72"/>
      <c r="G106" s="72"/>
      <c r="H106" s="72"/>
      <c r="I106" s="72"/>
      <c r="J106" s="72"/>
      <c r="K106" s="72"/>
      <c r="L106" s="72"/>
      <c r="M106" s="72"/>
      <c r="N106" s="81"/>
      <c r="O106" s="72"/>
      <c r="P106" s="72"/>
      <c r="Q106" s="82" t="str">
        <f t="shared" si="0"/>
        <v/>
      </c>
      <c r="R106" s="81"/>
      <c r="S106" s="81"/>
      <c r="T106" s="82" t="str">
        <f t="shared" si="1"/>
        <v/>
      </c>
      <c r="U106" s="81"/>
      <c r="V106" s="82" t="str">
        <f t="shared" si="2"/>
        <v/>
      </c>
      <c r="W106" s="81"/>
      <c r="X106" s="72"/>
      <c r="Y106" s="72"/>
      <c r="Z106" s="72"/>
      <c r="AA106" s="72"/>
      <c r="AB106" s="81"/>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row>
    <row r="107" spans="1:53" ht="13.5" customHeight="1">
      <c r="A107" s="72"/>
      <c r="B107" s="72"/>
      <c r="C107" s="72"/>
      <c r="D107" s="81"/>
      <c r="E107" s="72"/>
      <c r="F107" s="72"/>
      <c r="G107" s="72"/>
      <c r="H107" s="72"/>
      <c r="I107" s="72"/>
      <c r="J107" s="72"/>
      <c r="K107" s="72"/>
      <c r="L107" s="72"/>
      <c r="M107" s="72"/>
      <c r="N107" s="81"/>
      <c r="O107" s="72"/>
      <c r="P107" s="72"/>
      <c r="Q107" s="82" t="str">
        <f t="shared" si="0"/>
        <v/>
      </c>
      <c r="R107" s="81"/>
      <c r="S107" s="81"/>
      <c r="T107" s="82" t="str">
        <f t="shared" si="1"/>
        <v/>
      </c>
      <c r="U107" s="81"/>
      <c r="V107" s="82" t="str">
        <f t="shared" si="2"/>
        <v/>
      </c>
      <c r="W107" s="81"/>
      <c r="X107" s="72"/>
      <c r="Y107" s="72"/>
      <c r="Z107" s="72"/>
      <c r="AA107" s="72"/>
      <c r="AB107" s="81"/>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row>
    <row r="108" spans="1:53" ht="13.5" customHeight="1">
      <c r="A108" s="72"/>
      <c r="B108" s="72"/>
      <c r="C108" s="72"/>
      <c r="D108" s="81"/>
      <c r="E108" s="72"/>
      <c r="F108" s="72"/>
      <c r="G108" s="72"/>
      <c r="H108" s="72"/>
      <c r="I108" s="72"/>
      <c r="J108" s="72"/>
      <c r="K108" s="72"/>
      <c r="L108" s="72"/>
      <c r="M108" s="72"/>
      <c r="N108" s="81"/>
      <c r="O108" s="72"/>
      <c r="P108" s="72"/>
      <c r="Q108" s="82" t="str">
        <f t="shared" si="0"/>
        <v/>
      </c>
      <c r="R108" s="81"/>
      <c r="S108" s="81"/>
      <c r="T108" s="82" t="str">
        <f t="shared" si="1"/>
        <v/>
      </c>
      <c r="U108" s="81"/>
      <c r="V108" s="82" t="str">
        <f t="shared" si="2"/>
        <v/>
      </c>
      <c r="W108" s="81"/>
      <c r="X108" s="72"/>
      <c r="Y108" s="72"/>
      <c r="Z108" s="72"/>
      <c r="AA108" s="72"/>
      <c r="AB108" s="81"/>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row>
    <row r="109" spans="1:53" ht="13.5" customHeight="1">
      <c r="A109" s="72"/>
      <c r="B109" s="72"/>
      <c r="C109" s="72"/>
      <c r="D109" s="81"/>
      <c r="E109" s="72"/>
      <c r="F109" s="72"/>
      <c r="G109" s="72"/>
      <c r="H109" s="72"/>
      <c r="I109" s="72"/>
      <c r="J109" s="72"/>
      <c r="K109" s="72"/>
      <c r="L109" s="72"/>
      <c r="M109" s="72"/>
      <c r="N109" s="81"/>
      <c r="O109" s="72"/>
      <c r="P109" s="72"/>
      <c r="Q109" s="82" t="str">
        <f t="shared" si="0"/>
        <v/>
      </c>
      <c r="R109" s="81"/>
      <c r="S109" s="81"/>
      <c r="T109" s="82" t="str">
        <f t="shared" si="1"/>
        <v/>
      </c>
      <c r="U109" s="81"/>
      <c r="V109" s="82" t="str">
        <f t="shared" si="2"/>
        <v/>
      </c>
      <c r="W109" s="81"/>
      <c r="X109" s="72"/>
      <c r="Y109" s="72"/>
      <c r="Z109" s="72"/>
      <c r="AA109" s="72"/>
      <c r="AB109" s="81"/>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row>
    <row r="110" spans="1:53" ht="13.5" customHeight="1">
      <c r="A110" s="72"/>
      <c r="B110" s="72"/>
      <c r="C110" s="72"/>
      <c r="D110" s="81"/>
      <c r="E110" s="72"/>
      <c r="F110" s="72"/>
      <c r="G110" s="72"/>
      <c r="H110" s="72"/>
      <c r="I110" s="72"/>
      <c r="J110" s="72"/>
      <c r="K110" s="72"/>
      <c r="L110" s="72"/>
      <c r="M110" s="72"/>
      <c r="N110" s="72"/>
      <c r="O110" s="72"/>
      <c r="P110" s="72"/>
      <c r="Q110" s="82" t="str">
        <f t="shared" si="0"/>
        <v/>
      </c>
      <c r="R110" s="72"/>
      <c r="S110" s="72"/>
      <c r="T110" s="82" t="str">
        <f t="shared" si="1"/>
        <v/>
      </c>
      <c r="U110" s="72"/>
      <c r="V110" s="82" t="str">
        <f t="shared" si="2"/>
        <v/>
      </c>
      <c r="W110" s="81"/>
      <c r="X110" s="72"/>
      <c r="Y110" s="72"/>
      <c r="Z110" s="72"/>
      <c r="AA110" s="72"/>
      <c r="AB110" s="81"/>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row>
    <row r="111" spans="1:53" ht="13.5" customHeight="1">
      <c r="A111" s="72"/>
      <c r="B111" s="72"/>
      <c r="C111" s="72"/>
      <c r="D111" s="81"/>
      <c r="E111" s="72"/>
      <c r="F111" s="72"/>
      <c r="G111" s="72"/>
      <c r="H111" s="72"/>
      <c r="I111" s="72"/>
      <c r="J111" s="72"/>
      <c r="K111" s="72"/>
      <c r="L111" s="72"/>
      <c r="M111" s="72"/>
      <c r="N111" s="72"/>
      <c r="O111" s="72"/>
      <c r="P111" s="72"/>
      <c r="Q111" s="82" t="str">
        <f t="shared" si="0"/>
        <v/>
      </c>
      <c r="R111" s="72"/>
      <c r="S111" s="72"/>
      <c r="T111" s="82" t="str">
        <f t="shared" si="1"/>
        <v/>
      </c>
      <c r="U111" s="72"/>
      <c r="V111" s="82" t="str">
        <f t="shared" si="2"/>
        <v/>
      </c>
      <c r="W111" s="81"/>
      <c r="X111" s="72"/>
      <c r="Y111" s="72"/>
      <c r="Z111" s="72"/>
      <c r="AA111" s="72"/>
      <c r="AB111" s="81"/>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row>
    <row r="112" spans="1:53" ht="13.5" customHeight="1">
      <c r="A112" s="72"/>
      <c r="B112" s="72"/>
      <c r="C112" s="72"/>
      <c r="D112" s="81"/>
      <c r="E112" s="72"/>
      <c r="F112" s="72"/>
      <c r="G112" s="72"/>
      <c r="H112" s="72"/>
      <c r="I112" s="72"/>
      <c r="J112" s="72"/>
      <c r="K112" s="72"/>
      <c r="L112" s="72"/>
      <c r="M112" s="72"/>
      <c r="N112" s="72"/>
      <c r="O112" s="72"/>
      <c r="P112" s="72"/>
      <c r="Q112" s="82" t="str">
        <f t="shared" si="0"/>
        <v/>
      </c>
      <c r="R112" s="72"/>
      <c r="S112" s="72"/>
      <c r="T112" s="82" t="str">
        <f t="shared" si="1"/>
        <v/>
      </c>
      <c r="U112" s="72"/>
      <c r="V112" s="82" t="str">
        <f t="shared" si="2"/>
        <v/>
      </c>
      <c r="W112" s="81"/>
      <c r="X112" s="72"/>
      <c r="Y112" s="72"/>
      <c r="Z112" s="72"/>
      <c r="AA112" s="72"/>
      <c r="AB112" s="81"/>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row>
    <row r="113" spans="1:53" ht="13.5" customHeight="1">
      <c r="A113" s="72"/>
      <c r="B113" s="72"/>
      <c r="C113" s="72"/>
      <c r="D113" s="83"/>
      <c r="E113" s="72"/>
      <c r="F113" s="72"/>
      <c r="G113" s="72"/>
      <c r="H113" s="72"/>
      <c r="I113" s="72"/>
      <c r="J113" s="72"/>
      <c r="K113" s="72"/>
      <c r="L113" s="72"/>
      <c r="M113" s="72"/>
      <c r="N113" s="72"/>
      <c r="O113" s="72"/>
      <c r="P113" s="72"/>
      <c r="Q113" s="82" t="str">
        <f t="shared" si="0"/>
        <v/>
      </c>
      <c r="R113" s="72"/>
      <c r="S113" s="72"/>
      <c r="T113" s="82" t="str">
        <f t="shared" si="1"/>
        <v/>
      </c>
      <c r="U113" s="72"/>
      <c r="V113" s="82" t="str">
        <f t="shared" si="2"/>
        <v/>
      </c>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row>
    <row r="114" spans="1:53" ht="13.5" customHeight="1">
      <c r="A114" s="72"/>
      <c r="B114" s="72"/>
      <c r="C114" s="72"/>
      <c r="D114" s="83"/>
      <c r="E114" s="72"/>
      <c r="F114" s="72"/>
      <c r="G114" s="72"/>
      <c r="H114" s="72"/>
      <c r="I114" s="72"/>
      <c r="J114" s="72"/>
      <c r="K114" s="72"/>
      <c r="L114" s="72"/>
      <c r="M114" s="72"/>
      <c r="N114" s="72"/>
      <c r="O114" s="72"/>
      <c r="P114" s="72"/>
      <c r="Q114" s="82" t="str">
        <f t="shared" si="0"/>
        <v/>
      </c>
      <c r="R114" s="72"/>
      <c r="S114" s="72"/>
      <c r="T114" s="82" t="str">
        <f t="shared" si="1"/>
        <v/>
      </c>
      <c r="U114" s="72"/>
      <c r="V114" s="82" t="str">
        <f t="shared" si="2"/>
        <v/>
      </c>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row>
    <row r="115" spans="1:53" ht="13.5" customHeight="1">
      <c r="A115" s="72"/>
      <c r="B115" s="72"/>
      <c r="C115" s="72"/>
      <c r="D115" s="83"/>
      <c r="E115" s="72"/>
      <c r="F115" s="72"/>
      <c r="G115" s="72"/>
      <c r="H115" s="72"/>
      <c r="I115" s="72"/>
      <c r="J115" s="72"/>
      <c r="K115" s="72"/>
      <c r="L115" s="72"/>
      <c r="M115" s="72"/>
      <c r="N115" s="72"/>
      <c r="O115" s="72"/>
      <c r="P115" s="72"/>
      <c r="Q115" s="82" t="str">
        <f t="shared" si="0"/>
        <v/>
      </c>
      <c r="R115" s="72"/>
      <c r="S115" s="72"/>
      <c r="T115" s="82" t="str">
        <f t="shared" si="1"/>
        <v/>
      </c>
      <c r="U115" s="72"/>
      <c r="V115" s="82" t="str">
        <f t="shared" si="2"/>
        <v/>
      </c>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row>
    <row r="116" spans="1:53" ht="13.5" customHeight="1">
      <c r="A116" s="72"/>
      <c r="B116" s="72"/>
      <c r="C116" s="72"/>
      <c r="D116" s="72"/>
      <c r="E116" s="72"/>
      <c r="F116" s="72"/>
      <c r="G116" s="72"/>
      <c r="H116" s="72"/>
      <c r="I116" s="72"/>
      <c r="J116" s="72"/>
      <c r="K116" s="72"/>
      <c r="L116" s="72"/>
      <c r="M116" s="72"/>
      <c r="N116" s="72"/>
      <c r="O116" s="72"/>
      <c r="P116" s="72"/>
      <c r="Q116" s="82"/>
      <c r="R116" s="72"/>
      <c r="S116" s="72"/>
      <c r="T116" s="82"/>
      <c r="U116" s="72"/>
      <c r="V116" s="8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row>
    <row r="117" spans="1:53" ht="13.5" customHeight="1">
      <c r="A117" s="72"/>
      <c r="B117" s="72"/>
      <c r="C117" s="72"/>
      <c r="D117" s="72"/>
      <c r="E117" s="72"/>
      <c r="F117" s="72"/>
      <c r="G117" s="72"/>
      <c r="H117" s="72"/>
      <c r="I117" s="72"/>
      <c r="J117" s="72"/>
      <c r="K117" s="72"/>
      <c r="L117" s="72"/>
      <c r="M117" s="72"/>
      <c r="N117" s="72"/>
      <c r="O117" s="72"/>
      <c r="P117" s="72"/>
      <c r="Q117" s="82"/>
      <c r="R117" s="72"/>
      <c r="S117" s="72"/>
      <c r="T117" s="82"/>
      <c r="U117" s="72"/>
      <c r="V117" s="8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row>
    <row r="118" spans="1:53" ht="13.5" customHeight="1">
      <c r="A118" s="72"/>
      <c r="B118" s="72"/>
      <c r="C118" s="72"/>
      <c r="D118" s="72"/>
      <c r="E118" s="72"/>
      <c r="F118" s="72"/>
      <c r="G118" s="72"/>
      <c r="H118" s="72"/>
      <c r="I118" s="72"/>
      <c r="J118" s="72"/>
      <c r="K118" s="72"/>
      <c r="L118" s="72"/>
      <c r="M118" s="72"/>
      <c r="N118" s="72"/>
      <c r="O118" s="72"/>
      <c r="P118" s="72"/>
      <c r="Q118" s="82"/>
      <c r="R118" s="72"/>
      <c r="S118" s="72"/>
      <c r="T118" s="82"/>
      <c r="U118" s="72"/>
      <c r="V118" s="8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row>
    <row r="119" spans="1:53" ht="13.5" customHeight="1">
      <c r="A119" s="72"/>
      <c r="B119" s="72"/>
      <c r="C119" s="72"/>
      <c r="D119" s="72"/>
      <c r="E119" s="72"/>
      <c r="F119" s="72"/>
      <c r="G119" s="72"/>
      <c r="H119" s="72"/>
      <c r="I119" s="72"/>
      <c r="J119" s="72"/>
      <c r="K119" s="72"/>
      <c r="L119" s="72"/>
      <c r="M119" s="72"/>
      <c r="N119" s="72"/>
      <c r="O119" s="72"/>
      <c r="P119" s="72"/>
      <c r="Q119" s="82"/>
      <c r="R119" s="72"/>
      <c r="S119" s="72"/>
      <c r="T119" s="82"/>
      <c r="U119" s="72"/>
      <c r="V119" s="8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row>
    <row r="120" spans="1:53" ht="13.5" customHeight="1">
      <c r="A120" s="72"/>
      <c r="B120" s="72"/>
      <c r="C120" s="72"/>
      <c r="D120" s="72"/>
      <c r="E120" s="72"/>
      <c r="F120" s="72"/>
      <c r="G120" s="72"/>
      <c r="H120" s="72"/>
      <c r="I120" s="72"/>
      <c r="J120" s="72"/>
      <c r="K120" s="72"/>
      <c r="L120" s="72"/>
      <c r="M120" s="72"/>
      <c r="N120" s="72"/>
      <c r="O120" s="72"/>
      <c r="P120" s="72"/>
      <c r="Q120" s="82"/>
      <c r="R120" s="72"/>
      <c r="S120" s="72"/>
      <c r="T120" s="82"/>
      <c r="U120" s="72"/>
      <c r="V120" s="8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row>
    <row r="121" spans="1:53" ht="13.5" customHeight="1">
      <c r="A121" s="72"/>
      <c r="B121" s="72"/>
      <c r="C121" s="72"/>
      <c r="D121" s="72"/>
      <c r="E121" s="72"/>
      <c r="F121" s="72"/>
      <c r="G121" s="72"/>
      <c r="H121" s="72"/>
      <c r="I121" s="72"/>
      <c r="J121" s="72"/>
      <c r="K121" s="72"/>
      <c r="L121" s="72"/>
      <c r="M121" s="72"/>
      <c r="N121" s="72"/>
      <c r="O121" s="72"/>
      <c r="P121" s="72"/>
      <c r="Q121" s="82"/>
      <c r="R121" s="72"/>
      <c r="S121" s="72"/>
      <c r="T121" s="82"/>
      <c r="U121" s="72"/>
      <c r="V121" s="8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row>
    <row r="122" spans="1:53" ht="13.5" customHeight="1">
      <c r="A122" s="72"/>
      <c r="B122" s="72"/>
      <c r="C122" s="72"/>
      <c r="D122" s="72"/>
      <c r="E122" s="72"/>
      <c r="F122" s="72"/>
      <c r="G122" s="72"/>
      <c r="H122" s="72"/>
      <c r="I122" s="72"/>
      <c r="J122" s="72"/>
      <c r="K122" s="72"/>
      <c r="L122" s="72"/>
      <c r="M122" s="72"/>
      <c r="N122" s="72"/>
      <c r="O122" s="72"/>
      <c r="P122" s="72"/>
      <c r="Q122" s="82"/>
      <c r="R122" s="72"/>
      <c r="S122" s="72"/>
      <c r="T122" s="82"/>
      <c r="U122" s="72"/>
      <c r="V122" s="8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row>
    <row r="123" spans="1:53" ht="13.5" customHeight="1">
      <c r="A123" s="72"/>
      <c r="B123" s="72"/>
      <c r="C123" s="72"/>
      <c r="D123" s="72"/>
      <c r="E123" s="72"/>
      <c r="F123" s="72"/>
      <c r="G123" s="72"/>
      <c r="H123" s="72"/>
      <c r="I123" s="72"/>
      <c r="J123" s="72"/>
      <c r="K123" s="72"/>
      <c r="L123" s="72"/>
      <c r="M123" s="72"/>
      <c r="N123" s="72"/>
      <c r="O123" s="72"/>
      <c r="P123" s="72"/>
      <c r="Q123" s="82"/>
      <c r="R123" s="72"/>
      <c r="S123" s="72"/>
      <c r="T123" s="82"/>
      <c r="U123" s="72"/>
      <c r="V123" s="8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row>
    <row r="124" spans="1:53" ht="13.5" customHeight="1">
      <c r="A124" s="72"/>
      <c r="B124" s="72"/>
      <c r="C124" s="72"/>
      <c r="D124" s="72"/>
      <c r="E124" s="72"/>
      <c r="F124" s="72"/>
      <c r="G124" s="72"/>
      <c r="H124" s="72"/>
      <c r="I124" s="72"/>
      <c r="J124" s="72"/>
      <c r="K124" s="72"/>
      <c r="L124" s="72"/>
      <c r="M124" s="72"/>
      <c r="N124" s="72"/>
      <c r="O124" s="72"/>
      <c r="P124" s="72"/>
      <c r="Q124" s="82"/>
      <c r="R124" s="72"/>
      <c r="S124" s="72"/>
      <c r="T124" s="82"/>
      <c r="U124" s="72"/>
      <c r="V124" s="8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row>
    <row r="125" spans="1:53" ht="13.5" customHeight="1">
      <c r="A125" s="72"/>
      <c r="B125" s="72"/>
      <c r="C125" s="72"/>
      <c r="D125" s="72"/>
      <c r="E125" s="72"/>
      <c r="F125" s="72"/>
      <c r="G125" s="72"/>
      <c r="H125" s="72"/>
      <c r="I125" s="72"/>
      <c r="J125" s="72"/>
      <c r="K125" s="72"/>
      <c r="L125" s="72"/>
      <c r="M125" s="72"/>
      <c r="N125" s="72"/>
      <c r="O125" s="72"/>
      <c r="P125" s="72"/>
      <c r="Q125" s="82"/>
      <c r="R125" s="72"/>
      <c r="S125" s="72"/>
      <c r="T125" s="82"/>
      <c r="U125" s="72"/>
      <c r="V125" s="8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row>
    <row r="126" spans="1:53" ht="13.5" customHeight="1">
      <c r="A126" s="72"/>
      <c r="B126" s="72"/>
      <c r="C126" s="72"/>
      <c r="D126" s="72"/>
      <c r="E126" s="72"/>
      <c r="F126" s="72"/>
      <c r="G126" s="72"/>
      <c r="H126" s="72"/>
      <c r="I126" s="72"/>
      <c r="J126" s="72"/>
      <c r="K126" s="72"/>
      <c r="L126" s="72"/>
      <c r="M126" s="72"/>
      <c r="N126" s="72"/>
      <c r="O126" s="72"/>
      <c r="P126" s="72"/>
      <c r="Q126" s="82"/>
      <c r="R126" s="72"/>
      <c r="S126" s="72"/>
      <c r="T126" s="82"/>
      <c r="U126" s="72"/>
      <c r="V126" s="8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row>
    <row r="127" spans="1:53" ht="13.5" customHeight="1">
      <c r="A127" s="72"/>
      <c r="B127" s="72"/>
      <c r="C127" s="72"/>
      <c r="D127" s="72"/>
      <c r="E127" s="72"/>
      <c r="F127" s="72"/>
      <c r="G127" s="72"/>
      <c r="H127" s="72"/>
      <c r="I127" s="72"/>
      <c r="J127" s="72"/>
      <c r="K127" s="72"/>
      <c r="L127" s="72"/>
      <c r="M127" s="72"/>
      <c r="N127" s="72"/>
      <c r="O127" s="72"/>
      <c r="P127" s="72"/>
      <c r="Q127" s="82"/>
      <c r="R127" s="72"/>
      <c r="S127" s="72"/>
      <c r="T127" s="82"/>
      <c r="U127" s="72"/>
      <c r="V127" s="8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row>
    <row r="128" spans="1:53" ht="13.5" customHeight="1">
      <c r="A128" s="72"/>
      <c r="B128" s="72"/>
      <c r="C128" s="72"/>
      <c r="D128" s="72"/>
      <c r="E128" s="72"/>
      <c r="F128" s="72"/>
      <c r="G128" s="72"/>
      <c r="H128" s="72"/>
      <c r="I128" s="72"/>
      <c r="J128" s="72"/>
      <c r="K128" s="72"/>
      <c r="L128" s="72"/>
      <c r="M128" s="72"/>
      <c r="N128" s="72"/>
      <c r="O128" s="72"/>
      <c r="P128" s="72"/>
      <c r="Q128" s="82"/>
      <c r="R128" s="72"/>
      <c r="S128" s="72"/>
      <c r="T128" s="82"/>
      <c r="U128" s="72"/>
      <c r="V128" s="8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row>
    <row r="129" spans="1:53" ht="13.5" customHeight="1">
      <c r="A129" s="72"/>
      <c r="B129" s="72"/>
      <c r="C129" s="72"/>
      <c r="D129" s="72"/>
      <c r="E129" s="72"/>
      <c r="F129" s="72"/>
      <c r="G129" s="72"/>
      <c r="H129" s="72"/>
      <c r="I129" s="72"/>
      <c r="J129" s="72"/>
      <c r="K129" s="72"/>
      <c r="L129" s="72"/>
      <c r="M129" s="72"/>
      <c r="N129" s="72"/>
      <c r="O129" s="72"/>
      <c r="P129" s="72"/>
      <c r="Q129" s="82"/>
      <c r="R129" s="72"/>
      <c r="S129" s="72"/>
      <c r="T129" s="82"/>
      <c r="U129" s="72"/>
      <c r="V129" s="8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row>
    <row r="130" spans="1:53" ht="13.5" customHeight="1">
      <c r="A130" s="72"/>
      <c r="B130" s="72"/>
      <c r="C130" s="72"/>
      <c r="D130" s="72"/>
      <c r="E130" s="72"/>
      <c r="F130" s="72"/>
      <c r="G130" s="72"/>
      <c r="H130" s="72"/>
      <c r="I130" s="72"/>
      <c r="J130" s="72"/>
      <c r="K130" s="72"/>
      <c r="L130" s="72"/>
      <c r="M130" s="72"/>
      <c r="N130" s="72"/>
      <c r="O130" s="72"/>
      <c r="P130" s="72"/>
      <c r="Q130" s="82"/>
      <c r="R130" s="72"/>
      <c r="S130" s="72"/>
      <c r="T130" s="82"/>
      <c r="U130" s="72"/>
      <c r="V130" s="8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row>
    <row r="131" spans="1:53" ht="13.5" customHeight="1">
      <c r="A131" s="72"/>
      <c r="B131" s="72"/>
      <c r="C131" s="72"/>
      <c r="D131" s="72"/>
      <c r="E131" s="72"/>
      <c r="F131" s="72"/>
      <c r="G131" s="72"/>
      <c r="H131" s="72"/>
      <c r="I131" s="72"/>
      <c r="J131" s="72"/>
      <c r="K131" s="72"/>
      <c r="L131" s="72"/>
      <c r="M131" s="72"/>
      <c r="N131" s="72"/>
      <c r="O131" s="72"/>
      <c r="P131" s="72"/>
      <c r="Q131" s="82"/>
      <c r="R131" s="72"/>
      <c r="S131" s="72"/>
      <c r="T131" s="82"/>
      <c r="U131" s="72"/>
      <c r="V131" s="8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row>
    <row r="132" spans="1:53" ht="13.5" customHeight="1">
      <c r="A132" s="72"/>
      <c r="B132" s="72"/>
      <c r="C132" s="72"/>
      <c r="D132" s="72"/>
      <c r="E132" s="72"/>
      <c r="F132" s="72"/>
      <c r="G132" s="72"/>
      <c r="H132" s="72"/>
      <c r="I132" s="72"/>
      <c r="J132" s="72"/>
      <c r="K132" s="72"/>
      <c r="L132" s="72"/>
      <c r="M132" s="72"/>
      <c r="N132" s="72"/>
      <c r="O132" s="72"/>
      <c r="P132" s="72"/>
      <c r="Q132" s="82"/>
      <c r="R132" s="72"/>
      <c r="S132" s="72"/>
      <c r="T132" s="82"/>
      <c r="U132" s="72"/>
      <c r="V132" s="8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row>
    <row r="133" spans="1:53" ht="13.5" customHeight="1">
      <c r="A133" s="72"/>
      <c r="B133" s="72"/>
      <c r="C133" s="72"/>
      <c r="D133" s="72"/>
      <c r="E133" s="72"/>
      <c r="F133" s="72"/>
      <c r="G133" s="72"/>
      <c r="H133" s="72"/>
      <c r="I133" s="72"/>
      <c r="J133" s="72"/>
      <c r="K133" s="72"/>
      <c r="L133" s="72"/>
      <c r="M133" s="72"/>
      <c r="N133" s="72"/>
      <c r="O133" s="72"/>
      <c r="P133" s="72"/>
      <c r="Q133" s="82"/>
      <c r="R133" s="72"/>
      <c r="S133" s="72"/>
      <c r="T133" s="82"/>
      <c r="U133" s="72"/>
      <c r="V133" s="8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row>
    <row r="134" spans="1:53" ht="13.5" customHeight="1">
      <c r="A134" s="72"/>
      <c r="B134" s="72"/>
      <c r="C134" s="72"/>
      <c r="D134" s="72"/>
      <c r="E134" s="72"/>
      <c r="F134" s="72"/>
      <c r="G134" s="72"/>
      <c r="H134" s="72"/>
      <c r="I134" s="72"/>
      <c r="J134" s="72"/>
      <c r="K134" s="72"/>
      <c r="L134" s="72"/>
      <c r="M134" s="72"/>
      <c r="N134" s="72"/>
      <c r="O134" s="72"/>
      <c r="P134" s="72"/>
      <c r="Q134" s="82"/>
      <c r="R134" s="72"/>
      <c r="S134" s="72"/>
      <c r="T134" s="82"/>
      <c r="U134" s="72"/>
      <c r="V134" s="8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row>
    <row r="135" spans="1:53" ht="13.5" customHeight="1">
      <c r="A135" s="72"/>
      <c r="B135" s="72"/>
      <c r="C135" s="72"/>
      <c r="D135" s="72"/>
      <c r="E135" s="72"/>
      <c r="F135" s="72"/>
      <c r="G135" s="72"/>
      <c r="H135" s="72"/>
      <c r="I135" s="72"/>
      <c r="J135" s="72"/>
      <c r="K135" s="72"/>
      <c r="L135" s="72"/>
      <c r="M135" s="72"/>
      <c r="N135" s="72"/>
      <c r="O135" s="72"/>
      <c r="P135" s="72"/>
      <c r="Q135" s="82"/>
      <c r="R135" s="72"/>
      <c r="S135" s="72"/>
      <c r="T135" s="82"/>
      <c r="U135" s="72"/>
      <c r="V135" s="8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row>
    <row r="136" spans="1:53" ht="13.5" customHeight="1">
      <c r="A136" s="72"/>
      <c r="B136" s="72"/>
      <c r="C136" s="72"/>
      <c r="D136" s="72"/>
      <c r="E136" s="72"/>
      <c r="F136" s="72"/>
      <c r="G136" s="72"/>
      <c r="H136" s="72"/>
      <c r="I136" s="72"/>
      <c r="J136" s="72"/>
      <c r="K136" s="72"/>
      <c r="L136" s="72"/>
      <c r="M136" s="72"/>
      <c r="N136" s="72"/>
      <c r="O136" s="72"/>
      <c r="P136" s="72"/>
      <c r="Q136" s="82"/>
      <c r="R136" s="72"/>
      <c r="S136" s="72"/>
      <c r="T136" s="82"/>
      <c r="U136" s="72"/>
      <c r="V136" s="8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row>
    <row r="137" spans="1:53" ht="13.5" customHeight="1">
      <c r="A137" s="72"/>
      <c r="B137" s="72"/>
      <c r="C137" s="72"/>
      <c r="D137" s="72"/>
      <c r="E137" s="72"/>
      <c r="F137" s="72"/>
      <c r="G137" s="72"/>
      <c r="H137" s="72"/>
      <c r="I137" s="72"/>
      <c r="J137" s="72"/>
      <c r="K137" s="72"/>
      <c r="L137" s="72"/>
      <c r="M137" s="72"/>
      <c r="N137" s="72"/>
      <c r="O137" s="72"/>
      <c r="P137" s="72"/>
      <c r="Q137" s="82"/>
      <c r="R137" s="72"/>
      <c r="S137" s="72"/>
      <c r="T137" s="82"/>
      <c r="U137" s="72"/>
      <c r="V137" s="8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row>
    <row r="138" spans="1:53" ht="13.5" customHeight="1">
      <c r="A138" s="72"/>
      <c r="B138" s="72"/>
      <c r="C138" s="72"/>
      <c r="D138" s="72"/>
      <c r="E138" s="72"/>
      <c r="F138" s="72"/>
      <c r="G138" s="72"/>
      <c r="H138" s="72"/>
      <c r="I138" s="72"/>
      <c r="J138" s="72"/>
      <c r="K138" s="72"/>
      <c r="L138" s="72"/>
      <c r="M138" s="72"/>
      <c r="N138" s="72"/>
      <c r="O138" s="72"/>
      <c r="P138" s="72"/>
      <c r="Q138" s="82"/>
      <c r="R138" s="72"/>
      <c r="S138" s="72"/>
      <c r="T138" s="82"/>
      <c r="U138" s="72"/>
      <c r="V138" s="8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row>
    <row r="139" spans="1:53" ht="13.5" customHeight="1">
      <c r="A139" s="72"/>
      <c r="B139" s="72"/>
      <c r="C139" s="72"/>
      <c r="D139" s="72"/>
      <c r="E139" s="72"/>
      <c r="F139" s="72"/>
      <c r="G139" s="72"/>
      <c r="H139" s="72"/>
      <c r="I139" s="72"/>
      <c r="J139" s="72"/>
      <c r="K139" s="72"/>
      <c r="L139" s="72"/>
      <c r="M139" s="72"/>
      <c r="N139" s="72"/>
      <c r="O139" s="72"/>
      <c r="P139" s="72"/>
      <c r="Q139" s="82"/>
      <c r="R139" s="72"/>
      <c r="S139" s="72"/>
      <c r="T139" s="82"/>
      <c r="U139" s="72"/>
      <c r="V139" s="8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row>
    <row r="140" spans="1:53" ht="13.5" customHeight="1">
      <c r="A140" s="72"/>
      <c r="B140" s="72"/>
      <c r="C140" s="72"/>
      <c r="D140" s="72"/>
      <c r="E140" s="72"/>
      <c r="F140" s="72"/>
      <c r="G140" s="72"/>
      <c r="H140" s="72"/>
      <c r="I140" s="72"/>
      <c r="J140" s="72"/>
      <c r="K140" s="72"/>
      <c r="L140" s="72"/>
      <c r="M140" s="72"/>
      <c r="N140" s="72"/>
      <c r="O140" s="72"/>
      <c r="P140" s="72"/>
      <c r="Q140" s="82"/>
      <c r="R140" s="72"/>
      <c r="S140" s="72"/>
      <c r="T140" s="82"/>
      <c r="U140" s="72"/>
      <c r="V140" s="8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row>
    <row r="141" spans="1:53" ht="13.5" customHeight="1">
      <c r="A141" s="72"/>
      <c r="B141" s="72"/>
      <c r="C141" s="72"/>
      <c r="D141" s="72"/>
      <c r="E141" s="72"/>
      <c r="F141" s="72"/>
      <c r="G141" s="72"/>
      <c r="H141" s="72"/>
      <c r="I141" s="72"/>
      <c r="J141" s="72"/>
      <c r="K141" s="72"/>
      <c r="L141" s="72"/>
      <c r="M141" s="72"/>
      <c r="N141" s="72"/>
      <c r="O141" s="72"/>
      <c r="P141" s="72"/>
      <c r="Q141" s="82"/>
      <c r="R141" s="72"/>
      <c r="S141" s="72"/>
      <c r="T141" s="82"/>
      <c r="U141" s="72"/>
      <c r="V141" s="8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row>
    <row r="142" spans="1:53" ht="13.5" customHeight="1">
      <c r="A142" s="72"/>
      <c r="B142" s="72"/>
      <c r="C142" s="72"/>
      <c r="D142" s="72"/>
      <c r="E142" s="72"/>
      <c r="F142" s="72"/>
      <c r="G142" s="72"/>
      <c r="H142" s="72"/>
      <c r="I142" s="72"/>
      <c r="J142" s="72"/>
      <c r="K142" s="72"/>
      <c r="L142" s="72"/>
      <c r="M142" s="72"/>
      <c r="N142" s="72"/>
      <c r="O142" s="72"/>
      <c r="P142" s="72"/>
      <c r="Q142" s="82"/>
      <c r="R142" s="72"/>
      <c r="S142" s="72"/>
      <c r="T142" s="82"/>
      <c r="U142" s="72"/>
      <c r="V142" s="8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row>
    <row r="143" spans="1:53" ht="13.5" customHeight="1">
      <c r="A143" s="72"/>
      <c r="B143" s="72"/>
      <c r="C143" s="72"/>
      <c r="D143" s="72"/>
      <c r="E143" s="72"/>
      <c r="F143" s="72"/>
      <c r="G143" s="72"/>
      <c r="H143" s="72"/>
      <c r="I143" s="72"/>
      <c r="J143" s="72"/>
      <c r="K143" s="72"/>
      <c r="L143" s="72"/>
      <c r="M143" s="72"/>
      <c r="N143" s="72"/>
      <c r="O143" s="72"/>
      <c r="P143" s="72"/>
      <c r="Q143" s="82"/>
      <c r="R143" s="72"/>
      <c r="S143" s="72"/>
      <c r="T143" s="82"/>
      <c r="U143" s="72"/>
      <c r="V143" s="8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row>
    <row r="144" spans="1:53" ht="13.5" customHeight="1">
      <c r="A144" s="72"/>
      <c r="B144" s="72"/>
      <c r="C144" s="72"/>
      <c r="D144" s="72"/>
      <c r="E144" s="72"/>
      <c r="F144" s="72"/>
      <c r="G144" s="72"/>
      <c r="H144" s="72"/>
      <c r="I144" s="72"/>
      <c r="J144" s="72"/>
      <c r="K144" s="72"/>
      <c r="L144" s="72"/>
      <c r="M144" s="72"/>
      <c r="N144" s="72"/>
      <c r="O144" s="72"/>
      <c r="P144" s="72"/>
      <c r="Q144" s="82"/>
      <c r="R144" s="72"/>
      <c r="S144" s="72"/>
      <c r="T144" s="82"/>
      <c r="U144" s="72"/>
      <c r="V144" s="8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row>
    <row r="145" spans="1:53" ht="13.5" customHeight="1">
      <c r="A145" s="72"/>
      <c r="B145" s="72"/>
      <c r="C145" s="72"/>
      <c r="D145" s="72"/>
      <c r="E145" s="72"/>
      <c r="F145" s="72"/>
      <c r="G145" s="72"/>
      <c r="H145" s="72"/>
      <c r="I145" s="72"/>
      <c r="J145" s="72"/>
      <c r="K145" s="72"/>
      <c r="L145" s="72"/>
      <c r="M145" s="72"/>
      <c r="N145" s="72"/>
      <c r="O145" s="72"/>
      <c r="P145" s="72"/>
      <c r="Q145" s="82"/>
      <c r="R145" s="72"/>
      <c r="S145" s="72"/>
      <c r="T145" s="82"/>
      <c r="U145" s="72"/>
      <c r="V145" s="8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row>
    <row r="146" spans="1:53" ht="13.5" customHeight="1">
      <c r="A146" s="72"/>
      <c r="B146" s="72"/>
      <c r="C146" s="72"/>
      <c r="D146" s="72"/>
      <c r="E146" s="72"/>
      <c r="F146" s="72"/>
      <c r="G146" s="72"/>
      <c r="H146" s="72"/>
      <c r="I146" s="72"/>
      <c r="J146" s="72"/>
      <c r="K146" s="72"/>
      <c r="L146" s="72"/>
      <c r="M146" s="72"/>
      <c r="N146" s="72"/>
      <c r="O146" s="72"/>
      <c r="P146" s="72"/>
      <c r="Q146" s="82"/>
      <c r="R146" s="72"/>
      <c r="S146" s="72"/>
      <c r="T146" s="82"/>
      <c r="U146" s="72"/>
      <c r="V146" s="8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row>
    <row r="147" spans="1:53" ht="13.5" customHeight="1">
      <c r="A147" s="72"/>
      <c r="B147" s="72"/>
      <c r="C147" s="72"/>
      <c r="D147" s="72"/>
      <c r="E147" s="72"/>
      <c r="F147" s="72"/>
      <c r="G147" s="72"/>
      <c r="H147" s="72"/>
      <c r="I147" s="72"/>
      <c r="J147" s="72"/>
      <c r="K147" s="72"/>
      <c r="L147" s="72"/>
      <c r="M147" s="72"/>
      <c r="N147" s="72"/>
      <c r="O147" s="72"/>
      <c r="P147" s="72"/>
      <c r="Q147" s="82"/>
      <c r="R147" s="72"/>
      <c r="S147" s="72"/>
      <c r="T147" s="82"/>
      <c r="U147" s="72"/>
      <c r="V147" s="8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row>
    <row r="148" spans="1:53" ht="13.5" customHeight="1">
      <c r="A148" s="72"/>
      <c r="B148" s="72"/>
      <c r="C148" s="72"/>
      <c r="D148" s="72"/>
      <c r="E148" s="72"/>
      <c r="F148" s="72"/>
      <c r="G148" s="72"/>
      <c r="H148" s="72"/>
      <c r="I148" s="72"/>
      <c r="J148" s="72"/>
      <c r="K148" s="72"/>
      <c r="L148" s="72"/>
      <c r="M148" s="72"/>
      <c r="N148" s="72"/>
      <c r="O148" s="72"/>
      <c r="P148" s="72"/>
      <c r="Q148" s="82"/>
      <c r="R148" s="72"/>
      <c r="S148" s="72"/>
      <c r="T148" s="82"/>
      <c r="U148" s="72"/>
      <c r="V148" s="8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row>
    <row r="149" spans="1:53" ht="13.5" customHeight="1">
      <c r="A149" s="72"/>
      <c r="B149" s="72"/>
      <c r="C149" s="72"/>
      <c r="D149" s="72"/>
      <c r="E149" s="72"/>
      <c r="F149" s="72"/>
      <c r="G149" s="72"/>
      <c r="H149" s="72"/>
      <c r="I149" s="72"/>
      <c r="J149" s="72"/>
      <c r="K149" s="72"/>
      <c r="L149" s="72"/>
      <c r="M149" s="72"/>
      <c r="N149" s="72"/>
      <c r="O149" s="72"/>
      <c r="P149" s="72"/>
      <c r="Q149" s="82"/>
      <c r="R149" s="72"/>
      <c r="S149" s="72"/>
      <c r="T149" s="82"/>
      <c r="U149" s="72"/>
      <c r="V149" s="8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row>
    <row r="150" spans="1:53" ht="13.5" customHeight="1">
      <c r="A150" s="72"/>
      <c r="B150" s="72"/>
      <c r="C150" s="72"/>
      <c r="D150" s="72"/>
      <c r="E150" s="72"/>
      <c r="F150" s="72"/>
      <c r="G150" s="72"/>
      <c r="H150" s="72"/>
      <c r="I150" s="72"/>
      <c r="J150" s="72"/>
      <c r="K150" s="72"/>
      <c r="L150" s="72"/>
      <c r="M150" s="72"/>
      <c r="N150" s="72"/>
      <c r="O150" s="72"/>
      <c r="P150" s="72"/>
      <c r="Q150" s="82"/>
      <c r="R150" s="72"/>
      <c r="S150" s="72"/>
      <c r="T150" s="82"/>
      <c r="U150" s="72"/>
      <c r="V150" s="8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row>
    <row r="151" spans="1:53" ht="13.5" customHeight="1">
      <c r="A151" s="72"/>
      <c r="B151" s="72"/>
      <c r="C151" s="72"/>
      <c r="D151" s="72"/>
      <c r="E151" s="72"/>
      <c r="F151" s="72"/>
      <c r="G151" s="72"/>
      <c r="H151" s="72"/>
      <c r="I151" s="72"/>
      <c r="J151" s="72"/>
      <c r="K151" s="72"/>
      <c r="L151" s="72"/>
      <c r="M151" s="72"/>
      <c r="N151" s="72"/>
      <c r="O151" s="72"/>
      <c r="P151" s="72"/>
      <c r="Q151" s="82"/>
      <c r="R151" s="72"/>
      <c r="S151" s="72"/>
      <c r="T151" s="82"/>
      <c r="U151" s="72"/>
      <c r="V151" s="8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row>
    <row r="152" spans="1:53" ht="13.5" customHeight="1">
      <c r="A152" s="72"/>
      <c r="B152" s="72"/>
      <c r="C152" s="72"/>
      <c r="D152" s="72"/>
      <c r="E152" s="72"/>
      <c r="F152" s="72"/>
      <c r="G152" s="72"/>
      <c r="H152" s="72"/>
      <c r="I152" s="72"/>
      <c r="J152" s="72"/>
      <c r="K152" s="72"/>
      <c r="L152" s="72"/>
      <c r="M152" s="72"/>
      <c r="N152" s="72"/>
      <c r="O152" s="72"/>
      <c r="P152" s="72"/>
      <c r="Q152" s="82"/>
      <c r="R152" s="72"/>
      <c r="S152" s="72"/>
      <c r="T152" s="82"/>
      <c r="U152" s="72"/>
      <c r="V152" s="8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row>
    <row r="153" spans="1:53" ht="13.5" customHeight="1">
      <c r="A153" s="72"/>
      <c r="B153" s="72"/>
      <c r="C153" s="72"/>
      <c r="D153" s="72"/>
      <c r="E153" s="72"/>
      <c r="F153" s="72"/>
      <c r="G153" s="72"/>
      <c r="H153" s="72"/>
      <c r="I153" s="72"/>
      <c r="J153" s="72"/>
      <c r="K153" s="72"/>
      <c r="L153" s="72"/>
      <c r="M153" s="72"/>
      <c r="N153" s="72"/>
      <c r="O153" s="72"/>
      <c r="P153" s="72"/>
      <c r="Q153" s="82"/>
      <c r="R153" s="72"/>
      <c r="S153" s="72"/>
      <c r="T153" s="82"/>
      <c r="U153" s="72"/>
      <c r="V153" s="8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row>
    <row r="154" spans="1:53" ht="13.5" customHeight="1">
      <c r="A154" s="72"/>
      <c r="B154" s="72"/>
      <c r="C154" s="72"/>
      <c r="D154" s="72"/>
      <c r="E154" s="72"/>
      <c r="F154" s="72"/>
      <c r="G154" s="72"/>
      <c r="H154" s="72"/>
      <c r="I154" s="72"/>
      <c r="J154" s="72"/>
      <c r="K154" s="72"/>
      <c r="L154" s="72"/>
      <c r="M154" s="72"/>
      <c r="N154" s="72"/>
      <c r="O154" s="72"/>
      <c r="P154" s="72"/>
      <c r="Q154" s="82"/>
      <c r="R154" s="72"/>
      <c r="S154" s="72"/>
      <c r="T154" s="82"/>
      <c r="U154" s="72"/>
      <c r="V154" s="8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row>
    <row r="155" spans="1:53" ht="13.5" customHeight="1">
      <c r="A155" s="72"/>
      <c r="B155" s="72"/>
      <c r="C155" s="72"/>
      <c r="D155" s="72"/>
      <c r="E155" s="72"/>
      <c r="F155" s="72"/>
      <c r="G155" s="72"/>
      <c r="H155" s="72"/>
      <c r="I155" s="72"/>
      <c r="J155" s="72"/>
      <c r="K155" s="72"/>
      <c r="L155" s="72"/>
      <c r="M155" s="72"/>
      <c r="N155" s="72"/>
      <c r="O155" s="72"/>
      <c r="P155" s="72"/>
      <c r="Q155" s="82"/>
      <c r="R155" s="72"/>
      <c r="S155" s="72"/>
      <c r="T155" s="82"/>
      <c r="U155" s="72"/>
      <c r="V155" s="8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row>
    <row r="156" spans="1:53" ht="13.5" customHeight="1">
      <c r="A156" s="72"/>
      <c r="B156" s="72"/>
      <c r="C156" s="72"/>
      <c r="D156" s="72"/>
      <c r="E156" s="72"/>
      <c r="F156" s="72"/>
      <c r="G156" s="72"/>
      <c r="H156" s="72"/>
      <c r="I156" s="72"/>
      <c r="J156" s="72"/>
      <c r="K156" s="72"/>
      <c r="L156" s="72"/>
      <c r="M156" s="72"/>
      <c r="N156" s="72"/>
      <c r="O156" s="72"/>
      <c r="P156" s="72"/>
      <c r="Q156" s="82"/>
      <c r="R156" s="72"/>
      <c r="S156" s="72"/>
      <c r="T156" s="82"/>
      <c r="U156" s="72"/>
      <c r="V156" s="8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row>
    <row r="157" spans="1:53" ht="13.5" customHeight="1">
      <c r="A157" s="72"/>
      <c r="B157" s="72"/>
      <c r="C157" s="72"/>
      <c r="D157" s="72"/>
      <c r="E157" s="72"/>
      <c r="F157" s="72"/>
      <c r="G157" s="72"/>
      <c r="H157" s="72"/>
      <c r="I157" s="72"/>
      <c r="J157" s="72"/>
      <c r="K157" s="72"/>
      <c r="L157" s="72"/>
      <c r="M157" s="72"/>
      <c r="N157" s="72"/>
      <c r="O157" s="72"/>
      <c r="P157" s="72"/>
      <c r="Q157" s="82"/>
      <c r="R157" s="72"/>
      <c r="S157" s="72"/>
      <c r="T157" s="82"/>
      <c r="U157" s="72"/>
      <c r="V157" s="8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row>
    <row r="158" spans="1:53" ht="13.5" customHeight="1">
      <c r="A158" s="72"/>
      <c r="B158" s="72"/>
      <c r="C158" s="72"/>
      <c r="D158" s="72"/>
      <c r="E158" s="72"/>
      <c r="F158" s="72"/>
      <c r="G158" s="72"/>
      <c r="H158" s="72"/>
      <c r="I158" s="72"/>
      <c r="J158" s="72"/>
      <c r="K158" s="72"/>
      <c r="L158" s="72"/>
      <c r="M158" s="72"/>
      <c r="N158" s="72"/>
      <c r="O158" s="72"/>
      <c r="P158" s="72"/>
      <c r="Q158" s="82"/>
      <c r="R158" s="72"/>
      <c r="S158" s="72"/>
      <c r="T158" s="82"/>
      <c r="U158" s="72"/>
      <c r="V158" s="8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row>
    <row r="159" spans="1:53" ht="13.5" customHeight="1">
      <c r="A159" s="72"/>
      <c r="B159" s="72"/>
      <c r="C159" s="72"/>
      <c r="D159" s="72"/>
      <c r="E159" s="72"/>
      <c r="F159" s="72"/>
      <c r="G159" s="72"/>
      <c r="H159" s="72"/>
      <c r="I159" s="72"/>
      <c r="J159" s="72"/>
      <c r="K159" s="72"/>
      <c r="L159" s="72"/>
      <c r="M159" s="72"/>
      <c r="N159" s="72"/>
      <c r="O159" s="72"/>
      <c r="P159" s="72"/>
      <c r="Q159" s="82"/>
      <c r="R159" s="72"/>
      <c r="S159" s="72"/>
      <c r="T159" s="82"/>
      <c r="U159" s="72"/>
      <c r="V159" s="8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row>
    <row r="160" spans="1:53" ht="13.5" customHeight="1">
      <c r="A160" s="72"/>
      <c r="B160" s="72"/>
      <c r="C160" s="72"/>
      <c r="D160" s="72"/>
      <c r="E160" s="72"/>
      <c r="F160" s="72"/>
      <c r="G160" s="72"/>
      <c r="H160" s="72"/>
      <c r="I160" s="72"/>
      <c r="J160" s="72"/>
      <c r="K160" s="72"/>
      <c r="L160" s="72"/>
      <c r="M160" s="72"/>
      <c r="N160" s="72"/>
      <c r="O160" s="72"/>
      <c r="P160" s="72"/>
      <c r="Q160" s="82"/>
      <c r="R160" s="72"/>
      <c r="S160" s="72"/>
      <c r="T160" s="82"/>
      <c r="U160" s="72"/>
      <c r="V160" s="8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row>
    <row r="161" spans="1:53" ht="13.5" customHeight="1">
      <c r="A161" s="72"/>
      <c r="B161" s="72"/>
      <c r="C161" s="72"/>
      <c r="D161" s="72"/>
      <c r="E161" s="72"/>
      <c r="F161" s="72"/>
      <c r="G161" s="72"/>
      <c r="H161" s="72"/>
      <c r="I161" s="72"/>
      <c r="J161" s="72"/>
      <c r="K161" s="72"/>
      <c r="L161" s="72"/>
      <c r="M161" s="72"/>
      <c r="N161" s="72"/>
      <c r="O161" s="72"/>
      <c r="P161" s="72"/>
      <c r="Q161" s="82"/>
      <c r="R161" s="72"/>
      <c r="S161" s="72"/>
      <c r="T161" s="82"/>
      <c r="U161" s="72"/>
      <c r="V161" s="8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row>
    <row r="162" spans="1:53" ht="13.5" customHeight="1">
      <c r="A162" s="72"/>
      <c r="B162" s="72"/>
      <c r="C162" s="72"/>
      <c r="D162" s="72"/>
      <c r="E162" s="72"/>
      <c r="F162" s="72"/>
      <c r="G162" s="72"/>
      <c r="H162" s="72"/>
      <c r="I162" s="72"/>
      <c r="J162" s="72"/>
      <c r="K162" s="72"/>
      <c r="L162" s="72"/>
      <c r="M162" s="72"/>
      <c r="N162" s="72"/>
      <c r="O162" s="72"/>
      <c r="P162" s="72"/>
      <c r="Q162" s="82"/>
      <c r="R162" s="72"/>
      <c r="S162" s="72"/>
      <c r="T162" s="82"/>
      <c r="U162" s="72"/>
      <c r="V162" s="8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row>
    <row r="163" spans="1:53" ht="13.5" customHeight="1">
      <c r="A163" s="72"/>
      <c r="B163" s="72"/>
      <c r="C163" s="72"/>
      <c r="D163" s="72"/>
      <c r="E163" s="72"/>
      <c r="F163" s="72"/>
      <c r="G163" s="72"/>
      <c r="H163" s="72"/>
      <c r="I163" s="72"/>
      <c r="J163" s="72"/>
      <c r="K163" s="72"/>
      <c r="L163" s="72"/>
      <c r="M163" s="72"/>
      <c r="N163" s="72"/>
      <c r="O163" s="72"/>
      <c r="P163" s="72"/>
      <c r="Q163" s="82"/>
      <c r="R163" s="72"/>
      <c r="S163" s="72"/>
      <c r="T163" s="82"/>
      <c r="U163" s="72"/>
      <c r="V163" s="8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row>
    <row r="164" spans="1:53" ht="13.5" customHeight="1">
      <c r="A164" s="72"/>
      <c r="B164" s="72"/>
      <c r="C164" s="72"/>
      <c r="D164" s="72"/>
      <c r="E164" s="72"/>
      <c r="F164" s="72"/>
      <c r="G164" s="72"/>
      <c r="H164" s="72"/>
      <c r="I164" s="72"/>
      <c r="J164" s="72"/>
      <c r="K164" s="72"/>
      <c r="L164" s="72"/>
      <c r="M164" s="72"/>
      <c r="N164" s="72"/>
      <c r="O164" s="72"/>
      <c r="P164" s="72"/>
      <c r="Q164" s="82"/>
      <c r="R164" s="72"/>
      <c r="S164" s="72"/>
      <c r="T164" s="82"/>
      <c r="U164" s="72"/>
      <c r="V164" s="8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row>
    <row r="165" spans="1:53" ht="13.5" customHeight="1">
      <c r="A165" s="72"/>
      <c r="B165" s="72"/>
      <c r="C165" s="72"/>
      <c r="D165" s="72"/>
      <c r="E165" s="72"/>
      <c r="F165" s="72"/>
      <c r="G165" s="72"/>
      <c r="H165" s="72"/>
      <c r="I165" s="72"/>
      <c r="J165" s="72"/>
      <c r="K165" s="72"/>
      <c r="L165" s="72"/>
      <c r="M165" s="72"/>
      <c r="N165" s="72"/>
      <c r="O165" s="72"/>
      <c r="P165" s="72"/>
      <c r="Q165" s="82"/>
      <c r="R165" s="72"/>
      <c r="S165" s="72"/>
      <c r="T165" s="82"/>
      <c r="U165" s="72"/>
      <c r="V165" s="8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row>
    <row r="166" spans="1:53" ht="13.5" customHeight="1">
      <c r="A166" s="72"/>
      <c r="B166" s="72"/>
      <c r="C166" s="72"/>
      <c r="D166" s="72"/>
      <c r="E166" s="72"/>
      <c r="F166" s="72"/>
      <c r="G166" s="72"/>
      <c r="H166" s="72"/>
      <c r="I166" s="72"/>
      <c r="J166" s="72"/>
      <c r="K166" s="72"/>
      <c r="L166" s="72"/>
      <c r="M166" s="72"/>
      <c r="N166" s="72"/>
      <c r="O166" s="72"/>
      <c r="P166" s="72"/>
      <c r="Q166" s="82"/>
      <c r="R166" s="72"/>
      <c r="S166" s="72"/>
      <c r="T166" s="82"/>
      <c r="U166" s="72"/>
      <c r="V166" s="8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row>
    <row r="167" spans="1:53" ht="13.5" customHeight="1">
      <c r="A167" s="72"/>
      <c r="B167" s="72"/>
      <c r="C167" s="72"/>
      <c r="D167" s="72"/>
      <c r="E167" s="72"/>
      <c r="F167" s="72"/>
      <c r="G167" s="72"/>
      <c r="H167" s="72"/>
      <c r="I167" s="72"/>
      <c r="J167" s="72"/>
      <c r="K167" s="72"/>
      <c r="L167" s="72"/>
      <c r="M167" s="72"/>
      <c r="N167" s="72"/>
      <c r="O167" s="72"/>
      <c r="P167" s="72"/>
      <c r="Q167" s="82"/>
      <c r="R167" s="72"/>
      <c r="S167" s="72"/>
      <c r="T167" s="82"/>
      <c r="U167" s="72"/>
      <c r="V167" s="8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row>
    <row r="168" spans="1:53" ht="13.5" customHeight="1">
      <c r="A168" s="72"/>
      <c r="B168" s="72"/>
      <c r="C168" s="72"/>
      <c r="D168" s="72"/>
      <c r="E168" s="72"/>
      <c r="F168" s="72"/>
      <c r="G168" s="72"/>
      <c r="H168" s="72"/>
      <c r="I168" s="72"/>
      <c r="J168" s="72"/>
      <c r="K168" s="72"/>
      <c r="L168" s="72"/>
      <c r="M168" s="72"/>
      <c r="N168" s="72"/>
      <c r="O168" s="72"/>
      <c r="P168" s="72"/>
      <c r="Q168" s="82"/>
      <c r="R168" s="72"/>
      <c r="S168" s="72"/>
      <c r="T168" s="82"/>
      <c r="U168" s="72"/>
      <c r="V168" s="8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row>
    <row r="169" spans="1:53" ht="13.5" customHeight="1">
      <c r="A169" s="72"/>
      <c r="B169" s="72"/>
      <c r="C169" s="72"/>
      <c r="D169" s="72"/>
      <c r="E169" s="72"/>
      <c r="F169" s="72"/>
      <c r="G169" s="72"/>
      <c r="H169" s="72"/>
      <c r="I169" s="72"/>
      <c r="J169" s="72"/>
      <c r="K169" s="72"/>
      <c r="L169" s="72"/>
      <c r="M169" s="72"/>
      <c r="N169" s="72"/>
      <c r="O169" s="72"/>
      <c r="P169" s="72"/>
      <c r="Q169" s="82"/>
      <c r="R169" s="72"/>
      <c r="S169" s="72"/>
      <c r="T169" s="82"/>
      <c r="U169" s="72"/>
      <c r="V169" s="8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row>
    <row r="170" spans="1:53" ht="13.5" customHeight="1">
      <c r="A170" s="72"/>
      <c r="B170" s="72"/>
      <c r="C170" s="72"/>
      <c r="D170" s="72"/>
      <c r="E170" s="72"/>
      <c r="F170" s="72"/>
      <c r="G170" s="72"/>
      <c r="H170" s="72"/>
      <c r="I170" s="72"/>
      <c r="J170" s="72"/>
      <c r="K170" s="72"/>
      <c r="L170" s="72"/>
      <c r="M170" s="72"/>
      <c r="N170" s="72"/>
      <c r="O170" s="72"/>
      <c r="P170" s="72"/>
      <c r="Q170" s="82"/>
      <c r="R170" s="72"/>
      <c r="S170" s="72"/>
      <c r="T170" s="82"/>
      <c r="U170" s="72"/>
      <c r="V170" s="8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row>
    <row r="171" spans="1:53" ht="13.5" customHeight="1">
      <c r="A171" s="72"/>
      <c r="B171" s="72"/>
      <c r="C171" s="72"/>
      <c r="D171" s="72"/>
      <c r="E171" s="72"/>
      <c r="F171" s="72"/>
      <c r="G171" s="72"/>
      <c r="H171" s="72"/>
      <c r="I171" s="72"/>
      <c r="J171" s="72"/>
      <c r="K171" s="72"/>
      <c r="L171" s="72"/>
      <c r="M171" s="72"/>
      <c r="N171" s="72"/>
      <c r="O171" s="72"/>
      <c r="P171" s="72"/>
      <c r="Q171" s="82"/>
      <c r="R171" s="72"/>
      <c r="S171" s="72"/>
      <c r="T171" s="82"/>
      <c r="U171" s="72"/>
      <c r="V171" s="8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row>
    <row r="172" spans="1:53" ht="13.5" customHeight="1">
      <c r="A172" s="72"/>
      <c r="B172" s="72"/>
      <c r="C172" s="72"/>
      <c r="D172" s="72"/>
      <c r="E172" s="72"/>
      <c r="F172" s="72"/>
      <c r="G172" s="72"/>
      <c r="H172" s="72"/>
      <c r="I172" s="72"/>
      <c r="J172" s="72"/>
      <c r="K172" s="72"/>
      <c r="L172" s="72"/>
      <c r="M172" s="72"/>
      <c r="N172" s="72"/>
      <c r="O172" s="72"/>
      <c r="P172" s="72"/>
      <c r="Q172" s="82"/>
      <c r="R172" s="72"/>
      <c r="S172" s="72"/>
      <c r="T172" s="82"/>
      <c r="U172" s="72"/>
      <c r="V172" s="8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row>
    <row r="173" spans="1:53" ht="13.5" customHeight="1">
      <c r="A173" s="72"/>
      <c r="B173" s="72"/>
      <c r="C173" s="72"/>
      <c r="D173" s="72"/>
      <c r="E173" s="72"/>
      <c r="F173" s="72"/>
      <c r="G173" s="72"/>
      <c r="H173" s="72"/>
      <c r="I173" s="72"/>
      <c r="J173" s="72"/>
      <c r="K173" s="72"/>
      <c r="L173" s="72"/>
      <c r="M173" s="72"/>
      <c r="N173" s="72"/>
      <c r="O173" s="72"/>
      <c r="P173" s="72"/>
      <c r="Q173" s="82"/>
      <c r="R173" s="72"/>
      <c r="S173" s="72"/>
      <c r="T173" s="82"/>
      <c r="U173" s="72"/>
      <c r="V173" s="8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row>
    <row r="174" spans="1:53" ht="13.5" customHeight="1">
      <c r="A174" s="72"/>
      <c r="B174" s="72"/>
      <c r="C174" s="72"/>
      <c r="D174" s="72"/>
      <c r="E174" s="72"/>
      <c r="F174" s="72"/>
      <c r="G174" s="72"/>
      <c r="H174" s="72"/>
      <c r="I174" s="72"/>
      <c r="J174" s="72"/>
      <c r="K174" s="72"/>
      <c r="L174" s="72"/>
      <c r="M174" s="72"/>
      <c r="N174" s="72"/>
      <c r="O174" s="72"/>
      <c r="P174" s="72"/>
      <c r="Q174" s="82"/>
      <c r="R174" s="72"/>
      <c r="S174" s="72"/>
      <c r="T174" s="82"/>
      <c r="U174" s="72"/>
      <c r="V174" s="8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row>
    <row r="175" spans="1:53" ht="13.5" customHeight="1">
      <c r="A175" s="72"/>
      <c r="B175" s="72"/>
      <c r="C175" s="72"/>
      <c r="D175" s="72"/>
      <c r="E175" s="72"/>
      <c r="F175" s="72"/>
      <c r="G175" s="72"/>
      <c r="H175" s="72"/>
      <c r="I175" s="72"/>
      <c r="J175" s="72"/>
      <c r="K175" s="72"/>
      <c r="L175" s="72"/>
      <c r="M175" s="72"/>
      <c r="N175" s="72"/>
      <c r="O175" s="72"/>
      <c r="P175" s="72"/>
      <c r="Q175" s="82"/>
      <c r="R175" s="72"/>
      <c r="S175" s="72"/>
      <c r="T175" s="82"/>
      <c r="U175" s="72"/>
      <c r="V175" s="8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row>
    <row r="176" spans="1:53" ht="13.5" customHeight="1">
      <c r="A176" s="72"/>
      <c r="B176" s="72"/>
      <c r="C176" s="72"/>
      <c r="D176" s="72"/>
      <c r="E176" s="72"/>
      <c r="F176" s="72"/>
      <c r="G176" s="72"/>
      <c r="H176" s="72"/>
      <c r="I176" s="72"/>
      <c r="J176" s="72"/>
      <c r="K176" s="72"/>
      <c r="L176" s="72"/>
      <c r="M176" s="72"/>
      <c r="N176" s="72"/>
      <c r="O176" s="72"/>
      <c r="P176" s="72"/>
      <c r="Q176" s="82"/>
      <c r="R176" s="72"/>
      <c r="S176" s="72"/>
      <c r="T176" s="82"/>
      <c r="U176" s="72"/>
      <c r="V176" s="8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row>
    <row r="177" spans="1:53" ht="13.5" customHeight="1">
      <c r="A177" s="72"/>
      <c r="B177" s="72"/>
      <c r="C177" s="72"/>
      <c r="D177" s="72"/>
      <c r="E177" s="72"/>
      <c r="F177" s="72"/>
      <c r="G177" s="72"/>
      <c r="H177" s="72"/>
      <c r="I177" s="72"/>
      <c r="J177" s="72"/>
      <c r="K177" s="72"/>
      <c r="L177" s="72"/>
      <c r="M177" s="72"/>
      <c r="N177" s="72"/>
      <c r="O177" s="72"/>
      <c r="P177" s="72"/>
      <c r="Q177" s="82"/>
      <c r="R177" s="72"/>
      <c r="S177" s="72"/>
      <c r="T177" s="82"/>
      <c r="U177" s="72"/>
      <c r="V177" s="8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row>
    <row r="178" spans="1:53" ht="13.5" customHeight="1">
      <c r="A178" s="72"/>
      <c r="B178" s="72"/>
      <c r="C178" s="72"/>
      <c r="D178" s="72"/>
      <c r="E178" s="72"/>
      <c r="F178" s="72"/>
      <c r="G178" s="72"/>
      <c r="H178" s="72"/>
      <c r="I178" s="72"/>
      <c r="J178" s="72"/>
      <c r="K178" s="72"/>
      <c r="L178" s="72"/>
      <c r="M178" s="72"/>
      <c r="N178" s="72"/>
      <c r="O178" s="72"/>
      <c r="P178" s="72"/>
      <c r="Q178" s="82"/>
      <c r="R178" s="72"/>
      <c r="S178" s="72"/>
      <c r="T178" s="82"/>
      <c r="U178" s="72"/>
      <c r="V178" s="8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row>
    <row r="179" spans="1:53" ht="13.5" customHeight="1">
      <c r="A179" s="72"/>
      <c r="B179" s="72"/>
      <c r="C179" s="72"/>
      <c r="D179" s="72"/>
      <c r="E179" s="72"/>
      <c r="F179" s="72"/>
      <c r="G179" s="72"/>
      <c r="H179" s="72"/>
      <c r="I179" s="72"/>
      <c r="J179" s="72"/>
      <c r="K179" s="72"/>
      <c r="L179" s="72"/>
      <c r="M179" s="72"/>
      <c r="N179" s="72"/>
      <c r="O179" s="72"/>
      <c r="P179" s="72"/>
      <c r="Q179" s="82"/>
      <c r="R179" s="72"/>
      <c r="S179" s="72"/>
      <c r="T179" s="82"/>
      <c r="U179" s="72"/>
      <c r="V179" s="8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row>
    <row r="180" spans="1:53" ht="13.5" customHeight="1">
      <c r="A180" s="72"/>
      <c r="B180" s="72"/>
      <c r="C180" s="72"/>
      <c r="D180" s="72"/>
      <c r="E180" s="72"/>
      <c r="F180" s="72"/>
      <c r="G180" s="72"/>
      <c r="H180" s="72"/>
      <c r="I180" s="72"/>
      <c r="J180" s="72"/>
      <c r="K180" s="72"/>
      <c r="L180" s="72"/>
      <c r="M180" s="72"/>
      <c r="N180" s="72"/>
      <c r="O180" s="72"/>
      <c r="P180" s="72"/>
      <c r="Q180" s="82"/>
      <c r="R180" s="72"/>
      <c r="S180" s="72"/>
      <c r="T180" s="82"/>
      <c r="U180" s="72"/>
      <c r="V180" s="8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row>
    <row r="181" spans="1:53" ht="13.5" customHeight="1">
      <c r="A181" s="72"/>
      <c r="B181" s="72"/>
      <c r="C181" s="72"/>
      <c r="D181" s="72"/>
      <c r="E181" s="72"/>
      <c r="F181" s="72"/>
      <c r="G181" s="72"/>
      <c r="H181" s="72"/>
      <c r="I181" s="72"/>
      <c r="J181" s="72"/>
      <c r="K181" s="72"/>
      <c r="L181" s="72"/>
      <c r="M181" s="72"/>
      <c r="N181" s="72"/>
      <c r="O181" s="72"/>
      <c r="P181" s="72"/>
      <c r="Q181" s="82"/>
      <c r="R181" s="72"/>
      <c r="S181" s="72"/>
      <c r="T181" s="82"/>
      <c r="U181" s="72"/>
      <c r="V181" s="8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row>
    <row r="182" spans="1:53" ht="13.5" customHeight="1">
      <c r="A182" s="72"/>
      <c r="B182" s="72"/>
      <c r="C182" s="72"/>
      <c r="D182" s="72"/>
      <c r="E182" s="72"/>
      <c r="F182" s="72"/>
      <c r="G182" s="72"/>
      <c r="H182" s="72"/>
      <c r="I182" s="72"/>
      <c r="J182" s="72"/>
      <c r="K182" s="72"/>
      <c r="L182" s="72"/>
      <c r="M182" s="72"/>
      <c r="N182" s="72"/>
      <c r="O182" s="72"/>
      <c r="P182" s="72"/>
      <c r="Q182" s="82"/>
      <c r="R182" s="72"/>
      <c r="S182" s="72"/>
      <c r="T182" s="82"/>
      <c r="U182" s="72"/>
      <c r="V182" s="8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row>
    <row r="183" spans="1:53" ht="13.5" customHeight="1">
      <c r="A183" s="72"/>
      <c r="B183" s="72"/>
      <c r="C183" s="72"/>
      <c r="D183" s="72"/>
      <c r="E183" s="72"/>
      <c r="F183" s="72"/>
      <c r="G183" s="72"/>
      <c r="H183" s="72"/>
      <c r="I183" s="72"/>
      <c r="J183" s="72"/>
      <c r="K183" s="72"/>
      <c r="L183" s="72"/>
      <c r="M183" s="72"/>
      <c r="N183" s="72"/>
      <c r="O183" s="72"/>
      <c r="P183" s="72"/>
      <c r="Q183" s="82"/>
      <c r="R183" s="72"/>
      <c r="S183" s="72"/>
      <c r="T183" s="82"/>
      <c r="U183" s="72"/>
      <c r="V183" s="8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row>
    <row r="184" spans="1:53" ht="13.5" customHeight="1">
      <c r="A184" s="72"/>
      <c r="B184" s="72"/>
      <c r="C184" s="72"/>
      <c r="D184" s="72"/>
      <c r="E184" s="72"/>
      <c r="F184" s="72"/>
      <c r="G184" s="72"/>
      <c r="H184" s="72"/>
      <c r="I184" s="72"/>
      <c r="J184" s="72"/>
      <c r="K184" s="72"/>
      <c r="L184" s="72"/>
      <c r="M184" s="72"/>
      <c r="N184" s="72"/>
      <c r="O184" s="72"/>
      <c r="P184" s="72"/>
      <c r="Q184" s="82"/>
      <c r="R184" s="72"/>
      <c r="S184" s="72"/>
      <c r="T184" s="82"/>
      <c r="U184" s="72"/>
      <c r="V184" s="8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row>
    <row r="185" spans="1:53" ht="13.5" customHeight="1">
      <c r="A185" s="72"/>
      <c r="B185" s="72"/>
      <c r="C185" s="72"/>
      <c r="D185" s="72"/>
      <c r="E185" s="72"/>
      <c r="F185" s="72"/>
      <c r="G185" s="72"/>
      <c r="H185" s="72"/>
      <c r="I185" s="72"/>
      <c r="J185" s="72"/>
      <c r="K185" s="72"/>
      <c r="L185" s="72"/>
      <c r="M185" s="72"/>
      <c r="N185" s="72"/>
      <c r="O185" s="72"/>
      <c r="P185" s="72"/>
      <c r="Q185" s="82"/>
      <c r="R185" s="72"/>
      <c r="S185" s="72"/>
      <c r="T185" s="82"/>
      <c r="U185" s="72"/>
      <c r="V185" s="8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row>
    <row r="186" spans="1:53" ht="13.5" customHeight="1">
      <c r="A186" s="72"/>
      <c r="B186" s="72"/>
      <c r="C186" s="72"/>
      <c r="D186" s="72"/>
      <c r="E186" s="72"/>
      <c r="F186" s="72"/>
      <c r="G186" s="72"/>
      <c r="H186" s="72"/>
      <c r="I186" s="72"/>
      <c r="J186" s="72"/>
      <c r="K186" s="72"/>
      <c r="L186" s="72"/>
      <c r="M186" s="72"/>
      <c r="N186" s="72"/>
      <c r="O186" s="72"/>
      <c r="P186" s="72"/>
      <c r="Q186" s="82"/>
      <c r="R186" s="72"/>
      <c r="S186" s="72"/>
      <c r="T186" s="82"/>
      <c r="U186" s="72"/>
      <c r="V186" s="8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row>
    <row r="187" spans="1:53" ht="13.5" customHeight="1">
      <c r="A187" s="72"/>
      <c r="B187" s="72"/>
      <c r="C187" s="72"/>
      <c r="D187" s="72"/>
      <c r="E187" s="72"/>
      <c r="F187" s="72"/>
      <c r="G187" s="72"/>
      <c r="H187" s="72"/>
      <c r="I187" s="72"/>
      <c r="J187" s="72"/>
      <c r="K187" s="72"/>
      <c r="L187" s="72"/>
      <c r="M187" s="72"/>
      <c r="N187" s="72"/>
      <c r="O187" s="72"/>
      <c r="P187" s="72"/>
      <c r="Q187" s="82"/>
      <c r="R187" s="72"/>
      <c r="S187" s="72"/>
      <c r="T187" s="82"/>
      <c r="U187" s="72"/>
      <c r="V187" s="8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row>
    <row r="188" spans="1:53" ht="13.5" customHeight="1">
      <c r="A188" s="72"/>
      <c r="B188" s="72"/>
      <c r="C188" s="72"/>
      <c r="D188" s="72"/>
      <c r="E188" s="72"/>
      <c r="F188" s="72"/>
      <c r="G188" s="72"/>
      <c r="H188" s="72"/>
      <c r="I188" s="72"/>
      <c r="J188" s="72"/>
      <c r="K188" s="72"/>
      <c r="L188" s="72"/>
      <c r="M188" s="72"/>
      <c r="N188" s="72"/>
      <c r="O188" s="72"/>
      <c r="P188" s="72"/>
      <c r="Q188" s="82"/>
      <c r="R188" s="72"/>
      <c r="S188" s="72"/>
      <c r="T188" s="82"/>
      <c r="U188" s="72"/>
      <c r="V188" s="8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row>
    <row r="189" spans="1:53" ht="13.5" customHeight="1">
      <c r="A189" s="72"/>
      <c r="B189" s="72"/>
      <c r="C189" s="72"/>
      <c r="D189" s="72"/>
      <c r="E189" s="72"/>
      <c r="F189" s="72"/>
      <c r="G189" s="72"/>
      <c r="H189" s="72"/>
      <c r="I189" s="72"/>
      <c r="J189" s="72"/>
      <c r="K189" s="72"/>
      <c r="L189" s="72"/>
      <c r="M189" s="72"/>
      <c r="N189" s="72"/>
      <c r="O189" s="72"/>
      <c r="P189" s="72"/>
      <c r="Q189" s="82"/>
      <c r="R189" s="72"/>
      <c r="S189" s="72"/>
      <c r="T189" s="82"/>
      <c r="U189" s="72"/>
      <c r="V189" s="8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row>
    <row r="190" spans="1:53" ht="13.5" customHeight="1">
      <c r="A190" s="72"/>
      <c r="B190" s="72"/>
      <c r="C190" s="72"/>
      <c r="D190" s="72"/>
      <c r="E190" s="72"/>
      <c r="F190" s="72"/>
      <c r="G190" s="72"/>
      <c r="H190" s="72"/>
      <c r="I190" s="72"/>
      <c r="J190" s="72"/>
      <c r="K190" s="72"/>
      <c r="L190" s="72"/>
      <c r="M190" s="72"/>
      <c r="N190" s="72"/>
      <c r="O190" s="72"/>
      <c r="P190" s="72"/>
      <c r="Q190" s="82"/>
      <c r="R190" s="72"/>
      <c r="S190" s="72"/>
      <c r="T190" s="82"/>
      <c r="U190" s="72"/>
      <c r="V190" s="8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row>
    <row r="191" spans="1:53" ht="13.5" customHeight="1">
      <c r="A191" s="72"/>
      <c r="B191" s="72"/>
      <c r="C191" s="72"/>
      <c r="D191" s="72"/>
      <c r="E191" s="72"/>
      <c r="F191" s="72"/>
      <c r="G191" s="72"/>
      <c r="H191" s="72"/>
      <c r="I191" s="72"/>
      <c r="J191" s="72"/>
      <c r="K191" s="72"/>
      <c r="L191" s="72"/>
      <c r="M191" s="72"/>
      <c r="N191" s="72"/>
      <c r="O191" s="72"/>
      <c r="P191" s="72"/>
      <c r="Q191" s="82"/>
      <c r="R191" s="72"/>
      <c r="S191" s="72"/>
      <c r="T191" s="82"/>
      <c r="U191" s="72"/>
      <c r="V191" s="8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row>
    <row r="192" spans="1:53" ht="13.5" customHeight="1">
      <c r="A192" s="72"/>
      <c r="B192" s="72"/>
      <c r="C192" s="72"/>
      <c r="D192" s="72"/>
      <c r="E192" s="72"/>
      <c r="F192" s="72"/>
      <c r="G192" s="72"/>
      <c r="H192" s="72"/>
      <c r="I192" s="72"/>
      <c r="J192" s="72"/>
      <c r="K192" s="72"/>
      <c r="L192" s="72"/>
      <c r="M192" s="72"/>
      <c r="N192" s="72"/>
      <c r="O192" s="72"/>
      <c r="P192" s="72"/>
      <c r="Q192" s="82"/>
      <c r="R192" s="72"/>
      <c r="S192" s="72"/>
      <c r="T192" s="82"/>
      <c r="U192" s="72"/>
      <c r="V192" s="8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row>
    <row r="193" spans="1:53" ht="13.5" customHeight="1">
      <c r="A193" s="72"/>
      <c r="B193" s="72"/>
      <c r="C193" s="72"/>
      <c r="D193" s="72"/>
      <c r="E193" s="72"/>
      <c r="F193" s="72"/>
      <c r="G193" s="72"/>
      <c r="H193" s="72"/>
      <c r="I193" s="72"/>
      <c r="J193" s="72"/>
      <c r="K193" s="72"/>
      <c r="L193" s="72"/>
      <c r="M193" s="72"/>
      <c r="N193" s="72"/>
      <c r="O193" s="72"/>
      <c r="P193" s="72"/>
      <c r="Q193" s="82"/>
      <c r="R193" s="72"/>
      <c r="S193" s="72"/>
      <c r="T193" s="82"/>
      <c r="U193" s="72"/>
      <c r="V193" s="8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row>
    <row r="194" spans="1:53" ht="13.5" customHeight="1">
      <c r="A194" s="72"/>
      <c r="B194" s="72"/>
      <c r="C194" s="72"/>
      <c r="D194" s="72"/>
      <c r="E194" s="72"/>
      <c r="F194" s="72"/>
      <c r="G194" s="72"/>
      <c r="H194" s="72"/>
      <c r="I194" s="72"/>
      <c r="J194" s="72"/>
      <c r="K194" s="72"/>
      <c r="L194" s="72"/>
      <c r="M194" s="72"/>
      <c r="N194" s="72"/>
      <c r="O194" s="72"/>
      <c r="P194" s="72"/>
      <c r="Q194" s="82"/>
      <c r="R194" s="72"/>
      <c r="S194" s="72"/>
      <c r="T194" s="82"/>
      <c r="U194" s="72"/>
      <c r="V194" s="8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row>
    <row r="195" spans="1:53" ht="13.5" customHeight="1">
      <c r="A195" s="72"/>
      <c r="B195" s="72"/>
      <c r="C195" s="72"/>
      <c r="D195" s="72"/>
      <c r="E195" s="72"/>
      <c r="F195" s="72"/>
      <c r="G195" s="72"/>
      <c r="H195" s="72"/>
      <c r="I195" s="72"/>
      <c r="J195" s="72"/>
      <c r="K195" s="72"/>
      <c r="L195" s="72"/>
      <c r="M195" s="72"/>
      <c r="N195" s="72"/>
      <c r="O195" s="72"/>
      <c r="P195" s="72"/>
      <c r="Q195" s="82"/>
      <c r="R195" s="72"/>
      <c r="S195" s="72"/>
      <c r="T195" s="82"/>
      <c r="U195" s="72"/>
      <c r="V195" s="8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row>
    <row r="196" spans="1:53" ht="13.5" customHeight="1">
      <c r="A196" s="72"/>
      <c r="B196" s="72"/>
      <c r="C196" s="72"/>
      <c r="D196" s="72"/>
      <c r="E196" s="72"/>
      <c r="F196" s="72"/>
      <c r="G196" s="72"/>
      <c r="H196" s="72"/>
      <c r="I196" s="72"/>
      <c r="J196" s="72"/>
      <c r="K196" s="72"/>
      <c r="L196" s="72"/>
      <c r="M196" s="72"/>
      <c r="N196" s="72"/>
      <c r="O196" s="72"/>
      <c r="P196" s="72"/>
      <c r="Q196" s="82"/>
      <c r="R196" s="72"/>
      <c r="S196" s="72"/>
      <c r="T196" s="82"/>
      <c r="U196" s="72"/>
      <c r="V196" s="8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row>
    <row r="197" spans="1:53" ht="13.5" customHeight="1">
      <c r="A197" s="72"/>
      <c r="B197" s="72"/>
      <c r="C197" s="72"/>
      <c r="D197" s="72"/>
      <c r="E197" s="72"/>
      <c r="F197" s="72"/>
      <c r="G197" s="72"/>
      <c r="H197" s="72"/>
      <c r="I197" s="72"/>
      <c r="J197" s="72"/>
      <c r="K197" s="72"/>
      <c r="L197" s="72"/>
      <c r="M197" s="72"/>
      <c r="N197" s="72"/>
      <c r="O197" s="72"/>
      <c r="P197" s="72"/>
      <c r="Q197" s="82"/>
      <c r="R197" s="72"/>
      <c r="S197" s="72"/>
      <c r="T197" s="82"/>
      <c r="U197" s="72"/>
      <c r="V197" s="8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row>
    <row r="198" spans="1:53" ht="13.5" customHeight="1">
      <c r="A198" s="72"/>
      <c r="B198" s="72"/>
      <c r="C198" s="72"/>
      <c r="D198" s="72"/>
      <c r="E198" s="72"/>
      <c r="F198" s="72"/>
      <c r="G198" s="72"/>
      <c r="H198" s="72"/>
      <c r="I198" s="72"/>
      <c r="J198" s="72"/>
      <c r="K198" s="72"/>
      <c r="L198" s="72"/>
      <c r="M198" s="72"/>
      <c r="N198" s="72"/>
      <c r="O198" s="72"/>
      <c r="P198" s="72"/>
      <c r="Q198" s="82"/>
      <c r="R198" s="72"/>
      <c r="S198" s="72"/>
      <c r="T198" s="82"/>
      <c r="U198" s="72"/>
      <c r="V198" s="8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row>
    <row r="199" spans="1:53" ht="13.5" customHeight="1">
      <c r="A199" s="72"/>
      <c r="B199" s="72"/>
      <c r="C199" s="72"/>
      <c r="D199" s="72"/>
      <c r="E199" s="72"/>
      <c r="F199" s="72"/>
      <c r="G199" s="72"/>
      <c r="H199" s="72"/>
      <c r="I199" s="72"/>
      <c r="J199" s="72"/>
      <c r="K199" s="72"/>
      <c r="L199" s="72"/>
      <c r="M199" s="72"/>
      <c r="N199" s="72"/>
      <c r="O199" s="72"/>
      <c r="P199" s="72"/>
      <c r="Q199" s="82"/>
      <c r="R199" s="72"/>
      <c r="S199" s="72"/>
      <c r="T199" s="82"/>
      <c r="U199" s="72"/>
      <c r="V199" s="8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row>
    <row r="200" spans="1:53" ht="13.5" customHeight="1">
      <c r="A200" s="72"/>
      <c r="B200" s="72"/>
      <c r="C200" s="72"/>
      <c r="D200" s="72"/>
      <c r="E200" s="72"/>
      <c r="F200" s="72"/>
      <c r="G200" s="72"/>
      <c r="H200" s="72"/>
      <c r="I200" s="72"/>
      <c r="J200" s="72"/>
      <c r="K200" s="72"/>
      <c r="L200" s="72"/>
      <c r="M200" s="72"/>
      <c r="N200" s="72"/>
      <c r="O200" s="72"/>
      <c r="P200" s="72"/>
      <c r="Q200" s="82"/>
      <c r="R200" s="72"/>
      <c r="S200" s="72"/>
      <c r="T200" s="82"/>
      <c r="U200" s="72"/>
      <c r="V200" s="8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row>
    <row r="201" spans="1:53" ht="13.5" customHeight="1">
      <c r="A201" s="72"/>
      <c r="B201" s="72"/>
      <c r="C201" s="72"/>
      <c r="D201" s="72"/>
      <c r="E201" s="72"/>
      <c r="F201" s="72"/>
      <c r="G201" s="72"/>
      <c r="H201" s="72"/>
      <c r="I201" s="72"/>
      <c r="J201" s="72"/>
      <c r="K201" s="72"/>
      <c r="L201" s="72"/>
      <c r="M201" s="72"/>
      <c r="N201" s="72"/>
      <c r="O201" s="72"/>
      <c r="P201" s="72"/>
      <c r="Q201" s="82"/>
      <c r="R201" s="72"/>
      <c r="S201" s="72"/>
      <c r="T201" s="82"/>
      <c r="U201" s="72"/>
      <c r="V201" s="8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row>
    <row r="202" spans="1:53" ht="13.5" customHeight="1">
      <c r="A202" s="72"/>
      <c r="B202" s="72"/>
      <c r="C202" s="72"/>
      <c r="D202" s="72"/>
      <c r="E202" s="72"/>
      <c r="F202" s="72"/>
      <c r="G202" s="72"/>
      <c r="H202" s="72"/>
      <c r="I202" s="72"/>
      <c r="J202" s="72"/>
      <c r="K202" s="72"/>
      <c r="L202" s="72"/>
      <c r="M202" s="72"/>
      <c r="N202" s="72"/>
      <c r="O202" s="72"/>
      <c r="P202" s="72"/>
      <c r="Q202" s="82"/>
      <c r="R202" s="72"/>
      <c r="S202" s="72"/>
      <c r="T202" s="82"/>
      <c r="U202" s="72"/>
      <c r="V202" s="8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row>
    <row r="203" spans="1:53" ht="13.5" customHeight="1">
      <c r="A203" s="72"/>
      <c r="B203" s="72"/>
      <c r="C203" s="72"/>
      <c r="D203" s="72"/>
      <c r="E203" s="72"/>
      <c r="F203" s="72"/>
      <c r="G203" s="72"/>
      <c r="H203" s="72"/>
      <c r="I203" s="72"/>
      <c r="J203" s="72"/>
      <c r="K203" s="72"/>
      <c r="L203" s="72"/>
      <c r="M203" s="72"/>
      <c r="N203" s="72"/>
      <c r="O203" s="72"/>
      <c r="P203" s="72"/>
      <c r="Q203" s="82"/>
      <c r="R203" s="72"/>
      <c r="S203" s="72"/>
      <c r="T203" s="82"/>
      <c r="U203" s="72"/>
      <c r="V203" s="8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row>
    <row r="204" spans="1:53" ht="13.5" customHeight="1">
      <c r="A204" s="72"/>
      <c r="B204" s="72"/>
      <c r="C204" s="72"/>
      <c r="D204" s="72"/>
      <c r="E204" s="72"/>
      <c r="F204" s="72"/>
      <c r="G204" s="72"/>
      <c r="H204" s="72"/>
      <c r="I204" s="72"/>
      <c r="J204" s="72"/>
      <c r="K204" s="72"/>
      <c r="L204" s="72"/>
      <c r="M204" s="72"/>
      <c r="N204" s="72"/>
      <c r="O204" s="72"/>
      <c r="P204" s="72"/>
      <c r="Q204" s="82"/>
      <c r="R204" s="72"/>
      <c r="S204" s="72"/>
      <c r="T204" s="82"/>
      <c r="U204" s="72"/>
      <c r="V204" s="8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row>
    <row r="205" spans="1:53" ht="13.5" customHeight="1">
      <c r="A205" s="72"/>
      <c r="B205" s="72"/>
      <c r="C205" s="72"/>
      <c r="D205" s="72"/>
      <c r="E205" s="72"/>
      <c r="F205" s="72"/>
      <c r="G205" s="72"/>
      <c r="H205" s="72"/>
      <c r="I205" s="72"/>
      <c r="J205" s="72"/>
      <c r="K205" s="72"/>
      <c r="L205" s="72"/>
      <c r="M205" s="72"/>
      <c r="N205" s="72"/>
      <c r="O205" s="72"/>
      <c r="P205" s="72"/>
      <c r="Q205" s="82"/>
      <c r="R205" s="72"/>
      <c r="S205" s="72"/>
      <c r="T205" s="82"/>
      <c r="U205" s="72"/>
      <c r="V205" s="8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row>
    <row r="206" spans="1:53" ht="13.5" customHeight="1">
      <c r="A206" s="72"/>
      <c r="B206" s="72"/>
      <c r="C206" s="72"/>
      <c r="D206" s="72"/>
      <c r="E206" s="72"/>
      <c r="F206" s="72"/>
      <c r="G206" s="72"/>
      <c r="H206" s="72"/>
      <c r="I206" s="72"/>
      <c r="J206" s="72"/>
      <c r="K206" s="72"/>
      <c r="L206" s="72"/>
      <c r="M206" s="72"/>
      <c r="N206" s="72"/>
      <c r="O206" s="72"/>
      <c r="P206" s="72"/>
      <c r="Q206" s="82"/>
      <c r="R206" s="72"/>
      <c r="S206" s="72"/>
      <c r="T206" s="82"/>
      <c r="U206" s="72"/>
      <c r="V206" s="8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row>
    <row r="207" spans="1:53" ht="13.5" customHeight="1">
      <c r="A207" s="72"/>
      <c r="B207" s="72"/>
      <c r="C207" s="72"/>
      <c r="D207" s="72"/>
      <c r="E207" s="72"/>
      <c r="F207" s="72"/>
      <c r="G207" s="72"/>
      <c r="H207" s="72"/>
      <c r="I207" s="72"/>
      <c r="J207" s="72"/>
      <c r="K207" s="72"/>
      <c r="L207" s="72"/>
      <c r="M207" s="72"/>
      <c r="N207" s="72"/>
      <c r="O207" s="72"/>
      <c r="P207" s="72"/>
      <c r="Q207" s="82"/>
      <c r="R207" s="72"/>
      <c r="S207" s="72"/>
      <c r="T207" s="82"/>
      <c r="U207" s="72"/>
      <c r="V207" s="8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row>
    <row r="208" spans="1:53" ht="13.5" customHeight="1">
      <c r="A208" s="72"/>
      <c r="B208" s="72"/>
      <c r="C208" s="72"/>
      <c r="D208" s="72"/>
      <c r="E208" s="72"/>
      <c r="F208" s="72"/>
      <c r="G208" s="72"/>
      <c r="H208" s="72"/>
      <c r="I208" s="72"/>
      <c r="J208" s="72"/>
      <c r="K208" s="72"/>
      <c r="L208" s="72"/>
      <c r="M208" s="72"/>
      <c r="N208" s="72"/>
      <c r="O208" s="72"/>
      <c r="P208" s="72"/>
      <c r="Q208" s="82"/>
      <c r="R208" s="72"/>
      <c r="S208" s="72"/>
      <c r="T208" s="82"/>
      <c r="U208" s="72"/>
      <c r="V208" s="8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row>
    <row r="209" spans="1:53" ht="13.5" customHeight="1">
      <c r="A209" s="72"/>
      <c r="B209" s="72"/>
      <c r="C209" s="72"/>
      <c r="D209" s="72"/>
      <c r="E209" s="72"/>
      <c r="F209" s="72"/>
      <c r="G209" s="72"/>
      <c r="H209" s="72"/>
      <c r="I209" s="72"/>
      <c r="J209" s="72"/>
      <c r="K209" s="72"/>
      <c r="L209" s="72"/>
      <c r="M209" s="72"/>
      <c r="N209" s="72"/>
      <c r="O209" s="72"/>
      <c r="P209" s="72"/>
      <c r="Q209" s="82"/>
      <c r="R209" s="72"/>
      <c r="S209" s="72"/>
      <c r="T209" s="82"/>
      <c r="U209" s="72"/>
      <c r="V209" s="8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row>
    <row r="210" spans="1:53" ht="13.5" customHeight="1">
      <c r="A210" s="72"/>
      <c r="B210" s="72"/>
      <c r="C210" s="72"/>
      <c r="D210" s="72"/>
      <c r="E210" s="72"/>
      <c r="F210" s="72"/>
      <c r="G210" s="72"/>
      <c r="H210" s="72"/>
      <c r="I210" s="72"/>
      <c r="J210" s="72"/>
      <c r="K210" s="72"/>
      <c r="L210" s="72"/>
      <c r="M210" s="72"/>
      <c r="N210" s="72"/>
      <c r="O210" s="72"/>
      <c r="P210" s="72"/>
      <c r="Q210" s="82"/>
      <c r="R210" s="72"/>
      <c r="S210" s="72"/>
      <c r="T210" s="82"/>
      <c r="U210" s="72"/>
      <c r="V210" s="8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row>
    <row r="211" spans="1:53" ht="13.5" customHeight="1">
      <c r="A211" s="72"/>
      <c r="B211" s="72"/>
      <c r="C211" s="72"/>
      <c r="D211" s="72"/>
      <c r="E211" s="72"/>
      <c r="F211" s="72"/>
      <c r="G211" s="72"/>
      <c r="H211" s="72"/>
      <c r="I211" s="72"/>
      <c r="J211" s="72"/>
      <c r="K211" s="72"/>
      <c r="L211" s="72"/>
      <c r="M211" s="72"/>
      <c r="N211" s="72"/>
      <c r="O211" s="72"/>
      <c r="P211" s="72"/>
      <c r="Q211" s="82"/>
      <c r="R211" s="72"/>
      <c r="S211" s="72"/>
      <c r="T211" s="82"/>
      <c r="U211" s="72"/>
      <c r="V211" s="8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row>
    <row r="212" spans="1:53" ht="13.5" customHeight="1">
      <c r="A212" s="72"/>
      <c r="B212" s="72"/>
      <c r="C212" s="72"/>
      <c r="D212" s="72"/>
      <c r="E212" s="72"/>
      <c r="F212" s="72"/>
      <c r="G212" s="72"/>
      <c r="H212" s="72"/>
      <c r="I212" s="72"/>
      <c r="J212" s="72"/>
      <c r="K212" s="72"/>
      <c r="L212" s="72"/>
      <c r="M212" s="72"/>
      <c r="N212" s="72"/>
      <c r="O212" s="72"/>
      <c r="P212" s="72"/>
      <c r="Q212" s="82"/>
      <c r="R212" s="72"/>
      <c r="S212" s="72"/>
      <c r="T212" s="82"/>
      <c r="U212" s="72"/>
      <c r="V212" s="8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row>
    <row r="213" spans="1:53" ht="13.5" customHeight="1">
      <c r="A213" s="72"/>
      <c r="B213" s="72"/>
      <c r="C213" s="72"/>
      <c r="D213" s="72"/>
      <c r="E213" s="72"/>
      <c r="F213" s="72"/>
      <c r="G213" s="72"/>
      <c r="H213" s="72"/>
      <c r="I213" s="72"/>
      <c r="J213" s="72"/>
      <c r="K213" s="72"/>
      <c r="L213" s="72"/>
      <c r="M213" s="72"/>
      <c r="N213" s="72"/>
      <c r="O213" s="72"/>
      <c r="P213" s="72"/>
      <c r="Q213" s="82"/>
      <c r="R213" s="72"/>
      <c r="S213" s="72"/>
      <c r="T213" s="82"/>
      <c r="U213" s="72"/>
      <c r="V213" s="8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row>
    <row r="214" spans="1:53" ht="13.5" customHeight="1">
      <c r="A214" s="72"/>
      <c r="B214" s="72"/>
      <c r="C214" s="72"/>
      <c r="D214" s="72"/>
      <c r="E214" s="72"/>
      <c r="F214" s="72"/>
      <c r="G214" s="72"/>
      <c r="H214" s="72"/>
      <c r="I214" s="72"/>
      <c r="J214" s="72"/>
      <c r="K214" s="72"/>
      <c r="L214" s="72"/>
      <c r="M214" s="72"/>
      <c r="N214" s="72"/>
      <c r="O214" s="72"/>
      <c r="P214" s="72"/>
      <c r="Q214" s="82"/>
      <c r="R214" s="72"/>
      <c r="S214" s="72"/>
      <c r="T214" s="82"/>
      <c r="U214" s="72"/>
      <c r="V214" s="8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row>
    <row r="215" spans="1:53" ht="13.5" customHeight="1">
      <c r="A215" s="72"/>
      <c r="B215" s="72"/>
      <c r="C215" s="72"/>
      <c r="D215" s="72"/>
      <c r="E215" s="72"/>
      <c r="F215" s="72"/>
      <c r="G215" s="72"/>
      <c r="H215" s="72"/>
      <c r="I215" s="72"/>
      <c r="J215" s="72"/>
      <c r="K215" s="72"/>
      <c r="L215" s="72"/>
      <c r="M215" s="72"/>
      <c r="N215" s="72"/>
      <c r="O215" s="72"/>
      <c r="P215" s="72"/>
      <c r="Q215" s="82"/>
      <c r="R215" s="72"/>
      <c r="S215" s="72"/>
      <c r="T215" s="82"/>
      <c r="U215" s="72"/>
      <c r="V215" s="8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row>
    <row r="216" spans="1:53" ht="13.5" customHeight="1">
      <c r="A216" s="72"/>
      <c r="B216" s="72"/>
      <c r="C216" s="72"/>
      <c r="D216" s="72"/>
      <c r="E216" s="72"/>
      <c r="F216" s="72"/>
      <c r="G216" s="72"/>
      <c r="H216" s="72"/>
      <c r="I216" s="72"/>
      <c r="J216" s="72"/>
      <c r="K216" s="72"/>
      <c r="L216" s="72"/>
      <c r="M216" s="72"/>
      <c r="N216" s="72"/>
      <c r="O216" s="72"/>
      <c r="P216" s="72"/>
      <c r="Q216" s="82"/>
      <c r="R216" s="72"/>
      <c r="S216" s="72"/>
      <c r="T216" s="82"/>
      <c r="U216" s="72"/>
      <c r="V216" s="8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row>
    <row r="217" spans="1:53" ht="13.5" customHeight="1">
      <c r="A217" s="72"/>
      <c r="B217" s="72"/>
      <c r="C217" s="72"/>
      <c r="D217" s="72"/>
      <c r="E217" s="72"/>
      <c r="F217" s="72"/>
      <c r="G217" s="72"/>
      <c r="H217" s="72"/>
      <c r="I217" s="72"/>
      <c r="J217" s="72"/>
      <c r="K217" s="72"/>
      <c r="L217" s="72"/>
      <c r="M217" s="72"/>
      <c r="N217" s="72"/>
      <c r="O217" s="72"/>
      <c r="P217" s="72"/>
      <c r="Q217" s="82"/>
      <c r="R217" s="72"/>
      <c r="S217" s="72"/>
      <c r="T217" s="82"/>
      <c r="U217" s="72"/>
      <c r="V217" s="8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row>
    <row r="218" spans="1:53" ht="13.5" customHeight="1">
      <c r="A218" s="72"/>
      <c r="B218" s="72"/>
      <c r="C218" s="72"/>
      <c r="D218" s="72"/>
      <c r="E218" s="72"/>
      <c r="F218" s="72"/>
      <c r="G218" s="72"/>
      <c r="H218" s="72"/>
      <c r="I218" s="72"/>
      <c r="J218" s="72"/>
      <c r="K218" s="72"/>
      <c r="L218" s="72"/>
      <c r="M218" s="72"/>
      <c r="N218" s="72"/>
      <c r="O218" s="72"/>
      <c r="P218" s="72"/>
      <c r="Q218" s="82"/>
      <c r="R218" s="72"/>
      <c r="S218" s="72"/>
      <c r="T218" s="82"/>
      <c r="U218" s="72"/>
      <c r="V218" s="8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row>
    <row r="219" spans="1:53" ht="13.5" customHeight="1">
      <c r="A219" s="72"/>
      <c r="B219" s="72"/>
      <c r="C219" s="72"/>
      <c r="D219" s="72"/>
      <c r="E219" s="72"/>
      <c r="F219" s="72"/>
      <c r="G219" s="72"/>
      <c r="H219" s="72"/>
      <c r="I219" s="72"/>
      <c r="J219" s="72"/>
      <c r="K219" s="72"/>
      <c r="L219" s="72"/>
      <c r="M219" s="72"/>
      <c r="N219" s="72"/>
      <c r="O219" s="72"/>
      <c r="P219" s="72"/>
      <c r="Q219" s="82"/>
      <c r="R219" s="72"/>
      <c r="S219" s="72"/>
      <c r="T219" s="82"/>
      <c r="U219" s="72"/>
      <c r="V219" s="8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row>
    <row r="220" spans="1:53" ht="13.5" customHeight="1">
      <c r="A220" s="72"/>
      <c r="B220" s="72"/>
      <c r="C220" s="72"/>
      <c r="D220" s="72"/>
      <c r="E220" s="72"/>
      <c r="F220" s="72"/>
      <c r="G220" s="72"/>
      <c r="H220" s="72"/>
      <c r="I220" s="72"/>
      <c r="J220" s="72"/>
      <c r="K220" s="72"/>
      <c r="L220" s="72"/>
      <c r="M220" s="72"/>
      <c r="N220" s="72"/>
      <c r="O220" s="72"/>
      <c r="P220" s="72"/>
      <c r="Q220" s="82"/>
      <c r="R220" s="72"/>
      <c r="S220" s="72"/>
      <c r="T220" s="82"/>
      <c r="U220" s="72"/>
      <c r="V220" s="8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row>
    <row r="221" spans="1:53" ht="13.5" customHeight="1">
      <c r="A221" s="72"/>
      <c r="B221" s="72"/>
      <c r="C221" s="72"/>
      <c r="D221" s="72"/>
      <c r="E221" s="72"/>
      <c r="F221" s="72"/>
      <c r="G221" s="72"/>
      <c r="H221" s="72"/>
      <c r="I221" s="72"/>
      <c r="J221" s="72"/>
      <c r="K221" s="72"/>
      <c r="L221" s="72"/>
      <c r="M221" s="72"/>
      <c r="N221" s="72"/>
      <c r="O221" s="72"/>
      <c r="P221" s="72"/>
      <c r="Q221" s="82"/>
      <c r="R221" s="72"/>
      <c r="S221" s="72"/>
      <c r="T221" s="82"/>
      <c r="U221" s="72"/>
      <c r="V221" s="8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row>
    <row r="222" spans="1:53" ht="13.5" customHeight="1">
      <c r="A222" s="72"/>
      <c r="B222" s="72"/>
      <c r="C222" s="72"/>
      <c r="D222" s="72"/>
      <c r="E222" s="72"/>
      <c r="F222" s="72"/>
      <c r="G222" s="72"/>
      <c r="H222" s="72"/>
      <c r="I222" s="72"/>
      <c r="J222" s="72"/>
      <c r="K222" s="72"/>
      <c r="L222" s="72"/>
      <c r="M222" s="72"/>
      <c r="N222" s="72"/>
      <c r="O222" s="72"/>
      <c r="P222" s="72"/>
      <c r="Q222" s="82"/>
      <c r="R222" s="72"/>
      <c r="S222" s="72"/>
      <c r="T222" s="82"/>
      <c r="U222" s="72"/>
      <c r="V222" s="8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row>
    <row r="223" spans="1:53" ht="13.5" customHeight="1">
      <c r="A223" s="72"/>
      <c r="B223" s="72"/>
      <c r="C223" s="72"/>
      <c r="D223" s="72"/>
      <c r="E223" s="72"/>
      <c r="F223" s="72"/>
      <c r="G223" s="72"/>
      <c r="H223" s="72"/>
      <c r="I223" s="72"/>
      <c r="J223" s="72"/>
      <c r="K223" s="72"/>
      <c r="L223" s="72"/>
      <c r="M223" s="72"/>
      <c r="N223" s="72"/>
      <c r="O223" s="72"/>
      <c r="P223" s="72"/>
      <c r="Q223" s="82"/>
      <c r="R223" s="72"/>
      <c r="S223" s="72"/>
      <c r="T223" s="82"/>
      <c r="U223" s="72"/>
      <c r="V223" s="8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row>
    <row r="224" spans="1:53" ht="13.5" customHeight="1">
      <c r="A224" s="72"/>
      <c r="B224" s="72"/>
      <c r="C224" s="72"/>
      <c r="D224" s="72"/>
      <c r="E224" s="72"/>
      <c r="F224" s="72"/>
      <c r="G224" s="72"/>
      <c r="H224" s="72"/>
      <c r="I224" s="72"/>
      <c r="J224" s="72"/>
      <c r="K224" s="72"/>
      <c r="L224" s="72"/>
      <c r="M224" s="72"/>
      <c r="N224" s="72"/>
      <c r="O224" s="72"/>
      <c r="P224" s="72"/>
      <c r="Q224" s="82"/>
      <c r="R224" s="72"/>
      <c r="S224" s="72"/>
      <c r="T224" s="82"/>
      <c r="U224" s="72"/>
      <c r="V224" s="8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row>
    <row r="225" spans="1:53" ht="13.5" customHeight="1">
      <c r="A225" s="72"/>
      <c r="B225" s="72"/>
      <c r="C225" s="72"/>
      <c r="D225" s="72"/>
      <c r="E225" s="72"/>
      <c r="F225" s="72"/>
      <c r="G225" s="72"/>
      <c r="H225" s="72"/>
      <c r="I225" s="72"/>
      <c r="J225" s="72"/>
      <c r="K225" s="72"/>
      <c r="L225" s="72"/>
      <c r="M225" s="72"/>
      <c r="N225" s="72"/>
      <c r="O225" s="72"/>
      <c r="P225" s="72"/>
      <c r="Q225" s="82"/>
      <c r="R225" s="72"/>
      <c r="S225" s="72"/>
      <c r="T225" s="82"/>
      <c r="U225" s="72"/>
      <c r="V225" s="8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row>
    <row r="226" spans="1:53" ht="13.5" customHeight="1">
      <c r="A226" s="72"/>
      <c r="B226" s="72"/>
      <c r="C226" s="72"/>
      <c r="D226" s="72"/>
      <c r="E226" s="72"/>
      <c r="F226" s="72"/>
      <c r="G226" s="72"/>
      <c r="H226" s="72"/>
      <c r="I226" s="72"/>
      <c r="J226" s="72"/>
      <c r="K226" s="72"/>
      <c r="L226" s="72"/>
      <c r="M226" s="72"/>
      <c r="N226" s="72"/>
      <c r="O226" s="72"/>
      <c r="P226" s="72"/>
      <c r="Q226" s="82"/>
      <c r="R226" s="72"/>
      <c r="S226" s="72"/>
      <c r="T226" s="82"/>
      <c r="U226" s="72"/>
      <c r="V226" s="8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row>
    <row r="227" spans="1:53" ht="13.5" customHeight="1">
      <c r="A227" s="72"/>
      <c r="B227" s="72"/>
      <c r="C227" s="72"/>
      <c r="D227" s="72"/>
      <c r="E227" s="72"/>
      <c r="F227" s="72"/>
      <c r="G227" s="72"/>
      <c r="H227" s="72"/>
      <c r="I227" s="72"/>
      <c r="J227" s="72"/>
      <c r="K227" s="72"/>
      <c r="L227" s="72"/>
      <c r="M227" s="72"/>
      <c r="N227" s="72"/>
      <c r="O227" s="72"/>
      <c r="P227" s="72"/>
      <c r="Q227" s="82"/>
      <c r="R227" s="72"/>
      <c r="S227" s="72"/>
      <c r="T227" s="82"/>
      <c r="U227" s="72"/>
      <c r="V227" s="8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row>
    <row r="228" spans="1:53" ht="13.5" customHeight="1">
      <c r="A228" s="72"/>
      <c r="B228" s="72"/>
      <c r="C228" s="72"/>
      <c r="D228" s="72"/>
      <c r="E228" s="72"/>
      <c r="F228" s="72"/>
      <c r="G228" s="72"/>
      <c r="H228" s="72"/>
      <c r="I228" s="72"/>
      <c r="J228" s="72"/>
      <c r="K228" s="72"/>
      <c r="L228" s="72"/>
      <c r="M228" s="72"/>
      <c r="N228" s="72"/>
      <c r="O228" s="72"/>
      <c r="P228" s="72"/>
      <c r="Q228" s="82"/>
      <c r="R228" s="72"/>
      <c r="S228" s="72"/>
      <c r="T228" s="82"/>
      <c r="U228" s="72"/>
      <c r="V228" s="8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row>
    <row r="229" spans="1:53" ht="13.5" customHeight="1">
      <c r="A229" s="72"/>
      <c r="B229" s="72"/>
      <c r="C229" s="72"/>
      <c r="D229" s="72"/>
      <c r="E229" s="72"/>
      <c r="F229" s="72"/>
      <c r="G229" s="72"/>
      <c r="H229" s="72"/>
      <c r="I229" s="72"/>
      <c r="J229" s="72"/>
      <c r="K229" s="72"/>
      <c r="L229" s="72"/>
      <c r="M229" s="72"/>
      <c r="N229" s="72"/>
      <c r="O229" s="72"/>
      <c r="P229" s="72"/>
      <c r="Q229" s="82"/>
      <c r="R229" s="72"/>
      <c r="S229" s="72"/>
      <c r="T229" s="82"/>
      <c r="U229" s="72"/>
      <c r="V229" s="8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row>
    <row r="230" spans="1:53" ht="13.5" customHeight="1">
      <c r="A230" s="72"/>
      <c r="B230" s="72"/>
      <c r="C230" s="72"/>
      <c r="D230" s="72"/>
      <c r="E230" s="72"/>
      <c r="F230" s="72"/>
      <c r="G230" s="72"/>
      <c r="H230" s="72"/>
      <c r="I230" s="72"/>
      <c r="J230" s="72"/>
      <c r="K230" s="72"/>
      <c r="L230" s="72"/>
      <c r="M230" s="72"/>
      <c r="N230" s="72"/>
      <c r="O230" s="72"/>
      <c r="P230" s="72"/>
      <c r="Q230" s="82"/>
      <c r="R230" s="72"/>
      <c r="S230" s="72"/>
      <c r="T230" s="82"/>
      <c r="U230" s="72"/>
      <c r="V230" s="8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row>
    <row r="231" spans="1:53" ht="13.5" customHeight="1">
      <c r="A231" s="72"/>
      <c r="B231" s="72"/>
      <c r="C231" s="72"/>
      <c r="D231" s="72"/>
      <c r="E231" s="72"/>
      <c r="F231" s="72"/>
      <c r="G231" s="72"/>
      <c r="H231" s="72"/>
      <c r="I231" s="72"/>
      <c r="J231" s="72"/>
      <c r="K231" s="72"/>
      <c r="L231" s="72"/>
      <c r="M231" s="72"/>
      <c r="N231" s="72"/>
      <c r="O231" s="72"/>
      <c r="P231" s="72"/>
      <c r="Q231" s="82"/>
      <c r="R231" s="72"/>
      <c r="S231" s="72"/>
      <c r="T231" s="82"/>
      <c r="U231" s="72"/>
      <c r="V231" s="8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row>
    <row r="232" spans="1:53" ht="13.5" customHeight="1">
      <c r="A232" s="72"/>
      <c r="B232" s="72"/>
      <c r="C232" s="72"/>
      <c r="D232" s="72"/>
      <c r="E232" s="72"/>
      <c r="F232" s="72"/>
      <c r="G232" s="72"/>
      <c r="H232" s="72"/>
      <c r="I232" s="72"/>
      <c r="J232" s="72"/>
      <c r="K232" s="72"/>
      <c r="L232" s="72"/>
      <c r="M232" s="72"/>
      <c r="N232" s="72"/>
      <c r="O232" s="72"/>
      <c r="P232" s="72"/>
      <c r="Q232" s="82"/>
      <c r="R232" s="72"/>
      <c r="S232" s="72"/>
      <c r="T232" s="82"/>
      <c r="U232" s="72"/>
      <c r="V232" s="8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row>
    <row r="233" spans="1:53" ht="13.5" customHeight="1">
      <c r="A233" s="72"/>
      <c r="B233" s="72"/>
      <c r="C233" s="72"/>
      <c r="D233" s="72"/>
      <c r="E233" s="72"/>
      <c r="F233" s="72"/>
      <c r="G233" s="72"/>
      <c r="H233" s="72"/>
      <c r="I233" s="72"/>
      <c r="J233" s="72"/>
      <c r="K233" s="72"/>
      <c r="L233" s="72"/>
      <c r="M233" s="72"/>
      <c r="N233" s="72"/>
      <c r="O233" s="72"/>
      <c r="P233" s="72"/>
      <c r="Q233" s="82"/>
      <c r="R233" s="72"/>
      <c r="S233" s="72"/>
      <c r="T233" s="82"/>
      <c r="U233" s="72"/>
      <c r="V233" s="8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row>
    <row r="234" spans="1:53" ht="13.5" customHeight="1">
      <c r="A234" s="72"/>
      <c r="B234" s="72"/>
      <c r="C234" s="72"/>
      <c r="D234" s="72"/>
      <c r="E234" s="72"/>
      <c r="F234" s="72"/>
      <c r="G234" s="72"/>
      <c r="H234" s="72"/>
      <c r="I234" s="72"/>
      <c r="J234" s="72"/>
      <c r="K234" s="72"/>
      <c r="L234" s="72"/>
      <c r="M234" s="72"/>
      <c r="N234" s="72"/>
      <c r="O234" s="72"/>
      <c r="P234" s="72"/>
      <c r="Q234" s="82"/>
      <c r="R234" s="72"/>
      <c r="S234" s="72"/>
      <c r="T234" s="82"/>
      <c r="U234" s="72"/>
      <c r="V234" s="8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row>
    <row r="235" spans="1:53" ht="13.5" customHeight="1">
      <c r="A235" s="72"/>
      <c r="B235" s="72"/>
      <c r="C235" s="72"/>
      <c r="D235" s="72"/>
      <c r="E235" s="72"/>
      <c r="F235" s="72"/>
      <c r="G235" s="72"/>
      <c r="H235" s="72"/>
      <c r="I235" s="72"/>
      <c r="J235" s="72"/>
      <c r="K235" s="72"/>
      <c r="L235" s="72"/>
      <c r="M235" s="72"/>
      <c r="N235" s="72"/>
      <c r="O235" s="72"/>
      <c r="P235" s="72"/>
      <c r="Q235" s="82"/>
      <c r="R235" s="72"/>
      <c r="S235" s="72"/>
      <c r="T235" s="82"/>
      <c r="U235" s="72"/>
      <c r="V235" s="8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row>
    <row r="236" spans="1:53" ht="13.5" customHeight="1">
      <c r="A236" s="72"/>
      <c r="B236" s="72"/>
      <c r="C236" s="72"/>
      <c r="D236" s="72"/>
      <c r="E236" s="72"/>
      <c r="F236" s="72"/>
      <c r="G236" s="72"/>
      <c r="H236" s="72"/>
      <c r="I236" s="72"/>
      <c r="J236" s="72"/>
      <c r="K236" s="72"/>
      <c r="L236" s="72"/>
      <c r="M236" s="72"/>
      <c r="N236" s="72"/>
      <c r="O236" s="72"/>
      <c r="P236" s="72"/>
      <c r="Q236" s="82"/>
      <c r="R236" s="72"/>
      <c r="S236" s="72"/>
      <c r="T236" s="82"/>
      <c r="U236" s="72"/>
      <c r="V236" s="8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row>
    <row r="237" spans="1:53" ht="13.5" customHeight="1">
      <c r="A237" s="72"/>
      <c r="B237" s="72"/>
      <c r="C237" s="72"/>
      <c r="D237" s="72"/>
      <c r="E237" s="72"/>
      <c r="F237" s="72"/>
      <c r="G237" s="72"/>
      <c r="H237" s="72"/>
      <c r="I237" s="72"/>
      <c r="J237" s="72"/>
      <c r="K237" s="72"/>
      <c r="L237" s="72"/>
      <c r="M237" s="72"/>
      <c r="N237" s="72"/>
      <c r="O237" s="72"/>
      <c r="P237" s="72"/>
      <c r="Q237" s="82"/>
      <c r="R237" s="72"/>
      <c r="S237" s="72"/>
      <c r="T237" s="82"/>
      <c r="U237" s="72"/>
      <c r="V237" s="8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row>
    <row r="238" spans="1:53" ht="13.5" customHeight="1">
      <c r="A238" s="72"/>
      <c r="B238" s="72"/>
      <c r="C238" s="72"/>
      <c r="D238" s="72"/>
      <c r="E238" s="72"/>
      <c r="F238" s="72"/>
      <c r="G238" s="72"/>
      <c r="H238" s="72"/>
      <c r="I238" s="72"/>
      <c r="J238" s="72"/>
      <c r="K238" s="72"/>
      <c r="L238" s="72"/>
      <c r="M238" s="72"/>
      <c r="N238" s="72"/>
      <c r="O238" s="72"/>
      <c r="P238" s="72"/>
      <c r="Q238" s="82"/>
      <c r="R238" s="72"/>
      <c r="S238" s="72"/>
      <c r="T238" s="82"/>
      <c r="U238" s="72"/>
      <c r="V238" s="8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row>
    <row r="239" spans="1:53" ht="13.5" customHeight="1">
      <c r="A239" s="72"/>
      <c r="B239" s="72"/>
      <c r="C239" s="72"/>
      <c r="D239" s="72"/>
      <c r="E239" s="72"/>
      <c r="F239" s="72"/>
      <c r="G239" s="72"/>
      <c r="H239" s="72"/>
      <c r="I239" s="72"/>
      <c r="J239" s="72"/>
      <c r="K239" s="72"/>
      <c r="L239" s="72"/>
      <c r="M239" s="72"/>
      <c r="N239" s="72"/>
      <c r="O239" s="72"/>
      <c r="P239" s="72"/>
      <c r="Q239" s="82"/>
      <c r="R239" s="72"/>
      <c r="S239" s="72"/>
      <c r="T239" s="82"/>
      <c r="U239" s="72"/>
      <c r="V239" s="8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row>
    <row r="240" spans="1:53" ht="13.5" customHeight="1">
      <c r="A240" s="72"/>
      <c r="B240" s="72"/>
      <c r="C240" s="72"/>
      <c r="D240" s="72"/>
      <c r="E240" s="72"/>
      <c r="F240" s="72"/>
      <c r="G240" s="72"/>
      <c r="H240" s="72"/>
      <c r="I240" s="72"/>
      <c r="J240" s="72"/>
      <c r="K240" s="72"/>
      <c r="L240" s="72"/>
      <c r="M240" s="72"/>
      <c r="N240" s="72"/>
      <c r="O240" s="72"/>
      <c r="P240" s="72"/>
      <c r="Q240" s="82"/>
      <c r="R240" s="72"/>
      <c r="S240" s="72"/>
      <c r="T240" s="82"/>
      <c r="U240" s="72"/>
      <c r="V240" s="8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row>
    <row r="241" spans="1:53" ht="13.5" customHeight="1">
      <c r="A241" s="72"/>
      <c r="B241" s="72"/>
      <c r="C241" s="72"/>
      <c r="D241" s="72"/>
      <c r="E241" s="72"/>
      <c r="F241" s="72"/>
      <c r="G241" s="72"/>
      <c r="H241" s="72"/>
      <c r="I241" s="72"/>
      <c r="J241" s="72"/>
      <c r="K241" s="72"/>
      <c r="L241" s="72"/>
      <c r="M241" s="72"/>
      <c r="N241" s="72"/>
      <c r="O241" s="72"/>
      <c r="P241" s="72"/>
      <c r="Q241" s="82"/>
      <c r="R241" s="72"/>
      <c r="S241" s="72"/>
      <c r="T241" s="82"/>
      <c r="U241" s="72"/>
      <c r="V241" s="8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row>
    <row r="242" spans="1:53" ht="13.5" customHeight="1">
      <c r="A242" s="72"/>
      <c r="B242" s="72"/>
      <c r="C242" s="72"/>
      <c r="D242" s="72"/>
      <c r="E242" s="72"/>
      <c r="F242" s="72"/>
      <c r="G242" s="72"/>
      <c r="H242" s="72"/>
      <c r="I242" s="72"/>
      <c r="J242" s="72"/>
      <c r="K242" s="72"/>
      <c r="L242" s="72"/>
      <c r="M242" s="72"/>
      <c r="N242" s="72"/>
      <c r="O242" s="72"/>
      <c r="P242" s="72"/>
      <c r="Q242" s="82"/>
      <c r="R242" s="72"/>
      <c r="S242" s="72"/>
      <c r="T242" s="82"/>
      <c r="U242" s="72"/>
      <c r="V242" s="8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row>
    <row r="243" spans="1:53" ht="13.5" customHeight="1">
      <c r="A243" s="72"/>
      <c r="B243" s="72"/>
      <c r="C243" s="72"/>
      <c r="D243" s="72"/>
      <c r="E243" s="72"/>
      <c r="F243" s="72"/>
      <c r="G243" s="72"/>
      <c r="H243" s="72"/>
      <c r="I243" s="72"/>
      <c r="J243" s="72"/>
      <c r="K243" s="72"/>
      <c r="L243" s="72"/>
      <c r="M243" s="72"/>
      <c r="N243" s="72"/>
      <c r="O243" s="72"/>
      <c r="P243" s="72"/>
      <c r="Q243" s="82"/>
      <c r="R243" s="72"/>
      <c r="S243" s="72"/>
      <c r="T243" s="82"/>
      <c r="U243" s="72"/>
      <c r="V243" s="8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row>
    <row r="244" spans="1:53" ht="13.5" customHeight="1">
      <c r="A244" s="72"/>
      <c r="B244" s="72"/>
      <c r="C244" s="72"/>
      <c r="D244" s="72"/>
      <c r="E244" s="72"/>
      <c r="F244" s="72"/>
      <c r="G244" s="72"/>
      <c r="H244" s="72"/>
      <c r="I244" s="72"/>
      <c r="J244" s="72"/>
      <c r="K244" s="72"/>
      <c r="L244" s="72"/>
      <c r="M244" s="72"/>
      <c r="N244" s="72"/>
      <c r="O244" s="72"/>
      <c r="P244" s="72"/>
      <c r="Q244" s="82"/>
      <c r="R244" s="72"/>
      <c r="S244" s="72"/>
      <c r="T244" s="82"/>
      <c r="U244" s="72"/>
      <c r="V244" s="8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row>
    <row r="245" spans="1:53" ht="13.5" customHeight="1">
      <c r="A245" s="72"/>
      <c r="B245" s="72"/>
      <c r="C245" s="72"/>
      <c r="D245" s="72"/>
      <c r="E245" s="72"/>
      <c r="F245" s="72"/>
      <c r="G245" s="72"/>
      <c r="H245" s="72"/>
      <c r="I245" s="72"/>
      <c r="J245" s="72"/>
      <c r="K245" s="72"/>
      <c r="L245" s="72"/>
      <c r="M245" s="72"/>
      <c r="N245" s="72"/>
      <c r="O245" s="72"/>
      <c r="P245" s="72"/>
      <c r="Q245" s="82"/>
      <c r="R245" s="72"/>
      <c r="S245" s="72"/>
      <c r="T245" s="82"/>
      <c r="U245" s="72"/>
      <c r="V245" s="8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row>
    <row r="246" spans="1:53" ht="13.5" customHeight="1">
      <c r="A246" s="72"/>
      <c r="B246" s="72"/>
      <c r="C246" s="72"/>
      <c r="D246" s="72"/>
      <c r="E246" s="72"/>
      <c r="F246" s="72"/>
      <c r="G246" s="72"/>
      <c r="H246" s="72"/>
      <c r="I246" s="72"/>
      <c r="J246" s="72"/>
      <c r="K246" s="72"/>
      <c r="L246" s="72"/>
      <c r="M246" s="72"/>
      <c r="N246" s="72"/>
      <c r="O246" s="72"/>
      <c r="P246" s="72"/>
      <c r="Q246" s="82"/>
      <c r="R246" s="72"/>
      <c r="S246" s="72"/>
      <c r="T246" s="82"/>
      <c r="U246" s="72"/>
      <c r="V246" s="8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row>
    <row r="247" spans="1:53" ht="13.5" customHeight="1">
      <c r="A247" s="72"/>
      <c r="B247" s="72"/>
      <c r="C247" s="72"/>
      <c r="D247" s="72"/>
      <c r="E247" s="72"/>
      <c r="F247" s="72"/>
      <c r="G247" s="72"/>
      <c r="H247" s="72"/>
      <c r="I247" s="72"/>
      <c r="J247" s="72"/>
      <c r="K247" s="72"/>
      <c r="L247" s="72"/>
      <c r="M247" s="72"/>
      <c r="N247" s="72"/>
      <c r="O247" s="72"/>
      <c r="P247" s="72"/>
      <c r="Q247" s="82"/>
      <c r="R247" s="72"/>
      <c r="S247" s="72"/>
      <c r="T247" s="82"/>
      <c r="U247" s="72"/>
      <c r="V247" s="8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row>
    <row r="248" spans="1:53" ht="13.5" customHeight="1">
      <c r="A248" s="72"/>
      <c r="B248" s="72"/>
      <c r="C248" s="72"/>
      <c r="D248" s="72"/>
      <c r="E248" s="72"/>
      <c r="F248" s="72"/>
      <c r="G248" s="72"/>
      <c r="H248" s="72"/>
      <c r="I248" s="72"/>
      <c r="J248" s="72"/>
      <c r="K248" s="72"/>
      <c r="L248" s="72"/>
      <c r="M248" s="72"/>
      <c r="N248" s="72"/>
      <c r="O248" s="72"/>
      <c r="P248" s="72"/>
      <c r="Q248" s="82"/>
      <c r="R248" s="72"/>
      <c r="S248" s="72"/>
      <c r="T248" s="82"/>
      <c r="U248" s="72"/>
      <c r="V248" s="8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row>
    <row r="249" spans="1:53" ht="13.5" customHeight="1">
      <c r="A249" s="72"/>
      <c r="B249" s="72"/>
      <c r="C249" s="72"/>
      <c r="D249" s="72"/>
      <c r="E249" s="72"/>
      <c r="F249" s="72"/>
      <c r="G249" s="72"/>
      <c r="H249" s="72"/>
      <c r="I249" s="72"/>
      <c r="J249" s="72"/>
      <c r="K249" s="72"/>
      <c r="L249" s="72"/>
      <c r="M249" s="72"/>
      <c r="N249" s="72"/>
      <c r="O249" s="72"/>
      <c r="P249" s="72"/>
      <c r="Q249" s="82"/>
      <c r="R249" s="72"/>
      <c r="S249" s="72"/>
      <c r="T249" s="82"/>
      <c r="U249" s="72"/>
      <c r="V249" s="8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row>
    <row r="250" spans="1:53" ht="13.5" customHeight="1">
      <c r="A250" s="72"/>
      <c r="B250" s="72"/>
      <c r="C250" s="72"/>
      <c r="D250" s="72"/>
      <c r="E250" s="72"/>
      <c r="F250" s="72"/>
      <c r="G250" s="72"/>
      <c r="H250" s="72"/>
      <c r="I250" s="72"/>
      <c r="J250" s="72"/>
      <c r="K250" s="72"/>
      <c r="L250" s="72"/>
      <c r="M250" s="72"/>
      <c r="N250" s="72"/>
      <c r="O250" s="72"/>
      <c r="P250" s="72"/>
      <c r="Q250" s="82"/>
      <c r="R250" s="72"/>
      <c r="S250" s="72"/>
      <c r="T250" s="82"/>
      <c r="U250" s="72"/>
      <c r="V250" s="8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row>
    <row r="251" spans="1:53" ht="13.5" customHeight="1">
      <c r="A251" s="72"/>
      <c r="B251" s="72"/>
      <c r="C251" s="72"/>
      <c r="D251" s="72"/>
      <c r="E251" s="72"/>
      <c r="F251" s="72"/>
      <c r="G251" s="72"/>
      <c r="H251" s="72"/>
      <c r="I251" s="72"/>
      <c r="J251" s="72"/>
      <c r="K251" s="72"/>
      <c r="L251" s="72"/>
      <c r="M251" s="72"/>
      <c r="N251" s="72"/>
      <c r="O251" s="72"/>
      <c r="P251" s="72"/>
      <c r="Q251" s="82"/>
      <c r="R251" s="72"/>
      <c r="S251" s="72"/>
      <c r="T251" s="82"/>
      <c r="U251" s="72"/>
      <c r="V251" s="8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row>
    <row r="252" spans="1:53" ht="13.5" customHeight="1">
      <c r="A252" s="72"/>
      <c r="B252" s="72"/>
      <c r="C252" s="72"/>
      <c r="D252" s="72"/>
      <c r="E252" s="72"/>
      <c r="F252" s="72"/>
      <c r="G252" s="72"/>
      <c r="H252" s="72"/>
      <c r="I252" s="72"/>
      <c r="J252" s="72"/>
      <c r="K252" s="72"/>
      <c r="L252" s="72"/>
      <c r="M252" s="72"/>
      <c r="N252" s="72"/>
      <c r="O252" s="72"/>
      <c r="P252" s="72"/>
      <c r="Q252" s="82"/>
      <c r="R252" s="72"/>
      <c r="S252" s="72"/>
      <c r="T252" s="82"/>
      <c r="U252" s="72"/>
      <c r="V252" s="8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row>
    <row r="253" spans="1:53" ht="13.5" customHeight="1">
      <c r="A253" s="72"/>
      <c r="B253" s="72"/>
      <c r="C253" s="72"/>
      <c r="D253" s="72"/>
      <c r="E253" s="72"/>
      <c r="F253" s="72"/>
      <c r="G253" s="72"/>
      <c r="H253" s="72"/>
      <c r="I253" s="72"/>
      <c r="J253" s="72"/>
      <c r="K253" s="72"/>
      <c r="L253" s="72"/>
      <c r="M253" s="72"/>
      <c r="N253" s="72"/>
      <c r="O253" s="72"/>
      <c r="P253" s="72"/>
      <c r="Q253" s="82"/>
      <c r="R253" s="72"/>
      <c r="S253" s="72"/>
      <c r="T253" s="82"/>
      <c r="U253" s="72"/>
      <c r="V253" s="8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row>
    <row r="254" spans="1:53" ht="13.5" customHeight="1">
      <c r="A254" s="72"/>
      <c r="B254" s="72"/>
      <c r="C254" s="72"/>
      <c r="D254" s="72"/>
      <c r="E254" s="72"/>
      <c r="F254" s="72"/>
      <c r="G254" s="72"/>
      <c r="H254" s="72"/>
      <c r="I254" s="72"/>
      <c r="J254" s="72"/>
      <c r="K254" s="72"/>
      <c r="L254" s="72"/>
      <c r="M254" s="72"/>
      <c r="N254" s="72"/>
      <c r="O254" s="72"/>
      <c r="P254" s="72"/>
      <c r="Q254" s="82"/>
      <c r="R254" s="72"/>
      <c r="S254" s="72"/>
      <c r="T254" s="82"/>
      <c r="U254" s="72"/>
      <c r="V254" s="8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row>
    <row r="255" spans="1:53" ht="13.5" customHeight="1">
      <c r="A255" s="72"/>
      <c r="B255" s="72"/>
      <c r="C255" s="72"/>
      <c r="D255" s="72"/>
      <c r="E255" s="72"/>
      <c r="F255" s="72"/>
      <c r="G255" s="72"/>
      <c r="H255" s="72"/>
      <c r="I255" s="72"/>
      <c r="J255" s="72"/>
      <c r="K255" s="72"/>
      <c r="L255" s="72"/>
      <c r="M255" s="72"/>
      <c r="N255" s="72"/>
      <c r="O255" s="72"/>
      <c r="P255" s="72"/>
      <c r="Q255" s="82"/>
      <c r="R255" s="72"/>
      <c r="S255" s="72"/>
      <c r="T255" s="82"/>
      <c r="U255" s="72"/>
      <c r="V255" s="8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row>
    <row r="256" spans="1:53" ht="13.5" customHeight="1">
      <c r="A256" s="72"/>
      <c r="B256" s="72"/>
      <c r="C256" s="72"/>
      <c r="D256" s="72"/>
      <c r="E256" s="72"/>
      <c r="F256" s="72"/>
      <c r="G256" s="72"/>
      <c r="H256" s="72"/>
      <c r="I256" s="72"/>
      <c r="J256" s="72"/>
      <c r="K256" s="72"/>
      <c r="L256" s="72"/>
      <c r="M256" s="72"/>
      <c r="N256" s="72"/>
      <c r="O256" s="72"/>
      <c r="P256" s="72"/>
      <c r="Q256" s="82"/>
      <c r="R256" s="72"/>
      <c r="S256" s="72"/>
      <c r="T256" s="82"/>
      <c r="U256" s="72"/>
      <c r="V256" s="8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row>
    <row r="257" spans="1:53" ht="13.5" customHeight="1">
      <c r="A257" s="72"/>
      <c r="B257" s="72"/>
      <c r="C257" s="72"/>
      <c r="D257" s="72"/>
      <c r="E257" s="72"/>
      <c r="F257" s="72"/>
      <c r="G257" s="72"/>
      <c r="H257" s="72"/>
      <c r="I257" s="72"/>
      <c r="J257" s="72"/>
      <c r="K257" s="72"/>
      <c r="L257" s="72"/>
      <c r="M257" s="72"/>
      <c r="N257" s="72"/>
      <c r="O257" s="72"/>
      <c r="P257" s="72"/>
      <c r="Q257" s="82"/>
      <c r="R257" s="72"/>
      <c r="S257" s="72"/>
      <c r="T257" s="82"/>
      <c r="U257" s="72"/>
      <c r="V257" s="8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row>
    <row r="258" spans="1:53" ht="13.5" customHeight="1">
      <c r="A258" s="72"/>
      <c r="B258" s="72"/>
      <c r="C258" s="72"/>
      <c r="D258" s="72"/>
      <c r="E258" s="72"/>
      <c r="F258" s="72"/>
      <c r="G258" s="72"/>
      <c r="H258" s="72"/>
      <c r="I258" s="72"/>
      <c r="J258" s="72"/>
      <c r="K258" s="72"/>
      <c r="L258" s="72"/>
      <c r="M258" s="72"/>
      <c r="N258" s="72"/>
      <c r="O258" s="72"/>
      <c r="P258" s="72"/>
      <c r="Q258" s="82"/>
      <c r="R258" s="72"/>
      <c r="S258" s="72"/>
      <c r="T258" s="82"/>
      <c r="U258" s="72"/>
      <c r="V258" s="8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row>
    <row r="259" spans="1:53" ht="13.5" customHeight="1">
      <c r="A259" s="72"/>
      <c r="B259" s="72"/>
      <c r="C259" s="72"/>
      <c r="D259" s="72"/>
      <c r="E259" s="72"/>
      <c r="F259" s="72"/>
      <c r="G259" s="72"/>
      <c r="H259" s="72"/>
      <c r="I259" s="72"/>
      <c r="J259" s="72"/>
      <c r="K259" s="72"/>
      <c r="L259" s="72"/>
      <c r="M259" s="72"/>
      <c r="N259" s="72"/>
      <c r="O259" s="72"/>
      <c r="P259" s="72"/>
      <c r="Q259" s="82"/>
      <c r="R259" s="72"/>
      <c r="S259" s="72"/>
      <c r="T259" s="82"/>
      <c r="U259" s="72"/>
      <c r="V259" s="8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row>
    <row r="260" spans="1:53" ht="13.5" customHeight="1">
      <c r="A260" s="72"/>
      <c r="B260" s="72"/>
      <c r="C260" s="72"/>
      <c r="D260" s="72"/>
      <c r="E260" s="72"/>
      <c r="F260" s="72"/>
      <c r="G260" s="72"/>
      <c r="H260" s="72"/>
      <c r="I260" s="72"/>
      <c r="J260" s="72"/>
      <c r="K260" s="72"/>
      <c r="L260" s="72"/>
      <c r="M260" s="72"/>
      <c r="N260" s="72"/>
      <c r="O260" s="72"/>
      <c r="P260" s="72"/>
      <c r="Q260" s="82"/>
      <c r="R260" s="72"/>
      <c r="S260" s="72"/>
      <c r="T260" s="82"/>
      <c r="U260" s="72"/>
      <c r="V260" s="8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row>
    <row r="261" spans="1:53" ht="13.5" customHeight="1">
      <c r="A261" s="72"/>
      <c r="B261" s="72"/>
      <c r="C261" s="72"/>
      <c r="D261" s="72"/>
      <c r="E261" s="72"/>
      <c r="F261" s="72"/>
      <c r="G261" s="72"/>
      <c r="H261" s="72"/>
      <c r="I261" s="72"/>
      <c r="J261" s="72"/>
      <c r="K261" s="72"/>
      <c r="L261" s="72"/>
      <c r="M261" s="72"/>
      <c r="N261" s="72"/>
      <c r="O261" s="72"/>
      <c r="P261" s="72"/>
      <c r="Q261" s="82"/>
      <c r="R261" s="72"/>
      <c r="S261" s="72"/>
      <c r="T261" s="82"/>
      <c r="U261" s="72"/>
      <c r="V261" s="8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row>
    <row r="262" spans="1:53" ht="13.5" customHeight="1">
      <c r="A262" s="72"/>
      <c r="B262" s="72"/>
      <c r="C262" s="72"/>
      <c r="D262" s="72"/>
      <c r="E262" s="72"/>
      <c r="F262" s="72"/>
      <c r="G262" s="72"/>
      <c r="H262" s="72"/>
      <c r="I262" s="72"/>
      <c r="J262" s="72"/>
      <c r="K262" s="72"/>
      <c r="L262" s="72"/>
      <c r="M262" s="72"/>
      <c r="N262" s="72"/>
      <c r="O262" s="72"/>
      <c r="P262" s="72"/>
      <c r="Q262" s="82"/>
      <c r="R262" s="72"/>
      <c r="S262" s="72"/>
      <c r="T262" s="82"/>
      <c r="U262" s="72"/>
      <c r="V262" s="8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row>
    <row r="263" spans="1:53" ht="13.5" customHeight="1">
      <c r="A263" s="72"/>
      <c r="B263" s="72"/>
      <c r="C263" s="72"/>
      <c r="D263" s="72"/>
      <c r="E263" s="72"/>
      <c r="F263" s="72"/>
      <c r="G263" s="72"/>
      <c r="H263" s="72"/>
      <c r="I263" s="72"/>
      <c r="J263" s="72"/>
      <c r="K263" s="72"/>
      <c r="L263" s="72"/>
      <c r="M263" s="72"/>
      <c r="N263" s="72"/>
      <c r="O263" s="72"/>
      <c r="P263" s="72"/>
      <c r="Q263" s="82"/>
      <c r="R263" s="72"/>
      <c r="S263" s="72"/>
      <c r="T263" s="82"/>
      <c r="U263" s="72"/>
      <c r="V263" s="8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row>
    <row r="264" spans="1:53" ht="13.5" customHeight="1">
      <c r="A264" s="72"/>
      <c r="B264" s="72"/>
      <c r="C264" s="72"/>
      <c r="D264" s="72"/>
      <c r="E264" s="72"/>
      <c r="F264" s="72"/>
      <c r="G264" s="72"/>
      <c r="H264" s="72"/>
      <c r="I264" s="72"/>
      <c r="J264" s="72"/>
      <c r="K264" s="72"/>
      <c r="L264" s="72"/>
      <c r="M264" s="72"/>
      <c r="N264" s="72"/>
      <c r="O264" s="72"/>
      <c r="P264" s="72"/>
      <c r="Q264" s="82"/>
      <c r="R264" s="72"/>
      <c r="S264" s="72"/>
      <c r="T264" s="82"/>
      <c r="U264" s="72"/>
      <c r="V264" s="8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row>
    <row r="265" spans="1:53" ht="13.5" customHeight="1">
      <c r="A265" s="72"/>
      <c r="B265" s="72"/>
      <c r="C265" s="72"/>
      <c r="D265" s="72"/>
      <c r="E265" s="72"/>
      <c r="F265" s="72"/>
      <c r="G265" s="72"/>
      <c r="H265" s="72"/>
      <c r="I265" s="72"/>
      <c r="J265" s="72"/>
      <c r="K265" s="72"/>
      <c r="L265" s="72"/>
      <c r="M265" s="72"/>
      <c r="N265" s="72"/>
      <c r="O265" s="72"/>
      <c r="P265" s="72"/>
      <c r="Q265" s="82"/>
      <c r="R265" s="72"/>
      <c r="S265" s="72"/>
      <c r="T265" s="82"/>
      <c r="U265" s="72"/>
      <c r="V265" s="8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row>
    <row r="266" spans="1:53" ht="13.5" customHeight="1">
      <c r="A266" s="72"/>
      <c r="B266" s="72"/>
      <c r="C266" s="72"/>
      <c r="D266" s="72"/>
      <c r="E266" s="72"/>
      <c r="F266" s="72"/>
      <c r="G266" s="72"/>
      <c r="H266" s="72"/>
      <c r="I266" s="72"/>
      <c r="J266" s="72"/>
      <c r="K266" s="72"/>
      <c r="L266" s="72"/>
      <c r="M266" s="72"/>
      <c r="N266" s="72"/>
      <c r="O266" s="72"/>
      <c r="P266" s="72"/>
      <c r="Q266" s="82"/>
      <c r="R266" s="72"/>
      <c r="S266" s="72"/>
      <c r="T266" s="82"/>
      <c r="U266" s="72"/>
      <c r="V266" s="8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row>
    <row r="267" spans="1:53" ht="13.5" customHeight="1">
      <c r="A267" s="72"/>
      <c r="B267" s="72"/>
      <c r="C267" s="72"/>
      <c r="D267" s="72"/>
      <c r="E267" s="72"/>
      <c r="F267" s="72"/>
      <c r="G267" s="72"/>
      <c r="H267" s="72"/>
      <c r="I267" s="72"/>
      <c r="J267" s="72"/>
      <c r="K267" s="72"/>
      <c r="L267" s="72"/>
      <c r="M267" s="72"/>
      <c r="N267" s="72"/>
      <c r="O267" s="72"/>
      <c r="P267" s="72"/>
      <c r="Q267" s="82"/>
      <c r="R267" s="72"/>
      <c r="S267" s="72"/>
      <c r="T267" s="82"/>
      <c r="U267" s="72"/>
      <c r="V267" s="8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row>
    <row r="268" spans="1:53" ht="13.5" customHeight="1">
      <c r="A268" s="72"/>
      <c r="B268" s="72"/>
      <c r="C268" s="72"/>
      <c r="D268" s="72"/>
      <c r="E268" s="72"/>
      <c r="F268" s="72"/>
      <c r="G268" s="72"/>
      <c r="H268" s="72"/>
      <c r="I268" s="72"/>
      <c r="J268" s="72"/>
      <c r="K268" s="72"/>
      <c r="L268" s="72"/>
      <c r="M268" s="72"/>
      <c r="N268" s="72"/>
      <c r="O268" s="72"/>
      <c r="P268" s="72"/>
      <c r="Q268" s="82"/>
      <c r="R268" s="72"/>
      <c r="S268" s="72"/>
      <c r="T268" s="82"/>
      <c r="U268" s="72"/>
      <c r="V268" s="8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row>
    <row r="269" spans="1:53" ht="13.5" customHeight="1">
      <c r="A269" s="72"/>
      <c r="B269" s="72"/>
      <c r="C269" s="72"/>
      <c r="D269" s="72"/>
      <c r="E269" s="72"/>
      <c r="F269" s="72"/>
      <c r="G269" s="72"/>
      <c r="H269" s="72"/>
      <c r="I269" s="72"/>
      <c r="J269" s="72"/>
      <c r="K269" s="72"/>
      <c r="L269" s="72"/>
      <c r="M269" s="72"/>
      <c r="N269" s="72"/>
      <c r="O269" s="72"/>
      <c r="P269" s="72"/>
      <c r="Q269" s="82"/>
      <c r="R269" s="72"/>
      <c r="S269" s="72"/>
      <c r="T269" s="82"/>
      <c r="U269" s="72"/>
      <c r="V269" s="8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row>
    <row r="270" spans="1:53" ht="13.5" customHeight="1">
      <c r="A270" s="72"/>
      <c r="B270" s="72"/>
      <c r="C270" s="72"/>
      <c r="D270" s="72"/>
      <c r="E270" s="72"/>
      <c r="F270" s="72"/>
      <c r="G270" s="72"/>
      <c r="H270" s="72"/>
      <c r="I270" s="72"/>
      <c r="J270" s="72"/>
      <c r="K270" s="72"/>
      <c r="L270" s="72"/>
      <c r="M270" s="72"/>
      <c r="N270" s="72"/>
      <c r="O270" s="72"/>
      <c r="P270" s="72"/>
      <c r="Q270" s="82"/>
      <c r="R270" s="72"/>
      <c r="S270" s="72"/>
      <c r="T270" s="82"/>
      <c r="U270" s="72"/>
      <c r="V270" s="8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row>
    <row r="271" spans="1:53" ht="13.5" customHeight="1">
      <c r="A271" s="72"/>
      <c r="B271" s="72"/>
      <c r="C271" s="72"/>
      <c r="D271" s="72"/>
      <c r="E271" s="72"/>
      <c r="F271" s="72"/>
      <c r="G271" s="72"/>
      <c r="H271" s="72"/>
      <c r="I271" s="72"/>
      <c r="J271" s="72"/>
      <c r="K271" s="72"/>
      <c r="L271" s="72"/>
      <c r="M271" s="72"/>
      <c r="N271" s="72"/>
      <c r="O271" s="72"/>
      <c r="P271" s="72"/>
      <c r="Q271" s="82"/>
      <c r="R271" s="72"/>
      <c r="S271" s="72"/>
      <c r="T271" s="82"/>
      <c r="U271" s="72"/>
      <c r="V271" s="8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row>
    <row r="272" spans="1:53" ht="13.5" customHeight="1">
      <c r="A272" s="72"/>
      <c r="B272" s="72"/>
      <c r="C272" s="72"/>
      <c r="D272" s="72"/>
      <c r="E272" s="72"/>
      <c r="F272" s="72"/>
      <c r="G272" s="72"/>
      <c r="H272" s="72"/>
      <c r="I272" s="72"/>
      <c r="J272" s="72"/>
      <c r="K272" s="72"/>
      <c r="L272" s="72"/>
      <c r="M272" s="72"/>
      <c r="N272" s="72"/>
      <c r="O272" s="72"/>
      <c r="P272" s="72"/>
      <c r="Q272" s="82"/>
      <c r="R272" s="72"/>
      <c r="S272" s="72"/>
      <c r="T272" s="82"/>
      <c r="U272" s="72"/>
      <c r="V272" s="8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row>
    <row r="273" spans="1:53" ht="13.5" customHeight="1">
      <c r="A273" s="72"/>
      <c r="B273" s="72"/>
      <c r="C273" s="72"/>
      <c r="D273" s="72"/>
      <c r="E273" s="72"/>
      <c r="F273" s="72"/>
      <c r="G273" s="72"/>
      <c r="H273" s="72"/>
      <c r="I273" s="72"/>
      <c r="J273" s="72"/>
      <c r="K273" s="72"/>
      <c r="L273" s="72"/>
      <c r="M273" s="72"/>
      <c r="N273" s="72"/>
      <c r="O273" s="72"/>
      <c r="P273" s="72"/>
      <c r="Q273" s="82"/>
      <c r="R273" s="72"/>
      <c r="S273" s="72"/>
      <c r="T273" s="82"/>
      <c r="U273" s="72"/>
      <c r="V273" s="8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row>
    <row r="274" spans="1:53" ht="13.5" customHeight="1">
      <c r="A274" s="72"/>
      <c r="B274" s="72"/>
      <c r="C274" s="72"/>
      <c r="D274" s="72"/>
      <c r="E274" s="72"/>
      <c r="F274" s="72"/>
      <c r="G274" s="72"/>
      <c r="H274" s="72"/>
      <c r="I274" s="72"/>
      <c r="J274" s="72"/>
      <c r="K274" s="72"/>
      <c r="L274" s="72"/>
      <c r="M274" s="72"/>
      <c r="N274" s="72"/>
      <c r="O274" s="72"/>
      <c r="P274" s="72"/>
      <c r="Q274" s="82"/>
      <c r="R274" s="72"/>
      <c r="S274" s="72"/>
      <c r="T274" s="82"/>
      <c r="U274" s="72"/>
      <c r="V274" s="8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row>
    <row r="275" spans="1:53" ht="13.5" customHeight="1">
      <c r="A275" s="72"/>
      <c r="B275" s="72"/>
      <c r="C275" s="72"/>
      <c r="D275" s="72"/>
      <c r="E275" s="72"/>
      <c r="F275" s="72"/>
      <c r="G275" s="72"/>
      <c r="H275" s="72"/>
      <c r="I275" s="72"/>
      <c r="J275" s="72"/>
      <c r="K275" s="72"/>
      <c r="L275" s="72"/>
      <c r="M275" s="72"/>
      <c r="N275" s="72"/>
      <c r="O275" s="72"/>
      <c r="P275" s="72"/>
      <c r="Q275" s="82"/>
      <c r="R275" s="72"/>
      <c r="S275" s="72"/>
      <c r="T275" s="82"/>
      <c r="U275" s="72"/>
      <c r="V275" s="8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row>
    <row r="276" spans="1:53" ht="13.5" customHeight="1">
      <c r="A276" s="72"/>
      <c r="B276" s="72"/>
      <c r="C276" s="72"/>
      <c r="D276" s="72"/>
      <c r="E276" s="72"/>
      <c r="F276" s="72"/>
      <c r="G276" s="72"/>
      <c r="H276" s="72"/>
      <c r="I276" s="72"/>
      <c r="J276" s="72"/>
      <c r="K276" s="72"/>
      <c r="L276" s="72"/>
      <c r="M276" s="72"/>
      <c r="N276" s="72"/>
      <c r="O276" s="72"/>
      <c r="P276" s="72"/>
      <c r="Q276" s="82"/>
      <c r="R276" s="72"/>
      <c r="S276" s="72"/>
      <c r="T276" s="82"/>
      <c r="U276" s="72"/>
      <c r="V276" s="8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row>
    <row r="277" spans="1:53" ht="13.5" customHeight="1">
      <c r="A277" s="72"/>
      <c r="B277" s="72"/>
      <c r="C277" s="72"/>
      <c r="D277" s="72"/>
      <c r="E277" s="72"/>
      <c r="F277" s="72"/>
      <c r="G277" s="72"/>
      <c r="H277" s="72"/>
      <c r="I277" s="72"/>
      <c r="J277" s="72"/>
      <c r="K277" s="72"/>
      <c r="L277" s="72"/>
      <c r="M277" s="72"/>
      <c r="N277" s="72"/>
      <c r="O277" s="72"/>
      <c r="P277" s="72"/>
      <c r="Q277" s="82"/>
      <c r="R277" s="72"/>
      <c r="S277" s="72"/>
      <c r="T277" s="82"/>
      <c r="U277" s="72"/>
      <c r="V277" s="8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row>
    <row r="278" spans="1:53" ht="13.5" customHeight="1">
      <c r="A278" s="72"/>
      <c r="B278" s="72"/>
      <c r="C278" s="72"/>
      <c r="D278" s="72"/>
      <c r="E278" s="72"/>
      <c r="F278" s="72"/>
      <c r="G278" s="72"/>
      <c r="H278" s="72"/>
      <c r="I278" s="72"/>
      <c r="J278" s="72"/>
      <c r="K278" s="72"/>
      <c r="L278" s="72"/>
      <c r="M278" s="72"/>
      <c r="N278" s="72"/>
      <c r="O278" s="72"/>
      <c r="P278" s="72"/>
      <c r="Q278" s="82"/>
      <c r="R278" s="72"/>
      <c r="S278" s="72"/>
      <c r="T278" s="82"/>
      <c r="U278" s="72"/>
      <c r="V278" s="8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row>
    <row r="279" spans="1:53" ht="13.5" customHeight="1">
      <c r="A279" s="72"/>
      <c r="B279" s="72"/>
      <c r="C279" s="72"/>
      <c r="D279" s="72"/>
      <c r="E279" s="72"/>
      <c r="F279" s="72"/>
      <c r="G279" s="72"/>
      <c r="H279" s="72"/>
      <c r="I279" s="72"/>
      <c r="J279" s="72"/>
      <c r="K279" s="72"/>
      <c r="L279" s="72"/>
      <c r="M279" s="72"/>
      <c r="N279" s="72"/>
      <c r="O279" s="72"/>
      <c r="P279" s="72"/>
      <c r="Q279" s="82"/>
      <c r="R279" s="72"/>
      <c r="S279" s="72"/>
      <c r="T279" s="82"/>
      <c r="U279" s="72"/>
      <c r="V279" s="8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row>
    <row r="280" spans="1:53" ht="13.5" customHeight="1">
      <c r="A280" s="72"/>
      <c r="B280" s="72"/>
      <c r="C280" s="72"/>
      <c r="D280" s="72"/>
      <c r="E280" s="72"/>
      <c r="F280" s="72"/>
      <c r="G280" s="72"/>
      <c r="H280" s="72"/>
      <c r="I280" s="72"/>
      <c r="J280" s="72"/>
      <c r="K280" s="72"/>
      <c r="L280" s="72"/>
      <c r="M280" s="72"/>
      <c r="N280" s="72"/>
      <c r="O280" s="72"/>
      <c r="P280" s="72"/>
      <c r="Q280" s="82"/>
      <c r="R280" s="72"/>
      <c r="S280" s="72"/>
      <c r="T280" s="82"/>
      <c r="U280" s="72"/>
      <c r="V280" s="8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row>
    <row r="281" spans="1:53" ht="13.5" customHeight="1">
      <c r="A281" s="72"/>
      <c r="B281" s="72"/>
      <c r="C281" s="72"/>
      <c r="D281" s="72"/>
      <c r="E281" s="72"/>
      <c r="F281" s="72"/>
      <c r="G281" s="72"/>
      <c r="H281" s="72"/>
      <c r="I281" s="72"/>
      <c r="J281" s="72"/>
      <c r="K281" s="72"/>
      <c r="L281" s="72"/>
      <c r="M281" s="72"/>
      <c r="N281" s="72"/>
      <c r="O281" s="72"/>
      <c r="P281" s="72"/>
      <c r="Q281" s="82"/>
      <c r="R281" s="72"/>
      <c r="S281" s="72"/>
      <c r="T281" s="82"/>
      <c r="U281" s="72"/>
      <c r="V281" s="8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row>
    <row r="282" spans="1:53" ht="13.5" customHeight="1">
      <c r="A282" s="72"/>
      <c r="B282" s="72"/>
      <c r="C282" s="72"/>
      <c r="D282" s="72"/>
      <c r="E282" s="72"/>
      <c r="F282" s="72"/>
      <c r="G282" s="72"/>
      <c r="H282" s="72"/>
      <c r="I282" s="72"/>
      <c r="J282" s="72"/>
      <c r="K282" s="72"/>
      <c r="L282" s="72"/>
      <c r="M282" s="72"/>
      <c r="N282" s="72"/>
      <c r="O282" s="72"/>
      <c r="P282" s="72"/>
      <c r="Q282" s="82"/>
      <c r="R282" s="72"/>
      <c r="S282" s="72"/>
      <c r="T282" s="82"/>
      <c r="U282" s="72"/>
      <c r="V282" s="8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row>
    <row r="283" spans="1:53" ht="13.5" customHeight="1">
      <c r="A283" s="72"/>
      <c r="B283" s="72"/>
      <c r="C283" s="72"/>
      <c r="D283" s="72"/>
      <c r="E283" s="72"/>
      <c r="F283" s="72"/>
      <c r="G283" s="72"/>
      <c r="H283" s="72"/>
      <c r="I283" s="72"/>
      <c r="J283" s="72"/>
      <c r="K283" s="72"/>
      <c r="L283" s="72"/>
      <c r="M283" s="72"/>
      <c r="N283" s="72"/>
      <c r="O283" s="72"/>
      <c r="P283" s="72"/>
      <c r="Q283" s="82"/>
      <c r="R283" s="72"/>
      <c r="S283" s="72"/>
      <c r="T283" s="82"/>
      <c r="U283" s="72"/>
      <c r="V283" s="8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row>
    <row r="284" spans="1:53" ht="13.5" customHeight="1">
      <c r="A284" s="72"/>
      <c r="B284" s="72"/>
      <c r="C284" s="72"/>
      <c r="D284" s="72"/>
      <c r="E284" s="72"/>
      <c r="F284" s="72"/>
      <c r="G284" s="72"/>
      <c r="H284" s="72"/>
      <c r="I284" s="72"/>
      <c r="J284" s="72"/>
      <c r="K284" s="72"/>
      <c r="L284" s="72"/>
      <c r="M284" s="72"/>
      <c r="N284" s="72"/>
      <c r="O284" s="72"/>
      <c r="P284" s="72"/>
      <c r="Q284" s="82"/>
      <c r="R284" s="72"/>
      <c r="S284" s="72"/>
      <c r="T284" s="82"/>
      <c r="U284" s="72"/>
      <c r="V284" s="8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row>
    <row r="285" spans="1:53" ht="13.5" customHeight="1">
      <c r="A285" s="72"/>
      <c r="B285" s="72"/>
      <c r="C285" s="72"/>
      <c r="D285" s="72"/>
      <c r="E285" s="72"/>
      <c r="F285" s="72"/>
      <c r="G285" s="72"/>
      <c r="H285" s="72"/>
      <c r="I285" s="72"/>
      <c r="J285" s="72"/>
      <c r="K285" s="72"/>
      <c r="L285" s="72"/>
      <c r="M285" s="72"/>
      <c r="N285" s="72"/>
      <c r="O285" s="72"/>
      <c r="P285" s="72"/>
      <c r="Q285" s="82"/>
      <c r="R285" s="72"/>
      <c r="S285" s="72"/>
      <c r="T285" s="82"/>
      <c r="U285" s="72"/>
      <c r="V285" s="8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row>
    <row r="286" spans="1:53" ht="13.5" customHeight="1">
      <c r="A286" s="72"/>
      <c r="B286" s="72"/>
      <c r="C286" s="72"/>
      <c r="D286" s="72"/>
      <c r="E286" s="72"/>
      <c r="F286" s="72"/>
      <c r="G286" s="72"/>
      <c r="H286" s="72"/>
      <c r="I286" s="72"/>
      <c r="J286" s="72"/>
      <c r="K286" s="72"/>
      <c r="L286" s="72"/>
      <c r="M286" s="72"/>
      <c r="N286" s="72"/>
      <c r="O286" s="72"/>
      <c r="P286" s="72"/>
      <c r="Q286" s="82"/>
      <c r="R286" s="72"/>
      <c r="S286" s="72"/>
      <c r="T286" s="82"/>
      <c r="U286" s="72"/>
      <c r="V286" s="8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row>
    <row r="287" spans="1:53" ht="13.5" customHeight="1">
      <c r="A287" s="72"/>
      <c r="B287" s="72"/>
      <c r="C287" s="72"/>
      <c r="D287" s="72"/>
      <c r="E287" s="72"/>
      <c r="F287" s="72"/>
      <c r="G287" s="72"/>
      <c r="H287" s="72"/>
      <c r="I287" s="72"/>
      <c r="J287" s="72"/>
      <c r="K287" s="72"/>
      <c r="L287" s="72"/>
      <c r="M287" s="72"/>
      <c r="N287" s="72"/>
      <c r="O287" s="72"/>
      <c r="P287" s="72"/>
      <c r="Q287" s="82"/>
      <c r="R287" s="72"/>
      <c r="S287" s="72"/>
      <c r="T287" s="82"/>
      <c r="U287" s="72"/>
      <c r="V287" s="8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row>
    <row r="288" spans="1:53" ht="13.5" customHeight="1">
      <c r="A288" s="72"/>
      <c r="B288" s="72"/>
      <c r="C288" s="72"/>
      <c r="D288" s="72"/>
      <c r="E288" s="72"/>
      <c r="F288" s="72"/>
      <c r="G288" s="72"/>
      <c r="H288" s="72"/>
      <c r="I288" s="72"/>
      <c r="J288" s="72"/>
      <c r="K288" s="72"/>
      <c r="L288" s="72"/>
      <c r="M288" s="72"/>
      <c r="N288" s="72"/>
      <c r="O288" s="72"/>
      <c r="P288" s="72"/>
      <c r="Q288" s="82"/>
      <c r="R288" s="72"/>
      <c r="S288" s="72"/>
      <c r="T288" s="82"/>
      <c r="U288" s="72"/>
      <c r="V288" s="8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row>
    <row r="289" spans="1:53" ht="13.5" customHeight="1">
      <c r="A289" s="72"/>
      <c r="B289" s="72"/>
      <c r="C289" s="72"/>
      <c r="D289" s="72"/>
      <c r="E289" s="72"/>
      <c r="F289" s="72"/>
      <c r="G289" s="72"/>
      <c r="H289" s="72"/>
      <c r="I289" s="72"/>
      <c r="J289" s="72"/>
      <c r="K289" s="72"/>
      <c r="L289" s="72"/>
      <c r="M289" s="72"/>
      <c r="N289" s="72"/>
      <c r="O289" s="72"/>
      <c r="P289" s="72"/>
      <c r="Q289" s="82"/>
      <c r="R289" s="72"/>
      <c r="S289" s="72"/>
      <c r="T289" s="82"/>
      <c r="U289" s="72"/>
      <c r="V289" s="8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row>
    <row r="290" spans="1:53" ht="13.5" customHeight="1">
      <c r="A290" s="72"/>
      <c r="B290" s="72"/>
      <c r="C290" s="72"/>
      <c r="D290" s="72"/>
      <c r="E290" s="72"/>
      <c r="F290" s="72"/>
      <c r="G290" s="72"/>
      <c r="H290" s="72"/>
      <c r="I290" s="72"/>
      <c r="J290" s="72"/>
      <c r="K290" s="72"/>
      <c r="L290" s="72"/>
      <c r="M290" s="72"/>
      <c r="N290" s="72"/>
      <c r="O290" s="72"/>
      <c r="P290" s="72"/>
      <c r="Q290" s="82"/>
      <c r="R290" s="72"/>
      <c r="S290" s="72"/>
      <c r="T290" s="82"/>
      <c r="U290" s="72"/>
      <c r="V290" s="8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row>
    <row r="291" spans="1:53" ht="13.5" customHeight="1">
      <c r="A291" s="72"/>
      <c r="B291" s="72"/>
      <c r="C291" s="72"/>
      <c r="D291" s="72"/>
      <c r="E291" s="72"/>
      <c r="F291" s="72"/>
      <c r="G291" s="72"/>
      <c r="H291" s="72"/>
      <c r="I291" s="72"/>
      <c r="J291" s="72"/>
      <c r="K291" s="72"/>
      <c r="L291" s="72"/>
      <c r="M291" s="72"/>
      <c r="N291" s="72"/>
      <c r="O291" s="72"/>
      <c r="P291" s="72"/>
      <c r="Q291" s="82"/>
      <c r="R291" s="72"/>
      <c r="S291" s="72"/>
      <c r="T291" s="82"/>
      <c r="U291" s="72"/>
      <c r="V291" s="8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row>
    <row r="292" spans="1:53" ht="13.5" customHeight="1">
      <c r="A292" s="72"/>
      <c r="B292" s="72"/>
      <c r="C292" s="72"/>
      <c r="D292" s="72"/>
      <c r="E292" s="72"/>
      <c r="F292" s="72"/>
      <c r="G292" s="72"/>
      <c r="H292" s="72"/>
      <c r="I292" s="72"/>
      <c r="J292" s="72"/>
      <c r="K292" s="72"/>
      <c r="L292" s="72"/>
      <c r="M292" s="72"/>
      <c r="N292" s="72"/>
      <c r="O292" s="72"/>
      <c r="P292" s="72"/>
      <c r="Q292" s="82"/>
      <c r="R292" s="72"/>
      <c r="S292" s="72"/>
      <c r="T292" s="82"/>
      <c r="U292" s="72"/>
      <c r="V292" s="8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row>
    <row r="293" spans="1:53" ht="13.5" customHeight="1">
      <c r="A293" s="72"/>
      <c r="B293" s="72"/>
      <c r="C293" s="72"/>
      <c r="D293" s="72"/>
      <c r="E293" s="72"/>
      <c r="F293" s="72"/>
      <c r="G293" s="72"/>
      <c r="H293" s="72"/>
      <c r="I293" s="72"/>
      <c r="J293" s="72"/>
      <c r="K293" s="72"/>
      <c r="L293" s="72"/>
      <c r="M293" s="72"/>
      <c r="N293" s="72"/>
      <c r="O293" s="72"/>
      <c r="P293" s="72"/>
      <c r="Q293" s="82"/>
      <c r="R293" s="72"/>
      <c r="S293" s="72"/>
      <c r="T293" s="82"/>
      <c r="U293" s="72"/>
      <c r="V293" s="8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row>
    <row r="294" spans="1:53" ht="13.5" customHeight="1">
      <c r="A294" s="72"/>
      <c r="B294" s="72"/>
      <c r="C294" s="72"/>
      <c r="D294" s="72"/>
      <c r="E294" s="72"/>
      <c r="F294" s="72"/>
      <c r="G294" s="72"/>
      <c r="H294" s="72"/>
      <c r="I294" s="72"/>
      <c r="J294" s="72"/>
      <c r="K294" s="72"/>
      <c r="L294" s="72"/>
      <c r="M294" s="72"/>
      <c r="N294" s="72"/>
      <c r="O294" s="72"/>
      <c r="P294" s="72"/>
      <c r="Q294" s="82"/>
      <c r="R294" s="72"/>
      <c r="S294" s="72"/>
      <c r="T294" s="82"/>
      <c r="U294" s="72"/>
      <c r="V294" s="8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row>
    <row r="295" spans="1:53" ht="13.5" customHeight="1">
      <c r="A295" s="72"/>
      <c r="B295" s="72"/>
      <c r="C295" s="72"/>
      <c r="D295" s="72"/>
      <c r="E295" s="72"/>
      <c r="F295" s="72"/>
      <c r="G295" s="72"/>
      <c r="H295" s="72"/>
      <c r="I295" s="72"/>
      <c r="J295" s="72"/>
      <c r="K295" s="72"/>
      <c r="L295" s="72"/>
      <c r="M295" s="72"/>
      <c r="N295" s="72"/>
      <c r="O295" s="72"/>
      <c r="P295" s="72"/>
      <c r="Q295" s="82"/>
      <c r="R295" s="72"/>
      <c r="S295" s="72"/>
      <c r="T295" s="82"/>
      <c r="U295" s="72"/>
      <c r="V295" s="8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row>
    <row r="296" spans="1:53" ht="13.5" customHeight="1">
      <c r="A296" s="72"/>
      <c r="B296" s="72"/>
      <c r="C296" s="72"/>
      <c r="D296" s="72"/>
      <c r="E296" s="72"/>
      <c r="F296" s="72"/>
      <c r="G296" s="72"/>
      <c r="H296" s="72"/>
      <c r="I296" s="72"/>
      <c r="J296" s="72"/>
      <c r="K296" s="72"/>
      <c r="L296" s="72"/>
      <c r="M296" s="72"/>
      <c r="N296" s="72"/>
      <c r="O296" s="72"/>
      <c r="P296" s="72"/>
      <c r="Q296" s="82"/>
      <c r="R296" s="72"/>
      <c r="S296" s="72"/>
      <c r="T296" s="82"/>
      <c r="U296" s="72"/>
      <c r="V296" s="8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row>
    <row r="297" spans="1:53" ht="13.5" customHeight="1">
      <c r="A297" s="72"/>
      <c r="B297" s="72"/>
      <c r="C297" s="72"/>
      <c r="D297" s="72"/>
      <c r="E297" s="72"/>
      <c r="F297" s="72"/>
      <c r="G297" s="72"/>
      <c r="H297" s="72"/>
      <c r="I297" s="72"/>
      <c r="J297" s="72"/>
      <c r="K297" s="72"/>
      <c r="L297" s="72"/>
      <c r="M297" s="72"/>
      <c r="N297" s="72"/>
      <c r="O297" s="72"/>
      <c r="P297" s="72"/>
      <c r="Q297" s="82"/>
      <c r="R297" s="72"/>
      <c r="S297" s="72"/>
      <c r="T297" s="82"/>
      <c r="U297" s="72"/>
      <c r="V297" s="8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row>
    <row r="298" spans="1:53" ht="13.5" customHeight="1">
      <c r="A298" s="72"/>
      <c r="B298" s="72"/>
      <c r="C298" s="72"/>
      <c r="D298" s="72"/>
      <c r="E298" s="72"/>
      <c r="F298" s="72"/>
      <c r="G298" s="72"/>
      <c r="H298" s="72"/>
      <c r="I298" s="72"/>
      <c r="J298" s="72"/>
      <c r="K298" s="72"/>
      <c r="L298" s="72"/>
      <c r="M298" s="72"/>
      <c r="N298" s="72"/>
      <c r="O298" s="72"/>
      <c r="P298" s="72"/>
      <c r="Q298" s="82"/>
      <c r="R298" s="72"/>
      <c r="S298" s="72"/>
      <c r="T298" s="82"/>
      <c r="U298" s="72"/>
      <c r="V298" s="8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c r="AW298" s="72"/>
      <c r="AX298" s="72"/>
      <c r="AY298" s="72"/>
      <c r="AZ298" s="72"/>
      <c r="BA298" s="72"/>
    </row>
    <row r="299" spans="1:53" ht="13.5" customHeight="1">
      <c r="A299" s="72"/>
      <c r="B299" s="72"/>
      <c r="C299" s="72"/>
      <c r="D299" s="72"/>
      <c r="E299" s="72"/>
      <c r="F299" s="72"/>
      <c r="G299" s="72"/>
      <c r="H299" s="72"/>
      <c r="I299" s="72"/>
      <c r="J299" s="72"/>
      <c r="K299" s="72"/>
      <c r="L299" s="72"/>
      <c r="M299" s="72"/>
      <c r="N299" s="72"/>
      <c r="O299" s="72"/>
      <c r="P299" s="72"/>
      <c r="Q299" s="82"/>
      <c r="R299" s="72"/>
      <c r="S299" s="72"/>
      <c r="T299" s="82"/>
      <c r="U299" s="72"/>
      <c r="V299" s="8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c r="AW299" s="72"/>
      <c r="AX299" s="72"/>
      <c r="AY299" s="72"/>
      <c r="AZ299" s="72"/>
      <c r="BA299" s="72"/>
    </row>
    <row r="300" spans="1:53" ht="13.5" customHeight="1">
      <c r="A300" s="72"/>
      <c r="B300" s="72"/>
      <c r="C300" s="72"/>
      <c r="D300" s="72"/>
      <c r="E300" s="72"/>
      <c r="F300" s="72"/>
      <c r="G300" s="72"/>
      <c r="H300" s="72"/>
      <c r="I300" s="72"/>
      <c r="J300" s="72"/>
      <c r="K300" s="72"/>
      <c r="L300" s="72"/>
      <c r="M300" s="72"/>
      <c r="N300" s="72"/>
      <c r="O300" s="72"/>
      <c r="P300" s="72"/>
      <c r="Q300" s="82"/>
      <c r="R300" s="72"/>
      <c r="S300" s="72"/>
      <c r="T300" s="82"/>
      <c r="U300" s="72"/>
      <c r="V300" s="8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c r="AW300" s="72"/>
      <c r="AX300" s="72"/>
      <c r="AY300" s="72"/>
      <c r="AZ300" s="72"/>
      <c r="BA300" s="72"/>
    </row>
    <row r="301" spans="1:53" ht="13.5" customHeight="1">
      <c r="A301" s="72"/>
      <c r="B301" s="72"/>
      <c r="C301" s="72"/>
      <c r="D301" s="72"/>
      <c r="E301" s="72"/>
      <c r="F301" s="72"/>
      <c r="G301" s="72"/>
      <c r="H301" s="72"/>
      <c r="I301" s="72"/>
      <c r="J301" s="72"/>
      <c r="K301" s="72"/>
      <c r="L301" s="72"/>
      <c r="M301" s="72"/>
      <c r="N301" s="72"/>
      <c r="O301" s="72"/>
      <c r="P301" s="72"/>
      <c r="Q301" s="82"/>
      <c r="R301" s="72"/>
      <c r="S301" s="72"/>
      <c r="T301" s="82"/>
      <c r="U301" s="72"/>
      <c r="V301" s="8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row>
    <row r="302" spans="1:53" ht="13.5" customHeight="1">
      <c r="A302" s="72"/>
      <c r="B302" s="72"/>
      <c r="C302" s="72"/>
      <c r="D302" s="72"/>
      <c r="E302" s="72"/>
      <c r="F302" s="72"/>
      <c r="G302" s="72"/>
      <c r="H302" s="72"/>
      <c r="I302" s="72"/>
      <c r="J302" s="72"/>
      <c r="K302" s="72"/>
      <c r="L302" s="72"/>
      <c r="M302" s="72"/>
      <c r="N302" s="72"/>
      <c r="O302" s="72"/>
      <c r="P302" s="72"/>
      <c r="Q302" s="82"/>
      <c r="R302" s="72"/>
      <c r="S302" s="72"/>
      <c r="T302" s="82"/>
      <c r="U302" s="72"/>
      <c r="V302" s="8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row>
    <row r="303" spans="1:53" ht="13.5" customHeight="1">
      <c r="A303" s="72"/>
      <c r="B303" s="72"/>
      <c r="C303" s="72"/>
      <c r="D303" s="72"/>
      <c r="E303" s="72"/>
      <c r="F303" s="72"/>
      <c r="G303" s="72"/>
      <c r="H303" s="72"/>
      <c r="I303" s="72"/>
      <c r="J303" s="72"/>
      <c r="K303" s="72"/>
      <c r="L303" s="72"/>
      <c r="M303" s="72"/>
      <c r="N303" s="72"/>
      <c r="O303" s="72"/>
      <c r="P303" s="72"/>
      <c r="Q303" s="82"/>
      <c r="R303" s="72"/>
      <c r="S303" s="72"/>
      <c r="T303" s="82"/>
      <c r="U303" s="72"/>
      <c r="V303" s="8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row>
    <row r="304" spans="1:53" ht="13.5" customHeight="1">
      <c r="A304" s="72"/>
      <c r="B304" s="72"/>
      <c r="C304" s="72"/>
      <c r="D304" s="72"/>
      <c r="E304" s="72"/>
      <c r="F304" s="72"/>
      <c r="G304" s="72"/>
      <c r="H304" s="72"/>
      <c r="I304" s="72"/>
      <c r="J304" s="72"/>
      <c r="K304" s="72"/>
      <c r="L304" s="72"/>
      <c r="M304" s="72"/>
      <c r="N304" s="72"/>
      <c r="O304" s="72"/>
      <c r="P304" s="72"/>
      <c r="Q304" s="82"/>
      <c r="R304" s="72"/>
      <c r="S304" s="72"/>
      <c r="T304" s="82"/>
      <c r="U304" s="72"/>
      <c r="V304" s="8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c r="AW304" s="72"/>
      <c r="AX304" s="72"/>
      <c r="AY304" s="72"/>
      <c r="AZ304" s="72"/>
      <c r="BA304" s="72"/>
    </row>
    <row r="305" spans="1:53" ht="13.5" customHeight="1">
      <c r="A305" s="72"/>
      <c r="B305" s="72"/>
      <c r="C305" s="72"/>
      <c r="D305" s="72"/>
      <c r="E305" s="72"/>
      <c r="F305" s="72"/>
      <c r="G305" s="72"/>
      <c r="H305" s="72"/>
      <c r="I305" s="72"/>
      <c r="J305" s="72"/>
      <c r="K305" s="72"/>
      <c r="L305" s="72"/>
      <c r="M305" s="72"/>
      <c r="N305" s="72"/>
      <c r="O305" s="72"/>
      <c r="P305" s="72"/>
      <c r="Q305" s="82"/>
      <c r="R305" s="72"/>
      <c r="S305" s="72"/>
      <c r="T305" s="82"/>
      <c r="U305" s="72"/>
      <c r="V305" s="8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row>
    <row r="306" spans="1:53" ht="13.5" customHeight="1">
      <c r="A306" s="72"/>
      <c r="B306" s="72"/>
      <c r="C306" s="72"/>
      <c r="D306" s="72"/>
      <c r="E306" s="72"/>
      <c r="F306" s="72"/>
      <c r="G306" s="72"/>
      <c r="H306" s="72"/>
      <c r="I306" s="72"/>
      <c r="J306" s="72"/>
      <c r="K306" s="72"/>
      <c r="L306" s="72"/>
      <c r="M306" s="72"/>
      <c r="N306" s="72"/>
      <c r="O306" s="72"/>
      <c r="P306" s="72"/>
      <c r="Q306" s="82"/>
      <c r="R306" s="72"/>
      <c r="S306" s="72"/>
      <c r="T306" s="82"/>
      <c r="U306" s="72"/>
      <c r="V306" s="8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c r="AW306" s="72"/>
      <c r="AX306" s="72"/>
      <c r="AY306" s="72"/>
      <c r="AZ306" s="72"/>
      <c r="BA306" s="72"/>
    </row>
    <row r="307" spans="1:53" ht="13.5" customHeight="1">
      <c r="A307" s="72"/>
      <c r="B307" s="72"/>
      <c r="C307" s="72"/>
      <c r="D307" s="72"/>
      <c r="E307" s="72"/>
      <c r="F307" s="72"/>
      <c r="G307" s="72"/>
      <c r="H307" s="72"/>
      <c r="I307" s="72"/>
      <c r="J307" s="72"/>
      <c r="K307" s="72"/>
      <c r="L307" s="72"/>
      <c r="M307" s="72"/>
      <c r="N307" s="72"/>
      <c r="O307" s="72"/>
      <c r="P307" s="72"/>
      <c r="Q307" s="82"/>
      <c r="R307" s="72"/>
      <c r="S307" s="72"/>
      <c r="T307" s="82"/>
      <c r="U307" s="72"/>
      <c r="V307" s="8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row>
    <row r="308" spans="1:53" ht="13.5" customHeight="1">
      <c r="A308" s="72"/>
      <c r="B308" s="72"/>
      <c r="C308" s="72"/>
      <c r="D308" s="72"/>
      <c r="E308" s="72"/>
      <c r="F308" s="72"/>
      <c r="G308" s="72"/>
      <c r="H308" s="72"/>
      <c r="I308" s="72"/>
      <c r="J308" s="72"/>
      <c r="K308" s="72"/>
      <c r="L308" s="72"/>
      <c r="M308" s="72"/>
      <c r="N308" s="72"/>
      <c r="O308" s="72"/>
      <c r="P308" s="72"/>
      <c r="Q308" s="82"/>
      <c r="R308" s="72"/>
      <c r="S308" s="72"/>
      <c r="T308" s="82"/>
      <c r="U308" s="72"/>
      <c r="V308" s="8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c r="AW308" s="72"/>
      <c r="AX308" s="72"/>
      <c r="AY308" s="72"/>
      <c r="AZ308" s="72"/>
      <c r="BA308" s="72"/>
    </row>
    <row r="309" spans="1:53" ht="13.5" customHeight="1">
      <c r="A309" s="72"/>
      <c r="B309" s="72"/>
      <c r="C309" s="72"/>
      <c r="D309" s="72"/>
      <c r="E309" s="72"/>
      <c r="F309" s="72"/>
      <c r="G309" s="72"/>
      <c r="H309" s="72"/>
      <c r="I309" s="72"/>
      <c r="J309" s="72"/>
      <c r="K309" s="72"/>
      <c r="L309" s="72"/>
      <c r="M309" s="72"/>
      <c r="N309" s="72"/>
      <c r="O309" s="72"/>
      <c r="P309" s="72"/>
      <c r="Q309" s="82"/>
      <c r="R309" s="72"/>
      <c r="S309" s="72"/>
      <c r="T309" s="82"/>
      <c r="U309" s="72"/>
      <c r="V309" s="8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row>
    <row r="310" spans="1:53" ht="13.5" customHeight="1">
      <c r="A310" s="72"/>
      <c r="B310" s="72"/>
      <c r="C310" s="72"/>
      <c r="D310" s="72"/>
      <c r="E310" s="72"/>
      <c r="F310" s="72"/>
      <c r="G310" s="72"/>
      <c r="H310" s="72"/>
      <c r="I310" s="72"/>
      <c r="J310" s="72"/>
      <c r="K310" s="72"/>
      <c r="L310" s="72"/>
      <c r="M310" s="72"/>
      <c r="N310" s="72"/>
      <c r="O310" s="72"/>
      <c r="P310" s="72"/>
      <c r="Q310" s="82"/>
      <c r="R310" s="72"/>
      <c r="S310" s="72"/>
      <c r="T310" s="82"/>
      <c r="U310" s="72"/>
      <c r="V310" s="8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row>
    <row r="311" spans="1:53" ht="13.5" customHeight="1">
      <c r="A311" s="72"/>
      <c r="B311" s="72"/>
      <c r="C311" s="72"/>
      <c r="D311" s="72"/>
      <c r="E311" s="72"/>
      <c r="F311" s="72"/>
      <c r="G311" s="72"/>
      <c r="H311" s="72"/>
      <c r="I311" s="72"/>
      <c r="J311" s="72"/>
      <c r="K311" s="72"/>
      <c r="L311" s="72"/>
      <c r="M311" s="72"/>
      <c r="N311" s="72"/>
      <c r="O311" s="72"/>
      <c r="P311" s="72"/>
      <c r="Q311" s="82"/>
      <c r="R311" s="72"/>
      <c r="S311" s="72"/>
      <c r="T311" s="82"/>
      <c r="U311" s="72"/>
      <c r="V311" s="8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c r="AW311" s="72"/>
      <c r="AX311" s="72"/>
      <c r="AY311" s="72"/>
      <c r="AZ311" s="72"/>
      <c r="BA311" s="72"/>
    </row>
    <row r="312" spans="1:53" ht="13.5" customHeight="1">
      <c r="A312" s="72"/>
      <c r="B312" s="72"/>
      <c r="C312" s="72"/>
      <c r="D312" s="72"/>
      <c r="E312" s="72"/>
      <c r="F312" s="72"/>
      <c r="G312" s="72"/>
      <c r="H312" s="72"/>
      <c r="I312" s="72"/>
      <c r="J312" s="72"/>
      <c r="K312" s="72"/>
      <c r="L312" s="72"/>
      <c r="M312" s="72"/>
      <c r="N312" s="72"/>
      <c r="O312" s="72"/>
      <c r="P312" s="72"/>
      <c r="Q312" s="82"/>
      <c r="R312" s="72"/>
      <c r="S312" s="72"/>
      <c r="T312" s="82"/>
      <c r="U312" s="72"/>
      <c r="V312" s="8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row>
    <row r="313" spans="1:53" ht="13.5" customHeight="1">
      <c r="A313" s="72"/>
      <c r="B313" s="72"/>
      <c r="C313" s="72"/>
      <c r="D313" s="72"/>
      <c r="E313" s="72"/>
      <c r="F313" s="72"/>
      <c r="G313" s="72"/>
      <c r="H313" s="72"/>
      <c r="I313" s="72"/>
      <c r="J313" s="72"/>
      <c r="K313" s="72"/>
      <c r="L313" s="72"/>
      <c r="M313" s="72"/>
      <c r="N313" s="72"/>
      <c r="O313" s="72"/>
      <c r="P313" s="72"/>
      <c r="Q313" s="82"/>
      <c r="R313" s="72"/>
      <c r="S313" s="72"/>
      <c r="T313" s="82"/>
      <c r="U313" s="72"/>
      <c r="V313" s="8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row>
    <row r="314" spans="1:53" ht="13.5" customHeight="1">
      <c r="A314" s="72"/>
      <c r="B314" s="72"/>
      <c r="C314" s="72"/>
      <c r="D314" s="72"/>
      <c r="E314" s="72"/>
      <c r="F314" s="72"/>
      <c r="G314" s="72"/>
      <c r="H314" s="72"/>
      <c r="I314" s="72"/>
      <c r="J314" s="72"/>
      <c r="K314" s="72"/>
      <c r="L314" s="72"/>
      <c r="M314" s="72"/>
      <c r="N314" s="72"/>
      <c r="O314" s="72"/>
      <c r="P314" s="72"/>
      <c r="Q314" s="82"/>
      <c r="R314" s="72"/>
      <c r="S314" s="72"/>
      <c r="T314" s="82"/>
      <c r="U314" s="72"/>
      <c r="V314" s="8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row>
    <row r="315" spans="1:53" ht="13.5" customHeight="1">
      <c r="A315" s="72"/>
      <c r="B315" s="72"/>
      <c r="C315" s="72"/>
      <c r="D315" s="72"/>
      <c r="E315" s="72"/>
      <c r="F315" s="72"/>
      <c r="G315" s="72"/>
      <c r="H315" s="72"/>
      <c r="I315" s="72"/>
      <c r="J315" s="72"/>
      <c r="K315" s="72"/>
      <c r="L315" s="72"/>
      <c r="M315" s="72"/>
      <c r="N315" s="72"/>
      <c r="O315" s="72"/>
      <c r="P315" s="72"/>
      <c r="Q315" s="82"/>
      <c r="R315" s="72"/>
      <c r="S315" s="72"/>
      <c r="T315" s="82"/>
      <c r="U315" s="72"/>
      <c r="V315" s="8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row>
    <row r="316" spans="1:53" ht="15.75" customHeight="1"/>
    <row r="317" spans="1:53" ht="15.75" customHeight="1"/>
    <row r="318" spans="1:53" ht="15.75" customHeight="1"/>
    <row r="319" spans="1:53" ht="15.75" customHeight="1"/>
    <row r="320" spans="1:5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A115" xr:uid="{00000000-0009-0000-0000-000000000000}"/>
  <phoneticPr fontId="3"/>
  <dataValidations count="11">
    <dataValidation type="decimal" allowBlank="1" showInputMessage="1" showErrorMessage="1" prompt="硬度を正しく入力して下さい。" sqref="O2:P315" xr:uid="{7B3D4806-41C0-4B7B-8A95-50CD1529A035}">
      <formula1>0</formula1>
      <formula2>7</formula2>
    </dataValidation>
    <dataValidation type="list" allowBlank="1" showErrorMessage="1" sqref="H2:H315" xr:uid="{1B91E402-33F7-41B4-AE76-F2B629DFC68F}">
      <formula1>$AL$2:$AL$9</formula1>
    </dataValidation>
    <dataValidation type="list" allowBlank="1" showErrorMessage="1" sqref="K2:K315" xr:uid="{6EC8BB92-F790-4C6F-89E2-1B85C04F491A}">
      <formula1>$AR$2:$AR$28</formula1>
    </dataValidation>
    <dataValidation type="list" allowBlank="1" showErrorMessage="1" sqref="J2:J315" xr:uid="{1C547377-8CF2-4F6D-815A-D96BEF9DCFF9}">
      <formula1>$AP$2:$AP$30</formula1>
    </dataValidation>
    <dataValidation type="list" allowBlank="1" showErrorMessage="1" sqref="G2:G315" xr:uid="{60C27899-436A-45BD-A56B-9619F0D446D6}">
      <formula1>$AJ$2:$AJ$4</formula1>
    </dataValidation>
    <dataValidation type="list" allowBlank="1" showErrorMessage="1" sqref="A2:A315" xr:uid="{1F9C4F12-0A32-4381-8987-05AB56604980}">
      <formula1>$AE$2:$AE$19</formula1>
    </dataValidation>
    <dataValidation type="list" allowBlank="1" showErrorMessage="1" sqref="Y2:AA315" xr:uid="{ABD611FB-2B0E-4480-AEC0-FB18C0EFF490}">
      <formula1>$AV$2:$AV$21</formula1>
    </dataValidation>
    <dataValidation type="list" allowBlank="1" showErrorMessage="1" sqref="I2:I315" xr:uid="{99FE4D2E-B956-4C9F-836C-74678C1F91DF}">
      <formula1>$AN$5:$AN$6</formula1>
    </dataValidation>
    <dataValidation type="list" allowBlank="1" showErrorMessage="1" sqref="F2:F315" xr:uid="{C3B872F6-56FD-4F55-AE2A-0BAC3F086775}">
      <formula1>$AH$2:$AH$11</formula1>
    </dataValidation>
    <dataValidation type="list" allowBlank="1" showErrorMessage="1" sqref="E2:E315" xr:uid="{3B749F4C-27E9-44B1-92DE-90ED1979BF1B}">
      <formula1>$AG$2:$AG$11</formula1>
    </dataValidation>
    <dataValidation type="list" allowBlank="1" showErrorMessage="1" sqref="X2:X315" xr:uid="{D51951A5-3BAB-48BB-9944-E737A7E83723}">
      <formula1>$AT$2:$AT$3</formula1>
    </dataValidation>
  </dataValidations>
  <pageMargins left="0.69930555555555596" right="0.69930555555555596"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E3EA-C854-4A8E-B0F4-1B7FDC4B9C8A}">
  <sheetPr>
    <pageSetUpPr fitToPage="1"/>
  </sheetPr>
  <dimension ref="A1:BA683"/>
  <sheetViews>
    <sheetView zoomScale="85" zoomScaleNormal="85" workbookViewId="0">
      <pane ySplit="1" topLeftCell="A2" activePane="bottomLeft" state="frozen"/>
      <selection pane="bottomLeft" activeCell="A2" sqref="A2"/>
    </sheetView>
  </sheetViews>
  <sheetFormatPr defaultRowHeight="13.5"/>
  <cols>
    <col min="1" max="3" width="9" style="10" customWidth="1"/>
    <col min="4" max="4" width="10.5" style="10" customWidth="1"/>
    <col min="5" max="5" width="11.25" style="10" bestFit="1" customWidth="1"/>
    <col min="6" max="7" width="9" style="10"/>
    <col min="8" max="9" width="9" style="10" customWidth="1"/>
    <col min="10" max="11" width="9" style="10"/>
    <col min="12" max="16" width="9" style="10" customWidth="1"/>
    <col min="17" max="17" width="9" style="24" customWidth="1"/>
    <col min="18" max="18" width="9" style="10"/>
    <col min="19" max="19" width="9.5" style="10" bestFit="1" customWidth="1"/>
    <col min="20" max="20" width="9" style="24" customWidth="1"/>
    <col min="21" max="21" width="9" style="10"/>
    <col min="22" max="22" width="9" style="24" customWidth="1"/>
    <col min="23" max="28" width="9" style="10"/>
    <col min="29" max="29" width="26.5" style="10" customWidth="1"/>
    <col min="30" max="32" width="9" style="10"/>
    <col min="33" max="33" width="15.75" style="10" bestFit="1" customWidth="1"/>
    <col min="34" max="34" width="15" style="10" bestFit="1" customWidth="1"/>
    <col min="35" max="256" width="9" style="10"/>
    <col min="257" max="259" width="9" style="10" customWidth="1"/>
    <col min="260" max="260" width="10.5" style="10" customWidth="1"/>
    <col min="261" max="261" width="11.25" style="10" bestFit="1" customWidth="1"/>
    <col min="262" max="263" width="9" style="10"/>
    <col min="264" max="273" width="9" style="10" customWidth="1"/>
    <col min="274" max="274" width="9" style="10"/>
    <col min="275" max="275" width="9.5" style="10" bestFit="1" customWidth="1"/>
    <col min="276" max="276" width="9" style="10" customWidth="1"/>
    <col min="277" max="277" width="9" style="10"/>
    <col min="278" max="278" width="9" style="10" customWidth="1"/>
    <col min="279" max="284" width="9" style="10"/>
    <col min="285" max="285" width="26.5" style="10" customWidth="1"/>
    <col min="286" max="288" width="9" style="10"/>
    <col min="289" max="289" width="14.75" style="10" bestFit="1" customWidth="1"/>
    <col min="290" max="512" width="9" style="10"/>
    <col min="513" max="515" width="9" style="10" customWidth="1"/>
    <col min="516" max="516" width="10.5" style="10" customWidth="1"/>
    <col min="517" max="517" width="11.25" style="10" bestFit="1" customWidth="1"/>
    <col min="518" max="519" width="9" style="10"/>
    <col min="520" max="529" width="9" style="10" customWidth="1"/>
    <col min="530" max="530" width="9" style="10"/>
    <col min="531" max="531" width="9.5" style="10" bestFit="1" customWidth="1"/>
    <col min="532" max="532" width="9" style="10" customWidth="1"/>
    <col min="533" max="533" width="9" style="10"/>
    <col min="534" max="534" width="9" style="10" customWidth="1"/>
    <col min="535" max="540" width="9" style="10"/>
    <col min="541" max="541" width="26.5" style="10" customWidth="1"/>
    <col min="542" max="544" width="9" style="10"/>
    <col min="545" max="545" width="14.75" style="10" bestFit="1" customWidth="1"/>
    <col min="546" max="768" width="9" style="10"/>
    <col min="769" max="771" width="9" style="10" customWidth="1"/>
    <col min="772" max="772" width="10.5" style="10" customWidth="1"/>
    <col min="773" max="773" width="11.25" style="10" bestFit="1" customWidth="1"/>
    <col min="774" max="775" width="9" style="10"/>
    <col min="776" max="785" width="9" style="10" customWidth="1"/>
    <col min="786" max="786" width="9" style="10"/>
    <col min="787" max="787" width="9.5" style="10" bestFit="1" customWidth="1"/>
    <col min="788" max="788" width="9" style="10" customWidth="1"/>
    <col min="789" max="789" width="9" style="10"/>
    <col min="790" max="790" width="9" style="10" customWidth="1"/>
    <col min="791" max="796" width="9" style="10"/>
    <col min="797" max="797" width="26.5" style="10" customWidth="1"/>
    <col min="798" max="800" width="9" style="10"/>
    <col min="801" max="801" width="14.75" style="10" bestFit="1" customWidth="1"/>
    <col min="802" max="1024" width="9" style="10"/>
    <col min="1025" max="1027" width="9" style="10" customWidth="1"/>
    <col min="1028" max="1028" width="10.5" style="10" customWidth="1"/>
    <col min="1029" max="1029" width="11.25" style="10" bestFit="1" customWidth="1"/>
    <col min="1030" max="1031" width="9" style="10"/>
    <col min="1032" max="1041" width="9" style="10" customWidth="1"/>
    <col min="1042" max="1042" width="9" style="10"/>
    <col min="1043" max="1043" width="9.5" style="10" bestFit="1" customWidth="1"/>
    <col min="1044" max="1044" width="9" style="10" customWidth="1"/>
    <col min="1045" max="1045" width="9" style="10"/>
    <col min="1046" max="1046" width="9" style="10" customWidth="1"/>
    <col min="1047" max="1052" width="9" style="10"/>
    <col min="1053" max="1053" width="26.5" style="10" customWidth="1"/>
    <col min="1054" max="1056" width="9" style="10"/>
    <col min="1057" max="1057" width="14.75" style="10" bestFit="1" customWidth="1"/>
    <col min="1058" max="1280" width="9" style="10"/>
    <col min="1281" max="1283" width="9" style="10" customWidth="1"/>
    <col min="1284" max="1284" width="10.5" style="10" customWidth="1"/>
    <col min="1285" max="1285" width="11.25" style="10" bestFit="1" customWidth="1"/>
    <col min="1286" max="1287" width="9" style="10"/>
    <col min="1288" max="1297" width="9" style="10" customWidth="1"/>
    <col min="1298" max="1298" width="9" style="10"/>
    <col min="1299" max="1299" width="9.5" style="10" bestFit="1" customWidth="1"/>
    <col min="1300" max="1300" width="9" style="10" customWidth="1"/>
    <col min="1301" max="1301" width="9" style="10"/>
    <col min="1302" max="1302" width="9" style="10" customWidth="1"/>
    <col min="1303" max="1308" width="9" style="10"/>
    <col min="1309" max="1309" width="26.5" style="10" customWidth="1"/>
    <col min="1310" max="1312" width="9" style="10"/>
    <col min="1313" max="1313" width="14.75" style="10" bestFit="1" customWidth="1"/>
    <col min="1314" max="1536" width="9" style="10"/>
    <col min="1537" max="1539" width="9" style="10" customWidth="1"/>
    <col min="1540" max="1540" width="10.5" style="10" customWidth="1"/>
    <col min="1541" max="1541" width="11.25" style="10" bestFit="1" customWidth="1"/>
    <col min="1542" max="1543" width="9" style="10"/>
    <col min="1544" max="1553" width="9" style="10" customWidth="1"/>
    <col min="1554" max="1554" width="9" style="10"/>
    <col min="1555" max="1555" width="9.5" style="10" bestFit="1" customWidth="1"/>
    <col min="1556" max="1556" width="9" style="10" customWidth="1"/>
    <col min="1557" max="1557" width="9" style="10"/>
    <col min="1558" max="1558" width="9" style="10" customWidth="1"/>
    <col min="1559" max="1564" width="9" style="10"/>
    <col min="1565" max="1565" width="26.5" style="10" customWidth="1"/>
    <col min="1566" max="1568" width="9" style="10"/>
    <col min="1569" max="1569" width="14.75" style="10" bestFit="1" customWidth="1"/>
    <col min="1570" max="1792" width="9" style="10"/>
    <col min="1793" max="1795" width="9" style="10" customWidth="1"/>
    <col min="1796" max="1796" width="10.5" style="10" customWidth="1"/>
    <col min="1797" max="1797" width="11.25" style="10" bestFit="1" customWidth="1"/>
    <col min="1798" max="1799" width="9" style="10"/>
    <col min="1800" max="1809" width="9" style="10" customWidth="1"/>
    <col min="1810" max="1810" width="9" style="10"/>
    <col min="1811" max="1811" width="9.5" style="10" bestFit="1" customWidth="1"/>
    <col min="1812" max="1812" width="9" style="10" customWidth="1"/>
    <col min="1813" max="1813" width="9" style="10"/>
    <col min="1814" max="1814" width="9" style="10" customWidth="1"/>
    <col min="1815" max="1820" width="9" style="10"/>
    <col min="1821" max="1821" width="26.5" style="10" customWidth="1"/>
    <col min="1822" max="1824" width="9" style="10"/>
    <col min="1825" max="1825" width="14.75" style="10" bestFit="1" customWidth="1"/>
    <col min="1826" max="2048" width="9" style="10"/>
    <col min="2049" max="2051" width="9" style="10" customWidth="1"/>
    <col min="2052" max="2052" width="10.5" style="10" customWidth="1"/>
    <col min="2053" max="2053" width="11.25" style="10" bestFit="1" customWidth="1"/>
    <col min="2054" max="2055" width="9" style="10"/>
    <col min="2056" max="2065" width="9" style="10" customWidth="1"/>
    <col min="2066" max="2066" width="9" style="10"/>
    <col min="2067" max="2067" width="9.5" style="10" bestFit="1" customWidth="1"/>
    <col min="2068" max="2068" width="9" style="10" customWidth="1"/>
    <col min="2069" max="2069" width="9" style="10"/>
    <col min="2070" max="2070" width="9" style="10" customWidth="1"/>
    <col min="2071" max="2076" width="9" style="10"/>
    <col min="2077" max="2077" width="26.5" style="10" customWidth="1"/>
    <col min="2078" max="2080" width="9" style="10"/>
    <col min="2081" max="2081" width="14.75" style="10" bestFit="1" customWidth="1"/>
    <col min="2082" max="2304" width="9" style="10"/>
    <col min="2305" max="2307" width="9" style="10" customWidth="1"/>
    <col min="2308" max="2308" width="10.5" style="10" customWidth="1"/>
    <col min="2309" max="2309" width="11.25" style="10" bestFit="1" customWidth="1"/>
    <col min="2310" max="2311" width="9" style="10"/>
    <col min="2312" max="2321" width="9" style="10" customWidth="1"/>
    <col min="2322" max="2322" width="9" style="10"/>
    <col min="2323" max="2323" width="9.5" style="10" bestFit="1" customWidth="1"/>
    <col min="2324" max="2324" width="9" style="10" customWidth="1"/>
    <col min="2325" max="2325" width="9" style="10"/>
    <col min="2326" max="2326" width="9" style="10" customWidth="1"/>
    <col min="2327" max="2332" width="9" style="10"/>
    <col min="2333" max="2333" width="26.5" style="10" customWidth="1"/>
    <col min="2334" max="2336" width="9" style="10"/>
    <col min="2337" max="2337" width="14.75" style="10" bestFit="1" customWidth="1"/>
    <col min="2338" max="2560" width="9" style="10"/>
    <col min="2561" max="2563" width="9" style="10" customWidth="1"/>
    <col min="2564" max="2564" width="10.5" style="10" customWidth="1"/>
    <col min="2565" max="2565" width="11.25" style="10" bestFit="1" customWidth="1"/>
    <col min="2566" max="2567" width="9" style="10"/>
    <col min="2568" max="2577" width="9" style="10" customWidth="1"/>
    <col min="2578" max="2578" width="9" style="10"/>
    <col min="2579" max="2579" width="9.5" style="10" bestFit="1" customWidth="1"/>
    <col min="2580" max="2580" width="9" style="10" customWidth="1"/>
    <col min="2581" max="2581" width="9" style="10"/>
    <col min="2582" max="2582" width="9" style="10" customWidth="1"/>
    <col min="2583" max="2588" width="9" style="10"/>
    <col min="2589" max="2589" width="26.5" style="10" customWidth="1"/>
    <col min="2590" max="2592" width="9" style="10"/>
    <col min="2593" max="2593" width="14.75" style="10" bestFit="1" customWidth="1"/>
    <col min="2594" max="2816" width="9" style="10"/>
    <col min="2817" max="2819" width="9" style="10" customWidth="1"/>
    <col min="2820" max="2820" width="10.5" style="10" customWidth="1"/>
    <col min="2821" max="2821" width="11.25" style="10" bestFit="1" customWidth="1"/>
    <col min="2822" max="2823" width="9" style="10"/>
    <col min="2824" max="2833" width="9" style="10" customWidth="1"/>
    <col min="2834" max="2834" width="9" style="10"/>
    <col min="2835" max="2835" width="9.5" style="10" bestFit="1" customWidth="1"/>
    <col min="2836" max="2836" width="9" style="10" customWidth="1"/>
    <col min="2837" max="2837" width="9" style="10"/>
    <col min="2838" max="2838" width="9" style="10" customWidth="1"/>
    <col min="2839" max="2844" width="9" style="10"/>
    <col min="2845" max="2845" width="26.5" style="10" customWidth="1"/>
    <col min="2846" max="2848" width="9" style="10"/>
    <col min="2849" max="2849" width="14.75" style="10" bestFit="1" customWidth="1"/>
    <col min="2850" max="3072" width="9" style="10"/>
    <col min="3073" max="3075" width="9" style="10" customWidth="1"/>
    <col min="3076" max="3076" width="10.5" style="10" customWidth="1"/>
    <col min="3077" max="3077" width="11.25" style="10" bestFit="1" customWidth="1"/>
    <col min="3078" max="3079" width="9" style="10"/>
    <col min="3080" max="3089" width="9" style="10" customWidth="1"/>
    <col min="3090" max="3090" width="9" style="10"/>
    <col min="3091" max="3091" width="9.5" style="10" bestFit="1" customWidth="1"/>
    <col min="3092" max="3092" width="9" style="10" customWidth="1"/>
    <col min="3093" max="3093" width="9" style="10"/>
    <col min="3094" max="3094" width="9" style="10" customWidth="1"/>
    <col min="3095" max="3100" width="9" style="10"/>
    <col min="3101" max="3101" width="26.5" style="10" customWidth="1"/>
    <col min="3102" max="3104" width="9" style="10"/>
    <col min="3105" max="3105" width="14.75" style="10" bestFit="1" customWidth="1"/>
    <col min="3106" max="3328" width="9" style="10"/>
    <col min="3329" max="3331" width="9" style="10" customWidth="1"/>
    <col min="3332" max="3332" width="10.5" style="10" customWidth="1"/>
    <col min="3333" max="3333" width="11.25" style="10" bestFit="1" customWidth="1"/>
    <col min="3334" max="3335" width="9" style="10"/>
    <col min="3336" max="3345" width="9" style="10" customWidth="1"/>
    <col min="3346" max="3346" width="9" style="10"/>
    <col min="3347" max="3347" width="9.5" style="10" bestFit="1" customWidth="1"/>
    <col min="3348" max="3348" width="9" style="10" customWidth="1"/>
    <col min="3349" max="3349" width="9" style="10"/>
    <col min="3350" max="3350" width="9" style="10" customWidth="1"/>
    <col min="3351" max="3356" width="9" style="10"/>
    <col min="3357" max="3357" width="26.5" style="10" customWidth="1"/>
    <col min="3358" max="3360" width="9" style="10"/>
    <col min="3361" max="3361" width="14.75" style="10" bestFit="1" customWidth="1"/>
    <col min="3362" max="3584" width="9" style="10"/>
    <col min="3585" max="3587" width="9" style="10" customWidth="1"/>
    <col min="3588" max="3588" width="10.5" style="10" customWidth="1"/>
    <col min="3589" max="3589" width="11.25" style="10" bestFit="1" customWidth="1"/>
    <col min="3590" max="3591" width="9" style="10"/>
    <col min="3592" max="3601" width="9" style="10" customWidth="1"/>
    <col min="3602" max="3602" width="9" style="10"/>
    <col min="3603" max="3603" width="9.5" style="10" bestFit="1" customWidth="1"/>
    <col min="3604" max="3604" width="9" style="10" customWidth="1"/>
    <col min="3605" max="3605" width="9" style="10"/>
    <col min="3606" max="3606" width="9" style="10" customWidth="1"/>
    <col min="3607" max="3612" width="9" style="10"/>
    <col min="3613" max="3613" width="26.5" style="10" customWidth="1"/>
    <col min="3614" max="3616" width="9" style="10"/>
    <col min="3617" max="3617" width="14.75" style="10" bestFit="1" customWidth="1"/>
    <col min="3618" max="3840" width="9" style="10"/>
    <col min="3841" max="3843" width="9" style="10" customWidth="1"/>
    <col min="3844" max="3844" width="10.5" style="10" customWidth="1"/>
    <col min="3845" max="3845" width="11.25" style="10" bestFit="1" customWidth="1"/>
    <col min="3846" max="3847" width="9" style="10"/>
    <col min="3848" max="3857" width="9" style="10" customWidth="1"/>
    <col min="3858" max="3858" width="9" style="10"/>
    <col min="3859" max="3859" width="9.5" style="10" bestFit="1" customWidth="1"/>
    <col min="3860" max="3860" width="9" style="10" customWidth="1"/>
    <col min="3861" max="3861" width="9" style="10"/>
    <col min="3862" max="3862" width="9" style="10" customWidth="1"/>
    <col min="3863" max="3868" width="9" style="10"/>
    <col min="3869" max="3869" width="26.5" style="10" customWidth="1"/>
    <col min="3870" max="3872" width="9" style="10"/>
    <col min="3873" max="3873" width="14.75" style="10" bestFit="1" customWidth="1"/>
    <col min="3874" max="4096" width="9" style="10"/>
    <col min="4097" max="4099" width="9" style="10" customWidth="1"/>
    <col min="4100" max="4100" width="10.5" style="10" customWidth="1"/>
    <col min="4101" max="4101" width="11.25" style="10" bestFit="1" customWidth="1"/>
    <col min="4102" max="4103" width="9" style="10"/>
    <col min="4104" max="4113" width="9" style="10" customWidth="1"/>
    <col min="4114" max="4114" width="9" style="10"/>
    <col min="4115" max="4115" width="9.5" style="10" bestFit="1" customWidth="1"/>
    <col min="4116" max="4116" width="9" style="10" customWidth="1"/>
    <col min="4117" max="4117" width="9" style="10"/>
    <col min="4118" max="4118" width="9" style="10" customWidth="1"/>
    <col min="4119" max="4124" width="9" style="10"/>
    <col min="4125" max="4125" width="26.5" style="10" customWidth="1"/>
    <col min="4126" max="4128" width="9" style="10"/>
    <col min="4129" max="4129" width="14.75" style="10" bestFit="1" customWidth="1"/>
    <col min="4130" max="4352" width="9" style="10"/>
    <col min="4353" max="4355" width="9" style="10" customWidth="1"/>
    <col min="4356" max="4356" width="10.5" style="10" customWidth="1"/>
    <col min="4357" max="4357" width="11.25" style="10" bestFit="1" customWidth="1"/>
    <col min="4358" max="4359" width="9" style="10"/>
    <col min="4360" max="4369" width="9" style="10" customWidth="1"/>
    <col min="4370" max="4370" width="9" style="10"/>
    <col min="4371" max="4371" width="9.5" style="10" bestFit="1" customWidth="1"/>
    <col min="4372" max="4372" width="9" style="10" customWidth="1"/>
    <col min="4373" max="4373" width="9" style="10"/>
    <col min="4374" max="4374" width="9" style="10" customWidth="1"/>
    <col min="4375" max="4380" width="9" style="10"/>
    <col min="4381" max="4381" width="26.5" style="10" customWidth="1"/>
    <col min="4382" max="4384" width="9" style="10"/>
    <col min="4385" max="4385" width="14.75" style="10" bestFit="1" customWidth="1"/>
    <col min="4386" max="4608" width="9" style="10"/>
    <col min="4609" max="4611" width="9" style="10" customWidth="1"/>
    <col min="4612" max="4612" width="10.5" style="10" customWidth="1"/>
    <col min="4613" max="4613" width="11.25" style="10" bestFit="1" customWidth="1"/>
    <col min="4614" max="4615" width="9" style="10"/>
    <col min="4616" max="4625" width="9" style="10" customWidth="1"/>
    <col min="4626" max="4626" width="9" style="10"/>
    <col min="4627" max="4627" width="9.5" style="10" bestFit="1" customWidth="1"/>
    <col min="4628" max="4628" width="9" style="10" customWidth="1"/>
    <col min="4629" max="4629" width="9" style="10"/>
    <col min="4630" max="4630" width="9" style="10" customWidth="1"/>
    <col min="4631" max="4636" width="9" style="10"/>
    <col min="4637" max="4637" width="26.5" style="10" customWidth="1"/>
    <col min="4638" max="4640" width="9" style="10"/>
    <col min="4641" max="4641" width="14.75" style="10" bestFit="1" customWidth="1"/>
    <col min="4642" max="4864" width="9" style="10"/>
    <col min="4865" max="4867" width="9" style="10" customWidth="1"/>
    <col min="4868" max="4868" width="10.5" style="10" customWidth="1"/>
    <col min="4869" max="4869" width="11.25" style="10" bestFit="1" customWidth="1"/>
    <col min="4870" max="4871" width="9" style="10"/>
    <col min="4872" max="4881" width="9" style="10" customWidth="1"/>
    <col min="4882" max="4882" width="9" style="10"/>
    <col min="4883" max="4883" width="9.5" style="10" bestFit="1" customWidth="1"/>
    <col min="4884" max="4884" width="9" style="10" customWidth="1"/>
    <col min="4885" max="4885" width="9" style="10"/>
    <col min="4886" max="4886" width="9" style="10" customWidth="1"/>
    <col min="4887" max="4892" width="9" style="10"/>
    <col min="4893" max="4893" width="26.5" style="10" customWidth="1"/>
    <col min="4894" max="4896" width="9" style="10"/>
    <col min="4897" max="4897" width="14.75" style="10" bestFit="1" customWidth="1"/>
    <col min="4898" max="5120" width="9" style="10"/>
    <col min="5121" max="5123" width="9" style="10" customWidth="1"/>
    <col min="5124" max="5124" width="10.5" style="10" customWidth="1"/>
    <col min="5125" max="5125" width="11.25" style="10" bestFit="1" customWidth="1"/>
    <col min="5126" max="5127" width="9" style="10"/>
    <col min="5128" max="5137" width="9" style="10" customWidth="1"/>
    <col min="5138" max="5138" width="9" style="10"/>
    <col min="5139" max="5139" width="9.5" style="10" bestFit="1" customWidth="1"/>
    <col min="5140" max="5140" width="9" style="10" customWidth="1"/>
    <col min="5141" max="5141" width="9" style="10"/>
    <col min="5142" max="5142" width="9" style="10" customWidth="1"/>
    <col min="5143" max="5148" width="9" style="10"/>
    <col min="5149" max="5149" width="26.5" style="10" customWidth="1"/>
    <col min="5150" max="5152" width="9" style="10"/>
    <col min="5153" max="5153" width="14.75" style="10" bestFit="1" customWidth="1"/>
    <col min="5154" max="5376" width="9" style="10"/>
    <col min="5377" max="5379" width="9" style="10" customWidth="1"/>
    <col min="5380" max="5380" width="10.5" style="10" customWidth="1"/>
    <col min="5381" max="5381" width="11.25" style="10" bestFit="1" customWidth="1"/>
    <col min="5382" max="5383" width="9" style="10"/>
    <col min="5384" max="5393" width="9" style="10" customWidth="1"/>
    <col min="5394" max="5394" width="9" style="10"/>
    <col min="5395" max="5395" width="9.5" style="10" bestFit="1" customWidth="1"/>
    <col min="5396" max="5396" width="9" style="10" customWidth="1"/>
    <col min="5397" max="5397" width="9" style="10"/>
    <col min="5398" max="5398" width="9" style="10" customWidth="1"/>
    <col min="5399" max="5404" width="9" style="10"/>
    <col min="5405" max="5405" width="26.5" style="10" customWidth="1"/>
    <col min="5406" max="5408" width="9" style="10"/>
    <col min="5409" max="5409" width="14.75" style="10" bestFit="1" customWidth="1"/>
    <col min="5410" max="5632" width="9" style="10"/>
    <col min="5633" max="5635" width="9" style="10" customWidth="1"/>
    <col min="5636" max="5636" width="10.5" style="10" customWidth="1"/>
    <col min="5637" max="5637" width="11.25" style="10" bestFit="1" customWidth="1"/>
    <col min="5638" max="5639" width="9" style="10"/>
    <col min="5640" max="5649" width="9" style="10" customWidth="1"/>
    <col min="5650" max="5650" width="9" style="10"/>
    <col min="5651" max="5651" width="9.5" style="10" bestFit="1" customWidth="1"/>
    <col min="5652" max="5652" width="9" style="10" customWidth="1"/>
    <col min="5653" max="5653" width="9" style="10"/>
    <col min="5654" max="5654" width="9" style="10" customWidth="1"/>
    <col min="5655" max="5660" width="9" style="10"/>
    <col min="5661" max="5661" width="26.5" style="10" customWidth="1"/>
    <col min="5662" max="5664" width="9" style="10"/>
    <col min="5665" max="5665" width="14.75" style="10" bestFit="1" customWidth="1"/>
    <col min="5666" max="5888" width="9" style="10"/>
    <col min="5889" max="5891" width="9" style="10" customWidth="1"/>
    <col min="5892" max="5892" width="10.5" style="10" customWidth="1"/>
    <col min="5893" max="5893" width="11.25" style="10" bestFit="1" customWidth="1"/>
    <col min="5894" max="5895" width="9" style="10"/>
    <col min="5896" max="5905" width="9" style="10" customWidth="1"/>
    <col min="5906" max="5906" width="9" style="10"/>
    <col min="5907" max="5907" width="9.5" style="10" bestFit="1" customWidth="1"/>
    <col min="5908" max="5908" width="9" style="10" customWidth="1"/>
    <col min="5909" max="5909" width="9" style="10"/>
    <col min="5910" max="5910" width="9" style="10" customWidth="1"/>
    <col min="5911" max="5916" width="9" style="10"/>
    <col min="5917" max="5917" width="26.5" style="10" customWidth="1"/>
    <col min="5918" max="5920" width="9" style="10"/>
    <col min="5921" max="5921" width="14.75" style="10" bestFit="1" customWidth="1"/>
    <col min="5922" max="6144" width="9" style="10"/>
    <col min="6145" max="6147" width="9" style="10" customWidth="1"/>
    <col min="6148" max="6148" width="10.5" style="10" customWidth="1"/>
    <col min="6149" max="6149" width="11.25" style="10" bestFit="1" customWidth="1"/>
    <col min="6150" max="6151" width="9" style="10"/>
    <col min="6152" max="6161" width="9" style="10" customWidth="1"/>
    <col min="6162" max="6162" width="9" style="10"/>
    <col min="6163" max="6163" width="9.5" style="10" bestFit="1" customWidth="1"/>
    <col min="6164" max="6164" width="9" style="10" customWidth="1"/>
    <col min="6165" max="6165" width="9" style="10"/>
    <col min="6166" max="6166" width="9" style="10" customWidth="1"/>
    <col min="6167" max="6172" width="9" style="10"/>
    <col min="6173" max="6173" width="26.5" style="10" customWidth="1"/>
    <col min="6174" max="6176" width="9" style="10"/>
    <col min="6177" max="6177" width="14.75" style="10" bestFit="1" customWidth="1"/>
    <col min="6178" max="6400" width="9" style="10"/>
    <col min="6401" max="6403" width="9" style="10" customWidth="1"/>
    <col min="6404" max="6404" width="10.5" style="10" customWidth="1"/>
    <col min="6405" max="6405" width="11.25" style="10" bestFit="1" customWidth="1"/>
    <col min="6406" max="6407" width="9" style="10"/>
    <col min="6408" max="6417" width="9" style="10" customWidth="1"/>
    <col min="6418" max="6418" width="9" style="10"/>
    <col min="6419" max="6419" width="9.5" style="10" bestFit="1" customWidth="1"/>
    <col min="6420" max="6420" width="9" style="10" customWidth="1"/>
    <col min="6421" max="6421" width="9" style="10"/>
    <col min="6422" max="6422" width="9" style="10" customWidth="1"/>
    <col min="6423" max="6428" width="9" style="10"/>
    <col min="6429" max="6429" width="26.5" style="10" customWidth="1"/>
    <col min="6430" max="6432" width="9" style="10"/>
    <col min="6433" max="6433" width="14.75" style="10" bestFit="1" customWidth="1"/>
    <col min="6434" max="6656" width="9" style="10"/>
    <col min="6657" max="6659" width="9" style="10" customWidth="1"/>
    <col min="6660" max="6660" width="10.5" style="10" customWidth="1"/>
    <col min="6661" max="6661" width="11.25" style="10" bestFit="1" customWidth="1"/>
    <col min="6662" max="6663" width="9" style="10"/>
    <col min="6664" max="6673" width="9" style="10" customWidth="1"/>
    <col min="6674" max="6674" width="9" style="10"/>
    <col min="6675" max="6675" width="9.5" style="10" bestFit="1" customWidth="1"/>
    <col min="6676" max="6676" width="9" style="10" customWidth="1"/>
    <col min="6677" max="6677" width="9" style="10"/>
    <col min="6678" max="6678" width="9" style="10" customWidth="1"/>
    <col min="6679" max="6684" width="9" style="10"/>
    <col min="6685" max="6685" width="26.5" style="10" customWidth="1"/>
    <col min="6686" max="6688" width="9" style="10"/>
    <col min="6689" max="6689" width="14.75" style="10" bestFit="1" customWidth="1"/>
    <col min="6690" max="6912" width="9" style="10"/>
    <col min="6913" max="6915" width="9" style="10" customWidth="1"/>
    <col min="6916" max="6916" width="10.5" style="10" customWidth="1"/>
    <col min="6917" max="6917" width="11.25" style="10" bestFit="1" customWidth="1"/>
    <col min="6918" max="6919" width="9" style="10"/>
    <col min="6920" max="6929" width="9" style="10" customWidth="1"/>
    <col min="6930" max="6930" width="9" style="10"/>
    <col min="6931" max="6931" width="9.5" style="10" bestFit="1" customWidth="1"/>
    <col min="6932" max="6932" width="9" style="10" customWidth="1"/>
    <col min="6933" max="6933" width="9" style="10"/>
    <col min="6934" max="6934" width="9" style="10" customWidth="1"/>
    <col min="6935" max="6940" width="9" style="10"/>
    <col min="6941" max="6941" width="26.5" style="10" customWidth="1"/>
    <col min="6942" max="6944" width="9" style="10"/>
    <col min="6945" max="6945" width="14.75" style="10" bestFit="1" customWidth="1"/>
    <col min="6946" max="7168" width="9" style="10"/>
    <col min="7169" max="7171" width="9" style="10" customWidth="1"/>
    <col min="7172" max="7172" width="10.5" style="10" customWidth="1"/>
    <col min="7173" max="7173" width="11.25" style="10" bestFit="1" customWidth="1"/>
    <col min="7174" max="7175" width="9" style="10"/>
    <col min="7176" max="7185" width="9" style="10" customWidth="1"/>
    <col min="7186" max="7186" width="9" style="10"/>
    <col min="7187" max="7187" width="9.5" style="10" bestFit="1" customWidth="1"/>
    <col min="7188" max="7188" width="9" style="10" customWidth="1"/>
    <col min="7189" max="7189" width="9" style="10"/>
    <col min="7190" max="7190" width="9" style="10" customWidth="1"/>
    <col min="7191" max="7196" width="9" style="10"/>
    <col min="7197" max="7197" width="26.5" style="10" customWidth="1"/>
    <col min="7198" max="7200" width="9" style="10"/>
    <col min="7201" max="7201" width="14.75" style="10" bestFit="1" customWidth="1"/>
    <col min="7202" max="7424" width="9" style="10"/>
    <col min="7425" max="7427" width="9" style="10" customWidth="1"/>
    <col min="7428" max="7428" width="10.5" style="10" customWidth="1"/>
    <col min="7429" max="7429" width="11.25" style="10" bestFit="1" customWidth="1"/>
    <col min="7430" max="7431" width="9" style="10"/>
    <col min="7432" max="7441" width="9" style="10" customWidth="1"/>
    <col min="7442" max="7442" width="9" style="10"/>
    <col min="7443" max="7443" width="9.5" style="10" bestFit="1" customWidth="1"/>
    <col min="7444" max="7444" width="9" style="10" customWidth="1"/>
    <col min="7445" max="7445" width="9" style="10"/>
    <col min="7446" max="7446" width="9" style="10" customWidth="1"/>
    <col min="7447" max="7452" width="9" style="10"/>
    <col min="7453" max="7453" width="26.5" style="10" customWidth="1"/>
    <col min="7454" max="7456" width="9" style="10"/>
    <col min="7457" max="7457" width="14.75" style="10" bestFit="1" customWidth="1"/>
    <col min="7458" max="7680" width="9" style="10"/>
    <col min="7681" max="7683" width="9" style="10" customWidth="1"/>
    <col min="7684" max="7684" width="10.5" style="10" customWidth="1"/>
    <col min="7685" max="7685" width="11.25" style="10" bestFit="1" customWidth="1"/>
    <col min="7686" max="7687" width="9" style="10"/>
    <col min="7688" max="7697" width="9" style="10" customWidth="1"/>
    <col min="7698" max="7698" width="9" style="10"/>
    <col min="7699" max="7699" width="9.5" style="10" bestFit="1" customWidth="1"/>
    <col min="7700" max="7700" width="9" style="10" customWidth="1"/>
    <col min="7701" max="7701" width="9" style="10"/>
    <col min="7702" max="7702" width="9" style="10" customWidth="1"/>
    <col min="7703" max="7708" width="9" style="10"/>
    <col min="7709" max="7709" width="26.5" style="10" customWidth="1"/>
    <col min="7710" max="7712" width="9" style="10"/>
    <col min="7713" max="7713" width="14.75" style="10" bestFit="1" customWidth="1"/>
    <col min="7714" max="7936" width="9" style="10"/>
    <col min="7937" max="7939" width="9" style="10" customWidth="1"/>
    <col min="7940" max="7940" width="10.5" style="10" customWidth="1"/>
    <col min="7941" max="7941" width="11.25" style="10" bestFit="1" customWidth="1"/>
    <col min="7942" max="7943" width="9" style="10"/>
    <col min="7944" max="7953" width="9" style="10" customWidth="1"/>
    <col min="7954" max="7954" width="9" style="10"/>
    <col min="7955" max="7955" width="9.5" style="10" bestFit="1" customWidth="1"/>
    <col min="7956" max="7956" width="9" style="10" customWidth="1"/>
    <col min="7957" max="7957" width="9" style="10"/>
    <col min="7958" max="7958" width="9" style="10" customWidth="1"/>
    <col min="7959" max="7964" width="9" style="10"/>
    <col min="7965" max="7965" width="26.5" style="10" customWidth="1"/>
    <col min="7966" max="7968" width="9" style="10"/>
    <col min="7969" max="7969" width="14.75" style="10" bestFit="1" customWidth="1"/>
    <col min="7970" max="8192" width="9" style="10"/>
    <col min="8193" max="8195" width="9" style="10" customWidth="1"/>
    <col min="8196" max="8196" width="10.5" style="10" customWidth="1"/>
    <col min="8197" max="8197" width="11.25" style="10" bestFit="1" customWidth="1"/>
    <col min="8198" max="8199" width="9" style="10"/>
    <col min="8200" max="8209" width="9" style="10" customWidth="1"/>
    <col min="8210" max="8210" width="9" style="10"/>
    <col min="8211" max="8211" width="9.5" style="10" bestFit="1" customWidth="1"/>
    <col min="8212" max="8212" width="9" style="10" customWidth="1"/>
    <col min="8213" max="8213" width="9" style="10"/>
    <col min="8214" max="8214" width="9" style="10" customWidth="1"/>
    <col min="8215" max="8220" width="9" style="10"/>
    <col min="8221" max="8221" width="26.5" style="10" customWidth="1"/>
    <col min="8222" max="8224" width="9" style="10"/>
    <col min="8225" max="8225" width="14.75" style="10" bestFit="1" customWidth="1"/>
    <col min="8226" max="8448" width="9" style="10"/>
    <col min="8449" max="8451" width="9" style="10" customWidth="1"/>
    <col min="8452" max="8452" width="10.5" style="10" customWidth="1"/>
    <col min="8453" max="8453" width="11.25" style="10" bestFit="1" customWidth="1"/>
    <col min="8454" max="8455" width="9" style="10"/>
    <col min="8456" max="8465" width="9" style="10" customWidth="1"/>
    <col min="8466" max="8466" width="9" style="10"/>
    <col min="8467" max="8467" width="9.5" style="10" bestFit="1" customWidth="1"/>
    <col min="8468" max="8468" width="9" style="10" customWidth="1"/>
    <col min="8469" max="8469" width="9" style="10"/>
    <col min="8470" max="8470" width="9" style="10" customWidth="1"/>
    <col min="8471" max="8476" width="9" style="10"/>
    <col min="8477" max="8477" width="26.5" style="10" customWidth="1"/>
    <col min="8478" max="8480" width="9" style="10"/>
    <col min="8481" max="8481" width="14.75" style="10" bestFit="1" customWidth="1"/>
    <col min="8482" max="8704" width="9" style="10"/>
    <col min="8705" max="8707" width="9" style="10" customWidth="1"/>
    <col min="8708" max="8708" width="10.5" style="10" customWidth="1"/>
    <col min="8709" max="8709" width="11.25" style="10" bestFit="1" customWidth="1"/>
    <col min="8710" max="8711" width="9" style="10"/>
    <col min="8712" max="8721" width="9" style="10" customWidth="1"/>
    <col min="8722" max="8722" width="9" style="10"/>
    <col min="8723" max="8723" width="9.5" style="10" bestFit="1" customWidth="1"/>
    <col min="8724" max="8724" width="9" style="10" customWidth="1"/>
    <col min="8725" max="8725" width="9" style="10"/>
    <col min="8726" max="8726" width="9" style="10" customWidth="1"/>
    <col min="8727" max="8732" width="9" style="10"/>
    <col min="8733" max="8733" width="26.5" style="10" customWidth="1"/>
    <col min="8734" max="8736" width="9" style="10"/>
    <col min="8737" max="8737" width="14.75" style="10" bestFit="1" customWidth="1"/>
    <col min="8738" max="8960" width="9" style="10"/>
    <col min="8961" max="8963" width="9" style="10" customWidth="1"/>
    <col min="8964" max="8964" width="10.5" style="10" customWidth="1"/>
    <col min="8965" max="8965" width="11.25" style="10" bestFit="1" customWidth="1"/>
    <col min="8966" max="8967" width="9" style="10"/>
    <col min="8968" max="8977" width="9" style="10" customWidth="1"/>
    <col min="8978" max="8978" width="9" style="10"/>
    <col min="8979" max="8979" width="9.5" style="10" bestFit="1" customWidth="1"/>
    <col min="8980" max="8980" width="9" style="10" customWidth="1"/>
    <col min="8981" max="8981" width="9" style="10"/>
    <col min="8982" max="8982" width="9" style="10" customWidth="1"/>
    <col min="8983" max="8988" width="9" style="10"/>
    <col min="8989" max="8989" width="26.5" style="10" customWidth="1"/>
    <col min="8990" max="8992" width="9" style="10"/>
    <col min="8993" max="8993" width="14.75" style="10" bestFit="1" customWidth="1"/>
    <col min="8994" max="9216" width="9" style="10"/>
    <col min="9217" max="9219" width="9" style="10" customWidth="1"/>
    <col min="9220" max="9220" width="10.5" style="10" customWidth="1"/>
    <col min="9221" max="9221" width="11.25" style="10" bestFit="1" customWidth="1"/>
    <col min="9222" max="9223" width="9" style="10"/>
    <col min="9224" max="9233" width="9" style="10" customWidth="1"/>
    <col min="9234" max="9234" width="9" style="10"/>
    <col min="9235" max="9235" width="9.5" style="10" bestFit="1" customWidth="1"/>
    <col min="9236" max="9236" width="9" style="10" customWidth="1"/>
    <col min="9237" max="9237" width="9" style="10"/>
    <col min="9238" max="9238" width="9" style="10" customWidth="1"/>
    <col min="9239" max="9244" width="9" style="10"/>
    <col min="9245" max="9245" width="26.5" style="10" customWidth="1"/>
    <col min="9246" max="9248" width="9" style="10"/>
    <col min="9249" max="9249" width="14.75" style="10" bestFit="1" customWidth="1"/>
    <col min="9250" max="9472" width="9" style="10"/>
    <col min="9473" max="9475" width="9" style="10" customWidth="1"/>
    <col min="9476" max="9476" width="10.5" style="10" customWidth="1"/>
    <col min="9477" max="9477" width="11.25" style="10" bestFit="1" customWidth="1"/>
    <col min="9478" max="9479" width="9" style="10"/>
    <col min="9480" max="9489" width="9" style="10" customWidth="1"/>
    <col min="9490" max="9490" width="9" style="10"/>
    <col min="9491" max="9491" width="9.5" style="10" bestFit="1" customWidth="1"/>
    <col min="9492" max="9492" width="9" style="10" customWidth="1"/>
    <col min="9493" max="9493" width="9" style="10"/>
    <col min="9494" max="9494" width="9" style="10" customWidth="1"/>
    <col min="9495" max="9500" width="9" style="10"/>
    <col min="9501" max="9501" width="26.5" style="10" customWidth="1"/>
    <col min="9502" max="9504" width="9" style="10"/>
    <col min="9505" max="9505" width="14.75" style="10" bestFit="1" customWidth="1"/>
    <col min="9506" max="9728" width="9" style="10"/>
    <col min="9729" max="9731" width="9" style="10" customWidth="1"/>
    <col min="9732" max="9732" width="10.5" style="10" customWidth="1"/>
    <col min="9733" max="9733" width="11.25" style="10" bestFit="1" customWidth="1"/>
    <col min="9734" max="9735" width="9" style="10"/>
    <col min="9736" max="9745" width="9" style="10" customWidth="1"/>
    <col min="9746" max="9746" width="9" style="10"/>
    <col min="9747" max="9747" width="9.5" style="10" bestFit="1" customWidth="1"/>
    <col min="9748" max="9748" width="9" style="10" customWidth="1"/>
    <col min="9749" max="9749" width="9" style="10"/>
    <col min="9750" max="9750" width="9" style="10" customWidth="1"/>
    <col min="9751" max="9756" width="9" style="10"/>
    <col min="9757" max="9757" width="26.5" style="10" customWidth="1"/>
    <col min="9758" max="9760" width="9" style="10"/>
    <col min="9761" max="9761" width="14.75" style="10" bestFit="1" customWidth="1"/>
    <col min="9762" max="9984" width="9" style="10"/>
    <col min="9985" max="9987" width="9" style="10" customWidth="1"/>
    <col min="9988" max="9988" width="10.5" style="10" customWidth="1"/>
    <col min="9989" max="9989" width="11.25" style="10" bestFit="1" customWidth="1"/>
    <col min="9990" max="9991" width="9" style="10"/>
    <col min="9992" max="10001" width="9" style="10" customWidth="1"/>
    <col min="10002" max="10002" width="9" style="10"/>
    <col min="10003" max="10003" width="9.5" style="10" bestFit="1" customWidth="1"/>
    <col min="10004" max="10004" width="9" style="10" customWidth="1"/>
    <col min="10005" max="10005" width="9" style="10"/>
    <col min="10006" max="10006" width="9" style="10" customWidth="1"/>
    <col min="10007" max="10012" width="9" style="10"/>
    <col min="10013" max="10013" width="26.5" style="10" customWidth="1"/>
    <col min="10014" max="10016" width="9" style="10"/>
    <col min="10017" max="10017" width="14.75" style="10" bestFit="1" customWidth="1"/>
    <col min="10018" max="10240" width="9" style="10"/>
    <col min="10241" max="10243" width="9" style="10" customWidth="1"/>
    <col min="10244" max="10244" width="10.5" style="10" customWidth="1"/>
    <col min="10245" max="10245" width="11.25" style="10" bestFit="1" customWidth="1"/>
    <col min="10246" max="10247" width="9" style="10"/>
    <col min="10248" max="10257" width="9" style="10" customWidth="1"/>
    <col min="10258" max="10258" width="9" style="10"/>
    <col min="10259" max="10259" width="9.5" style="10" bestFit="1" customWidth="1"/>
    <col min="10260" max="10260" width="9" style="10" customWidth="1"/>
    <col min="10261" max="10261" width="9" style="10"/>
    <col min="10262" max="10262" width="9" style="10" customWidth="1"/>
    <col min="10263" max="10268" width="9" style="10"/>
    <col min="10269" max="10269" width="26.5" style="10" customWidth="1"/>
    <col min="10270" max="10272" width="9" style="10"/>
    <col min="10273" max="10273" width="14.75" style="10" bestFit="1" customWidth="1"/>
    <col min="10274" max="10496" width="9" style="10"/>
    <col min="10497" max="10499" width="9" style="10" customWidth="1"/>
    <col min="10500" max="10500" width="10.5" style="10" customWidth="1"/>
    <col min="10501" max="10501" width="11.25" style="10" bestFit="1" customWidth="1"/>
    <col min="10502" max="10503" width="9" style="10"/>
    <col min="10504" max="10513" width="9" style="10" customWidth="1"/>
    <col min="10514" max="10514" width="9" style="10"/>
    <col min="10515" max="10515" width="9.5" style="10" bestFit="1" customWidth="1"/>
    <col min="10516" max="10516" width="9" style="10" customWidth="1"/>
    <col min="10517" max="10517" width="9" style="10"/>
    <col min="10518" max="10518" width="9" style="10" customWidth="1"/>
    <col min="10519" max="10524" width="9" style="10"/>
    <col min="10525" max="10525" width="26.5" style="10" customWidth="1"/>
    <col min="10526" max="10528" width="9" style="10"/>
    <col min="10529" max="10529" width="14.75" style="10" bestFit="1" customWidth="1"/>
    <col min="10530" max="10752" width="9" style="10"/>
    <col min="10753" max="10755" width="9" style="10" customWidth="1"/>
    <col min="10756" max="10756" width="10.5" style="10" customWidth="1"/>
    <col min="10757" max="10757" width="11.25" style="10" bestFit="1" customWidth="1"/>
    <col min="10758" max="10759" width="9" style="10"/>
    <col min="10760" max="10769" width="9" style="10" customWidth="1"/>
    <col min="10770" max="10770" width="9" style="10"/>
    <col min="10771" max="10771" width="9.5" style="10" bestFit="1" customWidth="1"/>
    <col min="10772" max="10772" width="9" style="10" customWidth="1"/>
    <col min="10773" max="10773" width="9" style="10"/>
    <col min="10774" max="10774" width="9" style="10" customWidth="1"/>
    <col min="10775" max="10780" width="9" style="10"/>
    <col min="10781" max="10781" width="26.5" style="10" customWidth="1"/>
    <col min="10782" max="10784" width="9" style="10"/>
    <col min="10785" max="10785" width="14.75" style="10" bestFit="1" customWidth="1"/>
    <col min="10786" max="11008" width="9" style="10"/>
    <col min="11009" max="11011" width="9" style="10" customWidth="1"/>
    <col min="11012" max="11012" width="10.5" style="10" customWidth="1"/>
    <col min="11013" max="11013" width="11.25" style="10" bestFit="1" customWidth="1"/>
    <col min="11014" max="11015" width="9" style="10"/>
    <col min="11016" max="11025" width="9" style="10" customWidth="1"/>
    <col min="11026" max="11026" width="9" style="10"/>
    <col min="11027" max="11027" width="9.5" style="10" bestFit="1" customWidth="1"/>
    <col min="11028" max="11028" width="9" style="10" customWidth="1"/>
    <col min="11029" max="11029" width="9" style="10"/>
    <col min="11030" max="11030" width="9" style="10" customWidth="1"/>
    <col min="11031" max="11036" width="9" style="10"/>
    <col min="11037" max="11037" width="26.5" style="10" customWidth="1"/>
    <col min="11038" max="11040" width="9" style="10"/>
    <col min="11041" max="11041" width="14.75" style="10" bestFit="1" customWidth="1"/>
    <col min="11042" max="11264" width="9" style="10"/>
    <col min="11265" max="11267" width="9" style="10" customWidth="1"/>
    <col min="11268" max="11268" width="10.5" style="10" customWidth="1"/>
    <col min="11269" max="11269" width="11.25" style="10" bestFit="1" customWidth="1"/>
    <col min="11270" max="11271" width="9" style="10"/>
    <col min="11272" max="11281" width="9" style="10" customWidth="1"/>
    <col min="11282" max="11282" width="9" style="10"/>
    <col min="11283" max="11283" width="9.5" style="10" bestFit="1" customWidth="1"/>
    <col min="11284" max="11284" width="9" style="10" customWidth="1"/>
    <col min="11285" max="11285" width="9" style="10"/>
    <col min="11286" max="11286" width="9" style="10" customWidth="1"/>
    <col min="11287" max="11292" width="9" style="10"/>
    <col min="11293" max="11293" width="26.5" style="10" customWidth="1"/>
    <col min="11294" max="11296" width="9" style="10"/>
    <col min="11297" max="11297" width="14.75" style="10" bestFit="1" customWidth="1"/>
    <col min="11298" max="11520" width="9" style="10"/>
    <col min="11521" max="11523" width="9" style="10" customWidth="1"/>
    <col min="11524" max="11524" width="10.5" style="10" customWidth="1"/>
    <col min="11525" max="11525" width="11.25" style="10" bestFit="1" customWidth="1"/>
    <col min="11526" max="11527" width="9" style="10"/>
    <col min="11528" max="11537" width="9" style="10" customWidth="1"/>
    <col min="11538" max="11538" width="9" style="10"/>
    <col min="11539" max="11539" width="9.5" style="10" bestFit="1" customWidth="1"/>
    <col min="11540" max="11540" width="9" style="10" customWidth="1"/>
    <col min="11541" max="11541" width="9" style="10"/>
    <col min="11542" max="11542" width="9" style="10" customWidth="1"/>
    <col min="11543" max="11548" width="9" style="10"/>
    <col min="11549" max="11549" width="26.5" style="10" customWidth="1"/>
    <col min="11550" max="11552" width="9" style="10"/>
    <col min="11553" max="11553" width="14.75" style="10" bestFit="1" customWidth="1"/>
    <col min="11554" max="11776" width="9" style="10"/>
    <col min="11777" max="11779" width="9" style="10" customWidth="1"/>
    <col min="11780" max="11780" width="10.5" style="10" customWidth="1"/>
    <col min="11781" max="11781" width="11.25" style="10" bestFit="1" customWidth="1"/>
    <col min="11782" max="11783" width="9" style="10"/>
    <col min="11784" max="11793" width="9" style="10" customWidth="1"/>
    <col min="11794" max="11794" width="9" style="10"/>
    <col min="11795" max="11795" width="9.5" style="10" bestFit="1" customWidth="1"/>
    <col min="11796" max="11796" width="9" style="10" customWidth="1"/>
    <col min="11797" max="11797" width="9" style="10"/>
    <col min="11798" max="11798" width="9" style="10" customWidth="1"/>
    <col min="11799" max="11804" width="9" style="10"/>
    <col min="11805" max="11805" width="26.5" style="10" customWidth="1"/>
    <col min="11806" max="11808" width="9" style="10"/>
    <col min="11809" max="11809" width="14.75" style="10" bestFit="1" customWidth="1"/>
    <col min="11810" max="12032" width="9" style="10"/>
    <col min="12033" max="12035" width="9" style="10" customWidth="1"/>
    <col min="12036" max="12036" width="10.5" style="10" customWidth="1"/>
    <col min="12037" max="12037" width="11.25" style="10" bestFit="1" customWidth="1"/>
    <col min="12038" max="12039" width="9" style="10"/>
    <col min="12040" max="12049" width="9" style="10" customWidth="1"/>
    <col min="12050" max="12050" width="9" style="10"/>
    <col min="12051" max="12051" width="9.5" style="10" bestFit="1" customWidth="1"/>
    <col min="12052" max="12052" width="9" style="10" customWidth="1"/>
    <col min="12053" max="12053" width="9" style="10"/>
    <col min="12054" max="12054" width="9" style="10" customWidth="1"/>
    <col min="12055" max="12060" width="9" style="10"/>
    <col min="12061" max="12061" width="26.5" style="10" customWidth="1"/>
    <col min="12062" max="12064" width="9" style="10"/>
    <col min="12065" max="12065" width="14.75" style="10" bestFit="1" customWidth="1"/>
    <col min="12066" max="12288" width="9" style="10"/>
    <col min="12289" max="12291" width="9" style="10" customWidth="1"/>
    <col min="12292" max="12292" width="10.5" style="10" customWidth="1"/>
    <col min="12293" max="12293" width="11.25" style="10" bestFit="1" customWidth="1"/>
    <col min="12294" max="12295" width="9" style="10"/>
    <col min="12296" max="12305" width="9" style="10" customWidth="1"/>
    <col min="12306" max="12306" width="9" style="10"/>
    <col min="12307" max="12307" width="9.5" style="10" bestFit="1" customWidth="1"/>
    <col min="12308" max="12308" width="9" style="10" customWidth="1"/>
    <col min="12309" max="12309" width="9" style="10"/>
    <col min="12310" max="12310" width="9" style="10" customWidth="1"/>
    <col min="12311" max="12316" width="9" style="10"/>
    <col min="12317" max="12317" width="26.5" style="10" customWidth="1"/>
    <col min="12318" max="12320" width="9" style="10"/>
    <col min="12321" max="12321" width="14.75" style="10" bestFit="1" customWidth="1"/>
    <col min="12322" max="12544" width="9" style="10"/>
    <col min="12545" max="12547" width="9" style="10" customWidth="1"/>
    <col min="12548" max="12548" width="10.5" style="10" customWidth="1"/>
    <col min="12549" max="12549" width="11.25" style="10" bestFit="1" customWidth="1"/>
    <col min="12550" max="12551" width="9" style="10"/>
    <col min="12552" max="12561" width="9" style="10" customWidth="1"/>
    <col min="12562" max="12562" width="9" style="10"/>
    <col min="12563" max="12563" width="9.5" style="10" bestFit="1" customWidth="1"/>
    <col min="12564" max="12564" width="9" style="10" customWidth="1"/>
    <col min="12565" max="12565" width="9" style="10"/>
    <col min="12566" max="12566" width="9" style="10" customWidth="1"/>
    <col min="12567" max="12572" width="9" style="10"/>
    <col min="12573" max="12573" width="26.5" style="10" customWidth="1"/>
    <col min="12574" max="12576" width="9" style="10"/>
    <col min="12577" max="12577" width="14.75" style="10" bestFit="1" customWidth="1"/>
    <col min="12578" max="12800" width="9" style="10"/>
    <col min="12801" max="12803" width="9" style="10" customWidth="1"/>
    <col min="12804" max="12804" width="10.5" style="10" customWidth="1"/>
    <col min="12805" max="12805" width="11.25" style="10" bestFit="1" customWidth="1"/>
    <col min="12806" max="12807" width="9" style="10"/>
    <col min="12808" max="12817" width="9" style="10" customWidth="1"/>
    <col min="12818" max="12818" width="9" style="10"/>
    <col min="12819" max="12819" width="9.5" style="10" bestFit="1" customWidth="1"/>
    <col min="12820" max="12820" width="9" style="10" customWidth="1"/>
    <col min="12821" max="12821" width="9" style="10"/>
    <col min="12822" max="12822" width="9" style="10" customWidth="1"/>
    <col min="12823" max="12828" width="9" style="10"/>
    <col min="12829" max="12829" width="26.5" style="10" customWidth="1"/>
    <col min="12830" max="12832" width="9" style="10"/>
    <col min="12833" max="12833" width="14.75" style="10" bestFit="1" customWidth="1"/>
    <col min="12834" max="13056" width="9" style="10"/>
    <col min="13057" max="13059" width="9" style="10" customWidth="1"/>
    <col min="13060" max="13060" width="10.5" style="10" customWidth="1"/>
    <col min="13061" max="13061" width="11.25" style="10" bestFit="1" customWidth="1"/>
    <col min="13062" max="13063" width="9" style="10"/>
    <col min="13064" max="13073" width="9" style="10" customWidth="1"/>
    <col min="13074" max="13074" width="9" style="10"/>
    <col min="13075" max="13075" width="9.5" style="10" bestFit="1" customWidth="1"/>
    <col min="13076" max="13076" width="9" style="10" customWidth="1"/>
    <col min="13077" max="13077" width="9" style="10"/>
    <col min="13078" max="13078" width="9" style="10" customWidth="1"/>
    <col min="13079" max="13084" width="9" style="10"/>
    <col min="13085" max="13085" width="26.5" style="10" customWidth="1"/>
    <col min="13086" max="13088" width="9" style="10"/>
    <col min="13089" max="13089" width="14.75" style="10" bestFit="1" customWidth="1"/>
    <col min="13090" max="13312" width="9" style="10"/>
    <col min="13313" max="13315" width="9" style="10" customWidth="1"/>
    <col min="13316" max="13316" width="10.5" style="10" customWidth="1"/>
    <col min="13317" max="13317" width="11.25" style="10" bestFit="1" customWidth="1"/>
    <col min="13318" max="13319" width="9" style="10"/>
    <col min="13320" max="13329" width="9" style="10" customWidth="1"/>
    <col min="13330" max="13330" width="9" style="10"/>
    <col min="13331" max="13331" width="9.5" style="10" bestFit="1" customWidth="1"/>
    <col min="13332" max="13332" width="9" style="10" customWidth="1"/>
    <col min="13333" max="13333" width="9" style="10"/>
    <col min="13334" max="13334" width="9" style="10" customWidth="1"/>
    <col min="13335" max="13340" width="9" style="10"/>
    <col min="13341" max="13341" width="26.5" style="10" customWidth="1"/>
    <col min="13342" max="13344" width="9" style="10"/>
    <col min="13345" max="13345" width="14.75" style="10" bestFit="1" customWidth="1"/>
    <col min="13346" max="13568" width="9" style="10"/>
    <col min="13569" max="13571" width="9" style="10" customWidth="1"/>
    <col min="13572" max="13572" width="10.5" style="10" customWidth="1"/>
    <col min="13573" max="13573" width="11.25" style="10" bestFit="1" customWidth="1"/>
    <col min="13574" max="13575" width="9" style="10"/>
    <col min="13576" max="13585" width="9" style="10" customWidth="1"/>
    <col min="13586" max="13586" width="9" style="10"/>
    <col min="13587" max="13587" width="9.5" style="10" bestFit="1" customWidth="1"/>
    <col min="13588" max="13588" width="9" style="10" customWidth="1"/>
    <col min="13589" max="13589" width="9" style="10"/>
    <col min="13590" max="13590" width="9" style="10" customWidth="1"/>
    <col min="13591" max="13596" width="9" style="10"/>
    <col min="13597" max="13597" width="26.5" style="10" customWidth="1"/>
    <col min="13598" max="13600" width="9" style="10"/>
    <col min="13601" max="13601" width="14.75" style="10" bestFit="1" customWidth="1"/>
    <col min="13602" max="13824" width="9" style="10"/>
    <col min="13825" max="13827" width="9" style="10" customWidth="1"/>
    <col min="13828" max="13828" width="10.5" style="10" customWidth="1"/>
    <col min="13829" max="13829" width="11.25" style="10" bestFit="1" customWidth="1"/>
    <col min="13830" max="13831" width="9" style="10"/>
    <col min="13832" max="13841" width="9" style="10" customWidth="1"/>
    <col min="13842" max="13842" width="9" style="10"/>
    <col min="13843" max="13843" width="9.5" style="10" bestFit="1" customWidth="1"/>
    <col min="13844" max="13844" width="9" style="10" customWidth="1"/>
    <col min="13845" max="13845" width="9" style="10"/>
    <col min="13846" max="13846" width="9" style="10" customWidth="1"/>
    <col min="13847" max="13852" width="9" style="10"/>
    <col min="13853" max="13853" width="26.5" style="10" customWidth="1"/>
    <col min="13854" max="13856" width="9" style="10"/>
    <col min="13857" max="13857" width="14.75" style="10" bestFit="1" customWidth="1"/>
    <col min="13858" max="14080" width="9" style="10"/>
    <col min="14081" max="14083" width="9" style="10" customWidth="1"/>
    <col min="14084" max="14084" width="10.5" style="10" customWidth="1"/>
    <col min="14085" max="14085" width="11.25" style="10" bestFit="1" customWidth="1"/>
    <col min="14086" max="14087" width="9" style="10"/>
    <col min="14088" max="14097" width="9" style="10" customWidth="1"/>
    <col min="14098" max="14098" width="9" style="10"/>
    <col min="14099" max="14099" width="9.5" style="10" bestFit="1" customWidth="1"/>
    <col min="14100" max="14100" width="9" style="10" customWidth="1"/>
    <col min="14101" max="14101" width="9" style="10"/>
    <col min="14102" max="14102" width="9" style="10" customWidth="1"/>
    <col min="14103" max="14108" width="9" style="10"/>
    <col min="14109" max="14109" width="26.5" style="10" customWidth="1"/>
    <col min="14110" max="14112" width="9" style="10"/>
    <col min="14113" max="14113" width="14.75" style="10" bestFit="1" customWidth="1"/>
    <col min="14114" max="14336" width="9" style="10"/>
    <col min="14337" max="14339" width="9" style="10" customWidth="1"/>
    <col min="14340" max="14340" width="10.5" style="10" customWidth="1"/>
    <col min="14341" max="14341" width="11.25" style="10" bestFit="1" customWidth="1"/>
    <col min="14342" max="14343" width="9" style="10"/>
    <col min="14344" max="14353" width="9" style="10" customWidth="1"/>
    <col min="14354" max="14354" width="9" style="10"/>
    <col min="14355" max="14355" width="9.5" style="10" bestFit="1" customWidth="1"/>
    <col min="14356" max="14356" width="9" style="10" customWidth="1"/>
    <col min="14357" max="14357" width="9" style="10"/>
    <col min="14358" max="14358" width="9" style="10" customWidth="1"/>
    <col min="14359" max="14364" width="9" style="10"/>
    <col min="14365" max="14365" width="26.5" style="10" customWidth="1"/>
    <col min="14366" max="14368" width="9" style="10"/>
    <col min="14369" max="14369" width="14.75" style="10" bestFit="1" customWidth="1"/>
    <col min="14370" max="14592" width="9" style="10"/>
    <col min="14593" max="14595" width="9" style="10" customWidth="1"/>
    <col min="14596" max="14596" width="10.5" style="10" customWidth="1"/>
    <col min="14597" max="14597" width="11.25" style="10" bestFit="1" customWidth="1"/>
    <col min="14598" max="14599" width="9" style="10"/>
    <col min="14600" max="14609" width="9" style="10" customWidth="1"/>
    <col min="14610" max="14610" width="9" style="10"/>
    <col min="14611" max="14611" width="9.5" style="10" bestFit="1" customWidth="1"/>
    <col min="14612" max="14612" width="9" style="10" customWidth="1"/>
    <col min="14613" max="14613" width="9" style="10"/>
    <col min="14614" max="14614" width="9" style="10" customWidth="1"/>
    <col min="14615" max="14620" width="9" style="10"/>
    <col min="14621" max="14621" width="26.5" style="10" customWidth="1"/>
    <col min="14622" max="14624" width="9" style="10"/>
    <col min="14625" max="14625" width="14.75" style="10" bestFit="1" customWidth="1"/>
    <col min="14626" max="14848" width="9" style="10"/>
    <col min="14849" max="14851" width="9" style="10" customWidth="1"/>
    <col min="14852" max="14852" width="10.5" style="10" customWidth="1"/>
    <col min="14853" max="14853" width="11.25" style="10" bestFit="1" customWidth="1"/>
    <col min="14854" max="14855" width="9" style="10"/>
    <col min="14856" max="14865" width="9" style="10" customWidth="1"/>
    <col min="14866" max="14866" width="9" style="10"/>
    <col min="14867" max="14867" width="9.5" style="10" bestFit="1" customWidth="1"/>
    <col min="14868" max="14868" width="9" style="10" customWidth="1"/>
    <col min="14869" max="14869" width="9" style="10"/>
    <col min="14870" max="14870" width="9" style="10" customWidth="1"/>
    <col min="14871" max="14876" width="9" style="10"/>
    <col min="14877" max="14877" width="26.5" style="10" customWidth="1"/>
    <col min="14878" max="14880" width="9" style="10"/>
    <col min="14881" max="14881" width="14.75" style="10" bestFit="1" customWidth="1"/>
    <col min="14882" max="15104" width="9" style="10"/>
    <col min="15105" max="15107" width="9" style="10" customWidth="1"/>
    <col min="15108" max="15108" width="10.5" style="10" customWidth="1"/>
    <col min="15109" max="15109" width="11.25" style="10" bestFit="1" customWidth="1"/>
    <col min="15110" max="15111" width="9" style="10"/>
    <col min="15112" max="15121" width="9" style="10" customWidth="1"/>
    <col min="15122" max="15122" width="9" style="10"/>
    <col min="15123" max="15123" width="9.5" style="10" bestFit="1" customWidth="1"/>
    <col min="15124" max="15124" width="9" style="10" customWidth="1"/>
    <col min="15125" max="15125" width="9" style="10"/>
    <col min="15126" max="15126" width="9" style="10" customWidth="1"/>
    <col min="15127" max="15132" width="9" style="10"/>
    <col min="15133" max="15133" width="26.5" style="10" customWidth="1"/>
    <col min="15134" max="15136" width="9" style="10"/>
    <col min="15137" max="15137" width="14.75" style="10" bestFit="1" customWidth="1"/>
    <col min="15138" max="15360" width="9" style="10"/>
    <col min="15361" max="15363" width="9" style="10" customWidth="1"/>
    <col min="15364" max="15364" width="10.5" style="10" customWidth="1"/>
    <col min="15365" max="15365" width="11.25" style="10" bestFit="1" customWidth="1"/>
    <col min="15366" max="15367" width="9" style="10"/>
    <col min="15368" max="15377" width="9" style="10" customWidth="1"/>
    <col min="15378" max="15378" width="9" style="10"/>
    <col min="15379" max="15379" width="9.5" style="10" bestFit="1" customWidth="1"/>
    <col min="15380" max="15380" width="9" style="10" customWidth="1"/>
    <col min="15381" max="15381" width="9" style="10"/>
    <col min="15382" max="15382" width="9" style="10" customWidth="1"/>
    <col min="15383" max="15388" width="9" style="10"/>
    <col min="15389" max="15389" width="26.5" style="10" customWidth="1"/>
    <col min="15390" max="15392" width="9" style="10"/>
    <col min="15393" max="15393" width="14.75" style="10" bestFit="1" customWidth="1"/>
    <col min="15394" max="15616" width="9" style="10"/>
    <col min="15617" max="15619" width="9" style="10" customWidth="1"/>
    <col min="15620" max="15620" width="10.5" style="10" customWidth="1"/>
    <col min="15621" max="15621" width="11.25" style="10" bestFit="1" customWidth="1"/>
    <col min="15622" max="15623" width="9" style="10"/>
    <col min="15624" max="15633" width="9" style="10" customWidth="1"/>
    <col min="15634" max="15634" width="9" style="10"/>
    <col min="15635" max="15635" width="9.5" style="10" bestFit="1" customWidth="1"/>
    <col min="15636" max="15636" width="9" style="10" customWidth="1"/>
    <col min="15637" max="15637" width="9" style="10"/>
    <col min="15638" max="15638" width="9" style="10" customWidth="1"/>
    <col min="15639" max="15644" width="9" style="10"/>
    <col min="15645" max="15645" width="26.5" style="10" customWidth="1"/>
    <col min="15646" max="15648" width="9" style="10"/>
    <col min="15649" max="15649" width="14.75" style="10" bestFit="1" customWidth="1"/>
    <col min="15650" max="15872" width="9" style="10"/>
    <col min="15873" max="15875" width="9" style="10" customWidth="1"/>
    <col min="15876" max="15876" width="10.5" style="10" customWidth="1"/>
    <col min="15877" max="15877" width="11.25" style="10" bestFit="1" customWidth="1"/>
    <col min="15878" max="15879" width="9" style="10"/>
    <col min="15880" max="15889" width="9" style="10" customWidth="1"/>
    <col min="15890" max="15890" width="9" style="10"/>
    <col min="15891" max="15891" width="9.5" style="10" bestFit="1" customWidth="1"/>
    <col min="15892" max="15892" width="9" style="10" customWidth="1"/>
    <col min="15893" max="15893" width="9" style="10"/>
    <col min="15894" max="15894" width="9" style="10" customWidth="1"/>
    <col min="15895" max="15900" width="9" style="10"/>
    <col min="15901" max="15901" width="26.5" style="10" customWidth="1"/>
    <col min="15902" max="15904" width="9" style="10"/>
    <col min="15905" max="15905" width="14.75" style="10" bestFit="1" customWidth="1"/>
    <col min="15906" max="16128" width="9" style="10"/>
    <col min="16129" max="16131" width="9" style="10" customWidth="1"/>
    <col min="16132" max="16132" width="10.5" style="10" customWidth="1"/>
    <col min="16133" max="16133" width="11.25" style="10" bestFit="1" customWidth="1"/>
    <col min="16134" max="16135" width="9" style="10"/>
    <col min="16136" max="16145" width="9" style="10" customWidth="1"/>
    <col min="16146" max="16146" width="9" style="10"/>
    <col min="16147" max="16147" width="9.5" style="10" bestFit="1" customWidth="1"/>
    <col min="16148" max="16148" width="9" style="10" customWidth="1"/>
    <col min="16149" max="16149" width="9" style="10"/>
    <col min="16150" max="16150" width="9" style="10" customWidth="1"/>
    <col min="16151" max="16156" width="9" style="10"/>
    <col min="16157" max="16157" width="26.5" style="10" customWidth="1"/>
    <col min="16158" max="16160" width="9" style="10"/>
    <col min="16161" max="16161" width="14.75" style="10" bestFit="1" customWidth="1"/>
    <col min="16162" max="16384" width="9" style="10"/>
  </cols>
  <sheetData>
    <row r="1" spans="1:53" ht="45">
      <c r="A1" s="1" t="s">
        <v>333</v>
      </c>
      <c r="B1" s="2" t="s">
        <v>1</v>
      </c>
      <c r="C1" s="2" t="s">
        <v>2</v>
      </c>
      <c r="D1" s="3" t="s">
        <v>3</v>
      </c>
      <c r="E1" s="4" t="s">
        <v>241</v>
      </c>
      <c r="F1" s="4" t="s">
        <v>5</v>
      </c>
      <c r="G1" s="4" t="s">
        <v>6</v>
      </c>
      <c r="H1" s="4" t="s">
        <v>334</v>
      </c>
      <c r="I1" s="4" t="s">
        <v>8</v>
      </c>
      <c r="J1" s="4" t="s">
        <v>9</v>
      </c>
      <c r="K1" s="4" t="s">
        <v>10</v>
      </c>
      <c r="L1" s="3" t="s">
        <v>11</v>
      </c>
      <c r="M1" s="3" t="s">
        <v>12</v>
      </c>
      <c r="N1" s="3" t="s">
        <v>283</v>
      </c>
      <c r="O1" s="3" t="s">
        <v>14</v>
      </c>
      <c r="P1" s="3" t="s">
        <v>15</v>
      </c>
      <c r="Q1" s="5" t="s">
        <v>16</v>
      </c>
      <c r="R1" s="3" t="s">
        <v>17</v>
      </c>
      <c r="S1" s="3" t="s">
        <v>18</v>
      </c>
      <c r="T1" s="5" t="s">
        <v>19</v>
      </c>
      <c r="U1" s="52" t="s">
        <v>244</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07" customFormat="1" ht="13.5" customHeight="1">
      <c r="A2" s="157" t="s">
        <v>88</v>
      </c>
      <c r="B2" s="157" t="s">
        <v>335</v>
      </c>
      <c r="C2" s="157">
        <v>2020</v>
      </c>
      <c r="D2" s="158" t="s">
        <v>429</v>
      </c>
      <c r="E2" s="157" t="s">
        <v>336</v>
      </c>
      <c r="F2" s="157" t="s">
        <v>337</v>
      </c>
      <c r="G2" s="157" t="s">
        <v>58</v>
      </c>
      <c r="H2" s="157" t="s">
        <v>40</v>
      </c>
      <c r="I2" s="87" t="s">
        <v>41</v>
      </c>
      <c r="J2" s="87" t="s">
        <v>42</v>
      </c>
      <c r="K2" s="87" t="s">
        <v>43</v>
      </c>
      <c r="L2" s="87">
        <v>1</v>
      </c>
      <c r="M2" s="87"/>
      <c r="N2" s="87">
        <v>1</v>
      </c>
      <c r="O2" s="87">
        <v>0.6</v>
      </c>
      <c r="P2" s="87">
        <v>0.65</v>
      </c>
      <c r="Q2" s="88">
        <f t="shared" ref="Q2:Q65" si="0">IF(OR(O2="",P2=""),"",AVERAGE(O2,P2))</f>
        <v>0.625</v>
      </c>
      <c r="R2" s="87">
        <v>14.2</v>
      </c>
      <c r="S2" s="87">
        <v>127.5</v>
      </c>
      <c r="T2" s="89">
        <f t="shared" ref="T2:T65" si="1">IF(H2="","",IF(OR(H2="GREEN",H2="GK"),IF(S2&gt;=$AX$2,VLOOKUP(S2,$AX$2:$AY$15,2,1),""),IF(S2&gt;=$AZ$2,VLOOKUP(S2,$AZ$2:$BA$15,2,1),"")))</f>
        <v>27</v>
      </c>
      <c r="U2" s="87">
        <v>98</v>
      </c>
      <c r="V2" s="159">
        <f>IF(OR(N2="",U2="",T2=""),"",U2/N2*T2)</f>
        <v>2646</v>
      </c>
      <c r="W2" s="87">
        <v>2</v>
      </c>
      <c r="X2" s="87" t="s">
        <v>63</v>
      </c>
      <c r="Y2" s="87" t="s">
        <v>46</v>
      </c>
      <c r="Z2" s="87" t="s">
        <v>45</v>
      </c>
      <c r="AA2" s="87" t="s">
        <v>161</v>
      </c>
      <c r="AB2" s="157" t="s">
        <v>338</v>
      </c>
      <c r="AC2" s="106"/>
      <c r="AE2" s="32" t="s">
        <v>49</v>
      </c>
      <c r="AG2" s="130" t="s">
        <v>339</v>
      </c>
      <c r="AH2" s="130" t="s">
        <v>337</v>
      </c>
      <c r="AJ2" s="160" t="s">
        <v>39</v>
      </c>
      <c r="AL2" s="91" t="s">
        <v>51</v>
      </c>
      <c r="AN2" s="160" t="s">
        <v>52</v>
      </c>
      <c r="AP2" s="90" t="s">
        <v>42</v>
      </c>
      <c r="AR2" s="90" t="s">
        <v>53</v>
      </c>
      <c r="AT2" s="160" t="s">
        <v>44</v>
      </c>
      <c r="AV2" s="90" t="s">
        <v>54</v>
      </c>
      <c r="AX2" s="161">
        <v>1</v>
      </c>
      <c r="AY2" s="162">
        <v>50</v>
      </c>
      <c r="AZ2" s="162">
        <v>1</v>
      </c>
      <c r="BA2" s="163">
        <v>50</v>
      </c>
    </row>
    <row r="3" spans="1:53" s="87" customFormat="1" ht="13.5" customHeight="1">
      <c r="A3" s="157" t="s">
        <v>88</v>
      </c>
      <c r="B3" s="157" t="s">
        <v>181</v>
      </c>
      <c r="C3" s="157">
        <v>2020</v>
      </c>
      <c r="D3" s="158" t="s">
        <v>429</v>
      </c>
      <c r="E3" s="157" t="s">
        <v>336</v>
      </c>
      <c r="F3" s="157" t="s">
        <v>337</v>
      </c>
      <c r="G3" s="157" t="s">
        <v>58</v>
      </c>
      <c r="H3" s="157" t="s">
        <v>40</v>
      </c>
      <c r="I3" s="87" t="s">
        <v>41</v>
      </c>
      <c r="J3" s="87" t="s">
        <v>42</v>
      </c>
      <c r="K3" s="87" t="s">
        <v>43</v>
      </c>
      <c r="L3" s="87">
        <v>2</v>
      </c>
      <c r="N3" s="87">
        <v>1</v>
      </c>
      <c r="O3" s="87">
        <v>0.6</v>
      </c>
      <c r="P3" s="87">
        <v>0.55000000000000004</v>
      </c>
      <c r="Q3" s="88">
        <f t="shared" si="0"/>
        <v>0.57499999999999996</v>
      </c>
      <c r="R3" s="87">
        <v>14.2</v>
      </c>
      <c r="S3" s="87">
        <v>129.5</v>
      </c>
      <c r="T3" s="89">
        <f t="shared" si="1"/>
        <v>25</v>
      </c>
      <c r="U3" s="87">
        <v>98</v>
      </c>
      <c r="V3" s="159">
        <f t="shared" ref="V3:V66" si="2">IF(OR(N3="",U3="",T3=""),"",U3/N3*T3)</f>
        <v>2450</v>
      </c>
      <c r="W3" s="87">
        <v>2</v>
      </c>
      <c r="X3" s="87" t="s">
        <v>63</v>
      </c>
      <c r="Y3" s="87" t="s">
        <v>46</v>
      </c>
      <c r="Z3" s="87" t="s">
        <v>45</v>
      </c>
      <c r="AA3" s="87" t="s">
        <v>161</v>
      </c>
      <c r="AB3" s="157" t="s">
        <v>338</v>
      </c>
      <c r="AC3" s="106"/>
      <c r="AE3" s="33" t="s">
        <v>55</v>
      </c>
      <c r="AG3" s="130" t="s">
        <v>340</v>
      </c>
      <c r="AH3" s="130" t="s">
        <v>341</v>
      </c>
      <c r="AJ3" s="95" t="s">
        <v>58</v>
      </c>
      <c r="AL3" s="95" t="s">
        <v>59</v>
      </c>
      <c r="AN3" s="95" t="s">
        <v>60</v>
      </c>
      <c r="AP3" s="95" t="s">
        <v>61</v>
      </c>
      <c r="AR3" s="95" t="s">
        <v>62</v>
      </c>
      <c r="AT3" s="95" t="s">
        <v>63</v>
      </c>
      <c r="AV3" s="95" t="s">
        <v>64</v>
      </c>
      <c r="AX3" s="96">
        <v>72</v>
      </c>
      <c r="AY3" s="97">
        <v>46</v>
      </c>
      <c r="AZ3" s="97">
        <v>71</v>
      </c>
      <c r="BA3" s="98">
        <v>42</v>
      </c>
    </row>
    <row r="4" spans="1:53" s="87" customFormat="1" ht="13.5" customHeight="1">
      <c r="A4" s="157" t="s">
        <v>88</v>
      </c>
      <c r="B4" s="157" t="s">
        <v>181</v>
      </c>
      <c r="C4" s="157">
        <v>2020</v>
      </c>
      <c r="D4" s="158" t="s">
        <v>429</v>
      </c>
      <c r="E4" s="157" t="s">
        <v>336</v>
      </c>
      <c r="F4" s="157" t="s">
        <v>337</v>
      </c>
      <c r="G4" s="157" t="s">
        <v>58</v>
      </c>
      <c r="H4" s="157" t="s">
        <v>40</v>
      </c>
      <c r="I4" s="87" t="s">
        <v>41</v>
      </c>
      <c r="J4" s="87" t="s">
        <v>42</v>
      </c>
      <c r="K4" s="87" t="s">
        <v>43</v>
      </c>
      <c r="L4" s="87">
        <v>3</v>
      </c>
      <c r="N4" s="87">
        <v>1</v>
      </c>
      <c r="O4" s="87">
        <v>0.55000000000000004</v>
      </c>
      <c r="P4" s="87">
        <v>0.5</v>
      </c>
      <c r="Q4" s="88">
        <f t="shared" si="0"/>
        <v>0.52500000000000002</v>
      </c>
      <c r="R4" s="87">
        <v>14.5</v>
      </c>
      <c r="S4" s="87">
        <v>130</v>
      </c>
      <c r="T4" s="89">
        <f t="shared" si="1"/>
        <v>25</v>
      </c>
      <c r="U4" s="87">
        <v>98</v>
      </c>
      <c r="V4" s="159">
        <f t="shared" si="2"/>
        <v>2450</v>
      </c>
      <c r="W4" s="87">
        <v>2</v>
      </c>
      <c r="X4" s="87" t="s">
        <v>63</v>
      </c>
      <c r="Y4" s="87" t="s">
        <v>46</v>
      </c>
      <c r="Z4" s="87" t="s">
        <v>45</v>
      </c>
      <c r="AA4" s="87" t="s">
        <v>161</v>
      </c>
      <c r="AB4" s="157" t="s">
        <v>338</v>
      </c>
      <c r="AC4" s="106"/>
      <c r="AE4" s="33" t="s">
        <v>35</v>
      </c>
      <c r="AG4" s="130" t="s">
        <v>342</v>
      </c>
      <c r="AH4" s="130" t="s">
        <v>343</v>
      </c>
      <c r="AJ4" s="99" t="s">
        <v>67</v>
      </c>
      <c r="AL4" s="95" t="s">
        <v>68</v>
      </c>
      <c r="AN4" s="100" t="s">
        <v>69</v>
      </c>
      <c r="AP4" s="95" t="s">
        <v>70</v>
      </c>
      <c r="AR4" s="95" t="s">
        <v>71</v>
      </c>
      <c r="AT4" s="100"/>
      <c r="AV4" s="95" t="s">
        <v>47</v>
      </c>
      <c r="AX4" s="96">
        <v>75</v>
      </c>
      <c r="AY4" s="97">
        <v>42</v>
      </c>
      <c r="AZ4" s="97">
        <v>76</v>
      </c>
      <c r="BA4" s="98">
        <v>39</v>
      </c>
    </row>
    <row r="5" spans="1:53" s="87" customFormat="1" ht="13.5" customHeight="1">
      <c r="A5" s="157" t="s">
        <v>88</v>
      </c>
      <c r="B5" s="157" t="s">
        <v>181</v>
      </c>
      <c r="C5" s="157">
        <v>2020</v>
      </c>
      <c r="D5" s="158" t="s">
        <v>429</v>
      </c>
      <c r="E5" s="157" t="s">
        <v>344</v>
      </c>
      <c r="F5" s="157" t="s">
        <v>341</v>
      </c>
      <c r="G5" s="157" t="s">
        <v>39</v>
      </c>
      <c r="H5" s="157" t="s">
        <v>40</v>
      </c>
      <c r="I5" s="87" t="s">
        <v>41</v>
      </c>
      <c r="J5" s="87" t="s">
        <v>42</v>
      </c>
      <c r="K5" s="87" t="s">
        <v>43</v>
      </c>
      <c r="L5" s="87">
        <v>1</v>
      </c>
      <c r="N5" s="87">
        <v>1</v>
      </c>
      <c r="O5" s="87">
        <v>0.55000000000000004</v>
      </c>
      <c r="P5" s="87">
        <v>0.2</v>
      </c>
      <c r="Q5" s="88">
        <f>IF(OR(O5="",P5=""),"",AVERAGE(O5,P5))</f>
        <v>0.375</v>
      </c>
      <c r="R5" s="87">
        <v>14.5</v>
      </c>
      <c r="S5" s="87">
        <v>112</v>
      </c>
      <c r="T5" s="89">
        <f t="shared" si="1"/>
        <v>33</v>
      </c>
      <c r="U5" s="87">
        <v>95</v>
      </c>
      <c r="V5" s="159">
        <f t="shared" si="2"/>
        <v>3135</v>
      </c>
      <c r="W5" s="87">
        <v>3</v>
      </c>
      <c r="X5" s="87" t="s">
        <v>44</v>
      </c>
      <c r="Y5" s="87" t="s">
        <v>46</v>
      </c>
      <c r="Z5" s="87" t="s">
        <v>54</v>
      </c>
      <c r="AA5" s="87" t="s">
        <v>161</v>
      </c>
      <c r="AB5" s="157" t="s">
        <v>338</v>
      </c>
      <c r="AC5" s="106"/>
      <c r="AE5" s="33" t="s">
        <v>72</v>
      </c>
      <c r="AG5" s="130" t="s">
        <v>345</v>
      </c>
      <c r="AH5" s="130" t="s">
        <v>346</v>
      </c>
      <c r="AJ5" s="99"/>
      <c r="AL5" s="95" t="s">
        <v>75</v>
      </c>
      <c r="AN5" s="101" t="s">
        <v>76</v>
      </c>
      <c r="AP5" s="95" t="s">
        <v>77</v>
      </c>
      <c r="AR5" s="95" t="s">
        <v>78</v>
      </c>
      <c r="AV5" s="95" t="s">
        <v>79</v>
      </c>
      <c r="AX5" s="96">
        <v>84</v>
      </c>
      <c r="AY5" s="97">
        <v>39</v>
      </c>
      <c r="AZ5" s="97">
        <v>84</v>
      </c>
      <c r="BA5" s="98">
        <v>36</v>
      </c>
    </row>
    <row r="6" spans="1:53" s="87" customFormat="1" ht="13.5" customHeight="1">
      <c r="A6" s="157" t="s">
        <v>88</v>
      </c>
      <c r="B6" s="157" t="s">
        <v>181</v>
      </c>
      <c r="C6" s="157">
        <v>2020</v>
      </c>
      <c r="D6" s="158" t="s">
        <v>429</v>
      </c>
      <c r="E6" s="157" t="s">
        <v>344</v>
      </c>
      <c r="F6" s="157" t="s">
        <v>341</v>
      </c>
      <c r="G6" s="157" t="s">
        <v>39</v>
      </c>
      <c r="H6" s="157" t="s">
        <v>40</v>
      </c>
      <c r="I6" s="87" t="s">
        <v>41</v>
      </c>
      <c r="J6" s="87" t="s">
        <v>42</v>
      </c>
      <c r="K6" s="87" t="s">
        <v>43</v>
      </c>
      <c r="L6" s="87">
        <v>2</v>
      </c>
      <c r="N6" s="87">
        <v>1</v>
      </c>
      <c r="O6" s="87">
        <v>0.5</v>
      </c>
      <c r="P6" s="87">
        <v>0.5</v>
      </c>
      <c r="Q6" s="88">
        <f t="shared" si="0"/>
        <v>0.5</v>
      </c>
      <c r="R6" s="87">
        <v>13.8</v>
      </c>
      <c r="S6" s="87">
        <v>113</v>
      </c>
      <c r="T6" s="89">
        <f t="shared" si="1"/>
        <v>30</v>
      </c>
      <c r="U6" s="87">
        <v>95</v>
      </c>
      <c r="V6" s="159">
        <f t="shared" si="2"/>
        <v>2850</v>
      </c>
      <c r="W6" s="87">
        <v>3</v>
      </c>
      <c r="X6" s="87" t="s">
        <v>44</v>
      </c>
      <c r="Y6" s="87" t="s">
        <v>46</v>
      </c>
      <c r="Z6" s="87" t="s">
        <v>54</v>
      </c>
      <c r="AA6" s="87" t="s">
        <v>161</v>
      </c>
      <c r="AB6" s="157" t="s">
        <v>338</v>
      </c>
      <c r="AC6" s="106"/>
      <c r="AE6" s="33" t="s">
        <v>80</v>
      </c>
      <c r="AG6" s="130" t="s">
        <v>347</v>
      </c>
      <c r="AH6" s="130" t="s">
        <v>348</v>
      </c>
      <c r="AJ6" s="99"/>
      <c r="AL6" s="95" t="s">
        <v>83</v>
      </c>
      <c r="AN6" s="101" t="s">
        <v>84</v>
      </c>
      <c r="AP6" s="95" t="s">
        <v>85</v>
      </c>
      <c r="AR6" s="95" t="s">
        <v>86</v>
      </c>
      <c r="AV6" s="95" t="s">
        <v>87</v>
      </c>
      <c r="AX6" s="96">
        <v>97</v>
      </c>
      <c r="AY6" s="97">
        <v>36</v>
      </c>
      <c r="AZ6" s="97">
        <v>99</v>
      </c>
      <c r="BA6" s="98">
        <v>33</v>
      </c>
    </row>
    <row r="7" spans="1:53" s="87" customFormat="1" ht="13.5" customHeight="1">
      <c r="A7" s="157" t="s">
        <v>88</v>
      </c>
      <c r="B7" s="157" t="s">
        <v>181</v>
      </c>
      <c r="C7" s="157">
        <v>2020</v>
      </c>
      <c r="D7" s="158" t="s">
        <v>429</v>
      </c>
      <c r="E7" s="157" t="s">
        <v>344</v>
      </c>
      <c r="F7" s="157" t="s">
        <v>341</v>
      </c>
      <c r="G7" s="157" t="s">
        <v>39</v>
      </c>
      <c r="H7" s="157" t="s">
        <v>40</v>
      </c>
      <c r="I7" s="87" t="s">
        <v>41</v>
      </c>
      <c r="J7" s="87" t="s">
        <v>42</v>
      </c>
      <c r="K7" s="87" t="s">
        <v>43</v>
      </c>
      <c r="L7" s="87">
        <v>3</v>
      </c>
      <c r="N7" s="87">
        <v>1</v>
      </c>
      <c r="O7" s="87">
        <v>0.5</v>
      </c>
      <c r="P7" s="87">
        <v>0.55000000000000004</v>
      </c>
      <c r="Q7" s="88">
        <f t="shared" si="0"/>
        <v>0.52500000000000002</v>
      </c>
      <c r="R7" s="87">
        <v>14.5</v>
      </c>
      <c r="S7" s="87">
        <v>119.5</v>
      </c>
      <c r="T7" s="89">
        <f t="shared" si="1"/>
        <v>30</v>
      </c>
      <c r="U7" s="87">
        <v>95</v>
      </c>
      <c r="V7" s="159">
        <f t="shared" si="2"/>
        <v>2850</v>
      </c>
      <c r="W7" s="87">
        <v>3</v>
      </c>
      <c r="X7" s="87" t="s">
        <v>44</v>
      </c>
      <c r="Y7" s="87" t="s">
        <v>46</v>
      </c>
      <c r="Z7" s="87" t="s">
        <v>54</v>
      </c>
      <c r="AA7" s="87" t="s">
        <v>161</v>
      </c>
      <c r="AB7" s="157" t="s">
        <v>338</v>
      </c>
      <c r="AC7" s="106"/>
      <c r="AE7" s="33" t="s">
        <v>88</v>
      </c>
      <c r="AG7" s="130" t="s">
        <v>349</v>
      </c>
      <c r="AH7" s="130" t="s">
        <v>348</v>
      </c>
      <c r="AJ7" s="99"/>
      <c r="AL7" s="102" t="s">
        <v>90</v>
      </c>
      <c r="AN7" s="101"/>
      <c r="AP7" s="95" t="s">
        <v>91</v>
      </c>
      <c r="AR7" s="95" t="s">
        <v>92</v>
      </c>
      <c r="AV7" s="95" t="s">
        <v>93</v>
      </c>
      <c r="AX7" s="96">
        <v>109</v>
      </c>
      <c r="AY7" s="97">
        <v>33</v>
      </c>
      <c r="AZ7" s="97">
        <v>113</v>
      </c>
      <c r="BA7" s="98">
        <v>30</v>
      </c>
    </row>
    <row r="8" spans="1:53" s="87" customFormat="1" ht="13.5" customHeight="1">
      <c r="A8" s="157" t="s">
        <v>88</v>
      </c>
      <c r="B8" s="157" t="s">
        <v>181</v>
      </c>
      <c r="C8" s="157">
        <v>2020</v>
      </c>
      <c r="D8" s="158" t="s">
        <v>429</v>
      </c>
      <c r="E8" s="157" t="s">
        <v>344</v>
      </c>
      <c r="F8" s="157" t="s">
        <v>341</v>
      </c>
      <c r="G8" s="157" t="s">
        <v>39</v>
      </c>
      <c r="H8" s="157" t="s">
        <v>40</v>
      </c>
      <c r="I8" s="87" t="s">
        <v>41</v>
      </c>
      <c r="J8" s="87" t="s">
        <v>42</v>
      </c>
      <c r="K8" s="87" t="s">
        <v>43</v>
      </c>
      <c r="L8" s="87">
        <v>1</v>
      </c>
      <c r="N8" s="87">
        <v>8</v>
      </c>
      <c r="O8" s="87">
        <v>0.55000000000000004</v>
      </c>
      <c r="P8" s="87">
        <v>0.55000000000000004</v>
      </c>
      <c r="Q8" s="88">
        <f t="shared" si="0"/>
        <v>0.55000000000000004</v>
      </c>
      <c r="R8" s="87">
        <v>14.9</v>
      </c>
      <c r="S8" s="87">
        <v>88.5</v>
      </c>
      <c r="T8" s="89">
        <f t="shared" si="1"/>
        <v>36</v>
      </c>
      <c r="U8" s="87">
        <v>498</v>
      </c>
      <c r="V8" s="159">
        <f t="shared" si="2"/>
        <v>2241</v>
      </c>
      <c r="W8" s="87">
        <v>3</v>
      </c>
      <c r="X8" s="87" t="s">
        <v>44</v>
      </c>
      <c r="Y8" s="87" t="s">
        <v>46</v>
      </c>
      <c r="Z8" s="87" t="s">
        <v>54</v>
      </c>
      <c r="AA8" s="87" t="s">
        <v>161</v>
      </c>
      <c r="AB8" s="157" t="s">
        <v>338</v>
      </c>
      <c r="AC8" s="106"/>
      <c r="AE8" s="33" t="s">
        <v>86</v>
      </c>
      <c r="AG8" s="130" t="s">
        <v>350</v>
      </c>
      <c r="AH8" s="130" t="s">
        <v>351</v>
      </c>
      <c r="AJ8" s="100"/>
      <c r="AL8" s="102" t="s">
        <v>96</v>
      </c>
      <c r="AN8" s="101"/>
      <c r="AP8" s="95" t="s">
        <v>97</v>
      </c>
      <c r="AR8" s="95" t="s">
        <v>98</v>
      </c>
      <c r="AV8" s="95" t="s">
        <v>99</v>
      </c>
      <c r="AX8" s="96">
        <v>119</v>
      </c>
      <c r="AY8" s="97">
        <v>30</v>
      </c>
      <c r="AZ8" s="97">
        <v>121</v>
      </c>
      <c r="BA8" s="98">
        <v>27</v>
      </c>
    </row>
    <row r="9" spans="1:53" s="87" customFormat="1" ht="13.5" customHeight="1">
      <c r="A9" s="157" t="s">
        <v>88</v>
      </c>
      <c r="B9" s="157" t="s">
        <v>181</v>
      </c>
      <c r="C9" s="157">
        <v>2020</v>
      </c>
      <c r="D9" s="158" t="s">
        <v>429</v>
      </c>
      <c r="E9" s="157" t="s">
        <v>344</v>
      </c>
      <c r="F9" s="157" t="s">
        <v>341</v>
      </c>
      <c r="G9" s="157" t="s">
        <v>39</v>
      </c>
      <c r="H9" s="157" t="s">
        <v>40</v>
      </c>
      <c r="I9" s="87" t="s">
        <v>41</v>
      </c>
      <c r="J9" s="87" t="s">
        <v>42</v>
      </c>
      <c r="K9" s="87" t="s">
        <v>43</v>
      </c>
      <c r="L9" s="87">
        <v>2</v>
      </c>
      <c r="N9" s="87">
        <v>8</v>
      </c>
      <c r="O9" s="87">
        <v>0.55000000000000004</v>
      </c>
      <c r="P9" s="87">
        <v>0.6</v>
      </c>
      <c r="Q9" s="88">
        <f t="shared" si="0"/>
        <v>0.57499999999999996</v>
      </c>
      <c r="R9" s="87">
        <v>15.1</v>
      </c>
      <c r="S9" s="87">
        <v>85.5</v>
      </c>
      <c r="T9" s="89">
        <f t="shared" si="1"/>
        <v>36</v>
      </c>
      <c r="U9" s="87">
        <v>498</v>
      </c>
      <c r="V9" s="159">
        <f t="shared" si="2"/>
        <v>2241</v>
      </c>
      <c r="W9" s="87">
        <v>3</v>
      </c>
      <c r="X9" s="87" t="s">
        <v>44</v>
      </c>
      <c r="Y9" s="87" t="s">
        <v>46</v>
      </c>
      <c r="Z9" s="87" t="s">
        <v>54</v>
      </c>
      <c r="AA9" s="87" t="s">
        <v>161</v>
      </c>
      <c r="AB9" s="157" t="s">
        <v>338</v>
      </c>
      <c r="AC9" s="106"/>
      <c r="AE9" s="33" t="s">
        <v>100</v>
      </c>
      <c r="AG9" s="130" t="s">
        <v>352</v>
      </c>
      <c r="AH9" s="130" t="s">
        <v>353</v>
      </c>
      <c r="AL9" s="95" t="s">
        <v>102</v>
      </c>
      <c r="AN9" s="101"/>
      <c r="AP9" s="95" t="s">
        <v>103</v>
      </c>
      <c r="AR9" s="95" t="s">
        <v>104</v>
      </c>
      <c r="AV9" s="95" t="s">
        <v>105</v>
      </c>
      <c r="AX9" s="96">
        <v>128</v>
      </c>
      <c r="AY9" s="97">
        <v>27</v>
      </c>
      <c r="AZ9" s="97">
        <v>129</v>
      </c>
      <c r="BA9" s="98">
        <v>25</v>
      </c>
    </row>
    <row r="10" spans="1:53" s="87" customFormat="1" ht="13.5" customHeight="1">
      <c r="A10" s="157" t="s">
        <v>88</v>
      </c>
      <c r="B10" s="157" t="s">
        <v>181</v>
      </c>
      <c r="C10" s="157">
        <v>2020</v>
      </c>
      <c r="D10" s="158" t="s">
        <v>429</v>
      </c>
      <c r="E10" s="157" t="s">
        <v>344</v>
      </c>
      <c r="F10" s="157" t="s">
        <v>341</v>
      </c>
      <c r="G10" s="157" t="s">
        <v>39</v>
      </c>
      <c r="H10" s="157" t="s">
        <v>40</v>
      </c>
      <c r="I10" s="87" t="s">
        <v>41</v>
      </c>
      <c r="J10" s="87" t="s">
        <v>42</v>
      </c>
      <c r="K10" s="87" t="s">
        <v>43</v>
      </c>
      <c r="L10" s="87">
        <v>3</v>
      </c>
      <c r="N10" s="87">
        <v>8</v>
      </c>
      <c r="O10" s="87">
        <v>0.6</v>
      </c>
      <c r="P10" s="87">
        <v>0.6</v>
      </c>
      <c r="Q10" s="88">
        <f t="shared" si="0"/>
        <v>0.6</v>
      </c>
      <c r="R10" s="87">
        <v>14.6</v>
      </c>
      <c r="S10" s="87">
        <v>92.5</v>
      </c>
      <c r="T10" s="89">
        <f t="shared" si="1"/>
        <v>36</v>
      </c>
      <c r="U10" s="87">
        <v>498</v>
      </c>
      <c r="V10" s="159">
        <f t="shared" si="2"/>
        <v>2241</v>
      </c>
      <c r="W10" s="87">
        <v>3</v>
      </c>
      <c r="X10" s="87" t="s">
        <v>44</v>
      </c>
      <c r="Y10" s="87" t="s">
        <v>46</v>
      </c>
      <c r="Z10" s="87" t="s">
        <v>54</v>
      </c>
      <c r="AA10" s="87" t="s">
        <v>161</v>
      </c>
      <c r="AB10" s="157" t="s">
        <v>338</v>
      </c>
      <c r="AC10" s="106"/>
      <c r="AE10" s="33" t="s">
        <v>106</v>
      </c>
      <c r="AG10" s="130" t="s">
        <v>354</v>
      </c>
      <c r="AH10" s="130" t="s">
        <v>355</v>
      </c>
      <c r="AL10" s="101"/>
      <c r="AP10" s="95" t="s">
        <v>109</v>
      </c>
      <c r="AR10" s="95" t="s">
        <v>110</v>
      </c>
      <c r="AV10" s="95" t="s">
        <v>111</v>
      </c>
      <c r="AX10" s="96">
        <v>138</v>
      </c>
      <c r="AY10" s="97">
        <v>25</v>
      </c>
      <c r="AZ10" s="97">
        <v>138</v>
      </c>
      <c r="BA10" s="98">
        <v>22</v>
      </c>
    </row>
    <row r="11" spans="1:53" s="87" customFormat="1" ht="13.5" customHeight="1">
      <c r="A11" s="157" t="s">
        <v>88</v>
      </c>
      <c r="B11" s="157" t="s">
        <v>181</v>
      </c>
      <c r="C11" s="157">
        <v>2020</v>
      </c>
      <c r="D11" s="158" t="s">
        <v>429</v>
      </c>
      <c r="E11" s="157" t="s">
        <v>344</v>
      </c>
      <c r="F11" s="157" t="s">
        <v>341</v>
      </c>
      <c r="G11" s="157" t="s">
        <v>39</v>
      </c>
      <c r="H11" s="157" t="s">
        <v>201</v>
      </c>
      <c r="I11" s="87" t="s">
        <v>41</v>
      </c>
      <c r="J11" s="87" t="s">
        <v>42</v>
      </c>
      <c r="K11" s="87" t="s">
        <v>78</v>
      </c>
      <c r="L11" s="87">
        <v>1</v>
      </c>
      <c r="N11" s="87">
        <v>1</v>
      </c>
      <c r="O11" s="87">
        <v>0.55000000000000004</v>
      </c>
      <c r="P11" s="87">
        <v>0.55000000000000004</v>
      </c>
      <c r="Q11" s="88">
        <f t="shared" si="0"/>
        <v>0.55000000000000004</v>
      </c>
      <c r="R11" s="87">
        <v>14.3</v>
      </c>
      <c r="S11" s="87">
        <v>93</v>
      </c>
      <c r="T11" s="89">
        <f t="shared" si="1"/>
        <v>36</v>
      </c>
      <c r="U11" s="87">
        <v>128</v>
      </c>
      <c r="V11" s="159">
        <f t="shared" si="2"/>
        <v>4608</v>
      </c>
      <c r="W11" s="87">
        <v>3</v>
      </c>
      <c r="X11" s="87" t="s">
        <v>44</v>
      </c>
      <c r="Y11" s="87" t="s">
        <v>46</v>
      </c>
      <c r="Z11" s="87" t="s">
        <v>54</v>
      </c>
      <c r="AA11" s="87" t="s">
        <v>161</v>
      </c>
      <c r="AB11" s="157" t="s">
        <v>338</v>
      </c>
      <c r="AC11" s="106"/>
      <c r="AE11" s="33" t="s">
        <v>269</v>
      </c>
      <c r="AG11" s="130" t="s">
        <v>356</v>
      </c>
      <c r="AH11" s="130" t="s">
        <v>355</v>
      </c>
      <c r="AL11" s="164"/>
      <c r="AP11" s="95" t="s">
        <v>212</v>
      </c>
      <c r="AR11" s="95" t="s">
        <v>128</v>
      </c>
      <c r="AV11" s="102" t="s">
        <v>357</v>
      </c>
      <c r="AX11" s="96">
        <v>151</v>
      </c>
      <c r="AY11" s="97">
        <v>22</v>
      </c>
      <c r="AZ11" s="97">
        <v>152</v>
      </c>
      <c r="BA11" s="98">
        <v>18</v>
      </c>
    </row>
    <row r="12" spans="1:53" s="87" customFormat="1" ht="13.5" customHeight="1">
      <c r="A12" s="157" t="s">
        <v>88</v>
      </c>
      <c r="B12" s="157" t="s">
        <v>181</v>
      </c>
      <c r="C12" s="157">
        <v>2020</v>
      </c>
      <c r="D12" s="158" t="s">
        <v>429</v>
      </c>
      <c r="E12" s="157" t="s">
        <v>344</v>
      </c>
      <c r="F12" s="157" t="s">
        <v>341</v>
      </c>
      <c r="G12" s="157" t="s">
        <v>39</v>
      </c>
      <c r="H12" s="157" t="s">
        <v>201</v>
      </c>
      <c r="I12" s="87" t="s">
        <v>41</v>
      </c>
      <c r="J12" s="87" t="s">
        <v>42</v>
      </c>
      <c r="K12" s="87" t="s">
        <v>78</v>
      </c>
      <c r="L12" s="87">
        <v>2</v>
      </c>
      <c r="N12" s="87">
        <v>1</v>
      </c>
      <c r="O12" s="87">
        <v>0.5</v>
      </c>
      <c r="P12" s="87">
        <v>0.55000000000000004</v>
      </c>
      <c r="Q12" s="88">
        <f t="shared" si="0"/>
        <v>0.52500000000000002</v>
      </c>
      <c r="R12" s="106">
        <v>14</v>
      </c>
      <c r="S12" s="87">
        <v>101.5</v>
      </c>
      <c r="T12" s="89">
        <f t="shared" si="1"/>
        <v>33</v>
      </c>
      <c r="U12" s="87">
        <v>128</v>
      </c>
      <c r="V12" s="159">
        <f t="shared" si="2"/>
        <v>4224</v>
      </c>
      <c r="W12" s="87">
        <v>3</v>
      </c>
      <c r="X12" s="87" t="s">
        <v>44</v>
      </c>
      <c r="Y12" s="87" t="s">
        <v>46</v>
      </c>
      <c r="Z12" s="87" t="s">
        <v>54</v>
      </c>
      <c r="AA12" s="87" t="s">
        <v>161</v>
      </c>
      <c r="AB12" s="157" t="s">
        <v>338</v>
      </c>
      <c r="AC12" s="106"/>
      <c r="AE12" s="33" t="s">
        <v>272</v>
      </c>
      <c r="AG12" s="95"/>
      <c r="AH12" s="33"/>
      <c r="AL12" s="164"/>
      <c r="AP12" s="95" t="s">
        <v>215</v>
      </c>
      <c r="AR12" s="95" t="s">
        <v>273</v>
      </c>
      <c r="AV12" s="102" t="s">
        <v>358</v>
      </c>
      <c r="AX12" s="96">
        <v>180</v>
      </c>
      <c r="AY12" s="97">
        <v>18</v>
      </c>
      <c r="AZ12" s="97">
        <v>181</v>
      </c>
      <c r="BA12" s="98">
        <v>16</v>
      </c>
    </row>
    <row r="13" spans="1:53" s="87" customFormat="1" ht="13.5" customHeight="1">
      <c r="A13" s="157" t="s">
        <v>88</v>
      </c>
      <c r="B13" s="157" t="s">
        <v>181</v>
      </c>
      <c r="C13" s="157">
        <v>2020</v>
      </c>
      <c r="D13" s="158" t="s">
        <v>429</v>
      </c>
      <c r="E13" s="157" t="s">
        <v>344</v>
      </c>
      <c r="F13" s="157" t="s">
        <v>341</v>
      </c>
      <c r="G13" s="157" t="s">
        <v>39</v>
      </c>
      <c r="H13" s="157" t="s">
        <v>201</v>
      </c>
      <c r="I13" s="87" t="s">
        <v>41</v>
      </c>
      <c r="J13" s="87" t="s">
        <v>42</v>
      </c>
      <c r="K13" s="87" t="s">
        <v>78</v>
      </c>
      <c r="L13" s="87">
        <v>3</v>
      </c>
      <c r="N13" s="87">
        <v>1</v>
      </c>
      <c r="O13" s="87">
        <v>0.5</v>
      </c>
      <c r="P13" s="87">
        <v>0.5</v>
      </c>
      <c r="Q13" s="88">
        <f t="shared" si="0"/>
        <v>0.5</v>
      </c>
      <c r="R13" s="87">
        <v>14.5</v>
      </c>
      <c r="S13" s="87">
        <v>104</v>
      </c>
      <c r="T13" s="89">
        <f t="shared" si="1"/>
        <v>33</v>
      </c>
      <c r="U13" s="87">
        <v>128</v>
      </c>
      <c r="V13" s="159">
        <f t="shared" si="2"/>
        <v>4224</v>
      </c>
      <c r="W13" s="87">
        <v>3</v>
      </c>
      <c r="X13" s="87" t="s">
        <v>44</v>
      </c>
      <c r="Y13" s="87" t="s">
        <v>46</v>
      </c>
      <c r="Z13" s="87" t="s">
        <v>54</v>
      </c>
      <c r="AA13" s="87" t="s">
        <v>161</v>
      </c>
      <c r="AB13" s="157" t="s">
        <v>338</v>
      </c>
      <c r="AC13" s="106"/>
      <c r="AE13" s="33" t="s">
        <v>274</v>
      </c>
      <c r="AG13" s="95"/>
      <c r="AH13" s="33"/>
      <c r="AL13" s="165"/>
      <c r="AP13" s="95" t="s">
        <v>219</v>
      </c>
      <c r="AR13" s="95" t="s">
        <v>106</v>
      </c>
      <c r="AV13" s="102" t="s">
        <v>359</v>
      </c>
      <c r="AX13" s="96"/>
      <c r="AY13" s="97"/>
      <c r="AZ13" s="97"/>
      <c r="BA13" s="98"/>
    </row>
    <row r="14" spans="1:53" s="87" customFormat="1" ht="13.5" customHeight="1">
      <c r="A14" s="157" t="s">
        <v>88</v>
      </c>
      <c r="B14" s="157" t="s">
        <v>181</v>
      </c>
      <c r="C14" s="157">
        <v>2020</v>
      </c>
      <c r="D14" s="158" t="s">
        <v>429</v>
      </c>
      <c r="E14" s="157" t="s">
        <v>342</v>
      </c>
      <c r="F14" s="157" t="s">
        <v>343</v>
      </c>
      <c r="G14" s="157" t="s">
        <v>58</v>
      </c>
      <c r="H14" s="157" t="s">
        <v>40</v>
      </c>
      <c r="I14" s="87" t="s">
        <v>41</v>
      </c>
      <c r="J14" s="87" t="s">
        <v>42</v>
      </c>
      <c r="K14" s="87" t="s">
        <v>43</v>
      </c>
      <c r="L14" s="87">
        <v>1</v>
      </c>
      <c r="N14" s="87">
        <v>4</v>
      </c>
      <c r="O14" s="87">
        <v>0.2</v>
      </c>
      <c r="P14" s="87">
        <v>0.2</v>
      </c>
      <c r="Q14" s="88">
        <f t="shared" si="0"/>
        <v>0.2</v>
      </c>
      <c r="R14" s="87">
        <v>15.6</v>
      </c>
      <c r="S14" s="87">
        <v>98.5</v>
      </c>
      <c r="T14" s="89">
        <f t="shared" si="1"/>
        <v>36</v>
      </c>
      <c r="U14" s="87">
        <v>424</v>
      </c>
      <c r="V14" s="159">
        <f t="shared" si="2"/>
        <v>3816</v>
      </c>
      <c r="W14" s="87">
        <v>1</v>
      </c>
      <c r="X14" s="87" t="s">
        <v>44</v>
      </c>
      <c r="Y14" s="87" t="s">
        <v>45</v>
      </c>
      <c r="Z14" s="87" t="s">
        <v>46</v>
      </c>
      <c r="AA14" s="87" t="s">
        <v>161</v>
      </c>
      <c r="AB14" s="157" t="s">
        <v>338</v>
      </c>
      <c r="AC14" s="106"/>
      <c r="AE14" s="33" t="s">
        <v>112</v>
      </c>
      <c r="AG14" s="95"/>
      <c r="AH14" s="33"/>
      <c r="AL14" s="106"/>
      <c r="AP14" s="95" t="s">
        <v>113</v>
      </c>
      <c r="AR14" s="95" t="s">
        <v>114</v>
      </c>
      <c r="AV14" s="102" t="s">
        <v>360</v>
      </c>
      <c r="AX14" s="96"/>
      <c r="AY14" s="97"/>
      <c r="AZ14" s="97"/>
      <c r="BA14" s="98"/>
    </row>
    <row r="15" spans="1:53" s="87" customFormat="1" ht="13.5" customHeight="1">
      <c r="A15" s="157" t="s">
        <v>88</v>
      </c>
      <c r="B15" s="157" t="s">
        <v>181</v>
      </c>
      <c r="C15" s="157">
        <v>2020</v>
      </c>
      <c r="D15" s="158" t="s">
        <v>429</v>
      </c>
      <c r="E15" s="157" t="s">
        <v>342</v>
      </c>
      <c r="F15" s="157" t="s">
        <v>343</v>
      </c>
      <c r="G15" s="157" t="s">
        <v>58</v>
      </c>
      <c r="H15" s="157" t="s">
        <v>40</v>
      </c>
      <c r="I15" s="87" t="s">
        <v>41</v>
      </c>
      <c r="J15" s="87" t="s">
        <v>42</v>
      </c>
      <c r="K15" s="87" t="s">
        <v>43</v>
      </c>
      <c r="L15" s="87">
        <v>2</v>
      </c>
      <c r="N15" s="87">
        <v>4</v>
      </c>
      <c r="O15" s="87">
        <v>0.2</v>
      </c>
      <c r="P15" s="87">
        <v>0.5</v>
      </c>
      <c r="Q15" s="88">
        <f t="shared" si="0"/>
        <v>0.35</v>
      </c>
      <c r="R15" s="106">
        <v>17.100000000000001</v>
      </c>
      <c r="S15" s="87">
        <v>96</v>
      </c>
      <c r="T15" s="89">
        <f t="shared" si="1"/>
        <v>36</v>
      </c>
      <c r="U15" s="87">
        <v>424</v>
      </c>
      <c r="V15" s="159">
        <f t="shared" si="2"/>
        <v>3816</v>
      </c>
      <c r="W15" s="87">
        <v>1</v>
      </c>
      <c r="X15" s="87" t="s">
        <v>44</v>
      </c>
      <c r="Y15" s="87" t="s">
        <v>45</v>
      </c>
      <c r="Z15" s="87" t="s">
        <v>46</v>
      </c>
      <c r="AA15" s="87" t="s">
        <v>161</v>
      </c>
      <c r="AB15" s="157" t="s">
        <v>338</v>
      </c>
      <c r="AC15" s="106"/>
      <c r="AE15" s="33" t="s">
        <v>116</v>
      </c>
      <c r="AG15" s="95"/>
      <c r="AH15" s="95"/>
      <c r="AL15" s="106"/>
      <c r="AP15" s="95" t="s">
        <v>117</v>
      </c>
      <c r="AR15" s="95" t="s">
        <v>118</v>
      </c>
      <c r="AV15" s="102" t="s">
        <v>361</v>
      </c>
      <c r="AX15" s="103"/>
      <c r="AY15" s="104"/>
      <c r="AZ15" s="104"/>
      <c r="BA15" s="105"/>
    </row>
    <row r="16" spans="1:53" s="87" customFormat="1" ht="13.5" customHeight="1">
      <c r="A16" s="157" t="s">
        <v>88</v>
      </c>
      <c r="B16" s="157" t="s">
        <v>181</v>
      </c>
      <c r="C16" s="157">
        <v>2020</v>
      </c>
      <c r="D16" s="158" t="s">
        <v>429</v>
      </c>
      <c r="E16" s="157" t="s">
        <v>342</v>
      </c>
      <c r="F16" s="157" t="s">
        <v>343</v>
      </c>
      <c r="G16" s="157" t="s">
        <v>58</v>
      </c>
      <c r="H16" s="157" t="s">
        <v>40</v>
      </c>
      <c r="I16" s="87" t="s">
        <v>41</v>
      </c>
      <c r="J16" s="87" t="s">
        <v>42</v>
      </c>
      <c r="K16" s="87" t="s">
        <v>43</v>
      </c>
      <c r="L16" s="87">
        <v>3</v>
      </c>
      <c r="N16" s="87">
        <v>4</v>
      </c>
      <c r="O16" s="87">
        <v>0.2</v>
      </c>
      <c r="P16" s="87">
        <v>0.2</v>
      </c>
      <c r="Q16" s="88">
        <f t="shared" si="0"/>
        <v>0.2</v>
      </c>
      <c r="R16" s="87">
        <v>17</v>
      </c>
      <c r="S16" s="87">
        <v>91</v>
      </c>
      <c r="T16" s="89">
        <f t="shared" si="1"/>
        <v>36</v>
      </c>
      <c r="U16" s="87">
        <v>424</v>
      </c>
      <c r="V16" s="159">
        <f t="shared" si="2"/>
        <v>3816</v>
      </c>
      <c r="W16" s="87">
        <v>1</v>
      </c>
      <c r="X16" s="87" t="s">
        <v>44</v>
      </c>
      <c r="Y16" s="87" t="s">
        <v>45</v>
      </c>
      <c r="Z16" s="87" t="s">
        <v>46</v>
      </c>
      <c r="AA16" s="87" t="s">
        <v>161</v>
      </c>
      <c r="AB16" s="157" t="s">
        <v>338</v>
      </c>
      <c r="AC16" s="106"/>
      <c r="AE16" s="33" t="s">
        <v>120</v>
      </c>
      <c r="AG16" s="95"/>
      <c r="AH16" s="95"/>
      <c r="AP16" s="95" t="s">
        <v>121</v>
      </c>
      <c r="AR16" s="95" t="s">
        <v>122</v>
      </c>
      <c r="AV16" s="102" t="s">
        <v>362</v>
      </c>
    </row>
    <row r="17" spans="1:48" s="87" customFormat="1" ht="13.5" customHeight="1">
      <c r="A17" s="157" t="s">
        <v>88</v>
      </c>
      <c r="B17" s="157" t="s">
        <v>181</v>
      </c>
      <c r="C17" s="157">
        <v>2020</v>
      </c>
      <c r="D17" s="158" t="s">
        <v>429</v>
      </c>
      <c r="E17" s="157" t="s">
        <v>363</v>
      </c>
      <c r="F17" s="157" t="s">
        <v>346</v>
      </c>
      <c r="G17" s="157" t="s">
        <v>39</v>
      </c>
      <c r="H17" s="157" t="s">
        <v>40</v>
      </c>
      <c r="I17" s="87" t="s">
        <v>41</v>
      </c>
      <c r="J17" s="87" t="s">
        <v>42</v>
      </c>
      <c r="K17" s="87" t="s">
        <v>43</v>
      </c>
      <c r="L17" s="87">
        <v>1</v>
      </c>
      <c r="N17" s="87">
        <v>1</v>
      </c>
      <c r="O17" s="87">
        <v>0.2</v>
      </c>
      <c r="P17" s="87">
        <v>0.2</v>
      </c>
      <c r="Q17" s="88">
        <f t="shared" si="0"/>
        <v>0.2</v>
      </c>
      <c r="R17" s="87">
        <v>14.8</v>
      </c>
      <c r="S17" s="87">
        <v>129</v>
      </c>
      <c r="T17" s="89">
        <f t="shared" si="1"/>
        <v>25</v>
      </c>
      <c r="U17" s="87">
        <v>98</v>
      </c>
      <c r="V17" s="159">
        <f t="shared" si="2"/>
        <v>2450</v>
      </c>
      <c r="W17" s="87">
        <v>13</v>
      </c>
      <c r="X17" s="87" t="s">
        <v>63</v>
      </c>
      <c r="Y17" s="87" t="s">
        <v>45</v>
      </c>
      <c r="Z17" s="87" t="s">
        <v>46</v>
      </c>
      <c r="AA17" s="87" t="s">
        <v>161</v>
      </c>
      <c r="AB17" s="157" t="s">
        <v>338</v>
      </c>
      <c r="AC17" s="106"/>
      <c r="AE17" s="33" t="s">
        <v>124</v>
      </c>
      <c r="AP17" s="99" t="s">
        <v>125</v>
      </c>
      <c r="AR17" s="95" t="s">
        <v>126</v>
      </c>
      <c r="AV17" s="102" t="s">
        <v>364</v>
      </c>
    </row>
    <row r="18" spans="1:48" s="87" customFormat="1" ht="13.5" customHeight="1">
      <c r="A18" s="157" t="s">
        <v>88</v>
      </c>
      <c r="B18" s="157" t="s">
        <v>181</v>
      </c>
      <c r="C18" s="157">
        <v>2020</v>
      </c>
      <c r="D18" s="158" t="s">
        <v>429</v>
      </c>
      <c r="E18" s="157" t="s">
        <v>363</v>
      </c>
      <c r="F18" s="157" t="s">
        <v>346</v>
      </c>
      <c r="G18" s="157" t="s">
        <v>39</v>
      </c>
      <c r="H18" s="157" t="s">
        <v>40</v>
      </c>
      <c r="I18" s="87" t="s">
        <v>41</v>
      </c>
      <c r="J18" s="87" t="s">
        <v>42</v>
      </c>
      <c r="K18" s="87" t="s">
        <v>43</v>
      </c>
      <c r="L18" s="87">
        <v>2</v>
      </c>
      <c r="N18" s="87">
        <v>1</v>
      </c>
      <c r="O18" s="87">
        <v>0.5</v>
      </c>
      <c r="P18" s="87">
        <v>0.5</v>
      </c>
      <c r="Q18" s="88">
        <f t="shared" si="0"/>
        <v>0.5</v>
      </c>
      <c r="R18" s="87">
        <v>14.7</v>
      </c>
      <c r="S18" s="87">
        <v>129</v>
      </c>
      <c r="T18" s="89">
        <f t="shared" si="1"/>
        <v>25</v>
      </c>
      <c r="U18" s="87">
        <v>98</v>
      </c>
      <c r="V18" s="159">
        <f t="shared" si="2"/>
        <v>2450</v>
      </c>
      <c r="W18" s="87">
        <v>13</v>
      </c>
      <c r="X18" s="87" t="s">
        <v>63</v>
      </c>
      <c r="Y18" s="87" t="s">
        <v>45</v>
      </c>
      <c r="Z18" s="87" t="s">
        <v>46</v>
      </c>
      <c r="AA18" s="87" t="s">
        <v>161</v>
      </c>
      <c r="AB18" s="157" t="s">
        <v>338</v>
      </c>
      <c r="AC18" s="106"/>
      <c r="AE18" s="33" t="s">
        <v>128</v>
      </c>
      <c r="AP18" s="99" t="s">
        <v>129</v>
      </c>
      <c r="AR18" s="95" t="s">
        <v>130</v>
      </c>
      <c r="AV18" s="102" t="s">
        <v>137</v>
      </c>
    </row>
    <row r="19" spans="1:48" s="87" customFormat="1" ht="13.5" customHeight="1">
      <c r="A19" s="157" t="s">
        <v>88</v>
      </c>
      <c r="B19" s="157" t="s">
        <v>181</v>
      </c>
      <c r="C19" s="157">
        <v>2020</v>
      </c>
      <c r="D19" s="158" t="s">
        <v>429</v>
      </c>
      <c r="E19" s="157" t="s">
        <v>363</v>
      </c>
      <c r="F19" s="157" t="s">
        <v>346</v>
      </c>
      <c r="G19" s="157" t="s">
        <v>39</v>
      </c>
      <c r="H19" s="157" t="s">
        <v>40</v>
      </c>
      <c r="I19" s="87" t="s">
        <v>41</v>
      </c>
      <c r="J19" s="87" t="s">
        <v>42</v>
      </c>
      <c r="K19" s="87" t="s">
        <v>43</v>
      </c>
      <c r="L19" s="87">
        <v>3</v>
      </c>
      <c r="N19" s="87">
        <v>1</v>
      </c>
      <c r="O19" s="87">
        <v>0.2</v>
      </c>
      <c r="P19" s="87">
        <v>0.5</v>
      </c>
      <c r="Q19" s="88">
        <f t="shared" si="0"/>
        <v>0.35</v>
      </c>
      <c r="R19" s="87">
        <v>14.7</v>
      </c>
      <c r="S19" s="87">
        <v>128</v>
      </c>
      <c r="T19" s="89">
        <f t="shared" si="1"/>
        <v>27</v>
      </c>
      <c r="U19" s="87">
        <v>98</v>
      </c>
      <c r="V19" s="159">
        <f t="shared" si="2"/>
        <v>2646</v>
      </c>
      <c r="W19" s="87">
        <v>13</v>
      </c>
      <c r="X19" s="87" t="s">
        <v>63</v>
      </c>
      <c r="Y19" s="87" t="s">
        <v>45</v>
      </c>
      <c r="Z19" s="87" t="s">
        <v>46</v>
      </c>
      <c r="AA19" s="87" t="s">
        <v>161</v>
      </c>
      <c r="AB19" s="157" t="s">
        <v>338</v>
      </c>
      <c r="AC19" s="106"/>
      <c r="AE19" s="34" t="s">
        <v>104</v>
      </c>
      <c r="AP19" s="99" t="s">
        <v>132</v>
      </c>
      <c r="AR19" s="95" t="s">
        <v>133</v>
      </c>
      <c r="AV19" s="102" t="s">
        <v>365</v>
      </c>
    </row>
    <row r="20" spans="1:48" s="87" customFormat="1" ht="13.5" customHeight="1">
      <c r="A20" s="157" t="s">
        <v>88</v>
      </c>
      <c r="B20" s="157" t="s">
        <v>181</v>
      </c>
      <c r="C20" s="157">
        <v>2020</v>
      </c>
      <c r="D20" s="158" t="s">
        <v>429</v>
      </c>
      <c r="E20" s="157" t="s">
        <v>363</v>
      </c>
      <c r="F20" s="157" t="s">
        <v>346</v>
      </c>
      <c r="G20" s="157" t="s">
        <v>39</v>
      </c>
      <c r="H20" s="157" t="s">
        <v>40</v>
      </c>
      <c r="I20" s="87" t="s">
        <v>41</v>
      </c>
      <c r="J20" s="87" t="s">
        <v>42</v>
      </c>
      <c r="K20" s="87" t="s">
        <v>43</v>
      </c>
      <c r="L20" s="87">
        <v>1</v>
      </c>
      <c r="N20" s="87">
        <v>4</v>
      </c>
      <c r="O20" s="87">
        <v>0.5</v>
      </c>
      <c r="P20" s="87">
        <v>0.2</v>
      </c>
      <c r="Q20" s="88">
        <f t="shared" si="0"/>
        <v>0.35</v>
      </c>
      <c r="R20" s="87">
        <v>14</v>
      </c>
      <c r="S20" s="87">
        <v>93</v>
      </c>
      <c r="T20" s="89">
        <f t="shared" si="1"/>
        <v>36</v>
      </c>
      <c r="U20" s="87">
        <v>298</v>
      </c>
      <c r="V20" s="159">
        <f t="shared" si="2"/>
        <v>2682</v>
      </c>
      <c r="W20" s="87">
        <v>13</v>
      </c>
      <c r="X20" s="87" t="s">
        <v>63</v>
      </c>
      <c r="Y20" s="87" t="s">
        <v>45</v>
      </c>
      <c r="Z20" s="87" t="s">
        <v>46</v>
      </c>
      <c r="AA20" s="87" t="s">
        <v>161</v>
      </c>
      <c r="AB20" s="157" t="s">
        <v>338</v>
      </c>
      <c r="AC20" s="106"/>
      <c r="AE20" s="33"/>
      <c r="AP20" s="99" t="s">
        <v>135</v>
      </c>
      <c r="AR20" s="95" t="s">
        <v>136</v>
      </c>
      <c r="AV20" s="102" t="s">
        <v>366</v>
      </c>
    </row>
    <row r="21" spans="1:48" s="87" customFormat="1" ht="13.5" customHeight="1">
      <c r="A21" s="157" t="s">
        <v>88</v>
      </c>
      <c r="B21" s="157" t="s">
        <v>181</v>
      </c>
      <c r="C21" s="157">
        <v>2020</v>
      </c>
      <c r="D21" s="158" t="s">
        <v>429</v>
      </c>
      <c r="E21" s="157" t="s">
        <v>363</v>
      </c>
      <c r="F21" s="157" t="s">
        <v>346</v>
      </c>
      <c r="G21" s="157" t="s">
        <v>39</v>
      </c>
      <c r="H21" s="157" t="s">
        <v>40</v>
      </c>
      <c r="I21" s="87" t="s">
        <v>41</v>
      </c>
      <c r="J21" s="87" t="s">
        <v>42</v>
      </c>
      <c r="K21" s="87" t="s">
        <v>43</v>
      </c>
      <c r="L21" s="87">
        <v>2</v>
      </c>
      <c r="N21" s="87">
        <v>4</v>
      </c>
      <c r="O21" s="87">
        <v>0.65</v>
      </c>
      <c r="P21" s="87">
        <v>0.75</v>
      </c>
      <c r="Q21" s="88">
        <f t="shared" si="0"/>
        <v>0.7</v>
      </c>
      <c r="R21" s="87">
        <v>14</v>
      </c>
      <c r="S21" s="87">
        <v>87</v>
      </c>
      <c r="T21" s="89">
        <f t="shared" si="1"/>
        <v>36</v>
      </c>
      <c r="U21" s="87">
        <v>298</v>
      </c>
      <c r="V21" s="159">
        <f t="shared" si="2"/>
        <v>2682</v>
      </c>
      <c r="W21" s="87">
        <v>13</v>
      </c>
      <c r="X21" s="87" t="s">
        <v>63</v>
      </c>
      <c r="Y21" s="87" t="s">
        <v>45</v>
      </c>
      <c r="Z21" s="87" t="s">
        <v>46</v>
      </c>
      <c r="AA21" s="87" t="s">
        <v>161</v>
      </c>
      <c r="AB21" s="157" t="s">
        <v>338</v>
      </c>
      <c r="AC21" s="106"/>
      <c r="AE21" s="33"/>
      <c r="AP21" s="99" t="s">
        <v>138</v>
      </c>
      <c r="AR21" s="95" t="s">
        <v>139</v>
      </c>
      <c r="AV21" s="102" t="s">
        <v>367</v>
      </c>
    </row>
    <row r="22" spans="1:48" s="87" customFormat="1" ht="13.5" customHeight="1">
      <c r="A22" s="157" t="s">
        <v>88</v>
      </c>
      <c r="B22" s="157" t="s">
        <v>181</v>
      </c>
      <c r="C22" s="157">
        <v>2020</v>
      </c>
      <c r="D22" s="158" t="s">
        <v>429</v>
      </c>
      <c r="E22" s="157" t="s">
        <v>363</v>
      </c>
      <c r="F22" s="157" t="s">
        <v>346</v>
      </c>
      <c r="G22" s="157" t="s">
        <v>39</v>
      </c>
      <c r="H22" s="157" t="s">
        <v>40</v>
      </c>
      <c r="I22" s="87" t="s">
        <v>41</v>
      </c>
      <c r="J22" s="87" t="s">
        <v>42</v>
      </c>
      <c r="K22" s="87" t="s">
        <v>43</v>
      </c>
      <c r="L22" s="87">
        <v>3</v>
      </c>
      <c r="N22" s="87">
        <v>4</v>
      </c>
      <c r="O22" s="87">
        <v>0.65</v>
      </c>
      <c r="P22" s="87">
        <v>0.6</v>
      </c>
      <c r="Q22" s="88">
        <f t="shared" si="0"/>
        <v>0.625</v>
      </c>
      <c r="R22" s="87">
        <v>14.5</v>
      </c>
      <c r="S22" s="87">
        <v>88.5</v>
      </c>
      <c r="T22" s="89">
        <f t="shared" si="1"/>
        <v>36</v>
      </c>
      <c r="U22" s="87">
        <v>298</v>
      </c>
      <c r="V22" s="159">
        <f t="shared" si="2"/>
        <v>2682</v>
      </c>
      <c r="W22" s="87">
        <v>13</v>
      </c>
      <c r="X22" s="87" t="s">
        <v>63</v>
      </c>
      <c r="Y22" s="87" t="s">
        <v>45</v>
      </c>
      <c r="Z22" s="87" t="s">
        <v>46</v>
      </c>
      <c r="AA22" s="87" t="s">
        <v>161</v>
      </c>
      <c r="AB22" s="157" t="s">
        <v>338</v>
      </c>
      <c r="AC22" s="106"/>
      <c r="AE22" s="34"/>
      <c r="AP22" s="99" t="s">
        <v>141</v>
      </c>
      <c r="AR22" s="95" t="s">
        <v>142</v>
      </c>
      <c r="AV22" s="95"/>
    </row>
    <row r="23" spans="1:48" s="87" customFormat="1" ht="13.5" customHeight="1">
      <c r="A23" s="157" t="s">
        <v>88</v>
      </c>
      <c r="B23" s="157" t="s">
        <v>181</v>
      </c>
      <c r="C23" s="157">
        <v>2020</v>
      </c>
      <c r="D23" s="158" t="s">
        <v>429</v>
      </c>
      <c r="E23" s="157" t="s">
        <v>363</v>
      </c>
      <c r="F23" s="157" t="s">
        <v>346</v>
      </c>
      <c r="G23" s="157" t="s">
        <v>39</v>
      </c>
      <c r="H23" s="157" t="s">
        <v>51</v>
      </c>
      <c r="I23" s="87" t="s">
        <v>41</v>
      </c>
      <c r="J23" s="87" t="s">
        <v>121</v>
      </c>
      <c r="K23" s="87" t="s">
        <v>86</v>
      </c>
      <c r="L23" s="87">
        <v>1</v>
      </c>
      <c r="N23" s="87">
        <v>5</v>
      </c>
      <c r="O23" s="87">
        <v>0.7</v>
      </c>
      <c r="P23" s="87">
        <v>0.55000000000000004</v>
      </c>
      <c r="Q23" s="88">
        <f t="shared" si="0"/>
        <v>0.625</v>
      </c>
      <c r="R23" s="87">
        <v>13.9</v>
      </c>
      <c r="S23" s="87">
        <v>87</v>
      </c>
      <c r="T23" s="89">
        <f t="shared" si="1"/>
        <v>36</v>
      </c>
      <c r="U23" s="87">
        <v>398</v>
      </c>
      <c r="V23" s="159">
        <f t="shared" si="2"/>
        <v>2865.6</v>
      </c>
      <c r="W23" s="87">
        <v>13</v>
      </c>
      <c r="X23" s="87" t="s">
        <v>63</v>
      </c>
      <c r="Y23" s="87" t="s">
        <v>45</v>
      </c>
      <c r="Z23" s="87" t="s">
        <v>46</v>
      </c>
      <c r="AA23" s="87" t="s">
        <v>161</v>
      </c>
      <c r="AB23" s="157" t="s">
        <v>338</v>
      </c>
      <c r="AC23" s="106"/>
      <c r="AE23" s="33"/>
      <c r="AP23" s="99" t="s">
        <v>324</v>
      </c>
      <c r="AR23" s="95" t="s">
        <v>88</v>
      </c>
    </row>
    <row r="24" spans="1:48" s="87" customFormat="1" ht="13.5" customHeight="1">
      <c r="A24" s="157" t="s">
        <v>88</v>
      </c>
      <c r="B24" s="157" t="s">
        <v>181</v>
      </c>
      <c r="C24" s="157">
        <v>2020</v>
      </c>
      <c r="D24" s="158" t="s">
        <v>429</v>
      </c>
      <c r="E24" s="157" t="s">
        <v>363</v>
      </c>
      <c r="F24" s="157" t="s">
        <v>346</v>
      </c>
      <c r="G24" s="157" t="s">
        <v>39</v>
      </c>
      <c r="H24" s="157" t="s">
        <v>51</v>
      </c>
      <c r="I24" s="87" t="s">
        <v>41</v>
      </c>
      <c r="J24" s="87" t="s">
        <v>121</v>
      </c>
      <c r="K24" s="87" t="s">
        <v>86</v>
      </c>
      <c r="L24" s="87">
        <v>2</v>
      </c>
      <c r="N24" s="87">
        <v>5</v>
      </c>
      <c r="O24" s="87">
        <v>0.5</v>
      </c>
      <c r="P24" s="87">
        <v>0.5</v>
      </c>
      <c r="Q24" s="88">
        <f t="shared" si="0"/>
        <v>0.5</v>
      </c>
      <c r="R24" s="87">
        <v>14.4</v>
      </c>
      <c r="S24" s="87">
        <v>75</v>
      </c>
      <c r="T24" s="89">
        <f t="shared" si="1"/>
        <v>42</v>
      </c>
      <c r="U24" s="87">
        <v>398</v>
      </c>
      <c r="V24" s="159">
        <f t="shared" si="2"/>
        <v>3343.2</v>
      </c>
      <c r="W24" s="87">
        <v>13</v>
      </c>
      <c r="X24" s="87" t="s">
        <v>63</v>
      </c>
      <c r="Y24" s="87" t="s">
        <v>45</v>
      </c>
      <c r="Z24" s="87" t="s">
        <v>46</v>
      </c>
      <c r="AA24" s="87" t="s">
        <v>161</v>
      </c>
      <c r="AB24" s="157" t="s">
        <v>338</v>
      </c>
      <c r="AC24" s="106"/>
      <c r="AE24" s="33"/>
      <c r="AP24" s="99" t="s">
        <v>326</v>
      </c>
      <c r="AR24" s="95" t="s">
        <v>327</v>
      </c>
    </row>
    <row r="25" spans="1:48" s="87" customFormat="1" ht="13.5" customHeight="1">
      <c r="A25" s="157" t="s">
        <v>88</v>
      </c>
      <c r="B25" s="157" t="s">
        <v>181</v>
      </c>
      <c r="C25" s="157">
        <v>2020</v>
      </c>
      <c r="D25" s="158" t="s">
        <v>429</v>
      </c>
      <c r="E25" s="157" t="s">
        <v>363</v>
      </c>
      <c r="F25" s="157" t="s">
        <v>346</v>
      </c>
      <c r="G25" s="157" t="s">
        <v>39</v>
      </c>
      <c r="H25" s="157" t="s">
        <v>51</v>
      </c>
      <c r="I25" s="87" t="s">
        <v>41</v>
      </c>
      <c r="J25" s="87" t="s">
        <v>121</v>
      </c>
      <c r="K25" s="87" t="s">
        <v>86</v>
      </c>
      <c r="L25" s="87">
        <v>3</v>
      </c>
      <c r="N25" s="87">
        <v>5</v>
      </c>
      <c r="O25" s="87">
        <v>0.5</v>
      </c>
      <c r="P25" s="87">
        <v>0.5</v>
      </c>
      <c r="Q25" s="88">
        <f t="shared" si="0"/>
        <v>0.5</v>
      </c>
      <c r="R25" s="87">
        <v>13.5</v>
      </c>
      <c r="S25" s="87">
        <v>83</v>
      </c>
      <c r="T25" s="89">
        <f t="shared" si="1"/>
        <v>39</v>
      </c>
      <c r="U25" s="87">
        <v>398</v>
      </c>
      <c r="V25" s="159">
        <f t="shared" si="2"/>
        <v>3104.3999999999996</v>
      </c>
      <c r="W25" s="87">
        <v>13</v>
      </c>
      <c r="X25" s="87" t="s">
        <v>63</v>
      </c>
      <c r="Y25" s="87" t="s">
        <v>45</v>
      </c>
      <c r="Z25" s="87" t="s">
        <v>46</v>
      </c>
      <c r="AA25" s="87" t="s">
        <v>161</v>
      </c>
      <c r="AB25" s="157" t="s">
        <v>338</v>
      </c>
      <c r="AC25" s="106"/>
      <c r="AE25" s="34"/>
      <c r="AP25" s="99" t="s">
        <v>329</v>
      </c>
      <c r="AR25" s="99" t="s">
        <v>330</v>
      </c>
    </row>
    <row r="26" spans="1:48" s="87" customFormat="1" ht="13.5" customHeight="1">
      <c r="A26" s="157" t="s">
        <v>88</v>
      </c>
      <c r="B26" s="157" t="s">
        <v>181</v>
      </c>
      <c r="C26" s="157">
        <v>2020</v>
      </c>
      <c r="D26" s="158" t="s">
        <v>429</v>
      </c>
      <c r="E26" s="157" t="s">
        <v>363</v>
      </c>
      <c r="F26" s="157" t="s">
        <v>346</v>
      </c>
      <c r="G26" s="157" t="s">
        <v>39</v>
      </c>
      <c r="H26" s="157" t="s">
        <v>51</v>
      </c>
      <c r="I26" s="87" t="s">
        <v>41</v>
      </c>
      <c r="J26" s="87" t="s">
        <v>121</v>
      </c>
      <c r="K26" s="87" t="s">
        <v>62</v>
      </c>
      <c r="L26" s="87">
        <v>1</v>
      </c>
      <c r="N26" s="87">
        <v>5</v>
      </c>
      <c r="O26" s="87">
        <v>1</v>
      </c>
      <c r="P26" s="106">
        <v>0.95</v>
      </c>
      <c r="Q26" s="88">
        <f t="shared" si="0"/>
        <v>0.97499999999999998</v>
      </c>
      <c r="R26" s="87">
        <v>14.8</v>
      </c>
      <c r="S26" s="87">
        <v>80.5</v>
      </c>
      <c r="T26" s="89">
        <f t="shared" si="1"/>
        <v>39</v>
      </c>
      <c r="U26" s="87">
        <v>358</v>
      </c>
      <c r="V26" s="159">
        <f t="shared" si="2"/>
        <v>2792.3999999999996</v>
      </c>
      <c r="W26" s="87">
        <v>13</v>
      </c>
      <c r="X26" s="87" t="s">
        <v>63</v>
      </c>
      <c r="Y26" s="87" t="s">
        <v>45</v>
      </c>
      <c r="Z26" s="87" t="s">
        <v>46</v>
      </c>
      <c r="AA26" s="87" t="s">
        <v>161</v>
      </c>
      <c r="AB26" s="157" t="s">
        <v>338</v>
      </c>
      <c r="AC26" s="106"/>
      <c r="AD26" s="106"/>
      <c r="AE26" s="34"/>
      <c r="AP26" s="99" t="s">
        <v>145</v>
      </c>
      <c r="AR26" s="95" t="s">
        <v>123</v>
      </c>
    </row>
    <row r="27" spans="1:48" s="87" customFormat="1" ht="13.5" customHeight="1">
      <c r="A27" s="157" t="s">
        <v>88</v>
      </c>
      <c r="B27" s="157" t="s">
        <v>181</v>
      </c>
      <c r="C27" s="157">
        <v>2020</v>
      </c>
      <c r="D27" s="158" t="s">
        <v>429</v>
      </c>
      <c r="E27" s="157" t="s">
        <v>363</v>
      </c>
      <c r="F27" s="157" t="s">
        <v>346</v>
      </c>
      <c r="G27" s="157" t="s">
        <v>39</v>
      </c>
      <c r="H27" s="157" t="s">
        <v>51</v>
      </c>
      <c r="I27" s="87" t="s">
        <v>41</v>
      </c>
      <c r="J27" s="87" t="s">
        <v>121</v>
      </c>
      <c r="K27" s="87" t="s">
        <v>62</v>
      </c>
      <c r="L27" s="87">
        <v>2</v>
      </c>
      <c r="N27" s="87">
        <v>5</v>
      </c>
      <c r="O27" s="87">
        <v>0.9</v>
      </c>
      <c r="P27" s="106">
        <v>0.75</v>
      </c>
      <c r="Q27" s="88">
        <f t="shared" si="0"/>
        <v>0.82499999999999996</v>
      </c>
      <c r="R27" s="87">
        <v>13.7</v>
      </c>
      <c r="S27" s="87">
        <v>78</v>
      </c>
      <c r="T27" s="89">
        <f t="shared" si="1"/>
        <v>39</v>
      </c>
      <c r="U27" s="87">
        <v>358</v>
      </c>
      <c r="V27" s="159">
        <f t="shared" si="2"/>
        <v>2792.3999999999996</v>
      </c>
      <c r="W27" s="87">
        <v>13</v>
      </c>
      <c r="X27" s="87" t="s">
        <v>63</v>
      </c>
      <c r="Y27" s="87" t="s">
        <v>45</v>
      </c>
      <c r="Z27" s="87" t="s">
        <v>46</v>
      </c>
      <c r="AA27" s="87" t="s">
        <v>161</v>
      </c>
      <c r="AB27" s="157" t="s">
        <v>338</v>
      </c>
      <c r="AC27" s="106"/>
      <c r="AD27" s="106"/>
      <c r="AE27" s="100"/>
      <c r="AP27" s="99" t="s">
        <v>146</v>
      </c>
      <c r="AR27" s="95" t="s">
        <v>147</v>
      </c>
    </row>
    <row r="28" spans="1:48" s="87" customFormat="1" ht="13.5" customHeight="1">
      <c r="A28" s="157" t="s">
        <v>88</v>
      </c>
      <c r="B28" s="157" t="s">
        <v>181</v>
      </c>
      <c r="C28" s="157">
        <v>2020</v>
      </c>
      <c r="D28" s="158" t="s">
        <v>429</v>
      </c>
      <c r="E28" s="157" t="s">
        <v>363</v>
      </c>
      <c r="F28" s="157" t="s">
        <v>346</v>
      </c>
      <c r="G28" s="157" t="s">
        <v>39</v>
      </c>
      <c r="H28" s="157" t="s">
        <v>51</v>
      </c>
      <c r="I28" s="87" t="s">
        <v>41</v>
      </c>
      <c r="J28" s="87" t="s">
        <v>121</v>
      </c>
      <c r="K28" s="87" t="s">
        <v>62</v>
      </c>
      <c r="L28" s="87">
        <v>3</v>
      </c>
      <c r="N28" s="87">
        <v>5</v>
      </c>
      <c r="O28" s="87">
        <v>0.75</v>
      </c>
      <c r="P28" s="106">
        <v>0.95</v>
      </c>
      <c r="Q28" s="88">
        <f t="shared" si="0"/>
        <v>0.85</v>
      </c>
      <c r="R28" s="87">
        <v>13.5</v>
      </c>
      <c r="S28" s="87">
        <v>81</v>
      </c>
      <c r="T28" s="89">
        <f t="shared" si="1"/>
        <v>39</v>
      </c>
      <c r="U28" s="87">
        <v>358</v>
      </c>
      <c r="V28" s="159">
        <f t="shared" si="2"/>
        <v>2792.3999999999996</v>
      </c>
      <c r="W28" s="87">
        <v>13</v>
      </c>
      <c r="X28" s="87" t="s">
        <v>63</v>
      </c>
      <c r="Y28" s="87" t="s">
        <v>45</v>
      </c>
      <c r="Z28" s="87" t="s">
        <v>46</v>
      </c>
      <c r="AA28" s="87" t="s">
        <v>161</v>
      </c>
      <c r="AB28" s="157" t="s">
        <v>338</v>
      </c>
      <c r="AC28" s="106"/>
      <c r="AD28" s="106"/>
      <c r="AP28" s="99" t="s">
        <v>148</v>
      </c>
      <c r="AR28" s="95" t="s">
        <v>149</v>
      </c>
    </row>
    <row r="29" spans="1:48" s="87" customFormat="1" ht="13.5" customHeight="1">
      <c r="A29" s="157" t="s">
        <v>88</v>
      </c>
      <c r="B29" s="157" t="s">
        <v>181</v>
      </c>
      <c r="C29" s="157">
        <v>2020</v>
      </c>
      <c r="D29" s="158" t="s">
        <v>429</v>
      </c>
      <c r="E29" s="157" t="s">
        <v>347</v>
      </c>
      <c r="F29" s="157" t="s">
        <v>348</v>
      </c>
      <c r="G29" s="157" t="s">
        <v>39</v>
      </c>
      <c r="H29" s="157" t="s">
        <v>40</v>
      </c>
      <c r="I29" s="87" t="s">
        <v>41</v>
      </c>
      <c r="J29" s="87" t="s">
        <v>42</v>
      </c>
      <c r="K29" s="87" t="s">
        <v>43</v>
      </c>
      <c r="L29" s="87">
        <v>1</v>
      </c>
      <c r="N29" s="87">
        <v>1</v>
      </c>
      <c r="O29" s="87">
        <v>0.2</v>
      </c>
      <c r="P29" s="87">
        <v>0.55000000000000004</v>
      </c>
      <c r="Q29" s="88">
        <f t="shared" si="0"/>
        <v>0.375</v>
      </c>
      <c r="R29" s="87">
        <v>15</v>
      </c>
      <c r="S29" s="87">
        <v>122.5</v>
      </c>
      <c r="T29" s="89">
        <f t="shared" si="1"/>
        <v>27</v>
      </c>
      <c r="U29" s="87">
        <v>98</v>
      </c>
      <c r="V29" s="159">
        <f t="shared" si="2"/>
        <v>2646</v>
      </c>
      <c r="W29" s="87">
        <v>2</v>
      </c>
      <c r="X29" s="87" t="s">
        <v>44</v>
      </c>
      <c r="Y29" s="87" t="s">
        <v>45</v>
      </c>
      <c r="Z29" s="87" t="s">
        <v>161</v>
      </c>
      <c r="AA29" s="87" t="s">
        <v>54</v>
      </c>
      <c r="AB29" s="157" t="s">
        <v>338</v>
      </c>
      <c r="AC29" s="106"/>
      <c r="AP29" s="99" t="s">
        <v>150</v>
      </c>
      <c r="AR29" s="100" t="s">
        <v>368</v>
      </c>
    </row>
    <row r="30" spans="1:48" s="87" customFormat="1" ht="13.5" customHeight="1">
      <c r="A30" s="157" t="s">
        <v>88</v>
      </c>
      <c r="B30" s="157" t="s">
        <v>181</v>
      </c>
      <c r="C30" s="157">
        <v>2020</v>
      </c>
      <c r="D30" s="158" t="s">
        <v>429</v>
      </c>
      <c r="E30" s="157" t="s">
        <v>347</v>
      </c>
      <c r="F30" s="157" t="s">
        <v>348</v>
      </c>
      <c r="G30" s="157" t="s">
        <v>39</v>
      </c>
      <c r="H30" s="157" t="s">
        <v>40</v>
      </c>
      <c r="I30" s="87" t="s">
        <v>41</v>
      </c>
      <c r="J30" s="87" t="s">
        <v>42</v>
      </c>
      <c r="K30" s="87" t="s">
        <v>43</v>
      </c>
      <c r="L30" s="87">
        <v>2</v>
      </c>
      <c r="N30" s="87">
        <v>1</v>
      </c>
      <c r="O30" s="87">
        <v>0.5</v>
      </c>
      <c r="P30" s="106">
        <v>0.5</v>
      </c>
      <c r="Q30" s="88">
        <f t="shared" si="0"/>
        <v>0.5</v>
      </c>
      <c r="R30" s="87">
        <v>15.2</v>
      </c>
      <c r="S30" s="87">
        <v>121.5</v>
      </c>
      <c r="T30" s="89">
        <f t="shared" si="1"/>
        <v>27</v>
      </c>
      <c r="U30" s="87">
        <v>98</v>
      </c>
      <c r="V30" s="159">
        <f t="shared" si="2"/>
        <v>2646</v>
      </c>
      <c r="W30" s="87">
        <v>2</v>
      </c>
      <c r="X30" s="87" t="s">
        <v>44</v>
      </c>
      <c r="Y30" s="87" t="s">
        <v>45</v>
      </c>
      <c r="Z30" s="87" t="s">
        <v>161</v>
      </c>
      <c r="AA30" s="87" t="s">
        <v>54</v>
      </c>
      <c r="AB30" s="157" t="s">
        <v>338</v>
      </c>
      <c r="AC30" s="106"/>
    </row>
    <row r="31" spans="1:48" s="87" customFormat="1" ht="13.5" customHeight="1">
      <c r="A31" s="157" t="s">
        <v>88</v>
      </c>
      <c r="B31" s="157" t="s">
        <v>181</v>
      </c>
      <c r="C31" s="157">
        <v>2020</v>
      </c>
      <c r="D31" s="158" t="s">
        <v>429</v>
      </c>
      <c r="E31" s="157" t="s">
        <v>347</v>
      </c>
      <c r="F31" s="157" t="s">
        <v>348</v>
      </c>
      <c r="G31" s="157" t="s">
        <v>39</v>
      </c>
      <c r="H31" s="157" t="s">
        <v>40</v>
      </c>
      <c r="I31" s="87" t="s">
        <v>41</v>
      </c>
      <c r="J31" s="87" t="s">
        <v>42</v>
      </c>
      <c r="K31" s="87" t="s">
        <v>43</v>
      </c>
      <c r="L31" s="87">
        <v>3</v>
      </c>
      <c r="N31" s="87">
        <v>1</v>
      </c>
      <c r="O31" s="87">
        <v>0.2</v>
      </c>
      <c r="P31" s="87">
        <v>0.2</v>
      </c>
      <c r="Q31" s="88">
        <f t="shared" si="0"/>
        <v>0.2</v>
      </c>
      <c r="R31" s="87">
        <v>16.3</v>
      </c>
      <c r="S31" s="87">
        <v>115</v>
      </c>
      <c r="T31" s="89">
        <f t="shared" si="1"/>
        <v>30</v>
      </c>
      <c r="U31" s="87">
        <v>98</v>
      </c>
      <c r="V31" s="159">
        <f t="shared" si="2"/>
        <v>2940</v>
      </c>
      <c r="W31" s="87">
        <v>2</v>
      </c>
      <c r="X31" s="87" t="s">
        <v>44</v>
      </c>
      <c r="Y31" s="87" t="s">
        <v>45</v>
      </c>
      <c r="Z31" s="87" t="s">
        <v>161</v>
      </c>
      <c r="AA31" s="87" t="s">
        <v>54</v>
      </c>
      <c r="AB31" s="157" t="s">
        <v>338</v>
      </c>
      <c r="AC31" s="106"/>
    </row>
    <row r="32" spans="1:48" s="87" customFormat="1" ht="13.5" customHeight="1">
      <c r="A32" s="157" t="s">
        <v>88</v>
      </c>
      <c r="B32" s="157" t="s">
        <v>181</v>
      </c>
      <c r="C32" s="157">
        <v>2020</v>
      </c>
      <c r="D32" s="158" t="s">
        <v>429</v>
      </c>
      <c r="E32" s="157" t="s">
        <v>307</v>
      </c>
      <c r="F32" s="157" t="s">
        <v>348</v>
      </c>
      <c r="G32" s="157" t="s">
        <v>39</v>
      </c>
      <c r="H32" s="157" t="s">
        <v>40</v>
      </c>
      <c r="I32" s="87" t="s">
        <v>41</v>
      </c>
      <c r="J32" s="87" t="s">
        <v>42</v>
      </c>
      <c r="K32" s="87" t="s">
        <v>43</v>
      </c>
      <c r="L32" s="87">
        <v>1</v>
      </c>
      <c r="N32" s="87">
        <v>1</v>
      </c>
      <c r="O32" s="87">
        <v>0.75</v>
      </c>
      <c r="P32" s="87">
        <v>0.65</v>
      </c>
      <c r="Q32" s="88">
        <f t="shared" si="0"/>
        <v>0.7</v>
      </c>
      <c r="R32" s="87">
        <v>14.1</v>
      </c>
      <c r="S32" s="87">
        <v>112</v>
      </c>
      <c r="T32" s="89">
        <f t="shared" si="1"/>
        <v>33</v>
      </c>
      <c r="U32" s="87">
        <v>108</v>
      </c>
      <c r="V32" s="159">
        <f t="shared" si="2"/>
        <v>3564</v>
      </c>
      <c r="W32" s="87">
        <v>2</v>
      </c>
      <c r="X32" s="87" t="s">
        <v>63</v>
      </c>
      <c r="Y32" s="87" t="s">
        <v>46</v>
      </c>
      <c r="Z32" s="87" t="s">
        <v>45</v>
      </c>
      <c r="AA32" s="87" t="s">
        <v>161</v>
      </c>
      <c r="AB32" s="157" t="s">
        <v>338</v>
      </c>
      <c r="AC32" s="106"/>
    </row>
    <row r="33" spans="1:29" s="87" customFormat="1" ht="13.5" customHeight="1">
      <c r="A33" s="157" t="s">
        <v>88</v>
      </c>
      <c r="B33" s="157" t="s">
        <v>181</v>
      </c>
      <c r="C33" s="157">
        <v>2020</v>
      </c>
      <c r="D33" s="158" t="s">
        <v>429</v>
      </c>
      <c r="E33" s="157" t="s">
        <v>307</v>
      </c>
      <c r="F33" s="157" t="s">
        <v>348</v>
      </c>
      <c r="G33" s="157" t="s">
        <v>39</v>
      </c>
      <c r="H33" s="157" t="s">
        <v>40</v>
      </c>
      <c r="I33" s="87" t="s">
        <v>41</v>
      </c>
      <c r="J33" s="87" t="s">
        <v>42</v>
      </c>
      <c r="K33" s="87" t="s">
        <v>43</v>
      </c>
      <c r="L33" s="87">
        <v>2</v>
      </c>
      <c r="N33" s="87">
        <v>1</v>
      </c>
      <c r="O33" s="87">
        <v>0.7</v>
      </c>
      <c r="P33" s="87">
        <v>0.65</v>
      </c>
      <c r="Q33" s="88">
        <f t="shared" si="0"/>
        <v>0.67500000000000004</v>
      </c>
      <c r="R33" s="87">
        <v>14.3</v>
      </c>
      <c r="S33" s="87">
        <v>116</v>
      </c>
      <c r="T33" s="89">
        <f t="shared" si="1"/>
        <v>30</v>
      </c>
      <c r="U33" s="87">
        <v>108</v>
      </c>
      <c r="V33" s="159">
        <f t="shared" si="2"/>
        <v>3240</v>
      </c>
      <c r="W33" s="87">
        <v>2</v>
      </c>
      <c r="X33" s="87" t="s">
        <v>63</v>
      </c>
      <c r="Y33" s="87" t="s">
        <v>46</v>
      </c>
      <c r="Z33" s="87" t="s">
        <v>45</v>
      </c>
      <c r="AA33" s="87" t="s">
        <v>161</v>
      </c>
      <c r="AB33" s="157" t="s">
        <v>338</v>
      </c>
      <c r="AC33" s="106"/>
    </row>
    <row r="34" spans="1:29" s="87" customFormat="1" ht="13.5" customHeight="1">
      <c r="A34" s="157" t="s">
        <v>88</v>
      </c>
      <c r="B34" s="157" t="s">
        <v>181</v>
      </c>
      <c r="C34" s="157">
        <v>2020</v>
      </c>
      <c r="D34" s="158" t="s">
        <v>429</v>
      </c>
      <c r="E34" s="157" t="s">
        <v>307</v>
      </c>
      <c r="F34" s="157" t="s">
        <v>348</v>
      </c>
      <c r="G34" s="157" t="s">
        <v>39</v>
      </c>
      <c r="H34" s="157" t="s">
        <v>40</v>
      </c>
      <c r="I34" s="87" t="s">
        <v>41</v>
      </c>
      <c r="J34" s="87" t="s">
        <v>42</v>
      </c>
      <c r="K34" s="87" t="s">
        <v>43</v>
      </c>
      <c r="L34" s="87">
        <v>3</v>
      </c>
      <c r="N34" s="87">
        <v>1</v>
      </c>
      <c r="O34" s="87">
        <v>0.75</v>
      </c>
      <c r="P34" s="87">
        <v>0.6</v>
      </c>
      <c r="Q34" s="88">
        <f t="shared" si="0"/>
        <v>0.67500000000000004</v>
      </c>
      <c r="R34" s="87">
        <v>13.9</v>
      </c>
      <c r="S34" s="87">
        <v>121.5</v>
      </c>
      <c r="T34" s="89">
        <f t="shared" si="1"/>
        <v>27</v>
      </c>
      <c r="U34" s="87">
        <v>108</v>
      </c>
      <c r="V34" s="159">
        <f t="shared" si="2"/>
        <v>2916</v>
      </c>
      <c r="W34" s="87">
        <v>2</v>
      </c>
      <c r="X34" s="87" t="s">
        <v>63</v>
      </c>
      <c r="Y34" s="87" t="s">
        <v>46</v>
      </c>
      <c r="Z34" s="87" t="s">
        <v>45</v>
      </c>
      <c r="AA34" s="87" t="s">
        <v>161</v>
      </c>
      <c r="AB34" s="157" t="s">
        <v>338</v>
      </c>
      <c r="AC34" s="106"/>
    </row>
    <row r="35" spans="1:29" s="87" customFormat="1" ht="13.5" customHeight="1">
      <c r="A35" s="157" t="s">
        <v>88</v>
      </c>
      <c r="B35" s="157" t="s">
        <v>181</v>
      </c>
      <c r="C35" s="157">
        <v>2020</v>
      </c>
      <c r="D35" s="158" t="s">
        <v>429</v>
      </c>
      <c r="E35" s="157" t="s">
        <v>307</v>
      </c>
      <c r="F35" s="157" t="s">
        <v>348</v>
      </c>
      <c r="G35" s="157" t="s">
        <v>39</v>
      </c>
      <c r="H35" s="157" t="s">
        <v>201</v>
      </c>
      <c r="I35" s="87" t="s">
        <v>41</v>
      </c>
      <c r="J35" s="87" t="s">
        <v>42</v>
      </c>
      <c r="K35" s="87" t="s">
        <v>78</v>
      </c>
      <c r="L35" s="87">
        <v>1</v>
      </c>
      <c r="N35" s="87">
        <v>4</v>
      </c>
      <c r="O35" s="87">
        <v>0.5</v>
      </c>
      <c r="P35" s="87">
        <v>0.55000000000000004</v>
      </c>
      <c r="Q35" s="88">
        <f t="shared" si="0"/>
        <v>0.52500000000000002</v>
      </c>
      <c r="R35" s="87">
        <v>14.3</v>
      </c>
      <c r="S35" s="87">
        <v>87</v>
      </c>
      <c r="T35" s="89">
        <f t="shared" si="1"/>
        <v>36</v>
      </c>
      <c r="U35" s="87">
        <v>498</v>
      </c>
      <c r="V35" s="159">
        <f t="shared" si="2"/>
        <v>4482</v>
      </c>
      <c r="W35" s="87">
        <v>2</v>
      </c>
      <c r="X35" s="87" t="s">
        <v>63</v>
      </c>
      <c r="Y35" s="87" t="s">
        <v>46</v>
      </c>
      <c r="Z35" s="87" t="s">
        <v>45</v>
      </c>
      <c r="AA35" s="87" t="s">
        <v>161</v>
      </c>
      <c r="AB35" s="157" t="s">
        <v>338</v>
      </c>
      <c r="AC35" s="106"/>
    </row>
    <row r="36" spans="1:29" s="87" customFormat="1" ht="13.5" customHeight="1">
      <c r="A36" s="157" t="s">
        <v>88</v>
      </c>
      <c r="B36" s="157" t="s">
        <v>181</v>
      </c>
      <c r="C36" s="157">
        <v>2020</v>
      </c>
      <c r="D36" s="158" t="s">
        <v>429</v>
      </c>
      <c r="E36" s="157" t="s">
        <v>307</v>
      </c>
      <c r="F36" s="157" t="s">
        <v>348</v>
      </c>
      <c r="G36" s="157" t="s">
        <v>39</v>
      </c>
      <c r="H36" s="157" t="s">
        <v>201</v>
      </c>
      <c r="I36" s="87" t="s">
        <v>41</v>
      </c>
      <c r="J36" s="87" t="s">
        <v>42</v>
      </c>
      <c r="K36" s="87" t="s">
        <v>78</v>
      </c>
      <c r="L36" s="87">
        <v>2</v>
      </c>
      <c r="N36" s="87">
        <v>4</v>
      </c>
      <c r="O36" s="87">
        <v>0.55000000000000004</v>
      </c>
      <c r="P36" s="87">
        <v>0.5</v>
      </c>
      <c r="Q36" s="88">
        <f t="shared" si="0"/>
        <v>0.52500000000000002</v>
      </c>
      <c r="R36" s="87">
        <v>15.2</v>
      </c>
      <c r="S36" s="87">
        <v>90</v>
      </c>
      <c r="T36" s="89">
        <f t="shared" si="1"/>
        <v>36</v>
      </c>
      <c r="U36" s="87">
        <v>498</v>
      </c>
      <c r="V36" s="159">
        <f t="shared" si="2"/>
        <v>4482</v>
      </c>
      <c r="W36" s="87">
        <v>2</v>
      </c>
      <c r="X36" s="87" t="s">
        <v>63</v>
      </c>
      <c r="Y36" s="87" t="s">
        <v>46</v>
      </c>
      <c r="Z36" s="87" t="s">
        <v>45</v>
      </c>
      <c r="AA36" s="87" t="s">
        <v>161</v>
      </c>
      <c r="AB36" s="157" t="s">
        <v>338</v>
      </c>
      <c r="AC36" s="106"/>
    </row>
    <row r="37" spans="1:29" s="87" customFormat="1" ht="13.5" customHeight="1">
      <c r="A37" s="157" t="s">
        <v>88</v>
      </c>
      <c r="B37" s="157" t="s">
        <v>181</v>
      </c>
      <c r="C37" s="157">
        <v>2020</v>
      </c>
      <c r="D37" s="158" t="s">
        <v>429</v>
      </c>
      <c r="E37" s="157" t="s">
        <v>307</v>
      </c>
      <c r="F37" s="157" t="s">
        <v>348</v>
      </c>
      <c r="G37" s="157" t="s">
        <v>39</v>
      </c>
      <c r="H37" s="157" t="s">
        <v>201</v>
      </c>
      <c r="I37" s="87" t="s">
        <v>41</v>
      </c>
      <c r="J37" s="87" t="s">
        <v>42</v>
      </c>
      <c r="K37" s="87" t="s">
        <v>78</v>
      </c>
      <c r="L37" s="87">
        <v>3</v>
      </c>
      <c r="N37" s="87">
        <v>4</v>
      </c>
      <c r="O37" s="87">
        <v>0.5</v>
      </c>
      <c r="P37" s="87">
        <v>0.55000000000000004</v>
      </c>
      <c r="Q37" s="88">
        <f t="shared" si="0"/>
        <v>0.52500000000000002</v>
      </c>
      <c r="R37" s="87">
        <v>14.9</v>
      </c>
      <c r="S37" s="87">
        <v>89.5</v>
      </c>
      <c r="T37" s="89">
        <f t="shared" si="1"/>
        <v>36</v>
      </c>
      <c r="U37" s="87">
        <v>498</v>
      </c>
      <c r="V37" s="159">
        <f t="shared" si="2"/>
        <v>4482</v>
      </c>
      <c r="W37" s="87">
        <v>2</v>
      </c>
      <c r="X37" s="87" t="s">
        <v>63</v>
      </c>
      <c r="Y37" s="87" t="s">
        <v>46</v>
      </c>
      <c r="Z37" s="87" t="s">
        <v>45</v>
      </c>
      <c r="AA37" s="87" t="s">
        <v>161</v>
      </c>
      <c r="AB37" s="157" t="s">
        <v>338</v>
      </c>
      <c r="AC37" s="106"/>
    </row>
    <row r="38" spans="1:29" s="87" customFormat="1" ht="13.5" customHeight="1">
      <c r="A38" s="157" t="s">
        <v>88</v>
      </c>
      <c r="B38" s="157" t="s">
        <v>181</v>
      </c>
      <c r="C38" s="157">
        <v>2020</v>
      </c>
      <c r="D38" s="158" t="s">
        <v>429</v>
      </c>
      <c r="E38" s="157" t="s">
        <v>369</v>
      </c>
      <c r="F38" s="157" t="s">
        <v>351</v>
      </c>
      <c r="G38" s="157" t="s">
        <v>39</v>
      </c>
      <c r="H38" s="157" t="s">
        <v>40</v>
      </c>
      <c r="I38" s="87" t="s">
        <v>41</v>
      </c>
      <c r="J38" s="87" t="s">
        <v>42</v>
      </c>
      <c r="K38" s="87" t="s">
        <v>43</v>
      </c>
      <c r="L38" s="87">
        <v>1</v>
      </c>
      <c r="N38" s="87">
        <v>1</v>
      </c>
      <c r="O38" s="87">
        <v>0.8</v>
      </c>
      <c r="P38" s="87">
        <v>0.5</v>
      </c>
      <c r="Q38" s="88">
        <f t="shared" si="0"/>
        <v>0.65</v>
      </c>
      <c r="R38" s="87">
        <v>14.8</v>
      </c>
      <c r="S38" s="87">
        <v>114.5</v>
      </c>
      <c r="T38" s="89">
        <f t="shared" si="1"/>
        <v>30</v>
      </c>
      <c r="U38" s="87">
        <v>98</v>
      </c>
      <c r="V38" s="159">
        <f t="shared" si="2"/>
        <v>2940</v>
      </c>
      <c r="W38" s="87">
        <v>3</v>
      </c>
      <c r="X38" s="87" t="s">
        <v>63</v>
      </c>
      <c r="Y38" s="87" t="s">
        <v>46</v>
      </c>
      <c r="Z38" s="87" t="s">
        <v>45</v>
      </c>
      <c r="AA38" s="87" t="s">
        <v>161</v>
      </c>
      <c r="AB38" s="157" t="s">
        <v>338</v>
      </c>
      <c r="AC38" s="106"/>
    </row>
    <row r="39" spans="1:29" s="87" customFormat="1" ht="13.5" customHeight="1">
      <c r="A39" s="157" t="s">
        <v>88</v>
      </c>
      <c r="B39" s="157" t="s">
        <v>181</v>
      </c>
      <c r="C39" s="157">
        <v>2020</v>
      </c>
      <c r="D39" s="158" t="s">
        <v>429</v>
      </c>
      <c r="E39" s="157" t="s">
        <v>369</v>
      </c>
      <c r="F39" s="157" t="s">
        <v>351</v>
      </c>
      <c r="G39" s="157" t="s">
        <v>39</v>
      </c>
      <c r="H39" s="157" t="s">
        <v>40</v>
      </c>
      <c r="I39" s="87" t="s">
        <v>41</v>
      </c>
      <c r="J39" s="87" t="s">
        <v>42</v>
      </c>
      <c r="K39" s="87" t="s">
        <v>43</v>
      </c>
      <c r="L39" s="87">
        <v>2</v>
      </c>
      <c r="N39" s="87">
        <v>1</v>
      </c>
      <c r="O39" s="87">
        <v>0.6</v>
      </c>
      <c r="P39" s="87">
        <v>0.6</v>
      </c>
      <c r="Q39" s="88">
        <f t="shared" si="0"/>
        <v>0.6</v>
      </c>
      <c r="R39" s="87">
        <v>14.4</v>
      </c>
      <c r="S39" s="87">
        <v>108.5</v>
      </c>
      <c r="T39" s="89">
        <f t="shared" si="1"/>
        <v>33</v>
      </c>
      <c r="U39" s="87">
        <v>98</v>
      </c>
      <c r="V39" s="159">
        <f t="shared" si="2"/>
        <v>3234</v>
      </c>
      <c r="W39" s="87">
        <v>3</v>
      </c>
      <c r="X39" s="87" t="s">
        <v>63</v>
      </c>
      <c r="Y39" s="87" t="s">
        <v>46</v>
      </c>
      <c r="Z39" s="87" t="s">
        <v>45</v>
      </c>
      <c r="AA39" s="87" t="s">
        <v>161</v>
      </c>
      <c r="AB39" s="157" t="s">
        <v>338</v>
      </c>
      <c r="AC39" s="106"/>
    </row>
    <row r="40" spans="1:29" s="87" customFormat="1" ht="13.5" customHeight="1">
      <c r="A40" s="157" t="s">
        <v>88</v>
      </c>
      <c r="B40" s="157" t="s">
        <v>181</v>
      </c>
      <c r="C40" s="157">
        <v>2020</v>
      </c>
      <c r="D40" s="158" t="s">
        <v>429</v>
      </c>
      <c r="E40" s="157" t="s">
        <v>369</v>
      </c>
      <c r="F40" s="157" t="s">
        <v>351</v>
      </c>
      <c r="G40" s="157" t="s">
        <v>39</v>
      </c>
      <c r="H40" s="157" t="s">
        <v>40</v>
      </c>
      <c r="I40" s="87" t="s">
        <v>41</v>
      </c>
      <c r="J40" s="87" t="s">
        <v>42</v>
      </c>
      <c r="K40" s="87" t="s">
        <v>43</v>
      </c>
      <c r="L40" s="87">
        <v>3</v>
      </c>
      <c r="N40" s="87">
        <v>1</v>
      </c>
      <c r="O40" s="87">
        <v>0.75</v>
      </c>
      <c r="P40" s="87">
        <v>0.65</v>
      </c>
      <c r="Q40" s="88">
        <f t="shared" si="0"/>
        <v>0.7</v>
      </c>
      <c r="R40" s="87">
        <v>14.9</v>
      </c>
      <c r="S40" s="87">
        <v>108.5</v>
      </c>
      <c r="T40" s="89">
        <f t="shared" si="1"/>
        <v>33</v>
      </c>
      <c r="U40" s="87">
        <v>98</v>
      </c>
      <c r="V40" s="159">
        <f t="shared" si="2"/>
        <v>3234</v>
      </c>
      <c r="W40" s="87">
        <v>3</v>
      </c>
      <c r="X40" s="87" t="s">
        <v>63</v>
      </c>
      <c r="Y40" s="87" t="s">
        <v>46</v>
      </c>
      <c r="Z40" s="87" t="s">
        <v>45</v>
      </c>
      <c r="AA40" s="87" t="s">
        <v>161</v>
      </c>
      <c r="AB40" s="157" t="s">
        <v>338</v>
      </c>
      <c r="AC40" s="106"/>
    </row>
    <row r="41" spans="1:29" s="87" customFormat="1" ht="13.5" customHeight="1">
      <c r="A41" s="157" t="s">
        <v>88</v>
      </c>
      <c r="B41" s="157" t="s">
        <v>181</v>
      </c>
      <c r="C41" s="157">
        <v>2020</v>
      </c>
      <c r="D41" s="158" t="s">
        <v>429</v>
      </c>
      <c r="E41" s="157" t="s">
        <v>370</v>
      </c>
      <c r="F41" s="157" t="s">
        <v>353</v>
      </c>
      <c r="G41" s="157" t="s">
        <v>39</v>
      </c>
      <c r="H41" s="157" t="s">
        <v>40</v>
      </c>
      <c r="I41" s="87" t="s">
        <v>41</v>
      </c>
      <c r="J41" s="87" t="s">
        <v>42</v>
      </c>
      <c r="K41" s="87" t="s">
        <v>43</v>
      </c>
      <c r="L41" s="87">
        <v>1</v>
      </c>
      <c r="N41" s="87">
        <v>1</v>
      </c>
      <c r="O41" s="87">
        <v>0.7</v>
      </c>
      <c r="P41" s="87">
        <v>0.7</v>
      </c>
      <c r="Q41" s="88">
        <f t="shared" si="0"/>
        <v>0.7</v>
      </c>
      <c r="R41" s="87">
        <v>14.9</v>
      </c>
      <c r="S41" s="87">
        <v>108.5</v>
      </c>
      <c r="T41" s="89">
        <f t="shared" si="1"/>
        <v>33</v>
      </c>
      <c r="U41" s="87">
        <v>98</v>
      </c>
      <c r="V41" s="159">
        <f t="shared" si="2"/>
        <v>3234</v>
      </c>
      <c r="W41" s="87">
        <v>8</v>
      </c>
      <c r="X41" s="87" t="s">
        <v>44</v>
      </c>
      <c r="Y41" s="87" t="s">
        <v>46</v>
      </c>
      <c r="Z41" s="87" t="s">
        <v>54</v>
      </c>
      <c r="AA41" s="87" t="s">
        <v>45</v>
      </c>
      <c r="AB41" s="157" t="s">
        <v>338</v>
      </c>
      <c r="AC41" s="106"/>
    </row>
    <row r="42" spans="1:29" s="87" customFormat="1" ht="13.5" customHeight="1">
      <c r="A42" s="157" t="s">
        <v>88</v>
      </c>
      <c r="B42" s="157" t="s">
        <v>181</v>
      </c>
      <c r="C42" s="157">
        <v>2020</v>
      </c>
      <c r="D42" s="158" t="s">
        <v>429</v>
      </c>
      <c r="E42" s="157" t="s">
        <v>370</v>
      </c>
      <c r="F42" s="157" t="s">
        <v>353</v>
      </c>
      <c r="G42" s="157" t="s">
        <v>39</v>
      </c>
      <c r="H42" s="157" t="s">
        <v>40</v>
      </c>
      <c r="I42" s="87" t="s">
        <v>41</v>
      </c>
      <c r="J42" s="87" t="s">
        <v>42</v>
      </c>
      <c r="K42" s="87" t="s">
        <v>43</v>
      </c>
      <c r="L42" s="87">
        <v>2</v>
      </c>
      <c r="N42" s="87">
        <v>1</v>
      </c>
      <c r="O42" s="87">
        <v>0.8</v>
      </c>
      <c r="P42" s="87">
        <v>1.1000000000000001</v>
      </c>
      <c r="Q42" s="88">
        <f t="shared" si="0"/>
        <v>0.95000000000000007</v>
      </c>
      <c r="R42" s="87">
        <v>13.7</v>
      </c>
      <c r="S42" s="87">
        <v>113.5</v>
      </c>
      <c r="T42" s="89">
        <f t="shared" si="1"/>
        <v>30</v>
      </c>
      <c r="U42" s="87">
        <v>98</v>
      </c>
      <c r="V42" s="159">
        <f t="shared" si="2"/>
        <v>2940</v>
      </c>
      <c r="W42" s="87">
        <v>8</v>
      </c>
      <c r="X42" s="87" t="s">
        <v>44</v>
      </c>
      <c r="Y42" s="87" t="s">
        <v>46</v>
      </c>
      <c r="Z42" s="87" t="s">
        <v>54</v>
      </c>
      <c r="AA42" s="87" t="s">
        <v>45</v>
      </c>
      <c r="AB42" s="157" t="s">
        <v>338</v>
      </c>
      <c r="AC42" s="106"/>
    </row>
    <row r="43" spans="1:29" s="87" customFormat="1" ht="13.5" customHeight="1">
      <c r="A43" s="157" t="s">
        <v>88</v>
      </c>
      <c r="B43" s="157" t="s">
        <v>181</v>
      </c>
      <c r="C43" s="157">
        <v>2020</v>
      </c>
      <c r="D43" s="158" t="s">
        <v>429</v>
      </c>
      <c r="E43" s="157" t="s">
        <v>370</v>
      </c>
      <c r="F43" s="157" t="s">
        <v>353</v>
      </c>
      <c r="G43" s="157" t="s">
        <v>39</v>
      </c>
      <c r="H43" s="157" t="s">
        <v>40</v>
      </c>
      <c r="I43" s="87" t="s">
        <v>41</v>
      </c>
      <c r="J43" s="87" t="s">
        <v>42</v>
      </c>
      <c r="K43" s="87" t="s">
        <v>43</v>
      </c>
      <c r="L43" s="87">
        <v>3</v>
      </c>
      <c r="N43" s="87">
        <v>1</v>
      </c>
      <c r="O43" s="87">
        <v>0.75</v>
      </c>
      <c r="P43" s="87">
        <v>0.75</v>
      </c>
      <c r="Q43" s="88">
        <f t="shared" si="0"/>
        <v>0.75</v>
      </c>
      <c r="R43" s="87">
        <v>13.3</v>
      </c>
      <c r="S43" s="87">
        <v>112.5</v>
      </c>
      <c r="T43" s="89">
        <f t="shared" si="1"/>
        <v>33</v>
      </c>
      <c r="U43" s="87">
        <v>98</v>
      </c>
      <c r="V43" s="159">
        <f t="shared" si="2"/>
        <v>3234</v>
      </c>
      <c r="W43" s="87">
        <v>8</v>
      </c>
      <c r="X43" s="87" t="s">
        <v>44</v>
      </c>
      <c r="Y43" s="87" t="s">
        <v>46</v>
      </c>
      <c r="Z43" s="87" t="s">
        <v>54</v>
      </c>
      <c r="AA43" s="87" t="s">
        <v>45</v>
      </c>
      <c r="AB43" s="157" t="s">
        <v>338</v>
      </c>
      <c r="AC43" s="106"/>
    </row>
    <row r="44" spans="1:29" s="87" customFormat="1" ht="13.5" customHeight="1">
      <c r="A44" s="157" t="s">
        <v>88</v>
      </c>
      <c r="B44" s="157" t="s">
        <v>181</v>
      </c>
      <c r="C44" s="157">
        <v>2020</v>
      </c>
      <c r="D44" s="158" t="s">
        <v>429</v>
      </c>
      <c r="E44" s="157" t="s">
        <v>370</v>
      </c>
      <c r="F44" s="157" t="s">
        <v>353</v>
      </c>
      <c r="G44" s="157" t="s">
        <v>39</v>
      </c>
      <c r="H44" s="157" t="s">
        <v>40</v>
      </c>
      <c r="I44" s="87" t="s">
        <v>41</v>
      </c>
      <c r="J44" s="87" t="s">
        <v>42</v>
      </c>
      <c r="K44" s="87" t="s">
        <v>43</v>
      </c>
      <c r="L44" s="87">
        <v>1</v>
      </c>
      <c r="N44" s="87">
        <v>5</v>
      </c>
      <c r="O44" s="87">
        <v>0.7</v>
      </c>
      <c r="P44" s="87">
        <v>0.65</v>
      </c>
      <c r="Q44" s="88">
        <f t="shared" si="0"/>
        <v>0.67500000000000004</v>
      </c>
      <c r="R44" s="87">
        <v>13.4</v>
      </c>
      <c r="S44" s="87">
        <v>89.5</v>
      </c>
      <c r="T44" s="89">
        <f t="shared" si="1"/>
        <v>36</v>
      </c>
      <c r="U44" s="87">
        <v>398</v>
      </c>
      <c r="V44" s="159">
        <f t="shared" si="2"/>
        <v>2865.6</v>
      </c>
      <c r="W44" s="87">
        <v>8</v>
      </c>
      <c r="X44" s="87" t="s">
        <v>44</v>
      </c>
      <c r="Y44" s="87" t="s">
        <v>46</v>
      </c>
      <c r="Z44" s="87" t="s">
        <v>54</v>
      </c>
      <c r="AA44" s="87" t="s">
        <v>45</v>
      </c>
      <c r="AB44" s="157" t="s">
        <v>338</v>
      </c>
    </row>
    <row r="45" spans="1:29" s="87" customFormat="1" ht="13.5" customHeight="1">
      <c r="A45" s="157" t="s">
        <v>88</v>
      </c>
      <c r="B45" s="157" t="s">
        <v>181</v>
      </c>
      <c r="C45" s="157">
        <v>2020</v>
      </c>
      <c r="D45" s="158" t="s">
        <v>429</v>
      </c>
      <c r="E45" s="157" t="s">
        <v>370</v>
      </c>
      <c r="F45" s="157" t="s">
        <v>353</v>
      </c>
      <c r="G45" s="157" t="s">
        <v>39</v>
      </c>
      <c r="H45" s="157" t="s">
        <v>40</v>
      </c>
      <c r="I45" s="87" t="s">
        <v>41</v>
      </c>
      <c r="J45" s="87" t="s">
        <v>42</v>
      </c>
      <c r="K45" s="87" t="s">
        <v>43</v>
      </c>
      <c r="L45" s="87">
        <v>2</v>
      </c>
      <c r="N45" s="87">
        <v>5</v>
      </c>
      <c r="O45" s="87">
        <v>0.65</v>
      </c>
      <c r="P45" s="87">
        <v>0.5</v>
      </c>
      <c r="Q45" s="88">
        <f t="shared" si="0"/>
        <v>0.57499999999999996</v>
      </c>
      <c r="R45" s="87">
        <v>14.4</v>
      </c>
      <c r="S45" s="87">
        <v>89.5</v>
      </c>
      <c r="T45" s="89">
        <f t="shared" si="1"/>
        <v>36</v>
      </c>
      <c r="U45" s="87">
        <v>398</v>
      </c>
      <c r="V45" s="159">
        <f t="shared" si="2"/>
        <v>2865.6</v>
      </c>
      <c r="W45" s="87">
        <v>8</v>
      </c>
      <c r="X45" s="87" t="s">
        <v>44</v>
      </c>
      <c r="Y45" s="87" t="s">
        <v>46</v>
      </c>
      <c r="Z45" s="87" t="s">
        <v>54</v>
      </c>
      <c r="AA45" s="87" t="s">
        <v>45</v>
      </c>
      <c r="AB45" s="157" t="s">
        <v>338</v>
      </c>
    </row>
    <row r="46" spans="1:29" s="87" customFormat="1" ht="13.5" customHeight="1">
      <c r="A46" s="157" t="s">
        <v>88</v>
      </c>
      <c r="B46" s="157" t="s">
        <v>181</v>
      </c>
      <c r="C46" s="157">
        <v>2020</v>
      </c>
      <c r="D46" s="158" t="s">
        <v>429</v>
      </c>
      <c r="E46" s="157" t="s">
        <v>370</v>
      </c>
      <c r="F46" s="157" t="s">
        <v>353</v>
      </c>
      <c r="G46" s="157" t="s">
        <v>39</v>
      </c>
      <c r="H46" s="157" t="s">
        <v>40</v>
      </c>
      <c r="I46" s="87" t="s">
        <v>41</v>
      </c>
      <c r="J46" s="87" t="s">
        <v>42</v>
      </c>
      <c r="K46" s="87" t="s">
        <v>43</v>
      </c>
      <c r="L46" s="87">
        <v>3</v>
      </c>
      <c r="N46" s="87">
        <v>5</v>
      </c>
      <c r="O46" s="87">
        <v>0.75</v>
      </c>
      <c r="P46" s="87">
        <v>0.7</v>
      </c>
      <c r="Q46" s="88">
        <f t="shared" si="0"/>
        <v>0.72499999999999998</v>
      </c>
      <c r="R46" s="87">
        <v>13.9</v>
      </c>
      <c r="S46" s="87">
        <v>88.5</v>
      </c>
      <c r="T46" s="89">
        <f t="shared" si="1"/>
        <v>36</v>
      </c>
      <c r="U46" s="87">
        <v>398</v>
      </c>
      <c r="V46" s="159">
        <f t="shared" si="2"/>
        <v>2865.6</v>
      </c>
      <c r="W46" s="87">
        <v>8</v>
      </c>
      <c r="X46" s="87" t="s">
        <v>44</v>
      </c>
      <c r="Y46" s="87" t="s">
        <v>46</v>
      </c>
      <c r="Z46" s="87" t="s">
        <v>54</v>
      </c>
      <c r="AA46" s="87" t="s">
        <v>45</v>
      </c>
      <c r="AB46" s="157" t="s">
        <v>338</v>
      </c>
    </row>
    <row r="47" spans="1:29" s="87" customFormat="1" ht="13.5" customHeight="1">
      <c r="A47" s="157" t="s">
        <v>88</v>
      </c>
      <c r="B47" s="157" t="s">
        <v>181</v>
      </c>
      <c r="C47" s="157">
        <v>2020</v>
      </c>
      <c r="D47" s="158" t="s">
        <v>429</v>
      </c>
      <c r="E47" s="157" t="s">
        <v>370</v>
      </c>
      <c r="F47" s="157" t="s">
        <v>353</v>
      </c>
      <c r="G47" s="157" t="s">
        <v>39</v>
      </c>
      <c r="H47" s="157" t="s">
        <v>40</v>
      </c>
      <c r="I47" s="87" t="s">
        <v>41</v>
      </c>
      <c r="J47" s="87" t="s">
        <v>42</v>
      </c>
      <c r="K47" s="87" t="s">
        <v>43</v>
      </c>
      <c r="L47" s="87">
        <v>1</v>
      </c>
      <c r="N47" s="87">
        <v>8</v>
      </c>
      <c r="O47" s="87">
        <v>0.5</v>
      </c>
      <c r="P47" s="87">
        <v>0.5</v>
      </c>
      <c r="Q47" s="88">
        <f t="shared" si="0"/>
        <v>0.5</v>
      </c>
      <c r="R47" s="87">
        <v>14.2</v>
      </c>
      <c r="S47" s="87">
        <v>82</v>
      </c>
      <c r="T47" s="89">
        <f t="shared" si="1"/>
        <v>39</v>
      </c>
      <c r="U47" s="87">
        <v>598</v>
      </c>
      <c r="V47" s="159">
        <f t="shared" si="2"/>
        <v>2915.25</v>
      </c>
      <c r="W47" s="87">
        <v>8</v>
      </c>
      <c r="X47" s="87" t="s">
        <v>44</v>
      </c>
      <c r="Y47" s="87" t="s">
        <v>46</v>
      </c>
      <c r="Z47" s="87" t="s">
        <v>54</v>
      </c>
      <c r="AA47" s="87" t="s">
        <v>45</v>
      </c>
      <c r="AB47" s="157" t="s">
        <v>338</v>
      </c>
      <c r="AC47" s="106"/>
    </row>
    <row r="48" spans="1:29" s="87" customFormat="1" ht="13.5" customHeight="1">
      <c r="A48" s="157" t="s">
        <v>88</v>
      </c>
      <c r="B48" s="157" t="s">
        <v>181</v>
      </c>
      <c r="C48" s="157">
        <v>2020</v>
      </c>
      <c r="D48" s="158" t="s">
        <v>429</v>
      </c>
      <c r="E48" s="157" t="s">
        <v>370</v>
      </c>
      <c r="F48" s="157" t="s">
        <v>353</v>
      </c>
      <c r="G48" s="157" t="s">
        <v>39</v>
      </c>
      <c r="H48" s="157" t="s">
        <v>40</v>
      </c>
      <c r="I48" s="87" t="s">
        <v>41</v>
      </c>
      <c r="J48" s="87" t="s">
        <v>42</v>
      </c>
      <c r="K48" s="87" t="s">
        <v>43</v>
      </c>
      <c r="L48" s="87">
        <v>2</v>
      </c>
      <c r="N48" s="87">
        <v>8</v>
      </c>
      <c r="O48" s="87">
        <v>0.2</v>
      </c>
      <c r="P48" s="87">
        <v>0.2</v>
      </c>
      <c r="Q48" s="88">
        <f t="shared" si="0"/>
        <v>0.2</v>
      </c>
      <c r="R48" s="87">
        <v>14.3</v>
      </c>
      <c r="S48" s="87">
        <v>89</v>
      </c>
      <c r="T48" s="89">
        <f t="shared" si="1"/>
        <v>36</v>
      </c>
      <c r="U48" s="87">
        <v>598</v>
      </c>
      <c r="V48" s="159">
        <f t="shared" si="2"/>
        <v>2691</v>
      </c>
      <c r="W48" s="87">
        <v>8</v>
      </c>
      <c r="X48" s="87" t="s">
        <v>44</v>
      </c>
      <c r="Y48" s="87" t="s">
        <v>46</v>
      </c>
      <c r="Z48" s="87" t="s">
        <v>54</v>
      </c>
      <c r="AA48" s="87" t="s">
        <v>45</v>
      </c>
      <c r="AB48" s="157" t="s">
        <v>338</v>
      </c>
      <c r="AC48" s="106"/>
    </row>
    <row r="49" spans="1:29" s="87" customFormat="1" ht="13.5" customHeight="1">
      <c r="A49" s="157" t="s">
        <v>88</v>
      </c>
      <c r="B49" s="157" t="s">
        <v>181</v>
      </c>
      <c r="C49" s="157">
        <v>2020</v>
      </c>
      <c r="D49" s="158" t="s">
        <v>429</v>
      </c>
      <c r="E49" s="157" t="s">
        <v>370</v>
      </c>
      <c r="F49" s="157" t="s">
        <v>353</v>
      </c>
      <c r="G49" s="157" t="s">
        <v>39</v>
      </c>
      <c r="H49" s="157" t="s">
        <v>40</v>
      </c>
      <c r="I49" s="87" t="s">
        <v>41</v>
      </c>
      <c r="J49" s="87" t="s">
        <v>42</v>
      </c>
      <c r="K49" s="87" t="s">
        <v>43</v>
      </c>
      <c r="L49" s="87">
        <v>3</v>
      </c>
      <c r="N49" s="87">
        <v>8</v>
      </c>
      <c r="O49" s="87">
        <v>0.5</v>
      </c>
      <c r="P49" s="87">
        <v>0.2</v>
      </c>
      <c r="Q49" s="88">
        <f t="shared" si="0"/>
        <v>0.35</v>
      </c>
      <c r="R49" s="87">
        <v>13.7</v>
      </c>
      <c r="S49" s="87">
        <v>89.5</v>
      </c>
      <c r="T49" s="89">
        <f t="shared" si="1"/>
        <v>36</v>
      </c>
      <c r="U49" s="87">
        <v>598</v>
      </c>
      <c r="V49" s="159">
        <f t="shared" si="2"/>
        <v>2691</v>
      </c>
      <c r="W49" s="87">
        <v>8</v>
      </c>
      <c r="X49" s="87" t="s">
        <v>44</v>
      </c>
      <c r="Y49" s="87" t="s">
        <v>46</v>
      </c>
      <c r="Z49" s="87" t="s">
        <v>54</v>
      </c>
      <c r="AA49" s="87" t="s">
        <v>45</v>
      </c>
      <c r="AB49" s="157" t="s">
        <v>338</v>
      </c>
      <c r="AC49" s="106"/>
    </row>
    <row r="50" spans="1:29" s="87" customFormat="1" ht="13.5" customHeight="1">
      <c r="A50" s="157" t="s">
        <v>88</v>
      </c>
      <c r="B50" s="157" t="s">
        <v>181</v>
      </c>
      <c r="C50" s="157">
        <v>2020</v>
      </c>
      <c r="D50" s="158" t="s">
        <v>429</v>
      </c>
      <c r="E50" s="157" t="s">
        <v>371</v>
      </c>
      <c r="F50" s="157" t="s">
        <v>355</v>
      </c>
      <c r="G50" s="157" t="s">
        <v>39</v>
      </c>
      <c r="H50" s="157" t="s">
        <v>40</v>
      </c>
      <c r="I50" s="87" t="s">
        <v>41</v>
      </c>
      <c r="J50" s="87" t="s">
        <v>42</v>
      </c>
      <c r="K50" s="87" t="s">
        <v>43</v>
      </c>
      <c r="L50" s="87">
        <v>1</v>
      </c>
      <c r="N50" s="87">
        <v>1</v>
      </c>
      <c r="O50" s="87">
        <v>0.75</v>
      </c>
      <c r="P50" s="87">
        <v>0.7</v>
      </c>
      <c r="Q50" s="88">
        <f t="shared" si="0"/>
        <v>0.72499999999999998</v>
      </c>
      <c r="R50" s="87">
        <v>14.2</v>
      </c>
      <c r="S50" s="87">
        <v>118.5</v>
      </c>
      <c r="T50" s="89">
        <f t="shared" si="1"/>
        <v>30</v>
      </c>
      <c r="U50" s="87">
        <v>98</v>
      </c>
      <c r="V50" s="159">
        <f t="shared" si="2"/>
        <v>2940</v>
      </c>
      <c r="W50" s="87">
        <v>3</v>
      </c>
      <c r="X50" s="87" t="s">
        <v>63</v>
      </c>
      <c r="Y50" s="87" t="s">
        <v>45</v>
      </c>
      <c r="Z50" s="87" t="s">
        <v>46</v>
      </c>
      <c r="AA50" s="87" t="s">
        <v>161</v>
      </c>
      <c r="AB50" s="157" t="s">
        <v>338</v>
      </c>
      <c r="AC50" s="106"/>
    </row>
    <row r="51" spans="1:29" s="87" customFormat="1" ht="13.5" customHeight="1">
      <c r="A51" s="157" t="s">
        <v>88</v>
      </c>
      <c r="B51" s="157" t="s">
        <v>181</v>
      </c>
      <c r="C51" s="157">
        <v>2020</v>
      </c>
      <c r="D51" s="158" t="s">
        <v>429</v>
      </c>
      <c r="E51" s="157" t="s">
        <v>371</v>
      </c>
      <c r="F51" s="157" t="s">
        <v>355</v>
      </c>
      <c r="G51" s="157" t="s">
        <v>39</v>
      </c>
      <c r="H51" s="157" t="s">
        <v>40</v>
      </c>
      <c r="I51" s="87" t="s">
        <v>41</v>
      </c>
      <c r="J51" s="87" t="s">
        <v>42</v>
      </c>
      <c r="K51" s="87" t="s">
        <v>43</v>
      </c>
      <c r="L51" s="87">
        <v>2</v>
      </c>
      <c r="N51" s="87">
        <v>1</v>
      </c>
      <c r="O51" s="87">
        <v>0.5</v>
      </c>
      <c r="P51" s="87">
        <v>0.55000000000000004</v>
      </c>
      <c r="Q51" s="88">
        <f t="shared" si="0"/>
        <v>0.52500000000000002</v>
      </c>
      <c r="R51" s="87">
        <v>14.2</v>
      </c>
      <c r="S51" s="87">
        <v>120</v>
      </c>
      <c r="T51" s="89">
        <f t="shared" si="1"/>
        <v>30</v>
      </c>
      <c r="U51" s="87">
        <v>98</v>
      </c>
      <c r="V51" s="159">
        <f t="shared" si="2"/>
        <v>2940</v>
      </c>
      <c r="W51" s="87">
        <v>3</v>
      </c>
      <c r="X51" s="87" t="s">
        <v>63</v>
      </c>
      <c r="Y51" s="87" t="s">
        <v>45</v>
      </c>
      <c r="Z51" s="87" t="s">
        <v>46</v>
      </c>
      <c r="AA51" s="87" t="s">
        <v>161</v>
      </c>
      <c r="AB51" s="157" t="s">
        <v>338</v>
      </c>
      <c r="AC51" s="106"/>
    </row>
    <row r="52" spans="1:29" s="87" customFormat="1" ht="13.5" customHeight="1">
      <c r="A52" s="157" t="s">
        <v>88</v>
      </c>
      <c r="B52" s="157" t="s">
        <v>181</v>
      </c>
      <c r="C52" s="157">
        <v>2020</v>
      </c>
      <c r="D52" s="158" t="s">
        <v>429</v>
      </c>
      <c r="E52" s="157" t="s">
        <v>371</v>
      </c>
      <c r="F52" s="157" t="s">
        <v>355</v>
      </c>
      <c r="G52" s="157" t="s">
        <v>39</v>
      </c>
      <c r="H52" s="157" t="s">
        <v>40</v>
      </c>
      <c r="I52" s="87" t="s">
        <v>41</v>
      </c>
      <c r="J52" s="87" t="s">
        <v>42</v>
      </c>
      <c r="K52" s="87" t="s">
        <v>43</v>
      </c>
      <c r="L52" s="87">
        <v>3</v>
      </c>
      <c r="N52" s="87">
        <v>1</v>
      </c>
      <c r="O52" s="87">
        <v>0.75</v>
      </c>
      <c r="P52" s="87">
        <v>0.6</v>
      </c>
      <c r="Q52" s="88">
        <f t="shared" si="0"/>
        <v>0.67500000000000004</v>
      </c>
      <c r="R52" s="87">
        <v>13.4</v>
      </c>
      <c r="S52" s="87">
        <v>117.5</v>
      </c>
      <c r="T52" s="89">
        <f t="shared" si="1"/>
        <v>30</v>
      </c>
      <c r="U52" s="87">
        <v>98</v>
      </c>
      <c r="V52" s="159">
        <f t="shared" si="2"/>
        <v>2940</v>
      </c>
      <c r="W52" s="87">
        <v>3</v>
      </c>
      <c r="X52" s="87" t="s">
        <v>63</v>
      </c>
      <c r="Y52" s="87" t="s">
        <v>45</v>
      </c>
      <c r="Z52" s="87" t="s">
        <v>46</v>
      </c>
      <c r="AA52" s="87" t="s">
        <v>161</v>
      </c>
      <c r="AB52" s="157" t="s">
        <v>338</v>
      </c>
      <c r="AC52" s="106"/>
    </row>
    <row r="53" spans="1:29" s="87" customFormat="1" ht="13.5" customHeight="1">
      <c r="A53" s="157" t="s">
        <v>88</v>
      </c>
      <c r="B53" s="157" t="s">
        <v>181</v>
      </c>
      <c r="C53" s="157">
        <v>2020</v>
      </c>
      <c r="D53" s="158" t="s">
        <v>429</v>
      </c>
      <c r="E53" s="157" t="s">
        <v>371</v>
      </c>
      <c r="F53" s="157" t="s">
        <v>355</v>
      </c>
      <c r="G53" s="157" t="s">
        <v>39</v>
      </c>
      <c r="H53" s="157" t="s">
        <v>40</v>
      </c>
      <c r="I53" s="87" t="s">
        <v>41</v>
      </c>
      <c r="J53" s="87" t="s">
        <v>42</v>
      </c>
      <c r="K53" s="87" t="s">
        <v>43</v>
      </c>
      <c r="L53" s="87">
        <v>1</v>
      </c>
      <c r="N53" s="87">
        <v>4</v>
      </c>
      <c r="O53" s="87">
        <v>0.65</v>
      </c>
      <c r="P53" s="87">
        <v>0.5</v>
      </c>
      <c r="Q53" s="88">
        <f t="shared" si="0"/>
        <v>0.57499999999999996</v>
      </c>
      <c r="R53" s="87">
        <v>14.3</v>
      </c>
      <c r="S53" s="87">
        <v>96.5</v>
      </c>
      <c r="T53" s="89">
        <f t="shared" si="1"/>
        <v>36</v>
      </c>
      <c r="U53" s="87">
        <v>398</v>
      </c>
      <c r="V53" s="159">
        <f t="shared" si="2"/>
        <v>3582</v>
      </c>
      <c r="W53" s="87">
        <v>3</v>
      </c>
      <c r="X53" s="87" t="s">
        <v>63</v>
      </c>
      <c r="Y53" s="87" t="s">
        <v>45</v>
      </c>
      <c r="Z53" s="87" t="s">
        <v>46</v>
      </c>
      <c r="AA53" s="87" t="s">
        <v>161</v>
      </c>
      <c r="AB53" s="157" t="s">
        <v>338</v>
      </c>
      <c r="AC53" s="106"/>
    </row>
    <row r="54" spans="1:29" s="87" customFormat="1" ht="13.5" customHeight="1">
      <c r="A54" s="157" t="s">
        <v>88</v>
      </c>
      <c r="B54" s="157" t="s">
        <v>181</v>
      </c>
      <c r="C54" s="157">
        <v>2020</v>
      </c>
      <c r="D54" s="158" t="s">
        <v>429</v>
      </c>
      <c r="E54" s="157" t="s">
        <v>371</v>
      </c>
      <c r="F54" s="157" t="s">
        <v>355</v>
      </c>
      <c r="G54" s="157" t="s">
        <v>39</v>
      </c>
      <c r="H54" s="157" t="s">
        <v>40</v>
      </c>
      <c r="I54" s="87" t="s">
        <v>41</v>
      </c>
      <c r="J54" s="87" t="s">
        <v>42</v>
      </c>
      <c r="K54" s="87" t="s">
        <v>43</v>
      </c>
      <c r="L54" s="87">
        <v>2</v>
      </c>
      <c r="N54" s="87">
        <v>4</v>
      </c>
      <c r="O54" s="87">
        <v>0.2</v>
      </c>
      <c r="P54" s="87">
        <v>0.2</v>
      </c>
      <c r="Q54" s="88">
        <f t="shared" si="0"/>
        <v>0.2</v>
      </c>
      <c r="R54" s="87">
        <v>14.2</v>
      </c>
      <c r="S54" s="87">
        <v>94.5</v>
      </c>
      <c r="T54" s="89">
        <f t="shared" si="1"/>
        <v>36</v>
      </c>
      <c r="U54" s="87">
        <v>398</v>
      </c>
      <c r="V54" s="159">
        <f t="shared" si="2"/>
        <v>3582</v>
      </c>
      <c r="W54" s="87">
        <v>3</v>
      </c>
      <c r="X54" s="87" t="s">
        <v>63</v>
      </c>
      <c r="Y54" s="87" t="s">
        <v>45</v>
      </c>
      <c r="Z54" s="87" t="s">
        <v>46</v>
      </c>
      <c r="AA54" s="87" t="s">
        <v>161</v>
      </c>
      <c r="AB54" s="157" t="s">
        <v>338</v>
      </c>
      <c r="AC54" s="106"/>
    </row>
    <row r="55" spans="1:29" s="87" customFormat="1" ht="13.5" customHeight="1">
      <c r="A55" s="157" t="s">
        <v>88</v>
      </c>
      <c r="B55" s="157" t="s">
        <v>181</v>
      </c>
      <c r="C55" s="157">
        <v>2020</v>
      </c>
      <c r="D55" s="158" t="s">
        <v>429</v>
      </c>
      <c r="E55" s="157" t="s">
        <v>371</v>
      </c>
      <c r="F55" s="157" t="s">
        <v>355</v>
      </c>
      <c r="G55" s="157" t="s">
        <v>39</v>
      </c>
      <c r="H55" s="157" t="s">
        <v>40</v>
      </c>
      <c r="I55" s="87" t="s">
        <v>41</v>
      </c>
      <c r="J55" s="87" t="s">
        <v>42</v>
      </c>
      <c r="K55" s="87" t="s">
        <v>43</v>
      </c>
      <c r="L55" s="87">
        <v>3</v>
      </c>
      <c r="N55" s="87">
        <v>4</v>
      </c>
      <c r="O55" s="87">
        <v>0.5</v>
      </c>
      <c r="P55" s="87">
        <v>0.55000000000000004</v>
      </c>
      <c r="Q55" s="88">
        <f t="shared" si="0"/>
        <v>0.52500000000000002</v>
      </c>
      <c r="R55" s="87">
        <v>15</v>
      </c>
      <c r="S55" s="87">
        <v>100.5</v>
      </c>
      <c r="T55" s="89">
        <f t="shared" si="1"/>
        <v>33</v>
      </c>
      <c r="U55" s="87">
        <v>398</v>
      </c>
      <c r="V55" s="159">
        <f t="shared" si="2"/>
        <v>3283.5</v>
      </c>
      <c r="W55" s="87">
        <v>3</v>
      </c>
      <c r="X55" s="87" t="s">
        <v>63</v>
      </c>
      <c r="Y55" s="87" t="s">
        <v>45</v>
      </c>
      <c r="Z55" s="87" t="s">
        <v>46</v>
      </c>
      <c r="AA55" s="87" t="s">
        <v>161</v>
      </c>
      <c r="AB55" s="157" t="s">
        <v>338</v>
      </c>
      <c r="AC55" s="106"/>
    </row>
    <row r="56" spans="1:29" s="87" customFormat="1" ht="13.5" customHeight="1">
      <c r="A56" s="157" t="s">
        <v>88</v>
      </c>
      <c r="B56" s="157" t="s">
        <v>181</v>
      </c>
      <c r="C56" s="157">
        <v>2020</v>
      </c>
      <c r="D56" s="158" t="s">
        <v>429</v>
      </c>
      <c r="E56" s="157" t="s">
        <v>371</v>
      </c>
      <c r="F56" s="157" t="s">
        <v>355</v>
      </c>
      <c r="G56" s="157" t="s">
        <v>39</v>
      </c>
      <c r="H56" s="157" t="s">
        <v>40</v>
      </c>
      <c r="I56" s="87" t="s">
        <v>41</v>
      </c>
      <c r="J56" s="87" t="s">
        <v>42</v>
      </c>
      <c r="K56" s="87" t="s">
        <v>43</v>
      </c>
      <c r="L56" s="87">
        <v>1</v>
      </c>
      <c r="N56" s="87">
        <v>8</v>
      </c>
      <c r="O56" s="87">
        <v>0.2</v>
      </c>
      <c r="P56" s="87">
        <v>0.2</v>
      </c>
      <c r="Q56" s="88">
        <f t="shared" si="0"/>
        <v>0.2</v>
      </c>
      <c r="R56" s="87">
        <v>15</v>
      </c>
      <c r="S56" s="87">
        <v>93.5</v>
      </c>
      <c r="T56" s="89">
        <f t="shared" si="1"/>
        <v>36</v>
      </c>
      <c r="U56" s="87">
        <v>398</v>
      </c>
      <c r="V56" s="159">
        <f t="shared" si="2"/>
        <v>1791</v>
      </c>
      <c r="W56" s="87">
        <v>3</v>
      </c>
      <c r="X56" s="87" t="s">
        <v>63</v>
      </c>
      <c r="Y56" s="87" t="s">
        <v>45</v>
      </c>
      <c r="Z56" s="87" t="s">
        <v>46</v>
      </c>
      <c r="AA56" s="87" t="s">
        <v>161</v>
      </c>
      <c r="AB56" s="157" t="s">
        <v>338</v>
      </c>
      <c r="AC56" s="106"/>
    </row>
    <row r="57" spans="1:29" s="87" customFormat="1" ht="13.5" customHeight="1">
      <c r="A57" s="157" t="s">
        <v>88</v>
      </c>
      <c r="B57" s="157" t="s">
        <v>181</v>
      </c>
      <c r="C57" s="157">
        <v>2020</v>
      </c>
      <c r="D57" s="158" t="s">
        <v>429</v>
      </c>
      <c r="E57" s="157" t="s">
        <v>371</v>
      </c>
      <c r="F57" s="157" t="s">
        <v>355</v>
      </c>
      <c r="G57" s="157" t="s">
        <v>39</v>
      </c>
      <c r="H57" s="157" t="s">
        <v>40</v>
      </c>
      <c r="I57" s="87" t="s">
        <v>41</v>
      </c>
      <c r="J57" s="87" t="s">
        <v>42</v>
      </c>
      <c r="K57" s="87" t="s">
        <v>43</v>
      </c>
      <c r="L57" s="87">
        <v>2</v>
      </c>
      <c r="N57" s="87">
        <v>8</v>
      </c>
      <c r="O57" s="87">
        <v>0.6</v>
      </c>
      <c r="P57" s="87">
        <v>0.7</v>
      </c>
      <c r="Q57" s="88">
        <f t="shared" si="0"/>
        <v>0.64999999999999991</v>
      </c>
      <c r="R57" s="87">
        <v>15.1</v>
      </c>
      <c r="S57" s="87">
        <v>85</v>
      </c>
      <c r="T57" s="89">
        <f t="shared" si="1"/>
        <v>36</v>
      </c>
      <c r="U57" s="87">
        <v>398</v>
      </c>
      <c r="V57" s="159">
        <f t="shared" si="2"/>
        <v>1791</v>
      </c>
      <c r="W57" s="87">
        <v>3</v>
      </c>
      <c r="X57" s="87" t="s">
        <v>63</v>
      </c>
      <c r="Y57" s="87" t="s">
        <v>45</v>
      </c>
      <c r="Z57" s="87" t="s">
        <v>46</v>
      </c>
      <c r="AA57" s="87" t="s">
        <v>161</v>
      </c>
      <c r="AB57" s="157" t="s">
        <v>338</v>
      </c>
      <c r="AC57" s="106"/>
    </row>
    <row r="58" spans="1:29" s="87" customFormat="1" ht="13.5" customHeight="1">
      <c r="A58" s="157" t="s">
        <v>88</v>
      </c>
      <c r="B58" s="157" t="s">
        <v>181</v>
      </c>
      <c r="C58" s="157">
        <v>2020</v>
      </c>
      <c r="D58" s="158" t="s">
        <v>429</v>
      </c>
      <c r="E58" s="157" t="s">
        <v>371</v>
      </c>
      <c r="F58" s="157" t="s">
        <v>355</v>
      </c>
      <c r="G58" s="157" t="s">
        <v>39</v>
      </c>
      <c r="H58" s="157" t="s">
        <v>40</v>
      </c>
      <c r="I58" s="87" t="s">
        <v>41</v>
      </c>
      <c r="J58" s="87" t="s">
        <v>42</v>
      </c>
      <c r="K58" s="87" t="s">
        <v>43</v>
      </c>
      <c r="L58" s="87">
        <v>3</v>
      </c>
      <c r="N58" s="87">
        <v>8</v>
      </c>
      <c r="O58" s="87">
        <v>0.5</v>
      </c>
      <c r="P58" s="87">
        <v>0.5</v>
      </c>
      <c r="Q58" s="88">
        <f t="shared" si="0"/>
        <v>0.5</v>
      </c>
      <c r="R58" s="87">
        <v>14.7</v>
      </c>
      <c r="S58" s="87">
        <v>93</v>
      </c>
      <c r="T58" s="89">
        <f t="shared" si="1"/>
        <v>36</v>
      </c>
      <c r="U58" s="87">
        <v>398</v>
      </c>
      <c r="V58" s="159">
        <f t="shared" si="2"/>
        <v>1791</v>
      </c>
      <c r="W58" s="87">
        <v>3</v>
      </c>
      <c r="X58" s="87" t="s">
        <v>63</v>
      </c>
      <c r="Y58" s="87" t="s">
        <v>45</v>
      </c>
      <c r="Z58" s="87" t="s">
        <v>46</v>
      </c>
      <c r="AA58" s="87" t="s">
        <v>161</v>
      </c>
      <c r="AB58" s="157" t="s">
        <v>338</v>
      </c>
      <c r="AC58" s="106"/>
    </row>
    <row r="59" spans="1:29" s="87" customFormat="1" ht="13.5" customHeight="1">
      <c r="A59" s="157" t="s">
        <v>88</v>
      </c>
      <c r="B59" s="157" t="s">
        <v>181</v>
      </c>
      <c r="C59" s="157">
        <v>2020</v>
      </c>
      <c r="D59" s="158" t="s">
        <v>429</v>
      </c>
      <c r="E59" s="157" t="s">
        <v>372</v>
      </c>
      <c r="F59" s="157" t="s">
        <v>355</v>
      </c>
      <c r="G59" s="157" t="s">
        <v>39</v>
      </c>
      <c r="H59" s="157" t="s">
        <v>40</v>
      </c>
      <c r="I59" s="87" t="s">
        <v>41</v>
      </c>
      <c r="J59" s="87" t="s">
        <v>42</v>
      </c>
      <c r="K59" s="87" t="s">
        <v>43</v>
      </c>
      <c r="L59" s="87">
        <v>1</v>
      </c>
      <c r="N59" s="87">
        <v>1</v>
      </c>
      <c r="O59" s="87">
        <v>0.55000000000000004</v>
      </c>
      <c r="P59" s="87">
        <v>0.6</v>
      </c>
      <c r="Q59" s="88">
        <f t="shared" si="0"/>
        <v>0.57499999999999996</v>
      </c>
      <c r="R59" s="87">
        <v>15.3</v>
      </c>
      <c r="S59" s="87">
        <v>125</v>
      </c>
      <c r="T59" s="89">
        <f t="shared" si="1"/>
        <v>27</v>
      </c>
      <c r="U59" s="87">
        <v>138</v>
      </c>
      <c r="V59" s="159">
        <f t="shared" si="2"/>
        <v>3726</v>
      </c>
      <c r="W59" s="87">
        <v>2</v>
      </c>
      <c r="X59" s="87" t="s">
        <v>44</v>
      </c>
      <c r="Y59" s="87" t="s">
        <v>46</v>
      </c>
      <c r="Z59" s="87" t="s">
        <v>45</v>
      </c>
      <c r="AA59" s="87" t="s">
        <v>161</v>
      </c>
      <c r="AB59" s="157" t="s">
        <v>338</v>
      </c>
    </row>
    <row r="60" spans="1:29" s="87" customFormat="1" ht="13.5" customHeight="1">
      <c r="A60" s="157" t="s">
        <v>88</v>
      </c>
      <c r="B60" s="157" t="s">
        <v>181</v>
      </c>
      <c r="C60" s="157">
        <v>2020</v>
      </c>
      <c r="D60" s="158" t="s">
        <v>429</v>
      </c>
      <c r="E60" s="157" t="s">
        <v>372</v>
      </c>
      <c r="F60" s="157" t="s">
        <v>355</v>
      </c>
      <c r="G60" s="157" t="s">
        <v>39</v>
      </c>
      <c r="H60" s="157" t="s">
        <v>40</v>
      </c>
      <c r="I60" s="87" t="s">
        <v>41</v>
      </c>
      <c r="J60" s="87" t="s">
        <v>42</v>
      </c>
      <c r="K60" s="87" t="s">
        <v>43</v>
      </c>
      <c r="L60" s="87">
        <v>2</v>
      </c>
      <c r="N60" s="87">
        <v>1</v>
      </c>
      <c r="O60" s="87">
        <v>0.65</v>
      </c>
      <c r="P60" s="87">
        <v>0.7</v>
      </c>
      <c r="Q60" s="88">
        <f t="shared" si="0"/>
        <v>0.67500000000000004</v>
      </c>
      <c r="R60" s="87">
        <v>14.1</v>
      </c>
      <c r="S60" s="87">
        <v>132</v>
      </c>
      <c r="T60" s="89">
        <f t="shared" si="1"/>
        <v>25</v>
      </c>
      <c r="U60" s="87">
        <v>138</v>
      </c>
      <c r="V60" s="159">
        <f t="shared" si="2"/>
        <v>3450</v>
      </c>
      <c r="W60" s="87">
        <v>2</v>
      </c>
      <c r="X60" s="87" t="s">
        <v>44</v>
      </c>
      <c r="Y60" s="87" t="s">
        <v>46</v>
      </c>
      <c r="Z60" s="87" t="s">
        <v>45</v>
      </c>
      <c r="AA60" s="87" t="s">
        <v>161</v>
      </c>
      <c r="AB60" s="157" t="s">
        <v>338</v>
      </c>
    </row>
    <row r="61" spans="1:29" s="87" customFormat="1" ht="13.5" customHeight="1">
      <c r="A61" s="157" t="s">
        <v>88</v>
      </c>
      <c r="B61" s="157" t="s">
        <v>181</v>
      </c>
      <c r="C61" s="157">
        <v>2020</v>
      </c>
      <c r="D61" s="158" t="s">
        <v>429</v>
      </c>
      <c r="E61" s="157" t="s">
        <v>372</v>
      </c>
      <c r="F61" s="157" t="s">
        <v>355</v>
      </c>
      <c r="G61" s="157" t="s">
        <v>39</v>
      </c>
      <c r="H61" s="157" t="s">
        <v>40</v>
      </c>
      <c r="I61" s="87" t="s">
        <v>41</v>
      </c>
      <c r="J61" s="87" t="s">
        <v>42</v>
      </c>
      <c r="K61" s="87" t="s">
        <v>43</v>
      </c>
      <c r="L61" s="87">
        <v>3</v>
      </c>
      <c r="N61" s="87">
        <v>1</v>
      </c>
      <c r="O61" s="87">
        <v>0.75</v>
      </c>
      <c r="P61" s="87">
        <v>0.7</v>
      </c>
      <c r="Q61" s="88">
        <f t="shared" si="0"/>
        <v>0.72499999999999998</v>
      </c>
      <c r="R61" s="87">
        <v>14.3</v>
      </c>
      <c r="S61" s="87">
        <v>124</v>
      </c>
      <c r="T61" s="89">
        <f t="shared" si="1"/>
        <v>27</v>
      </c>
      <c r="U61" s="87">
        <v>138</v>
      </c>
      <c r="V61" s="159">
        <f t="shared" si="2"/>
        <v>3726</v>
      </c>
      <c r="W61" s="87">
        <v>2</v>
      </c>
      <c r="X61" s="87" t="s">
        <v>44</v>
      </c>
      <c r="Y61" s="87" t="s">
        <v>46</v>
      </c>
      <c r="Z61" s="87" t="s">
        <v>45</v>
      </c>
      <c r="AA61" s="87" t="s">
        <v>161</v>
      </c>
      <c r="AB61" s="157" t="s">
        <v>338</v>
      </c>
    </row>
    <row r="62" spans="1:29" s="87" customFormat="1" ht="13.5" customHeight="1">
      <c r="A62" s="157" t="s">
        <v>88</v>
      </c>
      <c r="B62" s="157" t="s">
        <v>181</v>
      </c>
      <c r="C62" s="157">
        <v>2020</v>
      </c>
      <c r="D62" s="158" t="s">
        <v>429</v>
      </c>
      <c r="E62" s="157" t="s">
        <v>372</v>
      </c>
      <c r="F62" s="157" t="s">
        <v>355</v>
      </c>
      <c r="G62" s="157" t="s">
        <v>39</v>
      </c>
      <c r="H62" s="157" t="s">
        <v>40</v>
      </c>
      <c r="I62" s="87" t="s">
        <v>41</v>
      </c>
      <c r="J62" s="87" t="s">
        <v>42</v>
      </c>
      <c r="K62" s="87" t="s">
        <v>43</v>
      </c>
      <c r="L62" s="87">
        <v>1</v>
      </c>
      <c r="N62" s="87">
        <v>4</v>
      </c>
      <c r="O62" s="87">
        <v>0.5</v>
      </c>
      <c r="P62" s="87">
        <v>0.55000000000000004</v>
      </c>
      <c r="Q62" s="88">
        <f>IF(OR(O62="",P62=""),"",AVERAGE(O62,P62))</f>
        <v>0.52500000000000002</v>
      </c>
      <c r="R62" s="87">
        <v>14.9</v>
      </c>
      <c r="S62" s="87">
        <v>90</v>
      </c>
      <c r="T62" s="89">
        <f t="shared" si="1"/>
        <v>36</v>
      </c>
      <c r="U62" s="87">
        <v>398</v>
      </c>
      <c r="V62" s="159">
        <f t="shared" si="2"/>
        <v>3582</v>
      </c>
      <c r="W62" s="87">
        <v>2</v>
      </c>
      <c r="X62" s="87" t="s">
        <v>44</v>
      </c>
      <c r="Y62" s="87" t="s">
        <v>46</v>
      </c>
      <c r="Z62" s="87" t="s">
        <v>45</v>
      </c>
      <c r="AA62" s="87" t="s">
        <v>161</v>
      </c>
      <c r="AB62" s="157" t="s">
        <v>338</v>
      </c>
    </row>
    <row r="63" spans="1:29" s="87" customFormat="1" ht="13.5" customHeight="1">
      <c r="A63" s="157" t="s">
        <v>88</v>
      </c>
      <c r="B63" s="157" t="s">
        <v>181</v>
      </c>
      <c r="C63" s="157">
        <v>2020</v>
      </c>
      <c r="D63" s="158" t="s">
        <v>429</v>
      </c>
      <c r="E63" s="157" t="s">
        <v>372</v>
      </c>
      <c r="F63" s="157" t="s">
        <v>355</v>
      </c>
      <c r="G63" s="157" t="s">
        <v>39</v>
      </c>
      <c r="H63" s="157" t="s">
        <v>40</v>
      </c>
      <c r="I63" s="87" t="s">
        <v>41</v>
      </c>
      <c r="J63" s="87" t="s">
        <v>42</v>
      </c>
      <c r="K63" s="87" t="s">
        <v>43</v>
      </c>
      <c r="L63" s="87">
        <v>2</v>
      </c>
      <c r="N63" s="87">
        <v>4</v>
      </c>
      <c r="O63" s="87">
        <v>0.2</v>
      </c>
      <c r="P63" s="87">
        <v>0.2</v>
      </c>
      <c r="Q63" s="88">
        <f t="shared" si="0"/>
        <v>0.2</v>
      </c>
      <c r="R63" s="87">
        <v>16</v>
      </c>
      <c r="S63" s="87">
        <v>90</v>
      </c>
      <c r="T63" s="89">
        <f t="shared" si="1"/>
        <v>36</v>
      </c>
      <c r="U63" s="87">
        <v>398</v>
      </c>
      <c r="V63" s="159">
        <f t="shared" si="2"/>
        <v>3582</v>
      </c>
      <c r="W63" s="87">
        <v>2</v>
      </c>
      <c r="X63" s="87" t="s">
        <v>44</v>
      </c>
      <c r="Y63" s="87" t="s">
        <v>46</v>
      </c>
      <c r="Z63" s="87" t="s">
        <v>45</v>
      </c>
      <c r="AA63" s="87" t="s">
        <v>161</v>
      </c>
      <c r="AB63" s="157" t="s">
        <v>338</v>
      </c>
    </row>
    <row r="64" spans="1:29" s="87" customFormat="1" ht="13.5" customHeight="1">
      <c r="A64" s="157" t="s">
        <v>88</v>
      </c>
      <c r="B64" s="157" t="s">
        <v>181</v>
      </c>
      <c r="C64" s="157">
        <v>2020</v>
      </c>
      <c r="D64" s="158" t="s">
        <v>429</v>
      </c>
      <c r="E64" s="157" t="s">
        <v>372</v>
      </c>
      <c r="F64" s="157" t="s">
        <v>355</v>
      </c>
      <c r="G64" s="157" t="s">
        <v>39</v>
      </c>
      <c r="H64" s="157" t="s">
        <v>40</v>
      </c>
      <c r="I64" s="87" t="s">
        <v>41</v>
      </c>
      <c r="J64" s="87" t="s">
        <v>42</v>
      </c>
      <c r="K64" s="87" t="s">
        <v>43</v>
      </c>
      <c r="L64" s="87">
        <v>3</v>
      </c>
      <c r="N64" s="87">
        <v>4</v>
      </c>
      <c r="O64" s="87">
        <v>0.2</v>
      </c>
      <c r="P64" s="87">
        <v>0.2</v>
      </c>
      <c r="Q64" s="88">
        <f t="shared" si="0"/>
        <v>0.2</v>
      </c>
      <c r="R64" s="87">
        <v>15.8</v>
      </c>
      <c r="S64" s="87">
        <v>87.5</v>
      </c>
      <c r="T64" s="89">
        <f t="shared" si="1"/>
        <v>36</v>
      </c>
      <c r="U64" s="87">
        <v>398</v>
      </c>
      <c r="V64" s="159">
        <f t="shared" si="2"/>
        <v>3582</v>
      </c>
      <c r="W64" s="87">
        <v>2</v>
      </c>
      <c r="X64" s="87" t="s">
        <v>44</v>
      </c>
      <c r="Y64" s="87" t="s">
        <v>46</v>
      </c>
      <c r="Z64" s="87" t="s">
        <v>45</v>
      </c>
      <c r="AA64" s="87" t="s">
        <v>161</v>
      </c>
      <c r="AB64" s="157" t="s">
        <v>338</v>
      </c>
    </row>
    <row r="65" spans="1:29" ht="18.75">
      <c r="A65" s="21"/>
      <c r="B65" s="21"/>
      <c r="C65" s="21"/>
      <c r="D65" s="28"/>
      <c r="E65" s="21"/>
      <c r="F65" s="21"/>
      <c r="G65" s="21"/>
      <c r="H65" s="21"/>
      <c r="Q65" s="26" t="str">
        <f t="shared" si="0"/>
        <v/>
      </c>
      <c r="T65" s="24" t="str">
        <f t="shared" si="1"/>
        <v/>
      </c>
      <c r="V65" s="58" t="str">
        <f t="shared" si="2"/>
        <v/>
      </c>
      <c r="AB65" s="21"/>
      <c r="AC65" s="55"/>
    </row>
    <row r="66" spans="1:29" ht="18.75">
      <c r="A66" s="21"/>
      <c r="B66" s="21"/>
      <c r="C66" s="21"/>
      <c r="D66" s="28"/>
      <c r="E66" s="21"/>
      <c r="F66" s="21"/>
      <c r="G66" s="21"/>
      <c r="H66" s="21"/>
      <c r="Q66" s="26" t="str">
        <f t="shared" ref="Q66:Q79" si="3">IF(OR(O66="",P66=""),"",AVERAGE(O66,P66))</f>
        <v/>
      </c>
      <c r="T66" s="24" t="str">
        <f t="shared" ref="T66:T79" si="4">IF(H66="","",IF(OR(H66="GREEN",H66="GK"),IF(S66&gt;=$AX$2,VLOOKUP(S66,$AX$2:$AY$15,2,1),""),IF(S66&gt;=$AZ$2,VLOOKUP(S66,$AZ$2:$BA$15,2,1),"")))</f>
        <v/>
      </c>
      <c r="V66" s="58" t="str">
        <f t="shared" si="2"/>
        <v/>
      </c>
      <c r="AB66" s="21"/>
      <c r="AC66" s="55"/>
    </row>
    <row r="67" spans="1:29" ht="18.75">
      <c r="A67" s="21"/>
      <c r="B67" s="21"/>
      <c r="C67" s="21"/>
      <c r="D67" s="28"/>
      <c r="E67" s="21"/>
      <c r="F67" s="21"/>
      <c r="G67" s="21"/>
      <c r="H67" s="21"/>
      <c r="Q67" s="26" t="str">
        <f t="shared" si="3"/>
        <v/>
      </c>
      <c r="R67" s="55"/>
      <c r="T67" s="24" t="str">
        <f t="shared" si="4"/>
        <v/>
      </c>
      <c r="V67" s="58" t="str">
        <f t="shared" ref="V67:V79" si="5">IF(OR(N67="",U67="",T67=""),"",U67/N67*T67)</f>
        <v/>
      </c>
      <c r="AB67" s="21"/>
      <c r="AC67" s="55"/>
    </row>
    <row r="68" spans="1:29" ht="18.75">
      <c r="A68" s="21"/>
      <c r="B68" s="21"/>
      <c r="C68" s="21"/>
      <c r="D68" s="28"/>
      <c r="E68" s="21"/>
      <c r="F68" s="21"/>
      <c r="G68" s="21"/>
      <c r="H68" s="21"/>
      <c r="Q68" s="26" t="str">
        <f t="shared" si="3"/>
        <v/>
      </c>
      <c r="T68" s="24" t="str">
        <f t="shared" si="4"/>
        <v/>
      </c>
      <c r="V68" s="58" t="str">
        <f t="shared" si="5"/>
        <v/>
      </c>
      <c r="AB68" s="21"/>
      <c r="AC68" s="55"/>
    </row>
    <row r="69" spans="1:29" ht="18.75">
      <c r="A69" s="21"/>
      <c r="B69" s="21"/>
      <c r="C69" s="21"/>
      <c r="D69" s="28"/>
      <c r="E69" s="21"/>
      <c r="F69" s="21"/>
      <c r="G69" s="21"/>
      <c r="H69" s="21"/>
      <c r="Q69" s="26" t="str">
        <f t="shared" si="3"/>
        <v/>
      </c>
      <c r="R69" s="55"/>
      <c r="T69" s="24" t="str">
        <f t="shared" si="4"/>
        <v/>
      </c>
      <c r="V69" s="58" t="str">
        <f t="shared" si="5"/>
        <v/>
      </c>
      <c r="AB69" s="21"/>
      <c r="AC69" s="55"/>
    </row>
    <row r="70" spans="1:29" ht="18.75">
      <c r="A70" s="21"/>
      <c r="B70" s="21"/>
      <c r="C70" s="21"/>
      <c r="D70" s="28"/>
      <c r="E70" s="21"/>
      <c r="F70" s="21"/>
      <c r="G70" s="21"/>
      <c r="H70" s="21"/>
      <c r="Q70" s="26" t="str">
        <f t="shared" si="3"/>
        <v/>
      </c>
      <c r="R70" s="55"/>
      <c r="T70" s="24" t="str">
        <f t="shared" si="4"/>
        <v/>
      </c>
      <c r="V70" s="58" t="str">
        <f t="shared" si="5"/>
        <v/>
      </c>
      <c r="AB70" s="21"/>
      <c r="AC70" s="55"/>
    </row>
    <row r="71" spans="1:29" ht="18.75">
      <c r="A71" s="21"/>
      <c r="B71" s="21"/>
      <c r="C71" s="21"/>
      <c r="D71" s="28"/>
      <c r="E71" s="21"/>
      <c r="F71" s="21"/>
      <c r="G71" s="21"/>
      <c r="H71" s="21"/>
      <c r="Q71" s="26" t="str">
        <f t="shared" si="3"/>
        <v/>
      </c>
      <c r="T71" s="24" t="str">
        <f t="shared" si="4"/>
        <v/>
      </c>
      <c r="V71" s="58" t="str">
        <f t="shared" si="5"/>
        <v/>
      </c>
      <c r="AB71" s="21"/>
      <c r="AC71" s="55"/>
    </row>
    <row r="72" spans="1:29" ht="18.75">
      <c r="A72" s="21"/>
      <c r="B72" s="21"/>
      <c r="C72" s="21"/>
      <c r="D72" s="28"/>
      <c r="E72" s="21"/>
      <c r="F72" s="21"/>
      <c r="G72" s="21"/>
      <c r="H72" s="21"/>
      <c r="Q72" s="26" t="str">
        <f t="shared" si="3"/>
        <v/>
      </c>
      <c r="T72" s="24" t="str">
        <f t="shared" si="4"/>
        <v/>
      </c>
      <c r="V72" s="58" t="str">
        <f t="shared" si="5"/>
        <v/>
      </c>
      <c r="AB72" s="21"/>
      <c r="AC72" s="55"/>
    </row>
    <row r="73" spans="1:29" ht="18.75">
      <c r="A73" s="21"/>
      <c r="B73" s="21"/>
      <c r="C73" s="21"/>
      <c r="D73" s="28"/>
      <c r="E73" s="21"/>
      <c r="F73" s="21"/>
      <c r="G73" s="21"/>
      <c r="H73" s="21"/>
      <c r="Q73" s="26" t="str">
        <f t="shared" si="3"/>
        <v/>
      </c>
      <c r="T73" s="24" t="str">
        <f t="shared" si="4"/>
        <v/>
      </c>
      <c r="V73" s="58" t="str">
        <f t="shared" si="5"/>
        <v/>
      </c>
      <c r="AB73" s="21"/>
      <c r="AC73" s="55"/>
    </row>
    <row r="74" spans="1:29">
      <c r="A74" s="21"/>
      <c r="B74" s="21"/>
      <c r="C74" s="21"/>
      <c r="D74" s="28"/>
      <c r="E74" s="21"/>
      <c r="F74" s="21"/>
      <c r="G74" s="21"/>
      <c r="H74" s="21"/>
      <c r="Q74" s="26"/>
      <c r="V74" s="58"/>
      <c r="AB74" s="21"/>
    </row>
    <row r="75" spans="1:29">
      <c r="A75" s="21"/>
      <c r="B75" s="21"/>
      <c r="C75" s="21"/>
      <c r="D75" s="28"/>
      <c r="E75" s="21"/>
      <c r="F75" s="21"/>
      <c r="G75" s="21"/>
      <c r="H75" s="21"/>
      <c r="Q75" s="26"/>
      <c r="V75" s="58"/>
      <c r="AB75" s="21"/>
    </row>
    <row r="76" spans="1:29">
      <c r="A76" s="21"/>
      <c r="B76" s="21"/>
      <c r="C76" s="21"/>
      <c r="D76" s="28"/>
      <c r="E76" s="21"/>
      <c r="F76" s="21"/>
      <c r="G76" s="21"/>
      <c r="H76" s="21"/>
      <c r="Q76" s="26"/>
      <c r="V76" s="58"/>
      <c r="AB76" s="21"/>
    </row>
    <row r="77" spans="1:29">
      <c r="A77" s="21"/>
      <c r="B77" s="21"/>
      <c r="C77" s="21"/>
      <c r="D77" s="28"/>
      <c r="E77" s="21"/>
      <c r="F77" s="21"/>
      <c r="G77" s="21"/>
      <c r="H77" s="21"/>
      <c r="Q77" s="26" t="str">
        <f t="shared" si="3"/>
        <v/>
      </c>
      <c r="T77" s="24" t="str">
        <f t="shared" si="4"/>
        <v/>
      </c>
      <c r="V77" s="58" t="str">
        <f t="shared" si="5"/>
        <v/>
      </c>
      <c r="AB77" s="21"/>
    </row>
    <row r="78" spans="1:29">
      <c r="A78" s="21"/>
      <c r="B78" s="21"/>
      <c r="C78" s="21"/>
      <c r="D78" s="28"/>
      <c r="E78" s="21"/>
      <c r="F78" s="21"/>
      <c r="G78" s="21"/>
      <c r="H78" s="21"/>
      <c r="Q78" s="26" t="str">
        <f t="shared" si="3"/>
        <v/>
      </c>
      <c r="T78" s="24" t="str">
        <f t="shared" si="4"/>
        <v/>
      </c>
      <c r="V78" s="58" t="str">
        <f t="shared" si="5"/>
        <v/>
      </c>
      <c r="AB78" s="21"/>
    </row>
    <row r="79" spans="1:29">
      <c r="A79" s="21"/>
      <c r="B79" s="21"/>
      <c r="C79" s="21"/>
      <c r="D79" s="28"/>
      <c r="E79" s="21"/>
      <c r="F79" s="21"/>
      <c r="G79" s="21"/>
      <c r="H79" s="21"/>
      <c r="Q79" s="26" t="str">
        <f t="shared" si="3"/>
        <v/>
      </c>
      <c r="T79" s="24" t="str">
        <f t="shared" si="4"/>
        <v/>
      </c>
      <c r="V79" s="58" t="str">
        <f t="shared" si="5"/>
        <v/>
      </c>
      <c r="AB79" s="21"/>
    </row>
    <row r="80" spans="1:29">
      <c r="A80" s="21"/>
      <c r="B80" s="21"/>
      <c r="C80" s="21"/>
      <c r="D80" s="28"/>
      <c r="E80" s="21"/>
      <c r="F80" s="21"/>
      <c r="G80" s="21"/>
      <c r="H80" s="21"/>
      <c r="Q80" s="26"/>
      <c r="V80" s="58"/>
      <c r="AB80" s="21"/>
    </row>
    <row r="81" spans="1:28">
      <c r="A81" s="21"/>
      <c r="B81" s="21"/>
      <c r="C81" s="21"/>
      <c r="D81" s="28"/>
      <c r="E81" s="21"/>
      <c r="F81" s="21"/>
      <c r="G81" s="21"/>
      <c r="H81" s="21"/>
      <c r="Q81" s="26"/>
      <c r="V81" s="58"/>
      <c r="AB81" s="21"/>
    </row>
    <row r="82" spans="1:28">
      <c r="A82" s="21"/>
      <c r="B82" s="21"/>
      <c r="C82" s="21"/>
      <c r="D82" s="28"/>
      <c r="E82" s="21"/>
      <c r="F82" s="21"/>
      <c r="G82" s="21"/>
      <c r="H82" s="21"/>
      <c r="Q82" s="26"/>
      <c r="V82" s="58"/>
      <c r="AB82" s="21"/>
    </row>
    <row r="83" spans="1:28">
      <c r="A83" s="21"/>
      <c r="B83" s="21"/>
      <c r="C83" s="21"/>
      <c r="D83" s="28"/>
      <c r="E83" s="21"/>
      <c r="F83" s="21"/>
      <c r="G83" s="21"/>
      <c r="H83" s="21"/>
      <c r="Q83" s="26"/>
      <c r="V83" s="58"/>
      <c r="AB83" s="21"/>
    </row>
    <row r="84" spans="1:28">
      <c r="A84" s="21"/>
      <c r="B84" s="21"/>
      <c r="C84" s="21"/>
      <c r="D84" s="28"/>
      <c r="E84" s="21"/>
      <c r="F84" s="21"/>
      <c r="G84" s="21"/>
      <c r="H84" s="21"/>
      <c r="Q84" s="26"/>
      <c r="V84" s="58"/>
      <c r="AB84" s="21"/>
    </row>
    <row r="85" spans="1:28">
      <c r="A85" s="21"/>
      <c r="B85" s="21"/>
      <c r="C85" s="21"/>
      <c r="D85" s="28"/>
      <c r="E85" s="21"/>
      <c r="F85" s="21"/>
      <c r="G85" s="21"/>
      <c r="H85" s="21"/>
      <c r="Q85" s="26"/>
      <c r="V85" s="58"/>
      <c r="AB85" s="21"/>
    </row>
    <row r="86" spans="1:28">
      <c r="A86" s="21"/>
      <c r="B86" s="21"/>
      <c r="C86" s="21"/>
      <c r="D86" s="28"/>
      <c r="E86" s="21"/>
      <c r="F86" s="21"/>
      <c r="G86" s="21"/>
      <c r="H86" s="21"/>
      <c r="Q86" s="26"/>
      <c r="V86" s="58"/>
      <c r="AB86" s="21"/>
    </row>
    <row r="87" spans="1:28">
      <c r="A87" s="21"/>
      <c r="B87" s="21"/>
      <c r="C87" s="21"/>
      <c r="D87" s="28"/>
      <c r="E87" s="21"/>
      <c r="F87" s="21"/>
      <c r="G87" s="21"/>
      <c r="H87" s="21"/>
      <c r="Q87" s="26"/>
      <c r="V87" s="58"/>
      <c r="AB87" s="21"/>
    </row>
    <row r="88" spans="1:28">
      <c r="A88" s="21"/>
      <c r="B88" s="21"/>
      <c r="C88" s="21"/>
      <c r="D88" s="28"/>
      <c r="E88" s="21"/>
      <c r="F88" s="21"/>
      <c r="G88" s="21"/>
      <c r="H88" s="21"/>
      <c r="Q88" s="26"/>
      <c r="V88" s="58"/>
      <c r="AB88" s="21"/>
    </row>
    <row r="89" spans="1:28">
      <c r="A89" s="21"/>
      <c r="B89" s="21"/>
      <c r="C89" s="21"/>
      <c r="D89" s="28"/>
      <c r="E89" s="21"/>
      <c r="F89" s="21"/>
      <c r="G89" s="21"/>
      <c r="H89" s="21"/>
      <c r="Q89" s="26"/>
      <c r="V89" s="58"/>
      <c r="AB89" s="21"/>
    </row>
    <row r="90" spans="1:28">
      <c r="A90" s="21"/>
      <c r="B90" s="21"/>
      <c r="C90" s="21"/>
      <c r="D90" s="28"/>
      <c r="E90" s="21"/>
      <c r="F90" s="21"/>
      <c r="G90" s="21"/>
      <c r="H90" s="21"/>
      <c r="Q90" s="26"/>
      <c r="V90" s="58"/>
      <c r="AB90" s="21"/>
    </row>
    <row r="91" spans="1:28">
      <c r="A91" s="21"/>
      <c r="B91" s="21"/>
      <c r="C91" s="21"/>
      <c r="D91" s="28"/>
      <c r="E91" s="21"/>
      <c r="F91" s="21"/>
      <c r="G91" s="21"/>
      <c r="H91" s="21"/>
      <c r="Q91" s="26"/>
      <c r="V91" s="58"/>
      <c r="AB91" s="21"/>
    </row>
    <row r="92" spans="1:28">
      <c r="A92" s="21"/>
      <c r="B92" s="21"/>
      <c r="C92" s="21"/>
      <c r="D92" s="28"/>
      <c r="E92" s="21"/>
      <c r="F92" s="21"/>
      <c r="G92" s="21"/>
      <c r="H92" s="21"/>
      <c r="Q92" s="26"/>
      <c r="V92" s="58"/>
      <c r="AB92" s="21"/>
    </row>
    <row r="93" spans="1:28">
      <c r="A93" s="21"/>
      <c r="B93" s="21"/>
      <c r="C93" s="21"/>
      <c r="D93" s="28"/>
      <c r="E93" s="21"/>
      <c r="F93" s="21"/>
      <c r="G93" s="21"/>
      <c r="H93" s="21"/>
      <c r="Q93" s="26"/>
      <c r="V93" s="58"/>
      <c r="AB93" s="21"/>
    </row>
    <row r="94" spans="1:28">
      <c r="A94" s="21"/>
      <c r="B94" s="21"/>
      <c r="C94" s="21"/>
      <c r="D94" s="28"/>
      <c r="E94" s="21"/>
      <c r="F94" s="21"/>
      <c r="G94" s="21"/>
      <c r="H94" s="21"/>
      <c r="Q94" s="26"/>
      <c r="V94" s="58"/>
      <c r="AB94" s="21"/>
    </row>
    <row r="95" spans="1:28">
      <c r="A95" s="21"/>
      <c r="B95" s="21"/>
      <c r="C95" s="21"/>
      <c r="D95" s="28"/>
      <c r="E95" s="21"/>
      <c r="F95" s="21"/>
      <c r="G95" s="21"/>
      <c r="H95" s="21"/>
      <c r="AB95" s="21"/>
    </row>
    <row r="96" spans="1:28">
      <c r="A96" s="21"/>
      <c r="B96" s="21"/>
      <c r="C96" s="21"/>
      <c r="D96" s="28"/>
      <c r="E96" s="21"/>
      <c r="F96" s="21"/>
      <c r="G96" s="21"/>
      <c r="H96" s="21"/>
      <c r="Q96" s="26"/>
      <c r="V96" s="58"/>
      <c r="AB96" s="21"/>
    </row>
    <row r="97" spans="1:28">
      <c r="A97" s="21"/>
      <c r="B97" s="21"/>
      <c r="C97" s="21"/>
      <c r="D97" s="28"/>
      <c r="E97" s="21"/>
      <c r="F97" s="21"/>
      <c r="G97" s="21"/>
      <c r="H97" s="21"/>
      <c r="Q97" s="26"/>
      <c r="V97" s="58"/>
      <c r="AB97" s="21"/>
    </row>
    <row r="98" spans="1:28">
      <c r="A98" s="21"/>
      <c r="B98" s="21"/>
      <c r="C98" s="21"/>
      <c r="D98" s="28"/>
      <c r="E98" s="21"/>
      <c r="F98" s="21"/>
      <c r="G98" s="21"/>
      <c r="H98" s="21"/>
      <c r="Q98" s="26"/>
      <c r="V98" s="58"/>
      <c r="AB98" s="21"/>
    </row>
    <row r="99" spans="1:28">
      <c r="A99" s="21"/>
      <c r="B99" s="21"/>
      <c r="C99" s="21"/>
      <c r="D99" s="28"/>
      <c r="E99" s="21"/>
      <c r="F99" s="21"/>
      <c r="G99" s="21"/>
      <c r="H99" s="21"/>
      <c r="Q99" s="26"/>
      <c r="V99" s="58"/>
      <c r="AB99" s="21"/>
    </row>
    <row r="100" spans="1:28">
      <c r="A100" s="21"/>
      <c r="B100" s="21"/>
      <c r="C100" s="21"/>
      <c r="D100" s="28"/>
      <c r="E100" s="21"/>
      <c r="F100" s="21"/>
      <c r="G100" s="21"/>
      <c r="H100" s="21"/>
      <c r="Q100" s="26"/>
      <c r="V100" s="58"/>
      <c r="AB100" s="21"/>
    </row>
    <row r="101" spans="1:28">
      <c r="A101" s="21"/>
      <c r="B101" s="21"/>
      <c r="C101" s="21"/>
      <c r="D101" s="28"/>
      <c r="E101" s="21"/>
      <c r="F101" s="21"/>
      <c r="G101" s="21"/>
      <c r="H101" s="21"/>
      <c r="Q101" s="26"/>
      <c r="V101" s="58"/>
      <c r="AB101" s="21"/>
    </row>
    <row r="102" spans="1:28">
      <c r="A102" s="21"/>
      <c r="B102" s="21"/>
      <c r="C102" s="21"/>
      <c r="D102" s="28"/>
      <c r="E102" s="21"/>
      <c r="F102" s="21"/>
      <c r="G102" s="21"/>
      <c r="H102" s="21"/>
      <c r="Q102" s="26"/>
      <c r="V102" s="58"/>
      <c r="AB102" s="21"/>
    </row>
    <row r="103" spans="1:28">
      <c r="A103" s="21"/>
      <c r="B103" s="21"/>
      <c r="C103" s="21"/>
      <c r="D103" s="28"/>
      <c r="E103" s="21"/>
      <c r="F103" s="21"/>
      <c r="G103" s="21"/>
      <c r="H103" s="21"/>
      <c r="Q103" s="26"/>
      <c r="V103" s="58"/>
      <c r="AB103" s="21"/>
    </row>
    <row r="104" spans="1:28">
      <c r="A104" s="21"/>
      <c r="B104" s="21"/>
      <c r="C104" s="21"/>
      <c r="D104" s="28"/>
      <c r="E104" s="21"/>
      <c r="F104" s="21"/>
      <c r="G104" s="21"/>
      <c r="H104" s="21"/>
      <c r="Q104" s="26"/>
      <c r="V104" s="58"/>
      <c r="AB104" s="21"/>
    </row>
    <row r="105" spans="1:28">
      <c r="A105" s="21"/>
      <c r="B105" s="21"/>
      <c r="C105" s="21"/>
      <c r="D105" s="28"/>
      <c r="E105" s="21"/>
      <c r="F105" s="21"/>
      <c r="G105" s="21"/>
      <c r="H105" s="21"/>
      <c r="Q105" s="26"/>
      <c r="V105" s="58"/>
      <c r="AB105" s="21"/>
    </row>
    <row r="106" spans="1:28">
      <c r="A106" s="21"/>
      <c r="B106" s="21"/>
      <c r="C106" s="21"/>
      <c r="D106" s="28"/>
      <c r="E106" s="21"/>
      <c r="F106" s="21"/>
      <c r="G106" s="21"/>
      <c r="H106" s="21"/>
      <c r="Q106" s="26"/>
      <c r="V106" s="58"/>
      <c r="AB106" s="21"/>
    </row>
    <row r="107" spans="1:28">
      <c r="A107" s="21"/>
      <c r="B107" s="21"/>
      <c r="C107" s="21"/>
      <c r="D107" s="28"/>
      <c r="E107" s="21"/>
      <c r="F107" s="21"/>
      <c r="G107" s="21"/>
      <c r="H107" s="21"/>
      <c r="Q107" s="26"/>
      <c r="V107" s="58"/>
      <c r="AB107" s="21"/>
    </row>
    <row r="108" spans="1:28">
      <c r="A108" s="21"/>
      <c r="B108" s="21"/>
      <c r="C108" s="21"/>
      <c r="D108" s="28"/>
      <c r="E108" s="21"/>
      <c r="F108" s="21"/>
      <c r="G108" s="21"/>
      <c r="H108" s="21"/>
      <c r="Q108" s="26"/>
      <c r="V108" s="58"/>
      <c r="AB108" s="21"/>
    </row>
    <row r="109" spans="1:28">
      <c r="A109" s="21"/>
      <c r="B109" s="21"/>
      <c r="C109" s="21"/>
      <c r="D109" s="28"/>
      <c r="E109" s="21"/>
      <c r="F109" s="21"/>
      <c r="G109" s="21"/>
      <c r="H109" s="21"/>
      <c r="Q109" s="26"/>
      <c r="V109" s="58"/>
      <c r="AB109" s="21"/>
    </row>
    <row r="110" spans="1:28">
      <c r="A110" s="21"/>
      <c r="B110" s="21"/>
      <c r="C110" s="21"/>
      <c r="D110" s="28"/>
      <c r="E110" s="21"/>
      <c r="F110" s="21"/>
      <c r="G110" s="21"/>
      <c r="H110" s="21"/>
      <c r="Q110" s="26"/>
      <c r="V110" s="58"/>
      <c r="AB110" s="21"/>
    </row>
    <row r="111" spans="1:28">
      <c r="A111" s="21"/>
      <c r="B111" s="21"/>
      <c r="C111" s="21"/>
      <c r="D111" s="28"/>
      <c r="E111" s="21"/>
      <c r="F111" s="21"/>
      <c r="G111" s="21"/>
      <c r="H111" s="21"/>
      <c r="Q111" s="26"/>
      <c r="V111" s="58"/>
      <c r="AB111" s="21"/>
    </row>
    <row r="112" spans="1:28">
      <c r="A112" s="21"/>
      <c r="B112" s="21"/>
      <c r="C112" s="21"/>
      <c r="D112" s="28"/>
      <c r="E112" s="21"/>
      <c r="F112" s="21"/>
      <c r="G112" s="21"/>
      <c r="H112" s="21"/>
      <c r="Q112" s="26"/>
      <c r="V112" s="58"/>
      <c r="AB112" s="21"/>
    </row>
    <row r="113" spans="1:28">
      <c r="A113" s="21"/>
      <c r="B113" s="21"/>
      <c r="C113" s="21"/>
      <c r="D113" s="28"/>
      <c r="E113" s="21"/>
      <c r="F113" s="21"/>
      <c r="G113" s="21"/>
      <c r="H113" s="21"/>
      <c r="AB113" s="21"/>
    </row>
    <row r="114" spans="1:28">
      <c r="A114" s="21"/>
      <c r="B114" s="21"/>
      <c r="C114" s="21"/>
      <c r="D114" s="28"/>
      <c r="E114" s="21"/>
      <c r="F114" s="21"/>
      <c r="G114" s="21"/>
      <c r="H114" s="21"/>
      <c r="AB114" s="21"/>
    </row>
    <row r="115" spans="1:28">
      <c r="A115" s="21"/>
      <c r="B115" s="21"/>
      <c r="C115" s="21"/>
      <c r="D115" s="28"/>
      <c r="E115" s="21"/>
      <c r="F115" s="21"/>
      <c r="G115" s="21"/>
      <c r="H115" s="21"/>
      <c r="AB115" s="21"/>
    </row>
    <row r="116" spans="1:28">
      <c r="A116" s="21"/>
      <c r="B116" s="21"/>
      <c r="C116" s="21"/>
      <c r="D116" s="28"/>
      <c r="E116" s="21"/>
      <c r="F116" s="21"/>
      <c r="G116" s="21"/>
      <c r="H116" s="21"/>
      <c r="AB116" s="21"/>
    </row>
    <row r="117" spans="1:28">
      <c r="A117" s="21"/>
      <c r="B117" s="21"/>
      <c r="C117" s="21"/>
      <c r="D117" s="28"/>
      <c r="E117" s="21"/>
      <c r="F117" s="21"/>
      <c r="G117" s="21"/>
      <c r="H117" s="21"/>
      <c r="AB117" s="21"/>
    </row>
    <row r="118" spans="1:28">
      <c r="A118" s="21"/>
      <c r="B118" s="21"/>
      <c r="C118" s="21"/>
      <c r="D118" s="28"/>
      <c r="E118" s="21"/>
      <c r="F118" s="21"/>
      <c r="G118" s="21"/>
      <c r="H118" s="21"/>
      <c r="AB118" s="21"/>
    </row>
    <row r="119" spans="1:28">
      <c r="A119" s="21"/>
      <c r="B119" s="21"/>
      <c r="C119" s="21"/>
      <c r="D119" s="28"/>
      <c r="E119" s="21"/>
      <c r="F119" s="21"/>
      <c r="G119" s="21"/>
      <c r="H119" s="21"/>
      <c r="AB119" s="21"/>
    </row>
    <row r="120" spans="1:28">
      <c r="A120" s="21"/>
      <c r="B120" s="21"/>
      <c r="C120" s="21"/>
      <c r="D120" s="28"/>
      <c r="E120" s="21"/>
      <c r="F120" s="21"/>
      <c r="G120" s="21"/>
      <c r="H120" s="21"/>
      <c r="AB120" s="21"/>
    </row>
    <row r="121" spans="1:28">
      <c r="A121" s="21"/>
      <c r="B121" s="21"/>
      <c r="C121" s="21"/>
      <c r="D121" s="28"/>
      <c r="E121" s="21"/>
      <c r="F121" s="21"/>
      <c r="G121" s="21"/>
      <c r="H121" s="21"/>
      <c r="AB121" s="21"/>
    </row>
    <row r="122" spans="1:28">
      <c r="A122" s="21"/>
      <c r="B122" s="21"/>
      <c r="C122" s="21"/>
      <c r="D122" s="28"/>
      <c r="E122" s="21"/>
      <c r="F122" s="21"/>
      <c r="G122" s="21"/>
      <c r="H122" s="21"/>
      <c r="AB122" s="21"/>
    </row>
    <row r="123" spans="1:28">
      <c r="A123" s="21"/>
      <c r="B123" s="21"/>
      <c r="C123" s="21"/>
      <c r="D123" s="28"/>
      <c r="E123" s="21"/>
      <c r="F123" s="21"/>
      <c r="G123" s="21"/>
      <c r="H123" s="21"/>
      <c r="AB123" s="21"/>
    </row>
    <row r="124" spans="1:28">
      <c r="A124" s="21"/>
      <c r="B124" s="21"/>
      <c r="C124" s="21"/>
      <c r="D124" s="28"/>
      <c r="E124" s="21"/>
      <c r="F124" s="21"/>
      <c r="G124" s="21"/>
      <c r="H124" s="21"/>
      <c r="AB124" s="21"/>
    </row>
    <row r="125" spans="1:28">
      <c r="A125" s="21"/>
      <c r="B125" s="21"/>
      <c r="C125" s="21"/>
      <c r="D125" s="28"/>
      <c r="E125" s="21"/>
      <c r="F125" s="21"/>
      <c r="G125" s="21"/>
      <c r="H125" s="21"/>
      <c r="AB125" s="21"/>
    </row>
    <row r="126" spans="1:28">
      <c r="A126" s="21"/>
      <c r="B126" s="21"/>
      <c r="C126" s="21"/>
      <c r="D126" s="28"/>
      <c r="E126" s="21"/>
      <c r="F126" s="21"/>
      <c r="G126" s="21"/>
      <c r="H126" s="21"/>
      <c r="AB126" s="21"/>
    </row>
    <row r="127" spans="1:28">
      <c r="A127" s="21"/>
      <c r="B127" s="21"/>
      <c r="C127" s="21"/>
      <c r="D127" s="28"/>
      <c r="E127" s="21"/>
      <c r="F127" s="21"/>
      <c r="G127" s="21"/>
      <c r="H127" s="21"/>
      <c r="AB127" s="21"/>
    </row>
    <row r="128" spans="1:28">
      <c r="A128" s="21"/>
      <c r="B128" s="21"/>
      <c r="C128" s="21"/>
      <c r="D128" s="28"/>
      <c r="E128" s="21"/>
      <c r="F128" s="21"/>
      <c r="G128" s="21"/>
      <c r="H128" s="21"/>
      <c r="AB128" s="21"/>
    </row>
    <row r="129" spans="1:28">
      <c r="A129" s="21"/>
      <c r="B129" s="21"/>
      <c r="C129" s="21"/>
      <c r="D129" s="28"/>
      <c r="E129" s="21"/>
      <c r="F129" s="21"/>
      <c r="G129" s="21"/>
      <c r="H129" s="21"/>
      <c r="AB129" s="21"/>
    </row>
    <row r="130" spans="1:28">
      <c r="A130" s="21"/>
      <c r="B130" s="21"/>
      <c r="C130" s="21"/>
      <c r="D130" s="28"/>
      <c r="E130" s="21"/>
      <c r="F130" s="21"/>
      <c r="G130" s="21"/>
      <c r="H130" s="21"/>
      <c r="AB130" s="21"/>
    </row>
    <row r="131" spans="1:28">
      <c r="A131" s="21"/>
      <c r="B131" s="21"/>
      <c r="C131" s="21"/>
      <c r="D131" s="28"/>
      <c r="E131" s="21"/>
      <c r="F131" s="21"/>
      <c r="G131" s="21"/>
      <c r="H131" s="21"/>
      <c r="AB131" s="21"/>
    </row>
    <row r="132" spans="1:28">
      <c r="A132" s="21"/>
      <c r="B132" s="21"/>
      <c r="C132" s="21"/>
      <c r="D132" s="28"/>
      <c r="E132" s="21"/>
      <c r="F132" s="21"/>
      <c r="G132" s="21"/>
      <c r="H132" s="21"/>
      <c r="AB132" s="21"/>
    </row>
    <row r="133" spans="1:28">
      <c r="A133" s="21"/>
      <c r="B133" s="21"/>
      <c r="C133" s="21"/>
      <c r="D133" s="28"/>
      <c r="E133" s="21"/>
      <c r="F133" s="21"/>
      <c r="G133" s="21"/>
      <c r="H133" s="21"/>
      <c r="AB133" s="21"/>
    </row>
    <row r="134" spans="1:28">
      <c r="A134" s="21"/>
      <c r="B134" s="21"/>
      <c r="C134" s="21"/>
      <c r="D134" s="28"/>
      <c r="E134" s="21"/>
      <c r="F134" s="21"/>
      <c r="G134" s="21"/>
      <c r="H134" s="21"/>
      <c r="AB134" s="21"/>
    </row>
    <row r="135" spans="1:28">
      <c r="A135" s="21"/>
      <c r="B135" s="21"/>
      <c r="C135" s="21"/>
      <c r="D135" s="28"/>
      <c r="E135" s="21"/>
      <c r="F135" s="21"/>
      <c r="G135" s="21"/>
      <c r="H135" s="21"/>
      <c r="AB135" s="21"/>
    </row>
    <row r="136" spans="1:28">
      <c r="A136" s="21"/>
      <c r="B136" s="21"/>
      <c r="C136" s="21"/>
      <c r="D136" s="28"/>
      <c r="E136" s="21"/>
      <c r="F136" s="21"/>
      <c r="G136" s="21"/>
      <c r="H136" s="21"/>
      <c r="AB136" s="21"/>
    </row>
    <row r="137" spans="1:28">
      <c r="A137" s="21"/>
      <c r="B137" s="21"/>
      <c r="C137" s="21"/>
      <c r="D137" s="28"/>
      <c r="E137" s="21"/>
      <c r="F137" s="21"/>
      <c r="G137" s="21"/>
      <c r="H137" s="21"/>
      <c r="AB137" s="21"/>
    </row>
    <row r="138" spans="1:28">
      <c r="A138" s="21"/>
      <c r="B138" s="21"/>
      <c r="C138" s="21"/>
      <c r="D138" s="28"/>
      <c r="E138" s="21"/>
      <c r="F138" s="21"/>
      <c r="G138" s="21"/>
      <c r="H138" s="21"/>
      <c r="AB138" s="21"/>
    </row>
    <row r="139" spans="1:28">
      <c r="A139" s="21"/>
      <c r="B139" s="21"/>
      <c r="C139" s="21"/>
      <c r="D139" s="28"/>
      <c r="E139" s="21"/>
      <c r="F139" s="21"/>
      <c r="G139" s="21"/>
      <c r="H139" s="21"/>
      <c r="AB139" s="21"/>
    </row>
    <row r="140" spans="1:28">
      <c r="A140" s="21"/>
      <c r="B140" s="21"/>
      <c r="C140" s="21"/>
      <c r="D140" s="28"/>
      <c r="E140" s="21"/>
      <c r="F140" s="21"/>
      <c r="G140" s="21"/>
      <c r="H140" s="21"/>
      <c r="AB140" s="21"/>
    </row>
    <row r="141" spans="1:28">
      <c r="A141" s="21"/>
      <c r="B141" s="21"/>
      <c r="C141" s="21"/>
      <c r="D141" s="28"/>
      <c r="E141" s="21"/>
      <c r="F141" s="21"/>
      <c r="G141" s="21"/>
      <c r="H141" s="21"/>
      <c r="AB141" s="21"/>
    </row>
    <row r="142" spans="1:28">
      <c r="A142" s="21"/>
      <c r="B142" s="21"/>
      <c r="C142" s="21"/>
      <c r="D142" s="28"/>
      <c r="E142" s="21"/>
      <c r="F142" s="21"/>
      <c r="G142" s="21"/>
      <c r="H142" s="21"/>
      <c r="AB142" s="21"/>
    </row>
    <row r="143" spans="1:28">
      <c r="A143" s="21"/>
      <c r="B143" s="21"/>
      <c r="C143" s="21"/>
      <c r="D143" s="28"/>
      <c r="E143" s="21"/>
      <c r="F143" s="21"/>
      <c r="G143" s="21"/>
      <c r="H143" s="21"/>
      <c r="AB143" s="21"/>
    </row>
    <row r="144" spans="1:28">
      <c r="A144" s="21"/>
      <c r="B144" s="21"/>
      <c r="C144" s="21"/>
      <c r="D144" s="28"/>
      <c r="E144" s="21"/>
      <c r="F144" s="21"/>
      <c r="G144" s="21"/>
      <c r="H144" s="21"/>
      <c r="AB144" s="21"/>
    </row>
    <row r="145" spans="1:28">
      <c r="A145" s="21"/>
      <c r="B145" s="21"/>
      <c r="C145" s="21"/>
      <c r="D145" s="28"/>
      <c r="E145" s="21"/>
      <c r="F145" s="21"/>
      <c r="G145" s="21"/>
      <c r="H145" s="21"/>
      <c r="AB145" s="21"/>
    </row>
    <row r="146" spans="1:28">
      <c r="A146" s="21"/>
      <c r="B146" s="21"/>
      <c r="C146" s="21"/>
      <c r="D146" s="28"/>
      <c r="E146" s="21"/>
      <c r="F146" s="21"/>
      <c r="G146" s="21"/>
      <c r="H146" s="21"/>
      <c r="AB146" s="21"/>
    </row>
    <row r="147" spans="1:28">
      <c r="A147" s="21"/>
      <c r="B147" s="21"/>
      <c r="C147" s="21"/>
      <c r="D147" s="28"/>
      <c r="E147" s="21"/>
      <c r="F147" s="21"/>
      <c r="G147" s="21"/>
      <c r="H147" s="21"/>
      <c r="AB147" s="21"/>
    </row>
    <row r="148" spans="1:28">
      <c r="A148" s="21"/>
      <c r="B148" s="21"/>
      <c r="C148" s="21"/>
      <c r="D148" s="28"/>
      <c r="E148" s="21"/>
      <c r="F148" s="21"/>
      <c r="G148" s="21"/>
      <c r="H148" s="21"/>
      <c r="AB148" s="21"/>
    </row>
    <row r="149" spans="1:28">
      <c r="A149" s="21"/>
      <c r="B149" s="21"/>
      <c r="C149" s="21"/>
      <c r="D149" s="28"/>
      <c r="E149" s="21"/>
      <c r="F149" s="21"/>
      <c r="G149" s="21"/>
      <c r="H149" s="21"/>
      <c r="AB149" s="21"/>
    </row>
    <row r="150" spans="1:28">
      <c r="A150" s="21"/>
      <c r="B150" s="21"/>
      <c r="C150" s="21"/>
      <c r="D150" s="28"/>
      <c r="E150" s="21"/>
      <c r="F150" s="21"/>
      <c r="G150" s="21"/>
      <c r="H150" s="21"/>
      <c r="AB150" s="21"/>
    </row>
    <row r="151" spans="1:28">
      <c r="A151" s="21"/>
      <c r="B151" s="21"/>
      <c r="C151" s="21"/>
      <c r="D151" s="28"/>
      <c r="E151" s="21"/>
      <c r="F151" s="21"/>
      <c r="G151" s="21"/>
      <c r="H151" s="21"/>
      <c r="AB151" s="21"/>
    </row>
    <row r="152" spans="1:28">
      <c r="A152" s="21"/>
      <c r="B152" s="21"/>
      <c r="C152" s="21"/>
      <c r="D152" s="28"/>
      <c r="E152" s="21"/>
      <c r="F152" s="21"/>
      <c r="G152" s="21"/>
      <c r="H152" s="21"/>
      <c r="AB152" s="21"/>
    </row>
    <row r="153" spans="1:28">
      <c r="A153" s="21"/>
      <c r="B153" s="21"/>
      <c r="C153" s="21"/>
      <c r="D153" s="28"/>
      <c r="E153" s="21"/>
      <c r="F153" s="21"/>
      <c r="G153" s="21"/>
      <c r="H153" s="21"/>
      <c r="AB153" s="21"/>
    </row>
    <row r="154" spans="1:28">
      <c r="A154" s="21"/>
      <c r="B154" s="21"/>
      <c r="C154" s="21"/>
      <c r="D154" s="28"/>
      <c r="E154" s="21"/>
      <c r="F154" s="21"/>
      <c r="G154" s="21"/>
      <c r="H154" s="21"/>
      <c r="AB154" s="21"/>
    </row>
    <row r="155" spans="1:28">
      <c r="A155" s="21"/>
      <c r="B155" s="21"/>
      <c r="C155" s="21"/>
      <c r="D155" s="28"/>
      <c r="E155" s="21"/>
      <c r="F155" s="21"/>
      <c r="G155" s="21"/>
      <c r="H155" s="21"/>
      <c r="AB155" s="21"/>
    </row>
    <row r="156" spans="1:28">
      <c r="A156" s="21"/>
      <c r="B156" s="21"/>
      <c r="C156" s="21"/>
      <c r="D156" s="28"/>
      <c r="E156" s="21"/>
      <c r="F156" s="21"/>
      <c r="G156" s="21"/>
      <c r="H156" s="21"/>
      <c r="AB156" s="21"/>
    </row>
    <row r="157" spans="1:28">
      <c r="A157" s="21"/>
      <c r="B157" s="21"/>
      <c r="C157" s="21"/>
      <c r="D157" s="28"/>
      <c r="E157" s="21"/>
      <c r="F157" s="21"/>
      <c r="G157" s="21"/>
      <c r="H157" s="21"/>
      <c r="AB157" s="21"/>
    </row>
    <row r="158" spans="1:28">
      <c r="A158" s="21"/>
      <c r="B158" s="21"/>
      <c r="C158" s="21"/>
      <c r="D158" s="28"/>
      <c r="E158" s="21"/>
      <c r="F158" s="21"/>
      <c r="G158" s="21"/>
      <c r="H158" s="21"/>
      <c r="AB158" s="21"/>
    </row>
    <row r="159" spans="1:28">
      <c r="A159" s="21"/>
      <c r="B159" s="21"/>
      <c r="C159" s="21"/>
      <c r="D159" s="28"/>
      <c r="E159" s="21"/>
      <c r="F159" s="21"/>
      <c r="G159" s="21"/>
      <c r="H159" s="21"/>
      <c r="AB159" s="21"/>
    </row>
    <row r="160" spans="1:28">
      <c r="A160" s="21"/>
      <c r="B160" s="21"/>
      <c r="C160" s="21"/>
      <c r="D160" s="28"/>
      <c r="E160" s="21"/>
      <c r="F160" s="21"/>
      <c r="G160" s="21"/>
      <c r="H160" s="21"/>
      <c r="AB160" s="21"/>
    </row>
    <row r="161" spans="1:28">
      <c r="A161" s="21"/>
      <c r="B161" s="21"/>
      <c r="C161" s="21"/>
      <c r="D161" s="28"/>
      <c r="E161" s="21"/>
      <c r="F161" s="21"/>
      <c r="G161" s="21"/>
      <c r="H161" s="21"/>
      <c r="AB161" s="21"/>
    </row>
    <row r="162" spans="1:28">
      <c r="A162" s="21"/>
      <c r="B162" s="21"/>
      <c r="C162" s="21"/>
      <c r="D162" s="28"/>
      <c r="E162" s="21"/>
      <c r="F162" s="21"/>
      <c r="G162" s="21"/>
      <c r="H162" s="21"/>
      <c r="AB162" s="21"/>
    </row>
    <row r="163" spans="1:28">
      <c r="A163" s="21"/>
      <c r="B163" s="21"/>
      <c r="C163" s="21"/>
      <c r="D163" s="28"/>
      <c r="E163" s="21"/>
      <c r="F163" s="21"/>
      <c r="G163" s="21"/>
      <c r="H163" s="21"/>
      <c r="AB163" s="21"/>
    </row>
    <row r="164" spans="1:28">
      <c r="A164" s="21"/>
      <c r="B164" s="21"/>
      <c r="C164" s="21"/>
      <c r="D164" s="28"/>
      <c r="E164" s="21"/>
      <c r="F164" s="21"/>
      <c r="G164" s="21"/>
      <c r="H164" s="21"/>
      <c r="AB164" s="21"/>
    </row>
    <row r="165" spans="1:28">
      <c r="A165" s="21"/>
      <c r="B165" s="21"/>
      <c r="C165" s="21"/>
      <c r="D165" s="28"/>
      <c r="E165" s="21"/>
      <c r="F165" s="21"/>
      <c r="G165" s="21"/>
      <c r="H165" s="21"/>
      <c r="AB165" s="21"/>
    </row>
    <row r="166" spans="1:28">
      <c r="A166" s="21"/>
      <c r="B166" s="21"/>
      <c r="C166" s="21"/>
      <c r="D166" s="28"/>
      <c r="E166" s="21"/>
      <c r="F166" s="21"/>
      <c r="G166" s="21"/>
      <c r="H166" s="21"/>
      <c r="AB166" s="21"/>
    </row>
    <row r="167" spans="1:28">
      <c r="A167" s="21"/>
      <c r="B167" s="21"/>
      <c r="C167" s="21"/>
      <c r="D167" s="28"/>
      <c r="E167" s="21"/>
      <c r="F167" s="21"/>
      <c r="G167" s="21"/>
      <c r="H167" s="21"/>
      <c r="AB167" s="21"/>
    </row>
    <row r="168" spans="1:28">
      <c r="A168" s="21"/>
      <c r="B168" s="21"/>
      <c r="C168" s="21"/>
      <c r="D168" s="28"/>
      <c r="E168" s="21"/>
      <c r="F168" s="21"/>
      <c r="G168" s="21"/>
      <c r="H168" s="21"/>
      <c r="AB168" s="21"/>
    </row>
    <row r="169" spans="1:28">
      <c r="A169" s="21"/>
      <c r="B169" s="21"/>
      <c r="C169" s="21"/>
      <c r="D169" s="28"/>
      <c r="E169" s="21"/>
      <c r="F169" s="21"/>
      <c r="G169" s="21"/>
      <c r="H169" s="21"/>
      <c r="AB169" s="21"/>
    </row>
    <row r="170" spans="1:28">
      <c r="A170" s="21"/>
      <c r="B170" s="21"/>
      <c r="C170" s="21"/>
      <c r="D170" s="28"/>
      <c r="E170" s="21"/>
      <c r="F170" s="21"/>
      <c r="G170" s="21"/>
      <c r="H170" s="21"/>
      <c r="AB170" s="21"/>
    </row>
    <row r="171" spans="1:28">
      <c r="A171" s="21"/>
      <c r="B171" s="21"/>
      <c r="C171" s="21"/>
      <c r="D171" s="28"/>
      <c r="E171" s="21"/>
      <c r="F171" s="21"/>
      <c r="G171" s="21"/>
      <c r="H171" s="21"/>
      <c r="AB171" s="21"/>
    </row>
    <row r="172" spans="1:28">
      <c r="A172" s="21"/>
      <c r="B172" s="21"/>
      <c r="C172" s="21"/>
      <c r="D172" s="28"/>
      <c r="E172" s="21"/>
      <c r="F172" s="21"/>
      <c r="G172" s="21"/>
      <c r="H172" s="21"/>
      <c r="AB172" s="21"/>
    </row>
    <row r="173" spans="1:28">
      <c r="A173" s="21"/>
      <c r="B173" s="21"/>
      <c r="C173" s="21"/>
      <c r="D173" s="28"/>
      <c r="E173" s="21"/>
      <c r="F173" s="21"/>
      <c r="G173" s="21"/>
      <c r="H173" s="21"/>
      <c r="AB173" s="21"/>
    </row>
    <row r="174" spans="1:28">
      <c r="A174" s="21"/>
      <c r="B174" s="21"/>
      <c r="C174" s="21"/>
      <c r="D174" s="28"/>
      <c r="E174" s="21"/>
      <c r="F174" s="21"/>
      <c r="G174" s="21"/>
      <c r="H174" s="21"/>
      <c r="AB174" s="21"/>
    </row>
    <row r="175" spans="1:28">
      <c r="A175" s="21"/>
      <c r="B175" s="21"/>
      <c r="C175" s="21"/>
      <c r="D175" s="28"/>
      <c r="E175" s="21"/>
      <c r="F175" s="21"/>
      <c r="G175" s="21"/>
      <c r="H175" s="21"/>
      <c r="AB175" s="21"/>
    </row>
    <row r="176" spans="1:28">
      <c r="A176" s="21"/>
      <c r="B176" s="21"/>
      <c r="C176" s="21"/>
      <c r="D176" s="28"/>
      <c r="E176" s="21"/>
      <c r="F176" s="21"/>
      <c r="G176" s="21"/>
      <c r="H176" s="21"/>
      <c r="AB176" s="21"/>
    </row>
    <row r="177" spans="1:28">
      <c r="A177" s="21"/>
      <c r="B177" s="21"/>
      <c r="C177" s="21"/>
      <c r="D177" s="28"/>
      <c r="E177" s="21"/>
      <c r="F177" s="21"/>
      <c r="G177" s="21"/>
      <c r="H177" s="21"/>
      <c r="AB177" s="21"/>
    </row>
    <row r="178" spans="1:28">
      <c r="A178" s="21"/>
      <c r="B178" s="21"/>
      <c r="C178" s="21"/>
      <c r="D178" s="28"/>
      <c r="E178" s="21"/>
      <c r="F178" s="21"/>
      <c r="G178" s="21"/>
      <c r="H178" s="21"/>
      <c r="AB178" s="21"/>
    </row>
    <row r="179" spans="1:28">
      <c r="A179" s="21"/>
      <c r="B179" s="21"/>
      <c r="C179" s="21"/>
      <c r="D179" s="28"/>
      <c r="E179" s="21"/>
      <c r="F179" s="21"/>
      <c r="G179" s="21"/>
      <c r="H179" s="21"/>
      <c r="AB179" s="21"/>
    </row>
    <row r="180" spans="1:28">
      <c r="A180" s="21"/>
      <c r="B180" s="21"/>
      <c r="C180" s="21"/>
      <c r="D180" s="28"/>
      <c r="E180" s="21"/>
      <c r="F180" s="21"/>
      <c r="G180" s="21"/>
      <c r="H180" s="21"/>
      <c r="AB180" s="21"/>
    </row>
    <row r="181" spans="1:28">
      <c r="A181" s="21"/>
      <c r="B181" s="21"/>
      <c r="C181" s="21"/>
      <c r="D181" s="28"/>
      <c r="E181" s="21"/>
      <c r="F181" s="21"/>
      <c r="G181" s="21"/>
      <c r="H181" s="21"/>
      <c r="AB181" s="21"/>
    </row>
    <row r="182" spans="1:28">
      <c r="A182" s="21"/>
      <c r="B182" s="21"/>
      <c r="C182" s="21"/>
      <c r="D182" s="28"/>
      <c r="E182" s="21"/>
      <c r="F182" s="21"/>
      <c r="G182" s="21"/>
      <c r="H182" s="21"/>
      <c r="AB182" s="21"/>
    </row>
    <row r="183" spans="1:28">
      <c r="A183" s="21"/>
      <c r="B183" s="21"/>
      <c r="C183" s="21"/>
      <c r="D183" s="28"/>
      <c r="E183" s="21"/>
      <c r="F183" s="21"/>
      <c r="G183" s="21"/>
      <c r="H183" s="21"/>
      <c r="AB183" s="21"/>
    </row>
    <row r="184" spans="1:28">
      <c r="A184" s="21"/>
      <c r="B184" s="21"/>
      <c r="C184" s="21"/>
      <c r="D184" s="28"/>
      <c r="E184" s="21"/>
      <c r="F184" s="21"/>
      <c r="G184" s="21"/>
      <c r="H184" s="21"/>
      <c r="AB184" s="21"/>
    </row>
    <row r="185" spans="1:28">
      <c r="A185" s="21"/>
      <c r="B185" s="21"/>
      <c r="C185" s="21"/>
      <c r="D185" s="28"/>
      <c r="E185" s="21"/>
      <c r="F185" s="21"/>
      <c r="G185" s="21"/>
      <c r="H185" s="21"/>
      <c r="AB185" s="21"/>
    </row>
    <row r="186" spans="1:28">
      <c r="A186" s="21"/>
      <c r="B186" s="21"/>
      <c r="C186" s="21"/>
      <c r="D186" s="28"/>
      <c r="E186" s="21"/>
      <c r="F186" s="21"/>
      <c r="G186" s="21"/>
      <c r="H186" s="21"/>
      <c r="AB186" s="21"/>
    </row>
    <row r="187" spans="1:28">
      <c r="A187" s="21"/>
      <c r="B187" s="21"/>
      <c r="C187" s="21"/>
      <c r="D187" s="28"/>
      <c r="E187" s="21"/>
      <c r="F187" s="21"/>
      <c r="G187" s="21"/>
      <c r="H187" s="21"/>
      <c r="AB187" s="21"/>
    </row>
    <row r="188" spans="1:28">
      <c r="A188" s="21"/>
      <c r="B188" s="21"/>
      <c r="C188" s="21"/>
      <c r="D188" s="28"/>
      <c r="E188" s="21"/>
      <c r="F188" s="21"/>
      <c r="G188" s="21"/>
      <c r="H188" s="21"/>
      <c r="AB188" s="21"/>
    </row>
    <row r="189" spans="1:28">
      <c r="A189" s="21"/>
      <c r="B189" s="21"/>
      <c r="C189" s="21"/>
      <c r="D189" s="28"/>
      <c r="E189" s="21"/>
      <c r="F189" s="21"/>
      <c r="G189" s="21"/>
      <c r="H189" s="21"/>
      <c r="AB189" s="21"/>
    </row>
    <row r="190" spans="1:28">
      <c r="A190" s="21"/>
      <c r="B190" s="21"/>
      <c r="C190" s="21"/>
      <c r="D190" s="28"/>
      <c r="E190" s="21"/>
      <c r="F190" s="21"/>
      <c r="G190" s="21"/>
      <c r="H190" s="21"/>
      <c r="AB190" s="21"/>
    </row>
    <row r="191" spans="1:28">
      <c r="A191" s="21"/>
      <c r="B191" s="21"/>
      <c r="C191" s="21"/>
      <c r="D191" s="28"/>
      <c r="E191" s="21"/>
      <c r="F191" s="21"/>
      <c r="G191" s="21"/>
      <c r="H191" s="21"/>
      <c r="AB191" s="21"/>
    </row>
    <row r="192" spans="1:28">
      <c r="A192" s="21"/>
      <c r="B192" s="21"/>
      <c r="C192" s="21"/>
      <c r="D192" s="28"/>
      <c r="E192" s="21"/>
      <c r="F192" s="21"/>
      <c r="G192" s="21"/>
      <c r="H192" s="21"/>
      <c r="AB192" s="21"/>
    </row>
    <row r="193" spans="1:28">
      <c r="A193" s="21"/>
      <c r="B193" s="21"/>
      <c r="C193" s="21"/>
      <c r="D193" s="28"/>
      <c r="E193" s="21"/>
      <c r="F193" s="21"/>
      <c r="G193" s="21"/>
      <c r="H193" s="21"/>
      <c r="AB193" s="21"/>
    </row>
    <row r="194" spans="1:28">
      <c r="A194" s="21"/>
      <c r="B194" s="21"/>
      <c r="C194" s="21"/>
      <c r="D194" s="28"/>
      <c r="E194" s="21"/>
      <c r="F194" s="21"/>
      <c r="G194" s="21"/>
      <c r="H194" s="21"/>
      <c r="AB194" s="21"/>
    </row>
    <row r="195" spans="1:28">
      <c r="A195" s="21"/>
      <c r="B195" s="21"/>
      <c r="C195" s="21"/>
      <c r="D195" s="28"/>
      <c r="E195" s="21"/>
      <c r="F195" s="21"/>
      <c r="G195" s="21"/>
      <c r="H195" s="21"/>
      <c r="AB195" s="21"/>
    </row>
    <row r="196" spans="1:28">
      <c r="A196" s="21"/>
      <c r="B196" s="21"/>
      <c r="C196" s="21"/>
      <c r="D196" s="28"/>
      <c r="E196" s="21"/>
      <c r="F196" s="21"/>
      <c r="G196" s="21"/>
      <c r="H196" s="21"/>
      <c r="AB196" s="21"/>
    </row>
    <row r="197" spans="1:28">
      <c r="A197" s="21"/>
      <c r="B197" s="21"/>
      <c r="C197" s="21"/>
      <c r="D197" s="28"/>
      <c r="E197" s="21"/>
      <c r="F197" s="21"/>
      <c r="G197" s="21"/>
      <c r="H197" s="21"/>
      <c r="AB197" s="21"/>
    </row>
    <row r="198" spans="1:28">
      <c r="A198" s="21"/>
      <c r="B198" s="21"/>
      <c r="C198" s="21"/>
      <c r="D198" s="28"/>
      <c r="E198" s="21"/>
      <c r="F198" s="21"/>
      <c r="G198" s="21"/>
      <c r="H198" s="21"/>
      <c r="AB198" s="21"/>
    </row>
    <row r="199" spans="1:28">
      <c r="A199" s="21"/>
      <c r="B199" s="21"/>
      <c r="C199" s="21"/>
      <c r="D199" s="28"/>
      <c r="E199" s="21"/>
      <c r="F199" s="21"/>
      <c r="G199" s="21"/>
      <c r="H199" s="21"/>
      <c r="AB199" s="21"/>
    </row>
    <row r="200" spans="1:28">
      <c r="A200" s="21"/>
      <c r="B200" s="21"/>
      <c r="C200" s="21"/>
      <c r="D200" s="28"/>
      <c r="E200" s="21"/>
      <c r="F200" s="21"/>
      <c r="G200" s="21"/>
      <c r="H200" s="21"/>
      <c r="AB200" s="21"/>
    </row>
    <row r="201" spans="1:28">
      <c r="A201" s="21"/>
      <c r="B201" s="21"/>
      <c r="C201" s="21"/>
      <c r="D201" s="28"/>
      <c r="E201" s="21"/>
      <c r="F201" s="21"/>
      <c r="G201" s="21"/>
      <c r="H201" s="21"/>
      <c r="AB201" s="21"/>
    </row>
    <row r="202" spans="1:28">
      <c r="A202" s="21"/>
      <c r="B202" s="21"/>
      <c r="C202" s="21"/>
      <c r="D202" s="28"/>
      <c r="E202" s="21"/>
      <c r="F202" s="21"/>
      <c r="G202" s="21"/>
      <c r="H202" s="21"/>
      <c r="AB202" s="21"/>
    </row>
    <row r="203" spans="1:28">
      <c r="A203" s="21"/>
      <c r="B203" s="21"/>
      <c r="C203" s="21"/>
      <c r="D203" s="28"/>
      <c r="E203" s="21"/>
      <c r="F203" s="21"/>
      <c r="G203" s="21"/>
      <c r="H203" s="21"/>
      <c r="AB203" s="21"/>
    </row>
    <row r="204" spans="1:28">
      <c r="A204" s="21"/>
      <c r="B204" s="21"/>
      <c r="C204" s="21"/>
      <c r="D204" s="28"/>
      <c r="E204" s="21"/>
      <c r="F204" s="21"/>
      <c r="G204" s="21"/>
      <c r="H204" s="21"/>
      <c r="AB204" s="21"/>
    </row>
    <row r="205" spans="1:28">
      <c r="A205" s="21"/>
      <c r="B205" s="21"/>
      <c r="C205" s="21"/>
      <c r="D205" s="28"/>
      <c r="E205" s="21"/>
      <c r="F205" s="21"/>
      <c r="G205" s="21"/>
      <c r="H205" s="21"/>
      <c r="AB205" s="21"/>
    </row>
    <row r="206" spans="1:28">
      <c r="A206" s="21"/>
      <c r="B206" s="21"/>
      <c r="C206" s="21"/>
      <c r="D206" s="28"/>
      <c r="E206" s="21"/>
      <c r="F206" s="21"/>
      <c r="G206" s="21"/>
      <c r="H206" s="21"/>
      <c r="AB206" s="21"/>
    </row>
    <row r="207" spans="1:28">
      <c r="A207" s="21"/>
      <c r="B207" s="21"/>
      <c r="C207" s="21"/>
      <c r="D207" s="28"/>
      <c r="E207" s="21"/>
      <c r="F207" s="21"/>
      <c r="G207" s="21"/>
      <c r="H207" s="21"/>
      <c r="AB207" s="21"/>
    </row>
    <row r="208" spans="1:28">
      <c r="A208" s="21"/>
      <c r="B208" s="21"/>
      <c r="C208" s="21"/>
      <c r="D208" s="28"/>
      <c r="E208" s="21"/>
      <c r="F208" s="21"/>
      <c r="G208" s="21"/>
      <c r="H208" s="21"/>
      <c r="AB208" s="21"/>
    </row>
    <row r="209" spans="1:28">
      <c r="A209" s="21"/>
      <c r="B209" s="21"/>
      <c r="C209" s="21"/>
      <c r="D209" s="28"/>
      <c r="E209" s="21"/>
      <c r="F209" s="21"/>
      <c r="G209" s="21"/>
      <c r="H209" s="21"/>
      <c r="AB209" s="21"/>
    </row>
    <row r="210" spans="1:28">
      <c r="A210" s="21"/>
      <c r="B210" s="21"/>
      <c r="C210" s="21"/>
      <c r="D210" s="28"/>
      <c r="E210" s="21"/>
      <c r="F210" s="21"/>
      <c r="G210" s="21"/>
      <c r="H210" s="21"/>
      <c r="AB210" s="21"/>
    </row>
    <row r="211" spans="1:28">
      <c r="A211" s="21"/>
      <c r="B211" s="21"/>
      <c r="C211" s="21"/>
      <c r="D211" s="28"/>
      <c r="E211" s="21"/>
      <c r="F211" s="21"/>
      <c r="G211" s="21"/>
      <c r="H211" s="21"/>
      <c r="AB211" s="21"/>
    </row>
    <row r="212" spans="1:28">
      <c r="A212" s="21"/>
      <c r="B212" s="21"/>
      <c r="C212" s="21"/>
      <c r="D212" s="28"/>
      <c r="E212" s="21"/>
      <c r="F212" s="21"/>
      <c r="G212" s="21"/>
      <c r="H212" s="21"/>
      <c r="AB212" s="21"/>
    </row>
    <row r="213" spans="1:28">
      <c r="A213" s="21"/>
      <c r="B213" s="21"/>
      <c r="C213" s="21"/>
      <c r="D213" s="28"/>
      <c r="E213" s="21"/>
      <c r="F213" s="21"/>
      <c r="G213" s="21"/>
      <c r="H213" s="21"/>
      <c r="AB213" s="21"/>
    </row>
    <row r="214" spans="1:28">
      <c r="A214" s="21"/>
      <c r="B214" s="21"/>
      <c r="C214" s="21"/>
      <c r="D214" s="28"/>
      <c r="E214" s="21"/>
      <c r="F214" s="21"/>
      <c r="G214" s="21"/>
      <c r="H214" s="21"/>
      <c r="AB214" s="21"/>
    </row>
    <row r="215" spans="1:28">
      <c r="A215" s="21"/>
      <c r="B215" s="21"/>
      <c r="C215" s="21"/>
      <c r="D215" s="28"/>
      <c r="E215" s="21"/>
      <c r="F215" s="21"/>
      <c r="G215" s="21"/>
      <c r="H215" s="21"/>
      <c r="AB215" s="21"/>
    </row>
    <row r="216" spans="1:28">
      <c r="A216" s="21"/>
      <c r="B216" s="21"/>
      <c r="C216" s="21"/>
      <c r="D216" s="28"/>
      <c r="E216" s="21"/>
      <c r="F216" s="21"/>
      <c r="G216" s="21"/>
      <c r="H216" s="21"/>
      <c r="AB216" s="21"/>
    </row>
    <row r="217" spans="1:28">
      <c r="A217" s="21"/>
      <c r="B217" s="21"/>
      <c r="C217" s="21"/>
      <c r="D217" s="28"/>
      <c r="E217" s="21"/>
      <c r="F217" s="21"/>
      <c r="G217" s="21"/>
      <c r="H217" s="21"/>
      <c r="AB217" s="21"/>
    </row>
    <row r="218" spans="1:28">
      <c r="A218" s="21"/>
      <c r="B218" s="21"/>
      <c r="C218" s="21"/>
      <c r="D218" s="28"/>
      <c r="E218" s="21"/>
      <c r="F218" s="21"/>
      <c r="G218" s="21"/>
      <c r="H218" s="21"/>
      <c r="AB218" s="21"/>
    </row>
    <row r="219" spans="1:28">
      <c r="A219" s="21"/>
      <c r="B219" s="21"/>
      <c r="C219" s="21"/>
      <c r="D219" s="28"/>
      <c r="E219" s="21"/>
      <c r="F219" s="21"/>
      <c r="G219" s="21"/>
      <c r="H219" s="21"/>
      <c r="AB219" s="21"/>
    </row>
    <row r="220" spans="1:28">
      <c r="A220" s="21"/>
      <c r="B220" s="21"/>
      <c r="C220" s="21"/>
      <c r="D220" s="28"/>
      <c r="E220" s="21"/>
      <c r="F220" s="21"/>
      <c r="G220" s="21"/>
      <c r="H220" s="21"/>
      <c r="AB220" s="21"/>
    </row>
    <row r="221" spans="1:28">
      <c r="A221" s="21"/>
      <c r="B221" s="21"/>
      <c r="C221" s="21"/>
      <c r="D221" s="28"/>
      <c r="E221" s="21"/>
      <c r="F221" s="21"/>
      <c r="G221" s="21"/>
      <c r="H221" s="21"/>
      <c r="AB221" s="21"/>
    </row>
    <row r="222" spans="1:28">
      <c r="A222" s="21"/>
      <c r="B222" s="21"/>
      <c r="C222" s="21"/>
      <c r="D222" s="28"/>
      <c r="E222" s="21"/>
      <c r="F222" s="21"/>
      <c r="G222" s="21"/>
      <c r="H222" s="21"/>
      <c r="AB222" s="21"/>
    </row>
    <row r="223" spans="1:28">
      <c r="A223" s="21"/>
      <c r="B223" s="21"/>
      <c r="C223" s="21"/>
      <c r="D223" s="28"/>
      <c r="E223" s="21"/>
      <c r="F223" s="21"/>
      <c r="G223" s="21"/>
      <c r="H223" s="21"/>
      <c r="AB223" s="21"/>
    </row>
    <row r="224" spans="1:28">
      <c r="A224" s="21"/>
      <c r="B224" s="21"/>
      <c r="C224" s="21"/>
      <c r="D224" s="28"/>
      <c r="E224" s="21"/>
      <c r="F224" s="21"/>
      <c r="G224" s="21"/>
      <c r="H224" s="21"/>
      <c r="AB224" s="21"/>
    </row>
    <row r="225" spans="1:28">
      <c r="A225" s="21"/>
      <c r="B225" s="21"/>
      <c r="C225" s="21"/>
      <c r="D225" s="28"/>
      <c r="E225" s="21"/>
      <c r="F225" s="21"/>
      <c r="G225" s="21"/>
      <c r="H225" s="21"/>
      <c r="AB225" s="21"/>
    </row>
    <row r="226" spans="1:28">
      <c r="A226" s="21"/>
      <c r="B226" s="21"/>
      <c r="C226" s="21"/>
      <c r="D226" s="28"/>
      <c r="E226" s="21"/>
      <c r="F226" s="21"/>
      <c r="G226" s="21"/>
      <c r="H226" s="21"/>
      <c r="AB226" s="21"/>
    </row>
    <row r="227" spans="1:28">
      <c r="A227" s="21"/>
      <c r="B227" s="21"/>
      <c r="C227" s="21"/>
      <c r="D227" s="28"/>
      <c r="E227" s="21"/>
      <c r="F227" s="21"/>
      <c r="G227" s="21"/>
      <c r="H227" s="21"/>
      <c r="AB227" s="21"/>
    </row>
    <row r="228" spans="1:28">
      <c r="A228" s="21"/>
      <c r="B228" s="21"/>
      <c r="C228" s="21"/>
      <c r="D228" s="28"/>
      <c r="E228" s="21"/>
      <c r="F228" s="21"/>
      <c r="G228" s="21"/>
      <c r="H228" s="21"/>
      <c r="AB228" s="21"/>
    </row>
    <row r="229" spans="1:28">
      <c r="A229" s="21"/>
      <c r="B229" s="21"/>
      <c r="C229" s="21"/>
      <c r="D229" s="28"/>
      <c r="E229" s="21"/>
      <c r="F229" s="21"/>
      <c r="G229" s="21"/>
      <c r="H229" s="21"/>
      <c r="AB229" s="21"/>
    </row>
    <row r="230" spans="1:28">
      <c r="A230" s="21"/>
      <c r="B230" s="21"/>
      <c r="C230" s="21"/>
      <c r="D230" s="28"/>
      <c r="E230" s="21"/>
      <c r="F230" s="21"/>
      <c r="G230" s="21"/>
      <c r="H230" s="21"/>
      <c r="AB230" s="21"/>
    </row>
    <row r="231" spans="1:28">
      <c r="A231" s="21"/>
      <c r="B231" s="21"/>
      <c r="C231" s="21"/>
      <c r="D231" s="28"/>
      <c r="E231" s="21"/>
      <c r="F231" s="21"/>
      <c r="G231" s="21"/>
      <c r="H231" s="21"/>
      <c r="AB231" s="21"/>
    </row>
    <row r="232" spans="1:28">
      <c r="A232" s="21"/>
      <c r="B232" s="21"/>
      <c r="C232" s="21"/>
      <c r="D232" s="28"/>
      <c r="E232" s="21"/>
      <c r="F232" s="21"/>
      <c r="G232" s="21"/>
      <c r="H232" s="21"/>
      <c r="AB232" s="21"/>
    </row>
    <row r="233" spans="1:28">
      <c r="A233" s="21"/>
      <c r="B233" s="21"/>
      <c r="C233" s="21"/>
      <c r="D233" s="28"/>
      <c r="E233" s="21"/>
      <c r="F233" s="21"/>
      <c r="G233" s="21"/>
      <c r="H233" s="21"/>
      <c r="AB233" s="21"/>
    </row>
    <row r="234" spans="1:28">
      <c r="A234" s="21"/>
      <c r="B234" s="21"/>
      <c r="C234" s="21"/>
      <c r="D234" s="28"/>
      <c r="E234" s="21"/>
      <c r="F234" s="21"/>
      <c r="G234" s="21"/>
      <c r="H234" s="21"/>
      <c r="AB234" s="21"/>
    </row>
    <row r="235" spans="1:28">
      <c r="A235" s="21"/>
      <c r="B235" s="21"/>
      <c r="C235" s="21"/>
      <c r="D235" s="28"/>
      <c r="E235" s="21"/>
      <c r="F235" s="21"/>
      <c r="G235" s="21"/>
      <c r="H235" s="21"/>
      <c r="AB235" s="21"/>
    </row>
    <row r="236" spans="1:28">
      <c r="A236" s="21"/>
      <c r="B236" s="21"/>
      <c r="C236" s="21"/>
      <c r="D236" s="28"/>
      <c r="E236" s="21"/>
      <c r="F236" s="21"/>
      <c r="G236" s="21"/>
      <c r="H236" s="21"/>
      <c r="AB236" s="21"/>
    </row>
    <row r="237" spans="1:28">
      <c r="A237" s="21"/>
      <c r="B237" s="21"/>
      <c r="C237" s="21"/>
      <c r="D237" s="28"/>
      <c r="E237" s="21"/>
      <c r="F237" s="21"/>
      <c r="G237" s="21"/>
      <c r="H237" s="21"/>
      <c r="AB237" s="21"/>
    </row>
    <row r="238" spans="1:28">
      <c r="A238" s="21"/>
      <c r="B238" s="21"/>
      <c r="C238" s="21"/>
      <c r="D238" s="28"/>
      <c r="E238" s="21"/>
      <c r="F238" s="21"/>
      <c r="G238" s="21"/>
      <c r="H238" s="21"/>
      <c r="AB238" s="21"/>
    </row>
    <row r="239" spans="1:28">
      <c r="A239" s="21"/>
      <c r="B239" s="21"/>
      <c r="C239" s="21"/>
      <c r="D239" s="28"/>
      <c r="E239" s="21"/>
      <c r="F239" s="21"/>
      <c r="G239" s="21"/>
      <c r="H239" s="21"/>
      <c r="AB239" s="21"/>
    </row>
    <row r="240" spans="1:28">
      <c r="A240" s="21"/>
      <c r="B240" s="21"/>
      <c r="C240" s="21"/>
      <c r="D240" s="28"/>
      <c r="E240" s="21"/>
      <c r="F240" s="21"/>
      <c r="G240" s="21"/>
      <c r="H240" s="21"/>
      <c r="AB240" s="21"/>
    </row>
    <row r="241" spans="1:28">
      <c r="A241" s="21"/>
      <c r="B241" s="21"/>
      <c r="C241" s="21"/>
      <c r="D241" s="28"/>
      <c r="E241" s="21"/>
      <c r="F241" s="21"/>
      <c r="G241" s="21"/>
      <c r="H241" s="21"/>
      <c r="AB241" s="21"/>
    </row>
    <row r="242" spans="1:28">
      <c r="A242" s="21"/>
      <c r="B242" s="21"/>
      <c r="C242" s="21"/>
      <c r="D242" s="28"/>
      <c r="E242" s="21"/>
      <c r="F242" s="21"/>
      <c r="G242" s="21"/>
      <c r="H242" s="21"/>
      <c r="AB242" s="21"/>
    </row>
    <row r="243" spans="1:28">
      <c r="A243" s="21"/>
      <c r="B243" s="21"/>
      <c r="C243" s="21"/>
      <c r="D243" s="28"/>
      <c r="E243" s="21"/>
      <c r="F243" s="21"/>
      <c r="G243" s="21"/>
      <c r="H243" s="21"/>
      <c r="AB243" s="21"/>
    </row>
    <row r="244" spans="1:28">
      <c r="A244" s="21"/>
      <c r="B244" s="21"/>
      <c r="C244" s="21"/>
      <c r="D244" s="28"/>
      <c r="E244" s="21"/>
      <c r="F244" s="21"/>
      <c r="G244" s="21"/>
      <c r="H244" s="21"/>
      <c r="AB244" s="21"/>
    </row>
    <row r="245" spans="1:28">
      <c r="A245" s="21"/>
      <c r="B245" s="21"/>
      <c r="C245" s="21"/>
      <c r="D245" s="28"/>
      <c r="E245" s="21"/>
      <c r="F245" s="21"/>
      <c r="G245" s="21"/>
      <c r="H245" s="21"/>
      <c r="AB245" s="21"/>
    </row>
    <row r="246" spans="1:28">
      <c r="A246" s="21"/>
      <c r="B246" s="21"/>
      <c r="C246" s="21"/>
      <c r="D246" s="28"/>
      <c r="E246" s="21"/>
      <c r="F246" s="21"/>
      <c r="G246" s="21"/>
      <c r="H246" s="21"/>
      <c r="AB246" s="21"/>
    </row>
    <row r="247" spans="1:28">
      <c r="A247" s="21"/>
      <c r="B247" s="21"/>
      <c r="C247" s="21"/>
      <c r="D247" s="28"/>
      <c r="E247" s="21"/>
      <c r="F247" s="21"/>
      <c r="G247" s="21"/>
      <c r="H247" s="21"/>
      <c r="AB247" s="21"/>
    </row>
    <row r="248" spans="1:28">
      <c r="A248" s="21"/>
      <c r="B248" s="21"/>
      <c r="C248" s="21"/>
      <c r="D248" s="28"/>
      <c r="E248" s="21"/>
      <c r="F248" s="21"/>
      <c r="G248" s="21"/>
      <c r="H248" s="21"/>
      <c r="AB248" s="21"/>
    </row>
    <row r="249" spans="1:28">
      <c r="A249" s="21"/>
      <c r="B249" s="21"/>
      <c r="C249" s="21"/>
      <c r="D249" s="28"/>
      <c r="E249" s="21"/>
      <c r="F249" s="21"/>
      <c r="G249" s="21"/>
      <c r="H249" s="21"/>
      <c r="AB249" s="21"/>
    </row>
    <row r="250" spans="1:28">
      <c r="A250" s="21"/>
      <c r="B250" s="21"/>
      <c r="C250" s="21"/>
      <c r="D250" s="28"/>
      <c r="E250" s="21"/>
      <c r="F250" s="21"/>
      <c r="G250" s="21"/>
      <c r="H250" s="21"/>
      <c r="AB250" s="21"/>
    </row>
    <row r="251" spans="1:28">
      <c r="A251" s="21"/>
      <c r="B251" s="21"/>
      <c r="C251" s="21"/>
      <c r="D251" s="28"/>
      <c r="E251" s="21"/>
      <c r="F251" s="21"/>
      <c r="G251" s="21"/>
      <c r="H251" s="21"/>
      <c r="AB251" s="21"/>
    </row>
    <row r="252" spans="1:28">
      <c r="A252" s="21"/>
      <c r="B252" s="21"/>
      <c r="C252" s="21"/>
      <c r="D252" s="28"/>
      <c r="E252" s="21"/>
      <c r="F252" s="21"/>
      <c r="G252" s="21"/>
      <c r="H252" s="21"/>
      <c r="AB252" s="21"/>
    </row>
    <row r="253" spans="1:28">
      <c r="A253" s="21"/>
      <c r="B253" s="21"/>
      <c r="C253" s="21"/>
      <c r="D253" s="28"/>
      <c r="E253" s="21"/>
      <c r="F253" s="21"/>
      <c r="G253" s="21"/>
      <c r="H253" s="21"/>
      <c r="AB253" s="21"/>
    </row>
    <row r="254" spans="1:28">
      <c r="A254" s="21"/>
      <c r="B254" s="21"/>
      <c r="C254" s="21"/>
      <c r="D254" s="28"/>
      <c r="E254" s="21"/>
      <c r="F254" s="21"/>
      <c r="G254" s="21"/>
      <c r="H254" s="21"/>
      <c r="AB254" s="21"/>
    </row>
    <row r="255" spans="1:28">
      <c r="A255" s="21"/>
      <c r="B255" s="21"/>
      <c r="C255" s="21"/>
      <c r="D255" s="28"/>
      <c r="E255" s="21"/>
      <c r="F255" s="21"/>
      <c r="G255" s="21"/>
      <c r="H255" s="21"/>
      <c r="AB255" s="21"/>
    </row>
    <row r="256" spans="1:28">
      <c r="A256" s="21"/>
      <c r="B256" s="21"/>
      <c r="C256" s="21"/>
      <c r="D256" s="28"/>
      <c r="E256" s="21"/>
      <c r="F256" s="21"/>
      <c r="G256" s="21"/>
      <c r="H256" s="21"/>
      <c r="AB256" s="21"/>
    </row>
    <row r="257" spans="1:28">
      <c r="A257" s="21"/>
      <c r="B257" s="21"/>
      <c r="C257" s="21"/>
      <c r="D257" s="28"/>
      <c r="E257" s="21"/>
      <c r="F257" s="21"/>
      <c r="G257" s="21"/>
      <c r="H257" s="21"/>
      <c r="AB257" s="21"/>
    </row>
    <row r="258" spans="1:28">
      <c r="A258" s="21"/>
      <c r="B258" s="21"/>
      <c r="C258" s="21"/>
      <c r="D258" s="28"/>
      <c r="E258" s="21"/>
      <c r="F258" s="21"/>
      <c r="G258" s="21"/>
      <c r="H258" s="21"/>
      <c r="AB258" s="21"/>
    </row>
    <row r="259" spans="1:28">
      <c r="A259" s="21"/>
      <c r="B259" s="21"/>
      <c r="C259" s="21"/>
      <c r="D259" s="28"/>
      <c r="E259" s="21"/>
      <c r="F259" s="21"/>
      <c r="G259" s="21"/>
      <c r="H259" s="21"/>
      <c r="AB259" s="21"/>
    </row>
    <row r="260" spans="1:28">
      <c r="A260" s="21"/>
      <c r="B260" s="21"/>
      <c r="C260" s="21"/>
      <c r="D260" s="28"/>
      <c r="E260" s="21"/>
      <c r="F260" s="21"/>
      <c r="G260" s="21"/>
      <c r="H260" s="21"/>
      <c r="AB260" s="21"/>
    </row>
    <row r="261" spans="1:28">
      <c r="A261" s="21"/>
      <c r="B261" s="21"/>
      <c r="C261" s="21"/>
      <c r="D261" s="28"/>
      <c r="E261" s="21"/>
      <c r="F261" s="21"/>
      <c r="G261" s="21"/>
      <c r="H261" s="21"/>
      <c r="AB261" s="21"/>
    </row>
    <row r="262" spans="1:28">
      <c r="A262" s="21"/>
      <c r="B262" s="21"/>
      <c r="C262" s="21"/>
      <c r="D262" s="28"/>
      <c r="E262" s="21"/>
      <c r="F262" s="21"/>
      <c r="G262" s="21"/>
      <c r="H262" s="21"/>
      <c r="AB262" s="21"/>
    </row>
    <row r="263" spans="1:28">
      <c r="A263" s="21"/>
      <c r="B263" s="21"/>
      <c r="C263" s="21"/>
      <c r="D263" s="28"/>
      <c r="E263" s="21"/>
      <c r="F263" s="21"/>
      <c r="G263" s="21"/>
      <c r="H263" s="21"/>
      <c r="AB263" s="21"/>
    </row>
    <row r="264" spans="1:28">
      <c r="A264" s="21"/>
      <c r="B264" s="21"/>
      <c r="C264" s="21"/>
      <c r="D264" s="28"/>
      <c r="E264" s="21"/>
      <c r="F264" s="21"/>
      <c r="G264" s="21"/>
      <c r="H264" s="21"/>
      <c r="AB264" s="21"/>
    </row>
    <row r="265" spans="1:28">
      <c r="A265" s="21"/>
      <c r="B265" s="21"/>
      <c r="C265" s="21"/>
      <c r="D265" s="28"/>
      <c r="E265" s="21"/>
      <c r="F265" s="21"/>
      <c r="G265" s="21"/>
      <c r="H265" s="21"/>
      <c r="AB265" s="21"/>
    </row>
    <row r="266" spans="1:28">
      <c r="A266" s="21"/>
      <c r="B266" s="21"/>
      <c r="C266" s="21"/>
      <c r="D266" s="28"/>
      <c r="E266" s="21"/>
      <c r="F266" s="21"/>
      <c r="G266" s="21"/>
      <c r="H266" s="21"/>
      <c r="AB266" s="21"/>
    </row>
    <row r="267" spans="1:28">
      <c r="A267" s="21"/>
      <c r="B267" s="21"/>
      <c r="C267" s="21"/>
      <c r="D267" s="28"/>
      <c r="E267" s="21"/>
      <c r="F267" s="21"/>
      <c r="G267" s="21"/>
      <c r="H267" s="21"/>
      <c r="AB267" s="21"/>
    </row>
    <row r="268" spans="1:28">
      <c r="A268" s="21"/>
      <c r="B268" s="21"/>
      <c r="C268" s="21"/>
      <c r="D268" s="28"/>
      <c r="E268" s="21"/>
      <c r="F268" s="21"/>
      <c r="G268" s="21"/>
      <c r="H268" s="21"/>
      <c r="AB268" s="21"/>
    </row>
    <row r="269" spans="1:28">
      <c r="A269" s="21"/>
      <c r="B269" s="21"/>
      <c r="C269" s="21"/>
      <c r="D269" s="28"/>
      <c r="E269" s="21"/>
      <c r="F269" s="21"/>
      <c r="G269" s="21"/>
      <c r="H269" s="21"/>
      <c r="AB269" s="21"/>
    </row>
    <row r="270" spans="1:28">
      <c r="A270" s="21"/>
      <c r="B270" s="21"/>
      <c r="C270" s="21"/>
      <c r="D270" s="28"/>
      <c r="E270" s="21"/>
      <c r="F270" s="21"/>
      <c r="G270" s="21"/>
      <c r="H270" s="21"/>
      <c r="AB270" s="21"/>
    </row>
    <row r="271" spans="1:28">
      <c r="A271" s="21"/>
      <c r="B271" s="21"/>
      <c r="C271" s="21"/>
      <c r="D271" s="28"/>
      <c r="E271" s="21"/>
      <c r="F271" s="21"/>
      <c r="G271" s="21"/>
      <c r="H271" s="21"/>
      <c r="AB271" s="21"/>
    </row>
    <row r="272" spans="1:28">
      <c r="A272" s="21"/>
      <c r="B272" s="21"/>
      <c r="C272" s="21"/>
      <c r="D272" s="28"/>
      <c r="E272" s="21"/>
      <c r="F272" s="21"/>
      <c r="G272" s="21"/>
      <c r="H272" s="21"/>
      <c r="AB272" s="21"/>
    </row>
    <row r="273" spans="1:28">
      <c r="A273" s="21"/>
      <c r="B273" s="21"/>
      <c r="C273" s="21"/>
      <c r="D273" s="28"/>
      <c r="E273" s="21"/>
      <c r="F273" s="21"/>
      <c r="G273" s="21"/>
      <c r="H273" s="21"/>
      <c r="AB273" s="21"/>
    </row>
    <row r="274" spans="1:28">
      <c r="A274" s="21"/>
      <c r="B274" s="21"/>
      <c r="C274" s="21"/>
      <c r="D274" s="28"/>
      <c r="E274" s="21"/>
      <c r="F274" s="21"/>
      <c r="G274" s="21"/>
      <c r="H274" s="21"/>
      <c r="AB274" s="21"/>
    </row>
    <row r="275" spans="1:28">
      <c r="A275" s="21"/>
      <c r="B275" s="21"/>
      <c r="C275" s="21"/>
      <c r="D275" s="28"/>
      <c r="E275" s="21"/>
      <c r="F275" s="21"/>
      <c r="G275" s="21"/>
      <c r="H275" s="21"/>
      <c r="AB275" s="21"/>
    </row>
    <row r="276" spans="1:28">
      <c r="A276" s="21"/>
      <c r="B276" s="21"/>
      <c r="C276" s="21"/>
      <c r="D276" s="28"/>
      <c r="E276" s="21"/>
      <c r="F276" s="21"/>
      <c r="G276" s="21"/>
      <c r="H276" s="21"/>
      <c r="AB276" s="21"/>
    </row>
    <row r="277" spans="1:28">
      <c r="A277" s="21"/>
      <c r="B277" s="21"/>
      <c r="C277" s="21"/>
      <c r="D277" s="28"/>
      <c r="E277" s="21"/>
      <c r="F277" s="21"/>
      <c r="G277" s="21"/>
      <c r="H277" s="21"/>
      <c r="AB277" s="21"/>
    </row>
    <row r="278" spans="1:28">
      <c r="A278" s="21"/>
      <c r="B278" s="21"/>
      <c r="C278" s="21"/>
      <c r="D278" s="28"/>
      <c r="E278" s="21"/>
      <c r="F278" s="21"/>
      <c r="G278" s="21"/>
      <c r="H278" s="21"/>
      <c r="AB278" s="21"/>
    </row>
    <row r="279" spans="1:28">
      <c r="A279" s="21"/>
      <c r="B279" s="21"/>
      <c r="C279" s="21"/>
      <c r="D279" s="28"/>
      <c r="E279" s="21"/>
      <c r="F279" s="21"/>
      <c r="G279" s="21"/>
      <c r="H279" s="21"/>
      <c r="AB279" s="21"/>
    </row>
    <row r="280" spans="1:28">
      <c r="A280" s="21"/>
      <c r="B280" s="21"/>
      <c r="C280" s="21"/>
      <c r="D280" s="28"/>
      <c r="E280" s="21"/>
      <c r="F280" s="21"/>
      <c r="G280" s="21"/>
      <c r="H280" s="21"/>
      <c r="AB280" s="21"/>
    </row>
    <row r="281" spans="1:28">
      <c r="A281" s="21"/>
      <c r="B281" s="21"/>
      <c r="C281" s="21"/>
      <c r="D281" s="28"/>
      <c r="E281" s="21"/>
      <c r="F281" s="21"/>
      <c r="G281" s="21"/>
      <c r="H281" s="21"/>
      <c r="AB281" s="21"/>
    </row>
    <row r="282" spans="1:28">
      <c r="A282" s="21"/>
      <c r="B282" s="21"/>
      <c r="C282" s="21"/>
      <c r="D282" s="28"/>
      <c r="E282" s="21"/>
      <c r="F282" s="21"/>
      <c r="G282" s="21"/>
      <c r="H282" s="21"/>
      <c r="AB282" s="21"/>
    </row>
    <row r="283" spans="1:28">
      <c r="A283" s="21"/>
      <c r="B283" s="21"/>
      <c r="C283" s="21"/>
      <c r="D283" s="28"/>
      <c r="E283" s="21"/>
      <c r="F283" s="21"/>
      <c r="G283" s="21"/>
      <c r="H283" s="21"/>
      <c r="AB283" s="21"/>
    </row>
    <row r="284" spans="1:28">
      <c r="A284" s="21"/>
      <c r="B284" s="21"/>
      <c r="C284" s="21"/>
      <c r="D284" s="28"/>
      <c r="E284" s="21"/>
      <c r="F284" s="21"/>
      <c r="G284" s="21"/>
      <c r="H284" s="21"/>
      <c r="AB284" s="21"/>
    </row>
    <row r="285" spans="1:28">
      <c r="A285" s="21"/>
      <c r="B285" s="21"/>
      <c r="C285" s="21"/>
      <c r="D285" s="28"/>
      <c r="E285" s="21"/>
      <c r="F285" s="21"/>
      <c r="G285" s="21"/>
      <c r="H285" s="21"/>
      <c r="AB285" s="21"/>
    </row>
    <row r="286" spans="1:28">
      <c r="A286" s="21"/>
      <c r="B286" s="21"/>
      <c r="C286" s="21"/>
      <c r="D286" s="28"/>
      <c r="E286" s="21"/>
      <c r="F286" s="21"/>
      <c r="G286" s="21"/>
      <c r="H286" s="21"/>
      <c r="AB286" s="21"/>
    </row>
    <row r="287" spans="1:28">
      <c r="A287" s="21"/>
      <c r="B287" s="21"/>
      <c r="C287" s="21"/>
      <c r="D287" s="28"/>
      <c r="E287" s="21"/>
      <c r="F287" s="21"/>
      <c r="G287" s="21"/>
      <c r="H287" s="21"/>
      <c r="AB287" s="21"/>
    </row>
    <row r="288" spans="1:28">
      <c r="A288" s="21"/>
      <c r="B288" s="21"/>
      <c r="C288" s="21"/>
      <c r="D288" s="28"/>
      <c r="E288" s="21"/>
      <c r="F288" s="21"/>
      <c r="G288" s="21"/>
      <c r="H288" s="21"/>
      <c r="AB288" s="21"/>
    </row>
    <row r="289" spans="1:28">
      <c r="A289" s="21"/>
      <c r="B289" s="21"/>
      <c r="C289" s="21"/>
      <c r="D289" s="28"/>
      <c r="E289" s="21"/>
      <c r="F289" s="21"/>
      <c r="G289" s="21"/>
      <c r="H289" s="21"/>
      <c r="AB289" s="21"/>
    </row>
    <row r="290" spans="1:28">
      <c r="A290" s="21"/>
      <c r="B290" s="21"/>
      <c r="C290" s="21"/>
      <c r="D290" s="28"/>
      <c r="E290" s="21"/>
      <c r="F290" s="21"/>
      <c r="G290" s="21"/>
      <c r="H290" s="21"/>
      <c r="AB290" s="21"/>
    </row>
    <row r="291" spans="1:28">
      <c r="A291" s="21"/>
      <c r="B291" s="21"/>
      <c r="C291" s="21"/>
      <c r="D291" s="28"/>
      <c r="E291" s="21"/>
      <c r="F291" s="21"/>
      <c r="G291" s="21"/>
      <c r="H291" s="21"/>
      <c r="AB291" s="21"/>
    </row>
    <row r="292" spans="1:28">
      <c r="A292" s="21"/>
      <c r="B292" s="21"/>
      <c r="C292" s="21"/>
      <c r="D292" s="28"/>
      <c r="E292" s="21"/>
      <c r="F292" s="21"/>
      <c r="G292" s="21"/>
      <c r="H292" s="21"/>
      <c r="AB292" s="21"/>
    </row>
    <row r="293" spans="1:28">
      <c r="A293" s="21"/>
      <c r="B293" s="21"/>
      <c r="C293" s="21"/>
      <c r="D293" s="28"/>
      <c r="E293" s="21"/>
      <c r="F293" s="21"/>
      <c r="G293" s="21"/>
      <c r="H293" s="21"/>
      <c r="AB293" s="21"/>
    </row>
    <row r="294" spans="1:28">
      <c r="A294" s="21"/>
      <c r="B294" s="21"/>
      <c r="C294" s="21"/>
      <c r="D294" s="28"/>
      <c r="E294" s="21"/>
      <c r="F294" s="21"/>
      <c r="G294" s="21"/>
      <c r="H294" s="21"/>
      <c r="AB294" s="21"/>
    </row>
    <row r="295" spans="1:28">
      <c r="A295" s="21"/>
      <c r="B295" s="21"/>
      <c r="C295" s="21"/>
      <c r="D295" s="28"/>
      <c r="E295" s="21"/>
      <c r="F295" s="21"/>
      <c r="G295" s="21"/>
      <c r="H295" s="21"/>
      <c r="AB295" s="21"/>
    </row>
    <row r="296" spans="1:28">
      <c r="A296" s="21"/>
      <c r="B296" s="21"/>
      <c r="C296" s="21"/>
      <c r="D296" s="28"/>
      <c r="E296" s="21"/>
      <c r="F296" s="21"/>
      <c r="G296" s="21"/>
      <c r="H296" s="21"/>
      <c r="AB296" s="21"/>
    </row>
    <row r="297" spans="1:28">
      <c r="A297" s="21"/>
      <c r="B297" s="21"/>
      <c r="C297" s="21"/>
      <c r="D297" s="28"/>
      <c r="E297" s="21"/>
      <c r="F297" s="21"/>
      <c r="G297" s="21"/>
      <c r="H297" s="21"/>
      <c r="AB297" s="21"/>
    </row>
    <row r="298" spans="1:28">
      <c r="A298" s="21"/>
      <c r="B298" s="21"/>
      <c r="C298" s="21"/>
      <c r="D298" s="28"/>
      <c r="E298" s="21"/>
      <c r="F298" s="21"/>
      <c r="G298" s="21"/>
      <c r="H298" s="21"/>
      <c r="AB298" s="21"/>
    </row>
    <row r="299" spans="1:28">
      <c r="A299" s="21"/>
      <c r="B299" s="21"/>
      <c r="C299" s="21"/>
      <c r="D299" s="28"/>
      <c r="E299" s="21"/>
      <c r="F299" s="21"/>
      <c r="G299" s="21"/>
      <c r="H299" s="21"/>
      <c r="AB299" s="21"/>
    </row>
    <row r="300" spans="1:28">
      <c r="A300" s="21"/>
      <c r="B300" s="21"/>
      <c r="C300" s="21"/>
      <c r="D300" s="28"/>
      <c r="E300" s="21"/>
      <c r="F300" s="21"/>
      <c r="G300" s="21"/>
      <c r="H300" s="21"/>
      <c r="AB300" s="21"/>
    </row>
    <row r="301" spans="1:28">
      <c r="A301" s="21"/>
      <c r="B301" s="21"/>
      <c r="C301" s="21"/>
      <c r="D301" s="28"/>
      <c r="E301" s="21"/>
      <c r="F301" s="21"/>
      <c r="G301" s="21"/>
      <c r="H301" s="21"/>
      <c r="AB301" s="21"/>
    </row>
    <row r="302" spans="1:28">
      <c r="A302" s="21"/>
      <c r="B302" s="21"/>
      <c r="C302" s="21"/>
      <c r="D302" s="28"/>
      <c r="E302" s="21"/>
      <c r="F302" s="21"/>
      <c r="G302" s="21"/>
      <c r="H302" s="21"/>
      <c r="AB302" s="21"/>
    </row>
    <row r="303" spans="1:28">
      <c r="A303" s="21"/>
      <c r="B303" s="21"/>
      <c r="C303" s="21"/>
      <c r="D303" s="28"/>
      <c r="E303" s="21"/>
      <c r="F303" s="21"/>
      <c r="G303" s="21"/>
      <c r="H303" s="21"/>
      <c r="AB303" s="21"/>
    </row>
    <row r="304" spans="1:28">
      <c r="A304" s="21"/>
      <c r="B304" s="21"/>
      <c r="C304" s="21"/>
      <c r="D304" s="28"/>
      <c r="E304" s="21"/>
      <c r="F304" s="21"/>
      <c r="G304" s="21"/>
      <c r="H304" s="21"/>
      <c r="AB304" s="21"/>
    </row>
    <row r="305" spans="1:28">
      <c r="A305" s="21"/>
      <c r="B305" s="21"/>
      <c r="C305" s="21"/>
      <c r="D305" s="28"/>
      <c r="E305" s="21"/>
      <c r="F305" s="21"/>
      <c r="G305" s="21"/>
      <c r="H305" s="21"/>
      <c r="AB305" s="21"/>
    </row>
    <row r="306" spans="1:28">
      <c r="A306" s="21"/>
      <c r="B306" s="21"/>
      <c r="C306" s="21"/>
      <c r="D306" s="28"/>
      <c r="E306" s="21"/>
      <c r="F306" s="21"/>
      <c r="G306" s="21"/>
      <c r="H306" s="21"/>
      <c r="AB306" s="21"/>
    </row>
    <row r="307" spans="1:28">
      <c r="A307" s="21"/>
      <c r="B307" s="21"/>
      <c r="C307" s="21"/>
      <c r="D307" s="28"/>
      <c r="E307" s="21"/>
      <c r="F307" s="21"/>
      <c r="G307" s="21"/>
      <c r="H307" s="21"/>
      <c r="AB307" s="21"/>
    </row>
    <row r="308" spans="1:28">
      <c r="A308" s="21"/>
      <c r="B308" s="21"/>
      <c r="C308" s="21"/>
      <c r="D308" s="28"/>
      <c r="E308" s="21"/>
      <c r="F308" s="21"/>
      <c r="G308" s="21"/>
      <c r="H308" s="21"/>
      <c r="AB308" s="21"/>
    </row>
    <row r="309" spans="1:28">
      <c r="A309" s="21"/>
      <c r="B309" s="21"/>
      <c r="C309" s="21"/>
      <c r="D309" s="28"/>
      <c r="E309" s="21"/>
      <c r="F309" s="21"/>
      <c r="G309" s="21"/>
      <c r="H309" s="21"/>
      <c r="AB309" s="21"/>
    </row>
    <row r="310" spans="1:28">
      <c r="A310" s="21"/>
      <c r="B310" s="21"/>
      <c r="C310" s="21"/>
      <c r="D310" s="28"/>
      <c r="E310" s="21"/>
      <c r="F310" s="21"/>
      <c r="G310" s="21"/>
      <c r="H310" s="21"/>
      <c r="AB310" s="21"/>
    </row>
    <row r="311" spans="1:28">
      <c r="A311" s="21"/>
      <c r="B311" s="21"/>
      <c r="C311" s="21"/>
      <c r="D311" s="28"/>
      <c r="E311" s="21"/>
      <c r="F311" s="21"/>
      <c r="G311" s="21"/>
      <c r="H311" s="21"/>
      <c r="AB311" s="21"/>
    </row>
    <row r="312" spans="1:28">
      <c r="A312" s="21"/>
      <c r="B312" s="21"/>
      <c r="C312" s="21"/>
      <c r="D312" s="28"/>
      <c r="E312" s="21"/>
      <c r="F312" s="21"/>
      <c r="G312" s="21"/>
      <c r="H312" s="21"/>
      <c r="AB312" s="21"/>
    </row>
    <row r="313" spans="1:28">
      <c r="A313" s="21"/>
      <c r="B313" s="21"/>
      <c r="C313" s="21"/>
      <c r="D313" s="28"/>
      <c r="E313" s="21"/>
      <c r="F313" s="21"/>
      <c r="G313" s="21"/>
      <c r="H313" s="21"/>
      <c r="AB313" s="21"/>
    </row>
    <row r="314" spans="1:28">
      <c r="A314" s="21"/>
      <c r="B314" s="21"/>
      <c r="C314" s="21"/>
      <c r="D314" s="28"/>
      <c r="E314" s="21"/>
      <c r="F314" s="21"/>
      <c r="G314" s="21"/>
      <c r="H314" s="21"/>
      <c r="AB314" s="21"/>
    </row>
    <row r="315" spans="1:28">
      <c r="A315" s="21"/>
      <c r="B315" s="21"/>
      <c r="C315" s="21"/>
      <c r="D315" s="28"/>
      <c r="E315" s="21"/>
      <c r="F315" s="21"/>
      <c r="G315" s="21"/>
      <c r="H315" s="21"/>
      <c r="AB315" s="21"/>
    </row>
    <row r="316" spans="1:28">
      <c r="A316" s="21"/>
      <c r="B316" s="21"/>
      <c r="C316" s="21"/>
      <c r="D316" s="28"/>
      <c r="E316" s="21"/>
      <c r="F316" s="21"/>
      <c r="G316" s="21"/>
      <c r="H316" s="21"/>
      <c r="AB316" s="21"/>
    </row>
    <row r="317" spans="1:28">
      <c r="A317" s="21"/>
      <c r="B317" s="21"/>
      <c r="C317" s="21"/>
      <c r="D317" s="28"/>
      <c r="E317" s="21"/>
      <c r="F317" s="21"/>
      <c r="G317" s="21"/>
      <c r="H317" s="21"/>
      <c r="AB317" s="21"/>
    </row>
    <row r="318" spans="1:28">
      <c r="A318" s="21"/>
      <c r="B318" s="21"/>
      <c r="C318" s="21"/>
      <c r="D318" s="28"/>
      <c r="E318" s="21"/>
      <c r="F318" s="21"/>
      <c r="G318" s="21"/>
      <c r="H318" s="21"/>
      <c r="AB318" s="21"/>
    </row>
    <row r="319" spans="1:28">
      <c r="A319" s="21"/>
      <c r="B319" s="21"/>
      <c r="C319" s="21"/>
      <c r="D319" s="28"/>
      <c r="E319" s="21"/>
      <c r="F319" s="21"/>
      <c r="G319" s="21"/>
      <c r="H319" s="21"/>
      <c r="AB319" s="21"/>
    </row>
    <row r="320" spans="1:28">
      <c r="A320" s="21"/>
      <c r="B320" s="21"/>
      <c r="C320" s="21"/>
      <c r="D320" s="28"/>
      <c r="E320" s="21"/>
      <c r="F320" s="21"/>
      <c r="G320" s="21"/>
      <c r="H320" s="21"/>
      <c r="AB320" s="21"/>
    </row>
    <row r="321" spans="1:28">
      <c r="A321" s="21"/>
      <c r="B321" s="21"/>
      <c r="C321" s="21"/>
      <c r="D321" s="28"/>
      <c r="E321" s="21"/>
      <c r="F321" s="21"/>
      <c r="G321" s="21"/>
      <c r="H321" s="21"/>
      <c r="AB321" s="21"/>
    </row>
    <row r="322" spans="1:28">
      <c r="A322" s="21"/>
      <c r="B322" s="21"/>
      <c r="C322" s="21"/>
      <c r="D322" s="28"/>
      <c r="E322" s="21"/>
      <c r="F322" s="21"/>
      <c r="G322" s="21"/>
      <c r="H322" s="21"/>
      <c r="AB322" s="21"/>
    </row>
    <row r="323" spans="1:28">
      <c r="A323" s="21"/>
      <c r="B323" s="21"/>
      <c r="C323" s="21"/>
      <c r="D323" s="28"/>
      <c r="E323" s="21"/>
      <c r="F323" s="21"/>
      <c r="G323" s="21"/>
      <c r="H323" s="21"/>
      <c r="AB323" s="21"/>
    </row>
    <row r="324" spans="1:28">
      <c r="A324" s="21"/>
      <c r="B324" s="21"/>
      <c r="C324" s="21"/>
      <c r="D324" s="28"/>
      <c r="E324" s="21"/>
      <c r="F324" s="21"/>
      <c r="G324" s="21"/>
      <c r="H324" s="21"/>
      <c r="AB324" s="21"/>
    </row>
    <row r="325" spans="1:28">
      <c r="A325" s="21"/>
      <c r="B325" s="21"/>
      <c r="C325" s="21"/>
      <c r="D325" s="28"/>
      <c r="E325" s="21"/>
      <c r="F325" s="21"/>
      <c r="G325" s="21"/>
      <c r="H325" s="21"/>
      <c r="AB325" s="21"/>
    </row>
    <row r="326" spans="1:28">
      <c r="A326" s="21"/>
      <c r="B326" s="21"/>
      <c r="C326" s="21"/>
      <c r="D326" s="28"/>
      <c r="E326" s="21"/>
      <c r="F326" s="21"/>
      <c r="G326" s="21"/>
      <c r="H326" s="21"/>
      <c r="AB326" s="21"/>
    </row>
    <row r="327" spans="1:28">
      <c r="A327" s="21"/>
      <c r="B327" s="21"/>
      <c r="C327" s="21"/>
      <c r="D327" s="28"/>
      <c r="E327" s="21"/>
      <c r="F327" s="21"/>
      <c r="G327" s="21"/>
      <c r="H327" s="21"/>
      <c r="AB327" s="21"/>
    </row>
    <row r="328" spans="1:28">
      <c r="A328" s="21"/>
      <c r="B328" s="21"/>
      <c r="C328" s="21"/>
      <c r="D328" s="28"/>
      <c r="E328" s="21"/>
      <c r="F328" s="21"/>
      <c r="G328" s="21"/>
      <c r="H328" s="21"/>
      <c r="AB328" s="21"/>
    </row>
    <row r="329" spans="1:28">
      <c r="A329" s="21"/>
      <c r="B329" s="21"/>
      <c r="C329" s="21"/>
      <c r="D329" s="28"/>
      <c r="E329" s="21"/>
      <c r="F329" s="21"/>
      <c r="G329" s="21"/>
      <c r="H329" s="21"/>
      <c r="AB329" s="21"/>
    </row>
    <row r="330" spans="1:28">
      <c r="A330" s="21"/>
      <c r="B330" s="21"/>
      <c r="C330" s="21"/>
      <c r="D330" s="28"/>
      <c r="E330" s="21"/>
      <c r="F330" s="21"/>
      <c r="G330" s="21"/>
      <c r="H330" s="21"/>
      <c r="AB330" s="21"/>
    </row>
    <row r="331" spans="1:28">
      <c r="A331" s="21"/>
      <c r="B331" s="21"/>
      <c r="C331" s="21"/>
      <c r="D331" s="28"/>
      <c r="E331" s="21"/>
      <c r="F331" s="21"/>
      <c r="G331" s="21"/>
      <c r="H331" s="21"/>
      <c r="AB331" s="21"/>
    </row>
    <row r="332" spans="1:28">
      <c r="A332" s="21"/>
      <c r="B332" s="21"/>
      <c r="C332" s="21"/>
      <c r="D332" s="28"/>
      <c r="E332" s="21"/>
      <c r="F332" s="21"/>
      <c r="G332" s="21"/>
      <c r="H332" s="21"/>
      <c r="AB332" s="21"/>
    </row>
    <row r="333" spans="1:28">
      <c r="A333" s="21"/>
      <c r="B333" s="21"/>
      <c r="C333" s="21"/>
      <c r="D333" s="28"/>
      <c r="E333" s="21"/>
      <c r="F333" s="21"/>
      <c r="G333" s="21"/>
      <c r="H333" s="21"/>
      <c r="AB333" s="21"/>
    </row>
    <row r="334" spans="1:28">
      <c r="A334" s="21"/>
      <c r="B334" s="21"/>
      <c r="C334" s="21"/>
      <c r="D334" s="28"/>
      <c r="E334" s="21"/>
      <c r="F334" s="21"/>
      <c r="G334" s="21"/>
      <c r="H334" s="21"/>
      <c r="AB334" s="21"/>
    </row>
    <row r="335" spans="1:28">
      <c r="A335" s="21"/>
      <c r="B335" s="21"/>
      <c r="C335" s="21"/>
      <c r="D335" s="28"/>
      <c r="E335" s="21"/>
      <c r="F335" s="21"/>
      <c r="G335" s="21"/>
      <c r="H335" s="21"/>
      <c r="AB335" s="21"/>
    </row>
    <row r="336" spans="1:28">
      <c r="A336" s="21"/>
      <c r="B336" s="21"/>
      <c r="C336" s="21"/>
      <c r="D336" s="28"/>
      <c r="E336" s="21"/>
      <c r="F336" s="21"/>
      <c r="G336" s="21"/>
      <c r="H336" s="21"/>
      <c r="AB336" s="21"/>
    </row>
    <row r="337" spans="1:28">
      <c r="A337" s="21"/>
      <c r="B337" s="21"/>
      <c r="C337" s="21"/>
      <c r="D337" s="28"/>
      <c r="E337" s="21"/>
      <c r="F337" s="21"/>
      <c r="G337" s="21"/>
      <c r="H337" s="21"/>
      <c r="AB337" s="21"/>
    </row>
    <row r="338" spans="1:28">
      <c r="A338" s="21"/>
      <c r="B338" s="21"/>
      <c r="C338" s="21"/>
      <c r="D338" s="28"/>
      <c r="E338" s="21"/>
      <c r="F338" s="21"/>
      <c r="G338" s="21"/>
      <c r="H338" s="21"/>
      <c r="AB338" s="21"/>
    </row>
    <row r="339" spans="1:28">
      <c r="A339" s="21"/>
      <c r="B339" s="21"/>
      <c r="C339" s="21"/>
      <c r="D339" s="28"/>
      <c r="E339" s="21"/>
      <c r="F339" s="21"/>
      <c r="G339" s="21"/>
      <c r="H339" s="21"/>
      <c r="AB339" s="21"/>
    </row>
    <row r="340" spans="1:28">
      <c r="A340" s="21"/>
      <c r="B340" s="21"/>
      <c r="C340" s="21"/>
      <c r="D340" s="28"/>
      <c r="E340" s="21"/>
      <c r="F340" s="21"/>
      <c r="G340" s="21"/>
      <c r="H340" s="21"/>
      <c r="AB340" s="21"/>
    </row>
    <row r="341" spans="1:28">
      <c r="A341" s="21"/>
      <c r="B341" s="21"/>
      <c r="C341" s="21"/>
      <c r="D341" s="28"/>
      <c r="E341" s="21"/>
      <c r="F341" s="21"/>
      <c r="G341" s="21"/>
      <c r="H341" s="21"/>
      <c r="AB341" s="21"/>
    </row>
    <row r="342" spans="1:28">
      <c r="A342" s="21"/>
      <c r="B342" s="21"/>
      <c r="C342" s="21"/>
      <c r="D342" s="28"/>
      <c r="E342" s="21"/>
      <c r="F342" s="21"/>
      <c r="G342" s="21"/>
      <c r="H342" s="21"/>
      <c r="AB342" s="21"/>
    </row>
    <row r="343" spans="1:28">
      <c r="A343" s="21"/>
      <c r="B343" s="21"/>
      <c r="C343" s="21"/>
      <c r="D343" s="28"/>
      <c r="E343" s="21"/>
      <c r="F343" s="21"/>
      <c r="G343" s="21"/>
      <c r="H343" s="21"/>
      <c r="AB343" s="21"/>
    </row>
    <row r="344" spans="1:28">
      <c r="A344" s="21"/>
      <c r="B344" s="21"/>
      <c r="C344" s="21"/>
      <c r="D344" s="28"/>
      <c r="E344" s="21"/>
      <c r="F344" s="21"/>
      <c r="G344" s="21"/>
      <c r="H344" s="21"/>
      <c r="AB344" s="21"/>
    </row>
    <row r="345" spans="1:28">
      <c r="A345" s="21"/>
      <c r="B345" s="21"/>
      <c r="C345" s="21"/>
      <c r="D345" s="28"/>
      <c r="E345" s="21"/>
      <c r="F345" s="21"/>
      <c r="G345" s="21"/>
      <c r="H345" s="21"/>
      <c r="AB345" s="21"/>
    </row>
    <row r="346" spans="1:28">
      <c r="A346" s="21"/>
      <c r="B346" s="21"/>
      <c r="C346" s="21"/>
      <c r="D346" s="28"/>
      <c r="E346" s="21"/>
      <c r="F346" s="21"/>
      <c r="G346" s="21"/>
      <c r="H346" s="21"/>
      <c r="AB346" s="21"/>
    </row>
    <row r="347" spans="1:28">
      <c r="A347" s="21"/>
      <c r="B347" s="21"/>
      <c r="C347" s="21"/>
      <c r="D347" s="28"/>
      <c r="E347" s="21"/>
      <c r="F347" s="21"/>
      <c r="G347" s="21"/>
      <c r="H347" s="21"/>
      <c r="AB347" s="21"/>
    </row>
    <row r="348" spans="1:28">
      <c r="A348" s="21"/>
      <c r="B348" s="21"/>
      <c r="C348" s="21"/>
      <c r="D348" s="28"/>
      <c r="E348" s="21"/>
      <c r="F348" s="21"/>
      <c r="G348" s="21"/>
      <c r="H348" s="21"/>
      <c r="AB348" s="21"/>
    </row>
    <row r="349" spans="1:28">
      <c r="A349" s="21"/>
      <c r="B349" s="21"/>
      <c r="C349" s="21"/>
      <c r="D349" s="28"/>
      <c r="E349" s="21"/>
      <c r="F349" s="21"/>
      <c r="G349" s="21"/>
      <c r="H349" s="21"/>
      <c r="AB349" s="21"/>
    </row>
    <row r="350" spans="1:28">
      <c r="A350" s="21"/>
      <c r="B350" s="21"/>
      <c r="C350" s="21"/>
      <c r="D350" s="28"/>
      <c r="E350" s="21"/>
      <c r="F350" s="21"/>
      <c r="G350" s="21"/>
      <c r="H350" s="21"/>
      <c r="AB350" s="21"/>
    </row>
    <row r="351" spans="1:28">
      <c r="A351" s="21"/>
      <c r="B351" s="21"/>
      <c r="C351" s="21"/>
      <c r="D351" s="28"/>
      <c r="E351" s="21"/>
      <c r="F351" s="21"/>
      <c r="G351" s="21"/>
      <c r="H351" s="21"/>
      <c r="AB351" s="21"/>
    </row>
    <row r="352" spans="1:28">
      <c r="A352" s="21"/>
      <c r="B352" s="21"/>
      <c r="C352" s="21"/>
      <c r="D352" s="28"/>
      <c r="E352" s="21"/>
      <c r="F352" s="21"/>
      <c r="G352" s="21"/>
      <c r="H352" s="21"/>
      <c r="AB352" s="21"/>
    </row>
    <row r="353" spans="1:28">
      <c r="A353" s="21"/>
      <c r="B353" s="21"/>
      <c r="C353" s="21"/>
      <c r="D353" s="28"/>
      <c r="E353" s="21"/>
      <c r="F353" s="21"/>
      <c r="G353" s="21"/>
      <c r="H353" s="21"/>
      <c r="AB353" s="21"/>
    </row>
    <row r="354" spans="1:28">
      <c r="A354" s="21"/>
      <c r="B354" s="21"/>
      <c r="C354" s="21"/>
      <c r="D354" s="28"/>
      <c r="E354" s="21"/>
      <c r="F354" s="21"/>
      <c r="G354" s="21"/>
      <c r="H354" s="21"/>
      <c r="AB354" s="21"/>
    </row>
    <row r="355" spans="1:28">
      <c r="A355" s="21"/>
      <c r="B355" s="21"/>
      <c r="C355" s="21"/>
      <c r="D355" s="28"/>
      <c r="E355" s="21"/>
      <c r="F355" s="21"/>
      <c r="G355" s="21"/>
      <c r="H355" s="21"/>
      <c r="AB355" s="21"/>
    </row>
    <row r="356" spans="1:28">
      <c r="A356" s="21"/>
      <c r="B356" s="21"/>
      <c r="C356" s="21"/>
      <c r="D356" s="28"/>
      <c r="E356" s="21"/>
      <c r="F356" s="21"/>
      <c r="G356" s="21"/>
      <c r="H356" s="21"/>
      <c r="AB356" s="21"/>
    </row>
    <row r="357" spans="1:28">
      <c r="A357" s="21"/>
      <c r="B357" s="21"/>
      <c r="C357" s="21"/>
      <c r="D357" s="28"/>
      <c r="E357" s="21"/>
      <c r="F357" s="21"/>
      <c r="G357" s="21"/>
      <c r="H357" s="21"/>
      <c r="AB357" s="21"/>
    </row>
    <row r="358" spans="1:28">
      <c r="A358" s="21"/>
      <c r="B358" s="21"/>
      <c r="C358" s="21"/>
      <c r="D358" s="28"/>
      <c r="E358" s="21"/>
      <c r="F358" s="21"/>
      <c r="G358" s="21"/>
      <c r="H358" s="21"/>
      <c r="AB358" s="21"/>
    </row>
    <row r="359" spans="1:28">
      <c r="A359" s="21"/>
      <c r="B359" s="21"/>
      <c r="C359" s="21"/>
      <c r="D359" s="28"/>
      <c r="E359" s="21"/>
      <c r="F359" s="21"/>
      <c r="G359" s="21"/>
      <c r="H359" s="21"/>
      <c r="AB359" s="21"/>
    </row>
    <row r="360" spans="1:28">
      <c r="A360" s="21"/>
      <c r="B360" s="21"/>
      <c r="C360" s="21"/>
      <c r="D360" s="28"/>
      <c r="E360" s="21"/>
      <c r="F360" s="21"/>
      <c r="G360" s="21"/>
      <c r="H360" s="21"/>
      <c r="AB360" s="21"/>
    </row>
    <row r="361" spans="1:28">
      <c r="A361" s="21"/>
      <c r="B361" s="21"/>
      <c r="C361" s="21"/>
      <c r="D361" s="28"/>
      <c r="E361" s="21"/>
      <c r="F361" s="21"/>
      <c r="G361" s="21"/>
      <c r="H361" s="21"/>
      <c r="AB361" s="21"/>
    </row>
    <row r="362" spans="1:28">
      <c r="A362" s="21"/>
      <c r="B362" s="21"/>
      <c r="C362" s="21"/>
      <c r="D362" s="28"/>
      <c r="E362" s="21"/>
      <c r="F362" s="21"/>
      <c r="G362" s="21"/>
      <c r="H362" s="21"/>
      <c r="AB362" s="21"/>
    </row>
    <row r="363" spans="1:28">
      <c r="A363" s="21"/>
      <c r="B363" s="21"/>
      <c r="C363" s="21"/>
      <c r="D363" s="28"/>
      <c r="E363" s="21"/>
      <c r="F363" s="21"/>
      <c r="G363" s="21"/>
      <c r="H363" s="21"/>
      <c r="AB363" s="21"/>
    </row>
    <row r="364" spans="1:28">
      <c r="A364" s="21"/>
      <c r="B364" s="21"/>
      <c r="C364" s="21"/>
      <c r="D364" s="28"/>
      <c r="E364" s="21"/>
      <c r="F364" s="21"/>
      <c r="G364" s="21"/>
      <c r="H364" s="21"/>
      <c r="AB364" s="21"/>
    </row>
    <row r="365" spans="1:28">
      <c r="A365" s="21"/>
      <c r="B365" s="21"/>
      <c r="C365" s="21"/>
      <c r="D365" s="28"/>
      <c r="E365" s="21"/>
      <c r="F365" s="21"/>
      <c r="G365" s="21"/>
      <c r="H365" s="21"/>
      <c r="AB365" s="21"/>
    </row>
    <row r="366" spans="1:28">
      <c r="A366" s="21"/>
      <c r="B366" s="21"/>
      <c r="C366" s="21"/>
      <c r="D366" s="28"/>
      <c r="E366" s="21"/>
      <c r="F366" s="21"/>
      <c r="G366" s="21"/>
      <c r="H366" s="21"/>
      <c r="AB366" s="21"/>
    </row>
    <row r="367" spans="1:28">
      <c r="A367" s="21"/>
      <c r="B367" s="21"/>
      <c r="C367" s="21"/>
      <c r="D367" s="28"/>
      <c r="E367" s="21"/>
      <c r="F367" s="21"/>
      <c r="G367" s="21"/>
      <c r="H367" s="21"/>
      <c r="AB367" s="21"/>
    </row>
    <row r="368" spans="1:28">
      <c r="A368" s="21"/>
      <c r="B368" s="21"/>
      <c r="C368" s="21"/>
      <c r="D368" s="28"/>
      <c r="E368" s="21"/>
      <c r="F368" s="21"/>
      <c r="G368" s="21"/>
      <c r="H368" s="21"/>
      <c r="AB368" s="21"/>
    </row>
    <row r="369" spans="1:28">
      <c r="A369" s="21"/>
      <c r="B369" s="21"/>
      <c r="C369" s="21"/>
      <c r="D369" s="28"/>
      <c r="E369" s="21"/>
      <c r="F369" s="21"/>
      <c r="G369" s="21"/>
      <c r="H369" s="21"/>
      <c r="AB369" s="21"/>
    </row>
    <row r="370" spans="1:28">
      <c r="A370" s="21"/>
      <c r="B370" s="21"/>
      <c r="C370" s="21"/>
      <c r="D370" s="28"/>
      <c r="E370" s="21"/>
      <c r="F370" s="21"/>
      <c r="G370" s="21"/>
      <c r="H370" s="21"/>
      <c r="AB370" s="21"/>
    </row>
    <row r="371" spans="1:28">
      <c r="A371" s="21"/>
      <c r="B371" s="21"/>
      <c r="C371" s="21"/>
      <c r="D371" s="28"/>
      <c r="E371" s="21"/>
      <c r="F371" s="21"/>
      <c r="G371" s="21"/>
      <c r="H371" s="21"/>
      <c r="AB371" s="21"/>
    </row>
    <row r="372" spans="1:28">
      <c r="A372" s="21"/>
      <c r="B372" s="21"/>
      <c r="C372" s="21"/>
      <c r="D372" s="28"/>
      <c r="E372" s="21"/>
      <c r="F372" s="21"/>
      <c r="G372" s="21"/>
      <c r="H372" s="21"/>
      <c r="AB372" s="21"/>
    </row>
    <row r="373" spans="1:28">
      <c r="A373" s="21"/>
      <c r="B373" s="21"/>
      <c r="C373" s="21"/>
      <c r="D373" s="28"/>
      <c r="E373" s="21"/>
      <c r="F373" s="21"/>
      <c r="G373" s="21"/>
      <c r="H373" s="21"/>
      <c r="AB373" s="21"/>
    </row>
    <row r="374" spans="1:28">
      <c r="A374" s="21"/>
      <c r="B374" s="21"/>
      <c r="C374" s="21"/>
      <c r="D374" s="28"/>
      <c r="E374" s="21"/>
      <c r="F374" s="21"/>
      <c r="G374" s="21"/>
      <c r="H374" s="21"/>
      <c r="AB374" s="21"/>
    </row>
    <row r="375" spans="1:28">
      <c r="A375" s="21"/>
      <c r="B375" s="21"/>
      <c r="C375" s="21"/>
      <c r="D375" s="28"/>
      <c r="E375" s="21"/>
      <c r="F375" s="21"/>
      <c r="G375" s="21"/>
      <c r="H375" s="21"/>
      <c r="AB375" s="21"/>
    </row>
    <row r="376" spans="1:28">
      <c r="A376" s="21"/>
      <c r="B376" s="21"/>
      <c r="C376" s="21"/>
      <c r="D376" s="28"/>
      <c r="E376" s="21"/>
      <c r="F376" s="21"/>
      <c r="G376" s="21"/>
      <c r="H376" s="21"/>
      <c r="AB376" s="21"/>
    </row>
    <row r="377" spans="1:28">
      <c r="A377" s="21"/>
      <c r="B377" s="21"/>
      <c r="C377" s="21"/>
      <c r="D377" s="28"/>
      <c r="E377" s="21"/>
      <c r="F377" s="21"/>
      <c r="G377" s="21"/>
      <c r="H377" s="21"/>
      <c r="AB377" s="21"/>
    </row>
    <row r="378" spans="1:28">
      <c r="A378" s="21"/>
      <c r="B378" s="21"/>
      <c r="C378" s="21"/>
      <c r="D378" s="28"/>
      <c r="E378" s="21"/>
      <c r="F378" s="21"/>
      <c r="G378" s="21"/>
      <c r="H378" s="21"/>
      <c r="AB378" s="21"/>
    </row>
    <row r="379" spans="1:28">
      <c r="A379" s="21"/>
      <c r="B379" s="21"/>
      <c r="C379" s="21"/>
      <c r="D379" s="28"/>
      <c r="E379" s="21"/>
      <c r="F379" s="21"/>
      <c r="G379" s="21"/>
      <c r="H379" s="21"/>
      <c r="AB379" s="21"/>
    </row>
    <row r="380" spans="1:28">
      <c r="A380" s="21"/>
      <c r="B380" s="21"/>
      <c r="C380" s="21"/>
      <c r="D380" s="28"/>
      <c r="E380" s="21"/>
      <c r="F380" s="21"/>
      <c r="G380" s="21"/>
      <c r="H380" s="21"/>
      <c r="AB380" s="21"/>
    </row>
    <row r="381" spans="1:28">
      <c r="A381" s="21"/>
      <c r="B381" s="21"/>
      <c r="C381" s="21"/>
      <c r="D381" s="28"/>
      <c r="E381" s="21"/>
      <c r="F381" s="21"/>
      <c r="G381" s="21"/>
      <c r="H381" s="21"/>
      <c r="AB381" s="21"/>
    </row>
    <row r="382" spans="1:28">
      <c r="A382" s="21"/>
      <c r="B382" s="21"/>
      <c r="C382" s="21"/>
      <c r="D382" s="28"/>
      <c r="E382" s="21"/>
      <c r="F382" s="21"/>
      <c r="G382" s="21"/>
      <c r="H382" s="21"/>
      <c r="AB382" s="21"/>
    </row>
    <row r="383" spans="1:28">
      <c r="A383" s="21"/>
      <c r="B383" s="21"/>
      <c r="C383" s="21"/>
      <c r="D383" s="28"/>
      <c r="E383" s="21"/>
      <c r="F383" s="21"/>
      <c r="G383" s="21"/>
      <c r="H383" s="21"/>
      <c r="AB383" s="21"/>
    </row>
    <row r="384" spans="1:28">
      <c r="A384" s="21"/>
      <c r="B384" s="21"/>
      <c r="C384" s="21"/>
      <c r="D384" s="28"/>
      <c r="E384" s="21"/>
      <c r="F384" s="21"/>
      <c r="G384" s="21"/>
      <c r="H384" s="21"/>
      <c r="AB384" s="21"/>
    </row>
    <row r="385" spans="1:28">
      <c r="A385" s="21"/>
      <c r="B385" s="21"/>
      <c r="C385" s="21"/>
      <c r="D385" s="28"/>
      <c r="E385" s="21"/>
      <c r="F385" s="21"/>
      <c r="G385" s="21"/>
      <c r="H385" s="21"/>
      <c r="AB385" s="21"/>
    </row>
    <row r="386" spans="1:28">
      <c r="A386" s="21"/>
      <c r="B386" s="21"/>
      <c r="C386" s="21"/>
      <c r="D386" s="28"/>
      <c r="E386" s="21"/>
      <c r="F386" s="21"/>
      <c r="G386" s="21"/>
      <c r="H386" s="21"/>
      <c r="AB386" s="21"/>
    </row>
    <row r="387" spans="1:28">
      <c r="A387" s="21"/>
      <c r="B387" s="21"/>
      <c r="C387" s="21"/>
      <c r="D387" s="28"/>
      <c r="E387" s="21"/>
      <c r="F387" s="21"/>
      <c r="G387" s="21"/>
      <c r="H387" s="21"/>
      <c r="AB387" s="21"/>
    </row>
    <row r="388" spans="1:28">
      <c r="A388" s="21"/>
      <c r="B388" s="21"/>
      <c r="C388" s="21"/>
      <c r="D388" s="28"/>
      <c r="E388" s="21"/>
      <c r="F388" s="21"/>
      <c r="G388" s="21"/>
      <c r="H388" s="21"/>
      <c r="AB388" s="21"/>
    </row>
    <row r="389" spans="1:28">
      <c r="A389" s="21"/>
      <c r="B389" s="21"/>
      <c r="C389" s="21"/>
      <c r="D389" s="28"/>
      <c r="E389" s="21"/>
      <c r="F389" s="21"/>
      <c r="G389" s="21"/>
      <c r="H389" s="21"/>
      <c r="AB389" s="21"/>
    </row>
    <row r="390" spans="1:28">
      <c r="A390" s="21"/>
      <c r="B390" s="21"/>
      <c r="C390" s="21"/>
      <c r="D390" s="28"/>
      <c r="E390" s="21"/>
      <c r="F390" s="21"/>
      <c r="G390" s="21"/>
      <c r="H390" s="21"/>
      <c r="AB390" s="21"/>
    </row>
    <row r="391" spans="1:28">
      <c r="A391" s="21"/>
      <c r="B391" s="21"/>
      <c r="C391" s="21"/>
      <c r="D391" s="28"/>
      <c r="E391" s="21"/>
      <c r="F391" s="21"/>
      <c r="G391" s="21"/>
      <c r="H391" s="21"/>
      <c r="AB391" s="21"/>
    </row>
    <row r="392" spans="1:28">
      <c r="A392" s="21"/>
      <c r="B392" s="21"/>
      <c r="C392" s="21"/>
      <c r="D392" s="28"/>
      <c r="E392" s="21"/>
      <c r="F392" s="21"/>
      <c r="G392" s="21"/>
      <c r="H392" s="21"/>
      <c r="AB392" s="21"/>
    </row>
    <row r="393" spans="1:28">
      <c r="A393" s="21"/>
      <c r="B393" s="21"/>
      <c r="C393" s="21"/>
      <c r="D393" s="28"/>
      <c r="E393" s="21"/>
      <c r="F393" s="21"/>
      <c r="G393" s="21"/>
      <c r="H393" s="21"/>
      <c r="AB393" s="21"/>
    </row>
    <row r="394" spans="1:28">
      <c r="A394" s="21"/>
      <c r="B394" s="21"/>
      <c r="C394" s="21"/>
      <c r="D394" s="28"/>
      <c r="E394" s="21"/>
      <c r="F394" s="21"/>
      <c r="G394" s="21"/>
      <c r="H394" s="21"/>
      <c r="AB394" s="21"/>
    </row>
    <row r="395" spans="1:28">
      <c r="A395" s="21"/>
      <c r="B395" s="21"/>
      <c r="C395" s="21"/>
      <c r="D395" s="28"/>
      <c r="E395" s="21"/>
      <c r="F395" s="21"/>
      <c r="G395" s="21"/>
      <c r="H395" s="21"/>
      <c r="AB395" s="21"/>
    </row>
    <row r="396" spans="1:28">
      <c r="A396" s="21"/>
      <c r="B396" s="21"/>
      <c r="C396" s="21"/>
      <c r="D396" s="28"/>
      <c r="E396" s="21"/>
      <c r="F396" s="21"/>
      <c r="G396" s="21"/>
      <c r="H396" s="21"/>
      <c r="AB396" s="21"/>
    </row>
    <row r="397" spans="1:28">
      <c r="A397" s="21"/>
      <c r="B397" s="21"/>
      <c r="C397" s="21"/>
      <c r="D397" s="28"/>
      <c r="E397" s="21"/>
      <c r="F397" s="21"/>
      <c r="G397" s="21"/>
      <c r="H397" s="21"/>
      <c r="AB397" s="21"/>
    </row>
    <row r="398" spans="1:28">
      <c r="A398" s="21"/>
      <c r="B398" s="21"/>
      <c r="C398" s="21"/>
      <c r="D398" s="28"/>
      <c r="E398" s="21"/>
      <c r="F398" s="21"/>
      <c r="G398" s="21"/>
      <c r="H398" s="21"/>
      <c r="AB398" s="21"/>
    </row>
    <row r="399" spans="1:28">
      <c r="A399" s="21"/>
      <c r="B399" s="21"/>
      <c r="C399" s="21"/>
      <c r="D399" s="28"/>
      <c r="E399" s="21"/>
      <c r="F399" s="21"/>
      <c r="G399" s="21"/>
      <c r="H399" s="21"/>
      <c r="AB399" s="21"/>
    </row>
    <row r="400" spans="1:28">
      <c r="A400" s="21"/>
      <c r="B400" s="21"/>
      <c r="C400" s="21"/>
      <c r="D400" s="28"/>
      <c r="E400" s="21"/>
      <c r="F400" s="21"/>
      <c r="G400" s="21"/>
      <c r="H400" s="21"/>
      <c r="AB400" s="21"/>
    </row>
    <row r="401" spans="1:28">
      <c r="A401" s="21"/>
      <c r="B401" s="21"/>
      <c r="C401" s="21"/>
      <c r="D401" s="28"/>
      <c r="E401" s="21"/>
      <c r="F401" s="21"/>
      <c r="G401" s="21"/>
      <c r="H401" s="21"/>
      <c r="AB401" s="21"/>
    </row>
    <row r="402" spans="1:28">
      <c r="A402" s="21"/>
      <c r="B402" s="21"/>
      <c r="C402" s="21"/>
      <c r="D402" s="28"/>
      <c r="E402" s="21"/>
      <c r="F402" s="21"/>
      <c r="G402" s="21"/>
      <c r="H402" s="21"/>
      <c r="AB402" s="21"/>
    </row>
    <row r="403" spans="1:28">
      <c r="A403" s="21"/>
      <c r="B403" s="21"/>
      <c r="C403" s="21"/>
      <c r="D403" s="28"/>
      <c r="E403" s="21"/>
      <c r="F403" s="21"/>
      <c r="G403" s="21"/>
      <c r="H403" s="21"/>
      <c r="AB403" s="21"/>
    </row>
    <row r="404" spans="1:28">
      <c r="A404" s="21"/>
      <c r="B404" s="21"/>
      <c r="C404" s="21"/>
      <c r="D404" s="28"/>
      <c r="E404" s="21"/>
      <c r="F404" s="21"/>
      <c r="G404" s="21"/>
      <c r="H404" s="21"/>
      <c r="AB404" s="21"/>
    </row>
    <row r="405" spans="1:28">
      <c r="A405" s="21"/>
      <c r="B405" s="21"/>
      <c r="C405" s="21"/>
      <c r="D405" s="28"/>
      <c r="E405" s="21"/>
      <c r="F405" s="21"/>
      <c r="G405" s="21"/>
      <c r="H405" s="21"/>
      <c r="AB405" s="21"/>
    </row>
    <row r="406" spans="1:28">
      <c r="A406" s="21"/>
      <c r="B406" s="21"/>
      <c r="C406" s="21"/>
      <c r="D406" s="28"/>
      <c r="E406" s="21"/>
      <c r="F406" s="21"/>
      <c r="G406" s="21"/>
      <c r="H406" s="21"/>
      <c r="AB406" s="21"/>
    </row>
    <row r="407" spans="1:28">
      <c r="A407" s="21"/>
      <c r="B407" s="21"/>
      <c r="C407" s="21"/>
      <c r="D407" s="28"/>
      <c r="E407" s="21"/>
      <c r="F407" s="21"/>
      <c r="G407" s="21"/>
      <c r="H407" s="21"/>
      <c r="AB407" s="21"/>
    </row>
    <row r="408" spans="1:28">
      <c r="A408" s="21"/>
      <c r="B408" s="21"/>
      <c r="C408" s="21"/>
      <c r="D408" s="28"/>
      <c r="E408" s="21"/>
      <c r="F408" s="21"/>
      <c r="G408" s="21"/>
      <c r="H408" s="21"/>
      <c r="AB408" s="21"/>
    </row>
    <row r="409" spans="1:28">
      <c r="A409" s="21"/>
      <c r="B409" s="21"/>
      <c r="C409" s="21"/>
      <c r="D409" s="28"/>
      <c r="E409" s="21"/>
      <c r="F409" s="21"/>
      <c r="G409" s="21"/>
      <c r="H409" s="21"/>
      <c r="AB409" s="21"/>
    </row>
    <row r="410" spans="1:28">
      <c r="A410" s="21"/>
      <c r="B410" s="21"/>
      <c r="C410" s="21"/>
      <c r="D410" s="28"/>
      <c r="E410" s="21"/>
      <c r="F410" s="21"/>
      <c r="G410" s="21"/>
      <c r="H410" s="21"/>
      <c r="AB410" s="21"/>
    </row>
    <row r="411" spans="1:28">
      <c r="A411" s="21"/>
      <c r="B411" s="21"/>
      <c r="C411" s="21"/>
      <c r="D411" s="28"/>
      <c r="E411" s="21"/>
      <c r="F411" s="21"/>
      <c r="G411" s="21"/>
      <c r="H411" s="21"/>
      <c r="AB411" s="21"/>
    </row>
    <row r="412" spans="1:28">
      <c r="A412" s="21"/>
      <c r="B412" s="21"/>
      <c r="C412" s="21"/>
      <c r="D412" s="28"/>
      <c r="E412" s="21"/>
      <c r="F412" s="21"/>
      <c r="G412" s="21"/>
      <c r="H412" s="21"/>
      <c r="AB412" s="21"/>
    </row>
    <row r="413" spans="1:28">
      <c r="A413" s="21"/>
      <c r="B413" s="21"/>
      <c r="C413" s="21"/>
      <c r="D413" s="28"/>
      <c r="E413" s="21"/>
      <c r="F413" s="21"/>
      <c r="G413" s="21"/>
      <c r="H413" s="21"/>
      <c r="AB413" s="21"/>
    </row>
    <row r="414" spans="1:28">
      <c r="A414" s="21"/>
      <c r="B414" s="21"/>
      <c r="C414" s="21"/>
      <c r="D414" s="28"/>
      <c r="E414" s="21"/>
      <c r="F414" s="21"/>
      <c r="G414" s="21"/>
      <c r="H414" s="21"/>
      <c r="AB414" s="21"/>
    </row>
    <row r="415" spans="1:28">
      <c r="A415" s="21"/>
      <c r="B415" s="21"/>
      <c r="C415" s="21"/>
      <c r="D415" s="28"/>
      <c r="E415" s="21"/>
      <c r="F415" s="21"/>
      <c r="G415" s="21"/>
      <c r="H415" s="21"/>
      <c r="AB415" s="21"/>
    </row>
    <row r="416" spans="1:28">
      <c r="A416" s="21"/>
      <c r="B416" s="21"/>
      <c r="C416" s="21"/>
      <c r="D416" s="28"/>
      <c r="E416" s="21"/>
      <c r="F416" s="21"/>
      <c r="G416" s="21"/>
      <c r="H416" s="21"/>
      <c r="AB416" s="21"/>
    </row>
    <row r="417" spans="1:28">
      <c r="A417" s="21"/>
      <c r="B417" s="21"/>
      <c r="C417" s="21"/>
      <c r="D417" s="28"/>
      <c r="E417" s="21"/>
      <c r="F417" s="21"/>
      <c r="G417" s="21"/>
      <c r="H417" s="21"/>
      <c r="AB417" s="21"/>
    </row>
    <row r="418" spans="1:28">
      <c r="A418" s="21"/>
      <c r="B418" s="21"/>
      <c r="C418" s="21"/>
      <c r="D418" s="28"/>
      <c r="E418" s="21"/>
      <c r="F418" s="21"/>
      <c r="G418" s="21"/>
      <c r="H418" s="21"/>
      <c r="AB418" s="21"/>
    </row>
    <row r="419" spans="1:28">
      <c r="A419" s="21"/>
      <c r="B419" s="21"/>
      <c r="C419" s="21"/>
      <c r="D419" s="28"/>
      <c r="E419" s="21"/>
      <c r="F419" s="21"/>
      <c r="G419" s="21"/>
      <c r="H419" s="21"/>
      <c r="AB419" s="21"/>
    </row>
    <row r="420" spans="1:28">
      <c r="A420" s="21"/>
      <c r="B420" s="21"/>
      <c r="C420" s="21"/>
      <c r="D420" s="28"/>
      <c r="E420" s="21"/>
      <c r="F420" s="21"/>
      <c r="G420" s="21"/>
      <c r="H420" s="21"/>
      <c r="AB420" s="21"/>
    </row>
    <row r="421" spans="1:28">
      <c r="A421" s="21"/>
      <c r="B421" s="21"/>
      <c r="C421" s="21"/>
      <c r="D421" s="28"/>
      <c r="E421" s="21"/>
      <c r="F421" s="21"/>
      <c r="G421" s="21"/>
      <c r="H421" s="21"/>
      <c r="AB421" s="21"/>
    </row>
    <row r="422" spans="1:28">
      <c r="A422" s="21"/>
      <c r="B422" s="21"/>
      <c r="C422" s="21"/>
      <c r="D422" s="28"/>
      <c r="E422" s="21"/>
      <c r="F422" s="21"/>
      <c r="G422" s="21"/>
      <c r="H422" s="21"/>
      <c r="AB422" s="21"/>
    </row>
    <row r="423" spans="1:28">
      <c r="A423" s="21"/>
      <c r="B423" s="21"/>
      <c r="C423" s="21"/>
      <c r="D423" s="28"/>
      <c r="E423" s="21"/>
      <c r="F423" s="21"/>
      <c r="G423" s="21"/>
      <c r="H423" s="21"/>
      <c r="AB423" s="21"/>
    </row>
    <row r="424" spans="1:28">
      <c r="A424" s="21"/>
      <c r="B424" s="21"/>
      <c r="C424" s="21"/>
      <c r="D424" s="28"/>
      <c r="E424" s="21"/>
      <c r="F424" s="21"/>
      <c r="G424" s="21"/>
      <c r="H424" s="21"/>
      <c r="AB424" s="21"/>
    </row>
    <row r="425" spans="1:28">
      <c r="A425" s="21"/>
      <c r="B425" s="21"/>
      <c r="C425" s="21"/>
      <c r="D425" s="28"/>
      <c r="E425" s="21"/>
      <c r="F425" s="21"/>
      <c r="G425" s="21"/>
      <c r="H425" s="21"/>
      <c r="AB425" s="21"/>
    </row>
    <row r="426" spans="1:28">
      <c r="A426" s="21"/>
      <c r="B426" s="21"/>
      <c r="C426" s="21"/>
      <c r="D426" s="28"/>
      <c r="E426" s="21"/>
      <c r="F426" s="21"/>
      <c r="G426" s="21"/>
      <c r="H426" s="21"/>
      <c r="AB426" s="21"/>
    </row>
    <row r="427" spans="1:28">
      <c r="A427" s="21"/>
      <c r="B427" s="21"/>
      <c r="C427" s="21"/>
      <c r="D427" s="28"/>
      <c r="E427" s="21"/>
      <c r="F427" s="21"/>
      <c r="G427" s="21"/>
      <c r="H427" s="21"/>
      <c r="AB427" s="21"/>
    </row>
    <row r="428" spans="1:28">
      <c r="A428" s="21"/>
      <c r="B428" s="21"/>
      <c r="C428" s="21"/>
      <c r="D428" s="28"/>
      <c r="E428" s="21"/>
      <c r="F428" s="21"/>
      <c r="G428" s="21"/>
      <c r="H428" s="21"/>
      <c r="AB428" s="21"/>
    </row>
    <row r="429" spans="1:28">
      <c r="A429" s="21"/>
      <c r="B429" s="21"/>
      <c r="C429" s="21"/>
      <c r="D429" s="28"/>
      <c r="E429" s="21"/>
      <c r="F429" s="21"/>
      <c r="G429" s="21"/>
      <c r="H429" s="21"/>
      <c r="AB429" s="21"/>
    </row>
    <row r="430" spans="1:28">
      <c r="A430" s="21"/>
      <c r="B430" s="21"/>
      <c r="C430" s="21"/>
      <c r="D430" s="28"/>
      <c r="E430" s="21"/>
      <c r="F430" s="21"/>
      <c r="G430" s="21"/>
      <c r="H430" s="21"/>
      <c r="AB430" s="21"/>
    </row>
    <row r="431" spans="1:28">
      <c r="A431" s="21"/>
      <c r="B431" s="21"/>
      <c r="C431" s="21"/>
      <c r="D431" s="28"/>
      <c r="E431" s="21"/>
      <c r="F431" s="21"/>
      <c r="G431" s="21"/>
      <c r="H431" s="21"/>
      <c r="AB431" s="21"/>
    </row>
    <row r="432" spans="1:28">
      <c r="A432" s="21"/>
      <c r="B432" s="21"/>
      <c r="C432" s="21"/>
      <c r="D432" s="28"/>
      <c r="E432" s="21"/>
      <c r="F432" s="21"/>
      <c r="G432" s="21"/>
      <c r="H432" s="21"/>
      <c r="AB432" s="21"/>
    </row>
    <row r="433" spans="1:28">
      <c r="A433" s="21"/>
      <c r="B433" s="21"/>
      <c r="C433" s="21"/>
      <c r="D433" s="28"/>
      <c r="E433" s="21"/>
      <c r="F433" s="21"/>
      <c r="G433" s="21"/>
      <c r="H433" s="21"/>
      <c r="AB433" s="21"/>
    </row>
    <row r="434" spans="1:28">
      <c r="A434" s="21"/>
      <c r="B434" s="21"/>
      <c r="C434" s="21"/>
      <c r="D434" s="28"/>
      <c r="E434" s="21"/>
      <c r="F434" s="21"/>
      <c r="G434" s="21"/>
      <c r="H434" s="21"/>
      <c r="AB434" s="21"/>
    </row>
    <row r="435" spans="1:28">
      <c r="A435" s="21"/>
      <c r="B435" s="21"/>
      <c r="C435" s="21"/>
      <c r="D435" s="28"/>
      <c r="E435" s="21"/>
      <c r="F435" s="21"/>
      <c r="G435" s="21"/>
      <c r="H435" s="21"/>
      <c r="AB435" s="21"/>
    </row>
    <row r="436" spans="1:28">
      <c r="A436" s="21"/>
      <c r="B436" s="21"/>
      <c r="C436" s="21"/>
      <c r="D436" s="28"/>
      <c r="E436" s="21"/>
      <c r="F436" s="21"/>
      <c r="G436" s="21"/>
      <c r="H436" s="21"/>
      <c r="AB436" s="21"/>
    </row>
    <row r="437" spans="1:28">
      <c r="A437" s="21"/>
      <c r="B437" s="21"/>
      <c r="C437" s="21"/>
      <c r="D437" s="28"/>
      <c r="E437" s="21"/>
      <c r="F437" s="21"/>
      <c r="G437" s="21"/>
      <c r="H437" s="21"/>
      <c r="AB437" s="21"/>
    </row>
    <row r="438" spans="1:28">
      <c r="A438" s="21"/>
      <c r="B438" s="21"/>
      <c r="C438" s="21"/>
      <c r="D438" s="28"/>
      <c r="E438" s="21"/>
      <c r="F438" s="21"/>
      <c r="G438" s="21"/>
      <c r="H438" s="21"/>
      <c r="AB438" s="21"/>
    </row>
    <row r="439" spans="1:28">
      <c r="A439" s="21"/>
      <c r="B439" s="21"/>
      <c r="C439" s="21"/>
      <c r="D439" s="28"/>
      <c r="E439" s="21"/>
      <c r="F439" s="21"/>
      <c r="G439" s="21"/>
      <c r="H439" s="21"/>
      <c r="AB439" s="21"/>
    </row>
    <row r="440" spans="1:28">
      <c r="A440" s="21"/>
      <c r="B440" s="21"/>
      <c r="C440" s="21"/>
      <c r="D440" s="28"/>
      <c r="E440" s="21"/>
      <c r="F440" s="21"/>
      <c r="G440" s="21"/>
      <c r="H440" s="21"/>
      <c r="AB440" s="21"/>
    </row>
    <row r="441" spans="1:28">
      <c r="A441" s="21"/>
      <c r="B441" s="21"/>
      <c r="C441" s="21"/>
      <c r="D441" s="28"/>
      <c r="E441" s="21"/>
      <c r="F441" s="21"/>
      <c r="G441" s="21"/>
      <c r="H441" s="21"/>
      <c r="AB441" s="21"/>
    </row>
    <row r="442" spans="1:28">
      <c r="A442" s="21"/>
      <c r="B442" s="21"/>
      <c r="C442" s="21"/>
      <c r="D442" s="28"/>
      <c r="E442" s="21"/>
      <c r="F442" s="21"/>
      <c r="G442" s="21"/>
      <c r="H442" s="21"/>
      <c r="AB442" s="21"/>
    </row>
    <row r="443" spans="1:28">
      <c r="A443" s="21"/>
      <c r="B443" s="21"/>
      <c r="C443" s="21"/>
      <c r="D443" s="28"/>
      <c r="E443" s="21"/>
      <c r="F443" s="21"/>
      <c r="G443" s="21"/>
      <c r="H443" s="21"/>
      <c r="AB443" s="21"/>
    </row>
    <row r="444" spans="1:28">
      <c r="A444" s="21"/>
      <c r="B444" s="21"/>
      <c r="C444" s="21"/>
      <c r="D444" s="28"/>
      <c r="E444" s="21"/>
      <c r="F444" s="21"/>
      <c r="G444" s="21"/>
      <c r="H444" s="21"/>
      <c r="AB444" s="21"/>
    </row>
    <row r="445" spans="1:28">
      <c r="A445" s="21"/>
      <c r="B445" s="21"/>
      <c r="C445" s="21"/>
      <c r="D445" s="28"/>
      <c r="E445" s="21"/>
      <c r="F445" s="21"/>
      <c r="G445" s="21"/>
      <c r="H445" s="21"/>
      <c r="AB445" s="21"/>
    </row>
    <row r="446" spans="1:28">
      <c r="A446" s="21"/>
      <c r="B446" s="21"/>
      <c r="C446" s="21"/>
      <c r="D446" s="28"/>
      <c r="E446" s="21"/>
      <c r="F446" s="21"/>
      <c r="G446" s="21"/>
      <c r="H446" s="21"/>
      <c r="AB446" s="21"/>
    </row>
    <row r="447" spans="1:28">
      <c r="A447" s="21"/>
      <c r="B447" s="21"/>
      <c r="C447" s="21"/>
      <c r="D447" s="28"/>
      <c r="E447" s="21"/>
      <c r="F447" s="21"/>
      <c r="G447" s="21"/>
      <c r="H447" s="21"/>
      <c r="AB447" s="21"/>
    </row>
    <row r="448" spans="1:28">
      <c r="A448" s="21"/>
      <c r="B448" s="21"/>
      <c r="C448" s="21"/>
      <c r="D448" s="28"/>
      <c r="E448" s="21"/>
      <c r="F448" s="21"/>
      <c r="G448" s="21"/>
      <c r="H448" s="21"/>
      <c r="AB448" s="21"/>
    </row>
    <row r="449" spans="1:28">
      <c r="A449" s="21"/>
      <c r="B449" s="21"/>
      <c r="C449" s="21"/>
      <c r="D449" s="28"/>
      <c r="E449" s="21"/>
      <c r="F449" s="21"/>
      <c r="G449" s="21"/>
      <c r="H449" s="21"/>
      <c r="AB449" s="21"/>
    </row>
    <row r="450" spans="1:28">
      <c r="A450" s="21"/>
      <c r="B450" s="21"/>
      <c r="C450" s="21"/>
      <c r="D450" s="28"/>
      <c r="E450" s="21"/>
      <c r="F450" s="21"/>
      <c r="G450" s="21"/>
      <c r="H450" s="21"/>
      <c r="AB450" s="21"/>
    </row>
    <row r="451" spans="1:28">
      <c r="A451" s="21"/>
      <c r="B451" s="21"/>
      <c r="C451" s="21"/>
      <c r="D451" s="28"/>
      <c r="E451" s="21"/>
      <c r="F451" s="21"/>
      <c r="G451" s="21"/>
      <c r="H451" s="21"/>
      <c r="AB451" s="21"/>
    </row>
    <row r="452" spans="1:28">
      <c r="A452" s="21"/>
      <c r="B452" s="21"/>
      <c r="C452" s="21"/>
      <c r="D452" s="28"/>
      <c r="E452" s="21"/>
      <c r="F452" s="21"/>
      <c r="G452" s="21"/>
      <c r="H452" s="21"/>
      <c r="AB452" s="21"/>
    </row>
    <row r="453" spans="1:28">
      <c r="A453" s="21"/>
      <c r="B453" s="21"/>
      <c r="C453" s="21"/>
      <c r="D453" s="28"/>
      <c r="E453" s="21"/>
      <c r="F453" s="21"/>
      <c r="G453" s="21"/>
      <c r="H453" s="21"/>
      <c r="AB453" s="21"/>
    </row>
    <row r="454" spans="1:28">
      <c r="A454" s="21"/>
      <c r="B454" s="21"/>
      <c r="C454" s="21"/>
      <c r="D454" s="28"/>
      <c r="E454" s="21"/>
      <c r="F454" s="21"/>
      <c r="G454" s="21"/>
      <c r="H454" s="21"/>
      <c r="AB454" s="21"/>
    </row>
    <row r="455" spans="1:28">
      <c r="A455" s="21"/>
      <c r="B455" s="21"/>
      <c r="C455" s="21"/>
      <c r="D455" s="28"/>
      <c r="E455" s="21"/>
      <c r="F455" s="21"/>
      <c r="G455" s="21"/>
      <c r="H455" s="21"/>
      <c r="AB455" s="21"/>
    </row>
    <row r="456" spans="1:28">
      <c r="A456" s="21"/>
      <c r="B456" s="21"/>
      <c r="C456" s="21"/>
      <c r="D456" s="28"/>
      <c r="E456" s="21"/>
      <c r="F456" s="21"/>
      <c r="G456" s="21"/>
      <c r="H456" s="21"/>
      <c r="AB456" s="21"/>
    </row>
    <row r="457" spans="1:28">
      <c r="A457" s="21"/>
      <c r="B457" s="21"/>
      <c r="C457" s="21"/>
      <c r="D457" s="28"/>
      <c r="E457" s="21"/>
      <c r="F457" s="21"/>
      <c r="G457" s="21"/>
      <c r="H457" s="21"/>
      <c r="AB457" s="21"/>
    </row>
    <row r="458" spans="1:28">
      <c r="A458" s="21"/>
      <c r="B458" s="21"/>
      <c r="C458" s="21"/>
      <c r="D458" s="28"/>
      <c r="E458" s="21"/>
      <c r="F458" s="21"/>
      <c r="G458" s="21"/>
      <c r="H458" s="21"/>
      <c r="AB458" s="21"/>
    </row>
    <row r="459" spans="1:28">
      <c r="A459" s="21"/>
      <c r="B459" s="21"/>
      <c r="C459" s="21"/>
      <c r="D459" s="28"/>
      <c r="E459" s="21"/>
      <c r="F459" s="21"/>
      <c r="G459" s="21"/>
      <c r="H459" s="21"/>
      <c r="AB459" s="21"/>
    </row>
    <row r="460" spans="1:28">
      <c r="A460" s="21"/>
      <c r="B460" s="21"/>
      <c r="C460" s="21"/>
      <c r="D460" s="28"/>
      <c r="E460" s="21"/>
      <c r="F460" s="21"/>
      <c r="G460" s="21"/>
      <c r="H460" s="21"/>
      <c r="AB460" s="21"/>
    </row>
    <row r="461" spans="1:28">
      <c r="A461" s="21"/>
      <c r="B461" s="21"/>
      <c r="C461" s="21"/>
      <c r="D461" s="28"/>
      <c r="E461" s="21"/>
      <c r="F461" s="21"/>
      <c r="G461" s="21"/>
      <c r="H461" s="21"/>
      <c r="AB461" s="21"/>
    </row>
    <row r="462" spans="1:28">
      <c r="A462" s="21"/>
      <c r="B462" s="21"/>
      <c r="C462" s="21"/>
      <c r="D462" s="28"/>
      <c r="E462" s="21"/>
      <c r="F462" s="21"/>
      <c r="G462" s="21"/>
      <c r="H462" s="21"/>
      <c r="AB462" s="21"/>
    </row>
    <row r="463" spans="1:28">
      <c r="A463" s="21"/>
      <c r="B463" s="21"/>
      <c r="C463" s="21"/>
      <c r="D463" s="28"/>
      <c r="E463" s="21"/>
      <c r="F463" s="21"/>
      <c r="G463" s="21"/>
      <c r="H463" s="21"/>
      <c r="AB463" s="21"/>
    </row>
    <row r="464" spans="1:28">
      <c r="A464" s="21"/>
      <c r="B464" s="21"/>
      <c r="C464" s="21"/>
      <c r="D464" s="28"/>
      <c r="E464" s="21"/>
      <c r="F464" s="21"/>
      <c r="G464" s="21"/>
      <c r="H464" s="21"/>
      <c r="AB464" s="21"/>
    </row>
    <row r="465" spans="1:28">
      <c r="A465" s="21"/>
      <c r="B465" s="21"/>
      <c r="C465" s="21"/>
      <c r="D465" s="28"/>
      <c r="E465" s="21"/>
      <c r="F465" s="21"/>
      <c r="G465" s="21"/>
      <c r="H465" s="21"/>
      <c r="AB465" s="21"/>
    </row>
    <row r="466" spans="1:28">
      <c r="A466" s="21"/>
      <c r="B466" s="21"/>
      <c r="C466" s="21"/>
      <c r="D466" s="28"/>
      <c r="E466" s="21"/>
      <c r="F466" s="21"/>
      <c r="G466" s="21"/>
      <c r="H466" s="21"/>
      <c r="AB466" s="21"/>
    </row>
    <row r="467" spans="1:28">
      <c r="A467" s="21"/>
      <c r="B467" s="21"/>
      <c r="C467" s="21"/>
      <c r="D467" s="28"/>
      <c r="E467" s="21"/>
      <c r="F467" s="21"/>
      <c r="G467" s="21"/>
      <c r="H467" s="21"/>
      <c r="AB467" s="21"/>
    </row>
    <row r="468" spans="1:28">
      <c r="A468" s="21"/>
      <c r="B468" s="21"/>
      <c r="C468" s="21"/>
      <c r="D468" s="28"/>
      <c r="E468" s="21"/>
      <c r="F468" s="21"/>
      <c r="G468" s="21"/>
      <c r="H468" s="21"/>
      <c r="AB468" s="21"/>
    </row>
    <row r="469" spans="1:28">
      <c r="A469" s="21"/>
      <c r="B469" s="21"/>
      <c r="C469" s="21"/>
      <c r="D469" s="28"/>
      <c r="E469" s="21"/>
      <c r="F469" s="21"/>
      <c r="G469" s="21"/>
      <c r="H469" s="21"/>
      <c r="AB469" s="21"/>
    </row>
    <row r="470" spans="1:28">
      <c r="A470" s="21"/>
      <c r="B470" s="21"/>
      <c r="C470" s="21"/>
      <c r="D470" s="28"/>
      <c r="E470" s="21"/>
      <c r="F470" s="21"/>
      <c r="G470" s="21"/>
      <c r="H470" s="21"/>
      <c r="AB470" s="21"/>
    </row>
    <row r="471" spans="1:28">
      <c r="A471" s="21"/>
      <c r="B471" s="21"/>
      <c r="C471" s="21"/>
      <c r="D471" s="28"/>
      <c r="E471" s="21"/>
      <c r="F471" s="21"/>
      <c r="G471" s="21"/>
      <c r="H471" s="21"/>
      <c r="AB471" s="21"/>
    </row>
    <row r="472" spans="1:28">
      <c r="A472" s="21"/>
      <c r="B472" s="21"/>
      <c r="C472" s="21"/>
      <c r="D472" s="28"/>
      <c r="E472" s="21"/>
      <c r="F472" s="21"/>
      <c r="G472" s="21"/>
      <c r="H472" s="21"/>
      <c r="AB472" s="21"/>
    </row>
    <row r="473" spans="1:28">
      <c r="A473" s="21"/>
      <c r="B473" s="21"/>
      <c r="C473" s="21"/>
      <c r="D473" s="28"/>
      <c r="E473" s="21"/>
      <c r="F473" s="21"/>
      <c r="G473" s="21"/>
      <c r="H473" s="21"/>
      <c r="AB473" s="21"/>
    </row>
    <row r="474" spans="1:28">
      <c r="A474" s="21"/>
      <c r="B474" s="21"/>
      <c r="C474" s="21"/>
      <c r="D474" s="28"/>
      <c r="E474" s="21"/>
      <c r="F474" s="21"/>
      <c r="G474" s="21"/>
      <c r="H474" s="21"/>
      <c r="AB474" s="21"/>
    </row>
    <row r="475" spans="1:28">
      <c r="A475" s="21"/>
      <c r="B475" s="21"/>
      <c r="C475" s="21"/>
      <c r="D475" s="28"/>
      <c r="E475" s="21"/>
      <c r="F475" s="21"/>
      <c r="G475" s="21"/>
      <c r="H475" s="21"/>
      <c r="AB475" s="21"/>
    </row>
    <row r="476" spans="1:28">
      <c r="A476" s="21"/>
      <c r="B476" s="21"/>
      <c r="C476" s="21"/>
      <c r="D476" s="28"/>
      <c r="E476" s="21"/>
      <c r="F476" s="21"/>
      <c r="G476" s="21"/>
      <c r="H476" s="21"/>
      <c r="AB476" s="21"/>
    </row>
    <row r="477" spans="1:28">
      <c r="A477" s="21"/>
      <c r="B477" s="21"/>
      <c r="C477" s="21"/>
      <c r="D477" s="28"/>
      <c r="E477" s="21"/>
      <c r="F477" s="21"/>
      <c r="G477" s="21"/>
      <c r="H477" s="21"/>
      <c r="AB477" s="21"/>
    </row>
    <row r="478" spans="1:28">
      <c r="A478" s="21"/>
      <c r="B478" s="21"/>
      <c r="C478" s="21"/>
      <c r="D478" s="28"/>
      <c r="E478" s="21"/>
      <c r="F478" s="21"/>
      <c r="G478" s="21"/>
      <c r="H478" s="21"/>
      <c r="AB478" s="21"/>
    </row>
    <row r="479" spans="1:28">
      <c r="A479" s="21"/>
      <c r="B479" s="21"/>
      <c r="C479" s="21"/>
      <c r="D479" s="28"/>
      <c r="E479" s="21"/>
      <c r="F479" s="21"/>
      <c r="G479" s="21"/>
      <c r="H479" s="21"/>
      <c r="AB479" s="21"/>
    </row>
    <row r="480" spans="1:28">
      <c r="A480" s="21"/>
      <c r="B480" s="21"/>
      <c r="C480" s="21"/>
      <c r="D480" s="28"/>
      <c r="E480" s="21"/>
      <c r="F480" s="21"/>
      <c r="G480" s="21"/>
      <c r="H480" s="21"/>
      <c r="AB480" s="21"/>
    </row>
    <row r="481" spans="1:28">
      <c r="A481" s="21"/>
      <c r="B481" s="21"/>
      <c r="C481" s="21"/>
      <c r="D481" s="28"/>
      <c r="E481" s="21"/>
      <c r="F481" s="21"/>
      <c r="G481" s="21"/>
      <c r="H481" s="21"/>
      <c r="AB481" s="21"/>
    </row>
    <row r="482" spans="1:28">
      <c r="A482" s="21"/>
      <c r="B482" s="21"/>
      <c r="C482" s="21"/>
      <c r="D482" s="28"/>
      <c r="E482" s="21"/>
      <c r="F482" s="21"/>
      <c r="G482" s="21"/>
      <c r="H482" s="21"/>
      <c r="AB482" s="21"/>
    </row>
    <row r="483" spans="1:28">
      <c r="A483" s="21"/>
      <c r="B483" s="21"/>
      <c r="C483" s="21"/>
      <c r="D483" s="28"/>
      <c r="E483" s="21"/>
      <c r="F483" s="21"/>
      <c r="G483" s="21"/>
      <c r="H483" s="21"/>
      <c r="AB483" s="21"/>
    </row>
    <row r="484" spans="1:28">
      <c r="A484" s="21"/>
      <c r="B484" s="21"/>
      <c r="C484" s="21"/>
      <c r="D484" s="28"/>
      <c r="E484" s="21"/>
      <c r="F484" s="21"/>
      <c r="G484" s="21"/>
      <c r="H484" s="21"/>
      <c r="AB484" s="21"/>
    </row>
    <row r="485" spans="1:28">
      <c r="A485" s="21"/>
      <c r="B485" s="21"/>
      <c r="C485" s="21"/>
      <c r="D485" s="28"/>
      <c r="E485" s="21"/>
      <c r="F485" s="21"/>
      <c r="G485" s="21"/>
      <c r="H485" s="21"/>
      <c r="AB485" s="21"/>
    </row>
    <row r="486" spans="1:28">
      <c r="A486" s="21"/>
      <c r="B486" s="21"/>
      <c r="C486" s="21"/>
      <c r="D486" s="28"/>
      <c r="E486" s="21"/>
      <c r="F486" s="21"/>
      <c r="G486" s="21"/>
      <c r="H486" s="21"/>
      <c r="AB486" s="21"/>
    </row>
    <row r="487" spans="1:28">
      <c r="A487" s="21"/>
      <c r="B487" s="21"/>
      <c r="C487" s="21"/>
      <c r="D487" s="28"/>
      <c r="E487" s="21"/>
      <c r="F487" s="21"/>
      <c r="G487" s="21"/>
      <c r="H487" s="21"/>
      <c r="AB487" s="21"/>
    </row>
    <row r="488" spans="1:28">
      <c r="A488" s="21"/>
      <c r="B488" s="21"/>
      <c r="C488" s="21"/>
      <c r="D488" s="28"/>
      <c r="E488" s="21"/>
      <c r="F488" s="21"/>
      <c r="G488" s="21"/>
      <c r="H488" s="21"/>
      <c r="AB488" s="21"/>
    </row>
    <row r="489" spans="1:28">
      <c r="A489" s="21"/>
      <c r="B489" s="21"/>
      <c r="C489" s="21"/>
      <c r="D489" s="28"/>
      <c r="E489" s="21"/>
      <c r="F489" s="21"/>
      <c r="G489" s="21"/>
      <c r="H489" s="21"/>
      <c r="AB489" s="21"/>
    </row>
    <row r="490" spans="1:28">
      <c r="A490" s="21"/>
      <c r="B490" s="21"/>
      <c r="C490" s="21"/>
      <c r="D490" s="28"/>
      <c r="E490" s="21"/>
      <c r="F490" s="21"/>
      <c r="G490" s="21"/>
      <c r="H490" s="21"/>
      <c r="AB490" s="21"/>
    </row>
    <row r="491" spans="1:28">
      <c r="A491" s="21"/>
      <c r="B491" s="21"/>
      <c r="C491" s="21"/>
      <c r="D491" s="28"/>
      <c r="E491" s="21"/>
      <c r="F491" s="21"/>
      <c r="G491" s="21"/>
      <c r="H491" s="21"/>
      <c r="AB491" s="21"/>
    </row>
    <row r="492" spans="1:28">
      <c r="A492" s="21"/>
      <c r="B492" s="21"/>
      <c r="C492" s="21"/>
      <c r="D492" s="28"/>
      <c r="E492" s="21"/>
      <c r="F492" s="21"/>
      <c r="G492" s="21"/>
      <c r="H492" s="21"/>
      <c r="AB492" s="21"/>
    </row>
    <row r="493" spans="1:28">
      <c r="A493" s="21"/>
      <c r="B493" s="21"/>
      <c r="C493" s="21"/>
      <c r="D493" s="28"/>
      <c r="E493" s="21"/>
      <c r="F493" s="21"/>
      <c r="G493" s="21"/>
      <c r="H493" s="21"/>
      <c r="AB493" s="21"/>
    </row>
    <row r="494" spans="1:28">
      <c r="A494" s="21"/>
      <c r="B494" s="21"/>
      <c r="C494" s="21"/>
      <c r="D494" s="28"/>
      <c r="E494" s="21"/>
      <c r="F494" s="21"/>
      <c r="G494" s="21"/>
      <c r="H494" s="21"/>
      <c r="AB494" s="21"/>
    </row>
    <row r="495" spans="1:28">
      <c r="A495" s="21"/>
      <c r="B495" s="21"/>
      <c r="C495" s="21"/>
      <c r="D495" s="28"/>
      <c r="E495" s="21"/>
      <c r="F495" s="21"/>
      <c r="G495" s="21"/>
      <c r="H495" s="21"/>
      <c r="AB495" s="21"/>
    </row>
    <row r="496" spans="1:28">
      <c r="A496" s="21"/>
      <c r="B496" s="21"/>
      <c r="C496" s="21"/>
      <c r="D496" s="28"/>
      <c r="E496" s="21"/>
      <c r="F496" s="21"/>
      <c r="G496" s="21"/>
      <c r="H496" s="21"/>
      <c r="AB496" s="21"/>
    </row>
    <row r="497" spans="1:28">
      <c r="A497" s="21"/>
      <c r="B497" s="21"/>
      <c r="C497" s="21"/>
      <c r="D497" s="28"/>
      <c r="E497" s="21"/>
      <c r="F497" s="21"/>
      <c r="G497" s="21"/>
      <c r="H497" s="21"/>
      <c r="AB497" s="21"/>
    </row>
    <row r="498" spans="1:28">
      <c r="A498" s="21"/>
      <c r="B498" s="21"/>
      <c r="C498" s="21"/>
      <c r="D498" s="28"/>
      <c r="E498" s="21"/>
      <c r="F498" s="21"/>
      <c r="G498" s="21"/>
      <c r="H498" s="21"/>
      <c r="AB498" s="21"/>
    </row>
    <row r="499" spans="1:28">
      <c r="A499" s="21"/>
      <c r="B499" s="21"/>
      <c r="C499" s="21"/>
      <c r="D499" s="28"/>
      <c r="E499" s="21"/>
      <c r="F499" s="21"/>
      <c r="G499" s="21"/>
      <c r="H499" s="21"/>
      <c r="AB499" s="21"/>
    </row>
    <row r="500" spans="1:28">
      <c r="A500" s="21"/>
      <c r="B500" s="21"/>
      <c r="C500" s="21"/>
      <c r="D500" s="28"/>
      <c r="E500" s="21"/>
      <c r="F500" s="21"/>
      <c r="G500" s="21"/>
      <c r="H500" s="21"/>
      <c r="AB500" s="21"/>
    </row>
    <row r="501" spans="1:28">
      <c r="A501" s="21"/>
      <c r="B501" s="21"/>
      <c r="C501" s="21"/>
      <c r="D501" s="28"/>
      <c r="E501" s="21"/>
      <c r="F501" s="21"/>
      <c r="G501" s="21"/>
      <c r="H501" s="21"/>
      <c r="AB501" s="21"/>
    </row>
    <row r="502" spans="1:28">
      <c r="A502" s="21"/>
      <c r="B502" s="21"/>
      <c r="C502" s="21"/>
      <c r="D502" s="28"/>
      <c r="E502" s="21"/>
      <c r="F502" s="21"/>
      <c r="G502" s="21"/>
      <c r="H502" s="21"/>
      <c r="AB502" s="21"/>
    </row>
    <row r="503" spans="1:28">
      <c r="A503" s="21"/>
      <c r="B503" s="21"/>
      <c r="C503" s="21"/>
      <c r="D503" s="28"/>
      <c r="E503" s="21"/>
      <c r="F503" s="21"/>
      <c r="G503" s="21"/>
      <c r="H503" s="21"/>
      <c r="AB503" s="21"/>
    </row>
    <row r="504" spans="1:28">
      <c r="A504" s="21"/>
      <c r="B504" s="21"/>
      <c r="C504" s="21"/>
      <c r="D504" s="28"/>
      <c r="E504" s="21"/>
      <c r="F504" s="21"/>
      <c r="G504" s="21"/>
      <c r="H504" s="21"/>
      <c r="AB504" s="21"/>
    </row>
    <row r="505" spans="1:28">
      <c r="A505" s="21"/>
      <c r="B505" s="21"/>
      <c r="C505" s="21"/>
      <c r="D505" s="28"/>
      <c r="E505" s="21"/>
      <c r="F505" s="21"/>
      <c r="G505" s="21"/>
      <c r="H505" s="21"/>
      <c r="AB505" s="21"/>
    </row>
    <row r="506" spans="1:28">
      <c r="A506" s="21"/>
      <c r="B506" s="21"/>
      <c r="C506" s="21"/>
      <c r="D506" s="28"/>
      <c r="E506" s="21"/>
      <c r="F506" s="21"/>
      <c r="G506" s="21"/>
      <c r="H506" s="21"/>
      <c r="AB506" s="21"/>
    </row>
    <row r="507" spans="1:28">
      <c r="A507" s="21"/>
      <c r="B507" s="21"/>
      <c r="C507" s="21"/>
      <c r="D507" s="28"/>
      <c r="E507" s="21"/>
      <c r="F507" s="21"/>
      <c r="G507" s="21"/>
      <c r="H507" s="21"/>
      <c r="AB507" s="21"/>
    </row>
    <row r="508" spans="1:28">
      <c r="A508" s="21"/>
      <c r="B508" s="21"/>
      <c r="C508" s="21"/>
      <c r="D508" s="28"/>
      <c r="E508" s="21"/>
      <c r="F508" s="21"/>
      <c r="G508" s="21"/>
      <c r="H508" s="21"/>
      <c r="AB508" s="21"/>
    </row>
    <row r="509" spans="1:28">
      <c r="A509" s="21"/>
      <c r="B509" s="21"/>
      <c r="C509" s="21"/>
      <c r="D509" s="28"/>
      <c r="E509" s="21"/>
      <c r="F509" s="21"/>
      <c r="G509" s="21"/>
      <c r="H509" s="21"/>
      <c r="AB509" s="21"/>
    </row>
    <row r="510" spans="1:28">
      <c r="A510" s="21"/>
      <c r="B510" s="21"/>
      <c r="C510" s="21"/>
      <c r="D510" s="28"/>
      <c r="E510" s="21"/>
      <c r="F510" s="21"/>
      <c r="G510" s="21"/>
      <c r="H510" s="21"/>
      <c r="AB510" s="21"/>
    </row>
    <row r="511" spans="1:28">
      <c r="A511" s="21"/>
      <c r="B511" s="21"/>
      <c r="C511" s="21"/>
      <c r="D511" s="28"/>
      <c r="E511" s="21"/>
      <c r="F511" s="21"/>
      <c r="G511" s="21"/>
      <c r="H511" s="21"/>
      <c r="AB511" s="21"/>
    </row>
    <row r="512" spans="1:28">
      <c r="A512" s="21"/>
      <c r="B512" s="21"/>
      <c r="C512" s="21"/>
      <c r="D512" s="28"/>
      <c r="E512" s="21"/>
      <c r="F512" s="21"/>
      <c r="G512" s="21"/>
      <c r="H512" s="21"/>
      <c r="AB512" s="21"/>
    </row>
    <row r="513" spans="1:28">
      <c r="A513" s="21"/>
      <c r="B513" s="21"/>
      <c r="C513" s="21"/>
      <c r="D513" s="28"/>
      <c r="E513" s="21"/>
      <c r="F513" s="21"/>
      <c r="G513" s="21"/>
      <c r="H513" s="21"/>
      <c r="AB513" s="21"/>
    </row>
    <row r="514" spans="1:28">
      <c r="A514" s="21"/>
      <c r="B514" s="21"/>
      <c r="C514" s="21"/>
      <c r="D514" s="28"/>
      <c r="E514" s="21"/>
      <c r="F514" s="21"/>
      <c r="G514" s="21"/>
      <c r="H514" s="21"/>
      <c r="AB514" s="21"/>
    </row>
    <row r="515" spans="1:28">
      <c r="A515" s="21"/>
      <c r="B515" s="21"/>
      <c r="C515" s="21"/>
      <c r="D515" s="28"/>
      <c r="E515" s="21"/>
      <c r="F515" s="21"/>
      <c r="G515" s="21"/>
      <c r="H515" s="21"/>
      <c r="AB515" s="21"/>
    </row>
    <row r="516" spans="1:28">
      <c r="A516" s="21"/>
      <c r="B516" s="21"/>
      <c r="C516" s="21"/>
      <c r="D516" s="28"/>
      <c r="E516" s="21"/>
      <c r="F516" s="21"/>
      <c r="G516" s="21"/>
      <c r="H516" s="21"/>
      <c r="AB516" s="21"/>
    </row>
    <row r="517" spans="1:28">
      <c r="A517" s="21"/>
      <c r="B517" s="21"/>
      <c r="C517" s="21"/>
      <c r="D517" s="28"/>
      <c r="E517" s="21"/>
      <c r="F517" s="21"/>
      <c r="G517" s="21"/>
      <c r="H517" s="21"/>
      <c r="AB517" s="21"/>
    </row>
    <row r="518" spans="1:28">
      <c r="A518" s="21"/>
      <c r="B518" s="21"/>
      <c r="C518" s="21"/>
      <c r="D518" s="28"/>
      <c r="E518" s="21"/>
      <c r="F518" s="21"/>
      <c r="G518" s="21"/>
      <c r="H518" s="21"/>
      <c r="AB518" s="21"/>
    </row>
    <row r="519" spans="1:28">
      <c r="A519" s="21"/>
      <c r="B519" s="21"/>
      <c r="C519" s="21"/>
      <c r="D519" s="28"/>
      <c r="E519" s="21"/>
      <c r="F519" s="21"/>
      <c r="G519" s="21"/>
      <c r="H519" s="21"/>
      <c r="AB519" s="21"/>
    </row>
    <row r="520" spans="1:28">
      <c r="A520" s="21"/>
      <c r="B520" s="21"/>
      <c r="C520" s="21"/>
      <c r="D520" s="28"/>
      <c r="E520" s="21"/>
      <c r="F520" s="21"/>
      <c r="G520" s="21"/>
      <c r="H520" s="21"/>
      <c r="AB520" s="21"/>
    </row>
    <row r="521" spans="1:28">
      <c r="A521" s="21"/>
      <c r="B521" s="21"/>
      <c r="C521" s="21"/>
      <c r="D521" s="28"/>
      <c r="E521" s="21"/>
      <c r="F521" s="21"/>
      <c r="G521" s="21"/>
      <c r="H521" s="21"/>
      <c r="AB521" s="21"/>
    </row>
    <row r="522" spans="1:28">
      <c r="A522" s="21"/>
      <c r="B522" s="21"/>
      <c r="C522" s="21"/>
      <c r="D522" s="28"/>
      <c r="E522" s="21"/>
      <c r="F522" s="21"/>
      <c r="G522" s="21"/>
      <c r="H522" s="21"/>
      <c r="AB522" s="21"/>
    </row>
    <row r="523" spans="1:28">
      <c r="A523" s="21"/>
      <c r="B523" s="21"/>
      <c r="C523" s="21"/>
      <c r="D523" s="28"/>
      <c r="E523" s="21"/>
      <c r="F523" s="21"/>
      <c r="G523" s="21"/>
      <c r="H523" s="21"/>
      <c r="AB523" s="21"/>
    </row>
    <row r="524" spans="1:28">
      <c r="A524" s="21"/>
      <c r="B524" s="21"/>
      <c r="C524" s="21"/>
      <c r="D524" s="28"/>
      <c r="E524" s="21"/>
      <c r="F524" s="21"/>
      <c r="G524" s="21"/>
      <c r="H524" s="21"/>
      <c r="AB524" s="21"/>
    </row>
    <row r="525" spans="1:28">
      <c r="A525" s="21"/>
      <c r="B525" s="21"/>
      <c r="C525" s="21"/>
      <c r="D525" s="28"/>
      <c r="E525" s="21"/>
      <c r="F525" s="21"/>
      <c r="G525" s="21"/>
      <c r="H525" s="21"/>
      <c r="AB525" s="21"/>
    </row>
    <row r="526" spans="1:28">
      <c r="A526" s="21"/>
      <c r="B526" s="21"/>
      <c r="C526" s="21"/>
      <c r="D526" s="28"/>
      <c r="E526" s="21"/>
      <c r="F526" s="21"/>
      <c r="G526" s="21"/>
      <c r="H526" s="21"/>
      <c r="AB526" s="21"/>
    </row>
    <row r="527" spans="1:28">
      <c r="A527" s="21"/>
      <c r="B527" s="21"/>
      <c r="C527" s="21"/>
      <c r="D527" s="28"/>
      <c r="E527" s="21"/>
      <c r="F527" s="21"/>
      <c r="G527" s="21"/>
      <c r="H527" s="21"/>
      <c r="AB527" s="21"/>
    </row>
    <row r="528" spans="1:28">
      <c r="A528" s="21"/>
      <c r="B528" s="21"/>
      <c r="C528" s="21"/>
      <c r="D528" s="28"/>
      <c r="E528" s="21"/>
      <c r="F528" s="21"/>
      <c r="G528" s="21"/>
      <c r="H528" s="21"/>
      <c r="AB528" s="21"/>
    </row>
    <row r="529" spans="1:28">
      <c r="A529" s="21"/>
      <c r="B529" s="21"/>
      <c r="C529" s="21"/>
      <c r="D529" s="28"/>
      <c r="E529" s="21"/>
      <c r="F529" s="21"/>
      <c r="G529" s="21"/>
      <c r="H529" s="21"/>
      <c r="AB529" s="21"/>
    </row>
    <row r="530" spans="1:28">
      <c r="A530" s="21"/>
      <c r="B530" s="21"/>
      <c r="C530" s="21"/>
      <c r="D530" s="28"/>
      <c r="E530" s="21"/>
      <c r="F530" s="21"/>
      <c r="G530" s="21"/>
      <c r="H530" s="21"/>
      <c r="AB530" s="21"/>
    </row>
    <row r="531" spans="1:28">
      <c r="A531" s="21"/>
      <c r="B531" s="21"/>
      <c r="C531" s="21"/>
      <c r="D531" s="28"/>
      <c r="E531" s="21"/>
      <c r="F531" s="21"/>
      <c r="G531" s="21"/>
      <c r="H531" s="21"/>
      <c r="AB531" s="21"/>
    </row>
    <row r="532" spans="1:28">
      <c r="A532" s="21"/>
      <c r="B532" s="21"/>
      <c r="C532" s="21"/>
      <c r="D532" s="28"/>
      <c r="E532" s="21"/>
      <c r="F532" s="21"/>
      <c r="G532" s="21"/>
      <c r="H532" s="21"/>
      <c r="AB532" s="21"/>
    </row>
    <row r="533" spans="1:28">
      <c r="A533" s="21"/>
      <c r="B533" s="21"/>
      <c r="C533" s="21"/>
      <c r="D533" s="28"/>
      <c r="E533" s="21"/>
      <c r="F533" s="21"/>
      <c r="G533" s="21"/>
      <c r="H533" s="21"/>
    </row>
    <row r="534" spans="1:28">
      <c r="A534" s="21"/>
      <c r="B534" s="21"/>
      <c r="C534" s="21"/>
      <c r="D534" s="28"/>
      <c r="E534" s="21"/>
      <c r="F534" s="21"/>
      <c r="G534" s="21"/>
      <c r="H534" s="21"/>
    </row>
    <row r="535" spans="1:28">
      <c r="A535" s="21"/>
      <c r="B535" s="21"/>
      <c r="C535" s="21"/>
      <c r="D535" s="28"/>
      <c r="E535" s="21"/>
      <c r="F535" s="21"/>
      <c r="G535" s="21"/>
      <c r="H535" s="21"/>
    </row>
    <row r="536" spans="1:28">
      <c r="A536" s="21"/>
      <c r="B536" s="21"/>
      <c r="C536" s="21"/>
      <c r="D536" s="28"/>
      <c r="E536" s="21"/>
      <c r="F536" s="21"/>
      <c r="G536" s="21"/>
      <c r="H536" s="21"/>
    </row>
    <row r="537" spans="1:28">
      <c r="A537" s="21"/>
      <c r="B537" s="21"/>
      <c r="C537" s="21"/>
      <c r="D537" s="28"/>
      <c r="E537" s="21"/>
      <c r="F537" s="21"/>
      <c r="G537" s="21"/>
      <c r="H537" s="21"/>
    </row>
    <row r="538" spans="1:28">
      <c r="A538" s="21"/>
      <c r="B538" s="21"/>
      <c r="C538" s="21"/>
      <c r="D538" s="28"/>
      <c r="E538" s="21"/>
      <c r="F538" s="21"/>
      <c r="G538" s="21"/>
      <c r="H538" s="21"/>
    </row>
    <row r="539" spans="1:28">
      <c r="A539" s="21"/>
      <c r="B539" s="21"/>
      <c r="C539" s="21"/>
      <c r="D539" s="28"/>
      <c r="E539" s="21"/>
      <c r="F539" s="21"/>
      <c r="G539" s="21"/>
      <c r="H539" s="21"/>
    </row>
    <row r="540" spans="1:28">
      <c r="A540" s="21"/>
      <c r="B540" s="21"/>
      <c r="C540" s="21"/>
      <c r="D540" s="28"/>
      <c r="E540" s="21"/>
      <c r="F540" s="21"/>
      <c r="G540" s="21"/>
      <c r="H540" s="21"/>
    </row>
    <row r="541" spans="1:28">
      <c r="A541" s="21"/>
      <c r="B541" s="21"/>
      <c r="C541" s="21"/>
      <c r="D541" s="28"/>
      <c r="E541" s="21"/>
      <c r="F541" s="21"/>
      <c r="G541" s="21"/>
      <c r="H541" s="21"/>
    </row>
    <row r="542" spans="1:28">
      <c r="A542" s="21"/>
      <c r="B542" s="21"/>
      <c r="C542" s="21"/>
      <c r="D542" s="28"/>
      <c r="E542" s="21"/>
      <c r="F542" s="21"/>
      <c r="G542" s="21"/>
      <c r="H542" s="21"/>
    </row>
    <row r="543" spans="1:28">
      <c r="A543" s="21"/>
      <c r="B543" s="21"/>
      <c r="C543" s="21"/>
      <c r="D543" s="28"/>
      <c r="E543" s="21"/>
      <c r="F543" s="21"/>
      <c r="G543" s="21"/>
      <c r="H543" s="21"/>
    </row>
    <row r="544" spans="1:28">
      <c r="A544" s="21"/>
      <c r="B544" s="21"/>
      <c r="C544" s="21"/>
      <c r="D544" s="28"/>
      <c r="E544" s="21"/>
      <c r="F544" s="21"/>
      <c r="G544" s="21"/>
      <c r="H544" s="21"/>
    </row>
    <row r="545" spans="1:8">
      <c r="A545" s="21"/>
      <c r="B545" s="21"/>
      <c r="C545" s="21"/>
      <c r="D545" s="28"/>
      <c r="E545" s="21"/>
      <c r="F545" s="21"/>
      <c r="G545" s="21"/>
      <c r="H545" s="21"/>
    </row>
    <row r="546" spans="1:8">
      <c r="A546" s="21"/>
      <c r="B546" s="21"/>
      <c r="C546" s="21"/>
      <c r="D546" s="28"/>
      <c r="E546" s="21"/>
      <c r="F546" s="21"/>
      <c r="G546" s="21"/>
      <c r="H546" s="21"/>
    </row>
    <row r="547" spans="1:8">
      <c r="A547" s="21"/>
      <c r="B547" s="21"/>
      <c r="C547" s="21"/>
      <c r="D547" s="28"/>
      <c r="E547" s="21"/>
      <c r="F547" s="21"/>
      <c r="G547" s="21"/>
      <c r="H547" s="21"/>
    </row>
    <row r="548" spans="1:8">
      <c r="A548" s="21"/>
      <c r="B548" s="21"/>
      <c r="C548" s="21"/>
      <c r="D548" s="28"/>
      <c r="E548" s="21"/>
      <c r="F548" s="21"/>
      <c r="G548" s="21"/>
      <c r="H548" s="21"/>
    </row>
    <row r="549" spans="1:8">
      <c r="A549" s="21"/>
      <c r="B549" s="21"/>
      <c r="C549" s="21"/>
      <c r="D549" s="28"/>
      <c r="E549" s="21"/>
      <c r="F549" s="21"/>
      <c r="G549" s="21"/>
      <c r="H549" s="21"/>
    </row>
    <row r="550" spans="1:8">
      <c r="A550" s="21"/>
      <c r="B550" s="21"/>
      <c r="C550" s="21"/>
      <c r="D550" s="28"/>
      <c r="E550" s="21"/>
      <c r="F550" s="21"/>
      <c r="G550" s="21"/>
      <c r="H550" s="21"/>
    </row>
    <row r="551" spans="1:8">
      <c r="A551" s="21"/>
      <c r="B551" s="21"/>
      <c r="C551" s="21"/>
      <c r="D551" s="28"/>
      <c r="E551" s="21"/>
      <c r="F551" s="21"/>
      <c r="G551" s="21"/>
      <c r="H551" s="21"/>
    </row>
    <row r="552" spans="1:8">
      <c r="A552" s="21"/>
      <c r="B552" s="21"/>
      <c r="C552" s="21"/>
      <c r="D552" s="28"/>
      <c r="E552" s="21"/>
      <c r="F552" s="21"/>
      <c r="G552" s="21"/>
      <c r="H552" s="21"/>
    </row>
    <row r="553" spans="1:8">
      <c r="A553" s="21"/>
      <c r="B553" s="21"/>
      <c r="C553" s="21"/>
      <c r="D553" s="28"/>
      <c r="E553" s="21"/>
      <c r="F553" s="21"/>
      <c r="G553" s="21"/>
      <c r="H553" s="21"/>
    </row>
    <row r="554" spans="1:8">
      <c r="A554" s="21"/>
      <c r="B554" s="21"/>
      <c r="C554" s="21"/>
      <c r="D554" s="28"/>
      <c r="E554" s="21"/>
      <c r="F554" s="21"/>
      <c r="G554" s="21"/>
      <c r="H554" s="21"/>
    </row>
    <row r="555" spans="1:8">
      <c r="A555" s="21"/>
      <c r="B555" s="21"/>
      <c r="C555" s="21"/>
      <c r="D555" s="28"/>
      <c r="E555" s="21"/>
      <c r="F555" s="21"/>
      <c r="G555" s="21"/>
      <c r="H555" s="21"/>
    </row>
    <row r="556" spans="1:8">
      <c r="A556" s="21"/>
      <c r="B556" s="21"/>
      <c r="C556" s="21"/>
      <c r="D556" s="28"/>
      <c r="E556" s="21"/>
      <c r="F556" s="21"/>
      <c r="G556" s="21"/>
      <c r="H556" s="21"/>
    </row>
    <row r="557" spans="1:8">
      <c r="A557" s="21"/>
      <c r="B557" s="21"/>
      <c r="C557" s="21"/>
      <c r="D557" s="28"/>
      <c r="E557" s="21"/>
      <c r="F557" s="21"/>
      <c r="G557" s="21"/>
      <c r="H557" s="21"/>
    </row>
    <row r="558" spans="1:8">
      <c r="A558" s="21"/>
      <c r="B558" s="21"/>
      <c r="C558" s="21"/>
      <c r="D558" s="28"/>
      <c r="E558" s="21"/>
      <c r="F558" s="21"/>
      <c r="G558" s="21"/>
      <c r="H558" s="21"/>
    </row>
    <row r="559" spans="1:8">
      <c r="A559" s="21"/>
      <c r="B559" s="21"/>
      <c r="C559" s="21"/>
      <c r="D559" s="28"/>
      <c r="E559" s="21"/>
      <c r="F559" s="21"/>
      <c r="G559" s="21"/>
      <c r="H559" s="21"/>
    </row>
    <row r="560" spans="1:8">
      <c r="A560" s="21"/>
      <c r="B560" s="21"/>
      <c r="C560" s="21"/>
      <c r="D560" s="28"/>
      <c r="E560" s="21"/>
      <c r="F560" s="21"/>
      <c r="G560" s="21"/>
      <c r="H560" s="21"/>
    </row>
    <row r="561" spans="1:8">
      <c r="A561" s="21"/>
      <c r="B561" s="21"/>
      <c r="C561" s="21"/>
      <c r="D561" s="28"/>
      <c r="E561" s="21"/>
      <c r="F561" s="21"/>
      <c r="G561" s="21"/>
      <c r="H561" s="21"/>
    </row>
    <row r="562" spans="1:8">
      <c r="A562" s="21"/>
      <c r="B562" s="21"/>
      <c r="C562" s="21"/>
      <c r="D562" s="28"/>
      <c r="E562" s="21"/>
      <c r="F562" s="21"/>
      <c r="G562" s="21"/>
      <c r="H562" s="21"/>
    </row>
    <row r="563" spans="1:8">
      <c r="A563" s="21"/>
      <c r="B563" s="21"/>
      <c r="C563" s="21"/>
      <c r="D563" s="28"/>
      <c r="E563" s="21"/>
      <c r="F563" s="21"/>
      <c r="G563" s="21"/>
      <c r="H563" s="21"/>
    </row>
    <row r="564" spans="1:8">
      <c r="A564" s="21"/>
      <c r="B564" s="21"/>
      <c r="C564" s="21"/>
      <c r="D564" s="28"/>
      <c r="E564" s="21"/>
      <c r="F564" s="21"/>
      <c r="G564" s="21"/>
      <c r="H564" s="21"/>
    </row>
    <row r="565" spans="1:8">
      <c r="A565" s="21"/>
      <c r="B565" s="21"/>
      <c r="C565" s="21"/>
      <c r="D565" s="28"/>
      <c r="E565" s="21"/>
      <c r="F565" s="21"/>
      <c r="G565" s="21"/>
      <c r="H565" s="21"/>
    </row>
    <row r="566" spans="1:8">
      <c r="A566" s="21"/>
      <c r="B566" s="21"/>
      <c r="C566" s="21"/>
      <c r="D566" s="28"/>
      <c r="E566" s="21"/>
      <c r="F566" s="21"/>
      <c r="G566" s="21"/>
      <c r="H566" s="21"/>
    </row>
    <row r="567" spans="1:8">
      <c r="A567" s="21"/>
      <c r="B567" s="21"/>
      <c r="C567" s="21"/>
      <c r="D567" s="28"/>
      <c r="E567" s="21"/>
      <c r="F567" s="21"/>
      <c r="G567" s="21"/>
      <c r="H567" s="21"/>
    </row>
    <row r="568" spans="1:8">
      <c r="A568" s="21"/>
      <c r="B568" s="21"/>
      <c r="C568" s="21"/>
      <c r="D568" s="28"/>
      <c r="E568" s="21"/>
      <c r="F568" s="21"/>
      <c r="G568" s="21"/>
      <c r="H568" s="21"/>
    </row>
    <row r="569" spans="1:8">
      <c r="A569" s="21"/>
      <c r="B569" s="21"/>
      <c r="C569" s="21"/>
      <c r="D569" s="28"/>
      <c r="E569" s="21"/>
      <c r="F569" s="21"/>
      <c r="G569" s="21"/>
      <c r="H569" s="21"/>
    </row>
    <row r="570" spans="1:8">
      <c r="A570" s="21"/>
      <c r="B570" s="21"/>
      <c r="C570" s="21"/>
      <c r="D570" s="28"/>
      <c r="E570" s="21"/>
      <c r="F570" s="21"/>
      <c r="G570" s="21"/>
      <c r="H570" s="21"/>
    </row>
    <row r="571" spans="1:8">
      <c r="A571" s="21"/>
      <c r="B571" s="21"/>
      <c r="C571" s="21"/>
      <c r="D571" s="28"/>
      <c r="E571" s="21"/>
      <c r="F571" s="21"/>
      <c r="G571" s="21"/>
      <c r="H571" s="21"/>
    </row>
    <row r="572" spans="1:8">
      <c r="A572" s="21"/>
      <c r="B572" s="21"/>
      <c r="C572" s="21"/>
      <c r="D572" s="28"/>
      <c r="E572" s="21"/>
      <c r="F572" s="21"/>
      <c r="G572" s="21"/>
      <c r="H572" s="21"/>
    </row>
    <row r="573" spans="1:8">
      <c r="A573" s="21"/>
      <c r="B573" s="21"/>
      <c r="C573" s="21"/>
      <c r="D573" s="28"/>
      <c r="E573" s="21"/>
      <c r="F573" s="21"/>
      <c r="G573" s="21"/>
      <c r="H573" s="21"/>
    </row>
    <row r="574" spans="1:8">
      <c r="A574" s="21"/>
      <c r="B574" s="21"/>
      <c r="C574" s="21"/>
      <c r="D574" s="28"/>
      <c r="E574" s="21"/>
      <c r="F574" s="21"/>
      <c r="G574" s="21"/>
      <c r="H574" s="21"/>
    </row>
    <row r="575" spans="1:8">
      <c r="A575" s="21"/>
      <c r="B575" s="21"/>
      <c r="C575" s="21"/>
      <c r="D575" s="28"/>
      <c r="E575" s="21"/>
      <c r="F575" s="21"/>
      <c r="G575" s="21"/>
      <c r="H575" s="21"/>
    </row>
    <row r="576" spans="1:8">
      <c r="A576" s="21"/>
      <c r="B576" s="21"/>
      <c r="C576" s="21"/>
      <c r="D576" s="28"/>
      <c r="E576" s="21"/>
      <c r="F576" s="21"/>
      <c r="G576" s="21"/>
      <c r="H576" s="21"/>
    </row>
    <row r="577" spans="1:8">
      <c r="A577" s="21"/>
      <c r="B577" s="21"/>
      <c r="C577" s="21"/>
      <c r="D577" s="28"/>
      <c r="E577" s="21"/>
      <c r="F577" s="21"/>
      <c r="G577" s="21"/>
      <c r="H577" s="21"/>
    </row>
    <row r="578" spans="1:8">
      <c r="A578" s="21"/>
      <c r="B578" s="21"/>
      <c r="C578" s="21"/>
      <c r="D578" s="28"/>
      <c r="E578" s="21"/>
      <c r="F578" s="21"/>
      <c r="G578" s="21"/>
      <c r="H578" s="21"/>
    </row>
    <row r="579" spans="1:8">
      <c r="A579" s="21"/>
      <c r="B579" s="21"/>
      <c r="C579" s="21"/>
      <c r="D579" s="28"/>
      <c r="E579" s="21"/>
      <c r="F579" s="21"/>
      <c r="G579" s="21"/>
      <c r="H579" s="21"/>
    </row>
    <row r="580" spans="1:8">
      <c r="A580" s="21"/>
      <c r="B580" s="21"/>
      <c r="C580" s="21"/>
      <c r="D580" s="28"/>
      <c r="E580" s="21"/>
      <c r="F580" s="21"/>
      <c r="G580" s="21"/>
      <c r="H580" s="21"/>
    </row>
    <row r="581" spans="1:8">
      <c r="A581" s="21"/>
      <c r="B581" s="21"/>
      <c r="C581" s="21"/>
      <c r="D581" s="28"/>
      <c r="E581" s="21"/>
      <c r="F581" s="21"/>
      <c r="G581" s="21"/>
      <c r="H581" s="21"/>
    </row>
    <row r="582" spans="1:8">
      <c r="A582" s="21"/>
      <c r="B582" s="21"/>
      <c r="C582" s="21"/>
      <c r="D582" s="28"/>
      <c r="E582" s="21"/>
      <c r="F582" s="21"/>
      <c r="G582" s="21"/>
      <c r="H582" s="21"/>
    </row>
    <row r="583" spans="1:8">
      <c r="A583" s="21"/>
      <c r="B583" s="21"/>
      <c r="C583" s="21"/>
      <c r="D583" s="28"/>
      <c r="E583" s="21"/>
      <c r="F583" s="21"/>
      <c r="G583" s="21"/>
      <c r="H583" s="21"/>
    </row>
    <row r="584" spans="1:8">
      <c r="A584" s="21"/>
      <c r="B584" s="21"/>
      <c r="C584" s="21"/>
      <c r="D584" s="28"/>
      <c r="E584" s="21"/>
      <c r="F584" s="21"/>
      <c r="G584" s="21"/>
      <c r="H584" s="21"/>
    </row>
    <row r="585" spans="1:8">
      <c r="A585" s="21"/>
      <c r="B585" s="21"/>
      <c r="C585" s="21"/>
      <c r="D585" s="28"/>
      <c r="E585" s="21"/>
      <c r="F585" s="21"/>
      <c r="G585" s="21"/>
      <c r="H585" s="21"/>
    </row>
    <row r="586" spans="1:8">
      <c r="A586" s="21"/>
      <c r="B586" s="21"/>
      <c r="C586" s="21"/>
      <c r="D586" s="28"/>
      <c r="E586" s="21"/>
      <c r="F586" s="21"/>
      <c r="G586" s="21"/>
      <c r="H586" s="21"/>
    </row>
    <row r="587" spans="1:8">
      <c r="A587" s="21"/>
      <c r="B587" s="21"/>
      <c r="C587" s="21"/>
      <c r="D587" s="28"/>
      <c r="E587" s="21"/>
      <c r="F587" s="21"/>
      <c r="G587" s="21"/>
      <c r="H587" s="21"/>
    </row>
    <row r="588" spans="1:8">
      <c r="A588" s="21"/>
      <c r="B588" s="21"/>
      <c r="C588" s="21"/>
      <c r="D588" s="28"/>
      <c r="E588" s="21"/>
      <c r="F588" s="21"/>
      <c r="G588" s="21"/>
      <c r="H588" s="21"/>
    </row>
    <row r="589" spans="1:8">
      <c r="A589" s="21"/>
      <c r="B589" s="21"/>
      <c r="C589" s="21"/>
      <c r="D589" s="28"/>
      <c r="E589" s="21"/>
      <c r="F589" s="21"/>
      <c r="G589" s="21"/>
      <c r="H589" s="21"/>
    </row>
    <row r="590" spans="1:8">
      <c r="A590" s="21"/>
      <c r="B590" s="21"/>
      <c r="C590" s="21"/>
      <c r="D590" s="28"/>
      <c r="E590" s="21"/>
      <c r="F590" s="21"/>
      <c r="G590" s="21"/>
      <c r="H590" s="21"/>
    </row>
    <row r="591" spans="1:8">
      <c r="A591" s="21"/>
      <c r="B591" s="21"/>
      <c r="C591" s="21"/>
      <c r="D591" s="28"/>
      <c r="E591" s="21"/>
      <c r="F591" s="21"/>
      <c r="G591" s="21"/>
      <c r="H591" s="21"/>
    </row>
    <row r="592" spans="1:8">
      <c r="A592" s="21"/>
      <c r="B592" s="21"/>
      <c r="C592" s="21"/>
      <c r="D592" s="28"/>
      <c r="E592" s="21"/>
      <c r="F592" s="21"/>
      <c r="G592" s="21"/>
      <c r="H592" s="21"/>
    </row>
    <row r="593" spans="1:8">
      <c r="A593" s="21"/>
      <c r="B593" s="21"/>
      <c r="C593" s="21"/>
      <c r="D593" s="28"/>
      <c r="E593" s="21"/>
      <c r="F593" s="21"/>
      <c r="G593" s="21"/>
      <c r="H593" s="21"/>
    </row>
    <row r="594" spans="1:8">
      <c r="A594" s="21"/>
      <c r="B594" s="21"/>
      <c r="C594" s="21"/>
      <c r="D594" s="28"/>
      <c r="E594" s="21"/>
      <c r="F594" s="21"/>
      <c r="G594" s="21"/>
      <c r="H594" s="21"/>
    </row>
    <row r="595" spans="1:8">
      <c r="A595" s="21"/>
      <c r="B595" s="21"/>
      <c r="C595" s="21"/>
      <c r="D595" s="28"/>
      <c r="E595" s="21"/>
      <c r="F595" s="21"/>
      <c r="G595" s="21"/>
      <c r="H595" s="21"/>
    </row>
    <row r="596" spans="1:8">
      <c r="A596" s="21"/>
      <c r="B596" s="21"/>
      <c r="C596" s="21"/>
      <c r="D596" s="28"/>
      <c r="E596" s="21"/>
      <c r="F596" s="21"/>
      <c r="G596" s="21"/>
      <c r="H596" s="21"/>
    </row>
    <row r="597" spans="1:8">
      <c r="A597" s="21"/>
      <c r="B597" s="21"/>
      <c r="C597" s="21"/>
      <c r="D597" s="28"/>
      <c r="E597" s="21"/>
      <c r="F597" s="21"/>
      <c r="G597" s="21"/>
      <c r="H597" s="21"/>
    </row>
    <row r="598" spans="1:8">
      <c r="A598" s="21"/>
      <c r="B598" s="21"/>
      <c r="C598" s="21"/>
      <c r="D598" s="28"/>
      <c r="E598" s="21"/>
      <c r="F598" s="21"/>
      <c r="G598" s="21"/>
      <c r="H598" s="21"/>
    </row>
    <row r="599" spans="1:8">
      <c r="A599" s="21"/>
      <c r="B599" s="21"/>
      <c r="C599" s="21"/>
      <c r="D599" s="28"/>
      <c r="E599" s="21"/>
      <c r="F599" s="21"/>
      <c r="G599" s="21"/>
      <c r="H599" s="21"/>
    </row>
    <row r="600" spans="1:8">
      <c r="A600" s="21"/>
      <c r="B600" s="21"/>
      <c r="C600" s="21"/>
      <c r="D600" s="28"/>
      <c r="E600" s="21"/>
      <c r="F600" s="21"/>
      <c r="G600" s="21"/>
      <c r="H600" s="21"/>
    </row>
    <row r="601" spans="1:8">
      <c r="A601" s="21"/>
      <c r="B601" s="21"/>
      <c r="C601" s="21"/>
      <c r="D601" s="28"/>
      <c r="E601" s="21"/>
      <c r="F601" s="21"/>
      <c r="G601" s="21"/>
      <c r="H601" s="21"/>
    </row>
    <row r="602" spans="1:8">
      <c r="A602" s="21"/>
      <c r="B602" s="21"/>
      <c r="C602" s="21"/>
      <c r="D602" s="28"/>
      <c r="E602" s="21"/>
      <c r="F602" s="21"/>
      <c r="G602" s="21"/>
      <c r="H602" s="21"/>
    </row>
    <row r="603" spans="1:8">
      <c r="A603" s="21"/>
      <c r="B603" s="21"/>
      <c r="C603" s="21"/>
      <c r="D603" s="28"/>
      <c r="E603" s="21"/>
      <c r="F603" s="21"/>
      <c r="G603" s="21"/>
      <c r="H603" s="21"/>
    </row>
    <row r="604" spans="1:8">
      <c r="A604" s="21"/>
      <c r="B604" s="21"/>
      <c r="C604" s="21"/>
      <c r="D604" s="28"/>
      <c r="E604" s="21"/>
      <c r="F604" s="21"/>
      <c r="G604" s="21"/>
      <c r="H604" s="21"/>
    </row>
    <row r="605" spans="1:8">
      <c r="A605" s="21"/>
      <c r="B605" s="21"/>
      <c r="C605" s="21"/>
      <c r="D605" s="28"/>
      <c r="E605" s="21"/>
      <c r="F605" s="21"/>
      <c r="G605" s="21"/>
      <c r="H605" s="21"/>
    </row>
    <row r="606" spans="1:8">
      <c r="A606" s="21"/>
      <c r="B606" s="21"/>
      <c r="C606" s="21"/>
      <c r="D606" s="28"/>
      <c r="E606" s="21"/>
      <c r="F606" s="21"/>
      <c r="G606" s="21"/>
      <c r="H606" s="21"/>
    </row>
    <row r="607" spans="1:8">
      <c r="A607" s="21"/>
      <c r="B607" s="21"/>
      <c r="C607" s="21"/>
      <c r="D607" s="28"/>
      <c r="E607" s="21"/>
      <c r="F607" s="21"/>
      <c r="G607" s="21"/>
      <c r="H607" s="21"/>
    </row>
    <row r="608" spans="1:8">
      <c r="A608" s="21"/>
      <c r="B608" s="21"/>
      <c r="C608" s="21"/>
      <c r="D608" s="28"/>
      <c r="E608" s="21"/>
      <c r="F608" s="21"/>
      <c r="G608" s="21"/>
      <c r="H608" s="21"/>
    </row>
    <row r="609" spans="1:8">
      <c r="A609" s="21"/>
      <c r="B609" s="21"/>
      <c r="C609" s="21"/>
      <c r="D609" s="28"/>
      <c r="E609" s="21"/>
      <c r="F609" s="21"/>
      <c r="G609" s="21"/>
      <c r="H609" s="21"/>
    </row>
    <row r="610" spans="1:8">
      <c r="A610" s="21"/>
      <c r="B610" s="21"/>
      <c r="C610" s="21"/>
      <c r="D610" s="28"/>
      <c r="E610" s="21"/>
      <c r="F610" s="21"/>
      <c r="G610" s="21"/>
      <c r="H610" s="21"/>
    </row>
    <row r="611" spans="1:8">
      <c r="A611" s="21"/>
      <c r="B611" s="21"/>
      <c r="C611" s="21"/>
      <c r="D611" s="28"/>
      <c r="E611" s="21"/>
      <c r="F611" s="21"/>
      <c r="G611" s="21"/>
      <c r="H611" s="21"/>
    </row>
    <row r="612" spans="1:8">
      <c r="A612" s="21"/>
      <c r="B612" s="21"/>
      <c r="C612" s="21"/>
      <c r="D612" s="28"/>
      <c r="E612" s="21"/>
      <c r="F612" s="21"/>
      <c r="G612" s="21"/>
      <c r="H612" s="21"/>
    </row>
    <row r="613" spans="1:8">
      <c r="A613" s="21"/>
      <c r="B613" s="21"/>
      <c r="C613" s="21"/>
      <c r="D613" s="28"/>
      <c r="E613" s="21"/>
      <c r="F613" s="21"/>
      <c r="G613" s="21"/>
      <c r="H613" s="21"/>
    </row>
    <row r="614" spans="1:8">
      <c r="A614" s="21"/>
      <c r="B614" s="21"/>
      <c r="C614" s="21"/>
      <c r="D614" s="28"/>
      <c r="E614" s="21"/>
      <c r="F614" s="21"/>
      <c r="G614" s="21"/>
      <c r="H614" s="21"/>
    </row>
    <row r="615" spans="1:8">
      <c r="A615" s="21"/>
      <c r="B615" s="21"/>
      <c r="C615" s="21"/>
      <c r="D615" s="28"/>
      <c r="E615" s="21"/>
      <c r="F615" s="21"/>
      <c r="G615" s="21"/>
      <c r="H615" s="21"/>
    </row>
    <row r="616" spans="1:8">
      <c r="A616" s="21"/>
      <c r="B616" s="21"/>
      <c r="C616" s="21"/>
      <c r="D616" s="28"/>
      <c r="E616" s="21"/>
      <c r="F616" s="21"/>
      <c r="G616" s="21"/>
      <c r="H616" s="21"/>
    </row>
    <row r="617" spans="1:8">
      <c r="A617" s="21"/>
      <c r="B617" s="21"/>
      <c r="C617" s="21"/>
      <c r="D617" s="28"/>
      <c r="E617" s="21"/>
      <c r="F617" s="21"/>
      <c r="G617" s="21"/>
      <c r="H617" s="21"/>
    </row>
    <row r="618" spans="1:8">
      <c r="A618" s="21"/>
      <c r="B618" s="21"/>
      <c r="C618" s="21"/>
      <c r="D618" s="28"/>
      <c r="E618" s="21"/>
      <c r="F618" s="21"/>
      <c r="G618" s="21"/>
      <c r="H618" s="21"/>
    </row>
    <row r="619" spans="1:8">
      <c r="A619" s="21"/>
      <c r="B619" s="21"/>
      <c r="C619" s="21"/>
      <c r="D619" s="28"/>
      <c r="E619" s="21"/>
      <c r="F619" s="21"/>
      <c r="G619" s="21"/>
      <c r="H619" s="21"/>
    </row>
    <row r="620" spans="1:8">
      <c r="A620" s="21"/>
      <c r="B620" s="21"/>
      <c r="C620" s="21"/>
      <c r="D620" s="28"/>
      <c r="E620" s="21"/>
      <c r="F620" s="21"/>
      <c r="G620" s="21"/>
      <c r="H620" s="21"/>
    </row>
    <row r="621" spans="1:8">
      <c r="A621" s="21"/>
      <c r="B621" s="21"/>
      <c r="C621" s="21"/>
      <c r="D621" s="28"/>
      <c r="E621" s="21"/>
      <c r="F621" s="21"/>
      <c r="G621" s="21"/>
      <c r="H621" s="21"/>
    </row>
    <row r="622" spans="1:8">
      <c r="A622" s="21"/>
      <c r="B622" s="21"/>
      <c r="C622" s="21"/>
      <c r="D622" s="28"/>
      <c r="E622" s="21"/>
      <c r="F622" s="21"/>
      <c r="G622" s="21"/>
      <c r="H622" s="21"/>
    </row>
    <row r="623" spans="1:8">
      <c r="A623" s="21"/>
      <c r="B623" s="21"/>
      <c r="C623" s="21"/>
      <c r="D623" s="28"/>
      <c r="E623" s="21"/>
      <c r="F623" s="21"/>
      <c r="G623" s="21"/>
      <c r="H623" s="21"/>
    </row>
    <row r="624" spans="1:8">
      <c r="A624" s="21"/>
      <c r="B624" s="21"/>
      <c r="C624" s="21"/>
      <c r="D624" s="28"/>
      <c r="E624" s="21"/>
      <c r="F624" s="21"/>
      <c r="G624" s="21"/>
      <c r="H624" s="21"/>
    </row>
    <row r="625" spans="1:8">
      <c r="A625" s="21"/>
      <c r="B625" s="21"/>
      <c r="C625" s="21"/>
      <c r="D625" s="28"/>
      <c r="E625" s="21"/>
      <c r="F625" s="21"/>
      <c r="G625" s="21"/>
      <c r="H625" s="21"/>
    </row>
    <row r="626" spans="1:8">
      <c r="A626" s="21"/>
      <c r="B626" s="21"/>
      <c r="C626" s="21"/>
      <c r="D626" s="28"/>
      <c r="E626" s="21"/>
      <c r="F626" s="21"/>
      <c r="G626" s="21"/>
      <c r="H626" s="21"/>
    </row>
    <row r="627" spans="1:8">
      <c r="A627" s="21"/>
      <c r="B627" s="21"/>
      <c r="C627" s="21"/>
      <c r="D627" s="28"/>
      <c r="E627" s="21"/>
      <c r="F627" s="21"/>
      <c r="G627" s="21"/>
      <c r="H627" s="21"/>
    </row>
    <row r="628" spans="1:8">
      <c r="A628" s="21"/>
      <c r="B628" s="21"/>
      <c r="C628" s="21"/>
      <c r="D628" s="28"/>
      <c r="E628" s="21"/>
      <c r="F628" s="21"/>
      <c r="G628" s="21"/>
      <c r="H628" s="21"/>
    </row>
    <row r="629" spans="1:8">
      <c r="A629" s="21"/>
      <c r="B629" s="21"/>
      <c r="C629" s="21"/>
      <c r="D629" s="28"/>
      <c r="E629" s="21"/>
      <c r="F629" s="21"/>
      <c r="G629" s="21"/>
      <c r="H629" s="21"/>
    </row>
    <row r="630" spans="1:8">
      <c r="A630" s="21"/>
      <c r="B630" s="21"/>
      <c r="C630" s="21"/>
      <c r="D630" s="28"/>
      <c r="E630" s="21"/>
      <c r="F630" s="21"/>
      <c r="G630" s="21"/>
      <c r="H630" s="21"/>
    </row>
    <row r="631" spans="1:8">
      <c r="A631" s="21"/>
      <c r="B631" s="21"/>
      <c r="C631" s="21"/>
      <c r="D631" s="28"/>
      <c r="E631" s="21"/>
      <c r="F631" s="21"/>
      <c r="G631" s="21"/>
      <c r="H631" s="21"/>
    </row>
    <row r="632" spans="1:8">
      <c r="A632" s="21"/>
      <c r="B632" s="21"/>
      <c r="C632" s="21"/>
      <c r="D632" s="28"/>
      <c r="E632" s="21"/>
      <c r="F632" s="21"/>
      <c r="G632" s="21"/>
      <c r="H632" s="21"/>
    </row>
    <row r="633" spans="1:8">
      <c r="A633" s="21"/>
      <c r="B633" s="21"/>
      <c r="C633" s="21"/>
      <c r="D633" s="28"/>
      <c r="E633" s="21"/>
      <c r="F633" s="21"/>
      <c r="G633" s="21"/>
      <c r="H633" s="21"/>
    </row>
    <row r="634" spans="1:8">
      <c r="A634" s="21"/>
      <c r="B634" s="21"/>
      <c r="C634" s="21"/>
      <c r="D634" s="28"/>
      <c r="E634" s="21"/>
      <c r="F634" s="21"/>
      <c r="G634" s="21"/>
      <c r="H634" s="21"/>
    </row>
    <row r="635" spans="1:8">
      <c r="A635" s="21"/>
      <c r="B635" s="21"/>
      <c r="C635" s="21"/>
      <c r="D635" s="28"/>
      <c r="E635" s="21"/>
      <c r="F635" s="21"/>
      <c r="G635" s="21"/>
      <c r="H635" s="21"/>
    </row>
    <row r="636" spans="1:8">
      <c r="A636" s="21"/>
      <c r="B636" s="21"/>
      <c r="C636" s="21"/>
      <c r="D636" s="28"/>
      <c r="E636" s="21"/>
      <c r="F636" s="21"/>
      <c r="G636" s="21"/>
      <c r="H636" s="21"/>
    </row>
    <row r="637" spans="1:8">
      <c r="A637" s="21"/>
      <c r="B637" s="21"/>
      <c r="C637" s="21"/>
      <c r="D637" s="28"/>
      <c r="E637" s="21"/>
      <c r="F637" s="21"/>
      <c r="G637" s="21"/>
      <c r="H637" s="21"/>
    </row>
    <row r="638" spans="1:8">
      <c r="A638" s="21"/>
      <c r="B638" s="21"/>
      <c r="C638" s="21"/>
      <c r="D638" s="28"/>
      <c r="E638" s="21"/>
      <c r="F638" s="21"/>
      <c r="G638" s="21"/>
      <c r="H638" s="21"/>
    </row>
    <row r="639" spans="1:8">
      <c r="A639" s="21"/>
      <c r="B639" s="21"/>
      <c r="C639" s="21"/>
      <c r="D639" s="28"/>
      <c r="E639" s="21"/>
      <c r="F639" s="21"/>
      <c r="G639" s="21"/>
      <c r="H639" s="21"/>
    </row>
    <row r="640" spans="1:8">
      <c r="A640" s="21"/>
      <c r="B640" s="21"/>
      <c r="C640" s="21"/>
      <c r="D640" s="28"/>
      <c r="E640" s="21"/>
      <c r="F640" s="21"/>
      <c r="G640" s="21"/>
      <c r="H640" s="21"/>
    </row>
    <row r="641" spans="1:8">
      <c r="A641" s="21"/>
      <c r="B641" s="21"/>
      <c r="C641" s="21"/>
      <c r="D641" s="28"/>
      <c r="E641" s="21"/>
      <c r="F641" s="21"/>
      <c r="G641" s="21"/>
      <c r="H641" s="21"/>
    </row>
    <row r="642" spans="1:8">
      <c r="A642" s="21"/>
      <c r="B642" s="21"/>
      <c r="C642" s="21"/>
      <c r="D642" s="28"/>
      <c r="E642" s="21"/>
      <c r="F642" s="21"/>
      <c r="G642" s="21"/>
      <c r="H642" s="21"/>
    </row>
    <row r="643" spans="1:8">
      <c r="A643" s="21"/>
      <c r="B643" s="21"/>
      <c r="C643" s="21"/>
      <c r="D643" s="28"/>
      <c r="E643" s="21"/>
      <c r="F643" s="21"/>
      <c r="G643" s="21"/>
      <c r="H643" s="21"/>
    </row>
    <row r="644" spans="1:8">
      <c r="A644" s="21"/>
      <c r="B644" s="21"/>
      <c r="C644" s="21"/>
      <c r="D644" s="28"/>
      <c r="E644" s="21"/>
      <c r="F644" s="21"/>
      <c r="G644" s="21"/>
      <c r="H644" s="21"/>
    </row>
    <row r="645" spans="1:8">
      <c r="A645" s="21"/>
      <c r="B645" s="21"/>
      <c r="C645" s="21"/>
      <c r="D645" s="28"/>
      <c r="E645" s="21"/>
      <c r="F645" s="21"/>
      <c r="G645" s="21"/>
      <c r="H645" s="21"/>
    </row>
    <row r="646" spans="1:8">
      <c r="A646" s="21"/>
      <c r="B646" s="21"/>
      <c r="C646" s="21"/>
      <c r="D646" s="28"/>
      <c r="E646" s="21"/>
      <c r="F646" s="21"/>
      <c r="G646" s="21"/>
      <c r="H646" s="21"/>
    </row>
    <row r="647" spans="1:8">
      <c r="A647" s="21"/>
      <c r="B647" s="21"/>
      <c r="C647" s="21"/>
      <c r="D647" s="28"/>
      <c r="E647" s="21"/>
      <c r="F647" s="21"/>
      <c r="G647" s="21"/>
      <c r="H647" s="21"/>
    </row>
    <row r="648" spans="1:8">
      <c r="A648" s="21"/>
      <c r="B648" s="21"/>
      <c r="C648" s="21"/>
      <c r="D648" s="28"/>
      <c r="E648" s="21"/>
      <c r="F648" s="21"/>
      <c r="G648" s="21"/>
      <c r="H648" s="21"/>
    </row>
    <row r="649" spans="1:8">
      <c r="A649" s="21"/>
      <c r="B649" s="21"/>
      <c r="C649" s="21"/>
      <c r="D649" s="28"/>
      <c r="E649" s="21"/>
      <c r="F649" s="21"/>
      <c r="G649" s="21"/>
      <c r="H649" s="21"/>
    </row>
    <row r="650" spans="1:8">
      <c r="A650" s="21"/>
      <c r="B650" s="21"/>
      <c r="C650" s="21"/>
      <c r="D650" s="28"/>
      <c r="E650" s="21"/>
      <c r="F650" s="21"/>
      <c r="G650" s="21"/>
      <c r="H650" s="21"/>
    </row>
    <row r="651" spans="1:8">
      <c r="A651" s="21"/>
      <c r="B651" s="21"/>
      <c r="C651" s="21"/>
      <c r="D651" s="28"/>
      <c r="E651" s="21"/>
      <c r="F651" s="21"/>
      <c r="G651" s="21"/>
      <c r="H651" s="21"/>
    </row>
    <row r="652" spans="1:8">
      <c r="A652" s="21"/>
      <c r="B652" s="21"/>
      <c r="C652" s="21"/>
      <c r="D652" s="28"/>
      <c r="E652" s="21"/>
      <c r="F652" s="21"/>
      <c r="G652" s="21"/>
      <c r="H652" s="21"/>
    </row>
    <row r="653" spans="1:8">
      <c r="A653" s="21"/>
      <c r="B653" s="21"/>
      <c r="C653" s="21"/>
      <c r="D653" s="28"/>
      <c r="E653" s="21"/>
      <c r="F653" s="21"/>
      <c r="G653" s="21"/>
      <c r="H653" s="21"/>
    </row>
    <row r="654" spans="1:8">
      <c r="A654" s="21"/>
      <c r="B654" s="21"/>
      <c r="C654" s="21"/>
      <c r="D654" s="28"/>
      <c r="E654" s="21"/>
      <c r="F654" s="21"/>
      <c r="G654" s="21"/>
      <c r="H654" s="21"/>
    </row>
    <row r="655" spans="1:8">
      <c r="A655" s="21"/>
      <c r="B655" s="21"/>
      <c r="C655" s="21"/>
      <c r="D655" s="28"/>
      <c r="E655" s="21"/>
      <c r="F655" s="21"/>
      <c r="G655" s="21"/>
      <c r="H655" s="21"/>
    </row>
    <row r="656" spans="1:8">
      <c r="A656" s="21"/>
      <c r="B656" s="21"/>
      <c r="C656" s="21"/>
      <c r="D656" s="28"/>
      <c r="E656" s="21"/>
      <c r="F656" s="21"/>
      <c r="G656" s="21"/>
      <c r="H656" s="21"/>
    </row>
    <row r="657" spans="1:8">
      <c r="A657" s="21"/>
      <c r="B657" s="21"/>
      <c r="C657" s="21"/>
      <c r="D657" s="28"/>
      <c r="E657" s="21"/>
      <c r="F657" s="21"/>
      <c r="G657" s="21"/>
      <c r="H657" s="21"/>
    </row>
    <row r="658" spans="1:8">
      <c r="A658" s="21"/>
      <c r="B658" s="21"/>
      <c r="C658" s="21"/>
      <c r="D658" s="28"/>
      <c r="E658" s="21"/>
      <c r="F658" s="21"/>
      <c r="G658" s="21"/>
      <c r="H658" s="21"/>
    </row>
    <row r="659" spans="1:8">
      <c r="A659" s="21"/>
      <c r="B659" s="21"/>
      <c r="C659" s="21"/>
      <c r="D659" s="28"/>
      <c r="E659" s="21"/>
      <c r="F659" s="21"/>
      <c r="G659" s="21"/>
      <c r="H659" s="21"/>
    </row>
    <row r="660" spans="1:8">
      <c r="A660" s="21"/>
      <c r="B660" s="21"/>
      <c r="C660" s="21"/>
      <c r="D660" s="28"/>
      <c r="E660" s="21"/>
      <c r="F660" s="21"/>
      <c r="G660" s="21"/>
      <c r="H660" s="21"/>
    </row>
    <row r="661" spans="1:8">
      <c r="A661" s="21"/>
      <c r="B661" s="21"/>
      <c r="C661" s="21"/>
      <c r="D661" s="28"/>
      <c r="E661" s="21"/>
      <c r="F661" s="21"/>
      <c r="G661" s="21"/>
      <c r="H661" s="21"/>
    </row>
    <row r="662" spans="1:8">
      <c r="A662" s="21"/>
      <c r="B662" s="21"/>
      <c r="C662" s="21"/>
      <c r="D662" s="28"/>
      <c r="E662" s="21"/>
      <c r="F662" s="21"/>
      <c r="G662" s="21"/>
      <c r="H662" s="21"/>
    </row>
    <row r="663" spans="1:8">
      <c r="A663" s="21"/>
      <c r="B663" s="21"/>
      <c r="C663" s="21"/>
      <c r="D663" s="28"/>
      <c r="E663" s="21"/>
      <c r="F663" s="21"/>
      <c r="G663" s="21"/>
      <c r="H663" s="21"/>
    </row>
    <row r="664" spans="1:8">
      <c r="A664" s="21"/>
      <c r="B664" s="21"/>
      <c r="C664" s="21"/>
      <c r="D664" s="28"/>
      <c r="E664" s="21"/>
      <c r="F664" s="21"/>
      <c r="G664" s="21"/>
      <c r="H664" s="21"/>
    </row>
    <row r="665" spans="1:8">
      <c r="A665" s="21"/>
      <c r="B665" s="21"/>
      <c r="C665" s="21"/>
      <c r="D665" s="28"/>
      <c r="E665" s="21"/>
      <c r="F665" s="21"/>
      <c r="G665" s="21"/>
      <c r="H665" s="21"/>
    </row>
    <row r="666" spans="1:8">
      <c r="A666" s="21"/>
      <c r="B666" s="21"/>
      <c r="C666" s="21"/>
      <c r="D666" s="28"/>
      <c r="E666" s="21"/>
      <c r="F666" s="21"/>
      <c r="G666" s="21"/>
      <c r="H666" s="21"/>
    </row>
    <row r="667" spans="1:8">
      <c r="A667" s="21"/>
      <c r="B667" s="21"/>
      <c r="C667" s="21"/>
      <c r="D667" s="28"/>
      <c r="E667" s="21"/>
      <c r="F667" s="21"/>
      <c r="G667" s="21"/>
      <c r="H667" s="21"/>
    </row>
    <row r="668" spans="1:8">
      <c r="A668" s="21"/>
      <c r="B668" s="21"/>
      <c r="C668" s="21"/>
      <c r="D668" s="28"/>
      <c r="E668" s="21"/>
      <c r="F668" s="21"/>
      <c r="G668" s="21"/>
      <c r="H668" s="21"/>
    </row>
    <row r="669" spans="1:8">
      <c r="A669" s="21"/>
      <c r="B669" s="21"/>
      <c r="C669" s="21"/>
      <c r="D669" s="28"/>
      <c r="E669" s="21"/>
      <c r="F669" s="21"/>
      <c r="G669" s="21"/>
      <c r="H669" s="21"/>
    </row>
    <row r="670" spans="1:8">
      <c r="A670" s="21"/>
      <c r="B670" s="21"/>
      <c r="C670" s="21"/>
      <c r="D670" s="28"/>
      <c r="E670" s="21"/>
      <c r="F670" s="21"/>
      <c r="G670" s="21"/>
      <c r="H670" s="21"/>
    </row>
    <row r="671" spans="1:8">
      <c r="A671" s="21"/>
      <c r="B671" s="21"/>
      <c r="C671" s="21"/>
      <c r="D671" s="28"/>
      <c r="E671" s="21"/>
      <c r="F671" s="21"/>
      <c r="G671" s="21"/>
      <c r="H671" s="21"/>
    </row>
    <row r="672" spans="1:8">
      <c r="A672" s="21"/>
      <c r="B672" s="21"/>
      <c r="C672" s="21"/>
      <c r="D672" s="28"/>
      <c r="E672" s="21"/>
      <c r="F672" s="21"/>
      <c r="G672" s="21"/>
      <c r="H672" s="21"/>
    </row>
    <row r="673" spans="1:8">
      <c r="A673" s="21"/>
      <c r="B673" s="21"/>
      <c r="C673" s="21"/>
      <c r="D673" s="28"/>
      <c r="E673" s="21"/>
      <c r="F673" s="21"/>
      <c r="G673" s="21"/>
      <c r="H673" s="21"/>
    </row>
    <row r="674" spans="1:8">
      <c r="A674" s="21"/>
      <c r="B674" s="21"/>
      <c r="C674" s="21"/>
      <c r="D674" s="28"/>
      <c r="E674" s="21"/>
      <c r="F674" s="21"/>
      <c r="G674" s="21"/>
      <c r="H674" s="21"/>
    </row>
    <row r="675" spans="1:8">
      <c r="A675" s="21"/>
      <c r="B675" s="21"/>
      <c r="C675" s="21"/>
      <c r="D675" s="28"/>
      <c r="E675" s="21"/>
      <c r="F675" s="21"/>
      <c r="G675" s="21"/>
      <c r="H675" s="21"/>
    </row>
    <row r="676" spans="1:8">
      <c r="A676" s="21"/>
      <c r="B676" s="21"/>
      <c r="C676" s="21"/>
      <c r="D676" s="28"/>
      <c r="E676" s="21"/>
      <c r="F676" s="21"/>
      <c r="G676" s="21"/>
      <c r="H676" s="21"/>
    </row>
    <row r="677" spans="1:8">
      <c r="A677" s="21"/>
      <c r="B677" s="21"/>
      <c r="C677" s="21"/>
      <c r="D677" s="28"/>
      <c r="E677" s="21"/>
      <c r="F677" s="21"/>
      <c r="G677" s="21"/>
      <c r="H677" s="21"/>
    </row>
    <row r="678" spans="1:8">
      <c r="A678" s="21"/>
      <c r="B678" s="21"/>
      <c r="C678" s="21"/>
      <c r="D678" s="28"/>
      <c r="E678" s="21"/>
      <c r="F678" s="21"/>
      <c r="G678" s="21"/>
      <c r="H678" s="21"/>
    </row>
    <row r="679" spans="1:8">
      <c r="A679" s="21"/>
      <c r="B679" s="21"/>
      <c r="C679" s="21"/>
      <c r="D679" s="28"/>
      <c r="E679" s="21"/>
      <c r="F679" s="21"/>
      <c r="G679" s="21"/>
      <c r="H679" s="21"/>
    </row>
    <row r="680" spans="1:8">
      <c r="A680" s="21"/>
      <c r="B680" s="21"/>
      <c r="C680" s="21"/>
      <c r="D680" s="28"/>
      <c r="E680" s="21"/>
      <c r="F680" s="21"/>
      <c r="G680" s="21"/>
      <c r="H680" s="21"/>
    </row>
    <row r="681" spans="1:8">
      <c r="A681" s="21"/>
      <c r="B681" s="21"/>
      <c r="C681" s="21"/>
      <c r="D681" s="28"/>
      <c r="E681" s="21"/>
      <c r="F681" s="21"/>
      <c r="G681" s="21"/>
      <c r="H681" s="21"/>
    </row>
    <row r="682" spans="1:8">
      <c r="A682" s="21"/>
      <c r="B682" s="21"/>
      <c r="C682" s="21"/>
      <c r="D682" s="28"/>
      <c r="E682" s="21"/>
      <c r="F682" s="21"/>
      <c r="G682" s="21"/>
      <c r="H682" s="21"/>
    </row>
    <row r="683" spans="1:8">
      <c r="A683" s="21"/>
      <c r="B683" s="21"/>
      <c r="C683" s="21"/>
      <c r="D683" s="28"/>
      <c r="E683" s="21"/>
      <c r="F683" s="21"/>
      <c r="G683" s="21"/>
      <c r="H683" s="21"/>
    </row>
  </sheetData>
  <autoFilter ref="A1:BA73" xr:uid="{00000000-0009-0000-0000-000004000000}"/>
  <phoneticPr fontId="3"/>
  <dataValidations count="21">
    <dataValidation type="list" allowBlank="1" showInputMessage="1" showErrorMessage="1" sqref="F2:F683" xr:uid="{1856EB87-AD92-47FD-8570-0E7EC920BFED}">
      <formula1>$AH$2:$AH$11</formula1>
    </dataValidation>
    <dataValidation type="list" allowBlank="1" showInputMessage="1" showErrorMessage="1" sqref="K65535:K65613 K131071:K131149 K196607:K196685 K262143:K262221 K327679:K327757 K393215:K393293 K458751:K458829 K524287:K524365 K589823:K589901 K655359:K655437 K720895:K720973 K786431:K786509 K851967:K852045 K917503:K917581 K983039:K983117" xr:uid="{2BB03F56-487A-4F33-87BC-804F19445EAE}">
      <formula1>$AR$2:$AR$30</formula1>
    </dataValidation>
    <dataValidation type="list" allowBlank="1" showInputMessage="1" showErrorMessage="1" sqref="J2:J1000" xr:uid="{195E40ED-C127-4246-920D-FFD19D174D34}">
      <formula1>$AP$2:$AP$29</formula1>
    </dataValidation>
    <dataValidation type="list" allowBlank="1" showInputMessage="1" showErrorMessage="1" sqref="K2:K1000" xr:uid="{14BC0401-FD74-45C7-8285-637B030994A8}">
      <formula1>$AR$2:$AR$29</formula1>
    </dataValidation>
    <dataValidation type="list" allowBlank="1" showInputMessage="1" showErrorMessage="1" sqref="H2:H1429" xr:uid="{A548C919-37D0-4325-8CFE-E756AD52E1FC}">
      <formula1>$AL$2:$AL$9</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77822267-3D9D-4ED4-ADDE-2BE4024907FA}">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RNW2:RNW7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RXS2:RXS73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SHO2:SHO73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SRK2:SRK73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TBG2:TBG73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TLC2:TLC7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TUY2:TUY73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UEU2:UEU73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UOQ2:UOQ73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UYM2:UYM73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VII2:VII7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VSE2:VSE73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WCA2:WCA73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WLW2:WLW73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WVS2:WVS73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xr:uid="{0C26732A-0149-4513-8B23-E12E4CCA2F00}">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RNV2:RNV7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RXR2:RXR73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SHN2:SHN73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SRJ2:SRJ73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TBF2:TBF73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TLB2:TLB7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TUX2:TUX73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UET2:UET73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UOP2:UOP73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UYL2:UYL73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VIH2:VIH7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VSD2:VSD73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WBZ2:WBZ73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WLV2:WLV73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WVR2:WVR73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J65535:J65613 J131071:J131149 J196607:J196685 J262143:J262221 J327679:J327757 J393215:J393293 J458751:J458829 J524287:J524365 J589823:J589901 J655359:J655437 J720895:J720973 J786431:J786509 J851967:J852045 J917503:J917581 J983039:J983117" xr:uid="{6565A9B6-5B75-497C-8536-7672632AF123}">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4:F981903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78:F916367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2:F850831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6:F785295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0:F719759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4:F654223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598:F588687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2:F523151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6:F457615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0:F392079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4:F326543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18:F261007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2:F195471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6:F129935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0:F64399 JB2:JB73 SX2:SX73 ACT2:ACT73 AMP2:AMP73 AWL2:AWL73 BGH2:BGH73 BQD2:BQD73 BZZ2:BZZ73 CJV2:CJV73 CTR2:CTR73 DDN2:DDN73 DNJ2:DNJ73 DXF2:DXF73 EHB2:EHB73 EQX2:EQX73 FAT2:FAT73 FKP2:FKP73 FUL2:FUL73 GEH2:GEH73 GOD2:GOD73 GXZ2:GXZ73 HHV2:HHV73 HRR2:HRR73 IBN2:IBN73 ILJ2:ILJ73 IVF2:IVF73 JFB2:JFB73 JOX2:JOX73 JYT2:JYT73 KIP2:KIP73 KSL2:KSL73 LCH2:LCH73 LMD2:LMD73 LVZ2:LVZ73 MFV2:MFV73 MPR2:MPR73 MZN2:MZN73 NJJ2:NJJ73 NTF2:NTF73 ODB2:ODB73 OMX2:OMX73 OWT2:OWT73 PGP2:PGP73 PQL2:PQL73 QAH2:QAH73 QKD2:QKD73 QTZ2:QTZ73 RDV2:RDV73 RNR2:RNR73 RXN2:RXN73 SHJ2:SHJ73 SRF2:SRF73 TBB2:TBB73 TKX2:TKX73 TUT2:TUT73 UEP2:UEP73 UOL2:UOL73 UYH2:UYH73 VID2:VID73 VRZ2:VRZ73 WBV2:WBV73 WLR2:WLR73 WVN2:WVN73" xr:uid="{5E584E06-8556-44E7-AFC2-34FD2F256C12}">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4:E981903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78:E916367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2:E850831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6:E785295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0:E719759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4:E654223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598:E588687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2:E523151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6:E457615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0:E392079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4:E326543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18:E261007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2:E195471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6:E129935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0:E64399 JA2:JA73 SW2:SW73 ACS2:ACS73 AMO2:AMO73 AWK2:AWK73 BGG2:BGG73 BQC2:BQC73 BZY2:BZY73 CJU2:CJU73 CTQ2:CTQ73 DDM2:DDM73 DNI2:DNI73 DXE2:DXE73 EHA2:EHA73 EQW2:EQW73 FAS2:FAS73 FKO2:FKO73 FUK2:FUK73 GEG2:GEG73 GOC2:GOC73 GXY2:GXY73 HHU2:HHU73 HRQ2:HRQ73 IBM2:IBM73 ILI2:ILI73 IVE2:IVE73 JFA2:JFA73 JOW2:JOW73 JYS2:JYS73 KIO2:KIO73 KSK2:KSK73 LCG2:LCG73 LMC2:LMC73 LVY2:LVY73 MFU2:MFU73 MPQ2:MPQ73 MZM2:MZM73 NJI2:NJI73 NTE2:NTE73 ODA2:ODA73 OMW2:OMW73 OWS2:OWS73 PGO2:PGO73 PQK2:PQK73 QAG2:QAG73 QKC2:QKC73 QTY2:QTY73 RDU2:RDU73 RNQ2:RNQ73 RXM2:RXM73 SHI2:SHI73 SRE2:SRE73 TBA2:TBA73 TKW2:TKW73 TUS2:TUS73 UEO2:UEO73 UOK2:UOK73 UYG2:UYG73 VIC2:VIC73 VRY2:VRY73 WBU2:WBU73 WLQ2:WLQ73 WVM2:WVM73" xr:uid="{994D43C8-EB7C-4074-B512-0EB465A01B4C}">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JT2:JT73 TP2:TP73 ADL2:ADL73 ANH2:ANH73 AXD2:AXD73 BGZ2:BGZ73 BQV2:BQV73 CAR2:CAR73 CKN2:CKN73 CUJ2:CUJ73 DEF2:DEF73 DOB2:DOB73 DXX2:DXX73 EHT2:EHT73 ERP2:ERP73 FBL2:FBL73 FLH2:FLH73 FVD2:FVD73 GEZ2:GEZ73 GOV2:GOV73 GYR2:GYR73 HIN2:HIN73 HSJ2:HSJ73 ICF2:ICF73 IMB2:IMB73 IVX2:IVX73 JFT2:JFT73 JPP2:JPP73 JZL2:JZL73 KJH2:KJH73 KTD2:KTD73 LCZ2:LCZ73 LMV2:LMV73 LWR2:LWR73 MGN2:MGN73 MQJ2:MQJ73 NAF2:NAF73 NKB2:NKB73 NTX2:NTX73 ODT2:ODT73 ONP2:ONP73 OXL2:OXL73 PHH2:PHH73 PRD2:PRD73 QAZ2:QAZ73 QKV2:QKV73 QUR2:QUR73 REN2:REN73 ROJ2:ROJ73 RYF2:RYF73 SIB2:SIB73 SRX2:SRX73 TBT2:TBT73 TLP2:TLP73 TVL2:TVL73 UFH2:UFH73 UPD2:UPD73 UYZ2:UYZ73 VIV2:VIV73 VSR2:VSR73 WCN2:WCN73 WMJ2:WMJ73 WWF2:WWF73 X2:X500" xr:uid="{792F59E4-B9BF-4F6B-BFCA-01B3E8FF1991}">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IX2:IX73 ST2:ST73 ACP2:ACP73 AML2:AML73 AWH2:AWH73 BGD2:BGD73 BPZ2:BPZ73 BZV2:BZV73 CJR2:CJR73 CTN2:CTN73 DDJ2:DDJ73 DNF2:DNF73 DXB2:DXB73 EGX2:EGX73 EQT2:EQT73 FAP2:FAP73 FKL2:FKL73 FUH2:FUH73 GED2:GED73 GNZ2:GNZ73 GXV2:GXV73 HHR2:HHR73 HRN2:HRN73 IBJ2:IBJ73 ILF2:ILF73 IVB2:IVB73 JEX2:JEX73 JOT2:JOT73 JYP2:JYP73 KIL2:KIL73 KSH2:KSH73 LCD2:LCD73 LLZ2:LLZ73 LVV2:LVV73 MFR2:MFR73 MPN2:MPN73 MZJ2:MZJ73 NJF2:NJF73 NTB2:NTB73 OCX2:OCX73 OMT2:OMT73 OWP2:OWP73 PGL2:PGL73 PQH2:PQH73 QAD2:QAD73 QJZ2:QJZ73 QTV2:QTV73 RDR2:RDR73 RNN2:RNN73 RXJ2:RXJ73 SHF2:SHF73 SRB2:SRB73 TAX2:TAX73 TKT2:TKT73 TUP2:TUP73 UEL2:UEL73 UOH2:UOH73 UYD2:UYD73 VHZ2:VHZ73 VRV2:VRV73 WBR2:WBR73 WLN2:WLN73 WVJ2:WVJ73" xr:uid="{7B67EB1E-718F-45CC-BB9A-DE52A9B8B5D9}"/>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59010640-E4FC-46AE-989D-1F47E841768D}">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JC2:JC73 SY2:SY73 ACU2:ACU73 AMQ2:AMQ73 AWM2:AWM73 BGI2:BGI73 BQE2:BQE73 CAA2:CAA73 CJW2:CJW73 CTS2:CTS73 DDO2:DDO73 DNK2:DNK73 DXG2:DXG73 EHC2:EHC73 EQY2:EQY73 FAU2:FAU73 FKQ2:FKQ73 FUM2:FUM73 GEI2:GEI73 GOE2:GOE73 GYA2:GYA73 HHW2:HHW73 HRS2:HRS73 IBO2:IBO73 ILK2:ILK73 IVG2:IVG73 JFC2:JFC73 JOY2:JOY73 JYU2:JYU73 KIQ2:KIQ73 KSM2:KSM73 LCI2:LCI73 LME2:LME73 LWA2:LWA73 MFW2:MFW73 MPS2:MPS73 MZO2:MZO73 NJK2:NJK73 NTG2:NTG73 ODC2:ODC73 OMY2:OMY73 OWU2:OWU73 PGQ2:PGQ73 PQM2:PQM73 QAI2:QAI73 QKE2:QKE73 QUA2:QUA73 RDW2:RDW73 RNS2:RNS73 RXO2:RXO73 SHK2:SHK73 SRG2:SRG73 TBC2:TBC73 TKY2:TKY73 TUU2:TUU73 UEQ2:UEQ73 UOM2:UOM73 UYI2:UYI73 VIE2:VIE73 VSA2:VSA73 WBW2:WBW73 WLS2:WLS73 WVO2:WVO73 G2:G683" xr:uid="{61518F14-3CC4-4983-82B2-4C5B9DC0A28E}">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JD2:JD73 SZ2:SZ73 ACV2:ACV73 AMR2:AMR73 AWN2:AWN73 BGJ2:BGJ73 BQF2:BQF73 CAB2:CAB73 CJX2:CJX73 CTT2:CTT73 DDP2:DDP73 DNL2:DNL73 DXH2:DXH73 EHD2:EHD73 EQZ2:EQZ73 FAV2:FAV73 FKR2:FKR73 FUN2:FUN73 GEJ2:GEJ73 GOF2:GOF73 GYB2:GYB73 HHX2:HHX73 HRT2:HRT73 IBP2:IBP73 ILL2:ILL73 IVH2:IVH73 JFD2:JFD73 JOZ2:JOZ73 JYV2:JYV73 KIR2:KIR73 KSN2:KSN73 LCJ2:LCJ73 LMF2:LMF73 LWB2:LWB73 MFX2:MFX73 MPT2:MPT73 MZP2:MZP73 NJL2:NJL73 NTH2:NTH73 ODD2:ODD73 OMZ2:OMZ73 OWV2:OWV73 PGR2:PGR73 PQN2:PQN73 QAJ2:QAJ73 QKF2:QKF73 QUB2:QUB73 RDX2:RDX73 RNT2:RNT73 RXP2:RXP73 SHL2:SHL73 SRH2:SRH73 TBD2:TBD73 TKZ2:TKZ73 TUV2:TUV73 UER2:UER73 UON2:UON73 UYJ2:UYJ73 VIF2:VIF73 VSB2:VSB73 WBX2:WBX73 WLT2:WLT73 WVP2:WVP73" xr:uid="{97296263-CEAE-485F-9A81-DEA6FB2D84BC}">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JE2:JE73 TA2:TA73 ACW2:ACW73 AMS2:AMS73 AWO2:AWO73 BGK2:BGK73 BQG2:BQG73 CAC2:CAC73 CJY2:CJY73 CTU2:CTU73 DDQ2:DDQ73 DNM2:DNM73 DXI2:DXI73 EHE2:EHE73 ERA2:ERA73 FAW2:FAW73 FKS2:FKS73 FUO2:FUO73 GEK2:GEK73 GOG2:GOG73 GYC2:GYC73 HHY2:HHY73 HRU2:HRU73 IBQ2:IBQ73 ILM2:ILM73 IVI2:IVI73 JFE2:JFE73 JPA2:JPA73 JYW2:JYW73 KIS2:KIS73 KSO2:KSO73 LCK2:LCK73 LMG2:LMG73 LWC2:LWC73 MFY2:MFY73 MPU2:MPU73 MZQ2:MZQ73 NJM2:NJM73 NTI2:NTI73 ODE2:ODE73 ONA2:ONA73 OWW2:OWW73 PGS2:PGS73 PQO2:PQO73 QAK2:QAK73 QKG2:QKG73 QUC2:QUC73 RDY2:RDY73 RNU2:RNU73 RXQ2:RXQ73 SHM2:SHM73 SRI2:SRI73 TBE2:TBE73 TLA2:TLA73 TUW2:TUW73 UES2:UES73 UOO2:UOO73 UYK2:UYK73 VIG2:VIG73 VSC2:VSC73 WBY2:WBY73 WLU2:WLU73 WVQ2:WVQ73 I96:I500 I2:I94" xr:uid="{90C76EE4-6812-41EE-B638-1DA2F9003C6B}">
      <formula1>$AN$5:$AN$6</formula1>
    </dataValidation>
    <dataValidation type="list" allowBlank="1" showInputMessage="1" showErrorMessage="1" sqref="WWG981805:WWI981888 WMK981805:WMM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CO981805:WCQ981888" xr:uid="{D5F8443B-17B3-4C39-9D84-9B365212D2C2}">
      <formula1>$AV$2:$AV$22</formula1>
    </dataValidation>
    <dataValidation type="list" allowBlank="1" showInputMessage="1" showErrorMessage="1" sqref="E2:E683" xr:uid="{132834A9-FF1B-4F76-88C0-34D149F19429}">
      <formula1>$AG$2:$AG$11</formula1>
    </dataValidation>
    <dataValidation type="list" allowBlank="1" showInputMessage="1" showErrorMessage="1" sqref="A2:A683" xr:uid="{BB882D0F-C609-4B65-8B68-88C7BC21A215}">
      <formula1>$AE$2:$AE$19</formula1>
    </dataValidation>
    <dataValidation type="list" allowBlank="1" showInputMessage="1" showErrorMessage="1" sqref="Y96:AA500 Y2:AA94" xr:uid="{53A6B229-D9EB-429A-894A-75EEC430DCEB}">
      <formula1>$AV$2:$AV$21</formula1>
    </dataValidation>
    <dataValidation type="decimal" allowBlank="1" showInputMessage="1" showErrorMessage="1" error="硬度を正しく入力して下さい。" sqref="O96:P500 O5:P10 P11:P16 O17:P34 O41:P94 P35:P40" xr:uid="{4205F2A4-77B9-44DE-9682-1502B1B16B71}">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7006-54EC-4924-BEDC-B6C4B4595123}">
  <dimension ref="A1:BA216"/>
  <sheetViews>
    <sheetView zoomScale="85" zoomScaleNormal="85" workbookViewId="0"/>
  </sheetViews>
  <sheetFormatPr defaultColWidth="8.875" defaultRowHeight="13.5"/>
  <cols>
    <col min="1" max="3" width="8.875" style="10"/>
    <col min="4" max="4" width="12.625" style="10" customWidth="1"/>
    <col min="5" max="5" width="9.625" style="10" bestFit="1" customWidth="1"/>
    <col min="6" max="16" width="8.875" style="10"/>
    <col min="17" max="17" width="8.875" style="24"/>
    <col min="18" max="19" width="8.875" style="10"/>
    <col min="20" max="20" width="8.875" style="24"/>
    <col min="21" max="21" width="8.875" style="10"/>
    <col min="22" max="22" width="8.875" style="24"/>
    <col min="23" max="32" width="8.875" style="10"/>
    <col min="33" max="33" width="19.625" style="10" bestFit="1" customWidth="1"/>
    <col min="34" max="259" width="8.875" style="10"/>
    <col min="260" max="260" width="10.5" style="10" bestFit="1" customWidth="1"/>
    <col min="261" max="261" width="9.625" style="10" bestFit="1" customWidth="1"/>
    <col min="262" max="515" width="8.875" style="10"/>
    <col min="516" max="516" width="10.5" style="10" bestFit="1" customWidth="1"/>
    <col min="517" max="517" width="9.625" style="10" bestFit="1" customWidth="1"/>
    <col min="518" max="771" width="8.875" style="10"/>
    <col min="772" max="772" width="10.5" style="10" bestFit="1" customWidth="1"/>
    <col min="773" max="773" width="9.625" style="10" bestFit="1" customWidth="1"/>
    <col min="774" max="1027" width="8.875" style="10"/>
    <col min="1028" max="1028" width="10.5" style="10" bestFit="1" customWidth="1"/>
    <col min="1029" max="1029" width="9.625" style="10" bestFit="1" customWidth="1"/>
    <col min="1030" max="1283" width="8.875" style="10"/>
    <col min="1284" max="1284" width="10.5" style="10" bestFit="1" customWidth="1"/>
    <col min="1285" max="1285" width="9.625" style="10" bestFit="1" customWidth="1"/>
    <col min="1286" max="1539" width="8.875" style="10"/>
    <col min="1540" max="1540" width="10.5" style="10" bestFit="1" customWidth="1"/>
    <col min="1541" max="1541" width="9.625" style="10" bestFit="1" customWidth="1"/>
    <col min="1542" max="1795" width="8.875" style="10"/>
    <col min="1796" max="1796" width="10.5" style="10" bestFit="1" customWidth="1"/>
    <col min="1797" max="1797" width="9.625" style="10" bestFit="1" customWidth="1"/>
    <col min="1798" max="2051" width="8.875" style="10"/>
    <col min="2052" max="2052" width="10.5" style="10" bestFit="1" customWidth="1"/>
    <col min="2053" max="2053" width="9.625" style="10" bestFit="1" customWidth="1"/>
    <col min="2054" max="2307" width="8.875" style="10"/>
    <col min="2308" max="2308" width="10.5" style="10" bestFit="1" customWidth="1"/>
    <col min="2309" max="2309" width="9.625" style="10" bestFit="1" customWidth="1"/>
    <col min="2310" max="2563" width="8.875" style="10"/>
    <col min="2564" max="2564" width="10.5" style="10" bestFit="1" customWidth="1"/>
    <col min="2565" max="2565" width="9.625" style="10" bestFit="1" customWidth="1"/>
    <col min="2566" max="2819" width="8.875" style="10"/>
    <col min="2820" max="2820" width="10.5" style="10" bestFit="1" customWidth="1"/>
    <col min="2821" max="2821" width="9.625" style="10" bestFit="1" customWidth="1"/>
    <col min="2822" max="3075" width="8.875" style="10"/>
    <col min="3076" max="3076" width="10.5" style="10" bestFit="1" customWidth="1"/>
    <col min="3077" max="3077" width="9.625" style="10" bestFit="1" customWidth="1"/>
    <col min="3078" max="3331" width="8.875" style="10"/>
    <col min="3332" max="3332" width="10.5" style="10" bestFit="1" customWidth="1"/>
    <col min="3333" max="3333" width="9.625" style="10" bestFit="1" customWidth="1"/>
    <col min="3334" max="3587" width="8.875" style="10"/>
    <col min="3588" max="3588" width="10.5" style="10" bestFit="1" customWidth="1"/>
    <col min="3589" max="3589" width="9.625" style="10" bestFit="1" customWidth="1"/>
    <col min="3590" max="3843" width="8.875" style="10"/>
    <col min="3844" max="3844" width="10.5" style="10" bestFit="1" customWidth="1"/>
    <col min="3845" max="3845" width="9.625" style="10" bestFit="1" customWidth="1"/>
    <col min="3846" max="4099" width="8.875" style="10"/>
    <col min="4100" max="4100" width="10.5" style="10" bestFit="1" customWidth="1"/>
    <col min="4101" max="4101" width="9.625" style="10" bestFit="1" customWidth="1"/>
    <col min="4102" max="4355" width="8.875" style="10"/>
    <col min="4356" max="4356" width="10.5" style="10" bestFit="1" customWidth="1"/>
    <col min="4357" max="4357" width="9.625" style="10" bestFit="1" customWidth="1"/>
    <col min="4358" max="4611" width="8.875" style="10"/>
    <col min="4612" max="4612" width="10.5" style="10" bestFit="1" customWidth="1"/>
    <col min="4613" max="4613" width="9.625" style="10" bestFit="1" customWidth="1"/>
    <col min="4614" max="4867" width="8.875" style="10"/>
    <col min="4868" max="4868" width="10.5" style="10" bestFit="1" customWidth="1"/>
    <col min="4869" max="4869" width="9.625" style="10" bestFit="1" customWidth="1"/>
    <col min="4870" max="5123" width="8.875" style="10"/>
    <col min="5124" max="5124" width="10.5" style="10" bestFit="1" customWidth="1"/>
    <col min="5125" max="5125" width="9.625" style="10" bestFit="1" customWidth="1"/>
    <col min="5126" max="5379" width="8.875" style="10"/>
    <col min="5380" max="5380" width="10.5" style="10" bestFit="1" customWidth="1"/>
    <col min="5381" max="5381" width="9.625" style="10" bestFit="1" customWidth="1"/>
    <col min="5382" max="5635" width="8.875" style="10"/>
    <col min="5636" max="5636" width="10.5" style="10" bestFit="1" customWidth="1"/>
    <col min="5637" max="5637" width="9.625" style="10" bestFit="1" customWidth="1"/>
    <col min="5638" max="5891" width="8.875" style="10"/>
    <col min="5892" max="5892" width="10.5" style="10" bestFit="1" customWidth="1"/>
    <col min="5893" max="5893" width="9.625" style="10" bestFit="1" customWidth="1"/>
    <col min="5894" max="6147" width="8.875" style="10"/>
    <col min="6148" max="6148" width="10.5" style="10" bestFit="1" customWidth="1"/>
    <col min="6149" max="6149" width="9.625" style="10" bestFit="1" customWidth="1"/>
    <col min="6150" max="6403" width="8.875" style="10"/>
    <col min="6404" max="6404" width="10.5" style="10" bestFit="1" customWidth="1"/>
    <col min="6405" max="6405" width="9.625" style="10" bestFit="1" customWidth="1"/>
    <col min="6406" max="6659" width="8.875" style="10"/>
    <col min="6660" max="6660" width="10.5" style="10" bestFit="1" customWidth="1"/>
    <col min="6661" max="6661" width="9.625" style="10" bestFit="1" customWidth="1"/>
    <col min="6662" max="6915" width="8.875" style="10"/>
    <col min="6916" max="6916" width="10.5" style="10" bestFit="1" customWidth="1"/>
    <col min="6917" max="6917" width="9.625" style="10" bestFit="1" customWidth="1"/>
    <col min="6918" max="7171" width="8.875" style="10"/>
    <col min="7172" max="7172" width="10.5" style="10" bestFit="1" customWidth="1"/>
    <col min="7173" max="7173" width="9.625" style="10" bestFit="1" customWidth="1"/>
    <col min="7174" max="7427" width="8.875" style="10"/>
    <col min="7428" max="7428" width="10.5" style="10" bestFit="1" customWidth="1"/>
    <col min="7429" max="7429" width="9.625" style="10" bestFit="1" customWidth="1"/>
    <col min="7430" max="7683" width="8.875" style="10"/>
    <col min="7684" max="7684" width="10.5" style="10" bestFit="1" customWidth="1"/>
    <col min="7685" max="7685" width="9.625" style="10" bestFit="1" customWidth="1"/>
    <col min="7686" max="7939" width="8.875" style="10"/>
    <col min="7940" max="7940" width="10.5" style="10" bestFit="1" customWidth="1"/>
    <col min="7941" max="7941" width="9.625" style="10" bestFit="1" customWidth="1"/>
    <col min="7942" max="8195" width="8.875" style="10"/>
    <col min="8196" max="8196" width="10.5" style="10" bestFit="1" customWidth="1"/>
    <col min="8197" max="8197" width="9.625" style="10" bestFit="1" customWidth="1"/>
    <col min="8198" max="8451" width="8.875" style="10"/>
    <col min="8452" max="8452" width="10.5" style="10" bestFit="1" customWidth="1"/>
    <col min="8453" max="8453" width="9.625" style="10" bestFit="1" customWidth="1"/>
    <col min="8454" max="8707" width="8.875" style="10"/>
    <col min="8708" max="8708" width="10.5" style="10" bestFit="1" customWidth="1"/>
    <col min="8709" max="8709" width="9.625" style="10" bestFit="1" customWidth="1"/>
    <col min="8710" max="8963" width="8.875" style="10"/>
    <col min="8964" max="8964" width="10.5" style="10" bestFit="1" customWidth="1"/>
    <col min="8965" max="8965" width="9.625" style="10" bestFit="1" customWidth="1"/>
    <col min="8966" max="9219" width="8.875" style="10"/>
    <col min="9220" max="9220" width="10.5" style="10" bestFit="1" customWidth="1"/>
    <col min="9221" max="9221" width="9.625" style="10" bestFit="1" customWidth="1"/>
    <col min="9222" max="9475" width="8.875" style="10"/>
    <col min="9476" max="9476" width="10.5" style="10" bestFit="1" customWidth="1"/>
    <col min="9477" max="9477" width="9.625" style="10" bestFit="1" customWidth="1"/>
    <col min="9478" max="9731" width="8.875" style="10"/>
    <col min="9732" max="9732" width="10.5" style="10" bestFit="1" customWidth="1"/>
    <col min="9733" max="9733" width="9.625" style="10" bestFit="1" customWidth="1"/>
    <col min="9734" max="9987" width="8.875" style="10"/>
    <col min="9988" max="9988" width="10.5" style="10" bestFit="1" customWidth="1"/>
    <col min="9989" max="9989" width="9.625" style="10" bestFit="1" customWidth="1"/>
    <col min="9990" max="10243" width="8.875" style="10"/>
    <col min="10244" max="10244" width="10.5" style="10" bestFit="1" customWidth="1"/>
    <col min="10245" max="10245" width="9.625" style="10" bestFit="1" customWidth="1"/>
    <col min="10246" max="10499" width="8.875" style="10"/>
    <col min="10500" max="10500" width="10.5" style="10" bestFit="1" customWidth="1"/>
    <col min="10501" max="10501" width="9.625" style="10" bestFit="1" customWidth="1"/>
    <col min="10502" max="10755" width="8.875" style="10"/>
    <col min="10756" max="10756" width="10.5" style="10" bestFit="1" customWidth="1"/>
    <col min="10757" max="10757" width="9.625" style="10" bestFit="1" customWidth="1"/>
    <col min="10758" max="11011" width="8.875" style="10"/>
    <col min="11012" max="11012" width="10.5" style="10" bestFit="1" customWidth="1"/>
    <col min="11013" max="11013" width="9.625" style="10" bestFit="1" customWidth="1"/>
    <col min="11014" max="11267" width="8.875" style="10"/>
    <col min="11268" max="11268" width="10.5" style="10" bestFit="1" customWidth="1"/>
    <col min="11269" max="11269" width="9.625" style="10" bestFit="1" customWidth="1"/>
    <col min="11270" max="11523" width="8.875" style="10"/>
    <col min="11524" max="11524" width="10.5" style="10" bestFit="1" customWidth="1"/>
    <col min="11525" max="11525" width="9.625" style="10" bestFit="1" customWidth="1"/>
    <col min="11526" max="11779" width="8.875" style="10"/>
    <col min="11780" max="11780" width="10.5" style="10" bestFit="1" customWidth="1"/>
    <col min="11781" max="11781" width="9.625" style="10" bestFit="1" customWidth="1"/>
    <col min="11782" max="12035" width="8.875" style="10"/>
    <col min="12036" max="12036" width="10.5" style="10" bestFit="1" customWidth="1"/>
    <col min="12037" max="12037" width="9.625" style="10" bestFit="1" customWidth="1"/>
    <col min="12038" max="12291" width="8.875" style="10"/>
    <col min="12292" max="12292" width="10.5" style="10" bestFit="1" customWidth="1"/>
    <col min="12293" max="12293" width="9.625" style="10" bestFit="1" customWidth="1"/>
    <col min="12294" max="12547" width="8.875" style="10"/>
    <col min="12548" max="12548" width="10.5" style="10" bestFit="1" customWidth="1"/>
    <col min="12549" max="12549" width="9.625" style="10" bestFit="1" customWidth="1"/>
    <col min="12550" max="12803" width="8.875" style="10"/>
    <col min="12804" max="12804" width="10.5" style="10" bestFit="1" customWidth="1"/>
    <col min="12805" max="12805" width="9.625" style="10" bestFit="1" customWidth="1"/>
    <col min="12806" max="13059" width="8.875" style="10"/>
    <col min="13060" max="13060" width="10.5" style="10" bestFit="1" customWidth="1"/>
    <col min="13061" max="13061" width="9.625" style="10" bestFit="1" customWidth="1"/>
    <col min="13062" max="13315" width="8.875" style="10"/>
    <col min="13316" max="13316" width="10.5" style="10" bestFit="1" customWidth="1"/>
    <col min="13317" max="13317" width="9.625" style="10" bestFit="1" customWidth="1"/>
    <col min="13318" max="13571" width="8.875" style="10"/>
    <col min="13572" max="13572" width="10.5" style="10" bestFit="1" customWidth="1"/>
    <col min="13573" max="13573" width="9.625" style="10" bestFit="1" customWidth="1"/>
    <col min="13574" max="13827" width="8.875" style="10"/>
    <col min="13828" max="13828" width="10.5" style="10" bestFit="1" customWidth="1"/>
    <col min="13829" max="13829" width="9.625" style="10" bestFit="1" customWidth="1"/>
    <col min="13830" max="14083" width="8.875" style="10"/>
    <col min="14084" max="14084" width="10.5" style="10" bestFit="1" customWidth="1"/>
    <col min="14085" max="14085" width="9.625" style="10" bestFit="1" customWidth="1"/>
    <col min="14086" max="14339" width="8.875" style="10"/>
    <col min="14340" max="14340" width="10.5" style="10" bestFit="1" customWidth="1"/>
    <col min="14341" max="14341" width="9.625" style="10" bestFit="1" customWidth="1"/>
    <col min="14342" max="14595" width="8.875" style="10"/>
    <col min="14596" max="14596" width="10.5" style="10" bestFit="1" customWidth="1"/>
    <col min="14597" max="14597" width="9.625" style="10" bestFit="1" customWidth="1"/>
    <col min="14598" max="14851" width="8.875" style="10"/>
    <col min="14852" max="14852" width="10.5" style="10" bestFit="1" customWidth="1"/>
    <col min="14853" max="14853" width="9.625" style="10" bestFit="1" customWidth="1"/>
    <col min="14854" max="15107" width="8.875" style="10"/>
    <col min="15108" max="15108" width="10.5" style="10" bestFit="1" customWidth="1"/>
    <col min="15109" max="15109" width="9.625" style="10" bestFit="1" customWidth="1"/>
    <col min="15110" max="15363" width="8.875" style="10"/>
    <col min="15364" max="15364" width="10.5" style="10" bestFit="1" customWidth="1"/>
    <col min="15365" max="15365" width="9.625" style="10" bestFit="1" customWidth="1"/>
    <col min="15366" max="15619" width="8.875" style="10"/>
    <col min="15620" max="15620" width="10.5" style="10" bestFit="1" customWidth="1"/>
    <col min="15621" max="15621" width="9.625" style="10" bestFit="1" customWidth="1"/>
    <col min="15622" max="15875" width="8.875" style="10"/>
    <col min="15876" max="15876" width="10.5" style="10" bestFit="1" customWidth="1"/>
    <col min="15877" max="15877" width="9.625" style="10" bestFit="1" customWidth="1"/>
    <col min="15878" max="16131" width="8.875" style="10"/>
    <col min="16132" max="16132" width="10.5" style="10" bestFit="1" customWidth="1"/>
    <col min="16133" max="16133" width="9.625" style="10" bestFit="1" customWidth="1"/>
    <col min="16134" max="16384" width="8.875"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283</v>
      </c>
      <c r="O1" s="3" t="s">
        <v>14</v>
      </c>
      <c r="P1" s="3" t="s">
        <v>15</v>
      </c>
      <c r="Q1" s="5" t="s">
        <v>16</v>
      </c>
      <c r="R1" s="3" t="s">
        <v>17</v>
      </c>
      <c r="S1" s="3" t="s">
        <v>18</v>
      </c>
      <c r="T1" s="5" t="s">
        <v>19</v>
      </c>
      <c r="U1" s="52" t="s">
        <v>244</v>
      </c>
      <c r="V1" s="7" t="s">
        <v>21</v>
      </c>
      <c r="W1" s="3" t="s">
        <v>22</v>
      </c>
      <c r="X1" s="4" t="s">
        <v>23</v>
      </c>
      <c r="Y1" s="4" t="s">
        <v>24</v>
      </c>
      <c r="Z1" s="4" t="s">
        <v>25</v>
      </c>
      <c r="AA1" s="8" t="s">
        <v>26</v>
      </c>
      <c r="AB1" s="9" t="s">
        <v>27</v>
      </c>
      <c r="AE1" s="11" t="s">
        <v>0</v>
      </c>
      <c r="AF1" s="12"/>
      <c r="AG1" s="11"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87" customFormat="1" ht="13.5" customHeight="1">
      <c r="A2" s="87" t="s">
        <v>86</v>
      </c>
      <c r="B2" s="87" t="s">
        <v>36</v>
      </c>
      <c r="C2" s="220">
        <v>2020</v>
      </c>
      <c r="D2" s="133" t="s">
        <v>284</v>
      </c>
      <c r="E2" s="87" t="s">
        <v>285</v>
      </c>
      <c r="F2" s="87" t="s">
        <v>286</v>
      </c>
      <c r="G2" s="87" t="s">
        <v>39</v>
      </c>
      <c r="H2" s="87" t="s">
        <v>40</v>
      </c>
      <c r="I2" s="87" t="s">
        <v>41</v>
      </c>
      <c r="J2" s="87" t="s">
        <v>42</v>
      </c>
      <c r="K2" s="87" t="s">
        <v>43</v>
      </c>
      <c r="L2" s="87">
        <v>1</v>
      </c>
      <c r="N2" s="87">
        <v>4</v>
      </c>
      <c r="O2" s="87">
        <v>0.28000000000000003</v>
      </c>
      <c r="P2" s="87">
        <v>0.34</v>
      </c>
      <c r="Q2" s="88">
        <f>IF(OR(O2="",P2=""),"",AVERAGE(O2,P2))</f>
        <v>0.31000000000000005</v>
      </c>
      <c r="R2" s="87">
        <v>14.2</v>
      </c>
      <c r="S2" s="87">
        <v>103</v>
      </c>
      <c r="T2" s="89">
        <f t="shared" ref="T2:T57" si="0">IF(H2="","",IF(OR(H2="GREEN",H2="GK"),IF(S2&gt;=$AX$2,VLOOKUP(S2,$AX$2:$AY$12,2,1),""),IF(S2&gt;=$AZ$2,VLOOKUP(S2,$AZ$2:$BA$12,2,1),"")))</f>
        <v>33</v>
      </c>
      <c r="U2" s="87">
        <v>398</v>
      </c>
      <c r="V2" s="89">
        <f t="shared" ref="V2:V65" si="1">IF(J2="","",IF(OR(J2="GREEN",J2="GK"),IF(U2&gt;=$AX$2,VLOOKUP(U2,$AX$2:$AY$12,2,1),""),IF(U2&gt;=$AZ$2,VLOOKUP(U2,$AZ$2:$BA$12,2,1),"")))</f>
        <v>16</v>
      </c>
      <c r="W2" s="87">
        <v>4</v>
      </c>
      <c r="X2" s="87" t="s">
        <v>63</v>
      </c>
      <c r="Y2" s="87" t="s">
        <v>46</v>
      </c>
      <c r="Z2" s="87" t="s">
        <v>45</v>
      </c>
      <c r="AA2" s="87" t="s">
        <v>54</v>
      </c>
      <c r="AB2" s="87" t="s">
        <v>48</v>
      </c>
      <c r="AE2" s="32" t="s">
        <v>49</v>
      </c>
      <c r="AG2" s="166" t="s">
        <v>287</v>
      </c>
      <c r="AH2" s="167" t="s">
        <v>288</v>
      </c>
      <c r="AJ2" s="90" t="s">
        <v>39</v>
      </c>
      <c r="AL2" s="91" t="s">
        <v>51</v>
      </c>
      <c r="AN2" s="90" t="s">
        <v>289</v>
      </c>
      <c r="AP2" s="90" t="s">
        <v>42</v>
      </c>
      <c r="AR2" s="90" t="s">
        <v>53</v>
      </c>
      <c r="AT2" s="90" t="s">
        <v>44</v>
      </c>
      <c r="AV2" s="95" t="s">
        <v>79</v>
      </c>
      <c r="AX2" s="92">
        <v>1</v>
      </c>
      <c r="AY2" s="93">
        <v>50</v>
      </c>
      <c r="AZ2" s="93">
        <v>1</v>
      </c>
      <c r="BA2" s="94">
        <v>50</v>
      </c>
    </row>
    <row r="3" spans="1:53" s="87" customFormat="1" ht="13.5" customHeight="1">
      <c r="A3" s="87" t="s">
        <v>86</v>
      </c>
      <c r="B3" s="87" t="s">
        <v>36</v>
      </c>
      <c r="C3" s="220">
        <v>2020</v>
      </c>
      <c r="D3" s="133" t="s">
        <v>284</v>
      </c>
      <c r="E3" s="87" t="s">
        <v>285</v>
      </c>
      <c r="F3" s="87" t="s">
        <v>286</v>
      </c>
      <c r="G3" s="87" t="s">
        <v>39</v>
      </c>
      <c r="H3" s="87" t="s">
        <v>40</v>
      </c>
      <c r="I3" s="87" t="s">
        <v>41</v>
      </c>
      <c r="J3" s="87" t="s">
        <v>42</v>
      </c>
      <c r="K3" s="87" t="s">
        <v>43</v>
      </c>
      <c r="L3" s="87">
        <v>2</v>
      </c>
      <c r="N3" s="87">
        <v>4</v>
      </c>
      <c r="O3" s="87">
        <v>0.39</v>
      </c>
      <c r="P3" s="87">
        <v>0.52</v>
      </c>
      <c r="Q3" s="88">
        <f t="shared" ref="Q3:Q66" si="2">IF(OR(O3="",P3=""),"",AVERAGE(O3,P3))</f>
        <v>0.45500000000000002</v>
      </c>
      <c r="R3" s="87">
        <v>14.7</v>
      </c>
      <c r="S3" s="87">
        <v>108</v>
      </c>
      <c r="T3" s="89">
        <f t="shared" si="0"/>
        <v>33</v>
      </c>
      <c r="U3" s="87">
        <v>398</v>
      </c>
      <c r="V3" s="89">
        <f t="shared" si="1"/>
        <v>16</v>
      </c>
      <c r="W3" s="87">
        <v>4</v>
      </c>
      <c r="X3" s="87" t="s">
        <v>63</v>
      </c>
      <c r="Y3" s="87" t="s">
        <v>46</v>
      </c>
      <c r="Z3" s="87" t="s">
        <v>45</v>
      </c>
      <c r="AA3" s="87" t="s">
        <v>54</v>
      </c>
      <c r="AB3" s="87" t="s">
        <v>48</v>
      </c>
      <c r="AE3" s="33" t="s">
        <v>55</v>
      </c>
      <c r="AG3" s="166" t="s">
        <v>290</v>
      </c>
      <c r="AH3" s="167" t="s">
        <v>291</v>
      </c>
      <c r="AJ3" s="95" t="s">
        <v>58</v>
      </c>
      <c r="AL3" s="95" t="s">
        <v>59</v>
      </c>
      <c r="AN3" s="95" t="s">
        <v>60</v>
      </c>
      <c r="AP3" s="95" t="s">
        <v>61</v>
      </c>
      <c r="AR3" s="95" t="s">
        <v>62</v>
      </c>
      <c r="AT3" s="95" t="s">
        <v>63</v>
      </c>
      <c r="AV3" s="95" t="s">
        <v>156</v>
      </c>
      <c r="AX3" s="96">
        <v>72</v>
      </c>
      <c r="AY3" s="97">
        <v>46</v>
      </c>
      <c r="AZ3" s="97">
        <v>71</v>
      </c>
      <c r="BA3" s="98">
        <v>42</v>
      </c>
    </row>
    <row r="4" spans="1:53" s="87" customFormat="1" ht="13.5" customHeight="1">
      <c r="A4" s="87" t="s">
        <v>86</v>
      </c>
      <c r="B4" s="87" t="s">
        <v>36</v>
      </c>
      <c r="C4" s="220">
        <v>2020</v>
      </c>
      <c r="D4" s="133" t="s">
        <v>284</v>
      </c>
      <c r="E4" s="87" t="s">
        <v>285</v>
      </c>
      <c r="F4" s="87" t="s">
        <v>286</v>
      </c>
      <c r="G4" s="87" t="s">
        <v>39</v>
      </c>
      <c r="H4" s="87" t="s">
        <v>40</v>
      </c>
      <c r="I4" s="87" t="s">
        <v>41</v>
      </c>
      <c r="J4" s="87" t="s">
        <v>42</v>
      </c>
      <c r="K4" s="87" t="s">
        <v>43</v>
      </c>
      <c r="L4" s="87">
        <v>3</v>
      </c>
      <c r="N4" s="87">
        <v>4</v>
      </c>
      <c r="O4" s="87">
        <v>0.33</v>
      </c>
      <c r="P4" s="87">
        <v>0.22</v>
      </c>
      <c r="Q4" s="88">
        <f t="shared" si="2"/>
        <v>0.27500000000000002</v>
      </c>
      <c r="R4" s="87">
        <v>14.7</v>
      </c>
      <c r="S4" s="87">
        <v>102</v>
      </c>
      <c r="T4" s="89">
        <f t="shared" si="0"/>
        <v>33</v>
      </c>
      <c r="U4" s="87">
        <v>398</v>
      </c>
      <c r="V4" s="89">
        <f t="shared" si="1"/>
        <v>16</v>
      </c>
      <c r="W4" s="87">
        <v>4</v>
      </c>
      <c r="X4" s="87" t="s">
        <v>63</v>
      </c>
      <c r="Y4" s="87" t="s">
        <v>46</v>
      </c>
      <c r="Z4" s="87" t="s">
        <v>45</v>
      </c>
      <c r="AA4" s="87" t="s">
        <v>54</v>
      </c>
      <c r="AB4" s="87" t="s">
        <v>48</v>
      </c>
      <c r="AE4" s="33" t="s">
        <v>35</v>
      </c>
      <c r="AG4" s="166" t="s">
        <v>292</v>
      </c>
      <c r="AH4" s="167" t="s">
        <v>293</v>
      </c>
      <c r="AJ4" s="99" t="s">
        <v>67</v>
      </c>
      <c r="AL4" s="95" t="s">
        <v>68</v>
      </c>
      <c r="AN4" s="100" t="s">
        <v>69</v>
      </c>
      <c r="AP4" s="95" t="s">
        <v>70</v>
      </c>
      <c r="AR4" s="95" t="s">
        <v>294</v>
      </c>
      <c r="AT4" s="100"/>
      <c r="AV4" s="95" t="s">
        <v>295</v>
      </c>
      <c r="AX4" s="96">
        <v>75</v>
      </c>
      <c r="AY4" s="97">
        <v>42</v>
      </c>
      <c r="AZ4" s="97">
        <v>76</v>
      </c>
      <c r="BA4" s="98">
        <v>39</v>
      </c>
    </row>
    <row r="5" spans="1:53" s="87" customFormat="1" ht="13.5" customHeight="1">
      <c r="A5" s="87" t="s">
        <v>86</v>
      </c>
      <c r="B5" s="87" t="s">
        <v>36</v>
      </c>
      <c r="C5" s="220">
        <v>2020</v>
      </c>
      <c r="D5" s="133" t="s">
        <v>284</v>
      </c>
      <c r="E5" s="87" t="s">
        <v>285</v>
      </c>
      <c r="F5" s="87" t="s">
        <v>286</v>
      </c>
      <c r="G5" s="87" t="s">
        <v>39</v>
      </c>
      <c r="H5" s="87" t="s">
        <v>40</v>
      </c>
      <c r="I5" s="87" t="s">
        <v>41</v>
      </c>
      <c r="J5" s="87" t="s">
        <v>42</v>
      </c>
      <c r="K5" s="87" t="s">
        <v>43</v>
      </c>
      <c r="L5" s="87">
        <v>1</v>
      </c>
      <c r="N5" s="87">
        <v>1</v>
      </c>
      <c r="O5" s="87">
        <v>0.48</v>
      </c>
      <c r="P5" s="87">
        <v>0.28999999999999998</v>
      </c>
      <c r="Q5" s="88">
        <f t="shared" si="2"/>
        <v>0.38500000000000001</v>
      </c>
      <c r="R5" s="87">
        <v>12.3</v>
      </c>
      <c r="S5" s="87">
        <v>134</v>
      </c>
      <c r="T5" s="89">
        <f t="shared" si="0"/>
        <v>25</v>
      </c>
      <c r="U5" s="87">
        <v>158</v>
      </c>
      <c r="V5" s="89">
        <f t="shared" si="1"/>
        <v>18</v>
      </c>
      <c r="W5" s="87">
        <v>1</v>
      </c>
      <c r="X5" s="87" t="s">
        <v>63</v>
      </c>
      <c r="Y5" s="87" t="s">
        <v>46</v>
      </c>
      <c r="Z5" s="87" t="s">
        <v>45</v>
      </c>
      <c r="AA5" s="87" t="s">
        <v>54</v>
      </c>
      <c r="AB5" s="87" t="s">
        <v>48</v>
      </c>
      <c r="AE5" s="33" t="s">
        <v>72</v>
      </c>
      <c r="AG5" s="166" t="s">
        <v>296</v>
      </c>
      <c r="AH5" s="167" t="s">
        <v>297</v>
      </c>
      <c r="AJ5" s="100"/>
      <c r="AL5" s="95" t="s">
        <v>75</v>
      </c>
      <c r="AN5" s="101" t="s">
        <v>76</v>
      </c>
      <c r="AP5" s="95" t="s">
        <v>298</v>
      </c>
      <c r="AR5" s="95" t="s">
        <v>78</v>
      </c>
      <c r="AV5" s="95" t="s">
        <v>299</v>
      </c>
      <c r="AX5" s="96">
        <v>84</v>
      </c>
      <c r="AY5" s="97">
        <v>39</v>
      </c>
      <c r="AZ5" s="97">
        <v>84</v>
      </c>
      <c r="BA5" s="98">
        <v>36</v>
      </c>
    </row>
    <row r="6" spans="1:53" s="87" customFormat="1" ht="13.5" customHeight="1">
      <c r="A6" s="87" t="s">
        <v>86</v>
      </c>
      <c r="B6" s="87" t="s">
        <v>36</v>
      </c>
      <c r="C6" s="220">
        <v>2020</v>
      </c>
      <c r="D6" s="133" t="s">
        <v>284</v>
      </c>
      <c r="E6" s="87" t="s">
        <v>285</v>
      </c>
      <c r="F6" s="87" t="s">
        <v>286</v>
      </c>
      <c r="G6" s="87" t="s">
        <v>39</v>
      </c>
      <c r="H6" s="87" t="s">
        <v>40</v>
      </c>
      <c r="I6" s="87" t="s">
        <v>41</v>
      </c>
      <c r="J6" s="87" t="s">
        <v>42</v>
      </c>
      <c r="K6" s="87" t="s">
        <v>43</v>
      </c>
      <c r="L6" s="87">
        <v>2</v>
      </c>
      <c r="N6" s="87">
        <v>1</v>
      </c>
      <c r="O6" s="87">
        <v>0.41</v>
      </c>
      <c r="P6" s="87">
        <v>0.3</v>
      </c>
      <c r="Q6" s="88">
        <f>IF(OR(O6="",P6=""),"",AVERAGE(O6,P6))</f>
        <v>0.35499999999999998</v>
      </c>
      <c r="R6" s="87">
        <v>13.9</v>
      </c>
      <c r="S6" s="87">
        <v>136</v>
      </c>
      <c r="T6" s="89">
        <f t="shared" si="0"/>
        <v>25</v>
      </c>
      <c r="U6" s="87">
        <v>158</v>
      </c>
      <c r="V6" s="89">
        <f t="shared" si="1"/>
        <v>18</v>
      </c>
      <c r="W6" s="87">
        <v>1</v>
      </c>
      <c r="X6" s="87" t="s">
        <v>63</v>
      </c>
      <c r="Y6" s="87" t="s">
        <v>46</v>
      </c>
      <c r="Z6" s="87" t="s">
        <v>45</v>
      </c>
      <c r="AA6" s="87" t="s">
        <v>54</v>
      </c>
      <c r="AB6" s="87" t="s">
        <v>48</v>
      </c>
      <c r="AE6" s="33" t="s">
        <v>80</v>
      </c>
      <c r="AG6" s="166" t="s">
        <v>300</v>
      </c>
      <c r="AH6" s="167" t="s">
        <v>301</v>
      </c>
      <c r="AL6" s="95" t="s">
        <v>83</v>
      </c>
      <c r="AN6" s="101" t="s">
        <v>84</v>
      </c>
      <c r="AP6" s="95" t="s">
        <v>85</v>
      </c>
      <c r="AR6" s="95" t="s">
        <v>302</v>
      </c>
      <c r="AV6" s="95" t="s">
        <v>87</v>
      </c>
      <c r="AX6" s="96">
        <v>97</v>
      </c>
      <c r="AY6" s="97">
        <v>36</v>
      </c>
      <c r="AZ6" s="97">
        <v>99</v>
      </c>
      <c r="BA6" s="98">
        <v>33</v>
      </c>
    </row>
    <row r="7" spans="1:53" s="87" customFormat="1" ht="13.5" customHeight="1">
      <c r="A7" s="87" t="s">
        <v>86</v>
      </c>
      <c r="B7" s="87" t="s">
        <v>36</v>
      </c>
      <c r="C7" s="220">
        <v>2020</v>
      </c>
      <c r="D7" s="133" t="s">
        <v>284</v>
      </c>
      <c r="E7" s="87" t="s">
        <v>285</v>
      </c>
      <c r="F7" s="87" t="s">
        <v>286</v>
      </c>
      <c r="G7" s="87" t="s">
        <v>39</v>
      </c>
      <c r="H7" s="87" t="s">
        <v>40</v>
      </c>
      <c r="I7" s="87" t="s">
        <v>41</v>
      </c>
      <c r="J7" s="87" t="s">
        <v>42</v>
      </c>
      <c r="K7" s="87" t="s">
        <v>43</v>
      </c>
      <c r="L7" s="87">
        <v>3</v>
      </c>
      <c r="N7" s="87">
        <v>1</v>
      </c>
      <c r="O7" s="87">
        <v>0.45</v>
      </c>
      <c r="P7" s="87">
        <v>0.4</v>
      </c>
      <c r="Q7" s="88">
        <f t="shared" si="2"/>
        <v>0.42500000000000004</v>
      </c>
      <c r="R7" s="87">
        <v>14</v>
      </c>
      <c r="S7" s="87">
        <v>145</v>
      </c>
      <c r="T7" s="89">
        <f t="shared" si="0"/>
        <v>22</v>
      </c>
      <c r="U7" s="87">
        <v>158</v>
      </c>
      <c r="V7" s="89">
        <f t="shared" si="1"/>
        <v>18</v>
      </c>
      <c r="W7" s="87">
        <v>1</v>
      </c>
      <c r="X7" s="87" t="s">
        <v>63</v>
      </c>
      <c r="Y7" s="87" t="s">
        <v>46</v>
      </c>
      <c r="Z7" s="87" t="s">
        <v>45</v>
      </c>
      <c r="AA7" s="87" t="s">
        <v>54</v>
      </c>
      <c r="AB7" s="87" t="s">
        <v>48</v>
      </c>
      <c r="AE7" s="33" t="s">
        <v>88</v>
      </c>
      <c r="AG7" s="166" t="s">
        <v>303</v>
      </c>
      <c r="AH7" s="167" t="s">
        <v>304</v>
      </c>
      <c r="AL7" s="102" t="s">
        <v>90</v>
      </c>
      <c r="AP7" s="95" t="s">
        <v>91</v>
      </c>
      <c r="AR7" s="95" t="s">
        <v>305</v>
      </c>
      <c r="AV7" s="95" t="s">
        <v>93</v>
      </c>
      <c r="AX7" s="96">
        <v>109</v>
      </c>
      <c r="AY7" s="97">
        <v>33</v>
      </c>
      <c r="AZ7" s="97">
        <v>113</v>
      </c>
      <c r="BA7" s="98">
        <v>30</v>
      </c>
    </row>
    <row r="8" spans="1:53" s="87" customFormat="1" ht="13.5" customHeight="1">
      <c r="A8" s="87" t="s">
        <v>86</v>
      </c>
      <c r="B8" s="87" t="s">
        <v>36</v>
      </c>
      <c r="C8" s="220">
        <v>2020</v>
      </c>
      <c r="D8" s="133" t="s">
        <v>284</v>
      </c>
      <c r="E8" s="87" t="s">
        <v>285</v>
      </c>
      <c r="F8" s="87" t="s">
        <v>286</v>
      </c>
      <c r="G8" s="87" t="s">
        <v>39</v>
      </c>
      <c r="H8" s="87" t="s">
        <v>59</v>
      </c>
      <c r="I8" s="87" t="s">
        <v>306</v>
      </c>
      <c r="J8" s="87" t="s">
        <v>121</v>
      </c>
      <c r="K8" s="87" t="s">
        <v>305</v>
      </c>
      <c r="L8" s="87">
        <v>1</v>
      </c>
      <c r="N8" s="87">
        <v>4</v>
      </c>
      <c r="O8" s="87">
        <v>0.55000000000000004</v>
      </c>
      <c r="P8" s="87">
        <v>0.45</v>
      </c>
      <c r="Q8" s="88">
        <f t="shared" si="2"/>
        <v>0.5</v>
      </c>
      <c r="R8" s="87">
        <v>13.8</v>
      </c>
      <c r="S8" s="87">
        <v>98</v>
      </c>
      <c r="T8" s="89">
        <f t="shared" si="0"/>
        <v>36</v>
      </c>
      <c r="U8" s="87">
        <v>398</v>
      </c>
      <c r="V8" s="89">
        <f t="shared" si="1"/>
        <v>16</v>
      </c>
      <c r="W8" s="87">
        <v>1</v>
      </c>
      <c r="X8" s="87" t="s">
        <v>63</v>
      </c>
      <c r="Y8" s="87" t="s">
        <v>46</v>
      </c>
      <c r="Z8" s="87" t="s">
        <v>45</v>
      </c>
      <c r="AA8" s="87" t="s">
        <v>54</v>
      </c>
      <c r="AB8" s="87" t="s">
        <v>48</v>
      </c>
      <c r="AE8" s="33" t="s">
        <v>86</v>
      </c>
      <c r="AG8" s="168" t="s">
        <v>307</v>
      </c>
      <c r="AH8" s="167" t="s">
        <v>308</v>
      </c>
      <c r="AL8" s="102" t="s">
        <v>96</v>
      </c>
      <c r="AP8" s="95" t="s">
        <v>97</v>
      </c>
      <c r="AR8" s="95" t="s">
        <v>98</v>
      </c>
      <c r="AV8" s="95" t="s">
        <v>99</v>
      </c>
      <c r="AX8" s="96">
        <v>119</v>
      </c>
      <c r="AY8" s="97">
        <v>30</v>
      </c>
      <c r="AZ8" s="97">
        <v>121</v>
      </c>
      <c r="BA8" s="98">
        <v>27</v>
      </c>
    </row>
    <row r="9" spans="1:53" s="87" customFormat="1" ht="13.5" customHeight="1">
      <c r="A9" s="87" t="s">
        <v>86</v>
      </c>
      <c r="B9" s="87" t="s">
        <v>36</v>
      </c>
      <c r="C9" s="220">
        <v>2020</v>
      </c>
      <c r="D9" s="133" t="s">
        <v>284</v>
      </c>
      <c r="E9" s="87" t="s">
        <v>285</v>
      </c>
      <c r="F9" s="87" t="s">
        <v>286</v>
      </c>
      <c r="G9" s="87" t="s">
        <v>39</v>
      </c>
      <c r="H9" s="87" t="s">
        <v>59</v>
      </c>
      <c r="I9" s="87" t="s">
        <v>41</v>
      </c>
      <c r="J9" s="87" t="s">
        <v>121</v>
      </c>
      <c r="K9" s="87" t="s">
        <v>305</v>
      </c>
      <c r="L9" s="87">
        <v>2</v>
      </c>
      <c r="N9" s="87">
        <v>4</v>
      </c>
      <c r="O9" s="87">
        <v>0.35</v>
      </c>
      <c r="P9" s="87">
        <v>0.38</v>
      </c>
      <c r="Q9" s="88">
        <f t="shared" si="2"/>
        <v>0.36499999999999999</v>
      </c>
      <c r="R9" s="87">
        <v>16.100000000000001</v>
      </c>
      <c r="S9" s="87">
        <v>96</v>
      </c>
      <c r="T9" s="89">
        <f t="shared" si="0"/>
        <v>36</v>
      </c>
      <c r="U9" s="87">
        <v>398</v>
      </c>
      <c r="V9" s="89">
        <f t="shared" si="1"/>
        <v>16</v>
      </c>
      <c r="W9" s="87">
        <v>1</v>
      </c>
      <c r="X9" s="87" t="s">
        <v>63</v>
      </c>
      <c r="Y9" s="87" t="s">
        <v>46</v>
      </c>
      <c r="Z9" s="87" t="s">
        <v>45</v>
      </c>
      <c r="AA9" s="87" t="s">
        <v>54</v>
      </c>
      <c r="AB9" s="87" t="s">
        <v>48</v>
      </c>
      <c r="AE9" s="33" t="s">
        <v>100</v>
      </c>
      <c r="AG9" s="168" t="s">
        <v>309</v>
      </c>
      <c r="AH9" s="167" t="s">
        <v>286</v>
      </c>
      <c r="AL9" s="95" t="s">
        <v>102</v>
      </c>
      <c r="AP9" s="95" t="s">
        <v>310</v>
      </c>
      <c r="AR9" s="95" t="s">
        <v>104</v>
      </c>
      <c r="AV9" s="95" t="s">
        <v>105</v>
      </c>
      <c r="AX9" s="96">
        <v>128</v>
      </c>
      <c r="AY9" s="97">
        <v>27</v>
      </c>
      <c r="AZ9" s="97">
        <v>129</v>
      </c>
      <c r="BA9" s="98">
        <v>25</v>
      </c>
    </row>
    <row r="10" spans="1:53" s="87" customFormat="1" ht="13.5" customHeight="1">
      <c r="A10" s="87" t="s">
        <v>86</v>
      </c>
      <c r="B10" s="87" t="s">
        <v>36</v>
      </c>
      <c r="C10" s="220">
        <v>2020</v>
      </c>
      <c r="D10" s="133" t="s">
        <v>284</v>
      </c>
      <c r="E10" s="87" t="s">
        <v>285</v>
      </c>
      <c r="F10" s="87" t="s">
        <v>286</v>
      </c>
      <c r="G10" s="87" t="s">
        <v>39</v>
      </c>
      <c r="H10" s="87" t="s">
        <v>59</v>
      </c>
      <c r="I10" s="87" t="s">
        <v>41</v>
      </c>
      <c r="J10" s="87" t="s">
        <v>121</v>
      </c>
      <c r="K10" s="87" t="s">
        <v>305</v>
      </c>
      <c r="L10" s="87">
        <v>3</v>
      </c>
      <c r="N10" s="87">
        <v>4</v>
      </c>
      <c r="O10" s="87">
        <v>0.32</v>
      </c>
      <c r="P10" s="87">
        <v>0.52</v>
      </c>
      <c r="Q10" s="88">
        <f t="shared" si="2"/>
        <v>0.42000000000000004</v>
      </c>
      <c r="R10" s="87">
        <v>15</v>
      </c>
      <c r="S10" s="87">
        <v>95</v>
      </c>
      <c r="T10" s="89">
        <f t="shared" si="0"/>
        <v>36</v>
      </c>
      <c r="U10" s="87">
        <v>398</v>
      </c>
      <c r="V10" s="89">
        <f t="shared" si="1"/>
        <v>16</v>
      </c>
      <c r="W10" s="87">
        <v>1</v>
      </c>
      <c r="X10" s="87" t="s">
        <v>63</v>
      </c>
      <c r="Y10" s="87" t="s">
        <v>46</v>
      </c>
      <c r="Z10" s="87" t="s">
        <v>45</v>
      </c>
      <c r="AA10" s="87" t="s">
        <v>54</v>
      </c>
      <c r="AB10" s="87" t="s">
        <v>48</v>
      </c>
      <c r="AE10" s="33" t="s">
        <v>106</v>
      </c>
      <c r="AG10" s="166" t="s">
        <v>311</v>
      </c>
      <c r="AH10" s="167" t="s">
        <v>297</v>
      </c>
      <c r="AL10" s="135"/>
      <c r="AP10" s="95" t="s">
        <v>109</v>
      </c>
      <c r="AR10" s="95" t="s">
        <v>110</v>
      </c>
      <c r="AV10" s="95" t="s">
        <v>111</v>
      </c>
      <c r="AX10" s="96">
        <v>138</v>
      </c>
      <c r="AY10" s="97">
        <v>25</v>
      </c>
      <c r="AZ10" s="97">
        <v>138</v>
      </c>
      <c r="BA10" s="98">
        <v>22</v>
      </c>
    </row>
    <row r="11" spans="1:53" s="87" customFormat="1" ht="13.5" customHeight="1">
      <c r="A11" s="87" t="s">
        <v>86</v>
      </c>
      <c r="B11" s="87" t="s">
        <v>36</v>
      </c>
      <c r="C11" s="220">
        <v>2020</v>
      </c>
      <c r="D11" s="133" t="s">
        <v>284</v>
      </c>
      <c r="E11" s="87" t="s">
        <v>285</v>
      </c>
      <c r="F11" s="87" t="s">
        <v>286</v>
      </c>
      <c r="G11" s="87" t="s">
        <v>39</v>
      </c>
      <c r="H11" s="87" t="s">
        <v>51</v>
      </c>
      <c r="I11" s="87" t="s">
        <v>41</v>
      </c>
      <c r="J11" s="87" t="s">
        <v>121</v>
      </c>
      <c r="K11" s="87" t="s">
        <v>294</v>
      </c>
      <c r="L11" s="87">
        <v>1</v>
      </c>
      <c r="N11" s="87">
        <v>3</v>
      </c>
      <c r="O11" s="87">
        <v>1.26</v>
      </c>
      <c r="P11" s="87">
        <v>1.1499999999999999</v>
      </c>
      <c r="Q11" s="88">
        <f t="shared" si="2"/>
        <v>1.2050000000000001</v>
      </c>
      <c r="R11" s="87">
        <v>9.8000000000000007</v>
      </c>
      <c r="S11" s="87">
        <v>102</v>
      </c>
      <c r="T11" s="89">
        <f t="shared" si="0"/>
        <v>33</v>
      </c>
      <c r="U11" s="87">
        <v>398</v>
      </c>
      <c r="V11" s="89">
        <f t="shared" si="1"/>
        <v>16</v>
      </c>
      <c r="W11" s="87">
        <v>1</v>
      </c>
      <c r="X11" s="87" t="s">
        <v>63</v>
      </c>
      <c r="Y11" s="87" t="s">
        <v>46</v>
      </c>
      <c r="Z11" s="87" t="s">
        <v>45</v>
      </c>
      <c r="AA11" s="87" t="s">
        <v>54</v>
      </c>
      <c r="AB11" s="87" t="s">
        <v>48</v>
      </c>
      <c r="AE11" s="33" t="s">
        <v>269</v>
      </c>
      <c r="AG11" s="168" t="s">
        <v>312</v>
      </c>
      <c r="AH11" s="167" t="s">
        <v>313</v>
      </c>
      <c r="AL11" s="135"/>
      <c r="AP11" s="95" t="s">
        <v>314</v>
      </c>
      <c r="AR11" s="95" t="s">
        <v>315</v>
      </c>
      <c r="AV11" s="95" t="s">
        <v>316</v>
      </c>
      <c r="AX11" s="96">
        <v>151</v>
      </c>
      <c r="AY11" s="97">
        <v>22</v>
      </c>
      <c r="AZ11" s="97">
        <v>152</v>
      </c>
      <c r="BA11" s="98">
        <v>18</v>
      </c>
    </row>
    <row r="12" spans="1:53" s="87" customFormat="1" ht="13.5" customHeight="1">
      <c r="A12" s="87" t="s">
        <v>86</v>
      </c>
      <c r="B12" s="87" t="s">
        <v>36</v>
      </c>
      <c r="C12" s="220">
        <v>2020</v>
      </c>
      <c r="D12" s="133" t="s">
        <v>284</v>
      </c>
      <c r="E12" s="87" t="s">
        <v>285</v>
      </c>
      <c r="F12" s="87" t="s">
        <v>286</v>
      </c>
      <c r="G12" s="87" t="s">
        <v>39</v>
      </c>
      <c r="H12" s="87" t="s">
        <v>51</v>
      </c>
      <c r="I12" s="87" t="s">
        <v>41</v>
      </c>
      <c r="J12" s="87" t="s">
        <v>121</v>
      </c>
      <c r="K12" s="87" t="s">
        <v>294</v>
      </c>
      <c r="L12" s="87">
        <v>2</v>
      </c>
      <c r="N12" s="87">
        <v>3</v>
      </c>
      <c r="O12" s="87">
        <v>1.31</v>
      </c>
      <c r="P12" s="87">
        <v>1.4</v>
      </c>
      <c r="Q12" s="88">
        <f t="shared" si="2"/>
        <v>1.355</v>
      </c>
      <c r="R12" s="87">
        <v>11.3</v>
      </c>
      <c r="S12" s="87">
        <v>100</v>
      </c>
      <c r="T12" s="89">
        <f t="shared" si="0"/>
        <v>33</v>
      </c>
      <c r="U12" s="87">
        <v>398</v>
      </c>
      <c r="V12" s="89">
        <f t="shared" si="1"/>
        <v>16</v>
      </c>
      <c r="W12" s="87">
        <v>1</v>
      </c>
      <c r="X12" s="87" t="s">
        <v>63</v>
      </c>
      <c r="Y12" s="87" t="s">
        <v>46</v>
      </c>
      <c r="Z12" s="87" t="s">
        <v>45</v>
      </c>
      <c r="AA12" s="87" t="s">
        <v>54</v>
      </c>
      <c r="AB12" s="87" t="s">
        <v>48</v>
      </c>
      <c r="AE12" s="33" t="s">
        <v>272</v>
      </c>
      <c r="AG12" s="95"/>
      <c r="AH12" s="169"/>
      <c r="AL12" s="135"/>
      <c r="AP12" s="95" t="s">
        <v>215</v>
      </c>
      <c r="AR12" s="95" t="s">
        <v>273</v>
      </c>
      <c r="AV12" s="95" t="s">
        <v>217</v>
      </c>
      <c r="AX12" s="103">
        <v>180</v>
      </c>
      <c r="AY12" s="104">
        <v>18</v>
      </c>
      <c r="AZ12" s="104">
        <v>181</v>
      </c>
      <c r="BA12" s="105">
        <v>16</v>
      </c>
    </row>
    <row r="13" spans="1:53" s="87" customFormat="1" ht="13.5" customHeight="1">
      <c r="A13" s="87" t="s">
        <v>86</v>
      </c>
      <c r="B13" s="87" t="s">
        <v>36</v>
      </c>
      <c r="C13" s="220">
        <v>2020</v>
      </c>
      <c r="D13" s="133" t="s">
        <v>284</v>
      </c>
      <c r="E13" s="87" t="s">
        <v>285</v>
      </c>
      <c r="F13" s="87" t="s">
        <v>286</v>
      </c>
      <c r="G13" s="87" t="s">
        <v>39</v>
      </c>
      <c r="H13" s="87" t="s">
        <v>51</v>
      </c>
      <c r="I13" s="87" t="s">
        <v>41</v>
      </c>
      <c r="J13" s="87" t="s">
        <v>121</v>
      </c>
      <c r="K13" s="87" t="s">
        <v>294</v>
      </c>
      <c r="L13" s="87">
        <v>3</v>
      </c>
      <c r="N13" s="87">
        <v>3</v>
      </c>
      <c r="O13" s="87">
        <v>1.43</v>
      </c>
      <c r="P13" s="87">
        <v>1.33</v>
      </c>
      <c r="Q13" s="88">
        <f t="shared" si="2"/>
        <v>1.38</v>
      </c>
      <c r="R13" s="87">
        <v>10.3</v>
      </c>
      <c r="S13" s="87">
        <v>96</v>
      </c>
      <c r="T13" s="89">
        <f t="shared" si="0"/>
        <v>36</v>
      </c>
      <c r="U13" s="87">
        <v>398</v>
      </c>
      <c r="V13" s="89">
        <f t="shared" si="1"/>
        <v>16</v>
      </c>
      <c r="W13" s="87">
        <v>1</v>
      </c>
      <c r="X13" s="87" t="s">
        <v>63</v>
      </c>
      <c r="Y13" s="87" t="s">
        <v>46</v>
      </c>
      <c r="Z13" s="87" t="s">
        <v>45</v>
      </c>
      <c r="AA13" s="87" t="s">
        <v>54</v>
      </c>
      <c r="AB13" s="87" t="s">
        <v>48</v>
      </c>
      <c r="AE13" s="33" t="s">
        <v>274</v>
      </c>
      <c r="AG13" s="95"/>
      <c r="AH13" s="95"/>
      <c r="AP13" s="95" t="s">
        <v>219</v>
      </c>
      <c r="AR13" s="95" t="s">
        <v>106</v>
      </c>
      <c r="AV13" s="95" t="s">
        <v>220</v>
      </c>
    </row>
    <row r="14" spans="1:53" s="87" customFormat="1" ht="13.5" customHeight="1">
      <c r="A14" s="87" t="s">
        <v>86</v>
      </c>
      <c r="B14" s="87" t="s">
        <v>36</v>
      </c>
      <c r="C14" s="220">
        <v>2020</v>
      </c>
      <c r="D14" s="133" t="s">
        <v>284</v>
      </c>
      <c r="E14" s="87" t="s">
        <v>290</v>
      </c>
      <c r="F14" s="87" t="s">
        <v>291</v>
      </c>
      <c r="G14" s="87" t="s">
        <v>39</v>
      </c>
      <c r="H14" s="87" t="s">
        <v>40</v>
      </c>
      <c r="I14" s="87" t="s">
        <v>41</v>
      </c>
      <c r="J14" s="87" t="s">
        <v>42</v>
      </c>
      <c r="K14" s="87" t="s">
        <v>43</v>
      </c>
      <c r="L14" s="87">
        <v>1</v>
      </c>
      <c r="N14" s="87">
        <v>4</v>
      </c>
      <c r="O14" s="87">
        <v>0.38</v>
      </c>
      <c r="P14" s="87">
        <v>0.39</v>
      </c>
      <c r="Q14" s="88">
        <f t="shared" si="2"/>
        <v>0.38500000000000001</v>
      </c>
      <c r="R14" s="87">
        <v>14.9</v>
      </c>
      <c r="S14" s="87">
        <v>104</v>
      </c>
      <c r="T14" s="89">
        <f t="shared" si="0"/>
        <v>33</v>
      </c>
      <c r="U14" s="87">
        <v>298</v>
      </c>
      <c r="V14" s="89">
        <f t="shared" si="1"/>
        <v>16</v>
      </c>
      <c r="W14" s="87">
        <v>2</v>
      </c>
      <c r="X14" s="87" t="s">
        <v>44</v>
      </c>
      <c r="Y14" s="87" t="s">
        <v>45</v>
      </c>
      <c r="Z14" s="87" t="s">
        <v>46</v>
      </c>
      <c r="AA14" s="87" t="s">
        <v>54</v>
      </c>
      <c r="AB14" s="87" t="s">
        <v>48</v>
      </c>
      <c r="AE14" s="33" t="s">
        <v>112</v>
      </c>
      <c r="AG14" s="95"/>
      <c r="AH14" s="95"/>
      <c r="AP14" s="95" t="s">
        <v>317</v>
      </c>
      <c r="AR14" s="95" t="s">
        <v>114</v>
      </c>
      <c r="AV14" s="95" t="s">
        <v>115</v>
      </c>
    </row>
    <row r="15" spans="1:53" s="87" customFormat="1" ht="13.5" customHeight="1">
      <c r="A15" s="87" t="s">
        <v>86</v>
      </c>
      <c r="B15" s="87" t="s">
        <v>36</v>
      </c>
      <c r="C15" s="220">
        <v>2020</v>
      </c>
      <c r="D15" s="133" t="s">
        <v>284</v>
      </c>
      <c r="E15" s="87" t="s">
        <v>290</v>
      </c>
      <c r="F15" s="87" t="s">
        <v>291</v>
      </c>
      <c r="G15" s="87" t="s">
        <v>39</v>
      </c>
      <c r="H15" s="87" t="s">
        <v>40</v>
      </c>
      <c r="I15" s="87" t="s">
        <v>41</v>
      </c>
      <c r="J15" s="87" t="s">
        <v>42</v>
      </c>
      <c r="K15" s="87" t="s">
        <v>43</v>
      </c>
      <c r="L15" s="87">
        <v>2</v>
      </c>
      <c r="N15" s="87">
        <v>4</v>
      </c>
      <c r="O15" s="87">
        <v>0.39</v>
      </c>
      <c r="P15" s="87">
        <v>0.4</v>
      </c>
      <c r="Q15" s="88">
        <f t="shared" si="2"/>
        <v>0.39500000000000002</v>
      </c>
      <c r="R15" s="87">
        <v>15</v>
      </c>
      <c r="S15" s="87">
        <v>106</v>
      </c>
      <c r="T15" s="89">
        <f t="shared" si="0"/>
        <v>33</v>
      </c>
      <c r="U15" s="87">
        <v>298</v>
      </c>
      <c r="V15" s="89">
        <f t="shared" si="1"/>
        <v>16</v>
      </c>
      <c r="W15" s="87">
        <v>2</v>
      </c>
      <c r="X15" s="87" t="s">
        <v>44</v>
      </c>
      <c r="Y15" s="87" t="s">
        <v>45</v>
      </c>
      <c r="Z15" s="87" t="s">
        <v>46</v>
      </c>
      <c r="AA15" s="87" t="s">
        <v>54</v>
      </c>
      <c r="AB15" s="87" t="s">
        <v>48</v>
      </c>
      <c r="AE15" s="33" t="s">
        <v>116</v>
      </c>
      <c r="AG15" s="95"/>
      <c r="AH15" s="95"/>
      <c r="AP15" s="95" t="s">
        <v>318</v>
      </c>
      <c r="AR15" s="95" t="s">
        <v>118</v>
      </c>
      <c r="AV15" s="95" t="s">
        <v>119</v>
      </c>
    </row>
    <row r="16" spans="1:53" s="87" customFormat="1" ht="13.5" customHeight="1">
      <c r="A16" s="87" t="s">
        <v>86</v>
      </c>
      <c r="B16" s="87" t="s">
        <v>36</v>
      </c>
      <c r="C16" s="220">
        <v>2020</v>
      </c>
      <c r="D16" s="133" t="s">
        <v>284</v>
      </c>
      <c r="E16" s="87" t="s">
        <v>290</v>
      </c>
      <c r="F16" s="87" t="s">
        <v>291</v>
      </c>
      <c r="G16" s="87" t="s">
        <v>39</v>
      </c>
      <c r="H16" s="87" t="s">
        <v>40</v>
      </c>
      <c r="I16" s="87" t="s">
        <v>41</v>
      </c>
      <c r="J16" s="87" t="s">
        <v>42</v>
      </c>
      <c r="K16" s="87" t="s">
        <v>43</v>
      </c>
      <c r="L16" s="87">
        <v>3</v>
      </c>
      <c r="N16" s="87">
        <v>4</v>
      </c>
      <c r="O16" s="87">
        <v>0.35</v>
      </c>
      <c r="P16" s="87">
        <v>0.32</v>
      </c>
      <c r="Q16" s="88">
        <f t="shared" si="2"/>
        <v>0.33499999999999996</v>
      </c>
      <c r="R16" s="87">
        <v>15.6</v>
      </c>
      <c r="S16" s="87">
        <v>100</v>
      </c>
      <c r="T16" s="89">
        <f t="shared" si="0"/>
        <v>33</v>
      </c>
      <c r="U16" s="87">
        <v>298</v>
      </c>
      <c r="V16" s="89">
        <f t="shared" si="1"/>
        <v>16</v>
      </c>
      <c r="W16" s="87">
        <v>2</v>
      </c>
      <c r="X16" s="87" t="s">
        <v>44</v>
      </c>
      <c r="Y16" s="87" t="s">
        <v>45</v>
      </c>
      <c r="Z16" s="87" t="s">
        <v>46</v>
      </c>
      <c r="AA16" s="87" t="s">
        <v>54</v>
      </c>
      <c r="AB16" s="87" t="s">
        <v>48</v>
      </c>
      <c r="AE16" s="33" t="s">
        <v>120</v>
      </c>
      <c r="AG16" s="100"/>
      <c r="AH16" s="100"/>
      <c r="AP16" s="95" t="s">
        <v>121</v>
      </c>
      <c r="AR16" s="95" t="s">
        <v>122</v>
      </c>
      <c r="AV16" s="95" t="s">
        <v>46</v>
      </c>
    </row>
    <row r="17" spans="1:48" s="87" customFormat="1" ht="13.5" customHeight="1">
      <c r="A17" s="87" t="s">
        <v>86</v>
      </c>
      <c r="B17" s="87" t="s">
        <v>36</v>
      </c>
      <c r="C17" s="220">
        <v>2020</v>
      </c>
      <c r="D17" s="133" t="s">
        <v>284</v>
      </c>
      <c r="E17" s="87" t="s">
        <v>290</v>
      </c>
      <c r="F17" s="87" t="s">
        <v>291</v>
      </c>
      <c r="G17" s="87" t="s">
        <v>39</v>
      </c>
      <c r="H17" s="87" t="s">
        <v>40</v>
      </c>
      <c r="I17" s="87" t="s">
        <v>41</v>
      </c>
      <c r="J17" s="87" t="s">
        <v>42</v>
      </c>
      <c r="K17" s="87" t="s">
        <v>43</v>
      </c>
      <c r="L17" s="87">
        <v>1</v>
      </c>
      <c r="N17" s="87">
        <v>1</v>
      </c>
      <c r="O17" s="87">
        <v>0.47</v>
      </c>
      <c r="P17" s="87">
        <v>0.55000000000000004</v>
      </c>
      <c r="Q17" s="88">
        <f t="shared" si="2"/>
        <v>0.51</v>
      </c>
      <c r="R17" s="87">
        <v>14.5</v>
      </c>
      <c r="S17" s="87">
        <v>136</v>
      </c>
      <c r="T17" s="89">
        <f t="shared" si="0"/>
        <v>25</v>
      </c>
      <c r="U17" s="87">
        <v>118</v>
      </c>
      <c r="V17" s="89">
        <f t="shared" si="1"/>
        <v>30</v>
      </c>
      <c r="W17" s="87">
        <v>1</v>
      </c>
      <c r="X17" s="87" t="s">
        <v>44</v>
      </c>
      <c r="Y17" s="87" t="s">
        <v>45</v>
      </c>
      <c r="Z17" s="87" t="s">
        <v>46</v>
      </c>
      <c r="AA17" s="87" t="s">
        <v>54</v>
      </c>
      <c r="AB17" s="87" t="s">
        <v>48</v>
      </c>
      <c r="AE17" s="33" t="s">
        <v>124</v>
      </c>
      <c r="AP17" s="99" t="s">
        <v>125</v>
      </c>
      <c r="AR17" s="95" t="s">
        <v>126</v>
      </c>
      <c r="AV17" s="95" t="s">
        <v>127</v>
      </c>
    </row>
    <row r="18" spans="1:48" s="87" customFormat="1" ht="13.5" customHeight="1">
      <c r="A18" s="87" t="s">
        <v>86</v>
      </c>
      <c r="B18" s="87" t="s">
        <v>36</v>
      </c>
      <c r="C18" s="220">
        <v>2020</v>
      </c>
      <c r="D18" s="133" t="s">
        <v>284</v>
      </c>
      <c r="E18" s="87" t="s">
        <v>290</v>
      </c>
      <c r="F18" s="87" t="s">
        <v>291</v>
      </c>
      <c r="G18" s="87" t="s">
        <v>39</v>
      </c>
      <c r="H18" s="87" t="s">
        <v>40</v>
      </c>
      <c r="I18" s="87" t="s">
        <v>41</v>
      </c>
      <c r="J18" s="87" t="s">
        <v>42</v>
      </c>
      <c r="K18" s="87" t="s">
        <v>43</v>
      </c>
      <c r="L18" s="87">
        <v>2</v>
      </c>
      <c r="N18" s="87">
        <v>1</v>
      </c>
      <c r="O18" s="87">
        <v>0.5</v>
      </c>
      <c r="P18" s="87">
        <v>0.53</v>
      </c>
      <c r="Q18" s="88">
        <f t="shared" si="2"/>
        <v>0.51500000000000001</v>
      </c>
      <c r="R18" s="87">
        <v>14.6</v>
      </c>
      <c r="S18" s="87">
        <v>139</v>
      </c>
      <c r="T18" s="89">
        <f t="shared" si="0"/>
        <v>22</v>
      </c>
      <c r="U18" s="87">
        <v>118</v>
      </c>
      <c r="V18" s="89">
        <f t="shared" si="1"/>
        <v>30</v>
      </c>
      <c r="W18" s="87">
        <v>1</v>
      </c>
      <c r="X18" s="87" t="s">
        <v>44</v>
      </c>
      <c r="Y18" s="87" t="s">
        <v>45</v>
      </c>
      <c r="Z18" s="87" t="s">
        <v>46</v>
      </c>
      <c r="AA18" s="87" t="s">
        <v>54</v>
      </c>
      <c r="AB18" s="87" t="s">
        <v>48</v>
      </c>
      <c r="AE18" s="33" t="s">
        <v>128</v>
      </c>
      <c r="AP18" s="99" t="s">
        <v>319</v>
      </c>
      <c r="AR18" s="95" t="s">
        <v>130</v>
      </c>
      <c r="AV18" s="95" t="s">
        <v>131</v>
      </c>
    </row>
    <row r="19" spans="1:48" s="87" customFormat="1" ht="13.5" customHeight="1">
      <c r="A19" s="87" t="s">
        <v>86</v>
      </c>
      <c r="B19" s="87" t="s">
        <v>36</v>
      </c>
      <c r="C19" s="220">
        <v>2020</v>
      </c>
      <c r="D19" s="133" t="s">
        <v>284</v>
      </c>
      <c r="E19" s="87" t="s">
        <v>290</v>
      </c>
      <c r="F19" s="87" t="s">
        <v>291</v>
      </c>
      <c r="G19" s="87" t="s">
        <v>39</v>
      </c>
      <c r="H19" s="87" t="s">
        <v>40</v>
      </c>
      <c r="I19" s="87" t="s">
        <v>41</v>
      </c>
      <c r="J19" s="87" t="s">
        <v>42</v>
      </c>
      <c r="K19" s="87" t="s">
        <v>43</v>
      </c>
      <c r="L19" s="87">
        <v>3</v>
      </c>
      <c r="N19" s="87">
        <v>1</v>
      </c>
      <c r="O19" s="87">
        <v>0.28000000000000003</v>
      </c>
      <c r="P19" s="87">
        <v>0.23</v>
      </c>
      <c r="Q19" s="88">
        <f t="shared" si="2"/>
        <v>0.255</v>
      </c>
      <c r="R19" s="87">
        <v>15.9</v>
      </c>
      <c r="S19" s="87">
        <v>136</v>
      </c>
      <c r="T19" s="89">
        <f t="shared" si="0"/>
        <v>25</v>
      </c>
      <c r="U19" s="87">
        <v>118</v>
      </c>
      <c r="V19" s="89">
        <f t="shared" si="1"/>
        <v>30</v>
      </c>
      <c r="W19" s="87">
        <v>1</v>
      </c>
      <c r="X19" s="87" t="s">
        <v>44</v>
      </c>
      <c r="Y19" s="87" t="s">
        <v>45</v>
      </c>
      <c r="Z19" s="87" t="s">
        <v>46</v>
      </c>
      <c r="AA19" s="87" t="s">
        <v>54</v>
      </c>
      <c r="AB19" s="87" t="s">
        <v>48</v>
      </c>
      <c r="AE19" s="34" t="s">
        <v>104</v>
      </c>
      <c r="AP19" s="99" t="s">
        <v>132</v>
      </c>
      <c r="AR19" s="95" t="s">
        <v>133</v>
      </c>
      <c r="AV19" s="95" t="s">
        <v>320</v>
      </c>
    </row>
    <row r="20" spans="1:48" s="87" customFormat="1" ht="13.5" customHeight="1">
      <c r="A20" s="87" t="s">
        <v>86</v>
      </c>
      <c r="B20" s="87" t="s">
        <v>36</v>
      </c>
      <c r="C20" s="220">
        <v>2020</v>
      </c>
      <c r="D20" s="133" t="s">
        <v>284</v>
      </c>
      <c r="E20" s="87" t="s">
        <v>287</v>
      </c>
      <c r="F20" s="87" t="s">
        <v>288</v>
      </c>
      <c r="G20" s="87" t="s">
        <v>39</v>
      </c>
      <c r="H20" s="87" t="s">
        <v>40</v>
      </c>
      <c r="I20" s="87" t="s">
        <v>41</v>
      </c>
      <c r="J20" s="87" t="s">
        <v>42</v>
      </c>
      <c r="K20" s="87" t="s">
        <v>43</v>
      </c>
      <c r="L20" s="87">
        <v>1</v>
      </c>
      <c r="N20" s="87">
        <v>5</v>
      </c>
      <c r="O20" s="87">
        <v>0.55000000000000004</v>
      </c>
      <c r="P20" s="87">
        <v>0.59</v>
      </c>
      <c r="Q20" s="88">
        <f t="shared" si="2"/>
        <v>0.57000000000000006</v>
      </c>
      <c r="R20" s="87">
        <v>14.2</v>
      </c>
      <c r="S20" s="87">
        <v>91</v>
      </c>
      <c r="T20" s="89">
        <f t="shared" si="0"/>
        <v>36</v>
      </c>
      <c r="U20" s="87">
        <v>197</v>
      </c>
      <c r="V20" s="89">
        <f t="shared" si="1"/>
        <v>16</v>
      </c>
      <c r="W20" s="87">
        <v>5</v>
      </c>
      <c r="X20" s="87" t="s">
        <v>63</v>
      </c>
      <c r="Y20" s="87" t="s">
        <v>46</v>
      </c>
      <c r="Z20" s="87" t="s">
        <v>45</v>
      </c>
      <c r="AA20" s="87" t="s">
        <v>161</v>
      </c>
      <c r="AB20" s="87" t="s">
        <v>48</v>
      </c>
      <c r="AE20" s="34"/>
      <c r="AP20" s="99" t="s">
        <v>135</v>
      </c>
      <c r="AR20" s="95" t="s">
        <v>136</v>
      </c>
      <c r="AV20" s="99" t="s">
        <v>137</v>
      </c>
    </row>
    <row r="21" spans="1:48" s="87" customFormat="1" ht="13.5" customHeight="1">
      <c r="A21" s="87" t="s">
        <v>86</v>
      </c>
      <c r="B21" s="87" t="s">
        <v>36</v>
      </c>
      <c r="C21" s="220">
        <v>2020</v>
      </c>
      <c r="D21" s="133" t="s">
        <v>284</v>
      </c>
      <c r="E21" s="87" t="s">
        <v>287</v>
      </c>
      <c r="F21" s="87" t="s">
        <v>288</v>
      </c>
      <c r="G21" s="87" t="s">
        <v>39</v>
      </c>
      <c r="H21" s="87" t="s">
        <v>40</v>
      </c>
      <c r="I21" s="87" t="s">
        <v>41</v>
      </c>
      <c r="J21" s="87" t="s">
        <v>42</v>
      </c>
      <c r="K21" s="87" t="s">
        <v>43</v>
      </c>
      <c r="L21" s="87">
        <v>2</v>
      </c>
      <c r="N21" s="87">
        <v>5</v>
      </c>
      <c r="O21" s="87">
        <v>0.49</v>
      </c>
      <c r="P21" s="87">
        <v>0.5</v>
      </c>
      <c r="Q21" s="88">
        <f t="shared" si="2"/>
        <v>0.495</v>
      </c>
      <c r="R21" s="87">
        <v>13.8</v>
      </c>
      <c r="S21" s="87">
        <v>90</v>
      </c>
      <c r="T21" s="89">
        <f t="shared" si="0"/>
        <v>36</v>
      </c>
      <c r="U21" s="87">
        <v>197</v>
      </c>
      <c r="V21" s="89">
        <f t="shared" si="1"/>
        <v>16</v>
      </c>
      <c r="W21" s="87">
        <v>5</v>
      </c>
      <c r="X21" s="87" t="s">
        <v>63</v>
      </c>
      <c r="Y21" s="87" t="s">
        <v>46</v>
      </c>
      <c r="Z21" s="87" t="s">
        <v>45</v>
      </c>
      <c r="AA21" s="87" t="s">
        <v>161</v>
      </c>
      <c r="AB21" s="87" t="s">
        <v>48</v>
      </c>
      <c r="AE21" s="100"/>
      <c r="AP21" s="99" t="s">
        <v>321</v>
      </c>
      <c r="AR21" s="95" t="s">
        <v>139</v>
      </c>
      <c r="AV21" s="99" t="s">
        <v>140</v>
      </c>
    </row>
    <row r="22" spans="1:48" s="87" customFormat="1" ht="13.5" customHeight="1">
      <c r="A22" s="87" t="s">
        <v>86</v>
      </c>
      <c r="B22" s="87" t="s">
        <v>36</v>
      </c>
      <c r="C22" s="220">
        <v>2020</v>
      </c>
      <c r="D22" s="133" t="s">
        <v>284</v>
      </c>
      <c r="E22" s="87" t="s">
        <v>287</v>
      </c>
      <c r="F22" s="87" t="s">
        <v>288</v>
      </c>
      <c r="G22" s="87" t="s">
        <v>39</v>
      </c>
      <c r="H22" s="87" t="s">
        <v>40</v>
      </c>
      <c r="I22" s="87" t="s">
        <v>41</v>
      </c>
      <c r="J22" s="87" t="s">
        <v>42</v>
      </c>
      <c r="K22" s="87" t="s">
        <v>43</v>
      </c>
      <c r="L22" s="87">
        <v>3</v>
      </c>
      <c r="N22" s="87">
        <v>5</v>
      </c>
      <c r="O22" s="87">
        <v>0.44</v>
      </c>
      <c r="P22" s="87">
        <v>0.51</v>
      </c>
      <c r="Q22" s="88">
        <f t="shared" si="2"/>
        <v>0.47499999999999998</v>
      </c>
      <c r="R22" s="87">
        <v>12.7</v>
      </c>
      <c r="S22" s="87">
        <v>88</v>
      </c>
      <c r="T22" s="89">
        <f t="shared" si="0"/>
        <v>36</v>
      </c>
      <c r="U22" s="87">
        <v>197</v>
      </c>
      <c r="V22" s="89">
        <f t="shared" si="1"/>
        <v>16</v>
      </c>
      <c r="W22" s="87">
        <v>5</v>
      </c>
      <c r="X22" s="87" t="s">
        <v>63</v>
      </c>
      <c r="Y22" s="87" t="s">
        <v>46</v>
      </c>
      <c r="Z22" s="87" t="s">
        <v>45</v>
      </c>
      <c r="AA22" s="87" t="s">
        <v>161</v>
      </c>
      <c r="AB22" s="87" t="s">
        <v>48</v>
      </c>
      <c r="AP22" s="99" t="s">
        <v>322</v>
      </c>
      <c r="AR22" s="95" t="s">
        <v>142</v>
      </c>
      <c r="AV22" s="99" t="s">
        <v>323</v>
      </c>
    </row>
    <row r="23" spans="1:48" s="87" customFormat="1" ht="13.5" customHeight="1">
      <c r="A23" s="87" t="s">
        <v>86</v>
      </c>
      <c r="B23" s="87" t="s">
        <v>36</v>
      </c>
      <c r="C23" s="220">
        <v>2020</v>
      </c>
      <c r="D23" s="133" t="s">
        <v>284</v>
      </c>
      <c r="E23" s="87" t="s">
        <v>287</v>
      </c>
      <c r="F23" s="87" t="s">
        <v>288</v>
      </c>
      <c r="G23" s="87" t="s">
        <v>39</v>
      </c>
      <c r="H23" s="87" t="s">
        <v>51</v>
      </c>
      <c r="I23" s="87" t="s">
        <v>41</v>
      </c>
      <c r="J23" s="87" t="s">
        <v>121</v>
      </c>
      <c r="K23" s="87" t="s">
        <v>294</v>
      </c>
      <c r="L23" s="87">
        <v>1</v>
      </c>
      <c r="N23" s="87">
        <v>5</v>
      </c>
      <c r="O23" s="87">
        <v>0.99</v>
      </c>
      <c r="P23" s="87">
        <v>0.82</v>
      </c>
      <c r="Q23" s="88">
        <f t="shared" si="2"/>
        <v>0.90500000000000003</v>
      </c>
      <c r="R23" s="87">
        <v>12.6</v>
      </c>
      <c r="S23" s="87">
        <v>75</v>
      </c>
      <c r="T23" s="89">
        <f t="shared" si="0"/>
        <v>42</v>
      </c>
      <c r="U23" s="87">
        <v>297</v>
      </c>
      <c r="V23" s="89">
        <f t="shared" si="1"/>
        <v>16</v>
      </c>
      <c r="W23" s="87">
        <v>4</v>
      </c>
      <c r="X23" s="87" t="s">
        <v>63</v>
      </c>
      <c r="Y23" s="87" t="s">
        <v>46</v>
      </c>
      <c r="Z23" s="87" t="s">
        <v>45</v>
      </c>
      <c r="AA23" s="87" t="s">
        <v>161</v>
      </c>
      <c r="AB23" s="87" t="s">
        <v>48</v>
      </c>
      <c r="AP23" s="99" t="s">
        <v>324</v>
      </c>
      <c r="AR23" s="95" t="s">
        <v>88</v>
      </c>
      <c r="AV23" s="99" t="s">
        <v>325</v>
      </c>
    </row>
    <row r="24" spans="1:48" s="87" customFormat="1" ht="13.5" customHeight="1">
      <c r="A24" s="87" t="s">
        <v>86</v>
      </c>
      <c r="B24" s="87" t="s">
        <v>36</v>
      </c>
      <c r="C24" s="220">
        <v>2020</v>
      </c>
      <c r="D24" s="133" t="s">
        <v>284</v>
      </c>
      <c r="E24" s="87" t="s">
        <v>287</v>
      </c>
      <c r="F24" s="87" t="s">
        <v>288</v>
      </c>
      <c r="G24" s="87" t="s">
        <v>39</v>
      </c>
      <c r="H24" s="87" t="s">
        <v>51</v>
      </c>
      <c r="I24" s="87" t="s">
        <v>41</v>
      </c>
      <c r="J24" s="87" t="s">
        <v>121</v>
      </c>
      <c r="K24" s="87" t="s">
        <v>294</v>
      </c>
      <c r="L24" s="87">
        <v>2</v>
      </c>
      <c r="N24" s="87">
        <v>5</v>
      </c>
      <c r="O24" s="87">
        <v>0.82</v>
      </c>
      <c r="P24" s="87">
        <v>0.98</v>
      </c>
      <c r="Q24" s="88">
        <f t="shared" si="2"/>
        <v>0.89999999999999991</v>
      </c>
      <c r="R24" s="87">
        <v>12.7</v>
      </c>
      <c r="S24" s="87">
        <v>80</v>
      </c>
      <c r="T24" s="89">
        <f t="shared" si="0"/>
        <v>39</v>
      </c>
      <c r="U24" s="87">
        <v>297</v>
      </c>
      <c r="V24" s="89">
        <f t="shared" si="1"/>
        <v>16</v>
      </c>
      <c r="W24" s="87">
        <v>4</v>
      </c>
      <c r="X24" s="87" t="s">
        <v>63</v>
      </c>
      <c r="Y24" s="87" t="s">
        <v>46</v>
      </c>
      <c r="Z24" s="87" t="s">
        <v>45</v>
      </c>
      <c r="AA24" s="87" t="s">
        <v>161</v>
      </c>
      <c r="AB24" s="87" t="s">
        <v>48</v>
      </c>
      <c r="AP24" s="99" t="s">
        <v>326</v>
      </c>
      <c r="AR24" s="95" t="s">
        <v>327</v>
      </c>
      <c r="AV24" s="99" t="s">
        <v>328</v>
      </c>
    </row>
    <row r="25" spans="1:48" s="87" customFormat="1" ht="13.5" customHeight="1">
      <c r="A25" s="87" t="s">
        <v>86</v>
      </c>
      <c r="B25" s="87" t="s">
        <v>36</v>
      </c>
      <c r="C25" s="220">
        <v>2020</v>
      </c>
      <c r="D25" s="133" t="s">
        <v>284</v>
      </c>
      <c r="E25" s="87" t="s">
        <v>287</v>
      </c>
      <c r="F25" s="87" t="s">
        <v>288</v>
      </c>
      <c r="G25" s="87" t="s">
        <v>39</v>
      </c>
      <c r="H25" s="87" t="s">
        <v>51</v>
      </c>
      <c r="I25" s="87" t="s">
        <v>41</v>
      </c>
      <c r="J25" s="87" t="s">
        <v>121</v>
      </c>
      <c r="K25" s="87" t="s">
        <v>294</v>
      </c>
      <c r="L25" s="87">
        <v>3</v>
      </c>
      <c r="N25" s="87">
        <v>5</v>
      </c>
      <c r="O25" s="87">
        <v>0.81</v>
      </c>
      <c r="P25" s="87">
        <v>0.93</v>
      </c>
      <c r="Q25" s="88">
        <f t="shared" si="2"/>
        <v>0.87000000000000011</v>
      </c>
      <c r="R25" s="87">
        <v>12.8</v>
      </c>
      <c r="S25" s="87">
        <v>93</v>
      </c>
      <c r="T25" s="89">
        <f t="shared" si="0"/>
        <v>36</v>
      </c>
      <c r="U25" s="87">
        <v>297</v>
      </c>
      <c r="V25" s="89">
        <f t="shared" si="1"/>
        <v>16</v>
      </c>
      <c r="W25" s="87">
        <v>4</v>
      </c>
      <c r="X25" s="87" t="s">
        <v>63</v>
      </c>
      <c r="Y25" s="87" t="s">
        <v>46</v>
      </c>
      <c r="Z25" s="87" t="s">
        <v>45</v>
      </c>
      <c r="AA25" s="87" t="s">
        <v>161</v>
      </c>
      <c r="AB25" s="87" t="s">
        <v>48</v>
      </c>
      <c r="AP25" s="99" t="s">
        <v>329</v>
      </c>
      <c r="AR25" s="99" t="s">
        <v>330</v>
      </c>
      <c r="AV25" s="99" t="s">
        <v>331</v>
      </c>
    </row>
    <row r="26" spans="1:48" s="87" customFormat="1" ht="13.5" customHeight="1">
      <c r="A26" s="87" t="s">
        <v>86</v>
      </c>
      <c r="B26" s="87" t="s">
        <v>36</v>
      </c>
      <c r="C26" s="220">
        <v>2020</v>
      </c>
      <c r="D26" s="133" t="s">
        <v>284</v>
      </c>
      <c r="E26" s="87" t="s">
        <v>287</v>
      </c>
      <c r="F26" s="87" t="s">
        <v>288</v>
      </c>
      <c r="G26" s="87" t="s">
        <v>39</v>
      </c>
      <c r="H26" s="87" t="s">
        <v>59</v>
      </c>
      <c r="I26" s="87" t="s">
        <v>41</v>
      </c>
      <c r="J26" s="87" t="s">
        <v>121</v>
      </c>
      <c r="K26" s="87" t="s">
        <v>122</v>
      </c>
      <c r="L26" s="87">
        <v>1</v>
      </c>
      <c r="N26" s="87">
        <v>4</v>
      </c>
      <c r="O26" s="87">
        <v>0.38</v>
      </c>
      <c r="P26" s="87">
        <v>0.35</v>
      </c>
      <c r="Q26" s="88">
        <f t="shared" si="2"/>
        <v>0.36499999999999999</v>
      </c>
      <c r="R26" s="87">
        <v>15.9</v>
      </c>
      <c r="S26" s="87">
        <v>80</v>
      </c>
      <c r="T26" s="89">
        <f t="shared" si="0"/>
        <v>39</v>
      </c>
      <c r="U26" s="87">
        <v>397</v>
      </c>
      <c r="V26" s="89">
        <f t="shared" si="1"/>
        <v>16</v>
      </c>
      <c r="W26" s="87">
        <v>1</v>
      </c>
      <c r="X26" s="87" t="s">
        <v>44</v>
      </c>
      <c r="Y26" s="87" t="s">
        <v>46</v>
      </c>
      <c r="Z26" s="87" t="s">
        <v>45</v>
      </c>
      <c r="AA26" s="87" t="s">
        <v>161</v>
      </c>
      <c r="AB26" s="87" t="s">
        <v>48</v>
      </c>
      <c r="AP26" s="99" t="s">
        <v>145</v>
      </c>
      <c r="AR26" s="99" t="s">
        <v>332</v>
      </c>
      <c r="AV26" s="99"/>
    </row>
    <row r="27" spans="1:48" s="87" customFormat="1" ht="13.5" customHeight="1">
      <c r="A27" s="87" t="s">
        <v>86</v>
      </c>
      <c r="B27" s="87" t="s">
        <v>36</v>
      </c>
      <c r="C27" s="220">
        <v>2020</v>
      </c>
      <c r="D27" s="133" t="s">
        <v>284</v>
      </c>
      <c r="E27" s="87" t="s">
        <v>287</v>
      </c>
      <c r="F27" s="87" t="s">
        <v>288</v>
      </c>
      <c r="G27" s="87" t="s">
        <v>39</v>
      </c>
      <c r="H27" s="87" t="s">
        <v>59</v>
      </c>
      <c r="I27" s="87" t="s">
        <v>41</v>
      </c>
      <c r="J27" s="87" t="s">
        <v>121</v>
      </c>
      <c r="K27" s="87" t="s">
        <v>122</v>
      </c>
      <c r="L27" s="87">
        <v>2</v>
      </c>
      <c r="N27" s="87">
        <v>4</v>
      </c>
      <c r="O27" s="87">
        <v>0.28000000000000003</v>
      </c>
      <c r="P27" s="87">
        <v>0.33</v>
      </c>
      <c r="Q27" s="88">
        <f t="shared" si="2"/>
        <v>0.30500000000000005</v>
      </c>
      <c r="R27" s="87">
        <v>16.100000000000001</v>
      </c>
      <c r="S27" s="87">
        <v>85</v>
      </c>
      <c r="T27" s="89">
        <f>IF(H27="","",IF(OR(H27="GREEN",H27="GK"),IF(S27&gt;=$AX$2,VLOOKUP(S27,$AX$2:$AY$12,2,1),""),IF(S27&gt;=$AZ$2,VLOOKUP(S27,$AZ$2:$BA$12,2,1),"")))</f>
        <v>36</v>
      </c>
      <c r="U27" s="87">
        <v>397</v>
      </c>
      <c r="V27" s="89">
        <f t="shared" si="1"/>
        <v>16</v>
      </c>
      <c r="W27" s="87">
        <v>1</v>
      </c>
      <c r="X27" s="87" t="s">
        <v>44</v>
      </c>
      <c r="Y27" s="87" t="s">
        <v>46</v>
      </c>
      <c r="Z27" s="87" t="s">
        <v>45</v>
      </c>
      <c r="AA27" s="87" t="s">
        <v>161</v>
      </c>
      <c r="AB27" s="87" t="s">
        <v>48</v>
      </c>
      <c r="AP27" s="99" t="s">
        <v>146</v>
      </c>
      <c r="AR27" s="95" t="s">
        <v>123</v>
      </c>
      <c r="AV27" s="99"/>
    </row>
    <row r="28" spans="1:48" s="87" customFormat="1" ht="13.5" customHeight="1">
      <c r="A28" s="87" t="s">
        <v>86</v>
      </c>
      <c r="B28" s="87" t="s">
        <v>36</v>
      </c>
      <c r="C28" s="220">
        <v>2020</v>
      </c>
      <c r="D28" s="133" t="s">
        <v>284</v>
      </c>
      <c r="E28" s="87" t="s">
        <v>287</v>
      </c>
      <c r="F28" s="87" t="s">
        <v>288</v>
      </c>
      <c r="G28" s="87" t="s">
        <v>39</v>
      </c>
      <c r="H28" s="87" t="s">
        <v>59</v>
      </c>
      <c r="I28" s="87" t="s">
        <v>41</v>
      </c>
      <c r="J28" s="87" t="s">
        <v>121</v>
      </c>
      <c r="K28" s="87" t="s">
        <v>122</v>
      </c>
      <c r="L28" s="87">
        <v>3</v>
      </c>
      <c r="N28" s="87">
        <v>4</v>
      </c>
      <c r="O28" s="87">
        <v>0.41</v>
      </c>
      <c r="P28" s="87">
        <v>0.3</v>
      </c>
      <c r="Q28" s="88">
        <f t="shared" si="2"/>
        <v>0.35499999999999998</v>
      </c>
      <c r="R28" s="87">
        <v>16.100000000000001</v>
      </c>
      <c r="S28" s="87">
        <v>101</v>
      </c>
      <c r="T28" s="89">
        <f t="shared" si="0"/>
        <v>33</v>
      </c>
      <c r="U28" s="87">
        <v>397</v>
      </c>
      <c r="V28" s="89">
        <f t="shared" si="1"/>
        <v>16</v>
      </c>
      <c r="W28" s="87">
        <v>1</v>
      </c>
      <c r="X28" s="87" t="s">
        <v>44</v>
      </c>
      <c r="Y28" s="87" t="s">
        <v>46</v>
      </c>
      <c r="Z28" s="87" t="s">
        <v>45</v>
      </c>
      <c r="AA28" s="87" t="s">
        <v>161</v>
      </c>
      <c r="AB28" s="87" t="s">
        <v>48</v>
      </c>
      <c r="AP28" s="99" t="s">
        <v>148</v>
      </c>
      <c r="AR28" s="95" t="s">
        <v>147</v>
      </c>
      <c r="AV28" s="99"/>
    </row>
    <row r="29" spans="1:48" s="87" customFormat="1" ht="13.5" customHeight="1">
      <c r="A29" s="87" t="s">
        <v>86</v>
      </c>
      <c r="B29" s="87" t="s">
        <v>36</v>
      </c>
      <c r="C29" s="220">
        <v>2020</v>
      </c>
      <c r="D29" s="133" t="s">
        <v>284</v>
      </c>
      <c r="E29" s="87" t="s">
        <v>296</v>
      </c>
      <c r="F29" s="87" t="s">
        <v>297</v>
      </c>
      <c r="G29" s="87" t="s">
        <v>39</v>
      </c>
      <c r="H29" s="87" t="s">
        <v>40</v>
      </c>
      <c r="I29" s="87" t="s">
        <v>41</v>
      </c>
      <c r="J29" s="87" t="s">
        <v>42</v>
      </c>
      <c r="K29" s="87" t="s">
        <v>43</v>
      </c>
      <c r="L29" s="87">
        <v>1</v>
      </c>
      <c r="N29" s="87">
        <v>4</v>
      </c>
      <c r="O29" s="87">
        <v>0.36</v>
      </c>
      <c r="P29" s="87">
        <v>0.36</v>
      </c>
      <c r="Q29" s="88">
        <f t="shared" si="2"/>
        <v>0.36</v>
      </c>
      <c r="R29" s="87">
        <v>15.5</v>
      </c>
      <c r="S29" s="87">
        <v>95</v>
      </c>
      <c r="T29" s="89">
        <f>IF(H29="","",IF(OR(H29="GREEN",H29="GK"),IF(S29&gt;=$AX$2,VLOOKUP(S29,$AX$2:$AY$12,2,1),""),IF(S29&gt;=$AZ$2,VLOOKUP(S29,$AZ$2:$BA$12,2,1),"")))</f>
        <v>36</v>
      </c>
      <c r="U29" s="87">
        <v>399</v>
      </c>
      <c r="V29" s="89">
        <f t="shared" si="1"/>
        <v>16</v>
      </c>
      <c r="W29" s="87">
        <v>2</v>
      </c>
      <c r="X29" s="87" t="s">
        <v>44</v>
      </c>
      <c r="Y29" s="87" t="s">
        <v>46</v>
      </c>
      <c r="Z29" s="87" t="s">
        <v>45</v>
      </c>
      <c r="AA29" s="87" t="s">
        <v>54</v>
      </c>
      <c r="AB29" s="87" t="s">
        <v>48</v>
      </c>
      <c r="AP29" s="99" t="s">
        <v>150</v>
      </c>
      <c r="AR29" s="95" t="s">
        <v>149</v>
      </c>
      <c r="AV29" s="99"/>
    </row>
    <row r="30" spans="1:48" s="87" customFormat="1" ht="13.5" customHeight="1">
      <c r="A30" s="87" t="s">
        <v>86</v>
      </c>
      <c r="B30" s="87" t="s">
        <v>36</v>
      </c>
      <c r="C30" s="220">
        <v>2020</v>
      </c>
      <c r="D30" s="133" t="s">
        <v>284</v>
      </c>
      <c r="E30" s="87" t="s">
        <v>296</v>
      </c>
      <c r="F30" s="87" t="s">
        <v>297</v>
      </c>
      <c r="G30" s="87" t="s">
        <v>39</v>
      </c>
      <c r="H30" s="87" t="s">
        <v>40</v>
      </c>
      <c r="I30" s="87" t="s">
        <v>41</v>
      </c>
      <c r="J30" s="87" t="s">
        <v>42</v>
      </c>
      <c r="K30" s="87" t="s">
        <v>43</v>
      </c>
      <c r="L30" s="87">
        <v>2</v>
      </c>
      <c r="N30" s="87">
        <v>4</v>
      </c>
      <c r="O30" s="87">
        <v>0.34</v>
      </c>
      <c r="P30" s="87">
        <v>0.28999999999999998</v>
      </c>
      <c r="Q30" s="88">
        <f t="shared" si="2"/>
        <v>0.315</v>
      </c>
      <c r="R30" s="87">
        <v>15.6</v>
      </c>
      <c r="S30" s="87">
        <v>102</v>
      </c>
      <c r="T30" s="89">
        <f>IF(H30="","",IF(OR(H30="GREEN",H30="GK"),IF(S30&gt;=$AX$2,VLOOKUP(S30,$AX$2:$AY$12,2,1),""),IF(S30&gt;=$AZ$2,VLOOKUP(S30,$AZ$2:$BA$12,2,1),"")))</f>
        <v>33</v>
      </c>
      <c r="U30" s="87">
        <v>399</v>
      </c>
      <c r="V30" s="89">
        <f t="shared" si="1"/>
        <v>16</v>
      </c>
      <c r="W30" s="87">
        <v>2</v>
      </c>
      <c r="X30" s="87" t="s">
        <v>44</v>
      </c>
      <c r="Y30" s="87" t="s">
        <v>46</v>
      </c>
      <c r="Z30" s="87" t="s">
        <v>45</v>
      </c>
      <c r="AA30" s="87" t="s">
        <v>54</v>
      </c>
      <c r="AB30" s="87" t="s">
        <v>48</v>
      </c>
      <c r="AR30" s="100"/>
      <c r="AV30" s="99"/>
    </row>
    <row r="31" spans="1:48" s="87" customFormat="1" ht="13.5" customHeight="1">
      <c r="A31" s="87" t="s">
        <v>86</v>
      </c>
      <c r="B31" s="87" t="s">
        <v>36</v>
      </c>
      <c r="C31" s="220">
        <v>2020</v>
      </c>
      <c r="D31" s="133" t="s">
        <v>284</v>
      </c>
      <c r="E31" s="87" t="s">
        <v>296</v>
      </c>
      <c r="F31" s="87" t="s">
        <v>297</v>
      </c>
      <c r="G31" s="87" t="s">
        <v>39</v>
      </c>
      <c r="H31" s="87" t="s">
        <v>40</v>
      </c>
      <c r="I31" s="87" t="s">
        <v>41</v>
      </c>
      <c r="J31" s="87" t="s">
        <v>42</v>
      </c>
      <c r="K31" s="87" t="s">
        <v>43</v>
      </c>
      <c r="L31" s="87">
        <v>3</v>
      </c>
      <c r="N31" s="87">
        <v>4</v>
      </c>
      <c r="O31" s="87">
        <v>0.4</v>
      </c>
      <c r="P31" s="87">
        <v>0.35</v>
      </c>
      <c r="Q31" s="88">
        <f t="shared" si="2"/>
        <v>0.375</v>
      </c>
      <c r="R31" s="87">
        <v>14.9</v>
      </c>
      <c r="S31" s="87">
        <v>105</v>
      </c>
      <c r="T31" s="89">
        <f>IF(H31="","",IF(OR(H31="GREEN",H31="GK"),IF(S31&gt;=$AX$2,VLOOKUP(S31,$AX$2:$AY$12,2,1),""),IF(S31&gt;=$AZ$2,VLOOKUP(S31,$AZ$2:$BA$12,2,1),"")))</f>
        <v>33</v>
      </c>
      <c r="U31" s="87">
        <v>399</v>
      </c>
      <c r="V31" s="89">
        <f t="shared" si="1"/>
        <v>16</v>
      </c>
      <c r="W31" s="87">
        <v>2</v>
      </c>
      <c r="X31" s="87" t="s">
        <v>44</v>
      </c>
      <c r="Y31" s="87" t="s">
        <v>46</v>
      </c>
      <c r="Z31" s="87" t="s">
        <v>45</v>
      </c>
      <c r="AA31" s="87" t="s">
        <v>54</v>
      </c>
      <c r="AB31" s="87" t="s">
        <v>48</v>
      </c>
      <c r="AV31" s="99"/>
    </row>
    <row r="32" spans="1:48" s="87" customFormat="1" ht="13.5" customHeight="1">
      <c r="A32" s="87" t="s">
        <v>86</v>
      </c>
      <c r="B32" s="87" t="s">
        <v>36</v>
      </c>
      <c r="C32" s="220">
        <v>2020</v>
      </c>
      <c r="D32" s="133" t="s">
        <v>284</v>
      </c>
      <c r="E32" s="87" t="s">
        <v>296</v>
      </c>
      <c r="F32" s="87" t="s">
        <v>297</v>
      </c>
      <c r="G32" s="87" t="s">
        <v>39</v>
      </c>
      <c r="H32" s="87" t="s">
        <v>40</v>
      </c>
      <c r="I32" s="87" t="s">
        <v>41</v>
      </c>
      <c r="J32" s="87" t="s">
        <v>42</v>
      </c>
      <c r="K32" s="87" t="s">
        <v>43</v>
      </c>
      <c r="L32" s="87">
        <v>1</v>
      </c>
      <c r="N32" s="87">
        <v>2</v>
      </c>
      <c r="O32" s="87">
        <v>0.61</v>
      </c>
      <c r="P32" s="87">
        <v>0.63</v>
      </c>
      <c r="Q32" s="88">
        <f t="shared" si="2"/>
        <v>0.62</v>
      </c>
      <c r="R32" s="87">
        <v>14</v>
      </c>
      <c r="S32" s="87">
        <v>123</v>
      </c>
      <c r="T32" s="89">
        <f t="shared" si="0"/>
        <v>27</v>
      </c>
      <c r="U32" s="87">
        <v>299</v>
      </c>
      <c r="V32" s="89">
        <f t="shared" si="1"/>
        <v>16</v>
      </c>
      <c r="W32" s="87">
        <v>2</v>
      </c>
      <c r="X32" s="87" t="s">
        <v>44</v>
      </c>
      <c r="Y32" s="87" t="s">
        <v>46</v>
      </c>
      <c r="Z32" s="87" t="s">
        <v>45</v>
      </c>
      <c r="AA32" s="87" t="s">
        <v>54</v>
      </c>
      <c r="AB32" s="87" t="s">
        <v>48</v>
      </c>
      <c r="AV32" s="99"/>
    </row>
    <row r="33" spans="1:48" s="87" customFormat="1" ht="13.5" customHeight="1">
      <c r="A33" s="87" t="s">
        <v>86</v>
      </c>
      <c r="B33" s="87" t="s">
        <v>36</v>
      </c>
      <c r="C33" s="220">
        <v>2020</v>
      </c>
      <c r="D33" s="133" t="s">
        <v>284</v>
      </c>
      <c r="E33" s="87" t="s">
        <v>296</v>
      </c>
      <c r="F33" s="87" t="s">
        <v>297</v>
      </c>
      <c r="G33" s="87" t="s">
        <v>39</v>
      </c>
      <c r="H33" s="87" t="s">
        <v>40</v>
      </c>
      <c r="I33" s="87" t="s">
        <v>41</v>
      </c>
      <c r="J33" s="87" t="s">
        <v>42</v>
      </c>
      <c r="K33" s="87" t="s">
        <v>43</v>
      </c>
      <c r="L33" s="87">
        <v>2</v>
      </c>
      <c r="N33" s="87">
        <v>2</v>
      </c>
      <c r="O33" s="87">
        <v>0.42</v>
      </c>
      <c r="P33" s="87">
        <v>0.44</v>
      </c>
      <c r="Q33" s="88">
        <f t="shared" si="2"/>
        <v>0.43</v>
      </c>
      <c r="R33" s="87">
        <v>13.9</v>
      </c>
      <c r="S33" s="87">
        <v>128</v>
      </c>
      <c r="T33" s="89">
        <f>IF(H33="","",IF(OR(H33="GREEN",H33="GK"),IF(S33&gt;=$AX$2,VLOOKUP(S33,$AX$2:$AY$12,2,1),""),IF(S33&gt;=$AZ$2,VLOOKUP(S33,$AZ$2:$BA$12,2,1),"")))</f>
        <v>27</v>
      </c>
      <c r="U33" s="87">
        <v>299</v>
      </c>
      <c r="V33" s="89">
        <f t="shared" si="1"/>
        <v>16</v>
      </c>
      <c r="W33" s="87">
        <v>2</v>
      </c>
      <c r="X33" s="87" t="s">
        <v>44</v>
      </c>
      <c r="Y33" s="87" t="s">
        <v>46</v>
      </c>
      <c r="Z33" s="87" t="s">
        <v>45</v>
      </c>
      <c r="AA33" s="87" t="s">
        <v>54</v>
      </c>
      <c r="AB33" s="87" t="s">
        <v>48</v>
      </c>
      <c r="AV33" s="99"/>
    </row>
    <row r="34" spans="1:48" s="87" customFormat="1" ht="13.5" customHeight="1">
      <c r="A34" s="87" t="s">
        <v>86</v>
      </c>
      <c r="B34" s="87" t="s">
        <v>36</v>
      </c>
      <c r="C34" s="220">
        <v>2020</v>
      </c>
      <c r="D34" s="133" t="s">
        <v>284</v>
      </c>
      <c r="E34" s="87" t="s">
        <v>296</v>
      </c>
      <c r="F34" s="87" t="s">
        <v>297</v>
      </c>
      <c r="G34" s="87" t="s">
        <v>39</v>
      </c>
      <c r="H34" s="87" t="s">
        <v>40</v>
      </c>
      <c r="I34" s="87" t="s">
        <v>41</v>
      </c>
      <c r="J34" s="87" t="s">
        <v>42</v>
      </c>
      <c r="K34" s="87" t="s">
        <v>43</v>
      </c>
      <c r="L34" s="87">
        <v>3</v>
      </c>
      <c r="N34" s="87">
        <v>2</v>
      </c>
      <c r="O34" s="87">
        <v>0.68</v>
      </c>
      <c r="P34" s="87">
        <v>0.73</v>
      </c>
      <c r="Q34" s="88">
        <f t="shared" si="2"/>
        <v>0.70500000000000007</v>
      </c>
      <c r="R34" s="87">
        <v>13.3</v>
      </c>
      <c r="S34" s="87">
        <v>122</v>
      </c>
      <c r="T34" s="89">
        <f>IF(H34="","",IF(OR(H34="GREEN",H34="GK"),IF(S34&gt;=$AX$2,VLOOKUP(S34,$AX$2:$AY$12,2,1),""),IF(S34&gt;=$AZ$2,VLOOKUP(S34,$AZ$2:$BA$12,2,1),"")))</f>
        <v>27</v>
      </c>
      <c r="U34" s="87">
        <v>299</v>
      </c>
      <c r="V34" s="89">
        <f t="shared" si="1"/>
        <v>16</v>
      </c>
      <c r="W34" s="87">
        <v>2</v>
      </c>
      <c r="X34" s="87" t="s">
        <v>44</v>
      </c>
      <c r="Y34" s="87" t="s">
        <v>46</v>
      </c>
      <c r="Z34" s="87" t="s">
        <v>45</v>
      </c>
      <c r="AA34" s="87" t="s">
        <v>54</v>
      </c>
      <c r="AB34" s="87" t="s">
        <v>48</v>
      </c>
      <c r="AV34" s="99"/>
    </row>
    <row r="35" spans="1:48" s="87" customFormat="1" ht="13.5" customHeight="1">
      <c r="A35" s="87" t="s">
        <v>86</v>
      </c>
      <c r="B35" s="87" t="s">
        <v>36</v>
      </c>
      <c r="C35" s="220">
        <v>2020</v>
      </c>
      <c r="D35" s="133" t="s">
        <v>284</v>
      </c>
      <c r="E35" s="87" t="s">
        <v>311</v>
      </c>
      <c r="F35" s="87" t="s">
        <v>297</v>
      </c>
      <c r="G35" s="87" t="s">
        <v>39</v>
      </c>
      <c r="H35" s="87" t="s">
        <v>40</v>
      </c>
      <c r="I35" s="87" t="s">
        <v>41</v>
      </c>
      <c r="J35" s="87" t="s">
        <v>42</v>
      </c>
      <c r="K35" s="87" t="s">
        <v>43</v>
      </c>
      <c r="L35" s="87">
        <v>1</v>
      </c>
      <c r="N35" s="87">
        <v>4</v>
      </c>
      <c r="O35" s="87">
        <v>0.23</v>
      </c>
      <c r="P35" s="87">
        <v>0.23</v>
      </c>
      <c r="Q35" s="88">
        <f t="shared" si="2"/>
        <v>0.23</v>
      </c>
      <c r="R35" s="87">
        <v>16.2</v>
      </c>
      <c r="S35" s="87">
        <v>100</v>
      </c>
      <c r="T35" s="89">
        <f t="shared" si="0"/>
        <v>33</v>
      </c>
      <c r="U35" s="87">
        <v>398</v>
      </c>
      <c r="V35" s="89">
        <f t="shared" si="1"/>
        <v>16</v>
      </c>
      <c r="W35" s="87">
        <v>3</v>
      </c>
      <c r="X35" s="87" t="s">
        <v>63</v>
      </c>
      <c r="Y35" s="87" t="s">
        <v>46</v>
      </c>
      <c r="Z35" s="87" t="s">
        <v>54</v>
      </c>
      <c r="AA35" s="87" t="s">
        <v>45</v>
      </c>
      <c r="AB35" s="87" t="s">
        <v>48</v>
      </c>
      <c r="AV35" s="99"/>
    </row>
    <row r="36" spans="1:48" s="87" customFormat="1" ht="13.5" customHeight="1">
      <c r="A36" s="87" t="s">
        <v>86</v>
      </c>
      <c r="B36" s="87" t="s">
        <v>36</v>
      </c>
      <c r="C36" s="220">
        <v>2020</v>
      </c>
      <c r="D36" s="133" t="s">
        <v>284</v>
      </c>
      <c r="E36" s="87" t="s">
        <v>311</v>
      </c>
      <c r="F36" s="87" t="s">
        <v>297</v>
      </c>
      <c r="G36" s="87" t="s">
        <v>39</v>
      </c>
      <c r="H36" s="87" t="s">
        <v>40</v>
      </c>
      <c r="I36" s="87" t="s">
        <v>41</v>
      </c>
      <c r="J36" s="87" t="s">
        <v>42</v>
      </c>
      <c r="K36" s="87" t="s">
        <v>43</v>
      </c>
      <c r="L36" s="87">
        <v>2</v>
      </c>
      <c r="N36" s="87">
        <v>4</v>
      </c>
      <c r="O36" s="87">
        <v>0.25</v>
      </c>
      <c r="P36" s="87">
        <v>0.27</v>
      </c>
      <c r="Q36" s="88">
        <f t="shared" si="2"/>
        <v>0.26</v>
      </c>
      <c r="R36" s="87">
        <v>14</v>
      </c>
      <c r="S36" s="87">
        <v>102</v>
      </c>
      <c r="T36" s="89">
        <f t="shared" si="0"/>
        <v>33</v>
      </c>
      <c r="U36" s="87">
        <v>398</v>
      </c>
      <c r="V36" s="89">
        <f t="shared" si="1"/>
        <v>16</v>
      </c>
      <c r="W36" s="87">
        <v>3</v>
      </c>
      <c r="X36" s="87" t="s">
        <v>63</v>
      </c>
      <c r="Y36" s="87" t="s">
        <v>46</v>
      </c>
      <c r="Z36" s="87" t="s">
        <v>54</v>
      </c>
      <c r="AA36" s="87" t="s">
        <v>45</v>
      </c>
      <c r="AB36" s="87" t="s">
        <v>48</v>
      </c>
      <c r="AV36" s="99"/>
    </row>
    <row r="37" spans="1:48" s="87" customFormat="1" ht="13.5" customHeight="1">
      <c r="A37" s="87" t="s">
        <v>86</v>
      </c>
      <c r="B37" s="87" t="s">
        <v>36</v>
      </c>
      <c r="C37" s="220">
        <v>2020</v>
      </c>
      <c r="D37" s="133" t="s">
        <v>284</v>
      </c>
      <c r="E37" s="87" t="s">
        <v>311</v>
      </c>
      <c r="F37" s="87" t="s">
        <v>297</v>
      </c>
      <c r="G37" s="87" t="s">
        <v>39</v>
      </c>
      <c r="H37" s="87" t="s">
        <v>40</v>
      </c>
      <c r="I37" s="87" t="s">
        <v>41</v>
      </c>
      <c r="J37" s="87" t="s">
        <v>42</v>
      </c>
      <c r="K37" s="87" t="s">
        <v>43</v>
      </c>
      <c r="L37" s="87">
        <v>3</v>
      </c>
      <c r="N37" s="87">
        <v>4</v>
      </c>
      <c r="O37" s="87">
        <v>0.36</v>
      </c>
      <c r="P37" s="87">
        <v>0.36</v>
      </c>
      <c r="Q37" s="88">
        <f t="shared" si="2"/>
        <v>0.36</v>
      </c>
      <c r="R37" s="87">
        <v>16.100000000000001</v>
      </c>
      <c r="S37" s="87">
        <v>95</v>
      </c>
      <c r="T37" s="89">
        <f t="shared" si="0"/>
        <v>36</v>
      </c>
      <c r="U37" s="87">
        <v>398</v>
      </c>
      <c r="V37" s="89">
        <f t="shared" si="1"/>
        <v>16</v>
      </c>
      <c r="W37" s="87">
        <v>3</v>
      </c>
      <c r="X37" s="87" t="s">
        <v>63</v>
      </c>
      <c r="Y37" s="87" t="s">
        <v>46</v>
      </c>
      <c r="Z37" s="87" t="s">
        <v>54</v>
      </c>
      <c r="AA37" s="87" t="s">
        <v>45</v>
      </c>
      <c r="AB37" s="87" t="s">
        <v>48</v>
      </c>
      <c r="AV37" s="99"/>
    </row>
    <row r="38" spans="1:48" s="87" customFormat="1" ht="13.5" customHeight="1">
      <c r="A38" s="87" t="s">
        <v>86</v>
      </c>
      <c r="B38" s="87" t="s">
        <v>36</v>
      </c>
      <c r="C38" s="220">
        <v>2020</v>
      </c>
      <c r="D38" s="133" t="s">
        <v>284</v>
      </c>
      <c r="E38" s="87" t="s">
        <v>311</v>
      </c>
      <c r="F38" s="87" t="s">
        <v>297</v>
      </c>
      <c r="G38" s="87" t="s">
        <v>39</v>
      </c>
      <c r="H38" s="87" t="s">
        <v>59</v>
      </c>
      <c r="I38" s="87" t="s">
        <v>41</v>
      </c>
      <c r="J38" s="87" t="s">
        <v>121</v>
      </c>
      <c r="K38" s="87" t="s">
        <v>305</v>
      </c>
      <c r="L38" s="87">
        <v>1</v>
      </c>
      <c r="N38" s="87">
        <v>4</v>
      </c>
      <c r="O38" s="87">
        <v>0.48</v>
      </c>
      <c r="P38" s="87">
        <v>0.52</v>
      </c>
      <c r="Q38" s="88">
        <f t="shared" si="2"/>
        <v>0.5</v>
      </c>
      <c r="R38" s="87">
        <v>14.1</v>
      </c>
      <c r="S38" s="87">
        <v>90</v>
      </c>
      <c r="T38" s="89">
        <f>IF(H38="","",IF(OR(H38="GREEN",H38="GK"),IF(S38&gt;=$AX$2,VLOOKUP(S38,$AX$2:$AY$12,2,1),""),IF(S38&gt;=$AZ$2,VLOOKUP(S38,$AZ$2:$BA$12,2,1),"")))</f>
        <v>36</v>
      </c>
      <c r="U38" s="87">
        <v>498</v>
      </c>
      <c r="V38" s="89">
        <f t="shared" si="1"/>
        <v>16</v>
      </c>
      <c r="W38" s="87">
        <v>1</v>
      </c>
      <c r="X38" s="87" t="s">
        <v>63</v>
      </c>
      <c r="Y38" s="87" t="s">
        <v>46</v>
      </c>
      <c r="Z38" s="87" t="s">
        <v>54</v>
      </c>
      <c r="AA38" s="87" t="s">
        <v>45</v>
      </c>
      <c r="AB38" s="87" t="s">
        <v>48</v>
      </c>
      <c r="AV38" s="100"/>
    </row>
    <row r="39" spans="1:48" s="87" customFormat="1" ht="13.5" customHeight="1">
      <c r="A39" s="87" t="s">
        <v>86</v>
      </c>
      <c r="B39" s="87" t="s">
        <v>36</v>
      </c>
      <c r="C39" s="220">
        <v>2020</v>
      </c>
      <c r="D39" s="133" t="s">
        <v>284</v>
      </c>
      <c r="E39" s="87" t="s">
        <v>311</v>
      </c>
      <c r="F39" s="87" t="s">
        <v>297</v>
      </c>
      <c r="G39" s="87" t="s">
        <v>39</v>
      </c>
      <c r="H39" s="87" t="s">
        <v>59</v>
      </c>
      <c r="I39" s="87" t="s">
        <v>41</v>
      </c>
      <c r="J39" s="87" t="s">
        <v>121</v>
      </c>
      <c r="K39" s="87" t="s">
        <v>305</v>
      </c>
      <c r="L39" s="87">
        <v>2</v>
      </c>
      <c r="N39" s="87">
        <v>4</v>
      </c>
      <c r="O39" s="87">
        <v>0.3</v>
      </c>
      <c r="P39" s="87">
        <v>0.38</v>
      </c>
      <c r="Q39" s="88">
        <f t="shared" si="2"/>
        <v>0.33999999999999997</v>
      </c>
      <c r="R39" s="87">
        <v>11.8</v>
      </c>
      <c r="S39" s="87">
        <v>91</v>
      </c>
      <c r="T39" s="89">
        <f t="shared" si="0"/>
        <v>36</v>
      </c>
      <c r="U39" s="87">
        <v>498</v>
      </c>
      <c r="V39" s="89">
        <f t="shared" si="1"/>
        <v>16</v>
      </c>
      <c r="W39" s="87">
        <v>1</v>
      </c>
      <c r="X39" s="87" t="s">
        <v>63</v>
      </c>
      <c r="Y39" s="87" t="s">
        <v>46</v>
      </c>
      <c r="Z39" s="87" t="s">
        <v>54</v>
      </c>
      <c r="AA39" s="87" t="s">
        <v>45</v>
      </c>
      <c r="AB39" s="87" t="s">
        <v>48</v>
      </c>
    </row>
    <row r="40" spans="1:48" s="87" customFormat="1" ht="13.5" customHeight="1">
      <c r="A40" s="87" t="s">
        <v>86</v>
      </c>
      <c r="B40" s="87" t="s">
        <v>36</v>
      </c>
      <c r="C40" s="220">
        <v>2020</v>
      </c>
      <c r="D40" s="133" t="s">
        <v>284</v>
      </c>
      <c r="E40" s="87" t="s">
        <v>311</v>
      </c>
      <c r="F40" s="87" t="s">
        <v>297</v>
      </c>
      <c r="G40" s="87" t="s">
        <v>39</v>
      </c>
      <c r="H40" s="87" t="s">
        <v>59</v>
      </c>
      <c r="I40" s="87" t="s">
        <v>41</v>
      </c>
      <c r="J40" s="87" t="s">
        <v>121</v>
      </c>
      <c r="K40" s="87" t="s">
        <v>305</v>
      </c>
      <c r="L40" s="87">
        <v>3</v>
      </c>
      <c r="N40" s="87">
        <v>4</v>
      </c>
      <c r="O40" s="87">
        <v>0.28000000000000003</v>
      </c>
      <c r="P40" s="87">
        <v>0.28999999999999998</v>
      </c>
      <c r="Q40" s="88">
        <f t="shared" si="2"/>
        <v>0.28500000000000003</v>
      </c>
      <c r="R40" s="87">
        <v>14.1</v>
      </c>
      <c r="S40" s="87">
        <v>74</v>
      </c>
      <c r="T40" s="89">
        <f t="shared" si="0"/>
        <v>42</v>
      </c>
      <c r="U40" s="87">
        <v>498</v>
      </c>
      <c r="V40" s="89">
        <f t="shared" si="1"/>
        <v>16</v>
      </c>
      <c r="W40" s="87">
        <v>1</v>
      </c>
      <c r="X40" s="87" t="s">
        <v>63</v>
      </c>
      <c r="Y40" s="87" t="s">
        <v>46</v>
      </c>
      <c r="Z40" s="87" t="s">
        <v>54</v>
      </c>
      <c r="AA40" s="87" t="s">
        <v>45</v>
      </c>
      <c r="AB40" s="87" t="s">
        <v>48</v>
      </c>
    </row>
    <row r="41" spans="1:48" s="87" customFormat="1" ht="13.5" customHeight="1">
      <c r="A41" s="87" t="s">
        <v>86</v>
      </c>
      <c r="B41" s="87" t="s">
        <v>36</v>
      </c>
      <c r="C41" s="220">
        <v>2020</v>
      </c>
      <c r="D41" s="133" t="s">
        <v>284</v>
      </c>
      <c r="E41" s="87" t="s">
        <v>311</v>
      </c>
      <c r="F41" s="87" t="s">
        <v>297</v>
      </c>
      <c r="G41" s="87" t="s">
        <v>39</v>
      </c>
      <c r="H41" s="87" t="s">
        <v>51</v>
      </c>
      <c r="I41" s="87" t="s">
        <v>41</v>
      </c>
      <c r="J41" s="87" t="s">
        <v>121</v>
      </c>
      <c r="K41" s="87" t="s">
        <v>294</v>
      </c>
      <c r="L41" s="87">
        <v>1</v>
      </c>
      <c r="N41" s="87">
        <v>2</v>
      </c>
      <c r="O41" s="87">
        <v>0.8</v>
      </c>
      <c r="P41" s="87">
        <v>0.77</v>
      </c>
      <c r="Q41" s="88">
        <f t="shared" si="2"/>
        <v>0.78500000000000003</v>
      </c>
      <c r="R41" s="87">
        <v>11.5</v>
      </c>
      <c r="S41" s="87">
        <v>126</v>
      </c>
      <c r="T41" s="89">
        <f t="shared" si="0"/>
        <v>27</v>
      </c>
      <c r="U41" s="87">
        <v>298</v>
      </c>
      <c r="V41" s="89">
        <f t="shared" si="1"/>
        <v>16</v>
      </c>
      <c r="W41" s="87">
        <v>2</v>
      </c>
      <c r="X41" s="87" t="s">
        <v>63</v>
      </c>
      <c r="Y41" s="87" t="s">
        <v>46</v>
      </c>
      <c r="Z41" s="87" t="s">
        <v>54</v>
      </c>
      <c r="AA41" s="87" t="s">
        <v>45</v>
      </c>
      <c r="AB41" s="87" t="s">
        <v>48</v>
      </c>
    </row>
    <row r="42" spans="1:48" s="87" customFormat="1" ht="13.5" customHeight="1">
      <c r="A42" s="87" t="s">
        <v>86</v>
      </c>
      <c r="B42" s="87" t="s">
        <v>36</v>
      </c>
      <c r="C42" s="220">
        <v>2020</v>
      </c>
      <c r="D42" s="133" t="s">
        <v>284</v>
      </c>
      <c r="E42" s="87" t="s">
        <v>311</v>
      </c>
      <c r="F42" s="87" t="s">
        <v>297</v>
      </c>
      <c r="G42" s="87" t="s">
        <v>39</v>
      </c>
      <c r="H42" s="87" t="s">
        <v>51</v>
      </c>
      <c r="I42" s="87" t="s">
        <v>41</v>
      </c>
      <c r="J42" s="87" t="s">
        <v>121</v>
      </c>
      <c r="K42" s="87" t="s">
        <v>294</v>
      </c>
      <c r="L42" s="87">
        <v>2</v>
      </c>
      <c r="N42" s="87">
        <v>2</v>
      </c>
      <c r="O42" s="87">
        <v>0.73</v>
      </c>
      <c r="P42" s="87">
        <v>0.74</v>
      </c>
      <c r="Q42" s="88">
        <f t="shared" si="2"/>
        <v>0.73499999999999999</v>
      </c>
      <c r="R42" s="87">
        <v>11.9</v>
      </c>
      <c r="S42" s="87">
        <v>122</v>
      </c>
      <c r="T42" s="89">
        <f>IF(H42="","",IF(OR(H42="GREEN",H42="GK"),IF(S42&gt;=$AX$2,VLOOKUP(S42,$AX$2:$AY$12,2,1),""),IF(S42&gt;=$AZ$2,VLOOKUP(S42,$AZ$2:$BA$12,2,1),"")))</f>
        <v>27</v>
      </c>
      <c r="U42" s="87">
        <v>298</v>
      </c>
      <c r="V42" s="89">
        <f t="shared" si="1"/>
        <v>16</v>
      </c>
      <c r="W42" s="87">
        <v>2</v>
      </c>
      <c r="X42" s="87" t="s">
        <v>63</v>
      </c>
      <c r="Y42" s="87" t="s">
        <v>46</v>
      </c>
      <c r="Z42" s="87" t="s">
        <v>54</v>
      </c>
      <c r="AA42" s="87" t="s">
        <v>45</v>
      </c>
      <c r="AB42" s="87" t="s">
        <v>48</v>
      </c>
    </row>
    <row r="43" spans="1:48" s="87" customFormat="1" ht="13.5" customHeight="1">
      <c r="A43" s="87" t="s">
        <v>86</v>
      </c>
      <c r="B43" s="87" t="s">
        <v>36</v>
      </c>
      <c r="C43" s="220">
        <v>2020</v>
      </c>
      <c r="D43" s="133" t="s">
        <v>284</v>
      </c>
      <c r="E43" s="87" t="s">
        <v>311</v>
      </c>
      <c r="F43" s="87" t="s">
        <v>297</v>
      </c>
      <c r="G43" s="87" t="s">
        <v>39</v>
      </c>
      <c r="H43" s="87" t="s">
        <v>51</v>
      </c>
      <c r="I43" s="87" t="s">
        <v>41</v>
      </c>
      <c r="J43" s="87" t="s">
        <v>121</v>
      </c>
      <c r="K43" s="87" t="s">
        <v>294</v>
      </c>
      <c r="L43" s="87">
        <v>3</v>
      </c>
      <c r="N43" s="87">
        <v>2</v>
      </c>
      <c r="O43" s="87">
        <v>0.78</v>
      </c>
      <c r="P43" s="87">
        <v>0.91</v>
      </c>
      <c r="Q43" s="88">
        <f t="shared" si="2"/>
        <v>0.84499999999999997</v>
      </c>
      <c r="R43" s="87">
        <v>11.2</v>
      </c>
      <c r="S43" s="87">
        <v>124</v>
      </c>
      <c r="T43" s="89">
        <f t="shared" si="0"/>
        <v>27</v>
      </c>
      <c r="U43" s="87">
        <v>298</v>
      </c>
      <c r="V43" s="89">
        <f t="shared" si="1"/>
        <v>16</v>
      </c>
      <c r="W43" s="87">
        <v>2</v>
      </c>
      <c r="X43" s="87" t="s">
        <v>63</v>
      </c>
      <c r="Y43" s="87" t="s">
        <v>46</v>
      </c>
      <c r="Z43" s="87" t="s">
        <v>54</v>
      </c>
      <c r="AA43" s="87" t="s">
        <v>45</v>
      </c>
      <c r="AB43" s="87" t="s">
        <v>48</v>
      </c>
    </row>
    <row r="44" spans="1:48" s="87" customFormat="1" ht="13.5" customHeight="1">
      <c r="A44" s="87" t="s">
        <v>86</v>
      </c>
      <c r="B44" s="87" t="s">
        <v>36</v>
      </c>
      <c r="C44" s="220">
        <v>2020</v>
      </c>
      <c r="D44" s="133" t="s">
        <v>284</v>
      </c>
      <c r="E44" s="87" t="s">
        <v>307</v>
      </c>
      <c r="F44" s="87" t="s">
        <v>308</v>
      </c>
      <c r="G44" s="87" t="s">
        <v>39</v>
      </c>
      <c r="H44" s="87" t="s">
        <v>40</v>
      </c>
      <c r="I44" s="87" t="s">
        <v>41</v>
      </c>
      <c r="J44" s="87" t="s">
        <v>42</v>
      </c>
      <c r="K44" s="87" t="s">
        <v>43</v>
      </c>
      <c r="L44" s="87">
        <v>1</v>
      </c>
      <c r="N44" s="87">
        <v>4</v>
      </c>
      <c r="O44" s="87">
        <v>0.22</v>
      </c>
      <c r="P44" s="87">
        <v>0.22</v>
      </c>
      <c r="Q44" s="88">
        <f t="shared" si="2"/>
        <v>0.22</v>
      </c>
      <c r="R44" s="87">
        <v>15.7</v>
      </c>
      <c r="S44" s="87">
        <v>100</v>
      </c>
      <c r="T44" s="89">
        <f t="shared" si="0"/>
        <v>33</v>
      </c>
      <c r="U44" s="87">
        <v>358</v>
      </c>
      <c r="V44" s="89">
        <f t="shared" si="1"/>
        <v>16</v>
      </c>
      <c r="W44" s="87">
        <v>2</v>
      </c>
      <c r="X44" s="87" t="s">
        <v>63</v>
      </c>
      <c r="Y44" s="87" t="s">
        <v>54</v>
      </c>
      <c r="Z44" s="87" t="s">
        <v>45</v>
      </c>
      <c r="AA44" s="87" t="s">
        <v>161</v>
      </c>
      <c r="AB44" s="87" t="s">
        <v>48</v>
      </c>
    </row>
    <row r="45" spans="1:48" s="87" customFormat="1" ht="13.5" customHeight="1">
      <c r="A45" s="87" t="s">
        <v>86</v>
      </c>
      <c r="B45" s="87" t="s">
        <v>36</v>
      </c>
      <c r="C45" s="220">
        <v>2020</v>
      </c>
      <c r="D45" s="133" t="s">
        <v>284</v>
      </c>
      <c r="E45" s="87" t="s">
        <v>307</v>
      </c>
      <c r="F45" s="87" t="s">
        <v>308</v>
      </c>
      <c r="G45" s="87" t="s">
        <v>39</v>
      </c>
      <c r="H45" s="87" t="s">
        <v>40</v>
      </c>
      <c r="I45" s="87" t="s">
        <v>41</v>
      </c>
      <c r="J45" s="87" t="s">
        <v>42</v>
      </c>
      <c r="K45" s="87" t="s">
        <v>43</v>
      </c>
      <c r="L45" s="87">
        <v>2</v>
      </c>
      <c r="N45" s="87">
        <v>4</v>
      </c>
      <c r="O45" s="87">
        <v>0.34</v>
      </c>
      <c r="P45" s="87">
        <v>0.34</v>
      </c>
      <c r="Q45" s="88">
        <f t="shared" si="2"/>
        <v>0.34</v>
      </c>
      <c r="R45" s="87">
        <v>15.1</v>
      </c>
      <c r="S45" s="87">
        <v>103</v>
      </c>
      <c r="T45" s="89">
        <f>IF(H45="","",IF(OR(H45="GREEN",H45="GK"),IF(S45&gt;=$AX$2,VLOOKUP(S45,$AX$2:$AY$12,2,1),""),IF(S45&gt;=$AZ$2,VLOOKUP(S45,$AZ$2:$BA$12,2,1),"")))</f>
        <v>33</v>
      </c>
      <c r="U45" s="87">
        <v>358</v>
      </c>
      <c r="V45" s="89">
        <f t="shared" si="1"/>
        <v>16</v>
      </c>
      <c r="W45" s="87">
        <v>2</v>
      </c>
      <c r="X45" s="87" t="s">
        <v>63</v>
      </c>
      <c r="Y45" s="87" t="s">
        <v>54</v>
      </c>
      <c r="Z45" s="87" t="s">
        <v>45</v>
      </c>
      <c r="AA45" s="87" t="s">
        <v>161</v>
      </c>
      <c r="AB45" s="87" t="s">
        <v>48</v>
      </c>
    </row>
    <row r="46" spans="1:48" s="87" customFormat="1" ht="13.5" customHeight="1">
      <c r="A46" s="87" t="s">
        <v>86</v>
      </c>
      <c r="B46" s="87" t="s">
        <v>36</v>
      </c>
      <c r="C46" s="220">
        <v>2020</v>
      </c>
      <c r="D46" s="133" t="s">
        <v>284</v>
      </c>
      <c r="E46" s="87" t="s">
        <v>307</v>
      </c>
      <c r="F46" s="87" t="s">
        <v>308</v>
      </c>
      <c r="G46" s="87" t="s">
        <v>39</v>
      </c>
      <c r="H46" s="87" t="s">
        <v>40</v>
      </c>
      <c r="I46" s="87" t="s">
        <v>41</v>
      </c>
      <c r="J46" s="87" t="s">
        <v>42</v>
      </c>
      <c r="K46" s="87" t="s">
        <v>43</v>
      </c>
      <c r="L46" s="87">
        <v>3</v>
      </c>
      <c r="N46" s="87">
        <v>4</v>
      </c>
      <c r="O46" s="87">
        <v>0.32</v>
      </c>
      <c r="P46" s="87">
        <v>0.39</v>
      </c>
      <c r="Q46" s="88">
        <f t="shared" si="2"/>
        <v>0.35499999999999998</v>
      </c>
      <c r="R46" s="87">
        <v>14.9</v>
      </c>
      <c r="S46" s="87">
        <v>106</v>
      </c>
      <c r="T46" s="89">
        <f>IF(H46="","",IF(OR(H46="GREEN",H46="GK"),IF(S46&gt;=$AX$2,VLOOKUP(S46,$AX$2:$AY$12,2,1),""),IF(S46&gt;=$AZ$2,VLOOKUP(S46,$AZ$2:$BA$12,2,1),"")))</f>
        <v>33</v>
      </c>
      <c r="U46" s="87">
        <v>358</v>
      </c>
      <c r="V46" s="89">
        <f t="shared" si="1"/>
        <v>16</v>
      </c>
      <c r="W46" s="87">
        <v>2</v>
      </c>
      <c r="X46" s="87" t="s">
        <v>63</v>
      </c>
      <c r="Y46" s="87" t="s">
        <v>54</v>
      </c>
      <c r="Z46" s="87" t="s">
        <v>45</v>
      </c>
      <c r="AA46" s="87" t="s">
        <v>161</v>
      </c>
      <c r="AB46" s="87" t="s">
        <v>48</v>
      </c>
    </row>
    <row r="47" spans="1:48" s="87" customFormat="1" ht="13.5" customHeight="1">
      <c r="A47" s="87" t="s">
        <v>86</v>
      </c>
      <c r="B47" s="87" t="s">
        <v>36</v>
      </c>
      <c r="C47" s="220">
        <v>2020</v>
      </c>
      <c r="D47" s="133" t="s">
        <v>284</v>
      </c>
      <c r="E47" s="87" t="s">
        <v>307</v>
      </c>
      <c r="F47" s="87" t="s">
        <v>308</v>
      </c>
      <c r="G47" s="87" t="s">
        <v>39</v>
      </c>
      <c r="H47" s="87" t="s">
        <v>40</v>
      </c>
      <c r="I47" s="87" t="s">
        <v>153</v>
      </c>
      <c r="J47" s="87" t="s">
        <v>42</v>
      </c>
      <c r="K47" s="87" t="s">
        <v>43</v>
      </c>
      <c r="L47" s="87">
        <v>1</v>
      </c>
      <c r="N47" s="87">
        <v>4</v>
      </c>
      <c r="O47" s="87">
        <v>0.32</v>
      </c>
      <c r="P47" s="87">
        <v>0.31</v>
      </c>
      <c r="Q47" s="88">
        <f t="shared" si="2"/>
        <v>0.315</v>
      </c>
      <c r="R47" s="87">
        <v>15.6</v>
      </c>
      <c r="S47" s="87">
        <v>91</v>
      </c>
      <c r="T47" s="89">
        <f t="shared" si="0"/>
        <v>36</v>
      </c>
      <c r="U47" s="87">
        <v>398</v>
      </c>
      <c r="V47" s="89">
        <f t="shared" si="1"/>
        <v>16</v>
      </c>
      <c r="W47" s="87">
        <v>1</v>
      </c>
      <c r="X47" s="87" t="s">
        <v>63</v>
      </c>
      <c r="Y47" s="87" t="s">
        <v>54</v>
      </c>
      <c r="Z47" s="87" t="s">
        <v>45</v>
      </c>
      <c r="AA47" s="87" t="s">
        <v>161</v>
      </c>
      <c r="AB47" s="87" t="s">
        <v>48</v>
      </c>
    </row>
    <row r="48" spans="1:48" s="87" customFormat="1" ht="13.5" customHeight="1">
      <c r="A48" s="87" t="s">
        <v>86</v>
      </c>
      <c r="B48" s="87" t="s">
        <v>36</v>
      </c>
      <c r="C48" s="220">
        <v>2020</v>
      </c>
      <c r="D48" s="133" t="s">
        <v>284</v>
      </c>
      <c r="E48" s="87" t="s">
        <v>307</v>
      </c>
      <c r="F48" s="87" t="s">
        <v>308</v>
      </c>
      <c r="G48" s="87" t="s">
        <v>39</v>
      </c>
      <c r="H48" s="87" t="s">
        <v>40</v>
      </c>
      <c r="I48" s="87" t="s">
        <v>153</v>
      </c>
      <c r="J48" s="87" t="s">
        <v>42</v>
      </c>
      <c r="K48" s="87" t="s">
        <v>43</v>
      </c>
      <c r="L48" s="87">
        <v>2</v>
      </c>
      <c r="N48" s="87">
        <v>4</v>
      </c>
      <c r="O48" s="87">
        <v>0.3</v>
      </c>
      <c r="P48" s="87">
        <v>0.33</v>
      </c>
      <c r="Q48" s="88">
        <f t="shared" si="2"/>
        <v>0.315</v>
      </c>
      <c r="R48" s="87">
        <v>15</v>
      </c>
      <c r="S48" s="87">
        <v>89</v>
      </c>
      <c r="T48" s="89">
        <f t="shared" si="0"/>
        <v>36</v>
      </c>
      <c r="U48" s="87">
        <v>398</v>
      </c>
      <c r="V48" s="89">
        <f t="shared" si="1"/>
        <v>16</v>
      </c>
      <c r="W48" s="87">
        <v>1</v>
      </c>
      <c r="X48" s="87" t="s">
        <v>63</v>
      </c>
      <c r="Y48" s="87" t="s">
        <v>54</v>
      </c>
      <c r="Z48" s="87" t="s">
        <v>45</v>
      </c>
      <c r="AA48" s="87" t="s">
        <v>161</v>
      </c>
      <c r="AB48" s="87" t="s">
        <v>48</v>
      </c>
    </row>
    <row r="49" spans="1:28" s="87" customFormat="1" ht="13.5" customHeight="1">
      <c r="A49" s="87" t="s">
        <v>86</v>
      </c>
      <c r="B49" s="87" t="s">
        <v>36</v>
      </c>
      <c r="C49" s="220">
        <v>2020</v>
      </c>
      <c r="D49" s="133" t="s">
        <v>284</v>
      </c>
      <c r="E49" s="87" t="s">
        <v>307</v>
      </c>
      <c r="F49" s="87" t="s">
        <v>308</v>
      </c>
      <c r="G49" s="87" t="s">
        <v>39</v>
      </c>
      <c r="H49" s="87" t="s">
        <v>40</v>
      </c>
      <c r="I49" s="87" t="s">
        <v>153</v>
      </c>
      <c r="J49" s="87" t="s">
        <v>42</v>
      </c>
      <c r="K49" s="87" t="s">
        <v>43</v>
      </c>
      <c r="L49" s="87">
        <v>3</v>
      </c>
      <c r="N49" s="87">
        <v>4</v>
      </c>
      <c r="O49" s="87">
        <v>0.27</v>
      </c>
      <c r="P49" s="87">
        <v>0.28999999999999998</v>
      </c>
      <c r="Q49" s="88">
        <f t="shared" si="2"/>
        <v>0.28000000000000003</v>
      </c>
      <c r="R49" s="87">
        <v>15.8</v>
      </c>
      <c r="S49" s="87">
        <v>90</v>
      </c>
      <c r="T49" s="89">
        <f t="shared" si="0"/>
        <v>36</v>
      </c>
      <c r="U49" s="87">
        <v>398</v>
      </c>
      <c r="V49" s="89">
        <f t="shared" si="1"/>
        <v>16</v>
      </c>
      <c r="W49" s="87">
        <v>1</v>
      </c>
      <c r="X49" s="87" t="s">
        <v>63</v>
      </c>
      <c r="Y49" s="87" t="s">
        <v>54</v>
      </c>
      <c r="Z49" s="87" t="s">
        <v>45</v>
      </c>
      <c r="AA49" s="87" t="s">
        <v>161</v>
      </c>
      <c r="AB49" s="87" t="s">
        <v>48</v>
      </c>
    </row>
    <row r="50" spans="1:28" s="87" customFormat="1" ht="13.5" customHeight="1">
      <c r="A50" s="87" t="s">
        <v>86</v>
      </c>
      <c r="B50" s="87" t="s">
        <v>36</v>
      </c>
      <c r="C50" s="220">
        <v>2020</v>
      </c>
      <c r="D50" s="133" t="s">
        <v>284</v>
      </c>
      <c r="E50" s="87" t="s">
        <v>307</v>
      </c>
      <c r="F50" s="87" t="s">
        <v>308</v>
      </c>
      <c r="G50" s="87" t="s">
        <v>39</v>
      </c>
      <c r="H50" s="87" t="s">
        <v>51</v>
      </c>
      <c r="I50" s="87" t="s">
        <v>41</v>
      </c>
      <c r="J50" s="87" t="s">
        <v>314</v>
      </c>
      <c r="K50" s="87" t="s">
        <v>294</v>
      </c>
      <c r="L50" s="87">
        <v>1</v>
      </c>
      <c r="N50" s="87">
        <v>1</v>
      </c>
      <c r="O50" s="87">
        <v>0.65</v>
      </c>
      <c r="P50" s="87">
        <v>0.68</v>
      </c>
      <c r="Q50" s="88">
        <f t="shared" si="2"/>
        <v>0.66500000000000004</v>
      </c>
      <c r="R50" s="87">
        <v>12.9</v>
      </c>
      <c r="S50" s="87">
        <v>96</v>
      </c>
      <c r="T50" s="89">
        <f>IF(H50="","",IF(OR(H50="GREEN",H50="GK"),IF(S50&gt;=$AX$2,VLOOKUP(S50,$AX$2:$AY$12,2,1),""),IF(S50&gt;=$AZ$2,VLOOKUP(S50,$AZ$2:$BA$12,2,1),"")))</f>
        <v>36</v>
      </c>
      <c r="U50" s="87">
        <v>128</v>
      </c>
      <c r="V50" s="89">
        <f t="shared" si="1"/>
        <v>27</v>
      </c>
      <c r="W50" s="87">
        <v>1</v>
      </c>
      <c r="X50" s="87" t="s">
        <v>63</v>
      </c>
      <c r="Y50" s="87" t="s">
        <v>54</v>
      </c>
      <c r="Z50" s="87" t="s">
        <v>45</v>
      </c>
      <c r="AA50" s="87" t="s">
        <v>161</v>
      </c>
      <c r="AB50" s="87" t="s">
        <v>48</v>
      </c>
    </row>
    <row r="51" spans="1:28" s="87" customFormat="1" ht="13.5" customHeight="1">
      <c r="A51" s="87" t="s">
        <v>86</v>
      </c>
      <c r="B51" s="87" t="s">
        <v>36</v>
      </c>
      <c r="C51" s="220">
        <v>2020</v>
      </c>
      <c r="D51" s="133" t="s">
        <v>284</v>
      </c>
      <c r="E51" s="87" t="s">
        <v>307</v>
      </c>
      <c r="F51" s="87" t="s">
        <v>308</v>
      </c>
      <c r="G51" s="87" t="s">
        <v>39</v>
      </c>
      <c r="H51" s="87" t="s">
        <v>51</v>
      </c>
      <c r="I51" s="87" t="s">
        <v>41</v>
      </c>
      <c r="J51" s="87" t="s">
        <v>314</v>
      </c>
      <c r="K51" s="87" t="s">
        <v>294</v>
      </c>
      <c r="L51" s="87">
        <v>2</v>
      </c>
      <c r="N51" s="87">
        <v>1</v>
      </c>
      <c r="O51" s="87">
        <v>1.05</v>
      </c>
      <c r="P51" s="87">
        <v>0.98</v>
      </c>
      <c r="Q51" s="88">
        <f t="shared" si="2"/>
        <v>1.0150000000000001</v>
      </c>
      <c r="R51" s="87">
        <v>10</v>
      </c>
      <c r="S51" s="87">
        <v>102</v>
      </c>
      <c r="T51" s="89">
        <f t="shared" si="0"/>
        <v>33</v>
      </c>
      <c r="U51" s="87">
        <v>128</v>
      </c>
      <c r="V51" s="89">
        <f t="shared" si="1"/>
        <v>27</v>
      </c>
      <c r="W51" s="87">
        <v>1</v>
      </c>
      <c r="X51" s="87" t="s">
        <v>63</v>
      </c>
      <c r="Y51" s="87" t="s">
        <v>54</v>
      </c>
      <c r="Z51" s="87" t="s">
        <v>45</v>
      </c>
      <c r="AA51" s="87" t="s">
        <v>161</v>
      </c>
      <c r="AB51" s="87" t="s">
        <v>48</v>
      </c>
    </row>
    <row r="52" spans="1:28" s="87" customFormat="1" ht="13.5" customHeight="1">
      <c r="A52" s="87" t="s">
        <v>86</v>
      </c>
      <c r="B52" s="87" t="s">
        <v>36</v>
      </c>
      <c r="C52" s="220">
        <v>2020</v>
      </c>
      <c r="D52" s="133" t="s">
        <v>284</v>
      </c>
      <c r="E52" s="87" t="s">
        <v>307</v>
      </c>
      <c r="F52" s="87" t="s">
        <v>308</v>
      </c>
      <c r="G52" s="87" t="s">
        <v>39</v>
      </c>
      <c r="H52" s="87" t="s">
        <v>51</v>
      </c>
      <c r="I52" s="87" t="s">
        <v>41</v>
      </c>
      <c r="J52" s="87" t="s">
        <v>314</v>
      </c>
      <c r="K52" s="87" t="s">
        <v>294</v>
      </c>
      <c r="L52" s="87">
        <v>3</v>
      </c>
      <c r="N52" s="87">
        <v>1</v>
      </c>
      <c r="O52" s="87">
        <v>0.81</v>
      </c>
      <c r="P52" s="87">
        <v>0.95</v>
      </c>
      <c r="Q52" s="88">
        <f t="shared" si="2"/>
        <v>0.88</v>
      </c>
      <c r="R52" s="87">
        <v>11.3</v>
      </c>
      <c r="S52" s="87">
        <v>86</v>
      </c>
      <c r="T52" s="89">
        <f t="shared" si="0"/>
        <v>36</v>
      </c>
      <c r="U52" s="87">
        <v>128</v>
      </c>
      <c r="V52" s="89">
        <f t="shared" si="1"/>
        <v>27</v>
      </c>
      <c r="W52" s="87">
        <v>1</v>
      </c>
      <c r="X52" s="87" t="s">
        <v>63</v>
      </c>
      <c r="Y52" s="87" t="s">
        <v>54</v>
      </c>
      <c r="Z52" s="87" t="s">
        <v>45</v>
      </c>
      <c r="AA52" s="87" t="s">
        <v>161</v>
      </c>
      <c r="AB52" s="87" t="s">
        <v>48</v>
      </c>
    </row>
    <row r="53" spans="1:28" s="87" customFormat="1" ht="13.5" customHeight="1">
      <c r="A53" s="87" t="s">
        <v>86</v>
      </c>
      <c r="B53" s="87" t="s">
        <v>36</v>
      </c>
      <c r="C53" s="220">
        <v>2020</v>
      </c>
      <c r="D53" s="133" t="s">
        <v>284</v>
      </c>
      <c r="E53" s="87" t="s">
        <v>303</v>
      </c>
      <c r="F53" s="87" t="s">
        <v>304</v>
      </c>
      <c r="G53" s="87" t="s">
        <v>39</v>
      </c>
      <c r="H53" s="87" t="s">
        <v>40</v>
      </c>
      <c r="I53" s="87" t="s">
        <v>41</v>
      </c>
      <c r="J53" s="87" t="s">
        <v>42</v>
      </c>
      <c r="K53" s="87" t="s">
        <v>43</v>
      </c>
      <c r="L53" s="87">
        <v>1</v>
      </c>
      <c r="N53" s="87">
        <v>6</v>
      </c>
      <c r="O53" s="87">
        <v>0.34</v>
      </c>
      <c r="P53" s="87">
        <v>0.41</v>
      </c>
      <c r="Q53" s="88">
        <f t="shared" si="2"/>
        <v>0.375</v>
      </c>
      <c r="R53" s="87">
        <v>15.7</v>
      </c>
      <c r="S53" s="87">
        <v>95</v>
      </c>
      <c r="T53" s="89">
        <f>IF(H53="","",IF(OR(H53="GREEN",H53="GK"),IF(S53&gt;=$AX$2,VLOOKUP(S53,$AX$2:$AY$12,2,1),""),IF(S53&gt;=$AZ$2,VLOOKUP(S53,$AZ$2:$BA$12,2,1),"")))</f>
        <v>36</v>
      </c>
      <c r="U53" s="87">
        <v>399</v>
      </c>
      <c r="V53" s="89">
        <f t="shared" si="1"/>
        <v>16</v>
      </c>
      <c r="W53" s="87">
        <v>3</v>
      </c>
      <c r="X53" s="87" t="s">
        <v>44</v>
      </c>
      <c r="Y53" s="87" t="s">
        <v>45</v>
      </c>
      <c r="Z53" s="87" t="s">
        <v>46</v>
      </c>
      <c r="AA53" s="87" t="s">
        <v>161</v>
      </c>
      <c r="AB53" s="87" t="s">
        <v>48</v>
      </c>
    </row>
    <row r="54" spans="1:28" s="87" customFormat="1" ht="13.5" customHeight="1">
      <c r="A54" s="87" t="s">
        <v>86</v>
      </c>
      <c r="B54" s="87" t="s">
        <v>36</v>
      </c>
      <c r="C54" s="220">
        <v>2020</v>
      </c>
      <c r="D54" s="133" t="s">
        <v>284</v>
      </c>
      <c r="E54" s="87" t="s">
        <v>303</v>
      </c>
      <c r="F54" s="87" t="s">
        <v>304</v>
      </c>
      <c r="G54" s="87" t="s">
        <v>39</v>
      </c>
      <c r="H54" s="87" t="s">
        <v>40</v>
      </c>
      <c r="I54" s="87" t="s">
        <v>41</v>
      </c>
      <c r="J54" s="87" t="s">
        <v>42</v>
      </c>
      <c r="K54" s="87" t="s">
        <v>43</v>
      </c>
      <c r="L54" s="87">
        <v>2</v>
      </c>
      <c r="N54" s="87">
        <v>6</v>
      </c>
      <c r="O54" s="87">
        <v>0.27</v>
      </c>
      <c r="P54" s="87">
        <v>0.21</v>
      </c>
      <c r="Q54" s="88">
        <f t="shared" si="2"/>
        <v>0.24</v>
      </c>
      <c r="R54" s="87">
        <v>16</v>
      </c>
      <c r="S54" s="87">
        <v>89</v>
      </c>
      <c r="T54" s="89">
        <f>IF(H54="","",IF(OR(H54="GREEN",H54="GK"),IF(S54&gt;=$AX$2,VLOOKUP(S54,$AX$2:$AY$12,2,1),""),IF(S54&gt;=$AZ$2,VLOOKUP(S54,$AZ$2:$BA$12,2,1),"")))</f>
        <v>36</v>
      </c>
      <c r="U54" s="87">
        <v>399</v>
      </c>
      <c r="V54" s="89">
        <f t="shared" si="1"/>
        <v>16</v>
      </c>
      <c r="W54" s="87">
        <v>3</v>
      </c>
      <c r="X54" s="87" t="s">
        <v>44</v>
      </c>
      <c r="Y54" s="87" t="s">
        <v>45</v>
      </c>
      <c r="Z54" s="87" t="s">
        <v>46</v>
      </c>
      <c r="AA54" s="87" t="s">
        <v>161</v>
      </c>
      <c r="AB54" s="87" t="s">
        <v>48</v>
      </c>
    </row>
    <row r="55" spans="1:28" s="87" customFormat="1" ht="13.5" customHeight="1">
      <c r="A55" s="87" t="s">
        <v>86</v>
      </c>
      <c r="B55" s="87" t="s">
        <v>36</v>
      </c>
      <c r="C55" s="220">
        <v>2020</v>
      </c>
      <c r="D55" s="133" t="s">
        <v>284</v>
      </c>
      <c r="E55" s="87" t="s">
        <v>303</v>
      </c>
      <c r="F55" s="87" t="s">
        <v>304</v>
      </c>
      <c r="G55" s="87" t="s">
        <v>39</v>
      </c>
      <c r="H55" s="87" t="s">
        <v>40</v>
      </c>
      <c r="I55" s="87" t="s">
        <v>41</v>
      </c>
      <c r="J55" s="87" t="s">
        <v>42</v>
      </c>
      <c r="K55" s="87" t="s">
        <v>43</v>
      </c>
      <c r="L55" s="87">
        <v>3</v>
      </c>
      <c r="N55" s="87">
        <v>6</v>
      </c>
      <c r="O55" s="87">
        <v>0.26</v>
      </c>
      <c r="P55" s="87">
        <v>0.22</v>
      </c>
      <c r="Q55" s="88">
        <f t="shared" si="2"/>
        <v>0.24</v>
      </c>
      <c r="R55" s="87">
        <v>15.5</v>
      </c>
      <c r="S55" s="87">
        <v>88</v>
      </c>
      <c r="T55" s="89">
        <f>IF(H55="","",IF(OR(H55="GREEN",H55="GK"),IF(S55&gt;=$AX$2,VLOOKUP(S55,$AX$2:$AY$12,2,1),""),IF(S55&gt;=$AZ$2,VLOOKUP(S55,$AZ$2:$BA$12,2,1),"")))</f>
        <v>36</v>
      </c>
      <c r="U55" s="87">
        <v>399</v>
      </c>
      <c r="V55" s="89">
        <f t="shared" si="1"/>
        <v>16</v>
      </c>
      <c r="W55" s="87">
        <v>3</v>
      </c>
      <c r="X55" s="87" t="s">
        <v>44</v>
      </c>
      <c r="Y55" s="87" t="s">
        <v>45</v>
      </c>
      <c r="Z55" s="87" t="s">
        <v>46</v>
      </c>
      <c r="AA55" s="87" t="s">
        <v>161</v>
      </c>
      <c r="AB55" s="87" t="s">
        <v>48</v>
      </c>
    </row>
    <row r="56" spans="1:28" s="87" customFormat="1" ht="13.5" customHeight="1">
      <c r="A56" s="87" t="s">
        <v>86</v>
      </c>
      <c r="B56" s="87" t="s">
        <v>36</v>
      </c>
      <c r="C56" s="220">
        <v>2020</v>
      </c>
      <c r="D56" s="133" t="s">
        <v>284</v>
      </c>
      <c r="E56" s="87" t="s">
        <v>303</v>
      </c>
      <c r="F56" s="87" t="s">
        <v>304</v>
      </c>
      <c r="G56" s="87" t="s">
        <v>39</v>
      </c>
      <c r="H56" s="87" t="s">
        <v>40</v>
      </c>
      <c r="I56" s="87" t="s">
        <v>41</v>
      </c>
      <c r="J56" s="87" t="s">
        <v>42</v>
      </c>
      <c r="K56" s="87" t="s">
        <v>43</v>
      </c>
      <c r="L56" s="87">
        <v>1</v>
      </c>
      <c r="N56" s="87">
        <v>3</v>
      </c>
      <c r="O56" s="87">
        <v>0.32</v>
      </c>
      <c r="P56" s="87">
        <v>0.3</v>
      </c>
      <c r="Q56" s="88">
        <f t="shared" si="2"/>
        <v>0.31</v>
      </c>
      <c r="R56" s="87">
        <v>16.7</v>
      </c>
      <c r="S56" s="87">
        <v>129</v>
      </c>
      <c r="T56" s="89">
        <f t="shared" si="0"/>
        <v>25</v>
      </c>
      <c r="U56" s="87">
        <v>399</v>
      </c>
      <c r="V56" s="89">
        <f t="shared" si="1"/>
        <v>16</v>
      </c>
      <c r="W56" s="87">
        <v>2</v>
      </c>
      <c r="X56" s="87" t="s">
        <v>44</v>
      </c>
      <c r="Y56" s="87" t="s">
        <v>45</v>
      </c>
      <c r="Z56" s="87" t="s">
        <v>46</v>
      </c>
      <c r="AA56" s="87" t="s">
        <v>161</v>
      </c>
      <c r="AB56" s="87" t="s">
        <v>48</v>
      </c>
    </row>
    <row r="57" spans="1:28" s="87" customFormat="1" ht="13.5" customHeight="1">
      <c r="A57" s="87" t="s">
        <v>86</v>
      </c>
      <c r="B57" s="87" t="s">
        <v>36</v>
      </c>
      <c r="C57" s="220">
        <v>2020</v>
      </c>
      <c r="D57" s="133" t="s">
        <v>284</v>
      </c>
      <c r="E57" s="87" t="s">
        <v>303</v>
      </c>
      <c r="F57" s="87" t="s">
        <v>304</v>
      </c>
      <c r="G57" s="87" t="s">
        <v>39</v>
      </c>
      <c r="H57" s="87" t="s">
        <v>40</v>
      </c>
      <c r="I57" s="87" t="s">
        <v>41</v>
      </c>
      <c r="J57" s="87" t="s">
        <v>42</v>
      </c>
      <c r="K57" s="87" t="s">
        <v>43</v>
      </c>
      <c r="L57" s="87">
        <v>2</v>
      </c>
      <c r="N57" s="87">
        <v>3</v>
      </c>
      <c r="O57" s="87">
        <v>0.39</v>
      </c>
      <c r="P57" s="87">
        <v>0.43</v>
      </c>
      <c r="Q57" s="88">
        <f t="shared" si="2"/>
        <v>0.41000000000000003</v>
      </c>
      <c r="R57" s="87">
        <v>15.7</v>
      </c>
      <c r="S57" s="87">
        <v>136</v>
      </c>
      <c r="T57" s="89">
        <f t="shared" si="0"/>
        <v>25</v>
      </c>
      <c r="U57" s="87">
        <v>399</v>
      </c>
      <c r="V57" s="89">
        <f t="shared" si="1"/>
        <v>16</v>
      </c>
      <c r="W57" s="87">
        <v>2</v>
      </c>
      <c r="X57" s="87" t="s">
        <v>44</v>
      </c>
      <c r="Y57" s="87" t="s">
        <v>45</v>
      </c>
      <c r="Z57" s="87" t="s">
        <v>46</v>
      </c>
      <c r="AA57" s="87" t="s">
        <v>161</v>
      </c>
      <c r="AB57" s="87" t="s">
        <v>48</v>
      </c>
    </row>
    <row r="58" spans="1:28" s="87" customFormat="1" ht="13.5" customHeight="1">
      <c r="A58" s="87" t="s">
        <v>86</v>
      </c>
      <c r="B58" s="87" t="s">
        <v>36</v>
      </c>
      <c r="C58" s="220">
        <v>2020</v>
      </c>
      <c r="D58" s="133" t="s">
        <v>284</v>
      </c>
      <c r="E58" s="87" t="s">
        <v>303</v>
      </c>
      <c r="F58" s="87" t="s">
        <v>304</v>
      </c>
      <c r="G58" s="87" t="s">
        <v>39</v>
      </c>
      <c r="H58" s="87" t="s">
        <v>40</v>
      </c>
      <c r="I58" s="87" t="s">
        <v>41</v>
      </c>
      <c r="J58" s="87" t="s">
        <v>42</v>
      </c>
      <c r="K58" s="87" t="s">
        <v>43</v>
      </c>
      <c r="L58" s="87">
        <v>3</v>
      </c>
      <c r="N58" s="87">
        <v>3</v>
      </c>
      <c r="O58" s="87">
        <v>0.45</v>
      </c>
      <c r="P58" s="87">
        <v>0.5</v>
      </c>
      <c r="Q58" s="88">
        <f t="shared" si="2"/>
        <v>0.47499999999999998</v>
      </c>
      <c r="R58" s="87">
        <v>16.7</v>
      </c>
      <c r="S58" s="87">
        <v>130</v>
      </c>
      <c r="T58" s="89">
        <f>IF(H58="","",IF(OR(H58="GREEN",H58="GK"),IF(S58&gt;=$AX$2,VLOOKUP(S58,$AX$2:$AY$12,2,1),""),IF(S58&gt;=$AZ$2,VLOOKUP(S58,$AZ$2:$BA$12,2,1),"")))</f>
        <v>25</v>
      </c>
      <c r="U58" s="87">
        <v>399</v>
      </c>
      <c r="V58" s="89">
        <f t="shared" si="1"/>
        <v>16</v>
      </c>
      <c r="W58" s="87">
        <v>2</v>
      </c>
      <c r="X58" s="87" t="s">
        <v>44</v>
      </c>
      <c r="Y58" s="87" t="s">
        <v>45</v>
      </c>
      <c r="Z58" s="87" t="s">
        <v>46</v>
      </c>
      <c r="AA58" s="87" t="s">
        <v>161</v>
      </c>
      <c r="AB58" s="87" t="s">
        <v>48</v>
      </c>
    </row>
    <row r="59" spans="1:28" s="87" customFormat="1" ht="13.5" customHeight="1">
      <c r="A59" s="87" t="s">
        <v>86</v>
      </c>
      <c r="B59" s="87" t="s">
        <v>36</v>
      </c>
      <c r="C59" s="220">
        <v>2020</v>
      </c>
      <c r="D59" s="133" t="s">
        <v>284</v>
      </c>
      <c r="E59" s="87" t="s">
        <v>303</v>
      </c>
      <c r="F59" s="87" t="s">
        <v>304</v>
      </c>
      <c r="G59" s="87" t="s">
        <v>39</v>
      </c>
      <c r="H59" s="87" t="s">
        <v>40</v>
      </c>
      <c r="I59" s="87" t="s">
        <v>41</v>
      </c>
      <c r="J59" s="87" t="s">
        <v>42</v>
      </c>
      <c r="K59" s="87" t="s">
        <v>43</v>
      </c>
      <c r="L59" s="87">
        <v>1</v>
      </c>
      <c r="N59" s="87">
        <v>1</v>
      </c>
      <c r="O59" s="87">
        <v>0.6</v>
      </c>
      <c r="P59" s="87">
        <v>0.52</v>
      </c>
      <c r="Q59" s="88">
        <f t="shared" si="2"/>
        <v>0.56000000000000005</v>
      </c>
      <c r="R59" s="87">
        <v>13.3</v>
      </c>
      <c r="S59" s="87">
        <v>135</v>
      </c>
      <c r="T59" s="89">
        <f>IF(H59="","",IF(OR(H59="GREEN",H59="GK"),IF(S59&gt;=$AX$2,VLOOKUP(S59,$AX$2:$AY$12,2,1),""),IF(S59&gt;=$AZ$2,VLOOKUP(S59,$AZ$2:$BA$12,2,1),"")))</f>
        <v>25</v>
      </c>
      <c r="U59" s="87">
        <v>100</v>
      </c>
      <c r="V59" s="89">
        <f t="shared" si="1"/>
        <v>33</v>
      </c>
      <c r="W59" s="87">
        <v>2</v>
      </c>
      <c r="X59" s="87" t="s">
        <v>44</v>
      </c>
      <c r="Y59" s="87" t="s">
        <v>45</v>
      </c>
      <c r="Z59" s="87" t="s">
        <v>46</v>
      </c>
      <c r="AA59" s="87" t="s">
        <v>161</v>
      </c>
      <c r="AB59" s="87" t="s">
        <v>48</v>
      </c>
    </row>
    <row r="60" spans="1:28" s="87" customFormat="1" ht="13.5" customHeight="1">
      <c r="A60" s="87" t="s">
        <v>86</v>
      </c>
      <c r="B60" s="87" t="s">
        <v>36</v>
      </c>
      <c r="C60" s="220">
        <v>2020</v>
      </c>
      <c r="D60" s="133" t="s">
        <v>284</v>
      </c>
      <c r="E60" s="87" t="s">
        <v>303</v>
      </c>
      <c r="F60" s="87" t="s">
        <v>304</v>
      </c>
      <c r="G60" s="87" t="s">
        <v>39</v>
      </c>
      <c r="H60" s="87" t="s">
        <v>40</v>
      </c>
      <c r="I60" s="87" t="s">
        <v>41</v>
      </c>
      <c r="J60" s="87" t="s">
        <v>42</v>
      </c>
      <c r="K60" s="87" t="s">
        <v>43</v>
      </c>
      <c r="L60" s="87">
        <v>2</v>
      </c>
      <c r="N60" s="87">
        <v>1</v>
      </c>
      <c r="O60" s="87">
        <v>0.38</v>
      </c>
      <c r="P60" s="87">
        <v>0.3</v>
      </c>
      <c r="Q60" s="88">
        <f t="shared" si="2"/>
        <v>0.33999999999999997</v>
      </c>
      <c r="R60" s="87">
        <v>15</v>
      </c>
      <c r="S60" s="87">
        <v>136</v>
      </c>
      <c r="T60" s="89">
        <f>IF(H60="","",IF(OR(H60="GREEN",H60="GK"),IF(S60&gt;=$AX$2,VLOOKUP(S60,$AX$2:$AY$12,2,1),""),IF(S60&gt;=$AZ$2,VLOOKUP(S60,$AZ$2:$BA$12,2,1),"")))</f>
        <v>25</v>
      </c>
      <c r="U60" s="87">
        <v>100</v>
      </c>
      <c r="V60" s="89">
        <f t="shared" si="1"/>
        <v>33</v>
      </c>
      <c r="W60" s="87">
        <v>2</v>
      </c>
      <c r="X60" s="87" t="s">
        <v>44</v>
      </c>
      <c r="Y60" s="87" t="s">
        <v>45</v>
      </c>
      <c r="Z60" s="87" t="s">
        <v>46</v>
      </c>
      <c r="AA60" s="87" t="s">
        <v>161</v>
      </c>
      <c r="AB60" s="87" t="s">
        <v>48</v>
      </c>
    </row>
    <row r="61" spans="1:28" s="87" customFormat="1" ht="13.5" customHeight="1">
      <c r="A61" s="87" t="s">
        <v>86</v>
      </c>
      <c r="B61" s="87" t="s">
        <v>36</v>
      </c>
      <c r="C61" s="220">
        <v>2020</v>
      </c>
      <c r="D61" s="133" t="s">
        <v>284</v>
      </c>
      <c r="E61" s="87" t="s">
        <v>303</v>
      </c>
      <c r="F61" s="87" t="s">
        <v>304</v>
      </c>
      <c r="G61" s="87" t="s">
        <v>39</v>
      </c>
      <c r="H61" s="87" t="s">
        <v>40</v>
      </c>
      <c r="I61" s="87" t="s">
        <v>41</v>
      </c>
      <c r="J61" s="87" t="s">
        <v>42</v>
      </c>
      <c r="K61" s="87" t="s">
        <v>43</v>
      </c>
      <c r="L61" s="87">
        <v>3</v>
      </c>
      <c r="N61" s="87">
        <v>1</v>
      </c>
      <c r="O61" s="87">
        <v>0.28000000000000003</v>
      </c>
      <c r="P61" s="87">
        <v>0.36</v>
      </c>
      <c r="Q61" s="88">
        <f t="shared" si="2"/>
        <v>0.32</v>
      </c>
      <c r="R61" s="87">
        <v>14.6</v>
      </c>
      <c r="S61" s="87">
        <v>134</v>
      </c>
      <c r="T61" s="89">
        <f>IF(H61="","",IF(OR(H61="GREEN",H61="GK"),IF(S61&gt;=$AX$2,VLOOKUP(S61,$AX$2:$AY$12,2,1),""),IF(S61&gt;=$AZ$2,VLOOKUP(S61,$AZ$2:$BA$12,2,1),"")))</f>
        <v>25</v>
      </c>
      <c r="U61" s="87">
        <v>100</v>
      </c>
      <c r="V61" s="89">
        <f t="shared" si="1"/>
        <v>33</v>
      </c>
      <c r="W61" s="87">
        <v>2</v>
      </c>
      <c r="X61" s="87" t="s">
        <v>44</v>
      </c>
      <c r="Y61" s="87" t="s">
        <v>45</v>
      </c>
      <c r="Z61" s="87" t="s">
        <v>46</v>
      </c>
      <c r="AA61" s="87" t="s">
        <v>161</v>
      </c>
      <c r="AB61" s="87" t="s">
        <v>48</v>
      </c>
    </row>
    <row r="62" spans="1:28" s="87" customFormat="1" ht="13.5" customHeight="1">
      <c r="A62" s="87" t="s">
        <v>86</v>
      </c>
      <c r="B62" s="87" t="s">
        <v>36</v>
      </c>
      <c r="C62" s="220">
        <v>2020</v>
      </c>
      <c r="D62" s="133" t="s">
        <v>284</v>
      </c>
      <c r="E62" s="87" t="s">
        <v>292</v>
      </c>
      <c r="F62" s="87" t="s">
        <v>293</v>
      </c>
      <c r="G62" s="87" t="s">
        <v>58</v>
      </c>
      <c r="H62" s="87" t="s">
        <v>51</v>
      </c>
      <c r="I62" s="87" t="s">
        <v>41</v>
      </c>
      <c r="J62" s="87" t="s">
        <v>121</v>
      </c>
      <c r="K62" s="87" t="s">
        <v>122</v>
      </c>
      <c r="L62" s="87">
        <v>1</v>
      </c>
      <c r="N62" s="87">
        <v>4</v>
      </c>
      <c r="O62" s="87">
        <v>0.42</v>
      </c>
      <c r="P62" s="87">
        <v>0.5</v>
      </c>
      <c r="Q62" s="88">
        <f t="shared" si="2"/>
        <v>0.45999999999999996</v>
      </c>
      <c r="R62" s="87">
        <v>12.6</v>
      </c>
      <c r="S62" s="87">
        <v>112</v>
      </c>
      <c r="T62" s="89">
        <f>IF(H62="","",IF(OR(H62="GREEN",H62="GK"),IF(S62&gt;=$AX$2,VLOOKUP(S62,$AX$2:$AY$12,2,1),""),IF(S62&gt;=$AZ$2,VLOOKUP(S62,$AZ$2:$BA$12,2,1),"")))</f>
        <v>33</v>
      </c>
      <c r="U62" s="87">
        <v>298</v>
      </c>
      <c r="V62" s="89">
        <f t="shared" si="1"/>
        <v>16</v>
      </c>
      <c r="W62" s="87">
        <v>1</v>
      </c>
      <c r="X62" s="87" t="s">
        <v>44</v>
      </c>
      <c r="Y62" s="87" t="s">
        <v>45</v>
      </c>
      <c r="Z62" s="87" t="s">
        <v>161</v>
      </c>
      <c r="AA62" s="87" t="s">
        <v>46</v>
      </c>
      <c r="AB62" s="87" t="s">
        <v>48</v>
      </c>
    </row>
    <row r="63" spans="1:28" s="87" customFormat="1" ht="13.5" customHeight="1">
      <c r="A63" s="87" t="s">
        <v>86</v>
      </c>
      <c r="B63" s="87" t="s">
        <v>36</v>
      </c>
      <c r="C63" s="220">
        <v>2020</v>
      </c>
      <c r="D63" s="133" t="s">
        <v>284</v>
      </c>
      <c r="E63" s="87" t="s">
        <v>292</v>
      </c>
      <c r="F63" s="87" t="s">
        <v>293</v>
      </c>
      <c r="G63" s="87" t="s">
        <v>58</v>
      </c>
      <c r="H63" s="87" t="s">
        <v>51</v>
      </c>
      <c r="I63" s="87" t="s">
        <v>41</v>
      </c>
      <c r="J63" s="87" t="s">
        <v>121</v>
      </c>
      <c r="K63" s="87" t="s">
        <v>122</v>
      </c>
      <c r="L63" s="87">
        <v>2</v>
      </c>
      <c r="N63" s="87">
        <v>4</v>
      </c>
      <c r="O63" s="87">
        <v>0.4</v>
      </c>
      <c r="P63" s="87">
        <v>0.35</v>
      </c>
      <c r="Q63" s="88">
        <f t="shared" si="2"/>
        <v>0.375</v>
      </c>
      <c r="R63" s="87">
        <v>11.6</v>
      </c>
      <c r="S63" s="87">
        <v>115</v>
      </c>
      <c r="T63" s="89">
        <f t="shared" ref="T63:T134" si="3">IF(H63="","",IF(OR(H63="GREEN",H63="GK"),IF(S63&gt;=$AX$2,VLOOKUP(S63,$AX$2:$AY$12,2,1),""),IF(S63&gt;=$AZ$2,VLOOKUP(S63,$AZ$2:$BA$12,2,1),"")))</f>
        <v>30</v>
      </c>
      <c r="U63" s="87">
        <v>298</v>
      </c>
      <c r="V63" s="89">
        <f t="shared" si="1"/>
        <v>16</v>
      </c>
      <c r="W63" s="87">
        <v>1</v>
      </c>
      <c r="X63" s="87" t="s">
        <v>44</v>
      </c>
      <c r="Y63" s="87" t="s">
        <v>45</v>
      </c>
      <c r="Z63" s="87" t="s">
        <v>161</v>
      </c>
      <c r="AA63" s="87" t="s">
        <v>46</v>
      </c>
      <c r="AB63" s="87" t="s">
        <v>48</v>
      </c>
    </row>
    <row r="64" spans="1:28" s="87" customFormat="1" ht="13.5" customHeight="1">
      <c r="A64" s="87" t="s">
        <v>86</v>
      </c>
      <c r="B64" s="87" t="s">
        <v>36</v>
      </c>
      <c r="C64" s="220">
        <v>2020</v>
      </c>
      <c r="D64" s="133" t="s">
        <v>284</v>
      </c>
      <c r="E64" s="87" t="s">
        <v>292</v>
      </c>
      <c r="F64" s="87" t="s">
        <v>293</v>
      </c>
      <c r="G64" s="87" t="s">
        <v>58</v>
      </c>
      <c r="H64" s="87" t="s">
        <v>51</v>
      </c>
      <c r="I64" s="87" t="s">
        <v>41</v>
      </c>
      <c r="J64" s="87" t="s">
        <v>121</v>
      </c>
      <c r="K64" s="87" t="s">
        <v>122</v>
      </c>
      <c r="L64" s="87">
        <v>3</v>
      </c>
      <c r="N64" s="87">
        <v>4</v>
      </c>
      <c r="O64" s="87">
        <v>0.5</v>
      </c>
      <c r="P64" s="87">
        <v>0.56999999999999995</v>
      </c>
      <c r="Q64" s="88">
        <f t="shared" si="2"/>
        <v>0.53499999999999992</v>
      </c>
      <c r="R64" s="87">
        <v>13.4</v>
      </c>
      <c r="S64" s="87">
        <v>122</v>
      </c>
      <c r="T64" s="89">
        <f t="shared" si="3"/>
        <v>27</v>
      </c>
      <c r="U64" s="87">
        <v>298</v>
      </c>
      <c r="V64" s="89">
        <f t="shared" si="1"/>
        <v>16</v>
      </c>
      <c r="W64" s="87">
        <v>1</v>
      </c>
      <c r="X64" s="87" t="s">
        <v>44</v>
      </c>
      <c r="Y64" s="87" t="s">
        <v>45</v>
      </c>
      <c r="Z64" s="87" t="s">
        <v>161</v>
      </c>
      <c r="AA64" s="87" t="s">
        <v>46</v>
      </c>
      <c r="AB64" s="87" t="s">
        <v>48</v>
      </c>
    </row>
    <row r="65" spans="1:28" s="87" customFormat="1" ht="13.5" customHeight="1">
      <c r="A65" s="87" t="s">
        <v>86</v>
      </c>
      <c r="B65" s="87" t="s">
        <v>36</v>
      </c>
      <c r="C65" s="220">
        <v>2020</v>
      </c>
      <c r="D65" s="133" t="s">
        <v>284</v>
      </c>
      <c r="E65" s="87" t="s">
        <v>312</v>
      </c>
      <c r="F65" s="87" t="s">
        <v>313</v>
      </c>
      <c r="G65" s="87" t="s">
        <v>58</v>
      </c>
      <c r="H65" s="87" t="s">
        <v>40</v>
      </c>
      <c r="I65" s="87" t="s">
        <v>41</v>
      </c>
      <c r="J65" s="87" t="s">
        <v>42</v>
      </c>
      <c r="K65" s="87" t="s">
        <v>43</v>
      </c>
      <c r="L65" s="87">
        <v>1</v>
      </c>
      <c r="N65" s="87">
        <v>5</v>
      </c>
      <c r="O65" s="87">
        <v>0.27</v>
      </c>
      <c r="P65" s="87">
        <v>0.33</v>
      </c>
      <c r="Q65" s="88">
        <f t="shared" si="2"/>
        <v>0.30000000000000004</v>
      </c>
      <c r="R65" s="87">
        <v>14.1</v>
      </c>
      <c r="S65" s="87">
        <v>86</v>
      </c>
      <c r="T65" s="89">
        <f t="shared" si="3"/>
        <v>36</v>
      </c>
      <c r="U65" s="87">
        <v>298</v>
      </c>
      <c r="V65" s="89">
        <f t="shared" si="1"/>
        <v>16</v>
      </c>
      <c r="W65" s="87">
        <v>1</v>
      </c>
      <c r="X65" s="87" t="s">
        <v>44</v>
      </c>
      <c r="Y65" s="87" t="s">
        <v>54</v>
      </c>
      <c r="Z65" s="87" t="s">
        <v>45</v>
      </c>
      <c r="AA65" s="87" t="s">
        <v>46</v>
      </c>
      <c r="AB65" s="87" t="s">
        <v>48</v>
      </c>
    </row>
    <row r="66" spans="1:28" s="87" customFormat="1" ht="13.5" customHeight="1">
      <c r="A66" s="87" t="s">
        <v>86</v>
      </c>
      <c r="B66" s="87" t="s">
        <v>36</v>
      </c>
      <c r="C66" s="220">
        <v>2020</v>
      </c>
      <c r="D66" s="133" t="s">
        <v>284</v>
      </c>
      <c r="E66" s="87" t="s">
        <v>312</v>
      </c>
      <c r="F66" s="87" t="s">
        <v>313</v>
      </c>
      <c r="G66" s="87" t="s">
        <v>58</v>
      </c>
      <c r="H66" s="87" t="s">
        <v>40</v>
      </c>
      <c r="I66" s="87" t="s">
        <v>41</v>
      </c>
      <c r="J66" s="87" t="s">
        <v>42</v>
      </c>
      <c r="K66" s="87" t="s">
        <v>43</v>
      </c>
      <c r="L66" s="87">
        <v>2</v>
      </c>
      <c r="N66" s="87">
        <v>5</v>
      </c>
      <c r="O66" s="87">
        <v>0.21</v>
      </c>
      <c r="P66" s="87">
        <v>0.23</v>
      </c>
      <c r="Q66" s="88">
        <f t="shared" si="2"/>
        <v>0.22</v>
      </c>
      <c r="R66" s="87">
        <v>14</v>
      </c>
      <c r="S66" s="87">
        <v>91</v>
      </c>
      <c r="T66" s="89">
        <f t="shared" si="3"/>
        <v>36</v>
      </c>
      <c r="U66" s="87">
        <v>298</v>
      </c>
      <c r="V66" s="89">
        <f t="shared" ref="V66:V149" si="4">IF(J66="","",IF(OR(J66="GREEN",J66="GK"),IF(U66&gt;=$AX$2,VLOOKUP(U66,$AX$2:$AY$12,2,1),""),IF(U66&gt;=$AZ$2,VLOOKUP(U66,$AZ$2:$BA$12,2,1),"")))</f>
        <v>16</v>
      </c>
      <c r="W66" s="87">
        <v>1</v>
      </c>
      <c r="X66" s="87" t="s">
        <v>44</v>
      </c>
      <c r="Y66" s="87" t="s">
        <v>54</v>
      </c>
      <c r="Z66" s="87" t="s">
        <v>45</v>
      </c>
      <c r="AA66" s="87" t="s">
        <v>46</v>
      </c>
      <c r="AB66" s="87" t="s">
        <v>48</v>
      </c>
    </row>
    <row r="67" spans="1:28" s="87" customFormat="1" ht="13.5" customHeight="1">
      <c r="A67" s="87" t="s">
        <v>86</v>
      </c>
      <c r="B67" s="87" t="s">
        <v>36</v>
      </c>
      <c r="C67" s="220">
        <v>2020</v>
      </c>
      <c r="D67" s="133" t="s">
        <v>284</v>
      </c>
      <c r="E67" s="87" t="s">
        <v>312</v>
      </c>
      <c r="F67" s="87" t="s">
        <v>313</v>
      </c>
      <c r="G67" s="87" t="s">
        <v>58</v>
      </c>
      <c r="H67" s="87" t="s">
        <v>40</v>
      </c>
      <c r="I67" s="87" t="s">
        <v>41</v>
      </c>
      <c r="J67" s="87" t="s">
        <v>42</v>
      </c>
      <c r="K67" s="87" t="s">
        <v>43</v>
      </c>
      <c r="L67" s="87">
        <v>3</v>
      </c>
      <c r="N67" s="87">
        <v>5</v>
      </c>
      <c r="O67" s="87">
        <v>0.35</v>
      </c>
      <c r="P67" s="87">
        <v>0.31</v>
      </c>
      <c r="Q67" s="88">
        <f t="shared" ref="Q67:Q127" si="5">IF(OR(O67="",P67=""),"",AVERAGE(O67,P67))</f>
        <v>0.32999999999999996</v>
      </c>
      <c r="R67" s="87">
        <v>14</v>
      </c>
      <c r="S67" s="87">
        <v>86</v>
      </c>
      <c r="T67" s="89">
        <f t="shared" si="3"/>
        <v>36</v>
      </c>
      <c r="U67" s="87">
        <v>298</v>
      </c>
      <c r="V67" s="89">
        <f t="shared" si="4"/>
        <v>16</v>
      </c>
      <c r="W67" s="87">
        <v>1</v>
      </c>
      <c r="X67" s="87" t="s">
        <v>44</v>
      </c>
      <c r="Y67" s="87" t="s">
        <v>54</v>
      </c>
      <c r="Z67" s="87" t="s">
        <v>45</v>
      </c>
      <c r="AA67" s="87" t="s">
        <v>46</v>
      </c>
      <c r="AB67" s="87" t="s">
        <v>48</v>
      </c>
    </row>
    <row r="68" spans="1:28" s="87" customFormat="1" ht="13.5" customHeight="1">
      <c r="A68" s="87" t="s">
        <v>86</v>
      </c>
      <c r="B68" s="87" t="s">
        <v>36</v>
      </c>
      <c r="C68" s="220">
        <v>2020</v>
      </c>
      <c r="D68" s="133" t="s">
        <v>284</v>
      </c>
      <c r="E68" s="87" t="s">
        <v>312</v>
      </c>
      <c r="F68" s="87" t="s">
        <v>313</v>
      </c>
      <c r="G68" s="87" t="s">
        <v>58</v>
      </c>
      <c r="H68" s="87" t="s">
        <v>40</v>
      </c>
      <c r="I68" s="87" t="s">
        <v>41</v>
      </c>
      <c r="J68" s="87" t="s">
        <v>42</v>
      </c>
      <c r="K68" s="87" t="s">
        <v>43</v>
      </c>
      <c r="L68" s="87">
        <v>1</v>
      </c>
      <c r="N68" s="87">
        <v>1</v>
      </c>
      <c r="O68" s="87">
        <v>0.4</v>
      </c>
      <c r="P68" s="87">
        <v>0.43</v>
      </c>
      <c r="Q68" s="88">
        <f t="shared" si="5"/>
        <v>0.41500000000000004</v>
      </c>
      <c r="R68" s="87">
        <v>15.3</v>
      </c>
      <c r="S68" s="87">
        <v>136</v>
      </c>
      <c r="T68" s="89">
        <f t="shared" si="3"/>
        <v>25</v>
      </c>
      <c r="U68" s="87">
        <v>98</v>
      </c>
      <c r="V68" s="89">
        <f t="shared" si="4"/>
        <v>36</v>
      </c>
      <c r="W68" s="87">
        <v>1</v>
      </c>
      <c r="X68" s="87" t="s">
        <v>44</v>
      </c>
      <c r="Y68" s="87" t="s">
        <v>54</v>
      </c>
      <c r="Z68" s="87" t="s">
        <v>45</v>
      </c>
      <c r="AA68" s="87" t="s">
        <v>46</v>
      </c>
      <c r="AB68" s="87" t="s">
        <v>48</v>
      </c>
    </row>
    <row r="69" spans="1:28" s="87" customFormat="1" ht="13.5" customHeight="1">
      <c r="A69" s="87" t="s">
        <v>86</v>
      </c>
      <c r="B69" s="87" t="s">
        <v>36</v>
      </c>
      <c r="C69" s="220">
        <v>2020</v>
      </c>
      <c r="D69" s="133" t="s">
        <v>284</v>
      </c>
      <c r="E69" s="87" t="s">
        <v>312</v>
      </c>
      <c r="F69" s="87" t="s">
        <v>313</v>
      </c>
      <c r="G69" s="87" t="s">
        <v>58</v>
      </c>
      <c r="H69" s="87" t="s">
        <v>40</v>
      </c>
      <c r="I69" s="87" t="s">
        <v>41</v>
      </c>
      <c r="J69" s="87" t="s">
        <v>42</v>
      </c>
      <c r="K69" s="87" t="s">
        <v>43</v>
      </c>
      <c r="L69" s="87">
        <v>2</v>
      </c>
      <c r="N69" s="87">
        <v>1</v>
      </c>
      <c r="O69" s="87">
        <v>0.57999999999999996</v>
      </c>
      <c r="P69" s="87">
        <v>0.56000000000000005</v>
      </c>
      <c r="Q69" s="88">
        <f t="shared" si="5"/>
        <v>0.57000000000000006</v>
      </c>
      <c r="R69" s="87">
        <v>15.2</v>
      </c>
      <c r="S69" s="87">
        <v>132</v>
      </c>
      <c r="T69" s="89">
        <f t="shared" si="3"/>
        <v>25</v>
      </c>
      <c r="U69" s="87">
        <v>98</v>
      </c>
      <c r="V69" s="89">
        <f t="shared" si="4"/>
        <v>36</v>
      </c>
      <c r="W69" s="87">
        <v>1</v>
      </c>
      <c r="X69" s="87" t="s">
        <v>44</v>
      </c>
      <c r="Y69" s="87" t="s">
        <v>54</v>
      </c>
      <c r="Z69" s="87" t="s">
        <v>45</v>
      </c>
      <c r="AA69" s="87" t="s">
        <v>46</v>
      </c>
      <c r="AB69" s="87" t="s">
        <v>48</v>
      </c>
    </row>
    <row r="70" spans="1:28" s="87" customFormat="1" ht="13.5" customHeight="1">
      <c r="A70" s="87" t="s">
        <v>86</v>
      </c>
      <c r="B70" s="87" t="s">
        <v>36</v>
      </c>
      <c r="C70" s="220">
        <v>2020</v>
      </c>
      <c r="D70" s="133" t="s">
        <v>284</v>
      </c>
      <c r="E70" s="87" t="s">
        <v>312</v>
      </c>
      <c r="F70" s="87" t="s">
        <v>313</v>
      </c>
      <c r="G70" s="87" t="s">
        <v>58</v>
      </c>
      <c r="H70" s="87" t="s">
        <v>40</v>
      </c>
      <c r="I70" s="87" t="s">
        <v>41</v>
      </c>
      <c r="J70" s="87" t="s">
        <v>42</v>
      </c>
      <c r="K70" s="87" t="s">
        <v>43</v>
      </c>
      <c r="L70" s="87">
        <v>3</v>
      </c>
      <c r="N70" s="87">
        <v>1</v>
      </c>
      <c r="O70" s="87">
        <v>0.45</v>
      </c>
      <c r="P70" s="87">
        <v>0.53</v>
      </c>
      <c r="Q70" s="88">
        <f t="shared" si="5"/>
        <v>0.49</v>
      </c>
      <c r="R70" s="87">
        <v>14.7</v>
      </c>
      <c r="S70" s="87">
        <v>126</v>
      </c>
      <c r="T70" s="89">
        <f t="shared" si="3"/>
        <v>27</v>
      </c>
      <c r="U70" s="87">
        <v>98</v>
      </c>
      <c r="V70" s="89">
        <f t="shared" si="4"/>
        <v>36</v>
      </c>
      <c r="W70" s="87">
        <v>1</v>
      </c>
      <c r="X70" s="87" t="s">
        <v>44</v>
      </c>
      <c r="Y70" s="87" t="s">
        <v>54</v>
      </c>
      <c r="Z70" s="87" t="s">
        <v>45</v>
      </c>
      <c r="AA70" s="87" t="s">
        <v>46</v>
      </c>
      <c r="AB70" s="87" t="s">
        <v>48</v>
      </c>
    </row>
    <row r="71" spans="1:28">
      <c r="C71" s="56"/>
      <c r="D71" s="57"/>
      <c r="Q71" s="26" t="str">
        <f t="shared" si="5"/>
        <v/>
      </c>
      <c r="T71" s="24" t="str">
        <f t="shared" si="3"/>
        <v/>
      </c>
      <c r="V71" s="24" t="str">
        <f t="shared" si="4"/>
        <v/>
      </c>
    </row>
    <row r="72" spans="1:28">
      <c r="C72" s="56"/>
      <c r="D72" s="57"/>
      <c r="Q72" s="26" t="str">
        <f t="shared" si="5"/>
        <v/>
      </c>
      <c r="T72" s="24" t="str">
        <f t="shared" si="3"/>
        <v/>
      </c>
      <c r="V72" s="24" t="str">
        <f t="shared" si="4"/>
        <v/>
      </c>
    </row>
    <row r="73" spans="1:28">
      <c r="C73" s="56"/>
      <c r="D73" s="57"/>
      <c r="Q73" s="26" t="str">
        <f t="shared" si="5"/>
        <v/>
      </c>
      <c r="T73" s="24" t="str">
        <f t="shared" si="3"/>
        <v/>
      </c>
      <c r="V73" s="24" t="str">
        <f t="shared" si="4"/>
        <v/>
      </c>
    </row>
    <row r="74" spans="1:28">
      <c r="C74" s="56"/>
      <c r="D74" s="57"/>
      <c r="Q74" s="26" t="str">
        <f t="shared" si="5"/>
        <v/>
      </c>
      <c r="T74" s="24" t="str">
        <f t="shared" si="3"/>
        <v/>
      </c>
      <c r="V74" s="24" t="str">
        <f t="shared" si="4"/>
        <v/>
      </c>
    </row>
    <row r="75" spans="1:28">
      <c r="C75" s="56"/>
      <c r="D75" s="57"/>
      <c r="Q75" s="26" t="str">
        <f t="shared" si="5"/>
        <v/>
      </c>
      <c r="T75" s="24" t="str">
        <f t="shared" si="3"/>
        <v/>
      </c>
      <c r="V75" s="24" t="str">
        <f t="shared" si="4"/>
        <v/>
      </c>
    </row>
    <row r="76" spans="1:28">
      <c r="C76" s="56"/>
      <c r="D76" s="57"/>
      <c r="Q76" s="26" t="str">
        <f t="shared" si="5"/>
        <v/>
      </c>
      <c r="T76" s="24" t="str">
        <f t="shared" si="3"/>
        <v/>
      </c>
      <c r="V76" s="24" t="str">
        <f t="shared" si="4"/>
        <v/>
      </c>
    </row>
    <row r="77" spans="1:28">
      <c r="C77" s="56"/>
      <c r="D77" s="57"/>
      <c r="Q77" s="26" t="str">
        <f t="shared" si="5"/>
        <v/>
      </c>
      <c r="T77" s="24" t="str">
        <f t="shared" si="3"/>
        <v/>
      </c>
      <c r="V77" s="24" t="str">
        <f t="shared" si="4"/>
        <v/>
      </c>
    </row>
    <row r="78" spans="1:28">
      <c r="C78" s="56"/>
      <c r="D78" s="57"/>
      <c r="Q78" s="26" t="str">
        <f t="shared" si="5"/>
        <v/>
      </c>
      <c r="T78" s="24" t="str">
        <f t="shared" si="3"/>
        <v/>
      </c>
      <c r="V78" s="24" t="str">
        <f t="shared" si="4"/>
        <v/>
      </c>
    </row>
    <row r="79" spans="1:28">
      <c r="C79" s="56"/>
      <c r="D79" s="57"/>
      <c r="Q79" s="26" t="str">
        <f t="shared" si="5"/>
        <v/>
      </c>
      <c r="T79" s="24" t="str">
        <f t="shared" si="3"/>
        <v/>
      </c>
      <c r="V79" s="24" t="str">
        <f t="shared" si="4"/>
        <v/>
      </c>
    </row>
    <row r="80" spans="1:28">
      <c r="C80" s="56"/>
      <c r="D80" s="57"/>
      <c r="Q80" s="26" t="str">
        <f t="shared" si="5"/>
        <v/>
      </c>
      <c r="T80" s="24" t="str">
        <f t="shared" si="3"/>
        <v/>
      </c>
      <c r="V80" s="24" t="str">
        <f t="shared" si="4"/>
        <v/>
      </c>
    </row>
    <row r="81" spans="3:22">
      <c r="C81" s="56"/>
      <c r="D81" s="57"/>
      <c r="Q81" s="26" t="str">
        <f t="shared" si="5"/>
        <v/>
      </c>
      <c r="T81" s="24" t="str">
        <f t="shared" si="3"/>
        <v/>
      </c>
      <c r="V81" s="24" t="str">
        <f t="shared" si="4"/>
        <v/>
      </c>
    </row>
    <row r="82" spans="3:22">
      <c r="C82" s="56"/>
      <c r="D82" s="57"/>
      <c r="Q82" s="26" t="str">
        <f t="shared" si="5"/>
        <v/>
      </c>
      <c r="T82" s="24" t="str">
        <f t="shared" si="3"/>
        <v/>
      </c>
      <c r="V82" s="24" t="str">
        <f t="shared" si="4"/>
        <v/>
      </c>
    </row>
    <row r="83" spans="3:22">
      <c r="C83" s="56"/>
      <c r="D83" s="57"/>
      <c r="Q83" s="26" t="str">
        <f t="shared" si="5"/>
        <v/>
      </c>
      <c r="T83" s="24" t="str">
        <f t="shared" si="3"/>
        <v/>
      </c>
      <c r="V83" s="24" t="str">
        <f t="shared" si="4"/>
        <v/>
      </c>
    </row>
    <row r="84" spans="3:22">
      <c r="C84" s="56"/>
      <c r="D84" s="57"/>
      <c r="Q84" s="26" t="str">
        <f t="shared" si="5"/>
        <v/>
      </c>
      <c r="T84" s="24" t="str">
        <f t="shared" si="3"/>
        <v/>
      </c>
      <c r="V84" s="24" t="str">
        <f t="shared" si="4"/>
        <v/>
      </c>
    </row>
    <row r="85" spans="3:22">
      <c r="C85" s="56"/>
      <c r="D85" s="57"/>
      <c r="Q85" s="26" t="str">
        <f t="shared" si="5"/>
        <v/>
      </c>
      <c r="T85" s="24" t="str">
        <f t="shared" si="3"/>
        <v/>
      </c>
      <c r="V85" s="24" t="str">
        <f t="shared" si="4"/>
        <v/>
      </c>
    </row>
    <row r="86" spans="3:22">
      <c r="C86" s="56"/>
      <c r="D86" s="57"/>
      <c r="Q86" s="26" t="str">
        <f t="shared" si="5"/>
        <v/>
      </c>
      <c r="T86" s="24" t="str">
        <f t="shared" si="3"/>
        <v/>
      </c>
      <c r="V86" s="24" t="str">
        <f t="shared" si="4"/>
        <v/>
      </c>
    </row>
    <row r="87" spans="3:22">
      <c r="C87" s="56"/>
      <c r="D87" s="57"/>
      <c r="Q87" s="26" t="str">
        <f t="shared" si="5"/>
        <v/>
      </c>
      <c r="T87" s="24" t="str">
        <f t="shared" si="3"/>
        <v/>
      </c>
      <c r="V87" s="24" t="str">
        <f t="shared" si="4"/>
        <v/>
      </c>
    </row>
    <row r="88" spans="3:22">
      <c r="C88" s="56"/>
      <c r="D88" s="57"/>
      <c r="Q88" s="26" t="str">
        <f t="shared" si="5"/>
        <v/>
      </c>
      <c r="T88" s="24" t="str">
        <f t="shared" si="3"/>
        <v/>
      </c>
      <c r="V88" s="24" t="str">
        <f t="shared" si="4"/>
        <v/>
      </c>
    </row>
    <row r="89" spans="3:22">
      <c r="C89" s="56"/>
      <c r="D89" s="57"/>
      <c r="Q89" s="26" t="str">
        <f t="shared" si="5"/>
        <v/>
      </c>
      <c r="T89" s="24" t="str">
        <f t="shared" si="3"/>
        <v/>
      </c>
      <c r="V89" s="24" t="str">
        <f t="shared" si="4"/>
        <v/>
      </c>
    </row>
    <row r="90" spans="3:22">
      <c r="C90" s="56"/>
      <c r="D90" s="57"/>
      <c r="Q90" s="26" t="str">
        <f t="shared" si="5"/>
        <v/>
      </c>
      <c r="T90" s="24" t="str">
        <f t="shared" si="3"/>
        <v/>
      </c>
      <c r="V90" s="24" t="str">
        <f t="shared" si="4"/>
        <v/>
      </c>
    </row>
    <row r="91" spans="3:22">
      <c r="C91" s="56"/>
      <c r="D91" s="57"/>
      <c r="Q91" s="26" t="str">
        <f t="shared" si="5"/>
        <v/>
      </c>
      <c r="T91" s="24" t="str">
        <f t="shared" si="3"/>
        <v/>
      </c>
      <c r="V91" s="24" t="str">
        <f t="shared" si="4"/>
        <v/>
      </c>
    </row>
    <row r="92" spans="3:22">
      <c r="C92" s="56"/>
      <c r="D92" s="57"/>
      <c r="Q92" s="26" t="str">
        <f t="shared" si="5"/>
        <v/>
      </c>
      <c r="T92" s="24" t="str">
        <f t="shared" si="3"/>
        <v/>
      </c>
      <c r="V92" s="24" t="str">
        <f t="shared" si="4"/>
        <v/>
      </c>
    </row>
    <row r="93" spans="3:22">
      <c r="C93" s="56"/>
      <c r="D93" s="57"/>
      <c r="Q93" s="26" t="str">
        <f t="shared" si="5"/>
        <v/>
      </c>
      <c r="T93" s="24" t="str">
        <f t="shared" si="3"/>
        <v/>
      </c>
      <c r="V93" s="24" t="str">
        <f t="shared" si="4"/>
        <v/>
      </c>
    </row>
    <row r="94" spans="3:22">
      <c r="C94" s="56"/>
      <c r="D94" s="57"/>
      <c r="Q94" s="26" t="str">
        <f t="shared" si="5"/>
        <v/>
      </c>
      <c r="T94" s="24" t="str">
        <f>IF(H94="","",IF(OR(H94="GREEN",H94="GK"),IF(S94&gt;=$AX$2,VLOOKUP(S94,$AX$2:$AY$12,2,1),""),IF(S94&gt;=$AZ$2,VLOOKUP(S94,$AZ$2:$BA$12,2,1),"")))</f>
        <v/>
      </c>
      <c r="V94" s="24" t="str">
        <f t="shared" si="4"/>
        <v/>
      </c>
    </row>
    <row r="95" spans="3:22">
      <c r="C95" s="56"/>
      <c r="D95" s="57"/>
      <c r="Q95" s="26" t="str">
        <f t="shared" si="5"/>
        <v/>
      </c>
      <c r="T95" s="24" t="str">
        <f>IF(H95="","",IF(OR(H95="GREEN",H95="GK"),IF(S95&gt;=$AX$2,VLOOKUP(S95,$AX$2:$AY$12,2,1),""),IF(S95&gt;=$AZ$2,VLOOKUP(S95,$AZ$2:$BA$12,2,1),"")))</f>
        <v/>
      </c>
      <c r="V95" s="24" t="str">
        <f t="shared" si="4"/>
        <v/>
      </c>
    </row>
    <row r="96" spans="3:22">
      <c r="C96" s="56"/>
      <c r="D96" s="57"/>
      <c r="Q96" s="26" t="str">
        <f t="shared" si="5"/>
        <v/>
      </c>
      <c r="T96" s="24" t="str">
        <f t="shared" si="3"/>
        <v/>
      </c>
      <c r="V96" s="24" t="str">
        <f t="shared" si="4"/>
        <v/>
      </c>
    </row>
    <row r="97" spans="3:22">
      <c r="C97" s="56"/>
      <c r="D97" s="57"/>
      <c r="Q97" s="26" t="str">
        <f t="shared" si="5"/>
        <v/>
      </c>
      <c r="T97" s="24" t="str">
        <f t="shared" si="3"/>
        <v/>
      </c>
      <c r="V97" s="24" t="str">
        <f t="shared" si="4"/>
        <v/>
      </c>
    </row>
    <row r="98" spans="3:22">
      <c r="C98" s="56"/>
      <c r="D98" s="57"/>
      <c r="Q98" s="26" t="str">
        <f t="shared" si="5"/>
        <v/>
      </c>
      <c r="T98" s="24" t="str">
        <f t="shared" si="3"/>
        <v/>
      </c>
      <c r="V98" s="24" t="str">
        <f t="shared" si="4"/>
        <v/>
      </c>
    </row>
    <row r="99" spans="3:22">
      <c r="C99" s="56"/>
      <c r="D99" s="57"/>
      <c r="Q99" s="26" t="str">
        <f t="shared" si="5"/>
        <v/>
      </c>
      <c r="T99" s="24" t="str">
        <f t="shared" si="3"/>
        <v/>
      </c>
      <c r="V99" s="24" t="str">
        <f t="shared" si="4"/>
        <v/>
      </c>
    </row>
    <row r="100" spans="3:22">
      <c r="C100" s="56"/>
      <c r="D100" s="57"/>
      <c r="Q100" s="26" t="str">
        <f t="shared" si="5"/>
        <v/>
      </c>
      <c r="T100" s="24" t="str">
        <f t="shared" si="3"/>
        <v/>
      </c>
      <c r="V100" s="24" t="str">
        <f t="shared" si="4"/>
        <v/>
      </c>
    </row>
    <row r="101" spans="3:22">
      <c r="C101" s="56"/>
      <c r="D101" s="57"/>
      <c r="Q101" s="26" t="str">
        <f t="shared" si="5"/>
        <v/>
      </c>
      <c r="T101" s="24" t="str">
        <f t="shared" si="3"/>
        <v/>
      </c>
      <c r="V101" s="24" t="str">
        <f t="shared" si="4"/>
        <v/>
      </c>
    </row>
    <row r="102" spans="3:22">
      <c r="C102" s="56"/>
      <c r="D102" s="57"/>
      <c r="Q102" s="26" t="str">
        <f t="shared" si="5"/>
        <v/>
      </c>
      <c r="T102" s="24" t="str">
        <f t="shared" si="3"/>
        <v/>
      </c>
      <c r="V102" s="24" t="str">
        <f t="shared" si="4"/>
        <v/>
      </c>
    </row>
    <row r="103" spans="3:22">
      <c r="C103" s="56"/>
      <c r="D103" s="57"/>
      <c r="Q103" s="26" t="str">
        <f t="shared" si="5"/>
        <v/>
      </c>
      <c r="T103" s="24" t="str">
        <f t="shared" si="3"/>
        <v/>
      </c>
      <c r="V103" s="24" t="str">
        <f t="shared" si="4"/>
        <v/>
      </c>
    </row>
    <row r="104" spans="3:22">
      <c r="C104" s="56"/>
      <c r="D104" s="57"/>
      <c r="Q104" s="26" t="str">
        <f t="shared" si="5"/>
        <v/>
      </c>
      <c r="T104" s="24" t="str">
        <f t="shared" si="3"/>
        <v/>
      </c>
      <c r="V104" s="24" t="str">
        <f t="shared" si="4"/>
        <v/>
      </c>
    </row>
    <row r="105" spans="3:22">
      <c r="C105" s="56"/>
      <c r="D105" s="57"/>
      <c r="Q105" s="26" t="str">
        <f t="shared" si="5"/>
        <v/>
      </c>
      <c r="T105" s="24" t="str">
        <f t="shared" si="3"/>
        <v/>
      </c>
      <c r="V105" s="24" t="str">
        <f t="shared" si="4"/>
        <v/>
      </c>
    </row>
    <row r="106" spans="3:22">
      <c r="C106" s="56"/>
      <c r="D106" s="57"/>
      <c r="Q106" s="26" t="str">
        <f t="shared" si="5"/>
        <v/>
      </c>
      <c r="T106" s="24" t="str">
        <f t="shared" si="3"/>
        <v/>
      </c>
      <c r="V106" s="24" t="str">
        <f t="shared" si="4"/>
        <v/>
      </c>
    </row>
    <row r="107" spans="3:22">
      <c r="C107" s="56"/>
      <c r="D107" s="57"/>
      <c r="Q107" s="26" t="str">
        <f t="shared" si="5"/>
        <v/>
      </c>
      <c r="T107" s="24" t="str">
        <f t="shared" si="3"/>
        <v/>
      </c>
      <c r="V107" s="24" t="str">
        <f t="shared" si="4"/>
        <v/>
      </c>
    </row>
    <row r="108" spans="3:22">
      <c r="C108" s="56"/>
      <c r="D108" s="57"/>
      <c r="Q108" s="26" t="str">
        <f t="shared" si="5"/>
        <v/>
      </c>
      <c r="T108" s="24" t="str">
        <f t="shared" si="3"/>
        <v/>
      </c>
      <c r="V108" s="24" t="str">
        <f t="shared" si="4"/>
        <v/>
      </c>
    </row>
    <row r="109" spans="3:22">
      <c r="C109" s="56"/>
      <c r="D109" s="57"/>
      <c r="Q109" s="26" t="str">
        <f t="shared" si="5"/>
        <v/>
      </c>
      <c r="T109" s="24" t="str">
        <f t="shared" si="3"/>
        <v/>
      </c>
      <c r="V109" s="24" t="str">
        <f t="shared" si="4"/>
        <v/>
      </c>
    </row>
    <row r="110" spans="3:22">
      <c r="C110" s="56"/>
      <c r="D110" s="57"/>
      <c r="Q110" s="26" t="str">
        <f t="shared" si="5"/>
        <v/>
      </c>
      <c r="T110" s="24" t="str">
        <f t="shared" si="3"/>
        <v/>
      </c>
      <c r="V110" s="24" t="str">
        <f t="shared" si="4"/>
        <v/>
      </c>
    </row>
    <row r="111" spans="3:22">
      <c r="C111" s="56"/>
      <c r="D111" s="57"/>
      <c r="Q111" s="26" t="str">
        <f t="shared" si="5"/>
        <v/>
      </c>
      <c r="T111" s="24" t="str">
        <f t="shared" si="3"/>
        <v/>
      </c>
      <c r="V111" s="24" t="str">
        <f t="shared" si="4"/>
        <v/>
      </c>
    </row>
    <row r="112" spans="3:22">
      <c r="C112" s="56"/>
      <c r="D112" s="57"/>
      <c r="Q112" s="26" t="str">
        <f t="shared" si="5"/>
        <v/>
      </c>
      <c r="T112" s="24" t="str">
        <f t="shared" si="3"/>
        <v/>
      </c>
      <c r="V112" s="24" t="str">
        <f t="shared" si="4"/>
        <v/>
      </c>
    </row>
    <row r="113" spans="3:22">
      <c r="C113" s="56"/>
      <c r="D113" s="57"/>
      <c r="Q113" s="26" t="str">
        <f t="shared" si="5"/>
        <v/>
      </c>
      <c r="T113" s="24" t="str">
        <f t="shared" si="3"/>
        <v/>
      </c>
      <c r="V113" s="24" t="str">
        <f t="shared" si="4"/>
        <v/>
      </c>
    </row>
    <row r="114" spans="3:22">
      <c r="C114" s="56"/>
      <c r="D114" s="57"/>
      <c r="Q114" s="26" t="str">
        <f t="shared" si="5"/>
        <v/>
      </c>
      <c r="T114" s="24" t="str">
        <f t="shared" si="3"/>
        <v/>
      </c>
      <c r="V114" s="24" t="str">
        <f t="shared" si="4"/>
        <v/>
      </c>
    </row>
    <row r="115" spans="3:22">
      <c r="C115" s="56"/>
      <c r="D115" s="57"/>
      <c r="Q115" s="26" t="str">
        <f t="shared" si="5"/>
        <v/>
      </c>
      <c r="T115" s="24" t="str">
        <f t="shared" si="3"/>
        <v/>
      </c>
      <c r="V115" s="24" t="str">
        <f t="shared" si="4"/>
        <v/>
      </c>
    </row>
    <row r="116" spans="3:22">
      <c r="C116" s="56"/>
      <c r="D116" s="57"/>
      <c r="Q116" s="26" t="str">
        <f t="shared" si="5"/>
        <v/>
      </c>
      <c r="T116" s="24" t="str">
        <f t="shared" si="3"/>
        <v/>
      </c>
      <c r="V116" s="24" t="str">
        <f t="shared" si="4"/>
        <v/>
      </c>
    </row>
    <row r="117" spans="3:22">
      <c r="C117" s="56"/>
      <c r="D117" s="57"/>
      <c r="Q117" s="26" t="str">
        <f t="shared" si="5"/>
        <v/>
      </c>
      <c r="T117" s="24" t="str">
        <f t="shared" si="3"/>
        <v/>
      </c>
      <c r="V117" s="24" t="str">
        <f t="shared" si="4"/>
        <v/>
      </c>
    </row>
    <row r="118" spans="3:22">
      <c r="C118" s="56"/>
      <c r="D118" s="57"/>
      <c r="Q118" s="26" t="str">
        <f t="shared" si="5"/>
        <v/>
      </c>
      <c r="T118" s="24" t="str">
        <f t="shared" si="3"/>
        <v/>
      </c>
      <c r="V118" s="24" t="str">
        <f t="shared" si="4"/>
        <v/>
      </c>
    </row>
    <row r="119" spans="3:22">
      <c r="C119" s="56"/>
      <c r="D119" s="57"/>
      <c r="Q119" s="26" t="str">
        <f t="shared" si="5"/>
        <v/>
      </c>
      <c r="T119" s="24" t="str">
        <f t="shared" si="3"/>
        <v/>
      </c>
      <c r="V119" s="24" t="str">
        <f t="shared" si="4"/>
        <v/>
      </c>
    </row>
    <row r="120" spans="3:22">
      <c r="C120" s="56"/>
      <c r="D120" s="57"/>
      <c r="Q120" s="26" t="str">
        <f t="shared" si="5"/>
        <v/>
      </c>
      <c r="T120" s="24" t="str">
        <f t="shared" si="3"/>
        <v/>
      </c>
      <c r="V120" s="24" t="str">
        <f t="shared" si="4"/>
        <v/>
      </c>
    </row>
    <row r="121" spans="3:22">
      <c r="C121" s="56"/>
      <c r="D121" s="57"/>
      <c r="Q121" s="26" t="str">
        <f t="shared" si="5"/>
        <v/>
      </c>
      <c r="T121" s="24" t="str">
        <f t="shared" si="3"/>
        <v/>
      </c>
      <c r="V121" s="24" t="str">
        <f t="shared" si="4"/>
        <v/>
      </c>
    </row>
    <row r="122" spans="3:22">
      <c r="C122" s="56"/>
      <c r="D122" s="57"/>
      <c r="Q122" s="26" t="str">
        <f t="shared" si="5"/>
        <v/>
      </c>
      <c r="T122" s="24" t="str">
        <f t="shared" si="3"/>
        <v/>
      </c>
      <c r="V122" s="24" t="str">
        <f t="shared" si="4"/>
        <v/>
      </c>
    </row>
    <row r="123" spans="3:22">
      <c r="C123" s="56"/>
      <c r="D123" s="57"/>
      <c r="Q123" s="26" t="str">
        <f t="shared" si="5"/>
        <v/>
      </c>
      <c r="T123" s="24" t="str">
        <f t="shared" si="3"/>
        <v/>
      </c>
      <c r="V123" s="24" t="str">
        <f t="shared" si="4"/>
        <v/>
      </c>
    </row>
    <row r="124" spans="3:22">
      <c r="C124" s="56"/>
      <c r="D124" s="57"/>
      <c r="Q124" s="26" t="str">
        <f t="shared" si="5"/>
        <v/>
      </c>
      <c r="T124" s="24" t="str">
        <f t="shared" si="3"/>
        <v/>
      </c>
      <c r="V124" s="24" t="str">
        <f t="shared" si="4"/>
        <v/>
      </c>
    </row>
    <row r="125" spans="3:22">
      <c r="C125" s="56"/>
      <c r="D125" s="57"/>
      <c r="Q125" s="26" t="str">
        <f t="shared" si="5"/>
        <v/>
      </c>
      <c r="T125" s="24" t="str">
        <f t="shared" si="3"/>
        <v/>
      </c>
      <c r="V125" s="24" t="str">
        <f t="shared" si="4"/>
        <v/>
      </c>
    </row>
    <row r="126" spans="3:22">
      <c r="C126" s="56"/>
      <c r="D126" s="57"/>
      <c r="Q126" s="26" t="str">
        <f t="shared" si="5"/>
        <v/>
      </c>
      <c r="T126" s="24" t="str">
        <f t="shared" si="3"/>
        <v/>
      </c>
      <c r="V126" s="24" t="str">
        <f t="shared" si="4"/>
        <v/>
      </c>
    </row>
    <row r="127" spans="3:22">
      <c r="C127" s="56"/>
      <c r="D127" s="57"/>
      <c r="Q127" s="26" t="str">
        <f t="shared" si="5"/>
        <v/>
      </c>
      <c r="T127" s="24" t="str">
        <f t="shared" si="3"/>
        <v/>
      </c>
      <c r="V127" s="24" t="str">
        <f t="shared" si="4"/>
        <v/>
      </c>
    </row>
    <row r="128" spans="3:22">
      <c r="C128" s="56"/>
      <c r="D128" s="57"/>
      <c r="Q128" s="26" t="str">
        <f>IF(OR(O128="",P128=""),"",AVERAGE(O128,P128))</f>
        <v/>
      </c>
      <c r="T128" s="24" t="str">
        <f t="shared" si="3"/>
        <v/>
      </c>
      <c r="V128" s="24" t="str">
        <f t="shared" si="4"/>
        <v/>
      </c>
    </row>
    <row r="129" spans="3:22">
      <c r="C129" s="56"/>
      <c r="D129" s="57"/>
      <c r="Q129" s="26" t="str">
        <f t="shared" ref="Q129:Q192" si="6">IF(OR(O129="",P129=""),"",AVERAGE(O129,P129))</f>
        <v/>
      </c>
      <c r="T129" s="24" t="str">
        <f t="shared" si="3"/>
        <v/>
      </c>
      <c r="V129" s="24" t="str">
        <f t="shared" si="4"/>
        <v/>
      </c>
    </row>
    <row r="130" spans="3:22">
      <c r="C130" s="56"/>
      <c r="D130" s="57"/>
      <c r="Q130" s="26" t="str">
        <f t="shared" si="6"/>
        <v/>
      </c>
      <c r="T130" s="24" t="str">
        <f t="shared" si="3"/>
        <v/>
      </c>
      <c r="V130" s="24" t="str">
        <f t="shared" si="4"/>
        <v/>
      </c>
    </row>
    <row r="131" spans="3:22">
      <c r="C131" s="56"/>
      <c r="D131" s="57"/>
      <c r="Q131" s="26" t="str">
        <f t="shared" si="6"/>
        <v/>
      </c>
      <c r="T131" s="24" t="str">
        <f t="shared" si="3"/>
        <v/>
      </c>
      <c r="V131" s="24" t="str">
        <f t="shared" si="4"/>
        <v/>
      </c>
    </row>
    <row r="132" spans="3:22">
      <c r="C132" s="56"/>
      <c r="D132" s="57"/>
      <c r="Q132" s="26" t="str">
        <f>IF(OR(O132="",P132=""),"",AVERAGE(O132,P132))</f>
        <v/>
      </c>
      <c r="T132" s="24" t="str">
        <f t="shared" si="3"/>
        <v/>
      </c>
      <c r="V132" s="24" t="str">
        <f t="shared" si="4"/>
        <v/>
      </c>
    </row>
    <row r="133" spans="3:22">
      <c r="C133" s="56"/>
      <c r="D133" s="57"/>
      <c r="Q133" s="26" t="str">
        <f t="shared" si="6"/>
        <v/>
      </c>
      <c r="T133" s="24" t="str">
        <f t="shared" si="3"/>
        <v/>
      </c>
      <c r="V133" s="24" t="str">
        <f t="shared" si="4"/>
        <v/>
      </c>
    </row>
    <row r="134" spans="3:22">
      <c r="C134" s="56"/>
      <c r="D134" s="57"/>
      <c r="Q134" s="26" t="str">
        <f t="shared" si="6"/>
        <v/>
      </c>
      <c r="T134" s="24" t="str">
        <f t="shared" si="3"/>
        <v/>
      </c>
      <c r="V134" s="24" t="str">
        <f t="shared" si="4"/>
        <v/>
      </c>
    </row>
    <row r="135" spans="3:22">
      <c r="C135" s="56"/>
      <c r="D135" s="57"/>
      <c r="Q135" s="26" t="str">
        <f t="shared" si="6"/>
        <v/>
      </c>
      <c r="T135" s="24" t="str">
        <f t="shared" ref="T135:T149" si="7">IF(H135="","",IF(OR(H135="GREEN",H135="GK"),IF(S135&gt;=$AX$2,VLOOKUP(S135,$AX$2:$AY$12,2,1),""),IF(S135&gt;=$AZ$2,VLOOKUP(S135,$AZ$2:$BA$12,2,1),"")))</f>
        <v/>
      </c>
      <c r="V135" s="24" t="str">
        <f t="shared" si="4"/>
        <v/>
      </c>
    </row>
    <row r="136" spans="3:22">
      <c r="C136" s="56"/>
      <c r="D136" s="57"/>
      <c r="Q136" s="26" t="str">
        <f t="shared" si="6"/>
        <v/>
      </c>
      <c r="T136" s="24" t="str">
        <f t="shared" si="7"/>
        <v/>
      </c>
      <c r="V136" s="24" t="str">
        <f t="shared" si="4"/>
        <v/>
      </c>
    </row>
    <row r="137" spans="3:22">
      <c r="C137" s="56"/>
      <c r="D137" s="57"/>
      <c r="Q137" s="26" t="str">
        <f t="shared" si="6"/>
        <v/>
      </c>
      <c r="T137" s="24" t="str">
        <f t="shared" si="7"/>
        <v/>
      </c>
      <c r="V137" s="24" t="str">
        <f t="shared" si="4"/>
        <v/>
      </c>
    </row>
    <row r="138" spans="3:22">
      <c r="C138" s="56"/>
      <c r="D138" s="57"/>
      <c r="Q138" s="26" t="str">
        <f t="shared" si="6"/>
        <v/>
      </c>
      <c r="T138" s="24" t="str">
        <f t="shared" si="7"/>
        <v/>
      </c>
      <c r="V138" s="24" t="str">
        <f t="shared" si="4"/>
        <v/>
      </c>
    </row>
    <row r="139" spans="3:22">
      <c r="C139" s="56"/>
      <c r="D139" s="57"/>
      <c r="Q139" s="26" t="str">
        <f t="shared" si="6"/>
        <v/>
      </c>
      <c r="T139" s="24" t="str">
        <f t="shared" si="7"/>
        <v/>
      </c>
      <c r="V139" s="24" t="str">
        <f t="shared" si="4"/>
        <v/>
      </c>
    </row>
    <row r="140" spans="3:22">
      <c r="C140" s="56"/>
      <c r="D140" s="57"/>
      <c r="Q140" s="26" t="str">
        <f t="shared" si="6"/>
        <v/>
      </c>
      <c r="T140" s="24" t="str">
        <f t="shared" si="7"/>
        <v/>
      </c>
      <c r="V140" s="24" t="str">
        <f t="shared" si="4"/>
        <v/>
      </c>
    </row>
    <row r="141" spans="3:22">
      <c r="C141" s="56"/>
      <c r="D141" s="57"/>
      <c r="Q141" s="26" t="str">
        <f t="shared" si="6"/>
        <v/>
      </c>
      <c r="T141" s="24" t="str">
        <f t="shared" si="7"/>
        <v/>
      </c>
      <c r="V141" s="24" t="str">
        <f t="shared" si="4"/>
        <v/>
      </c>
    </row>
    <row r="142" spans="3:22">
      <c r="C142" s="56"/>
      <c r="D142" s="57"/>
      <c r="Q142" s="26" t="str">
        <f t="shared" si="6"/>
        <v/>
      </c>
      <c r="T142" s="24" t="str">
        <f t="shared" si="7"/>
        <v/>
      </c>
      <c r="V142" s="24" t="str">
        <f t="shared" si="4"/>
        <v/>
      </c>
    </row>
    <row r="143" spans="3:22">
      <c r="Q143" s="26" t="str">
        <f t="shared" si="6"/>
        <v/>
      </c>
      <c r="T143" s="24" t="str">
        <f t="shared" si="7"/>
        <v/>
      </c>
      <c r="V143" s="24" t="str">
        <f t="shared" si="4"/>
        <v/>
      </c>
    </row>
    <row r="144" spans="3:22">
      <c r="Q144" s="26" t="str">
        <f t="shared" si="6"/>
        <v/>
      </c>
      <c r="T144" s="24" t="str">
        <f t="shared" si="7"/>
        <v/>
      </c>
      <c r="V144" s="24" t="str">
        <f t="shared" si="4"/>
        <v/>
      </c>
    </row>
    <row r="145" spans="17:22">
      <c r="Q145" s="26" t="str">
        <f t="shared" si="6"/>
        <v/>
      </c>
      <c r="T145" s="24" t="str">
        <f t="shared" si="7"/>
        <v/>
      </c>
      <c r="V145" s="24" t="str">
        <f t="shared" si="4"/>
        <v/>
      </c>
    </row>
    <row r="146" spans="17:22">
      <c r="Q146" s="26" t="str">
        <f t="shared" si="6"/>
        <v/>
      </c>
      <c r="T146" s="24" t="str">
        <f t="shared" si="7"/>
        <v/>
      </c>
      <c r="V146" s="24" t="str">
        <f t="shared" si="4"/>
        <v/>
      </c>
    </row>
    <row r="147" spans="17:22">
      <c r="Q147" s="26" t="str">
        <f t="shared" si="6"/>
        <v/>
      </c>
      <c r="T147" s="24" t="str">
        <f t="shared" si="7"/>
        <v/>
      </c>
      <c r="V147" s="24" t="str">
        <f t="shared" si="4"/>
        <v/>
      </c>
    </row>
    <row r="148" spans="17:22">
      <c r="Q148" s="26" t="str">
        <f t="shared" si="6"/>
        <v/>
      </c>
      <c r="T148" s="24" t="str">
        <f t="shared" si="7"/>
        <v/>
      </c>
      <c r="V148" s="24" t="str">
        <f t="shared" si="4"/>
        <v/>
      </c>
    </row>
    <row r="149" spans="17:22">
      <c r="Q149" s="26" t="str">
        <f t="shared" si="6"/>
        <v/>
      </c>
      <c r="T149" s="24" t="str">
        <f t="shared" si="7"/>
        <v/>
      </c>
      <c r="V149" s="24" t="str">
        <f t="shared" si="4"/>
        <v/>
      </c>
    </row>
    <row r="150" spans="17:22">
      <c r="Q150" s="26" t="str">
        <f t="shared" si="6"/>
        <v/>
      </c>
    </row>
    <row r="151" spans="17:22">
      <c r="Q151" s="26" t="str">
        <f t="shared" si="6"/>
        <v/>
      </c>
    </row>
    <row r="152" spans="17:22">
      <c r="Q152" s="26" t="str">
        <f t="shared" si="6"/>
        <v/>
      </c>
    </row>
    <row r="153" spans="17:22">
      <c r="Q153" s="26" t="str">
        <f t="shared" si="6"/>
        <v/>
      </c>
    </row>
    <row r="154" spans="17:22">
      <c r="Q154" s="26" t="str">
        <f t="shared" si="6"/>
        <v/>
      </c>
    </row>
    <row r="155" spans="17:22">
      <c r="Q155" s="26" t="str">
        <f t="shared" si="6"/>
        <v/>
      </c>
    </row>
    <row r="156" spans="17:22">
      <c r="Q156" s="26" t="str">
        <f t="shared" si="6"/>
        <v/>
      </c>
    </row>
    <row r="157" spans="17:22">
      <c r="Q157" s="26" t="str">
        <f t="shared" si="6"/>
        <v/>
      </c>
    </row>
    <row r="158" spans="17:22">
      <c r="Q158" s="26" t="str">
        <f t="shared" si="6"/>
        <v/>
      </c>
    </row>
    <row r="159" spans="17:22">
      <c r="Q159" s="26" t="str">
        <f t="shared" si="6"/>
        <v/>
      </c>
    </row>
    <row r="160" spans="17:22">
      <c r="Q160" s="26" t="str">
        <f t="shared" si="6"/>
        <v/>
      </c>
    </row>
    <row r="161" spans="17:17">
      <c r="Q161" s="26" t="str">
        <f t="shared" si="6"/>
        <v/>
      </c>
    </row>
    <row r="162" spans="17:17">
      <c r="Q162" s="26" t="str">
        <f t="shared" si="6"/>
        <v/>
      </c>
    </row>
    <row r="163" spans="17:17">
      <c r="Q163" s="26" t="str">
        <f t="shared" si="6"/>
        <v/>
      </c>
    </row>
    <row r="164" spans="17:17">
      <c r="Q164" s="26" t="str">
        <f t="shared" si="6"/>
        <v/>
      </c>
    </row>
    <row r="165" spans="17:17">
      <c r="Q165" s="26" t="str">
        <f t="shared" si="6"/>
        <v/>
      </c>
    </row>
    <row r="166" spans="17:17">
      <c r="Q166" s="26" t="str">
        <f t="shared" si="6"/>
        <v/>
      </c>
    </row>
    <row r="167" spans="17:17">
      <c r="Q167" s="26" t="str">
        <f t="shared" si="6"/>
        <v/>
      </c>
    </row>
    <row r="168" spans="17:17">
      <c r="Q168" s="26" t="str">
        <f t="shared" si="6"/>
        <v/>
      </c>
    </row>
    <row r="169" spans="17:17">
      <c r="Q169" s="26" t="str">
        <f t="shared" si="6"/>
        <v/>
      </c>
    </row>
    <row r="170" spans="17:17">
      <c r="Q170" s="26" t="str">
        <f t="shared" si="6"/>
        <v/>
      </c>
    </row>
    <row r="171" spans="17:17">
      <c r="Q171" s="26" t="str">
        <f t="shared" si="6"/>
        <v/>
      </c>
    </row>
    <row r="172" spans="17:17">
      <c r="Q172" s="26" t="str">
        <f t="shared" si="6"/>
        <v/>
      </c>
    </row>
    <row r="173" spans="17:17">
      <c r="Q173" s="26" t="str">
        <f t="shared" si="6"/>
        <v/>
      </c>
    </row>
    <row r="174" spans="17:17">
      <c r="Q174" s="26" t="str">
        <f t="shared" si="6"/>
        <v/>
      </c>
    </row>
    <row r="175" spans="17:17">
      <c r="Q175" s="26" t="str">
        <f t="shared" si="6"/>
        <v/>
      </c>
    </row>
    <row r="176" spans="17:17">
      <c r="Q176" s="26" t="str">
        <f t="shared" si="6"/>
        <v/>
      </c>
    </row>
    <row r="177" spans="17:17">
      <c r="Q177" s="26" t="str">
        <f t="shared" si="6"/>
        <v/>
      </c>
    </row>
    <row r="178" spans="17:17">
      <c r="Q178" s="26" t="str">
        <f t="shared" si="6"/>
        <v/>
      </c>
    </row>
    <row r="179" spans="17:17">
      <c r="Q179" s="26" t="str">
        <f t="shared" si="6"/>
        <v/>
      </c>
    </row>
    <row r="180" spans="17:17">
      <c r="Q180" s="26" t="str">
        <f t="shared" si="6"/>
        <v/>
      </c>
    </row>
    <row r="181" spans="17:17">
      <c r="Q181" s="26" t="str">
        <f t="shared" si="6"/>
        <v/>
      </c>
    </row>
    <row r="182" spans="17:17">
      <c r="Q182" s="26" t="str">
        <f t="shared" si="6"/>
        <v/>
      </c>
    </row>
    <row r="183" spans="17:17">
      <c r="Q183" s="26" t="str">
        <f t="shared" si="6"/>
        <v/>
      </c>
    </row>
    <row r="184" spans="17:17">
      <c r="Q184" s="26" t="str">
        <f t="shared" si="6"/>
        <v/>
      </c>
    </row>
    <row r="185" spans="17:17">
      <c r="Q185" s="26" t="str">
        <f t="shared" si="6"/>
        <v/>
      </c>
    </row>
    <row r="186" spans="17:17">
      <c r="Q186" s="26" t="str">
        <f t="shared" si="6"/>
        <v/>
      </c>
    </row>
    <row r="187" spans="17:17">
      <c r="Q187" s="26" t="str">
        <f t="shared" si="6"/>
        <v/>
      </c>
    </row>
    <row r="188" spans="17:17">
      <c r="Q188" s="26" t="str">
        <f t="shared" si="6"/>
        <v/>
      </c>
    </row>
    <row r="189" spans="17:17">
      <c r="Q189" s="26" t="str">
        <f t="shared" si="6"/>
        <v/>
      </c>
    </row>
    <row r="190" spans="17:17">
      <c r="Q190" s="26" t="str">
        <f t="shared" si="6"/>
        <v/>
      </c>
    </row>
    <row r="191" spans="17:17">
      <c r="Q191" s="26" t="str">
        <f t="shared" si="6"/>
        <v/>
      </c>
    </row>
    <row r="192" spans="17:17">
      <c r="Q192" s="26" t="str">
        <f t="shared" si="6"/>
        <v/>
      </c>
    </row>
    <row r="193" spans="17:17">
      <c r="Q193" s="26" t="str">
        <f t="shared" ref="Q193:Q216" si="8">IF(OR(O193="",P193=""),"",AVERAGE(O193,P193))</f>
        <v/>
      </c>
    </row>
    <row r="194" spans="17:17">
      <c r="Q194" s="26" t="str">
        <f t="shared" si="8"/>
        <v/>
      </c>
    </row>
    <row r="195" spans="17:17">
      <c r="Q195" s="26" t="str">
        <f t="shared" si="8"/>
        <v/>
      </c>
    </row>
    <row r="196" spans="17:17">
      <c r="Q196" s="26" t="str">
        <f t="shared" si="8"/>
        <v/>
      </c>
    </row>
    <row r="197" spans="17:17">
      <c r="Q197" s="26" t="str">
        <f t="shared" si="8"/>
        <v/>
      </c>
    </row>
    <row r="198" spans="17:17">
      <c r="Q198" s="26" t="str">
        <f t="shared" si="8"/>
        <v/>
      </c>
    </row>
    <row r="199" spans="17:17">
      <c r="Q199" s="26" t="str">
        <f t="shared" si="8"/>
        <v/>
      </c>
    </row>
    <row r="200" spans="17:17">
      <c r="Q200" s="26" t="str">
        <f t="shared" si="8"/>
        <v/>
      </c>
    </row>
    <row r="201" spans="17:17">
      <c r="Q201" s="26" t="str">
        <f t="shared" si="8"/>
        <v/>
      </c>
    </row>
    <row r="202" spans="17:17">
      <c r="Q202" s="26" t="str">
        <f t="shared" si="8"/>
        <v/>
      </c>
    </row>
    <row r="203" spans="17:17">
      <c r="Q203" s="26" t="str">
        <f t="shared" si="8"/>
        <v/>
      </c>
    </row>
    <row r="204" spans="17:17">
      <c r="Q204" s="26" t="str">
        <f t="shared" si="8"/>
        <v/>
      </c>
    </row>
    <row r="205" spans="17:17">
      <c r="Q205" s="26" t="str">
        <f t="shared" si="8"/>
        <v/>
      </c>
    </row>
    <row r="206" spans="17:17">
      <c r="Q206" s="26" t="str">
        <f t="shared" si="8"/>
        <v/>
      </c>
    </row>
    <row r="207" spans="17:17">
      <c r="Q207" s="26" t="str">
        <f t="shared" si="8"/>
        <v/>
      </c>
    </row>
    <row r="208" spans="17:17">
      <c r="Q208" s="26" t="str">
        <f t="shared" si="8"/>
        <v/>
      </c>
    </row>
    <row r="209" spans="17:17">
      <c r="Q209" s="26" t="str">
        <f t="shared" si="8"/>
        <v/>
      </c>
    </row>
    <row r="210" spans="17:17">
      <c r="Q210" s="26" t="str">
        <f t="shared" si="8"/>
        <v/>
      </c>
    </row>
    <row r="211" spans="17:17">
      <c r="Q211" s="26" t="str">
        <f t="shared" si="8"/>
        <v/>
      </c>
    </row>
    <row r="212" spans="17:17">
      <c r="Q212" s="26" t="str">
        <f t="shared" si="8"/>
        <v/>
      </c>
    </row>
    <row r="213" spans="17:17">
      <c r="Q213" s="26" t="str">
        <f t="shared" si="8"/>
        <v/>
      </c>
    </row>
    <row r="214" spans="17:17">
      <c r="Q214" s="26" t="str">
        <f t="shared" si="8"/>
        <v/>
      </c>
    </row>
    <row r="215" spans="17:17">
      <c r="Q215" s="26" t="str">
        <f t="shared" si="8"/>
        <v/>
      </c>
    </row>
    <row r="216" spans="17:17">
      <c r="Q216" s="26" t="str">
        <f t="shared" si="8"/>
        <v/>
      </c>
    </row>
  </sheetData>
  <autoFilter ref="A1:BA149" xr:uid="{00000000-0009-0000-0000-000005000000}"/>
  <phoneticPr fontId="3"/>
  <dataValidations count="20">
    <dataValidation type="list" allowBlank="1" showInputMessage="1" showErrorMessage="1" sqref="K65532:K65610 K131068:K131146 K196604:K196682 K262140:K262218 K327676:K327754 K393212:K393290 K458748:K458826 K524284:K524362 K589820:K589898 K655356:K655434 K720892:K720970 K786428:K786506 K851964:K852042 K917500:K917578 K983036:K983114" xr:uid="{AE4943D2-F0E6-4F24-9015-EF980905684D}">
      <formula1>$AR$2:$AR$30</formula1>
    </dataValidation>
    <dataValidation type="list" allowBlank="1" showInputMessage="1" showErrorMessage="1" sqref="WVS983031:WVS983096 FAY2:FAY59 JG65527:JG65592 TC65527:TC65592 ACY65527:ACY65592 AMU65527:AMU65592 AWQ65527:AWQ65592 BGM65527:BGM65592 BQI65527:BQI65592 CAE65527:CAE65592 CKA65527:CKA65592 CTW65527:CTW65592 DDS65527:DDS65592 DNO65527:DNO65592 DXK65527:DXK65592 EHG65527:EHG65592 ERC65527:ERC65592 FAY65527:FAY65592 FKU65527:FKU65592 FUQ65527:FUQ65592 GEM65527:GEM65592 GOI65527:GOI65592 GYE65527:GYE65592 HIA65527:HIA65592 HRW65527:HRW65592 IBS65527:IBS65592 ILO65527:ILO65592 IVK65527:IVK65592 JFG65527:JFG65592 JPC65527:JPC65592 JYY65527:JYY65592 KIU65527:KIU65592 KSQ65527:KSQ65592 LCM65527:LCM65592 LMI65527:LMI65592 LWE65527:LWE65592 MGA65527:MGA65592 MPW65527:MPW65592 MZS65527:MZS65592 NJO65527:NJO65592 NTK65527:NTK65592 ODG65527:ODG65592 ONC65527:ONC65592 OWY65527:OWY65592 PGU65527:PGU65592 PQQ65527:PQQ65592 QAM65527:QAM65592 QKI65527:QKI65592 QUE65527:QUE65592 REA65527:REA65592 RNW65527:RNW65592 RXS65527:RXS65592 SHO65527:SHO65592 SRK65527:SRK65592 TBG65527:TBG65592 TLC65527:TLC65592 TUY65527:TUY65592 UEU65527:UEU65592 UOQ65527:UOQ65592 UYM65527:UYM65592 VII65527:VII65592 VSE65527:VSE65592 WCA65527:WCA65592 WLW65527:WLW65592 WVS65527:WVS65592 ERC2:ERC59 JG131063:JG131128 TC131063:TC131128 ACY131063:ACY131128 AMU131063:AMU131128 AWQ131063:AWQ131128 BGM131063:BGM131128 BQI131063:BQI131128 CAE131063:CAE131128 CKA131063:CKA131128 CTW131063:CTW131128 DDS131063:DDS131128 DNO131063:DNO131128 DXK131063:DXK131128 EHG131063:EHG131128 ERC131063:ERC131128 FAY131063:FAY131128 FKU131063:FKU131128 FUQ131063:FUQ131128 GEM131063:GEM131128 GOI131063:GOI131128 GYE131063:GYE131128 HIA131063:HIA131128 HRW131063:HRW131128 IBS131063:IBS131128 ILO131063:ILO131128 IVK131063:IVK131128 JFG131063:JFG131128 JPC131063:JPC131128 JYY131063:JYY131128 KIU131063:KIU131128 KSQ131063:KSQ131128 LCM131063:LCM131128 LMI131063:LMI131128 LWE131063:LWE131128 MGA131063:MGA131128 MPW131063:MPW131128 MZS131063:MZS131128 NJO131063:NJO131128 NTK131063:NTK131128 ODG131063:ODG131128 ONC131063:ONC131128 OWY131063:OWY131128 PGU131063:PGU131128 PQQ131063:PQQ131128 QAM131063:QAM131128 QKI131063:QKI131128 QUE131063:QUE131128 REA131063:REA131128 RNW131063:RNW131128 RXS131063:RXS131128 SHO131063:SHO131128 SRK131063:SRK131128 TBG131063:TBG131128 TLC131063:TLC131128 TUY131063:TUY131128 UEU131063:UEU131128 UOQ131063:UOQ131128 UYM131063:UYM131128 VII131063:VII131128 VSE131063:VSE131128 WCA131063:WCA131128 WLW131063:WLW131128 WVS131063:WVS131128 EHG2:EHG59 JG196599:JG196664 TC196599:TC196664 ACY196599:ACY196664 AMU196599:AMU196664 AWQ196599:AWQ196664 BGM196599:BGM196664 BQI196599:BQI196664 CAE196599:CAE196664 CKA196599:CKA196664 CTW196599:CTW196664 DDS196599:DDS196664 DNO196599:DNO196664 DXK196599:DXK196664 EHG196599:EHG196664 ERC196599:ERC196664 FAY196599:FAY196664 FKU196599:FKU196664 FUQ196599:FUQ196664 GEM196599:GEM196664 GOI196599:GOI196664 GYE196599:GYE196664 HIA196599:HIA196664 HRW196599:HRW196664 IBS196599:IBS196664 ILO196599:ILO196664 IVK196599:IVK196664 JFG196599:JFG196664 JPC196599:JPC196664 JYY196599:JYY196664 KIU196599:KIU196664 KSQ196599:KSQ196664 LCM196599:LCM196664 LMI196599:LMI196664 LWE196599:LWE196664 MGA196599:MGA196664 MPW196599:MPW196664 MZS196599:MZS196664 NJO196599:NJO196664 NTK196599:NTK196664 ODG196599:ODG196664 ONC196599:ONC196664 OWY196599:OWY196664 PGU196599:PGU196664 PQQ196599:PQQ196664 QAM196599:QAM196664 QKI196599:QKI196664 QUE196599:QUE196664 REA196599:REA196664 RNW196599:RNW196664 RXS196599:RXS196664 SHO196599:SHO196664 SRK196599:SRK196664 TBG196599:TBG196664 TLC196599:TLC196664 TUY196599:TUY196664 UEU196599:UEU196664 UOQ196599:UOQ196664 UYM196599:UYM196664 VII196599:VII196664 VSE196599:VSE196664 WCA196599:WCA196664 WLW196599:WLW196664 WVS196599:WVS196664 DXK2:DXK59 JG262135:JG262200 TC262135:TC262200 ACY262135:ACY262200 AMU262135:AMU262200 AWQ262135:AWQ262200 BGM262135:BGM262200 BQI262135:BQI262200 CAE262135:CAE262200 CKA262135:CKA262200 CTW262135:CTW262200 DDS262135:DDS262200 DNO262135:DNO262200 DXK262135:DXK262200 EHG262135:EHG262200 ERC262135:ERC262200 FAY262135:FAY262200 FKU262135:FKU262200 FUQ262135:FUQ262200 GEM262135:GEM262200 GOI262135:GOI262200 GYE262135:GYE262200 HIA262135:HIA262200 HRW262135:HRW262200 IBS262135:IBS262200 ILO262135:ILO262200 IVK262135:IVK262200 JFG262135:JFG262200 JPC262135:JPC262200 JYY262135:JYY262200 KIU262135:KIU262200 KSQ262135:KSQ262200 LCM262135:LCM262200 LMI262135:LMI262200 LWE262135:LWE262200 MGA262135:MGA262200 MPW262135:MPW262200 MZS262135:MZS262200 NJO262135:NJO262200 NTK262135:NTK262200 ODG262135:ODG262200 ONC262135:ONC262200 OWY262135:OWY262200 PGU262135:PGU262200 PQQ262135:PQQ262200 QAM262135:QAM262200 QKI262135:QKI262200 QUE262135:QUE262200 REA262135:REA262200 RNW262135:RNW262200 RXS262135:RXS262200 SHO262135:SHO262200 SRK262135:SRK262200 TBG262135:TBG262200 TLC262135:TLC262200 TUY262135:TUY262200 UEU262135:UEU262200 UOQ262135:UOQ262200 UYM262135:UYM262200 VII262135:VII262200 VSE262135:VSE262200 WCA262135:WCA262200 WLW262135:WLW262200 WVS262135:WVS262200 DNO2:DNO59 JG327671:JG327736 TC327671:TC327736 ACY327671:ACY327736 AMU327671:AMU327736 AWQ327671:AWQ327736 BGM327671:BGM327736 BQI327671:BQI327736 CAE327671:CAE327736 CKA327671:CKA327736 CTW327671:CTW327736 DDS327671:DDS327736 DNO327671:DNO327736 DXK327671:DXK327736 EHG327671:EHG327736 ERC327671:ERC327736 FAY327671:FAY327736 FKU327671:FKU327736 FUQ327671:FUQ327736 GEM327671:GEM327736 GOI327671:GOI327736 GYE327671:GYE327736 HIA327671:HIA327736 HRW327671:HRW327736 IBS327671:IBS327736 ILO327671:ILO327736 IVK327671:IVK327736 JFG327671:JFG327736 JPC327671:JPC327736 JYY327671:JYY327736 KIU327671:KIU327736 KSQ327671:KSQ327736 LCM327671:LCM327736 LMI327671:LMI327736 LWE327671:LWE327736 MGA327671:MGA327736 MPW327671:MPW327736 MZS327671:MZS327736 NJO327671:NJO327736 NTK327671:NTK327736 ODG327671:ODG327736 ONC327671:ONC327736 OWY327671:OWY327736 PGU327671:PGU327736 PQQ327671:PQQ327736 QAM327671:QAM327736 QKI327671:QKI327736 QUE327671:QUE327736 REA327671:REA327736 RNW327671:RNW327736 RXS327671:RXS327736 SHO327671:SHO327736 SRK327671:SRK327736 TBG327671:TBG327736 TLC327671:TLC327736 TUY327671:TUY327736 UEU327671:UEU327736 UOQ327671:UOQ327736 UYM327671:UYM327736 VII327671:VII327736 VSE327671:VSE327736 WCA327671:WCA327736 WLW327671:WLW327736 WVS327671:WVS327736 DDS2:DDS59 JG393207:JG393272 TC393207:TC393272 ACY393207:ACY393272 AMU393207:AMU393272 AWQ393207:AWQ393272 BGM393207:BGM393272 BQI393207:BQI393272 CAE393207:CAE393272 CKA393207:CKA393272 CTW393207:CTW393272 DDS393207:DDS393272 DNO393207:DNO393272 DXK393207:DXK393272 EHG393207:EHG393272 ERC393207:ERC393272 FAY393207:FAY393272 FKU393207:FKU393272 FUQ393207:FUQ393272 GEM393207:GEM393272 GOI393207:GOI393272 GYE393207:GYE393272 HIA393207:HIA393272 HRW393207:HRW393272 IBS393207:IBS393272 ILO393207:ILO393272 IVK393207:IVK393272 JFG393207:JFG393272 JPC393207:JPC393272 JYY393207:JYY393272 KIU393207:KIU393272 KSQ393207:KSQ393272 LCM393207:LCM393272 LMI393207:LMI393272 LWE393207:LWE393272 MGA393207:MGA393272 MPW393207:MPW393272 MZS393207:MZS393272 NJO393207:NJO393272 NTK393207:NTK393272 ODG393207:ODG393272 ONC393207:ONC393272 OWY393207:OWY393272 PGU393207:PGU393272 PQQ393207:PQQ393272 QAM393207:QAM393272 QKI393207:QKI393272 QUE393207:QUE393272 REA393207:REA393272 RNW393207:RNW393272 RXS393207:RXS393272 SHO393207:SHO393272 SRK393207:SRK393272 TBG393207:TBG393272 TLC393207:TLC393272 TUY393207:TUY393272 UEU393207:UEU393272 UOQ393207:UOQ393272 UYM393207:UYM393272 VII393207:VII393272 VSE393207:VSE393272 WCA393207:WCA393272 WLW393207:WLW393272 WVS393207:WVS393272 CTW2:CTW59 JG458743:JG458808 TC458743:TC458808 ACY458743:ACY458808 AMU458743:AMU458808 AWQ458743:AWQ458808 BGM458743:BGM458808 BQI458743:BQI458808 CAE458743:CAE458808 CKA458743:CKA458808 CTW458743:CTW458808 DDS458743:DDS458808 DNO458743:DNO458808 DXK458743:DXK458808 EHG458743:EHG458808 ERC458743:ERC458808 FAY458743:FAY458808 FKU458743:FKU458808 FUQ458743:FUQ458808 GEM458743:GEM458808 GOI458743:GOI458808 GYE458743:GYE458808 HIA458743:HIA458808 HRW458743:HRW458808 IBS458743:IBS458808 ILO458743:ILO458808 IVK458743:IVK458808 JFG458743:JFG458808 JPC458743:JPC458808 JYY458743:JYY458808 KIU458743:KIU458808 KSQ458743:KSQ458808 LCM458743:LCM458808 LMI458743:LMI458808 LWE458743:LWE458808 MGA458743:MGA458808 MPW458743:MPW458808 MZS458743:MZS458808 NJO458743:NJO458808 NTK458743:NTK458808 ODG458743:ODG458808 ONC458743:ONC458808 OWY458743:OWY458808 PGU458743:PGU458808 PQQ458743:PQQ458808 QAM458743:QAM458808 QKI458743:QKI458808 QUE458743:QUE458808 REA458743:REA458808 RNW458743:RNW458808 RXS458743:RXS458808 SHO458743:SHO458808 SRK458743:SRK458808 TBG458743:TBG458808 TLC458743:TLC458808 TUY458743:TUY458808 UEU458743:UEU458808 UOQ458743:UOQ458808 UYM458743:UYM458808 VII458743:VII458808 VSE458743:VSE458808 WCA458743:WCA458808 WLW458743:WLW458808 WVS458743:WVS458808 CKA2:CKA59 JG524279:JG524344 TC524279:TC524344 ACY524279:ACY524344 AMU524279:AMU524344 AWQ524279:AWQ524344 BGM524279:BGM524344 BQI524279:BQI524344 CAE524279:CAE524344 CKA524279:CKA524344 CTW524279:CTW524344 DDS524279:DDS524344 DNO524279:DNO524344 DXK524279:DXK524344 EHG524279:EHG524344 ERC524279:ERC524344 FAY524279:FAY524344 FKU524279:FKU524344 FUQ524279:FUQ524344 GEM524279:GEM524344 GOI524279:GOI524344 GYE524279:GYE524344 HIA524279:HIA524344 HRW524279:HRW524344 IBS524279:IBS524344 ILO524279:ILO524344 IVK524279:IVK524344 JFG524279:JFG524344 JPC524279:JPC524344 JYY524279:JYY524344 KIU524279:KIU524344 KSQ524279:KSQ524344 LCM524279:LCM524344 LMI524279:LMI524344 LWE524279:LWE524344 MGA524279:MGA524344 MPW524279:MPW524344 MZS524279:MZS524344 NJO524279:NJO524344 NTK524279:NTK524344 ODG524279:ODG524344 ONC524279:ONC524344 OWY524279:OWY524344 PGU524279:PGU524344 PQQ524279:PQQ524344 QAM524279:QAM524344 QKI524279:QKI524344 QUE524279:QUE524344 REA524279:REA524344 RNW524279:RNW524344 RXS524279:RXS524344 SHO524279:SHO524344 SRK524279:SRK524344 TBG524279:TBG524344 TLC524279:TLC524344 TUY524279:TUY524344 UEU524279:UEU524344 UOQ524279:UOQ524344 UYM524279:UYM524344 VII524279:VII524344 VSE524279:VSE524344 WCA524279:WCA524344 WLW524279:WLW524344 WVS524279:WVS524344 CAE2:CAE59 JG589815:JG589880 TC589815:TC589880 ACY589815:ACY589880 AMU589815:AMU589880 AWQ589815:AWQ589880 BGM589815:BGM589880 BQI589815:BQI589880 CAE589815:CAE589880 CKA589815:CKA589880 CTW589815:CTW589880 DDS589815:DDS589880 DNO589815:DNO589880 DXK589815:DXK589880 EHG589815:EHG589880 ERC589815:ERC589880 FAY589815:FAY589880 FKU589815:FKU589880 FUQ589815:FUQ589880 GEM589815:GEM589880 GOI589815:GOI589880 GYE589815:GYE589880 HIA589815:HIA589880 HRW589815:HRW589880 IBS589815:IBS589880 ILO589815:ILO589880 IVK589815:IVK589880 JFG589815:JFG589880 JPC589815:JPC589880 JYY589815:JYY589880 KIU589815:KIU589880 KSQ589815:KSQ589880 LCM589815:LCM589880 LMI589815:LMI589880 LWE589815:LWE589880 MGA589815:MGA589880 MPW589815:MPW589880 MZS589815:MZS589880 NJO589815:NJO589880 NTK589815:NTK589880 ODG589815:ODG589880 ONC589815:ONC589880 OWY589815:OWY589880 PGU589815:PGU589880 PQQ589815:PQQ589880 QAM589815:QAM589880 QKI589815:QKI589880 QUE589815:QUE589880 REA589815:REA589880 RNW589815:RNW589880 RXS589815:RXS589880 SHO589815:SHO589880 SRK589815:SRK589880 TBG589815:TBG589880 TLC589815:TLC589880 TUY589815:TUY589880 UEU589815:UEU589880 UOQ589815:UOQ589880 UYM589815:UYM589880 VII589815:VII589880 VSE589815:VSE589880 WCA589815:WCA589880 WLW589815:WLW589880 WVS589815:WVS589880 BQI2:BQI59 JG655351:JG655416 TC655351:TC655416 ACY655351:ACY655416 AMU655351:AMU655416 AWQ655351:AWQ655416 BGM655351:BGM655416 BQI655351:BQI655416 CAE655351:CAE655416 CKA655351:CKA655416 CTW655351:CTW655416 DDS655351:DDS655416 DNO655351:DNO655416 DXK655351:DXK655416 EHG655351:EHG655416 ERC655351:ERC655416 FAY655351:FAY655416 FKU655351:FKU655416 FUQ655351:FUQ655416 GEM655351:GEM655416 GOI655351:GOI655416 GYE655351:GYE655416 HIA655351:HIA655416 HRW655351:HRW655416 IBS655351:IBS655416 ILO655351:ILO655416 IVK655351:IVK655416 JFG655351:JFG655416 JPC655351:JPC655416 JYY655351:JYY655416 KIU655351:KIU655416 KSQ655351:KSQ655416 LCM655351:LCM655416 LMI655351:LMI655416 LWE655351:LWE655416 MGA655351:MGA655416 MPW655351:MPW655416 MZS655351:MZS655416 NJO655351:NJO655416 NTK655351:NTK655416 ODG655351:ODG655416 ONC655351:ONC655416 OWY655351:OWY655416 PGU655351:PGU655416 PQQ655351:PQQ655416 QAM655351:QAM655416 QKI655351:QKI655416 QUE655351:QUE655416 REA655351:REA655416 RNW655351:RNW655416 RXS655351:RXS655416 SHO655351:SHO655416 SRK655351:SRK655416 TBG655351:TBG655416 TLC655351:TLC655416 TUY655351:TUY655416 UEU655351:UEU655416 UOQ655351:UOQ655416 UYM655351:UYM655416 VII655351:VII655416 VSE655351:VSE655416 WCA655351:WCA655416 WLW655351:WLW655416 WVS655351:WVS655416 BGM2:BGM59 JG720887:JG720952 TC720887:TC720952 ACY720887:ACY720952 AMU720887:AMU720952 AWQ720887:AWQ720952 BGM720887:BGM720952 BQI720887:BQI720952 CAE720887:CAE720952 CKA720887:CKA720952 CTW720887:CTW720952 DDS720887:DDS720952 DNO720887:DNO720952 DXK720887:DXK720952 EHG720887:EHG720952 ERC720887:ERC720952 FAY720887:FAY720952 FKU720887:FKU720952 FUQ720887:FUQ720952 GEM720887:GEM720952 GOI720887:GOI720952 GYE720887:GYE720952 HIA720887:HIA720952 HRW720887:HRW720952 IBS720887:IBS720952 ILO720887:ILO720952 IVK720887:IVK720952 JFG720887:JFG720952 JPC720887:JPC720952 JYY720887:JYY720952 KIU720887:KIU720952 KSQ720887:KSQ720952 LCM720887:LCM720952 LMI720887:LMI720952 LWE720887:LWE720952 MGA720887:MGA720952 MPW720887:MPW720952 MZS720887:MZS720952 NJO720887:NJO720952 NTK720887:NTK720952 ODG720887:ODG720952 ONC720887:ONC720952 OWY720887:OWY720952 PGU720887:PGU720952 PQQ720887:PQQ720952 QAM720887:QAM720952 QKI720887:QKI720952 QUE720887:QUE720952 REA720887:REA720952 RNW720887:RNW720952 RXS720887:RXS720952 SHO720887:SHO720952 SRK720887:SRK720952 TBG720887:TBG720952 TLC720887:TLC720952 TUY720887:TUY720952 UEU720887:UEU720952 UOQ720887:UOQ720952 UYM720887:UYM720952 VII720887:VII720952 VSE720887:VSE720952 WCA720887:WCA720952 WLW720887:WLW720952 WVS720887:WVS720952 AWQ2:AWQ59 JG786423:JG786488 TC786423:TC786488 ACY786423:ACY786488 AMU786423:AMU786488 AWQ786423:AWQ786488 BGM786423:BGM786488 BQI786423:BQI786488 CAE786423:CAE786488 CKA786423:CKA786488 CTW786423:CTW786488 DDS786423:DDS786488 DNO786423:DNO786488 DXK786423:DXK786488 EHG786423:EHG786488 ERC786423:ERC786488 FAY786423:FAY786488 FKU786423:FKU786488 FUQ786423:FUQ786488 GEM786423:GEM786488 GOI786423:GOI786488 GYE786423:GYE786488 HIA786423:HIA786488 HRW786423:HRW786488 IBS786423:IBS786488 ILO786423:ILO786488 IVK786423:IVK786488 JFG786423:JFG786488 JPC786423:JPC786488 JYY786423:JYY786488 KIU786423:KIU786488 KSQ786423:KSQ786488 LCM786423:LCM786488 LMI786423:LMI786488 LWE786423:LWE786488 MGA786423:MGA786488 MPW786423:MPW786488 MZS786423:MZS786488 NJO786423:NJO786488 NTK786423:NTK786488 ODG786423:ODG786488 ONC786423:ONC786488 OWY786423:OWY786488 PGU786423:PGU786488 PQQ786423:PQQ786488 QAM786423:QAM786488 QKI786423:QKI786488 QUE786423:QUE786488 REA786423:REA786488 RNW786423:RNW786488 RXS786423:RXS786488 SHO786423:SHO786488 SRK786423:SRK786488 TBG786423:TBG786488 TLC786423:TLC786488 TUY786423:TUY786488 UEU786423:UEU786488 UOQ786423:UOQ786488 UYM786423:UYM786488 VII786423:VII786488 VSE786423:VSE786488 WCA786423:WCA786488 WLW786423:WLW786488 WVS786423:WVS786488 AMU2:AMU59 JG851959:JG852024 TC851959:TC852024 ACY851959:ACY852024 AMU851959:AMU852024 AWQ851959:AWQ852024 BGM851959:BGM852024 BQI851959:BQI852024 CAE851959:CAE852024 CKA851959:CKA852024 CTW851959:CTW852024 DDS851959:DDS852024 DNO851959:DNO852024 DXK851959:DXK852024 EHG851959:EHG852024 ERC851959:ERC852024 FAY851959:FAY852024 FKU851959:FKU852024 FUQ851959:FUQ852024 GEM851959:GEM852024 GOI851959:GOI852024 GYE851959:GYE852024 HIA851959:HIA852024 HRW851959:HRW852024 IBS851959:IBS852024 ILO851959:ILO852024 IVK851959:IVK852024 JFG851959:JFG852024 JPC851959:JPC852024 JYY851959:JYY852024 KIU851959:KIU852024 KSQ851959:KSQ852024 LCM851959:LCM852024 LMI851959:LMI852024 LWE851959:LWE852024 MGA851959:MGA852024 MPW851959:MPW852024 MZS851959:MZS852024 NJO851959:NJO852024 NTK851959:NTK852024 ODG851959:ODG852024 ONC851959:ONC852024 OWY851959:OWY852024 PGU851959:PGU852024 PQQ851959:PQQ852024 QAM851959:QAM852024 QKI851959:QKI852024 QUE851959:QUE852024 REA851959:REA852024 RNW851959:RNW852024 RXS851959:RXS852024 SHO851959:SHO852024 SRK851959:SRK852024 TBG851959:TBG852024 TLC851959:TLC852024 TUY851959:TUY852024 UEU851959:UEU852024 UOQ851959:UOQ852024 UYM851959:UYM852024 VII851959:VII852024 VSE851959:VSE852024 WCA851959:WCA852024 WLW851959:WLW852024 WVS851959:WVS852024 ACY2:ACY59 JG917495:JG917560 TC917495:TC917560 ACY917495:ACY917560 AMU917495:AMU917560 AWQ917495:AWQ917560 BGM917495:BGM917560 BQI917495:BQI917560 CAE917495:CAE917560 CKA917495:CKA917560 CTW917495:CTW917560 DDS917495:DDS917560 DNO917495:DNO917560 DXK917495:DXK917560 EHG917495:EHG917560 ERC917495:ERC917560 FAY917495:FAY917560 FKU917495:FKU917560 FUQ917495:FUQ917560 GEM917495:GEM917560 GOI917495:GOI917560 GYE917495:GYE917560 HIA917495:HIA917560 HRW917495:HRW917560 IBS917495:IBS917560 ILO917495:ILO917560 IVK917495:IVK917560 JFG917495:JFG917560 JPC917495:JPC917560 JYY917495:JYY917560 KIU917495:KIU917560 KSQ917495:KSQ917560 LCM917495:LCM917560 LMI917495:LMI917560 LWE917495:LWE917560 MGA917495:MGA917560 MPW917495:MPW917560 MZS917495:MZS917560 NJO917495:NJO917560 NTK917495:NTK917560 ODG917495:ODG917560 ONC917495:ONC917560 OWY917495:OWY917560 PGU917495:PGU917560 PQQ917495:PQQ917560 QAM917495:QAM917560 QKI917495:QKI917560 QUE917495:QUE917560 REA917495:REA917560 RNW917495:RNW917560 RXS917495:RXS917560 SHO917495:SHO917560 SRK917495:SRK917560 TBG917495:TBG917560 TLC917495:TLC917560 TUY917495:TUY917560 UEU917495:UEU917560 UOQ917495:UOQ917560 UYM917495:UYM917560 VII917495:VII917560 VSE917495:VSE917560 WCA917495:WCA917560 WLW917495:WLW917560 WVS917495:WVS917560 TC2:TC59 JG983031:JG983096 TC983031:TC983096 ACY983031:ACY983096 AMU983031:AMU983096 AWQ983031:AWQ983096 BGM983031:BGM983096 BQI983031:BQI983096 CAE983031:CAE983096 CKA983031:CKA983096 CTW983031:CTW983096 DDS983031:DDS983096 DNO983031:DNO983096 DXK983031:DXK983096 EHG983031:EHG983096 ERC983031:ERC983096 FAY983031:FAY983096 FKU983031:FKU983096 FUQ983031:FUQ983096 GEM983031:GEM983096 GOI983031:GOI983096 GYE983031:GYE983096 HIA983031:HIA983096 HRW983031:HRW983096 IBS983031:IBS983096 ILO983031:ILO983096 IVK983031:IVK983096 JFG983031:JFG983096 JPC983031:JPC983096 JYY983031:JYY983096 KIU983031:KIU983096 KSQ983031:KSQ983096 LCM983031:LCM983096 LMI983031:LMI983096 LWE983031:LWE983096 MGA983031:MGA983096 MPW983031:MPW983096 MZS983031:MZS983096 NJO983031:NJO983096 NTK983031:NTK983096 ODG983031:ODG983096 ONC983031:ONC983096 OWY983031:OWY983096 PGU983031:PGU983096 PQQ983031:PQQ983096 QAM983031:QAM983096 QKI983031:QKI983096 QUE983031:QUE983096 REA983031:REA983096 RNW983031:RNW983096 RXS983031:RXS983096 SHO983031:SHO983096 SRK983031:SRK983096 TBG983031:TBG983096 TLC983031:TLC983096 TUY983031:TUY983096 UEU983031:UEU983096 UOQ983031:UOQ983096 UYM983031:UYM983096 VII983031:VII983096 VSE983031:VSE983096 WCA983031:WCA983096 WLW983031:WLW983096 JG2:JG59 WVS2:WVS59 WLW2:WLW59 WCA2:WCA59 VSE2:VSE59 VII2:VII59 UYM2:UYM59 UOQ2:UOQ59 UEU2:UEU59 TUY2:TUY59 TLC2:TLC59 TBG2:TBG59 SRK2:SRK59 SHO2:SHO59 RXS2:RXS59 RNW2:RNW59 REA2:REA59 QUE2:QUE59 QKI2:QKI59 QAM2:QAM59 PQQ2:PQQ59 PGU2:PGU59 OWY2:OWY59 ONC2:ONC59 ODG2:ODG59 NTK2:NTK59 NJO2:NJO59 MZS2:MZS59 MPW2:MPW59 MGA2:MGA59 LWE2:LWE59 LMI2:LMI59 LCM2:LCM59 KSQ2:KSQ59 KIU2:KIU59 JYY2:JYY59 JPC2:JPC59 JFG2:JFG59 IVK2:IVK59 ILO2:ILO59 IBS2:IBS59 HRW2:HRW59 HIA2:HIA59 GYE2:GYE59 GOI2:GOI59 GEM2:GEM59 FUQ2:FUQ59 FKU2:FKU59" xr:uid="{0FB9AA18-EAAC-4453-872C-78A3A34D786B}">
      <formula1>$AR$2:$AR$25</formula1>
    </dataValidation>
    <dataValidation type="list" allowBlank="1" showInputMessage="1" showErrorMessage="1" sqref="WVR983031:WVR983096 ERB2:ERB59 JF65527:JF65592 TB65527:TB65592 ACX65527:ACX65592 AMT65527:AMT65592 AWP65527:AWP65592 BGL65527:BGL65592 BQH65527:BQH65592 CAD65527:CAD65592 CJZ65527:CJZ65592 CTV65527:CTV65592 DDR65527:DDR65592 DNN65527:DNN65592 DXJ65527:DXJ65592 EHF65527:EHF65592 ERB65527:ERB65592 FAX65527:FAX65592 FKT65527:FKT65592 FUP65527:FUP65592 GEL65527:GEL65592 GOH65527:GOH65592 GYD65527:GYD65592 HHZ65527:HHZ65592 HRV65527:HRV65592 IBR65527:IBR65592 ILN65527:ILN65592 IVJ65527:IVJ65592 JFF65527:JFF65592 JPB65527:JPB65592 JYX65527:JYX65592 KIT65527:KIT65592 KSP65527:KSP65592 LCL65527:LCL65592 LMH65527:LMH65592 LWD65527:LWD65592 MFZ65527:MFZ65592 MPV65527:MPV65592 MZR65527:MZR65592 NJN65527:NJN65592 NTJ65527:NTJ65592 ODF65527:ODF65592 ONB65527:ONB65592 OWX65527:OWX65592 PGT65527:PGT65592 PQP65527:PQP65592 QAL65527:QAL65592 QKH65527:QKH65592 QUD65527:QUD65592 RDZ65527:RDZ65592 RNV65527:RNV65592 RXR65527:RXR65592 SHN65527:SHN65592 SRJ65527:SRJ65592 TBF65527:TBF65592 TLB65527:TLB65592 TUX65527:TUX65592 UET65527:UET65592 UOP65527:UOP65592 UYL65527:UYL65592 VIH65527:VIH65592 VSD65527:VSD65592 WBZ65527:WBZ65592 WLV65527:WLV65592 WVR65527:WVR65592 EHF2:EHF59 JF131063:JF131128 TB131063:TB131128 ACX131063:ACX131128 AMT131063:AMT131128 AWP131063:AWP131128 BGL131063:BGL131128 BQH131063:BQH131128 CAD131063:CAD131128 CJZ131063:CJZ131128 CTV131063:CTV131128 DDR131063:DDR131128 DNN131063:DNN131128 DXJ131063:DXJ131128 EHF131063:EHF131128 ERB131063:ERB131128 FAX131063:FAX131128 FKT131063:FKT131128 FUP131063:FUP131128 GEL131063:GEL131128 GOH131063:GOH131128 GYD131063:GYD131128 HHZ131063:HHZ131128 HRV131063:HRV131128 IBR131063:IBR131128 ILN131063:ILN131128 IVJ131063:IVJ131128 JFF131063:JFF131128 JPB131063:JPB131128 JYX131063:JYX131128 KIT131063:KIT131128 KSP131063:KSP131128 LCL131063:LCL131128 LMH131063:LMH131128 LWD131063:LWD131128 MFZ131063:MFZ131128 MPV131063:MPV131128 MZR131063:MZR131128 NJN131063:NJN131128 NTJ131063:NTJ131128 ODF131063:ODF131128 ONB131063:ONB131128 OWX131063:OWX131128 PGT131063:PGT131128 PQP131063:PQP131128 QAL131063:QAL131128 QKH131063:QKH131128 QUD131063:QUD131128 RDZ131063:RDZ131128 RNV131063:RNV131128 RXR131063:RXR131128 SHN131063:SHN131128 SRJ131063:SRJ131128 TBF131063:TBF131128 TLB131063:TLB131128 TUX131063:TUX131128 UET131063:UET131128 UOP131063:UOP131128 UYL131063:UYL131128 VIH131063:VIH131128 VSD131063:VSD131128 WBZ131063:WBZ131128 WLV131063:WLV131128 WVR131063:WVR131128 DXJ2:DXJ59 JF196599:JF196664 TB196599:TB196664 ACX196599:ACX196664 AMT196599:AMT196664 AWP196599:AWP196664 BGL196599:BGL196664 BQH196599:BQH196664 CAD196599:CAD196664 CJZ196599:CJZ196664 CTV196599:CTV196664 DDR196599:DDR196664 DNN196599:DNN196664 DXJ196599:DXJ196664 EHF196599:EHF196664 ERB196599:ERB196664 FAX196599:FAX196664 FKT196599:FKT196664 FUP196599:FUP196664 GEL196599:GEL196664 GOH196599:GOH196664 GYD196599:GYD196664 HHZ196599:HHZ196664 HRV196599:HRV196664 IBR196599:IBR196664 ILN196599:ILN196664 IVJ196599:IVJ196664 JFF196599:JFF196664 JPB196599:JPB196664 JYX196599:JYX196664 KIT196599:KIT196664 KSP196599:KSP196664 LCL196599:LCL196664 LMH196599:LMH196664 LWD196599:LWD196664 MFZ196599:MFZ196664 MPV196599:MPV196664 MZR196599:MZR196664 NJN196599:NJN196664 NTJ196599:NTJ196664 ODF196599:ODF196664 ONB196599:ONB196664 OWX196599:OWX196664 PGT196599:PGT196664 PQP196599:PQP196664 QAL196599:QAL196664 QKH196599:QKH196664 QUD196599:QUD196664 RDZ196599:RDZ196664 RNV196599:RNV196664 RXR196599:RXR196664 SHN196599:SHN196664 SRJ196599:SRJ196664 TBF196599:TBF196664 TLB196599:TLB196664 TUX196599:TUX196664 UET196599:UET196664 UOP196599:UOP196664 UYL196599:UYL196664 VIH196599:VIH196664 VSD196599:VSD196664 WBZ196599:WBZ196664 WLV196599:WLV196664 WVR196599:WVR196664 DNN2:DNN59 JF262135:JF262200 TB262135:TB262200 ACX262135:ACX262200 AMT262135:AMT262200 AWP262135:AWP262200 BGL262135:BGL262200 BQH262135:BQH262200 CAD262135:CAD262200 CJZ262135:CJZ262200 CTV262135:CTV262200 DDR262135:DDR262200 DNN262135:DNN262200 DXJ262135:DXJ262200 EHF262135:EHF262200 ERB262135:ERB262200 FAX262135:FAX262200 FKT262135:FKT262200 FUP262135:FUP262200 GEL262135:GEL262200 GOH262135:GOH262200 GYD262135:GYD262200 HHZ262135:HHZ262200 HRV262135:HRV262200 IBR262135:IBR262200 ILN262135:ILN262200 IVJ262135:IVJ262200 JFF262135:JFF262200 JPB262135:JPB262200 JYX262135:JYX262200 KIT262135:KIT262200 KSP262135:KSP262200 LCL262135:LCL262200 LMH262135:LMH262200 LWD262135:LWD262200 MFZ262135:MFZ262200 MPV262135:MPV262200 MZR262135:MZR262200 NJN262135:NJN262200 NTJ262135:NTJ262200 ODF262135:ODF262200 ONB262135:ONB262200 OWX262135:OWX262200 PGT262135:PGT262200 PQP262135:PQP262200 QAL262135:QAL262200 QKH262135:QKH262200 QUD262135:QUD262200 RDZ262135:RDZ262200 RNV262135:RNV262200 RXR262135:RXR262200 SHN262135:SHN262200 SRJ262135:SRJ262200 TBF262135:TBF262200 TLB262135:TLB262200 TUX262135:TUX262200 UET262135:UET262200 UOP262135:UOP262200 UYL262135:UYL262200 VIH262135:VIH262200 VSD262135:VSD262200 WBZ262135:WBZ262200 WLV262135:WLV262200 WVR262135:WVR262200 DDR2:DDR59 JF327671:JF327736 TB327671:TB327736 ACX327671:ACX327736 AMT327671:AMT327736 AWP327671:AWP327736 BGL327671:BGL327736 BQH327671:BQH327736 CAD327671:CAD327736 CJZ327671:CJZ327736 CTV327671:CTV327736 DDR327671:DDR327736 DNN327671:DNN327736 DXJ327671:DXJ327736 EHF327671:EHF327736 ERB327671:ERB327736 FAX327671:FAX327736 FKT327671:FKT327736 FUP327671:FUP327736 GEL327671:GEL327736 GOH327671:GOH327736 GYD327671:GYD327736 HHZ327671:HHZ327736 HRV327671:HRV327736 IBR327671:IBR327736 ILN327671:ILN327736 IVJ327671:IVJ327736 JFF327671:JFF327736 JPB327671:JPB327736 JYX327671:JYX327736 KIT327671:KIT327736 KSP327671:KSP327736 LCL327671:LCL327736 LMH327671:LMH327736 LWD327671:LWD327736 MFZ327671:MFZ327736 MPV327671:MPV327736 MZR327671:MZR327736 NJN327671:NJN327736 NTJ327671:NTJ327736 ODF327671:ODF327736 ONB327671:ONB327736 OWX327671:OWX327736 PGT327671:PGT327736 PQP327671:PQP327736 QAL327671:QAL327736 QKH327671:QKH327736 QUD327671:QUD327736 RDZ327671:RDZ327736 RNV327671:RNV327736 RXR327671:RXR327736 SHN327671:SHN327736 SRJ327671:SRJ327736 TBF327671:TBF327736 TLB327671:TLB327736 TUX327671:TUX327736 UET327671:UET327736 UOP327671:UOP327736 UYL327671:UYL327736 VIH327671:VIH327736 VSD327671:VSD327736 WBZ327671:WBZ327736 WLV327671:WLV327736 WVR327671:WVR327736 CTV2:CTV59 JF393207:JF393272 TB393207:TB393272 ACX393207:ACX393272 AMT393207:AMT393272 AWP393207:AWP393272 BGL393207:BGL393272 BQH393207:BQH393272 CAD393207:CAD393272 CJZ393207:CJZ393272 CTV393207:CTV393272 DDR393207:DDR393272 DNN393207:DNN393272 DXJ393207:DXJ393272 EHF393207:EHF393272 ERB393207:ERB393272 FAX393207:FAX393272 FKT393207:FKT393272 FUP393207:FUP393272 GEL393207:GEL393272 GOH393207:GOH393272 GYD393207:GYD393272 HHZ393207:HHZ393272 HRV393207:HRV393272 IBR393207:IBR393272 ILN393207:ILN393272 IVJ393207:IVJ393272 JFF393207:JFF393272 JPB393207:JPB393272 JYX393207:JYX393272 KIT393207:KIT393272 KSP393207:KSP393272 LCL393207:LCL393272 LMH393207:LMH393272 LWD393207:LWD393272 MFZ393207:MFZ393272 MPV393207:MPV393272 MZR393207:MZR393272 NJN393207:NJN393272 NTJ393207:NTJ393272 ODF393207:ODF393272 ONB393207:ONB393272 OWX393207:OWX393272 PGT393207:PGT393272 PQP393207:PQP393272 QAL393207:QAL393272 QKH393207:QKH393272 QUD393207:QUD393272 RDZ393207:RDZ393272 RNV393207:RNV393272 RXR393207:RXR393272 SHN393207:SHN393272 SRJ393207:SRJ393272 TBF393207:TBF393272 TLB393207:TLB393272 TUX393207:TUX393272 UET393207:UET393272 UOP393207:UOP393272 UYL393207:UYL393272 VIH393207:VIH393272 VSD393207:VSD393272 WBZ393207:WBZ393272 WLV393207:WLV393272 WVR393207:WVR393272 CJZ2:CJZ59 JF458743:JF458808 TB458743:TB458808 ACX458743:ACX458808 AMT458743:AMT458808 AWP458743:AWP458808 BGL458743:BGL458808 BQH458743:BQH458808 CAD458743:CAD458808 CJZ458743:CJZ458808 CTV458743:CTV458808 DDR458743:DDR458808 DNN458743:DNN458808 DXJ458743:DXJ458808 EHF458743:EHF458808 ERB458743:ERB458808 FAX458743:FAX458808 FKT458743:FKT458808 FUP458743:FUP458808 GEL458743:GEL458808 GOH458743:GOH458808 GYD458743:GYD458808 HHZ458743:HHZ458808 HRV458743:HRV458808 IBR458743:IBR458808 ILN458743:ILN458808 IVJ458743:IVJ458808 JFF458743:JFF458808 JPB458743:JPB458808 JYX458743:JYX458808 KIT458743:KIT458808 KSP458743:KSP458808 LCL458743:LCL458808 LMH458743:LMH458808 LWD458743:LWD458808 MFZ458743:MFZ458808 MPV458743:MPV458808 MZR458743:MZR458808 NJN458743:NJN458808 NTJ458743:NTJ458808 ODF458743:ODF458808 ONB458743:ONB458808 OWX458743:OWX458808 PGT458743:PGT458808 PQP458743:PQP458808 QAL458743:QAL458808 QKH458743:QKH458808 QUD458743:QUD458808 RDZ458743:RDZ458808 RNV458743:RNV458808 RXR458743:RXR458808 SHN458743:SHN458808 SRJ458743:SRJ458808 TBF458743:TBF458808 TLB458743:TLB458808 TUX458743:TUX458808 UET458743:UET458808 UOP458743:UOP458808 UYL458743:UYL458808 VIH458743:VIH458808 VSD458743:VSD458808 WBZ458743:WBZ458808 WLV458743:WLV458808 WVR458743:WVR458808 CAD2:CAD59 JF524279:JF524344 TB524279:TB524344 ACX524279:ACX524344 AMT524279:AMT524344 AWP524279:AWP524344 BGL524279:BGL524344 BQH524279:BQH524344 CAD524279:CAD524344 CJZ524279:CJZ524344 CTV524279:CTV524344 DDR524279:DDR524344 DNN524279:DNN524344 DXJ524279:DXJ524344 EHF524279:EHF524344 ERB524279:ERB524344 FAX524279:FAX524344 FKT524279:FKT524344 FUP524279:FUP524344 GEL524279:GEL524344 GOH524279:GOH524344 GYD524279:GYD524344 HHZ524279:HHZ524344 HRV524279:HRV524344 IBR524279:IBR524344 ILN524279:ILN524344 IVJ524279:IVJ524344 JFF524279:JFF524344 JPB524279:JPB524344 JYX524279:JYX524344 KIT524279:KIT524344 KSP524279:KSP524344 LCL524279:LCL524344 LMH524279:LMH524344 LWD524279:LWD524344 MFZ524279:MFZ524344 MPV524279:MPV524344 MZR524279:MZR524344 NJN524279:NJN524344 NTJ524279:NTJ524344 ODF524279:ODF524344 ONB524279:ONB524344 OWX524279:OWX524344 PGT524279:PGT524344 PQP524279:PQP524344 QAL524279:QAL524344 QKH524279:QKH524344 QUD524279:QUD524344 RDZ524279:RDZ524344 RNV524279:RNV524344 RXR524279:RXR524344 SHN524279:SHN524344 SRJ524279:SRJ524344 TBF524279:TBF524344 TLB524279:TLB524344 TUX524279:TUX524344 UET524279:UET524344 UOP524279:UOP524344 UYL524279:UYL524344 VIH524279:VIH524344 VSD524279:VSD524344 WBZ524279:WBZ524344 WLV524279:WLV524344 WVR524279:WVR524344 BQH2:BQH59 JF589815:JF589880 TB589815:TB589880 ACX589815:ACX589880 AMT589815:AMT589880 AWP589815:AWP589880 BGL589815:BGL589880 BQH589815:BQH589880 CAD589815:CAD589880 CJZ589815:CJZ589880 CTV589815:CTV589880 DDR589815:DDR589880 DNN589815:DNN589880 DXJ589815:DXJ589880 EHF589815:EHF589880 ERB589815:ERB589880 FAX589815:FAX589880 FKT589815:FKT589880 FUP589815:FUP589880 GEL589815:GEL589880 GOH589815:GOH589880 GYD589815:GYD589880 HHZ589815:HHZ589880 HRV589815:HRV589880 IBR589815:IBR589880 ILN589815:ILN589880 IVJ589815:IVJ589880 JFF589815:JFF589880 JPB589815:JPB589880 JYX589815:JYX589880 KIT589815:KIT589880 KSP589815:KSP589880 LCL589815:LCL589880 LMH589815:LMH589880 LWD589815:LWD589880 MFZ589815:MFZ589880 MPV589815:MPV589880 MZR589815:MZR589880 NJN589815:NJN589880 NTJ589815:NTJ589880 ODF589815:ODF589880 ONB589815:ONB589880 OWX589815:OWX589880 PGT589815:PGT589880 PQP589815:PQP589880 QAL589815:QAL589880 QKH589815:QKH589880 QUD589815:QUD589880 RDZ589815:RDZ589880 RNV589815:RNV589880 RXR589815:RXR589880 SHN589815:SHN589880 SRJ589815:SRJ589880 TBF589815:TBF589880 TLB589815:TLB589880 TUX589815:TUX589880 UET589815:UET589880 UOP589815:UOP589880 UYL589815:UYL589880 VIH589815:VIH589880 VSD589815:VSD589880 WBZ589815:WBZ589880 WLV589815:WLV589880 WVR589815:WVR589880 BGL2:BGL59 JF655351:JF655416 TB655351:TB655416 ACX655351:ACX655416 AMT655351:AMT655416 AWP655351:AWP655416 BGL655351:BGL655416 BQH655351:BQH655416 CAD655351:CAD655416 CJZ655351:CJZ655416 CTV655351:CTV655416 DDR655351:DDR655416 DNN655351:DNN655416 DXJ655351:DXJ655416 EHF655351:EHF655416 ERB655351:ERB655416 FAX655351:FAX655416 FKT655351:FKT655416 FUP655351:FUP655416 GEL655351:GEL655416 GOH655351:GOH655416 GYD655351:GYD655416 HHZ655351:HHZ655416 HRV655351:HRV655416 IBR655351:IBR655416 ILN655351:ILN655416 IVJ655351:IVJ655416 JFF655351:JFF655416 JPB655351:JPB655416 JYX655351:JYX655416 KIT655351:KIT655416 KSP655351:KSP655416 LCL655351:LCL655416 LMH655351:LMH655416 LWD655351:LWD655416 MFZ655351:MFZ655416 MPV655351:MPV655416 MZR655351:MZR655416 NJN655351:NJN655416 NTJ655351:NTJ655416 ODF655351:ODF655416 ONB655351:ONB655416 OWX655351:OWX655416 PGT655351:PGT655416 PQP655351:PQP655416 QAL655351:QAL655416 QKH655351:QKH655416 QUD655351:QUD655416 RDZ655351:RDZ655416 RNV655351:RNV655416 RXR655351:RXR655416 SHN655351:SHN655416 SRJ655351:SRJ655416 TBF655351:TBF655416 TLB655351:TLB655416 TUX655351:TUX655416 UET655351:UET655416 UOP655351:UOP655416 UYL655351:UYL655416 VIH655351:VIH655416 VSD655351:VSD655416 WBZ655351:WBZ655416 WLV655351:WLV655416 WVR655351:WVR655416 AWP2:AWP59 JF720887:JF720952 TB720887:TB720952 ACX720887:ACX720952 AMT720887:AMT720952 AWP720887:AWP720952 BGL720887:BGL720952 BQH720887:BQH720952 CAD720887:CAD720952 CJZ720887:CJZ720952 CTV720887:CTV720952 DDR720887:DDR720952 DNN720887:DNN720952 DXJ720887:DXJ720952 EHF720887:EHF720952 ERB720887:ERB720952 FAX720887:FAX720952 FKT720887:FKT720952 FUP720887:FUP720952 GEL720887:GEL720952 GOH720887:GOH720952 GYD720887:GYD720952 HHZ720887:HHZ720952 HRV720887:HRV720952 IBR720887:IBR720952 ILN720887:ILN720952 IVJ720887:IVJ720952 JFF720887:JFF720952 JPB720887:JPB720952 JYX720887:JYX720952 KIT720887:KIT720952 KSP720887:KSP720952 LCL720887:LCL720952 LMH720887:LMH720952 LWD720887:LWD720952 MFZ720887:MFZ720952 MPV720887:MPV720952 MZR720887:MZR720952 NJN720887:NJN720952 NTJ720887:NTJ720952 ODF720887:ODF720952 ONB720887:ONB720952 OWX720887:OWX720952 PGT720887:PGT720952 PQP720887:PQP720952 QAL720887:QAL720952 QKH720887:QKH720952 QUD720887:QUD720952 RDZ720887:RDZ720952 RNV720887:RNV720952 RXR720887:RXR720952 SHN720887:SHN720952 SRJ720887:SRJ720952 TBF720887:TBF720952 TLB720887:TLB720952 TUX720887:TUX720952 UET720887:UET720952 UOP720887:UOP720952 UYL720887:UYL720952 VIH720887:VIH720952 VSD720887:VSD720952 WBZ720887:WBZ720952 WLV720887:WLV720952 WVR720887:WVR720952 AMT2:AMT59 JF786423:JF786488 TB786423:TB786488 ACX786423:ACX786488 AMT786423:AMT786488 AWP786423:AWP786488 BGL786423:BGL786488 BQH786423:BQH786488 CAD786423:CAD786488 CJZ786423:CJZ786488 CTV786423:CTV786488 DDR786423:DDR786488 DNN786423:DNN786488 DXJ786423:DXJ786488 EHF786423:EHF786488 ERB786423:ERB786488 FAX786423:FAX786488 FKT786423:FKT786488 FUP786423:FUP786488 GEL786423:GEL786488 GOH786423:GOH786488 GYD786423:GYD786488 HHZ786423:HHZ786488 HRV786423:HRV786488 IBR786423:IBR786488 ILN786423:ILN786488 IVJ786423:IVJ786488 JFF786423:JFF786488 JPB786423:JPB786488 JYX786423:JYX786488 KIT786423:KIT786488 KSP786423:KSP786488 LCL786423:LCL786488 LMH786423:LMH786488 LWD786423:LWD786488 MFZ786423:MFZ786488 MPV786423:MPV786488 MZR786423:MZR786488 NJN786423:NJN786488 NTJ786423:NTJ786488 ODF786423:ODF786488 ONB786423:ONB786488 OWX786423:OWX786488 PGT786423:PGT786488 PQP786423:PQP786488 QAL786423:QAL786488 QKH786423:QKH786488 QUD786423:QUD786488 RDZ786423:RDZ786488 RNV786423:RNV786488 RXR786423:RXR786488 SHN786423:SHN786488 SRJ786423:SRJ786488 TBF786423:TBF786488 TLB786423:TLB786488 TUX786423:TUX786488 UET786423:UET786488 UOP786423:UOP786488 UYL786423:UYL786488 VIH786423:VIH786488 VSD786423:VSD786488 WBZ786423:WBZ786488 WLV786423:WLV786488 WVR786423:WVR786488 ACX2:ACX59 JF851959:JF852024 TB851959:TB852024 ACX851959:ACX852024 AMT851959:AMT852024 AWP851959:AWP852024 BGL851959:BGL852024 BQH851959:BQH852024 CAD851959:CAD852024 CJZ851959:CJZ852024 CTV851959:CTV852024 DDR851959:DDR852024 DNN851959:DNN852024 DXJ851959:DXJ852024 EHF851959:EHF852024 ERB851959:ERB852024 FAX851959:FAX852024 FKT851959:FKT852024 FUP851959:FUP852024 GEL851959:GEL852024 GOH851959:GOH852024 GYD851959:GYD852024 HHZ851959:HHZ852024 HRV851959:HRV852024 IBR851959:IBR852024 ILN851959:ILN852024 IVJ851959:IVJ852024 JFF851959:JFF852024 JPB851959:JPB852024 JYX851959:JYX852024 KIT851959:KIT852024 KSP851959:KSP852024 LCL851959:LCL852024 LMH851959:LMH852024 LWD851959:LWD852024 MFZ851959:MFZ852024 MPV851959:MPV852024 MZR851959:MZR852024 NJN851959:NJN852024 NTJ851959:NTJ852024 ODF851959:ODF852024 ONB851959:ONB852024 OWX851959:OWX852024 PGT851959:PGT852024 PQP851959:PQP852024 QAL851959:QAL852024 QKH851959:QKH852024 QUD851959:QUD852024 RDZ851959:RDZ852024 RNV851959:RNV852024 RXR851959:RXR852024 SHN851959:SHN852024 SRJ851959:SRJ852024 TBF851959:TBF852024 TLB851959:TLB852024 TUX851959:TUX852024 UET851959:UET852024 UOP851959:UOP852024 UYL851959:UYL852024 VIH851959:VIH852024 VSD851959:VSD852024 WBZ851959:WBZ852024 WLV851959:WLV852024 WVR851959:WVR852024 TB2:TB59 JF917495:JF917560 TB917495:TB917560 ACX917495:ACX917560 AMT917495:AMT917560 AWP917495:AWP917560 BGL917495:BGL917560 BQH917495:BQH917560 CAD917495:CAD917560 CJZ917495:CJZ917560 CTV917495:CTV917560 DDR917495:DDR917560 DNN917495:DNN917560 DXJ917495:DXJ917560 EHF917495:EHF917560 ERB917495:ERB917560 FAX917495:FAX917560 FKT917495:FKT917560 FUP917495:FUP917560 GEL917495:GEL917560 GOH917495:GOH917560 GYD917495:GYD917560 HHZ917495:HHZ917560 HRV917495:HRV917560 IBR917495:IBR917560 ILN917495:ILN917560 IVJ917495:IVJ917560 JFF917495:JFF917560 JPB917495:JPB917560 JYX917495:JYX917560 KIT917495:KIT917560 KSP917495:KSP917560 LCL917495:LCL917560 LMH917495:LMH917560 LWD917495:LWD917560 MFZ917495:MFZ917560 MPV917495:MPV917560 MZR917495:MZR917560 NJN917495:NJN917560 NTJ917495:NTJ917560 ODF917495:ODF917560 ONB917495:ONB917560 OWX917495:OWX917560 PGT917495:PGT917560 PQP917495:PQP917560 QAL917495:QAL917560 QKH917495:QKH917560 QUD917495:QUD917560 RDZ917495:RDZ917560 RNV917495:RNV917560 RXR917495:RXR917560 SHN917495:SHN917560 SRJ917495:SRJ917560 TBF917495:TBF917560 TLB917495:TLB917560 TUX917495:TUX917560 UET917495:UET917560 UOP917495:UOP917560 UYL917495:UYL917560 VIH917495:VIH917560 VSD917495:VSD917560 WBZ917495:WBZ917560 WLV917495:WLV917560 WVR917495:WVR917560 JF2:JF59 JF983031:JF983096 TB983031:TB983096 ACX983031:ACX983096 AMT983031:AMT983096 AWP983031:AWP983096 BGL983031:BGL983096 BQH983031:BQH983096 CAD983031:CAD983096 CJZ983031:CJZ983096 CTV983031:CTV983096 DDR983031:DDR983096 DNN983031:DNN983096 DXJ983031:DXJ983096 EHF983031:EHF983096 ERB983031:ERB983096 FAX983031:FAX983096 FKT983031:FKT983096 FUP983031:FUP983096 GEL983031:GEL983096 GOH983031:GOH983096 GYD983031:GYD983096 HHZ983031:HHZ983096 HRV983031:HRV983096 IBR983031:IBR983096 ILN983031:ILN983096 IVJ983031:IVJ983096 JFF983031:JFF983096 JPB983031:JPB983096 JYX983031:JYX983096 KIT983031:KIT983096 KSP983031:KSP983096 LCL983031:LCL983096 LMH983031:LMH983096 LWD983031:LWD983096 MFZ983031:MFZ983096 MPV983031:MPV983096 MZR983031:MZR983096 NJN983031:NJN983096 NTJ983031:NTJ983096 ODF983031:ODF983096 ONB983031:ONB983096 OWX983031:OWX983096 PGT983031:PGT983096 PQP983031:PQP983096 QAL983031:QAL983096 QKH983031:QKH983096 QUD983031:QUD983096 RDZ983031:RDZ983096 RNV983031:RNV983096 RXR983031:RXR983096 SHN983031:SHN983096 SRJ983031:SRJ983096 TBF983031:TBF983096 TLB983031:TLB983096 TUX983031:TUX983096 UET983031:UET983096 UOP983031:UOP983096 UYL983031:UYL983096 VIH983031:VIH983096 VSD983031:VSD983096 WBZ983031:WBZ983096 WLV983031:WLV983096 WVR2:WVR59 WLV2:WLV59 WBZ2:WBZ59 VSD2:VSD59 VIH2:VIH59 UYL2:UYL59 UOP2:UOP59 UET2:UET59 TUX2:TUX59 TLB2:TLB59 TBF2:TBF59 SRJ2:SRJ59 SHN2:SHN59 RXR2:RXR59 RNV2:RNV59 RDZ2:RDZ59 QUD2:QUD59 QKH2:QKH59 QAL2:QAL59 PQP2:PQP59 PGT2:PGT59 OWX2:OWX59 ONB2:ONB59 ODF2:ODF59 NTJ2:NTJ59 NJN2:NJN59 MZR2:MZR59 MPV2:MPV59 MFZ2:MFZ59 LWD2:LWD59 LMH2:LMH59 LCL2:LCL59 KSP2:KSP59 KIT2:KIT59 JYX2:JYX59 JPB2:JPB59 JFF2:JFF59 IVJ2:IVJ59 ILN2:ILN59 IBR2:IBR59 HRV2:HRV59 HHZ2:HHZ59 GYD2:GYD59 GOH2:GOH59 GEL2:GEL59 FUP2:FUP59 FKT2:FKT59 FAX2:FAX59" xr:uid="{AA5A8691-389D-43B7-9404-D5E83D52D420}">
      <formula1>$AP$2:$AP$27</formula1>
    </dataValidation>
    <dataValidation type="list" allowBlank="1" showInputMessage="1" showErrorMessage="1" sqref="WVP983031:WVP983096 H65527:H65592 JD65527:JD65592 SZ65527:SZ65592 ACV65527:ACV65592 AMR65527:AMR65592 AWN65527:AWN65592 BGJ65527:BGJ65592 BQF65527:BQF65592 CAB65527:CAB65592 CJX65527:CJX65592 CTT65527:CTT65592 DDP65527:DDP65592 DNL65527:DNL65592 DXH65527:DXH65592 EHD65527:EHD65592 EQZ65527:EQZ65592 FAV65527:FAV65592 FKR65527:FKR65592 FUN65527:FUN65592 GEJ65527:GEJ65592 GOF65527:GOF65592 GYB65527:GYB65592 HHX65527:HHX65592 HRT65527:HRT65592 IBP65527:IBP65592 ILL65527:ILL65592 IVH65527:IVH65592 JFD65527:JFD65592 JOZ65527:JOZ65592 JYV65527:JYV65592 KIR65527:KIR65592 KSN65527:KSN65592 LCJ65527:LCJ65592 LMF65527:LMF65592 LWB65527:LWB65592 MFX65527:MFX65592 MPT65527:MPT65592 MZP65527:MZP65592 NJL65527:NJL65592 NTH65527:NTH65592 ODD65527:ODD65592 OMZ65527:OMZ65592 OWV65527:OWV65592 PGR65527:PGR65592 PQN65527:PQN65592 QAJ65527:QAJ65592 QKF65527:QKF65592 QUB65527:QUB65592 RDX65527:RDX65592 RNT65527:RNT65592 RXP65527:RXP65592 SHL65527:SHL65592 SRH65527:SRH65592 TBD65527:TBD65592 TKZ65527:TKZ65592 TUV65527:TUV65592 UER65527:UER65592 UON65527:UON65592 UYJ65527:UYJ65592 VIF65527:VIF65592 VSB65527:VSB65592 WBX65527:WBX65592 WLT65527:WLT65592 WVP65527:WVP65592 H131063:H131128 JD131063:JD131128 SZ131063:SZ131128 ACV131063:ACV131128 AMR131063:AMR131128 AWN131063:AWN131128 BGJ131063:BGJ131128 BQF131063:BQF131128 CAB131063:CAB131128 CJX131063:CJX131128 CTT131063:CTT131128 DDP131063:DDP131128 DNL131063:DNL131128 DXH131063:DXH131128 EHD131063:EHD131128 EQZ131063:EQZ131128 FAV131063:FAV131128 FKR131063:FKR131128 FUN131063:FUN131128 GEJ131063:GEJ131128 GOF131063:GOF131128 GYB131063:GYB131128 HHX131063:HHX131128 HRT131063:HRT131128 IBP131063:IBP131128 ILL131063:ILL131128 IVH131063:IVH131128 JFD131063:JFD131128 JOZ131063:JOZ131128 JYV131063:JYV131128 KIR131063:KIR131128 KSN131063:KSN131128 LCJ131063:LCJ131128 LMF131063:LMF131128 LWB131063:LWB131128 MFX131063:MFX131128 MPT131063:MPT131128 MZP131063:MZP131128 NJL131063:NJL131128 NTH131063:NTH131128 ODD131063:ODD131128 OMZ131063:OMZ131128 OWV131063:OWV131128 PGR131063:PGR131128 PQN131063:PQN131128 QAJ131063:QAJ131128 QKF131063:QKF131128 QUB131063:QUB131128 RDX131063:RDX131128 RNT131063:RNT131128 RXP131063:RXP131128 SHL131063:SHL131128 SRH131063:SRH131128 TBD131063:TBD131128 TKZ131063:TKZ131128 TUV131063:TUV131128 UER131063:UER131128 UON131063:UON131128 UYJ131063:UYJ131128 VIF131063:VIF131128 VSB131063:VSB131128 WBX131063:WBX131128 WLT131063:WLT131128 WVP131063:WVP131128 H196599:H196664 JD196599:JD196664 SZ196599:SZ196664 ACV196599:ACV196664 AMR196599:AMR196664 AWN196599:AWN196664 BGJ196599:BGJ196664 BQF196599:BQF196664 CAB196599:CAB196664 CJX196599:CJX196664 CTT196599:CTT196664 DDP196599:DDP196664 DNL196599:DNL196664 DXH196599:DXH196664 EHD196599:EHD196664 EQZ196599:EQZ196664 FAV196599:FAV196664 FKR196599:FKR196664 FUN196599:FUN196664 GEJ196599:GEJ196664 GOF196599:GOF196664 GYB196599:GYB196664 HHX196599:HHX196664 HRT196599:HRT196664 IBP196599:IBP196664 ILL196599:ILL196664 IVH196599:IVH196664 JFD196599:JFD196664 JOZ196599:JOZ196664 JYV196599:JYV196664 KIR196599:KIR196664 KSN196599:KSN196664 LCJ196599:LCJ196664 LMF196599:LMF196664 LWB196599:LWB196664 MFX196599:MFX196664 MPT196599:MPT196664 MZP196599:MZP196664 NJL196599:NJL196664 NTH196599:NTH196664 ODD196599:ODD196664 OMZ196599:OMZ196664 OWV196599:OWV196664 PGR196599:PGR196664 PQN196599:PQN196664 QAJ196599:QAJ196664 QKF196599:QKF196664 QUB196599:QUB196664 RDX196599:RDX196664 RNT196599:RNT196664 RXP196599:RXP196664 SHL196599:SHL196664 SRH196599:SRH196664 TBD196599:TBD196664 TKZ196599:TKZ196664 TUV196599:TUV196664 UER196599:UER196664 UON196599:UON196664 UYJ196599:UYJ196664 VIF196599:VIF196664 VSB196599:VSB196664 WBX196599:WBX196664 WLT196599:WLT196664 WVP196599:WVP196664 H262135:H262200 JD262135:JD262200 SZ262135:SZ262200 ACV262135:ACV262200 AMR262135:AMR262200 AWN262135:AWN262200 BGJ262135:BGJ262200 BQF262135:BQF262200 CAB262135:CAB262200 CJX262135:CJX262200 CTT262135:CTT262200 DDP262135:DDP262200 DNL262135:DNL262200 DXH262135:DXH262200 EHD262135:EHD262200 EQZ262135:EQZ262200 FAV262135:FAV262200 FKR262135:FKR262200 FUN262135:FUN262200 GEJ262135:GEJ262200 GOF262135:GOF262200 GYB262135:GYB262200 HHX262135:HHX262200 HRT262135:HRT262200 IBP262135:IBP262200 ILL262135:ILL262200 IVH262135:IVH262200 JFD262135:JFD262200 JOZ262135:JOZ262200 JYV262135:JYV262200 KIR262135:KIR262200 KSN262135:KSN262200 LCJ262135:LCJ262200 LMF262135:LMF262200 LWB262135:LWB262200 MFX262135:MFX262200 MPT262135:MPT262200 MZP262135:MZP262200 NJL262135:NJL262200 NTH262135:NTH262200 ODD262135:ODD262200 OMZ262135:OMZ262200 OWV262135:OWV262200 PGR262135:PGR262200 PQN262135:PQN262200 QAJ262135:QAJ262200 QKF262135:QKF262200 QUB262135:QUB262200 RDX262135:RDX262200 RNT262135:RNT262200 RXP262135:RXP262200 SHL262135:SHL262200 SRH262135:SRH262200 TBD262135:TBD262200 TKZ262135:TKZ262200 TUV262135:TUV262200 UER262135:UER262200 UON262135:UON262200 UYJ262135:UYJ262200 VIF262135:VIF262200 VSB262135:VSB262200 WBX262135:WBX262200 WLT262135:WLT262200 WVP262135:WVP262200 H327671:H327736 JD327671:JD327736 SZ327671:SZ327736 ACV327671:ACV327736 AMR327671:AMR327736 AWN327671:AWN327736 BGJ327671:BGJ327736 BQF327671:BQF327736 CAB327671:CAB327736 CJX327671:CJX327736 CTT327671:CTT327736 DDP327671:DDP327736 DNL327671:DNL327736 DXH327671:DXH327736 EHD327671:EHD327736 EQZ327671:EQZ327736 FAV327671:FAV327736 FKR327671:FKR327736 FUN327671:FUN327736 GEJ327671:GEJ327736 GOF327671:GOF327736 GYB327671:GYB327736 HHX327671:HHX327736 HRT327671:HRT327736 IBP327671:IBP327736 ILL327671:ILL327736 IVH327671:IVH327736 JFD327671:JFD327736 JOZ327671:JOZ327736 JYV327671:JYV327736 KIR327671:KIR327736 KSN327671:KSN327736 LCJ327671:LCJ327736 LMF327671:LMF327736 LWB327671:LWB327736 MFX327671:MFX327736 MPT327671:MPT327736 MZP327671:MZP327736 NJL327671:NJL327736 NTH327671:NTH327736 ODD327671:ODD327736 OMZ327671:OMZ327736 OWV327671:OWV327736 PGR327671:PGR327736 PQN327671:PQN327736 QAJ327671:QAJ327736 QKF327671:QKF327736 QUB327671:QUB327736 RDX327671:RDX327736 RNT327671:RNT327736 RXP327671:RXP327736 SHL327671:SHL327736 SRH327671:SRH327736 TBD327671:TBD327736 TKZ327671:TKZ327736 TUV327671:TUV327736 UER327671:UER327736 UON327671:UON327736 UYJ327671:UYJ327736 VIF327671:VIF327736 VSB327671:VSB327736 WBX327671:WBX327736 WLT327671:WLT327736 WVP327671:WVP327736 H393207:H393272 JD393207:JD393272 SZ393207:SZ393272 ACV393207:ACV393272 AMR393207:AMR393272 AWN393207:AWN393272 BGJ393207:BGJ393272 BQF393207:BQF393272 CAB393207:CAB393272 CJX393207:CJX393272 CTT393207:CTT393272 DDP393207:DDP393272 DNL393207:DNL393272 DXH393207:DXH393272 EHD393207:EHD393272 EQZ393207:EQZ393272 FAV393207:FAV393272 FKR393207:FKR393272 FUN393207:FUN393272 GEJ393207:GEJ393272 GOF393207:GOF393272 GYB393207:GYB393272 HHX393207:HHX393272 HRT393207:HRT393272 IBP393207:IBP393272 ILL393207:ILL393272 IVH393207:IVH393272 JFD393207:JFD393272 JOZ393207:JOZ393272 JYV393207:JYV393272 KIR393207:KIR393272 KSN393207:KSN393272 LCJ393207:LCJ393272 LMF393207:LMF393272 LWB393207:LWB393272 MFX393207:MFX393272 MPT393207:MPT393272 MZP393207:MZP393272 NJL393207:NJL393272 NTH393207:NTH393272 ODD393207:ODD393272 OMZ393207:OMZ393272 OWV393207:OWV393272 PGR393207:PGR393272 PQN393207:PQN393272 QAJ393207:QAJ393272 QKF393207:QKF393272 QUB393207:QUB393272 RDX393207:RDX393272 RNT393207:RNT393272 RXP393207:RXP393272 SHL393207:SHL393272 SRH393207:SRH393272 TBD393207:TBD393272 TKZ393207:TKZ393272 TUV393207:TUV393272 UER393207:UER393272 UON393207:UON393272 UYJ393207:UYJ393272 VIF393207:VIF393272 VSB393207:VSB393272 WBX393207:WBX393272 WLT393207:WLT393272 WVP393207:WVP393272 H458743:H458808 JD458743:JD458808 SZ458743:SZ458808 ACV458743:ACV458808 AMR458743:AMR458808 AWN458743:AWN458808 BGJ458743:BGJ458808 BQF458743:BQF458808 CAB458743:CAB458808 CJX458743:CJX458808 CTT458743:CTT458808 DDP458743:DDP458808 DNL458743:DNL458808 DXH458743:DXH458808 EHD458743:EHD458808 EQZ458743:EQZ458808 FAV458743:FAV458808 FKR458743:FKR458808 FUN458743:FUN458808 GEJ458743:GEJ458808 GOF458743:GOF458808 GYB458743:GYB458808 HHX458743:HHX458808 HRT458743:HRT458808 IBP458743:IBP458808 ILL458743:ILL458808 IVH458743:IVH458808 JFD458743:JFD458808 JOZ458743:JOZ458808 JYV458743:JYV458808 KIR458743:KIR458808 KSN458743:KSN458808 LCJ458743:LCJ458808 LMF458743:LMF458808 LWB458743:LWB458808 MFX458743:MFX458808 MPT458743:MPT458808 MZP458743:MZP458808 NJL458743:NJL458808 NTH458743:NTH458808 ODD458743:ODD458808 OMZ458743:OMZ458808 OWV458743:OWV458808 PGR458743:PGR458808 PQN458743:PQN458808 QAJ458743:QAJ458808 QKF458743:QKF458808 QUB458743:QUB458808 RDX458743:RDX458808 RNT458743:RNT458808 RXP458743:RXP458808 SHL458743:SHL458808 SRH458743:SRH458808 TBD458743:TBD458808 TKZ458743:TKZ458808 TUV458743:TUV458808 UER458743:UER458808 UON458743:UON458808 UYJ458743:UYJ458808 VIF458743:VIF458808 VSB458743:VSB458808 WBX458743:WBX458808 WLT458743:WLT458808 WVP458743:WVP458808 H524279:H524344 JD524279:JD524344 SZ524279:SZ524344 ACV524279:ACV524344 AMR524279:AMR524344 AWN524279:AWN524344 BGJ524279:BGJ524344 BQF524279:BQF524344 CAB524279:CAB524344 CJX524279:CJX524344 CTT524279:CTT524344 DDP524279:DDP524344 DNL524279:DNL524344 DXH524279:DXH524344 EHD524279:EHD524344 EQZ524279:EQZ524344 FAV524279:FAV524344 FKR524279:FKR524344 FUN524279:FUN524344 GEJ524279:GEJ524344 GOF524279:GOF524344 GYB524279:GYB524344 HHX524279:HHX524344 HRT524279:HRT524344 IBP524279:IBP524344 ILL524279:ILL524344 IVH524279:IVH524344 JFD524279:JFD524344 JOZ524279:JOZ524344 JYV524279:JYV524344 KIR524279:KIR524344 KSN524279:KSN524344 LCJ524279:LCJ524344 LMF524279:LMF524344 LWB524279:LWB524344 MFX524279:MFX524344 MPT524279:MPT524344 MZP524279:MZP524344 NJL524279:NJL524344 NTH524279:NTH524344 ODD524279:ODD524344 OMZ524279:OMZ524344 OWV524279:OWV524344 PGR524279:PGR524344 PQN524279:PQN524344 QAJ524279:QAJ524344 QKF524279:QKF524344 QUB524279:QUB524344 RDX524279:RDX524344 RNT524279:RNT524344 RXP524279:RXP524344 SHL524279:SHL524344 SRH524279:SRH524344 TBD524279:TBD524344 TKZ524279:TKZ524344 TUV524279:TUV524344 UER524279:UER524344 UON524279:UON524344 UYJ524279:UYJ524344 VIF524279:VIF524344 VSB524279:VSB524344 WBX524279:WBX524344 WLT524279:WLT524344 WVP524279:WVP524344 H589815:H589880 JD589815:JD589880 SZ589815:SZ589880 ACV589815:ACV589880 AMR589815:AMR589880 AWN589815:AWN589880 BGJ589815:BGJ589880 BQF589815:BQF589880 CAB589815:CAB589880 CJX589815:CJX589880 CTT589815:CTT589880 DDP589815:DDP589880 DNL589815:DNL589880 DXH589815:DXH589880 EHD589815:EHD589880 EQZ589815:EQZ589880 FAV589815:FAV589880 FKR589815:FKR589880 FUN589815:FUN589880 GEJ589815:GEJ589880 GOF589815:GOF589880 GYB589815:GYB589880 HHX589815:HHX589880 HRT589815:HRT589880 IBP589815:IBP589880 ILL589815:ILL589880 IVH589815:IVH589880 JFD589815:JFD589880 JOZ589815:JOZ589880 JYV589815:JYV589880 KIR589815:KIR589880 KSN589815:KSN589880 LCJ589815:LCJ589880 LMF589815:LMF589880 LWB589815:LWB589880 MFX589815:MFX589880 MPT589815:MPT589880 MZP589815:MZP589880 NJL589815:NJL589880 NTH589815:NTH589880 ODD589815:ODD589880 OMZ589815:OMZ589880 OWV589815:OWV589880 PGR589815:PGR589880 PQN589815:PQN589880 QAJ589815:QAJ589880 QKF589815:QKF589880 QUB589815:QUB589880 RDX589815:RDX589880 RNT589815:RNT589880 RXP589815:RXP589880 SHL589815:SHL589880 SRH589815:SRH589880 TBD589815:TBD589880 TKZ589815:TKZ589880 TUV589815:TUV589880 UER589815:UER589880 UON589815:UON589880 UYJ589815:UYJ589880 VIF589815:VIF589880 VSB589815:VSB589880 WBX589815:WBX589880 WLT589815:WLT589880 WVP589815:WVP589880 H655351:H655416 JD655351:JD655416 SZ655351:SZ655416 ACV655351:ACV655416 AMR655351:AMR655416 AWN655351:AWN655416 BGJ655351:BGJ655416 BQF655351:BQF655416 CAB655351:CAB655416 CJX655351:CJX655416 CTT655351:CTT655416 DDP655351:DDP655416 DNL655351:DNL655416 DXH655351:DXH655416 EHD655351:EHD655416 EQZ655351:EQZ655416 FAV655351:FAV655416 FKR655351:FKR655416 FUN655351:FUN655416 GEJ655351:GEJ655416 GOF655351:GOF655416 GYB655351:GYB655416 HHX655351:HHX655416 HRT655351:HRT655416 IBP655351:IBP655416 ILL655351:ILL655416 IVH655351:IVH655416 JFD655351:JFD655416 JOZ655351:JOZ655416 JYV655351:JYV655416 KIR655351:KIR655416 KSN655351:KSN655416 LCJ655351:LCJ655416 LMF655351:LMF655416 LWB655351:LWB655416 MFX655351:MFX655416 MPT655351:MPT655416 MZP655351:MZP655416 NJL655351:NJL655416 NTH655351:NTH655416 ODD655351:ODD655416 OMZ655351:OMZ655416 OWV655351:OWV655416 PGR655351:PGR655416 PQN655351:PQN655416 QAJ655351:QAJ655416 QKF655351:QKF655416 QUB655351:QUB655416 RDX655351:RDX655416 RNT655351:RNT655416 RXP655351:RXP655416 SHL655351:SHL655416 SRH655351:SRH655416 TBD655351:TBD655416 TKZ655351:TKZ655416 TUV655351:TUV655416 UER655351:UER655416 UON655351:UON655416 UYJ655351:UYJ655416 VIF655351:VIF655416 VSB655351:VSB655416 WBX655351:WBX655416 WLT655351:WLT655416 WVP655351:WVP655416 H720887:H720952 JD720887:JD720952 SZ720887:SZ720952 ACV720887:ACV720952 AMR720887:AMR720952 AWN720887:AWN720952 BGJ720887:BGJ720952 BQF720887:BQF720952 CAB720887:CAB720952 CJX720887:CJX720952 CTT720887:CTT720952 DDP720887:DDP720952 DNL720887:DNL720952 DXH720887:DXH720952 EHD720887:EHD720952 EQZ720887:EQZ720952 FAV720887:FAV720952 FKR720887:FKR720952 FUN720887:FUN720952 GEJ720887:GEJ720952 GOF720887:GOF720952 GYB720887:GYB720952 HHX720887:HHX720952 HRT720887:HRT720952 IBP720887:IBP720952 ILL720887:ILL720952 IVH720887:IVH720952 JFD720887:JFD720952 JOZ720887:JOZ720952 JYV720887:JYV720952 KIR720887:KIR720952 KSN720887:KSN720952 LCJ720887:LCJ720952 LMF720887:LMF720952 LWB720887:LWB720952 MFX720887:MFX720952 MPT720887:MPT720952 MZP720887:MZP720952 NJL720887:NJL720952 NTH720887:NTH720952 ODD720887:ODD720952 OMZ720887:OMZ720952 OWV720887:OWV720952 PGR720887:PGR720952 PQN720887:PQN720952 QAJ720887:QAJ720952 QKF720887:QKF720952 QUB720887:QUB720952 RDX720887:RDX720952 RNT720887:RNT720952 RXP720887:RXP720952 SHL720887:SHL720952 SRH720887:SRH720952 TBD720887:TBD720952 TKZ720887:TKZ720952 TUV720887:TUV720952 UER720887:UER720952 UON720887:UON720952 UYJ720887:UYJ720952 VIF720887:VIF720952 VSB720887:VSB720952 WBX720887:WBX720952 WLT720887:WLT720952 WVP720887:WVP720952 H786423:H786488 JD786423:JD786488 SZ786423:SZ786488 ACV786423:ACV786488 AMR786423:AMR786488 AWN786423:AWN786488 BGJ786423:BGJ786488 BQF786423:BQF786488 CAB786423:CAB786488 CJX786423:CJX786488 CTT786423:CTT786488 DDP786423:DDP786488 DNL786423:DNL786488 DXH786423:DXH786488 EHD786423:EHD786488 EQZ786423:EQZ786488 FAV786423:FAV786488 FKR786423:FKR786488 FUN786423:FUN786488 GEJ786423:GEJ786488 GOF786423:GOF786488 GYB786423:GYB786488 HHX786423:HHX786488 HRT786423:HRT786488 IBP786423:IBP786488 ILL786423:ILL786488 IVH786423:IVH786488 JFD786423:JFD786488 JOZ786423:JOZ786488 JYV786423:JYV786488 KIR786423:KIR786488 KSN786423:KSN786488 LCJ786423:LCJ786488 LMF786423:LMF786488 LWB786423:LWB786488 MFX786423:MFX786488 MPT786423:MPT786488 MZP786423:MZP786488 NJL786423:NJL786488 NTH786423:NTH786488 ODD786423:ODD786488 OMZ786423:OMZ786488 OWV786423:OWV786488 PGR786423:PGR786488 PQN786423:PQN786488 QAJ786423:QAJ786488 QKF786423:QKF786488 QUB786423:QUB786488 RDX786423:RDX786488 RNT786423:RNT786488 RXP786423:RXP786488 SHL786423:SHL786488 SRH786423:SRH786488 TBD786423:TBD786488 TKZ786423:TKZ786488 TUV786423:TUV786488 UER786423:UER786488 UON786423:UON786488 UYJ786423:UYJ786488 VIF786423:VIF786488 VSB786423:VSB786488 WBX786423:WBX786488 WLT786423:WLT786488 WVP786423:WVP786488 H851959:H852024 JD851959:JD852024 SZ851959:SZ852024 ACV851959:ACV852024 AMR851959:AMR852024 AWN851959:AWN852024 BGJ851959:BGJ852024 BQF851959:BQF852024 CAB851959:CAB852024 CJX851959:CJX852024 CTT851959:CTT852024 DDP851959:DDP852024 DNL851959:DNL852024 DXH851959:DXH852024 EHD851959:EHD852024 EQZ851959:EQZ852024 FAV851959:FAV852024 FKR851959:FKR852024 FUN851959:FUN852024 GEJ851959:GEJ852024 GOF851959:GOF852024 GYB851959:GYB852024 HHX851959:HHX852024 HRT851959:HRT852024 IBP851959:IBP852024 ILL851959:ILL852024 IVH851959:IVH852024 JFD851959:JFD852024 JOZ851959:JOZ852024 JYV851959:JYV852024 KIR851959:KIR852024 KSN851959:KSN852024 LCJ851959:LCJ852024 LMF851959:LMF852024 LWB851959:LWB852024 MFX851959:MFX852024 MPT851959:MPT852024 MZP851959:MZP852024 NJL851959:NJL852024 NTH851959:NTH852024 ODD851959:ODD852024 OMZ851959:OMZ852024 OWV851959:OWV852024 PGR851959:PGR852024 PQN851959:PQN852024 QAJ851959:QAJ852024 QKF851959:QKF852024 QUB851959:QUB852024 RDX851959:RDX852024 RNT851959:RNT852024 RXP851959:RXP852024 SHL851959:SHL852024 SRH851959:SRH852024 TBD851959:TBD852024 TKZ851959:TKZ852024 TUV851959:TUV852024 UER851959:UER852024 UON851959:UON852024 UYJ851959:UYJ852024 VIF851959:VIF852024 VSB851959:VSB852024 WBX851959:WBX852024 WLT851959:WLT852024 WVP851959:WVP852024 H917495:H917560 JD917495:JD917560 SZ917495:SZ917560 ACV917495:ACV917560 AMR917495:AMR917560 AWN917495:AWN917560 BGJ917495:BGJ917560 BQF917495:BQF917560 CAB917495:CAB917560 CJX917495:CJX917560 CTT917495:CTT917560 DDP917495:DDP917560 DNL917495:DNL917560 DXH917495:DXH917560 EHD917495:EHD917560 EQZ917495:EQZ917560 FAV917495:FAV917560 FKR917495:FKR917560 FUN917495:FUN917560 GEJ917495:GEJ917560 GOF917495:GOF917560 GYB917495:GYB917560 HHX917495:HHX917560 HRT917495:HRT917560 IBP917495:IBP917560 ILL917495:ILL917560 IVH917495:IVH917560 JFD917495:JFD917560 JOZ917495:JOZ917560 JYV917495:JYV917560 KIR917495:KIR917560 KSN917495:KSN917560 LCJ917495:LCJ917560 LMF917495:LMF917560 LWB917495:LWB917560 MFX917495:MFX917560 MPT917495:MPT917560 MZP917495:MZP917560 NJL917495:NJL917560 NTH917495:NTH917560 ODD917495:ODD917560 OMZ917495:OMZ917560 OWV917495:OWV917560 PGR917495:PGR917560 PQN917495:PQN917560 QAJ917495:QAJ917560 QKF917495:QKF917560 QUB917495:QUB917560 RDX917495:RDX917560 RNT917495:RNT917560 RXP917495:RXP917560 SHL917495:SHL917560 SRH917495:SRH917560 TBD917495:TBD917560 TKZ917495:TKZ917560 TUV917495:TUV917560 UER917495:UER917560 UON917495:UON917560 UYJ917495:UYJ917560 VIF917495:VIF917560 VSB917495:VSB917560 WBX917495:WBX917560 WLT917495:WLT917560 WVP917495:WVP917560 H983031:H983096 JD983031:JD983096 SZ983031:SZ983096 ACV983031:ACV983096 AMR983031:AMR983096 AWN983031:AWN983096 BGJ983031:BGJ983096 BQF983031:BQF983096 CAB983031:CAB983096 CJX983031:CJX983096 CTT983031:CTT983096 DDP983031:DDP983096 DNL983031:DNL983096 DXH983031:DXH983096 EHD983031:EHD983096 EQZ983031:EQZ983096 FAV983031:FAV983096 FKR983031:FKR983096 FUN983031:FUN983096 GEJ983031:GEJ983096 GOF983031:GOF983096 GYB983031:GYB983096 HHX983031:HHX983096 HRT983031:HRT983096 IBP983031:IBP983096 ILL983031:ILL983096 IVH983031:IVH983096 JFD983031:JFD983096 JOZ983031:JOZ983096 JYV983031:JYV983096 KIR983031:KIR983096 KSN983031:KSN983096 LCJ983031:LCJ983096 LMF983031:LMF983096 LWB983031:LWB983096 MFX983031:MFX983096 MPT983031:MPT983096 MZP983031:MZP983096 NJL983031:NJL983096 NTH983031:NTH983096 ODD983031:ODD983096 OMZ983031:OMZ983096 OWV983031:OWV983096 PGR983031:PGR983096 PQN983031:PQN983096 QAJ983031:QAJ983096 QKF983031:QKF983096 QUB983031:QUB983096 RDX983031:RDX983096 RNT983031:RNT983096 RXP983031:RXP983096 SHL983031:SHL983096 SRH983031:SRH983096 TBD983031:TBD983096 TKZ983031:TKZ983096 TUV983031:TUV983096 UER983031:UER983096 UON983031:UON983096 UYJ983031:UYJ983096 VIF983031:VIF983096 VSB983031:VSB983096 WBX983031:WBX983096 WLT983031:WLT983096 WVP2:WVP59 WLT2:WLT59 WBX2:WBX59 VSB2:VSB59 VIF2:VIF59 UYJ2:UYJ59 UON2:UON59 UER2:UER59 TUV2:TUV59 TKZ2:TKZ59 TBD2:TBD59 SRH2:SRH59 SHL2:SHL59 RXP2:RXP59 RNT2:RNT59 RDX2:RDX59 QUB2:QUB59 QKF2:QKF59 QAJ2:QAJ59 PQN2:PQN59 PGR2:PGR59 OWV2:OWV59 OMZ2:OMZ59 ODD2:ODD59 NTH2:NTH59 NJL2:NJL59 MZP2:MZP59 MPT2:MPT59 MFX2:MFX59 LWB2:LWB59 LMF2:LMF59 LCJ2:LCJ59 KSN2:KSN59 KIR2:KIR59 JYV2:JYV59 JOZ2:JOZ59 JFD2:JFD59 IVH2:IVH59 ILL2:ILL59 IBP2:IBP59 HRT2:HRT59 HHX2:HHX59 GYB2:GYB59 GOF2:GOF59 GEJ2:GEJ59 FUN2:FUN59 FKR2:FKR59 FAV2:FAV59 EQZ2:EQZ59 EHD2:EHD59 DXH2:DXH59 DNL2:DNL59 DDP2:DDP59 CTT2:CTT59 CJX2:CJX59 CAB2:CAB59 BQF2:BQF59 BGJ2:BGJ59 AWN2:AWN59 AMR2:AMR59 ACV2:ACV59 SZ2:SZ59 JD2:JD59" xr:uid="{2B87F94B-2899-49AD-A91C-7E6B768B7D9D}">
      <formula1>$AL$4:$AL$12</formula1>
    </dataValidation>
    <dataValidation type="list" allowBlank="1" showInputMessage="1" showErrorMessage="1" sqref="A64352:A64417 IW64352:IW64417 SS64352:SS64417 ACO64352:ACO64417 AMK64352:AMK64417 AWG64352:AWG64417 BGC64352:BGC64417 BPY64352:BPY64417 BZU64352:BZU64417 CJQ64352:CJQ64417 CTM64352:CTM64417 DDI64352:DDI64417 DNE64352:DNE64417 DXA64352:DXA64417 EGW64352:EGW64417 EQS64352:EQS64417 FAO64352:FAO64417 FKK64352:FKK64417 FUG64352:FUG64417 GEC64352:GEC64417 GNY64352:GNY64417 GXU64352:GXU64417 HHQ64352:HHQ64417 HRM64352:HRM64417 IBI64352:IBI64417 ILE64352:ILE64417 IVA64352:IVA64417 JEW64352:JEW64417 JOS64352:JOS64417 JYO64352:JYO64417 KIK64352:KIK64417 KSG64352:KSG64417 LCC64352:LCC64417 LLY64352:LLY64417 LVU64352:LVU64417 MFQ64352:MFQ64417 MPM64352:MPM64417 MZI64352:MZI64417 NJE64352:NJE64417 NTA64352:NTA64417 OCW64352:OCW64417 OMS64352:OMS64417 OWO64352:OWO64417 PGK64352:PGK64417 PQG64352:PQG64417 QAC64352:QAC64417 QJY64352:QJY64417 QTU64352:QTU64417 RDQ64352:RDQ64417 RNM64352:RNM64417 RXI64352:RXI64417 SHE64352:SHE64417 SRA64352:SRA64417 TAW64352:TAW64417 TKS64352:TKS64417 TUO64352:TUO64417 UEK64352:UEK64417 UOG64352:UOG64417 UYC64352:UYC64417 VHY64352:VHY64417 VRU64352:VRU64417 WBQ64352:WBQ64417 WLM64352:WLM64417 WVI64352:WVI64417 A129888:A129953 IW129888:IW129953 SS129888:SS129953 ACO129888:ACO129953 AMK129888:AMK129953 AWG129888:AWG129953 BGC129888:BGC129953 BPY129888:BPY129953 BZU129888:BZU129953 CJQ129888:CJQ129953 CTM129888:CTM129953 DDI129888:DDI129953 DNE129888:DNE129953 DXA129888:DXA129953 EGW129888:EGW129953 EQS129888:EQS129953 FAO129888:FAO129953 FKK129888:FKK129953 FUG129888:FUG129953 GEC129888:GEC129953 GNY129888:GNY129953 GXU129888:GXU129953 HHQ129888:HHQ129953 HRM129888:HRM129953 IBI129888:IBI129953 ILE129888:ILE129953 IVA129888:IVA129953 JEW129888:JEW129953 JOS129888:JOS129953 JYO129888:JYO129953 KIK129888:KIK129953 KSG129888:KSG129953 LCC129888:LCC129953 LLY129888:LLY129953 LVU129888:LVU129953 MFQ129888:MFQ129953 MPM129888:MPM129953 MZI129888:MZI129953 NJE129888:NJE129953 NTA129888:NTA129953 OCW129888:OCW129953 OMS129888:OMS129953 OWO129888:OWO129953 PGK129888:PGK129953 PQG129888:PQG129953 QAC129888:QAC129953 QJY129888:QJY129953 QTU129888:QTU129953 RDQ129888:RDQ129953 RNM129888:RNM129953 RXI129888:RXI129953 SHE129888:SHE129953 SRA129888:SRA129953 TAW129888:TAW129953 TKS129888:TKS129953 TUO129888:TUO129953 UEK129888:UEK129953 UOG129888:UOG129953 UYC129888:UYC129953 VHY129888:VHY129953 VRU129888:VRU129953 WBQ129888:WBQ129953 WLM129888:WLM129953 WVI129888:WVI129953 A195424:A195489 IW195424:IW195489 SS195424:SS195489 ACO195424:ACO195489 AMK195424:AMK195489 AWG195424:AWG195489 BGC195424:BGC195489 BPY195424:BPY195489 BZU195424:BZU195489 CJQ195424:CJQ195489 CTM195424:CTM195489 DDI195424:DDI195489 DNE195424:DNE195489 DXA195424:DXA195489 EGW195424:EGW195489 EQS195424:EQS195489 FAO195424:FAO195489 FKK195424:FKK195489 FUG195424:FUG195489 GEC195424:GEC195489 GNY195424:GNY195489 GXU195424:GXU195489 HHQ195424:HHQ195489 HRM195424:HRM195489 IBI195424:IBI195489 ILE195424:ILE195489 IVA195424:IVA195489 JEW195424:JEW195489 JOS195424:JOS195489 JYO195424:JYO195489 KIK195424:KIK195489 KSG195424:KSG195489 LCC195424:LCC195489 LLY195424:LLY195489 LVU195424:LVU195489 MFQ195424:MFQ195489 MPM195424:MPM195489 MZI195424:MZI195489 NJE195424:NJE195489 NTA195424:NTA195489 OCW195424:OCW195489 OMS195424:OMS195489 OWO195424:OWO195489 PGK195424:PGK195489 PQG195424:PQG195489 QAC195424:QAC195489 QJY195424:QJY195489 QTU195424:QTU195489 RDQ195424:RDQ195489 RNM195424:RNM195489 RXI195424:RXI195489 SHE195424:SHE195489 SRA195424:SRA195489 TAW195424:TAW195489 TKS195424:TKS195489 TUO195424:TUO195489 UEK195424:UEK195489 UOG195424:UOG195489 UYC195424:UYC195489 VHY195424:VHY195489 VRU195424:VRU195489 WBQ195424:WBQ195489 WLM195424:WLM195489 WVI195424:WVI195489 A260960:A261025 IW260960:IW261025 SS260960:SS261025 ACO260960:ACO261025 AMK260960:AMK261025 AWG260960:AWG261025 BGC260960:BGC261025 BPY260960:BPY261025 BZU260960:BZU261025 CJQ260960:CJQ261025 CTM260960:CTM261025 DDI260960:DDI261025 DNE260960:DNE261025 DXA260960:DXA261025 EGW260960:EGW261025 EQS260960:EQS261025 FAO260960:FAO261025 FKK260960:FKK261025 FUG260960:FUG261025 GEC260960:GEC261025 GNY260960:GNY261025 GXU260960:GXU261025 HHQ260960:HHQ261025 HRM260960:HRM261025 IBI260960:IBI261025 ILE260960:ILE261025 IVA260960:IVA261025 JEW260960:JEW261025 JOS260960:JOS261025 JYO260960:JYO261025 KIK260960:KIK261025 KSG260960:KSG261025 LCC260960:LCC261025 LLY260960:LLY261025 LVU260960:LVU261025 MFQ260960:MFQ261025 MPM260960:MPM261025 MZI260960:MZI261025 NJE260960:NJE261025 NTA260960:NTA261025 OCW260960:OCW261025 OMS260960:OMS261025 OWO260960:OWO261025 PGK260960:PGK261025 PQG260960:PQG261025 QAC260960:QAC261025 QJY260960:QJY261025 QTU260960:QTU261025 RDQ260960:RDQ261025 RNM260960:RNM261025 RXI260960:RXI261025 SHE260960:SHE261025 SRA260960:SRA261025 TAW260960:TAW261025 TKS260960:TKS261025 TUO260960:TUO261025 UEK260960:UEK261025 UOG260960:UOG261025 UYC260960:UYC261025 VHY260960:VHY261025 VRU260960:VRU261025 WBQ260960:WBQ261025 WLM260960:WLM261025 WVI260960:WVI261025 A326496:A326561 IW326496:IW326561 SS326496:SS326561 ACO326496:ACO326561 AMK326496:AMK326561 AWG326496:AWG326561 BGC326496:BGC326561 BPY326496:BPY326561 BZU326496:BZU326561 CJQ326496:CJQ326561 CTM326496:CTM326561 DDI326496:DDI326561 DNE326496:DNE326561 DXA326496:DXA326561 EGW326496:EGW326561 EQS326496:EQS326561 FAO326496:FAO326561 FKK326496:FKK326561 FUG326496:FUG326561 GEC326496:GEC326561 GNY326496:GNY326561 GXU326496:GXU326561 HHQ326496:HHQ326561 HRM326496:HRM326561 IBI326496:IBI326561 ILE326496:ILE326561 IVA326496:IVA326561 JEW326496:JEW326561 JOS326496:JOS326561 JYO326496:JYO326561 KIK326496:KIK326561 KSG326496:KSG326561 LCC326496:LCC326561 LLY326496:LLY326561 LVU326496:LVU326561 MFQ326496:MFQ326561 MPM326496:MPM326561 MZI326496:MZI326561 NJE326496:NJE326561 NTA326496:NTA326561 OCW326496:OCW326561 OMS326496:OMS326561 OWO326496:OWO326561 PGK326496:PGK326561 PQG326496:PQG326561 QAC326496:QAC326561 QJY326496:QJY326561 QTU326496:QTU326561 RDQ326496:RDQ326561 RNM326496:RNM326561 RXI326496:RXI326561 SHE326496:SHE326561 SRA326496:SRA326561 TAW326496:TAW326561 TKS326496:TKS326561 TUO326496:TUO326561 UEK326496:UEK326561 UOG326496:UOG326561 UYC326496:UYC326561 VHY326496:VHY326561 VRU326496:VRU326561 WBQ326496:WBQ326561 WLM326496:WLM326561 WVI326496:WVI326561 A392032:A392097 IW392032:IW392097 SS392032:SS392097 ACO392032:ACO392097 AMK392032:AMK392097 AWG392032:AWG392097 BGC392032:BGC392097 BPY392032:BPY392097 BZU392032:BZU392097 CJQ392032:CJQ392097 CTM392032:CTM392097 DDI392032:DDI392097 DNE392032:DNE392097 DXA392032:DXA392097 EGW392032:EGW392097 EQS392032:EQS392097 FAO392032:FAO392097 FKK392032:FKK392097 FUG392032:FUG392097 GEC392032:GEC392097 GNY392032:GNY392097 GXU392032:GXU392097 HHQ392032:HHQ392097 HRM392032:HRM392097 IBI392032:IBI392097 ILE392032:ILE392097 IVA392032:IVA392097 JEW392032:JEW392097 JOS392032:JOS392097 JYO392032:JYO392097 KIK392032:KIK392097 KSG392032:KSG392097 LCC392032:LCC392097 LLY392032:LLY392097 LVU392032:LVU392097 MFQ392032:MFQ392097 MPM392032:MPM392097 MZI392032:MZI392097 NJE392032:NJE392097 NTA392032:NTA392097 OCW392032:OCW392097 OMS392032:OMS392097 OWO392032:OWO392097 PGK392032:PGK392097 PQG392032:PQG392097 QAC392032:QAC392097 QJY392032:QJY392097 QTU392032:QTU392097 RDQ392032:RDQ392097 RNM392032:RNM392097 RXI392032:RXI392097 SHE392032:SHE392097 SRA392032:SRA392097 TAW392032:TAW392097 TKS392032:TKS392097 TUO392032:TUO392097 UEK392032:UEK392097 UOG392032:UOG392097 UYC392032:UYC392097 VHY392032:VHY392097 VRU392032:VRU392097 WBQ392032:WBQ392097 WLM392032:WLM392097 WVI392032:WVI392097 A457568:A457633 IW457568:IW457633 SS457568:SS457633 ACO457568:ACO457633 AMK457568:AMK457633 AWG457568:AWG457633 BGC457568:BGC457633 BPY457568:BPY457633 BZU457568:BZU457633 CJQ457568:CJQ457633 CTM457568:CTM457633 DDI457568:DDI457633 DNE457568:DNE457633 DXA457568:DXA457633 EGW457568:EGW457633 EQS457568:EQS457633 FAO457568:FAO457633 FKK457568:FKK457633 FUG457568:FUG457633 GEC457568:GEC457633 GNY457568:GNY457633 GXU457568:GXU457633 HHQ457568:HHQ457633 HRM457568:HRM457633 IBI457568:IBI457633 ILE457568:ILE457633 IVA457568:IVA457633 JEW457568:JEW457633 JOS457568:JOS457633 JYO457568:JYO457633 KIK457568:KIK457633 KSG457568:KSG457633 LCC457568:LCC457633 LLY457568:LLY457633 LVU457568:LVU457633 MFQ457568:MFQ457633 MPM457568:MPM457633 MZI457568:MZI457633 NJE457568:NJE457633 NTA457568:NTA457633 OCW457568:OCW457633 OMS457568:OMS457633 OWO457568:OWO457633 PGK457568:PGK457633 PQG457568:PQG457633 QAC457568:QAC457633 QJY457568:QJY457633 QTU457568:QTU457633 RDQ457568:RDQ457633 RNM457568:RNM457633 RXI457568:RXI457633 SHE457568:SHE457633 SRA457568:SRA457633 TAW457568:TAW457633 TKS457568:TKS457633 TUO457568:TUO457633 UEK457568:UEK457633 UOG457568:UOG457633 UYC457568:UYC457633 VHY457568:VHY457633 VRU457568:VRU457633 WBQ457568:WBQ457633 WLM457568:WLM457633 WVI457568:WVI457633 A523104:A523169 IW523104:IW523169 SS523104:SS523169 ACO523104:ACO523169 AMK523104:AMK523169 AWG523104:AWG523169 BGC523104:BGC523169 BPY523104:BPY523169 BZU523104:BZU523169 CJQ523104:CJQ523169 CTM523104:CTM523169 DDI523104:DDI523169 DNE523104:DNE523169 DXA523104:DXA523169 EGW523104:EGW523169 EQS523104:EQS523169 FAO523104:FAO523169 FKK523104:FKK523169 FUG523104:FUG523169 GEC523104:GEC523169 GNY523104:GNY523169 GXU523104:GXU523169 HHQ523104:HHQ523169 HRM523104:HRM523169 IBI523104:IBI523169 ILE523104:ILE523169 IVA523104:IVA523169 JEW523104:JEW523169 JOS523104:JOS523169 JYO523104:JYO523169 KIK523104:KIK523169 KSG523104:KSG523169 LCC523104:LCC523169 LLY523104:LLY523169 LVU523104:LVU523169 MFQ523104:MFQ523169 MPM523104:MPM523169 MZI523104:MZI523169 NJE523104:NJE523169 NTA523104:NTA523169 OCW523104:OCW523169 OMS523104:OMS523169 OWO523104:OWO523169 PGK523104:PGK523169 PQG523104:PQG523169 QAC523104:QAC523169 QJY523104:QJY523169 QTU523104:QTU523169 RDQ523104:RDQ523169 RNM523104:RNM523169 RXI523104:RXI523169 SHE523104:SHE523169 SRA523104:SRA523169 TAW523104:TAW523169 TKS523104:TKS523169 TUO523104:TUO523169 UEK523104:UEK523169 UOG523104:UOG523169 UYC523104:UYC523169 VHY523104:VHY523169 VRU523104:VRU523169 WBQ523104:WBQ523169 WLM523104:WLM523169 WVI523104:WVI523169 A588640:A588705 IW588640:IW588705 SS588640:SS588705 ACO588640:ACO588705 AMK588640:AMK588705 AWG588640:AWG588705 BGC588640:BGC588705 BPY588640:BPY588705 BZU588640:BZU588705 CJQ588640:CJQ588705 CTM588640:CTM588705 DDI588640:DDI588705 DNE588640:DNE588705 DXA588640:DXA588705 EGW588640:EGW588705 EQS588640:EQS588705 FAO588640:FAO588705 FKK588640:FKK588705 FUG588640:FUG588705 GEC588640:GEC588705 GNY588640:GNY588705 GXU588640:GXU588705 HHQ588640:HHQ588705 HRM588640:HRM588705 IBI588640:IBI588705 ILE588640:ILE588705 IVA588640:IVA588705 JEW588640:JEW588705 JOS588640:JOS588705 JYO588640:JYO588705 KIK588640:KIK588705 KSG588640:KSG588705 LCC588640:LCC588705 LLY588640:LLY588705 LVU588640:LVU588705 MFQ588640:MFQ588705 MPM588640:MPM588705 MZI588640:MZI588705 NJE588640:NJE588705 NTA588640:NTA588705 OCW588640:OCW588705 OMS588640:OMS588705 OWO588640:OWO588705 PGK588640:PGK588705 PQG588640:PQG588705 QAC588640:QAC588705 QJY588640:QJY588705 QTU588640:QTU588705 RDQ588640:RDQ588705 RNM588640:RNM588705 RXI588640:RXI588705 SHE588640:SHE588705 SRA588640:SRA588705 TAW588640:TAW588705 TKS588640:TKS588705 TUO588640:TUO588705 UEK588640:UEK588705 UOG588640:UOG588705 UYC588640:UYC588705 VHY588640:VHY588705 VRU588640:VRU588705 WBQ588640:WBQ588705 WLM588640:WLM588705 WVI588640:WVI588705 A654176:A654241 IW654176:IW654241 SS654176:SS654241 ACO654176:ACO654241 AMK654176:AMK654241 AWG654176:AWG654241 BGC654176:BGC654241 BPY654176:BPY654241 BZU654176:BZU654241 CJQ654176:CJQ654241 CTM654176:CTM654241 DDI654176:DDI654241 DNE654176:DNE654241 DXA654176:DXA654241 EGW654176:EGW654241 EQS654176:EQS654241 FAO654176:FAO654241 FKK654176:FKK654241 FUG654176:FUG654241 GEC654176:GEC654241 GNY654176:GNY654241 GXU654176:GXU654241 HHQ654176:HHQ654241 HRM654176:HRM654241 IBI654176:IBI654241 ILE654176:ILE654241 IVA654176:IVA654241 JEW654176:JEW654241 JOS654176:JOS654241 JYO654176:JYO654241 KIK654176:KIK654241 KSG654176:KSG654241 LCC654176:LCC654241 LLY654176:LLY654241 LVU654176:LVU654241 MFQ654176:MFQ654241 MPM654176:MPM654241 MZI654176:MZI654241 NJE654176:NJE654241 NTA654176:NTA654241 OCW654176:OCW654241 OMS654176:OMS654241 OWO654176:OWO654241 PGK654176:PGK654241 PQG654176:PQG654241 QAC654176:QAC654241 QJY654176:QJY654241 QTU654176:QTU654241 RDQ654176:RDQ654241 RNM654176:RNM654241 RXI654176:RXI654241 SHE654176:SHE654241 SRA654176:SRA654241 TAW654176:TAW654241 TKS654176:TKS654241 TUO654176:TUO654241 UEK654176:UEK654241 UOG654176:UOG654241 UYC654176:UYC654241 VHY654176:VHY654241 VRU654176:VRU654241 WBQ654176:WBQ654241 WLM654176:WLM654241 WVI654176:WVI654241 A719712:A719777 IW719712:IW719777 SS719712:SS719777 ACO719712:ACO719777 AMK719712:AMK719777 AWG719712:AWG719777 BGC719712:BGC719777 BPY719712:BPY719777 BZU719712:BZU719777 CJQ719712:CJQ719777 CTM719712:CTM719777 DDI719712:DDI719777 DNE719712:DNE719777 DXA719712:DXA719777 EGW719712:EGW719777 EQS719712:EQS719777 FAO719712:FAO719777 FKK719712:FKK719777 FUG719712:FUG719777 GEC719712:GEC719777 GNY719712:GNY719777 GXU719712:GXU719777 HHQ719712:HHQ719777 HRM719712:HRM719777 IBI719712:IBI719777 ILE719712:ILE719777 IVA719712:IVA719777 JEW719712:JEW719777 JOS719712:JOS719777 JYO719712:JYO719777 KIK719712:KIK719777 KSG719712:KSG719777 LCC719712:LCC719777 LLY719712:LLY719777 LVU719712:LVU719777 MFQ719712:MFQ719777 MPM719712:MPM719777 MZI719712:MZI719777 NJE719712:NJE719777 NTA719712:NTA719777 OCW719712:OCW719777 OMS719712:OMS719777 OWO719712:OWO719777 PGK719712:PGK719777 PQG719712:PQG719777 QAC719712:QAC719777 QJY719712:QJY719777 QTU719712:QTU719777 RDQ719712:RDQ719777 RNM719712:RNM719777 RXI719712:RXI719777 SHE719712:SHE719777 SRA719712:SRA719777 TAW719712:TAW719777 TKS719712:TKS719777 TUO719712:TUO719777 UEK719712:UEK719777 UOG719712:UOG719777 UYC719712:UYC719777 VHY719712:VHY719777 VRU719712:VRU719777 WBQ719712:WBQ719777 WLM719712:WLM719777 WVI719712:WVI719777 A785248:A785313 IW785248:IW785313 SS785248:SS785313 ACO785248:ACO785313 AMK785248:AMK785313 AWG785248:AWG785313 BGC785248:BGC785313 BPY785248:BPY785313 BZU785248:BZU785313 CJQ785248:CJQ785313 CTM785248:CTM785313 DDI785248:DDI785313 DNE785248:DNE785313 DXA785248:DXA785313 EGW785248:EGW785313 EQS785248:EQS785313 FAO785248:FAO785313 FKK785248:FKK785313 FUG785248:FUG785313 GEC785248:GEC785313 GNY785248:GNY785313 GXU785248:GXU785313 HHQ785248:HHQ785313 HRM785248:HRM785313 IBI785248:IBI785313 ILE785248:ILE785313 IVA785248:IVA785313 JEW785248:JEW785313 JOS785248:JOS785313 JYO785248:JYO785313 KIK785248:KIK785313 KSG785248:KSG785313 LCC785248:LCC785313 LLY785248:LLY785313 LVU785248:LVU785313 MFQ785248:MFQ785313 MPM785248:MPM785313 MZI785248:MZI785313 NJE785248:NJE785313 NTA785248:NTA785313 OCW785248:OCW785313 OMS785248:OMS785313 OWO785248:OWO785313 PGK785248:PGK785313 PQG785248:PQG785313 QAC785248:QAC785313 QJY785248:QJY785313 QTU785248:QTU785313 RDQ785248:RDQ785313 RNM785248:RNM785313 RXI785248:RXI785313 SHE785248:SHE785313 SRA785248:SRA785313 TAW785248:TAW785313 TKS785248:TKS785313 TUO785248:TUO785313 UEK785248:UEK785313 UOG785248:UOG785313 UYC785248:UYC785313 VHY785248:VHY785313 VRU785248:VRU785313 WBQ785248:WBQ785313 WLM785248:WLM785313 WVI785248:WVI785313 A850784:A850849 IW850784:IW850849 SS850784:SS850849 ACO850784:ACO850849 AMK850784:AMK850849 AWG850784:AWG850849 BGC850784:BGC850849 BPY850784:BPY850849 BZU850784:BZU850849 CJQ850784:CJQ850849 CTM850784:CTM850849 DDI850784:DDI850849 DNE850784:DNE850849 DXA850784:DXA850849 EGW850784:EGW850849 EQS850784:EQS850849 FAO850784:FAO850849 FKK850784:FKK850849 FUG850784:FUG850849 GEC850784:GEC850849 GNY850784:GNY850849 GXU850784:GXU850849 HHQ850784:HHQ850849 HRM850784:HRM850849 IBI850784:IBI850849 ILE850784:ILE850849 IVA850784:IVA850849 JEW850784:JEW850849 JOS850784:JOS850849 JYO850784:JYO850849 KIK850784:KIK850849 KSG850784:KSG850849 LCC850784:LCC850849 LLY850784:LLY850849 LVU850784:LVU850849 MFQ850784:MFQ850849 MPM850784:MPM850849 MZI850784:MZI850849 NJE850784:NJE850849 NTA850784:NTA850849 OCW850784:OCW850849 OMS850784:OMS850849 OWO850784:OWO850849 PGK850784:PGK850849 PQG850784:PQG850849 QAC850784:QAC850849 QJY850784:QJY850849 QTU850784:QTU850849 RDQ850784:RDQ850849 RNM850784:RNM850849 RXI850784:RXI850849 SHE850784:SHE850849 SRA850784:SRA850849 TAW850784:TAW850849 TKS850784:TKS850849 TUO850784:TUO850849 UEK850784:UEK850849 UOG850784:UOG850849 UYC850784:UYC850849 VHY850784:VHY850849 VRU850784:VRU850849 WBQ850784:WBQ850849 WLM850784:WLM850849 WVI850784:WVI850849 A916320:A916385 IW916320:IW916385 SS916320:SS916385 ACO916320:ACO916385 AMK916320:AMK916385 AWG916320:AWG916385 BGC916320:BGC916385 BPY916320:BPY916385 BZU916320:BZU916385 CJQ916320:CJQ916385 CTM916320:CTM916385 DDI916320:DDI916385 DNE916320:DNE916385 DXA916320:DXA916385 EGW916320:EGW916385 EQS916320:EQS916385 FAO916320:FAO916385 FKK916320:FKK916385 FUG916320:FUG916385 GEC916320:GEC916385 GNY916320:GNY916385 GXU916320:GXU916385 HHQ916320:HHQ916385 HRM916320:HRM916385 IBI916320:IBI916385 ILE916320:ILE916385 IVA916320:IVA916385 JEW916320:JEW916385 JOS916320:JOS916385 JYO916320:JYO916385 KIK916320:KIK916385 KSG916320:KSG916385 LCC916320:LCC916385 LLY916320:LLY916385 LVU916320:LVU916385 MFQ916320:MFQ916385 MPM916320:MPM916385 MZI916320:MZI916385 NJE916320:NJE916385 NTA916320:NTA916385 OCW916320:OCW916385 OMS916320:OMS916385 OWO916320:OWO916385 PGK916320:PGK916385 PQG916320:PQG916385 QAC916320:QAC916385 QJY916320:QJY916385 QTU916320:QTU916385 RDQ916320:RDQ916385 RNM916320:RNM916385 RXI916320:RXI916385 SHE916320:SHE916385 SRA916320:SRA916385 TAW916320:TAW916385 TKS916320:TKS916385 TUO916320:TUO916385 UEK916320:UEK916385 UOG916320:UOG916385 UYC916320:UYC916385 VHY916320:VHY916385 VRU916320:VRU916385 WBQ916320:WBQ916385 WLM916320:WLM916385 WVI916320:WVI916385 A981856:A981921 IW981856:IW981921 SS981856:SS981921 ACO981856:ACO981921 AMK981856:AMK981921 AWG981856:AWG981921 BGC981856:BGC981921 BPY981856:BPY981921 BZU981856:BZU981921 CJQ981856:CJQ981921 CTM981856:CTM981921 DDI981856:DDI981921 DNE981856:DNE981921 DXA981856:DXA981921 EGW981856:EGW981921 EQS981856:EQS981921 FAO981856:FAO981921 FKK981856:FKK981921 FUG981856:FUG981921 GEC981856:GEC981921 GNY981856:GNY981921 GXU981856:GXU981921 HHQ981856:HHQ981921 HRM981856:HRM981921 IBI981856:IBI981921 ILE981856:ILE981921 IVA981856:IVA981921 JEW981856:JEW981921 JOS981856:JOS981921 JYO981856:JYO981921 KIK981856:KIK981921 KSG981856:KSG981921 LCC981856:LCC981921 LLY981856:LLY981921 LVU981856:LVU981921 MFQ981856:MFQ981921 MPM981856:MPM981921 MZI981856:MZI981921 NJE981856:NJE981921 NTA981856:NTA981921 OCW981856:OCW981921 OMS981856:OMS981921 OWO981856:OWO981921 PGK981856:PGK981921 PQG981856:PQG981921 QAC981856:QAC981921 QJY981856:QJY981921 QTU981856:QTU981921 RDQ981856:RDQ981921 RNM981856:RNM981921 RXI981856:RXI981921 SHE981856:SHE981921 SRA981856:SRA981921 TAW981856:TAW981921 TKS981856:TKS981921 TUO981856:TUO981921 UEK981856:UEK981921 UOG981856:UOG981921 UYC981856:UYC981921 VHY981856:VHY981921 VRU981856:VRU981921 WBQ981856:WBQ981921 WLM981856:WLM981921 WVI981856:WVI981921 A1047392:A1047457 IW1047392:IW1047457 SS1047392:SS1047457 ACO1047392:ACO1047457 AMK1047392:AMK1047457 AWG1047392:AWG1047457 BGC1047392:BGC1047457 BPY1047392:BPY1047457 BZU1047392:BZU1047457 CJQ1047392:CJQ1047457 CTM1047392:CTM1047457 DDI1047392:DDI1047457 DNE1047392:DNE1047457 DXA1047392:DXA1047457 EGW1047392:EGW1047457 EQS1047392:EQS1047457 FAO1047392:FAO1047457 FKK1047392:FKK1047457 FUG1047392:FUG1047457 GEC1047392:GEC1047457 GNY1047392:GNY1047457 GXU1047392:GXU1047457 HHQ1047392:HHQ1047457 HRM1047392:HRM1047457 IBI1047392:IBI1047457 ILE1047392:ILE1047457 IVA1047392:IVA1047457 JEW1047392:JEW1047457 JOS1047392:JOS1047457 JYO1047392:JYO1047457 KIK1047392:KIK1047457 KSG1047392:KSG1047457 LCC1047392:LCC1047457 LLY1047392:LLY1047457 LVU1047392:LVU1047457 MFQ1047392:MFQ1047457 MPM1047392:MPM1047457 MZI1047392:MZI1047457 NJE1047392:NJE1047457 NTA1047392:NTA1047457 OCW1047392:OCW1047457 OMS1047392:OMS1047457 OWO1047392:OWO1047457 PGK1047392:PGK1047457 PQG1047392:PQG1047457 QAC1047392:QAC1047457 QJY1047392:QJY1047457 QTU1047392:QTU1047457 RDQ1047392:RDQ1047457 RNM1047392:RNM1047457 RXI1047392:RXI1047457 SHE1047392:SHE1047457 SRA1047392:SRA1047457 TAW1047392:TAW1047457 TKS1047392:TKS1047457 TUO1047392:TUO1047457 UEK1047392:UEK1047457 UOG1047392:UOG1047457 UYC1047392:UYC1047457 VHY1047392:VHY1047457 VRU1047392:VRU1047457 WBQ1047392:WBQ1047457 WLM1047392:WLM1047457 WVI1047392:WVI1047457 WVI983031:WVI983102 A65527:A65598 IW65527:IW65598 SS65527:SS65598 ACO65527:ACO65598 AMK65527:AMK65598 AWG65527:AWG65598 BGC65527:BGC65598 BPY65527:BPY65598 BZU65527:BZU65598 CJQ65527:CJQ65598 CTM65527:CTM65598 DDI65527:DDI65598 DNE65527:DNE65598 DXA65527:DXA65598 EGW65527:EGW65598 EQS65527:EQS65598 FAO65527:FAO65598 FKK65527:FKK65598 FUG65527:FUG65598 GEC65527:GEC65598 GNY65527:GNY65598 GXU65527:GXU65598 HHQ65527:HHQ65598 HRM65527:HRM65598 IBI65527:IBI65598 ILE65527:ILE65598 IVA65527:IVA65598 JEW65527:JEW65598 JOS65527:JOS65598 JYO65527:JYO65598 KIK65527:KIK65598 KSG65527:KSG65598 LCC65527:LCC65598 LLY65527:LLY65598 LVU65527:LVU65598 MFQ65527:MFQ65598 MPM65527:MPM65598 MZI65527:MZI65598 NJE65527:NJE65598 NTA65527:NTA65598 OCW65527:OCW65598 OMS65527:OMS65598 OWO65527:OWO65598 PGK65527:PGK65598 PQG65527:PQG65598 QAC65527:QAC65598 QJY65527:QJY65598 QTU65527:QTU65598 RDQ65527:RDQ65598 RNM65527:RNM65598 RXI65527:RXI65598 SHE65527:SHE65598 SRA65527:SRA65598 TAW65527:TAW65598 TKS65527:TKS65598 TUO65527:TUO65598 UEK65527:UEK65598 UOG65527:UOG65598 UYC65527:UYC65598 VHY65527:VHY65598 VRU65527:VRU65598 WBQ65527:WBQ65598 WLM65527:WLM65598 WVI65527:WVI65598 A131063:A131134 IW131063:IW131134 SS131063:SS131134 ACO131063:ACO131134 AMK131063:AMK131134 AWG131063:AWG131134 BGC131063:BGC131134 BPY131063:BPY131134 BZU131063:BZU131134 CJQ131063:CJQ131134 CTM131063:CTM131134 DDI131063:DDI131134 DNE131063:DNE131134 DXA131063:DXA131134 EGW131063:EGW131134 EQS131063:EQS131134 FAO131063:FAO131134 FKK131063:FKK131134 FUG131063:FUG131134 GEC131063:GEC131134 GNY131063:GNY131134 GXU131063:GXU131134 HHQ131063:HHQ131134 HRM131063:HRM131134 IBI131063:IBI131134 ILE131063:ILE131134 IVA131063:IVA131134 JEW131063:JEW131134 JOS131063:JOS131134 JYO131063:JYO131134 KIK131063:KIK131134 KSG131063:KSG131134 LCC131063:LCC131134 LLY131063:LLY131134 LVU131063:LVU131134 MFQ131063:MFQ131134 MPM131063:MPM131134 MZI131063:MZI131134 NJE131063:NJE131134 NTA131063:NTA131134 OCW131063:OCW131134 OMS131063:OMS131134 OWO131063:OWO131134 PGK131063:PGK131134 PQG131063:PQG131134 QAC131063:QAC131134 QJY131063:QJY131134 QTU131063:QTU131134 RDQ131063:RDQ131134 RNM131063:RNM131134 RXI131063:RXI131134 SHE131063:SHE131134 SRA131063:SRA131134 TAW131063:TAW131134 TKS131063:TKS131134 TUO131063:TUO131134 UEK131063:UEK131134 UOG131063:UOG131134 UYC131063:UYC131134 VHY131063:VHY131134 VRU131063:VRU131134 WBQ131063:WBQ131134 WLM131063:WLM131134 WVI131063:WVI131134 A196599:A196670 IW196599:IW196670 SS196599:SS196670 ACO196599:ACO196670 AMK196599:AMK196670 AWG196599:AWG196670 BGC196599:BGC196670 BPY196599:BPY196670 BZU196599:BZU196670 CJQ196599:CJQ196670 CTM196599:CTM196670 DDI196599:DDI196670 DNE196599:DNE196670 DXA196599:DXA196670 EGW196599:EGW196670 EQS196599:EQS196670 FAO196599:FAO196670 FKK196599:FKK196670 FUG196599:FUG196670 GEC196599:GEC196670 GNY196599:GNY196670 GXU196599:GXU196670 HHQ196599:HHQ196670 HRM196599:HRM196670 IBI196599:IBI196670 ILE196599:ILE196670 IVA196599:IVA196670 JEW196599:JEW196670 JOS196599:JOS196670 JYO196599:JYO196670 KIK196599:KIK196670 KSG196599:KSG196670 LCC196599:LCC196670 LLY196599:LLY196670 LVU196599:LVU196670 MFQ196599:MFQ196670 MPM196599:MPM196670 MZI196599:MZI196670 NJE196599:NJE196670 NTA196599:NTA196670 OCW196599:OCW196670 OMS196599:OMS196670 OWO196599:OWO196670 PGK196599:PGK196670 PQG196599:PQG196670 QAC196599:QAC196670 QJY196599:QJY196670 QTU196599:QTU196670 RDQ196599:RDQ196670 RNM196599:RNM196670 RXI196599:RXI196670 SHE196599:SHE196670 SRA196599:SRA196670 TAW196599:TAW196670 TKS196599:TKS196670 TUO196599:TUO196670 UEK196599:UEK196670 UOG196599:UOG196670 UYC196599:UYC196670 VHY196599:VHY196670 VRU196599:VRU196670 WBQ196599:WBQ196670 WLM196599:WLM196670 WVI196599:WVI196670 A262135:A262206 IW262135:IW262206 SS262135:SS262206 ACO262135:ACO262206 AMK262135:AMK262206 AWG262135:AWG262206 BGC262135:BGC262206 BPY262135:BPY262206 BZU262135:BZU262206 CJQ262135:CJQ262206 CTM262135:CTM262206 DDI262135:DDI262206 DNE262135:DNE262206 DXA262135:DXA262206 EGW262135:EGW262206 EQS262135:EQS262206 FAO262135:FAO262206 FKK262135:FKK262206 FUG262135:FUG262206 GEC262135:GEC262206 GNY262135:GNY262206 GXU262135:GXU262206 HHQ262135:HHQ262206 HRM262135:HRM262206 IBI262135:IBI262206 ILE262135:ILE262206 IVA262135:IVA262206 JEW262135:JEW262206 JOS262135:JOS262206 JYO262135:JYO262206 KIK262135:KIK262206 KSG262135:KSG262206 LCC262135:LCC262206 LLY262135:LLY262206 LVU262135:LVU262206 MFQ262135:MFQ262206 MPM262135:MPM262206 MZI262135:MZI262206 NJE262135:NJE262206 NTA262135:NTA262206 OCW262135:OCW262206 OMS262135:OMS262206 OWO262135:OWO262206 PGK262135:PGK262206 PQG262135:PQG262206 QAC262135:QAC262206 QJY262135:QJY262206 QTU262135:QTU262206 RDQ262135:RDQ262206 RNM262135:RNM262206 RXI262135:RXI262206 SHE262135:SHE262206 SRA262135:SRA262206 TAW262135:TAW262206 TKS262135:TKS262206 TUO262135:TUO262206 UEK262135:UEK262206 UOG262135:UOG262206 UYC262135:UYC262206 VHY262135:VHY262206 VRU262135:VRU262206 WBQ262135:WBQ262206 WLM262135:WLM262206 WVI262135:WVI262206 A327671:A327742 IW327671:IW327742 SS327671:SS327742 ACO327671:ACO327742 AMK327671:AMK327742 AWG327671:AWG327742 BGC327671:BGC327742 BPY327671:BPY327742 BZU327671:BZU327742 CJQ327671:CJQ327742 CTM327671:CTM327742 DDI327671:DDI327742 DNE327671:DNE327742 DXA327671:DXA327742 EGW327671:EGW327742 EQS327671:EQS327742 FAO327671:FAO327742 FKK327671:FKK327742 FUG327671:FUG327742 GEC327671:GEC327742 GNY327671:GNY327742 GXU327671:GXU327742 HHQ327671:HHQ327742 HRM327671:HRM327742 IBI327671:IBI327742 ILE327671:ILE327742 IVA327671:IVA327742 JEW327671:JEW327742 JOS327671:JOS327742 JYO327671:JYO327742 KIK327671:KIK327742 KSG327671:KSG327742 LCC327671:LCC327742 LLY327671:LLY327742 LVU327671:LVU327742 MFQ327671:MFQ327742 MPM327671:MPM327742 MZI327671:MZI327742 NJE327671:NJE327742 NTA327671:NTA327742 OCW327671:OCW327742 OMS327671:OMS327742 OWO327671:OWO327742 PGK327671:PGK327742 PQG327671:PQG327742 QAC327671:QAC327742 QJY327671:QJY327742 QTU327671:QTU327742 RDQ327671:RDQ327742 RNM327671:RNM327742 RXI327671:RXI327742 SHE327671:SHE327742 SRA327671:SRA327742 TAW327671:TAW327742 TKS327671:TKS327742 TUO327671:TUO327742 UEK327671:UEK327742 UOG327671:UOG327742 UYC327671:UYC327742 VHY327671:VHY327742 VRU327671:VRU327742 WBQ327671:WBQ327742 WLM327671:WLM327742 WVI327671:WVI327742 A393207:A393278 IW393207:IW393278 SS393207:SS393278 ACO393207:ACO393278 AMK393207:AMK393278 AWG393207:AWG393278 BGC393207:BGC393278 BPY393207:BPY393278 BZU393207:BZU393278 CJQ393207:CJQ393278 CTM393207:CTM393278 DDI393207:DDI393278 DNE393207:DNE393278 DXA393207:DXA393278 EGW393207:EGW393278 EQS393207:EQS393278 FAO393207:FAO393278 FKK393207:FKK393278 FUG393207:FUG393278 GEC393207:GEC393278 GNY393207:GNY393278 GXU393207:GXU393278 HHQ393207:HHQ393278 HRM393207:HRM393278 IBI393207:IBI393278 ILE393207:ILE393278 IVA393207:IVA393278 JEW393207:JEW393278 JOS393207:JOS393278 JYO393207:JYO393278 KIK393207:KIK393278 KSG393207:KSG393278 LCC393207:LCC393278 LLY393207:LLY393278 LVU393207:LVU393278 MFQ393207:MFQ393278 MPM393207:MPM393278 MZI393207:MZI393278 NJE393207:NJE393278 NTA393207:NTA393278 OCW393207:OCW393278 OMS393207:OMS393278 OWO393207:OWO393278 PGK393207:PGK393278 PQG393207:PQG393278 QAC393207:QAC393278 QJY393207:QJY393278 QTU393207:QTU393278 RDQ393207:RDQ393278 RNM393207:RNM393278 RXI393207:RXI393278 SHE393207:SHE393278 SRA393207:SRA393278 TAW393207:TAW393278 TKS393207:TKS393278 TUO393207:TUO393278 UEK393207:UEK393278 UOG393207:UOG393278 UYC393207:UYC393278 VHY393207:VHY393278 VRU393207:VRU393278 WBQ393207:WBQ393278 WLM393207:WLM393278 WVI393207:WVI393278 A458743:A458814 IW458743:IW458814 SS458743:SS458814 ACO458743:ACO458814 AMK458743:AMK458814 AWG458743:AWG458814 BGC458743:BGC458814 BPY458743:BPY458814 BZU458743:BZU458814 CJQ458743:CJQ458814 CTM458743:CTM458814 DDI458743:DDI458814 DNE458743:DNE458814 DXA458743:DXA458814 EGW458743:EGW458814 EQS458743:EQS458814 FAO458743:FAO458814 FKK458743:FKK458814 FUG458743:FUG458814 GEC458743:GEC458814 GNY458743:GNY458814 GXU458743:GXU458814 HHQ458743:HHQ458814 HRM458743:HRM458814 IBI458743:IBI458814 ILE458743:ILE458814 IVA458743:IVA458814 JEW458743:JEW458814 JOS458743:JOS458814 JYO458743:JYO458814 KIK458743:KIK458814 KSG458743:KSG458814 LCC458743:LCC458814 LLY458743:LLY458814 LVU458743:LVU458814 MFQ458743:MFQ458814 MPM458743:MPM458814 MZI458743:MZI458814 NJE458743:NJE458814 NTA458743:NTA458814 OCW458743:OCW458814 OMS458743:OMS458814 OWO458743:OWO458814 PGK458743:PGK458814 PQG458743:PQG458814 QAC458743:QAC458814 QJY458743:QJY458814 QTU458743:QTU458814 RDQ458743:RDQ458814 RNM458743:RNM458814 RXI458743:RXI458814 SHE458743:SHE458814 SRA458743:SRA458814 TAW458743:TAW458814 TKS458743:TKS458814 TUO458743:TUO458814 UEK458743:UEK458814 UOG458743:UOG458814 UYC458743:UYC458814 VHY458743:VHY458814 VRU458743:VRU458814 WBQ458743:WBQ458814 WLM458743:WLM458814 WVI458743:WVI458814 A524279:A524350 IW524279:IW524350 SS524279:SS524350 ACO524279:ACO524350 AMK524279:AMK524350 AWG524279:AWG524350 BGC524279:BGC524350 BPY524279:BPY524350 BZU524279:BZU524350 CJQ524279:CJQ524350 CTM524279:CTM524350 DDI524279:DDI524350 DNE524279:DNE524350 DXA524279:DXA524350 EGW524279:EGW524350 EQS524279:EQS524350 FAO524279:FAO524350 FKK524279:FKK524350 FUG524279:FUG524350 GEC524279:GEC524350 GNY524279:GNY524350 GXU524279:GXU524350 HHQ524279:HHQ524350 HRM524279:HRM524350 IBI524279:IBI524350 ILE524279:ILE524350 IVA524279:IVA524350 JEW524279:JEW524350 JOS524279:JOS524350 JYO524279:JYO524350 KIK524279:KIK524350 KSG524279:KSG524350 LCC524279:LCC524350 LLY524279:LLY524350 LVU524279:LVU524350 MFQ524279:MFQ524350 MPM524279:MPM524350 MZI524279:MZI524350 NJE524279:NJE524350 NTA524279:NTA524350 OCW524279:OCW524350 OMS524279:OMS524350 OWO524279:OWO524350 PGK524279:PGK524350 PQG524279:PQG524350 QAC524279:QAC524350 QJY524279:QJY524350 QTU524279:QTU524350 RDQ524279:RDQ524350 RNM524279:RNM524350 RXI524279:RXI524350 SHE524279:SHE524350 SRA524279:SRA524350 TAW524279:TAW524350 TKS524279:TKS524350 TUO524279:TUO524350 UEK524279:UEK524350 UOG524279:UOG524350 UYC524279:UYC524350 VHY524279:VHY524350 VRU524279:VRU524350 WBQ524279:WBQ524350 WLM524279:WLM524350 WVI524279:WVI524350 A589815:A589886 IW589815:IW589886 SS589815:SS589886 ACO589815:ACO589886 AMK589815:AMK589886 AWG589815:AWG589886 BGC589815:BGC589886 BPY589815:BPY589886 BZU589815:BZU589886 CJQ589815:CJQ589886 CTM589815:CTM589886 DDI589815:DDI589886 DNE589815:DNE589886 DXA589815:DXA589886 EGW589815:EGW589886 EQS589815:EQS589886 FAO589815:FAO589886 FKK589815:FKK589886 FUG589815:FUG589886 GEC589815:GEC589886 GNY589815:GNY589886 GXU589815:GXU589886 HHQ589815:HHQ589886 HRM589815:HRM589886 IBI589815:IBI589886 ILE589815:ILE589886 IVA589815:IVA589886 JEW589815:JEW589886 JOS589815:JOS589886 JYO589815:JYO589886 KIK589815:KIK589886 KSG589815:KSG589886 LCC589815:LCC589886 LLY589815:LLY589886 LVU589815:LVU589886 MFQ589815:MFQ589886 MPM589815:MPM589886 MZI589815:MZI589886 NJE589815:NJE589886 NTA589815:NTA589886 OCW589815:OCW589886 OMS589815:OMS589886 OWO589815:OWO589886 PGK589815:PGK589886 PQG589815:PQG589886 QAC589815:QAC589886 QJY589815:QJY589886 QTU589815:QTU589886 RDQ589815:RDQ589886 RNM589815:RNM589886 RXI589815:RXI589886 SHE589815:SHE589886 SRA589815:SRA589886 TAW589815:TAW589886 TKS589815:TKS589886 TUO589815:TUO589886 UEK589815:UEK589886 UOG589815:UOG589886 UYC589815:UYC589886 VHY589815:VHY589886 VRU589815:VRU589886 WBQ589815:WBQ589886 WLM589815:WLM589886 WVI589815:WVI589886 A655351:A655422 IW655351:IW655422 SS655351:SS655422 ACO655351:ACO655422 AMK655351:AMK655422 AWG655351:AWG655422 BGC655351:BGC655422 BPY655351:BPY655422 BZU655351:BZU655422 CJQ655351:CJQ655422 CTM655351:CTM655422 DDI655351:DDI655422 DNE655351:DNE655422 DXA655351:DXA655422 EGW655351:EGW655422 EQS655351:EQS655422 FAO655351:FAO655422 FKK655351:FKK655422 FUG655351:FUG655422 GEC655351:GEC655422 GNY655351:GNY655422 GXU655351:GXU655422 HHQ655351:HHQ655422 HRM655351:HRM655422 IBI655351:IBI655422 ILE655351:ILE655422 IVA655351:IVA655422 JEW655351:JEW655422 JOS655351:JOS655422 JYO655351:JYO655422 KIK655351:KIK655422 KSG655351:KSG655422 LCC655351:LCC655422 LLY655351:LLY655422 LVU655351:LVU655422 MFQ655351:MFQ655422 MPM655351:MPM655422 MZI655351:MZI655422 NJE655351:NJE655422 NTA655351:NTA655422 OCW655351:OCW655422 OMS655351:OMS655422 OWO655351:OWO655422 PGK655351:PGK655422 PQG655351:PQG655422 QAC655351:QAC655422 QJY655351:QJY655422 QTU655351:QTU655422 RDQ655351:RDQ655422 RNM655351:RNM655422 RXI655351:RXI655422 SHE655351:SHE655422 SRA655351:SRA655422 TAW655351:TAW655422 TKS655351:TKS655422 TUO655351:TUO655422 UEK655351:UEK655422 UOG655351:UOG655422 UYC655351:UYC655422 VHY655351:VHY655422 VRU655351:VRU655422 WBQ655351:WBQ655422 WLM655351:WLM655422 WVI655351:WVI655422 A720887:A720958 IW720887:IW720958 SS720887:SS720958 ACO720887:ACO720958 AMK720887:AMK720958 AWG720887:AWG720958 BGC720887:BGC720958 BPY720887:BPY720958 BZU720887:BZU720958 CJQ720887:CJQ720958 CTM720887:CTM720958 DDI720887:DDI720958 DNE720887:DNE720958 DXA720887:DXA720958 EGW720887:EGW720958 EQS720887:EQS720958 FAO720887:FAO720958 FKK720887:FKK720958 FUG720887:FUG720958 GEC720887:GEC720958 GNY720887:GNY720958 GXU720887:GXU720958 HHQ720887:HHQ720958 HRM720887:HRM720958 IBI720887:IBI720958 ILE720887:ILE720958 IVA720887:IVA720958 JEW720887:JEW720958 JOS720887:JOS720958 JYO720887:JYO720958 KIK720887:KIK720958 KSG720887:KSG720958 LCC720887:LCC720958 LLY720887:LLY720958 LVU720887:LVU720958 MFQ720887:MFQ720958 MPM720887:MPM720958 MZI720887:MZI720958 NJE720887:NJE720958 NTA720887:NTA720958 OCW720887:OCW720958 OMS720887:OMS720958 OWO720887:OWO720958 PGK720887:PGK720958 PQG720887:PQG720958 QAC720887:QAC720958 QJY720887:QJY720958 QTU720887:QTU720958 RDQ720887:RDQ720958 RNM720887:RNM720958 RXI720887:RXI720958 SHE720887:SHE720958 SRA720887:SRA720958 TAW720887:TAW720958 TKS720887:TKS720958 TUO720887:TUO720958 UEK720887:UEK720958 UOG720887:UOG720958 UYC720887:UYC720958 VHY720887:VHY720958 VRU720887:VRU720958 WBQ720887:WBQ720958 WLM720887:WLM720958 WVI720887:WVI720958 A786423:A786494 IW786423:IW786494 SS786423:SS786494 ACO786423:ACO786494 AMK786423:AMK786494 AWG786423:AWG786494 BGC786423:BGC786494 BPY786423:BPY786494 BZU786423:BZU786494 CJQ786423:CJQ786494 CTM786423:CTM786494 DDI786423:DDI786494 DNE786423:DNE786494 DXA786423:DXA786494 EGW786423:EGW786494 EQS786423:EQS786494 FAO786423:FAO786494 FKK786423:FKK786494 FUG786423:FUG786494 GEC786423:GEC786494 GNY786423:GNY786494 GXU786423:GXU786494 HHQ786423:HHQ786494 HRM786423:HRM786494 IBI786423:IBI786494 ILE786423:ILE786494 IVA786423:IVA786494 JEW786423:JEW786494 JOS786423:JOS786494 JYO786423:JYO786494 KIK786423:KIK786494 KSG786423:KSG786494 LCC786423:LCC786494 LLY786423:LLY786494 LVU786423:LVU786494 MFQ786423:MFQ786494 MPM786423:MPM786494 MZI786423:MZI786494 NJE786423:NJE786494 NTA786423:NTA786494 OCW786423:OCW786494 OMS786423:OMS786494 OWO786423:OWO786494 PGK786423:PGK786494 PQG786423:PQG786494 QAC786423:QAC786494 QJY786423:QJY786494 QTU786423:QTU786494 RDQ786423:RDQ786494 RNM786423:RNM786494 RXI786423:RXI786494 SHE786423:SHE786494 SRA786423:SRA786494 TAW786423:TAW786494 TKS786423:TKS786494 TUO786423:TUO786494 UEK786423:UEK786494 UOG786423:UOG786494 UYC786423:UYC786494 VHY786423:VHY786494 VRU786423:VRU786494 WBQ786423:WBQ786494 WLM786423:WLM786494 WVI786423:WVI786494 A851959:A852030 IW851959:IW852030 SS851959:SS852030 ACO851959:ACO852030 AMK851959:AMK852030 AWG851959:AWG852030 BGC851959:BGC852030 BPY851959:BPY852030 BZU851959:BZU852030 CJQ851959:CJQ852030 CTM851959:CTM852030 DDI851959:DDI852030 DNE851959:DNE852030 DXA851959:DXA852030 EGW851959:EGW852030 EQS851959:EQS852030 FAO851959:FAO852030 FKK851959:FKK852030 FUG851959:FUG852030 GEC851959:GEC852030 GNY851959:GNY852030 GXU851959:GXU852030 HHQ851959:HHQ852030 HRM851959:HRM852030 IBI851959:IBI852030 ILE851959:ILE852030 IVA851959:IVA852030 JEW851959:JEW852030 JOS851959:JOS852030 JYO851959:JYO852030 KIK851959:KIK852030 KSG851959:KSG852030 LCC851959:LCC852030 LLY851959:LLY852030 LVU851959:LVU852030 MFQ851959:MFQ852030 MPM851959:MPM852030 MZI851959:MZI852030 NJE851959:NJE852030 NTA851959:NTA852030 OCW851959:OCW852030 OMS851959:OMS852030 OWO851959:OWO852030 PGK851959:PGK852030 PQG851959:PQG852030 QAC851959:QAC852030 QJY851959:QJY852030 QTU851959:QTU852030 RDQ851959:RDQ852030 RNM851959:RNM852030 RXI851959:RXI852030 SHE851959:SHE852030 SRA851959:SRA852030 TAW851959:TAW852030 TKS851959:TKS852030 TUO851959:TUO852030 UEK851959:UEK852030 UOG851959:UOG852030 UYC851959:UYC852030 VHY851959:VHY852030 VRU851959:VRU852030 WBQ851959:WBQ852030 WLM851959:WLM852030 WVI851959:WVI852030 A917495:A917566 IW917495:IW917566 SS917495:SS917566 ACO917495:ACO917566 AMK917495:AMK917566 AWG917495:AWG917566 BGC917495:BGC917566 BPY917495:BPY917566 BZU917495:BZU917566 CJQ917495:CJQ917566 CTM917495:CTM917566 DDI917495:DDI917566 DNE917495:DNE917566 DXA917495:DXA917566 EGW917495:EGW917566 EQS917495:EQS917566 FAO917495:FAO917566 FKK917495:FKK917566 FUG917495:FUG917566 GEC917495:GEC917566 GNY917495:GNY917566 GXU917495:GXU917566 HHQ917495:HHQ917566 HRM917495:HRM917566 IBI917495:IBI917566 ILE917495:ILE917566 IVA917495:IVA917566 JEW917495:JEW917566 JOS917495:JOS917566 JYO917495:JYO917566 KIK917495:KIK917566 KSG917495:KSG917566 LCC917495:LCC917566 LLY917495:LLY917566 LVU917495:LVU917566 MFQ917495:MFQ917566 MPM917495:MPM917566 MZI917495:MZI917566 NJE917495:NJE917566 NTA917495:NTA917566 OCW917495:OCW917566 OMS917495:OMS917566 OWO917495:OWO917566 PGK917495:PGK917566 PQG917495:PQG917566 QAC917495:QAC917566 QJY917495:QJY917566 QTU917495:QTU917566 RDQ917495:RDQ917566 RNM917495:RNM917566 RXI917495:RXI917566 SHE917495:SHE917566 SRA917495:SRA917566 TAW917495:TAW917566 TKS917495:TKS917566 TUO917495:TUO917566 UEK917495:UEK917566 UOG917495:UOG917566 UYC917495:UYC917566 VHY917495:VHY917566 VRU917495:VRU917566 WBQ917495:WBQ917566 WLM917495:WLM917566 WVI917495:WVI917566 A983031:A983102 IW983031:IW983102 SS983031:SS983102 ACO983031:ACO983102 AMK983031:AMK983102 AWG983031:AWG983102 BGC983031:BGC983102 BPY983031:BPY983102 BZU983031:BZU983102 CJQ983031:CJQ983102 CTM983031:CTM983102 DDI983031:DDI983102 DNE983031:DNE983102 DXA983031:DXA983102 EGW983031:EGW983102 EQS983031:EQS983102 FAO983031:FAO983102 FKK983031:FKK983102 FUG983031:FUG983102 GEC983031:GEC983102 GNY983031:GNY983102 GXU983031:GXU983102 HHQ983031:HHQ983102 HRM983031:HRM983102 IBI983031:IBI983102 ILE983031:ILE983102 IVA983031:IVA983102 JEW983031:JEW983102 JOS983031:JOS983102 JYO983031:JYO983102 KIK983031:KIK983102 KSG983031:KSG983102 LCC983031:LCC983102 LLY983031:LLY983102 LVU983031:LVU983102 MFQ983031:MFQ983102 MPM983031:MPM983102 MZI983031:MZI983102 NJE983031:NJE983102 NTA983031:NTA983102 OCW983031:OCW983102 OMS983031:OMS983102 OWO983031:OWO983102 PGK983031:PGK983102 PQG983031:PQG983102 QAC983031:QAC983102 QJY983031:QJY983102 QTU983031:QTU983102 RDQ983031:RDQ983102 RNM983031:RNM983102 RXI983031:RXI983102 SHE983031:SHE983102 SRA983031:SRA983102 TAW983031:TAW983102 TKS983031:TKS983102 TUO983031:TUO983102 UEK983031:UEK983102 UOG983031:UOG983102 UYC983031:UYC983102 VHY983031:VHY983102 VRU983031:VRU983102 WBQ983031:WBQ983102 WLM983031:WLM98310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A2:A489" xr:uid="{2546E018-9321-479D-89BA-F37A9029ED18}">
      <formula1>$AE$2:$AE$19</formula1>
    </dataValidation>
    <dataValidation type="list" allowBlank="1" showInputMessage="1" showErrorMessage="1" sqref="X64352:X64417 JT64352:JT64417 TP64352:TP64417 ADL64352:ADL64417 ANH64352:ANH64417 AXD64352:AXD64417 BGZ64352:BGZ64417 BQV64352:BQV64417 CAR64352:CAR64417 CKN64352:CKN64417 CUJ64352:CUJ64417 DEF64352:DEF64417 DOB64352:DOB64417 DXX64352:DXX64417 EHT64352:EHT64417 ERP64352:ERP64417 FBL64352:FBL64417 FLH64352:FLH64417 FVD64352:FVD64417 GEZ64352:GEZ64417 GOV64352:GOV64417 GYR64352:GYR64417 HIN64352:HIN64417 HSJ64352:HSJ64417 ICF64352:ICF64417 IMB64352:IMB64417 IVX64352:IVX64417 JFT64352:JFT64417 JPP64352:JPP64417 JZL64352:JZL64417 KJH64352:KJH64417 KTD64352:KTD64417 LCZ64352:LCZ64417 LMV64352:LMV64417 LWR64352:LWR64417 MGN64352:MGN64417 MQJ64352:MQJ64417 NAF64352:NAF64417 NKB64352:NKB64417 NTX64352:NTX64417 ODT64352:ODT64417 ONP64352:ONP64417 OXL64352:OXL64417 PHH64352:PHH64417 PRD64352:PRD64417 QAZ64352:QAZ64417 QKV64352:QKV64417 QUR64352:QUR64417 REN64352:REN64417 ROJ64352:ROJ64417 RYF64352:RYF64417 SIB64352:SIB64417 SRX64352:SRX64417 TBT64352:TBT64417 TLP64352:TLP64417 TVL64352:TVL64417 UFH64352:UFH64417 UPD64352:UPD64417 UYZ64352:UYZ64417 VIV64352:VIV64417 VSR64352:VSR64417 WCN64352:WCN64417 WMJ64352:WMJ64417 WWF64352:WWF64417 X129888:X129953 JT129888:JT129953 TP129888:TP129953 ADL129888:ADL129953 ANH129888:ANH129953 AXD129888:AXD129953 BGZ129888:BGZ129953 BQV129888:BQV129953 CAR129888:CAR129953 CKN129888:CKN129953 CUJ129888:CUJ129953 DEF129888:DEF129953 DOB129888:DOB129953 DXX129888:DXX129953 EHT129888:EHT129953 ERP129888:ERP129953 FBL129888:FBL129953 FLH129888:FLH129953 FVD129888:FVD129953 GEZ129888:GEZ129953 GOV129888:GOV129953 GYR129888:GYR129953 HIN129888:HIN129953 HSJ129888:HSJ129953 ICF129888:ICF129953 IMB129888:IMB129953 IVX129888:IVX129953 JFT129888:JFT129953 JPP129888:JPP129953 JZL129888:JZL129953 KJH129888:KJH129953 KTD129888:KTD129953 LCZ129888:LCZ129953 LMV129888:LMV129953 LWR129888:LWR129953 MGN129888:MGN129953 MQJ129888:MQJ129953 NAF129888:NAF129953 NKB129888:NKB129953 NTX129888:NTX129953 ODT129888:ODT129953 ONP129888:ONP129953 OXL129888:OXL129953 PHH129888:PHH129953 PRD129888:PRD129953 QAZ129888:QAZ129953 QKV129888:QKV129953 QUR129888:QUR129953 REN129888:REN129953 ROJ129888:ROJ129953 RYF129888:RYF129953 SIB129888:SIB129953 SRX129888:SRX129953 TBT129888:TBT129953 TLP129888:TLP129953 TVL129888:TVL129953 UFH129888:UFH129953 UPD129888:UPD129953 UYZ129888:UYZ129953 VIV129888:VIV129953 VSR129888:VSR129953 WCN129888:WCN129953 WMJ129888:WMJ129953 WWF129888:WWF129953 X195424:X195489 JT195424:JT195489 TP195424:TP195489 ADL195424:ADL195489 ANH195424:ANH195489 AXD195424:AXD195489 BGZ195424:BGZ195489 BQV195424:BQV195489 CAR195424:CAR195489 CKN195424:CKN195489 CUJ195424:CUJ195489 DEF195424:DEF195489 DOB195424:DOB195489 DXX195424:DXX195489 EHT195424:EHT195489 ERP195424:ERP195489 FBL195424:FBL195489 FLH195424:FLH195489 FVD195424:FVD195489 GEZ195424:GEZ195489 GOV195424:GOV195489 GYR195424:GYR195489 HIN195424:HIN195489 HSJ195424:HSJ195489 ICF195424:ICF195489 IMB195424:IMB195489 IVX195424:IVX195489 JFT195424:JFT195489 JPP195424:JPP195489 JZL195424:JZL195489 KJH195424:KJH195489 KTD195424:KTD195489 LCZ195424:LCZ195489 LMV195424:LMV195489 LWR195424:LWR195489 MGN195424:MGN195489 MQJ195424:MQJ195489 NAF195424:NAF195489 NKB195424:NKB195489 NTX195424:NTX195489 ODT195424:ODT195489 ONP195424:ONP195489 OXL195424:OXL195489 PHH195424:PHH195489 PRD195424:PRD195489 QAZ195424:QAZ195489 QKV195424:QKV195489 QUR195424:QUR195489 REN195424:REN195489 ROJ195424:ROJ195489 RYF195424:RYF195489 SIB195424:SIB195489 SRX195424:SRX195489 TBT195424:TBT195489 TLP195424:TLP195489 TVL195424:TVL195489 UFH195424:UFH195489 UPD195424:UPD195489 UYZ195424:UYZ195489 VIV195424:VIV195489 VSR195424:VSR195489 WCN195424:WCN195489 WMJ195424:WMJ195489 WWF195424:WWF195489 X260960:X261025 JT260960:JT261025 TP260960:TP261025 ADL260960:ADL261025 ANH260960:ANH261025 AXD260960:AXD261025 BGZ260960:BGZ261025 BQV260960:BQV261025 CAR260960:CAR261025 CKN260960:CKN261025 CUJ260960:CUJ261025 DEF260960:DEF261025 DOB260960:DOB261025 DXX260960:DXX261025 EHT260960:EHT261025 ERP260960:ERP261025 FBL260960:FBL261025 FLH260960:FLH261025 FVD260960:FVD261025 GEZ260960:GEZ261025 GOV260960:GOV261025 GYR260960:GYR261025 HIN260960:HIN261025 HSJ260960:HSJ261025 ICF260960:ICF261025 IMB260960:IMB261025 IVX260960:IVX261025 JFT260960:JFT261025 JPP260960:JPP261025 JZL260960:JZL261025 KJH260960:KJH261025 KTD260960:KTD261025 LCZ260960:LCZ261025 LMV260960:LMV261025 LWR260960:LWR261025 MGN260960:MGN261025 MQJ260960:MQJ261025 NAF260960:NAF261025 NKB260960:NKB261025 NTX260960:NTX261025 ODT260960:ODT261025 ONP260960:ONP261025 OXL260960:OXL261025 PHH260960:PHH261025 PRD260960:PRD261025 QAZ260960:QAZ261025 QKV260960:QKV261025 QUR260960:QUR261025 REN260960:REN261025 ROJ260960:ROJ261025 RYF260960:RYF261025 SIB260960:SIB261025 SRX260960:SRX261025 TBT260960:TBT261025 TLP260960:TLP261025 TVL260960:TVL261025 UFH260960:UFH261025 UPD260960:UPD261025 UYZ260960:UYZ261025 VIV260960:VIV261025 VSR260960:VSR261025 WCN260960:WCN261025 WMJ260960:WMJ261025 WWF260960:WWF261025 X326496:X326561 JT326496:JT326561 TP326496:TP326561 ADL326496:ADL326561 ANH326496:ANH326561 AXD326496:AXD326561 BGZ326496:BGZ326561 BQV326496:BQV326561 CAR326496:CAR326561 CKN326496:CKN326561 CUJ326496:CUJ326561 DEF326496:DEF326561 DOB326496:DOB326561 DXX326496:DXX326561 EHT326496:EHT326561 ERP326496:ERP326561 FBL326496:FBL326561 FLH326496:FLH326561 FVD326496:FVD326561 GEZ326496:GEZ326561 GOV326496:GOV326561 GYR326496:GYR326561 HIN326496:HIN326561 HSJ326496:HSJ326561 ICF326496:ICF326561 IMB326496:IMB326561 IVX326496:IVX326561 JFT326496:JFT326561 JPP326496:JPP326561 JZL326496:JZL326561 KJH326496:KJH326561 KTD326496:KTD326561 LCZ326496:LCZ326561 LMV326496:LMV326561 LWR326496:LWR326561 MGN326496:MGN326561 MQJ326496:MQJ326561 NAF326496:NAF326561 NKB326496:NKB326561 NTX326496:NTX326561 ODT326496:ODT326561 ONP326496:ONP326561 OXL326496:OXL326561 PHH326496:PHH326561 PRD326496:PRD326561 QAZ326496:QAZ326561 QKV326496:QKV326561 QUR326496:QUR326561 REN326496:REN326561 ROJ326496:ROJ326561 RYF326496:RYF326561 SIB326496:SIB326561 SRX326496:SRX326561 TBT326496:TBT326561 TLP326496:TLP326561 TVL326496:TVL326561 UFH326496:UFH326561 UPD326496:UPD326561 UYZ326496:UYZ326561 VIV326496:VIV326561 VSR326496:VSR326561 WCN326496:WCN326561 WMJ326496:WMJ326561 WWF326496:WWF326561 X392032:X392097 JT392032:JT392097 TP392032:TP392097 ADL392032:ADL392097 ANH392032:ANH392097 AXD392032:AXD392097 BGZ392032:BGZ392097 BQV392032:BQV392097 CAR392032:CAR392097 CKN392032:CKN392097 CUJ392032:CUJ392097 DEF392032:DEF392097 DOB392032:DOB392097 DXX392032:DXX392097 EHT392032:EHT392097 ERP392032:ERP392097 FBL392032:FBL392097 FLH392032:FLH392097 FVD392032:FVD392097 GEZ392032:GEZ392097 GOV392032:GOV392097 GYR392032:GYR392097 HIN392032:HIN392097 HSJ392032:HSJ392097 ICF392032:ICF392097 IMB392032:IMB392097 IVX392032:IVX392097 JFT392032:JFT392097 JPP392032:JPP392097 JZL392032:JZL392097 KJH392032:KJH392097 KTD392032:KTD392097 LCZ392032:LCZ392097 LMV392032:LMV392097 LWR392032:LWR392097 MGN392032:MGN392097 MQJ392032:MQJ392097 NAF392032:NAF392097 NKB392032:NKB392097 NTX392032:NTX392097 ODT392032:ODT392097 ONP392032:ONP392097 OXL392032:OXL392097 PHH392032:PHH392097 PRD392032:PRD392097 QAZ392032:QAZ392097 QKV392032:QKV392097 QUR392032:QUR392097 REN392032:REN392097 ROJ392032:ROJ392097 RYF392032:RYF392097 SIB392032:SIB392097 SRX392032:SRX392097 TBT392032:TBT392097 TLP392032:TLP392097 TVL392032:TVL392097 UFH392032:UFH392097 UPD392032:UPD392097 UYZ392032:UYZ392097 VIV392032:VIV392097 VSR392032:VSR392097 WCN392032:WCN392097 WMJ392032:WMJ392097 WWF392032:WWF392097 X457568:X457633 JT457568:JT457633 TP457568:TP457633 ADL457568:ADL457633 ANH457568:ANH457633 AXD457568:AXD457633 BGZ457568:BGZ457633 BQV457568:BQV457633 CAR457568:CAR457633 CKN457568:CKN457633 CUJ457568:CUJ457633 DEF457568:DEF457633 DOB457568:DOB457633 DXX457568:DXX457633 EHT457568:EHT457633 ERP457568:ERP457633 FBL457568:FBL457633 FLH457568:FLH457633 FVD457568:FVD457633 GEZ457568:GEZ457633 GOV457568:GOV457633 GYR457568:GYR457633 HIN457568:HIN457633 HSJ457568:HSJ457633 ICF457568:ICF457633 IMB457568:IMB457633 IVX457568:IVX457633 JFT457568:JFT457633 JPP457568:JPP457633 JZL457568:JZL457633 KJH457568:KJH457633 KTD457568:KTD457633 LCZ457568:LCZ457633 LMV457568:LMV457633 LWR457568:LWR457633 MGN457568:MGN457633 MQJ457568:MQJ457633 NAF457568:NAF457633 NKB457568:NKB457633 NTX457568:NTX457633 ODT457568:ODT457633 ONP457568:ONP457633 OXL457568:OXL457633 PHH457568:PHH457633 PRD457568:PRD457633 QAZ457568:QAZ457633 QKV457568:QKV457633 QUR457568:QUR457633 REN457568:REN457633 ROJ457568:ROJ457633 RYF457568:RYF457633 SIB457568:SIB457633 SRX457568:SRX457633 TBT457568:TBT457633 TLP457568:TLP457633 TVL457568:TVL457633 UFH457568:UFH457633 UPD457568:UPD457633 UYZ457568:UYZ457633 VIV457568:VIV457633 VSR457568:VSR457633 WCN457568:WCN457633 WMJ457568:WMJ457633 WWF457568:WWF457633 X523104:X523169 JT523104:JT523169 TP523104:TP523169 ADL523104:ADL523169 ANH523104:ANH523169 AXD523104:AXD523169 BGZ523104:BGZ523169 BQV523104:BQV523169 CAR523104:CAR523169 CKN523104:CKN523169 CUJ523104:CUJ523169 DEF523104:DEF523169 DOB523104:DOB523169 DXX523104:DXX523169 EHT523104:EHT523169 ERP523104:ERP523169 FBL523104:FBL523169 FLH523104:FLH523169 FVD523104:FVD523169 GEZ523104:GEZ523169 GOV523104:GOV523169 GYR523104:GYR523169 HIN523104:HIN523169 HSJ523104:HSJ523169 ICF523104:ICF523169 IMB523104:IMB523169 IVX523104:IVX523169 JFT523104:JFT523169 JPP523104:JPP523169 JZL523104:JZL523169 KJH523104:KJH523169 KTD523104:KTD523169 LCZ523104:LCZ523169 LMV523104:LMV523169 LWR523104:LWR523169 MGN523104:MGN523169 MQJ523104:MQJ523169 NAF523104:NAF523169 NKB523104:NKB523169 NTX523104:NTX523169 ODT523104:ODT523169 ONP523104:ONP523169 OXL523104:OXL523169 PHH523104:PHH523169 PRD523104:PRD523169 QAZ523104:QAZ523169 QKV523104:QKV523169 QUR523104:QUR523169 REN523104:REN523169 ROJ523104:ROJ523169 RYF523104:RYF523169 SIB523104:SIB523169 SRX523104:SRX523169 TBT523104:TBT523169 TLP523104:TLP523169 TVL523104:TVL523169 UFH523104:UFH523169 UPD523104:UPD523169 UYZ523104:UYZ523169 VIV523104:VIV523169 VSR523104:VSR523169 WCN523104:WCN523169 WMJ523104:WMJ523169 WWF523104:WWF523169 X588640:X588705 JT588640:JT588705 TP588640:TP588705 ADL588640:ADL588705 ANH588640:ANH588705 AXD588640:AXD588705 BGZ588640:BGZ588705 BQV588640:BQV588705 CAR588640:CAR588705 CKN588640:CKN588705 CUJ588640:CUJ588705 DEF588640:DEF588705 DOB588640:DOB588705 DXX588640:DXX588705 EHT588640:EHT588705 ERP588640:ERP588705 FBL588640:FBL588705 FLH588640:FLH588705 FVD588640:FVD588705 GEZ588640:GEZ588705 GOV588640:GOV588705 GYR588640:GYR588705 HIN588640:HIN588705 HSJ588640:HSJ588705 ICF588640:ICF588705 IMB588640:IMB588705 IVX588640:IVX588705 JFT588640:JFT588705 JPP588640:JPP588705 JZL588640:JZL588705 KJH588640:KJH588705 KTD588640:KTD588705 LCZ588640:LCZ588705 LMV588640:LMV588705 LWR588640:LWR588705 MGN588640:MGN588705 MQJ588640:MQJ588705 NAF588640:NAF588705 NKB588640:NKB588705 NTX588640:NTX588705 ODT588640:ODT588705 ONP588640:ONP588705 OXL588640:OXL588705 PHH588640:PHH588705 PRD588640:PRD588705 QAZ588640:QAZ588705 QKV588640:QKV588705 QUR588640:QUR588705 REN588640:REN588705 ROJ588640:ROJ588705 RYF588640:RYF588705 SIB588640:SIB588705 SRX588640:SRX588705 TBT588640:TBT588705 TLP588640:TLP588705 TVL588640:TVL588705 UFH588640:UFH588705 UPD588640:UPD588705 UYZ588640:UYZ588705 VIV588640:VIV588705 VSR588640:VSR588705 WCN588640:WCN588705 WMJ588640:WMJ588705 WWF588640:WWF588705 X654176:X654241 JT654176:JT654241 TP654176:TP654241 ADL654176:ADL654241 ANH654176:ANH654241 AXD654176:AXD654241 BGZ654176:BGZ654241 BQV654176:BQV654241 CAR654176:CAR654241 CKN654176:CKN654241 CUJ654176:CUJ654241 DEF654176:DEF654241 DOB654176:DOB654241 DXX654176:DXX654241 EHT654176:EHT654241 ERP654176:ERP654241 FBL654176:FBL654241 FLH654176:FLH654241 FVD654176:FVD654241 GEZ654176:GEZ654241 GOV654176:GOV654241 GYR654176:GYR654241 HIN654176:HIN654241 HSJ654176:HSJ654241 ICF654176:ICF654241 IMB654176:IMB654241 IVX654176:IVX654241 JFT654176:JFT654241 JPP654176:JPP654241 JZL654176:JZL654241 KJH654176:KJH654241 KTD654176:KTD654241 LCZ654176:LCZ654241 LMV654176:LMV654241 LWR654176:LWR654241 MGN654176:MGN654241 MQJ654176:MQJ654241 NAF654176:NAF654241 NKB654176:NKB654241 NTX654176:NTX654241 ODT654176:ODT654241 ONP654176:ONP654241 OXL654176:OXL654241 PHH654176:PHH654241 PRD654176:PRD654241 QAZ654176:QAZ654241 QKV654176:QKV654241 QUR654176:QUR654241 REN654176:REN654241 ROJ654176:ROJ654241 RYF654176:RYF654241 SIB654176:SIB654241 SRX654176:SRX654241 TBT654176:TBT654241 TLP654176:TLP654241 TVL654176:TVL654241 UFH654176:UFH654241 UPD654176:UPD654241 UYZ654176:UYZ654241 VIV654176:VIV654241 VSR654176:VSR654241 WCN654176:WCN654241 WMJ654176:WMJ654241 WWF654176:WWF654241 X719712:X719777 JT719712:JT719777 TP719712:TP719777 ADL719712:ADL719777 ANH719712:ANH719777 AXD719712:AXD719777 BGZ719712:BGZ719777 BQV719712:BQV719777 CAR719712:CAR719777 CKN719712:CKN719777 CUJ719712:CUJ719777 DEF719712:DEF719777 DOB719712:DOB719777 DXX719712:DXX719777 EHT719712:EHT719777 ERP719712:ERP719777 FBL719712:FBL719777 FLH719712:FLH719777 FVD719712:FVD719777 GEZ719712:GEZ719777 GOV719712:GOV719777 GYR719712:GYR719777 HIN719712:HIN719777 HSJ719712:HSJ719777 ICF719712:ICF719777 IMB719712:IMB719777 IVX719712:IVX719777 JFT719712:JFT719777 JPP719712:JPP719777 JZL719712:JZL719777 KJH719712:KJH719777 KTD719712:KTD719777 LCZ719712:LCZ719777 LMV719712:LMV719777 LWR719712:LWR719777 MGN719712:MGN719777 MQJ719712:MQJ719777 NAF719712:NAF719777 NKB719712:NKB719777 NTX719712:NTX719777 ODT719712:ODT719777 ONP719712:ONP719777 OXL719712:OXL719777 PHH719712:PHH719777 PRD719712:PRD719777 QAZ719712:QAZ719777 QKV719712:QKV719777 QUR719712:QUR719777 REN719712:REN719777 ROJ719712:ROJ719777 RYF719712:RYF719777 SIB719712:SIB719777 SRX719712:SRX719777 TBT719712:TBT719777 TLP719712:TLP719777 TVL719712:TVL719777 UFH719712:UFH719777 UPD719712:UPD719777 UYZ719712:UYZ719777 VIV719712:VIV719777 VSR719712:VSR719777 WCN719712:WCN719777 WMJ719712:WMJ719777 WWF719712:WWF719777 X785248:X785313 JT785248:JT785313 TP785248:TP785313 ADL785248:ADL785313 ANH785248:ANH785313 AXD785248:AXD785313 BGZ785248:BGZ785313 BQV785248:BQV785313 CAR785248:CAR785313 CKN785248:CKN785313 CUJ785248:CUJ785313 DEF785248:DEF785313 DOB785248:DOB785313 DXX785248:DXX785313 EHT785248:EHT785313 ERP785248:ERP785313 FBL785248:FBL785313 FLH785248:FLH785313 FVD785248:FVD785313 GEZ785248:GEZ785313 GOV785248:GOV785313 GYR785248:GYR785313 HIN785248:HIN785313 HSJ785248:HSJ785313 ICF785248:ICF785313 IMB785248:IMB785313 IVX785248:IVX785313 JFT785248:JFT785313 JPP785248:JPP785313 JZL785248:JZL785313 KJH785248:KJH785313 KTD785248:KTD785313 LCZ785248:LCZ785313 LMV785248:LMV785313 LWR785248:LWR785313 MGN785248:MGN785313 MQJ785248:MQJ785313 NAF785248:NAF785313 NKB785248:NKB785313 NTX785248:NTX785313 ODT785248:ODT785313 ONP785248:ONP785313 OXL785248:OXL785313 PHH785248:PHH785313 PRD785248:PRD785313 QAZ785248:QAZ785313 QKV785248:QKV785313 QUR785248:QUR785313 REN785248:REN785313 ROJ785248:ROJ785313 RYF785248:RYF785313 SIB785248:SIB785313 SRX785248:SRX785313 TBT785248:TBT785313 TLP785248:TLP785313 TVL785248:TVL785313 UFH785248:UFH785313 UPD785248:UPD785313 UYZ785248:UYZ785313 VIV785248:VIV785313 VSR785248:VSR785313 WCN785248:WCN785313 WMJ785248:WMJ785313 WWF785248:WWF785313 X850784:X850849 JT850784:JT850849 TP850784:TP850849 ADL850784:ADL850849 ANH850784:ANH850849 AXD850784:AXD850849 BGZ850784:BGZ850849 BQV850784:BQV850849 CAR850784:CAR850849 CKN850784:CKN850849 CUJ850784:CUJ850849 DEF850784:DEF850849 DOB850784:DOB850849 DXX850784:DXX850849 EHT850784:EHT850849 ERP850784:ERP850849 FBL850784:FBL850849 FLH850784:FLH850849 FVD850784:FVD850849 GEZ850784:GEZ850849 GOV850784:GOV850849 GYR850784:GYR850849 HIN850784:HIN850849 HSJ850784:HSJ850849 ICF850784:ICF850849 IMB850784:IMB850849 IVX850784:IVX850849 JFT850784:JFT850849 JPP850784:JPP850849 JZL850784:JZL850849 KJH850784:KJH850849 KTD850784:KTD850849 LCZ850784:LCZ850849 LMV850784:LMV850849 LWR850784:LWR850849 MGN850784:MGN850849 MQJ850784:MQJ850849 NAF850784:NAF850849 NKB850784:NKB850849 NTX850784:NTX850849 ODT850784:ODT850849 ONP850784:ONP850849 OXL850784:OXL850849 PHH850784:PHH850849 PRD850784:PRD850849 QAZ850784:QAZ850849 QKV850784:QKV850849 QUR850784:QUR850849 REN850784:REN850849 ROJ850784:ROJ850849 RYF850784:RYF850849 SIB850784:SIB850849 SRX850784:SRX850849 TBT850784:TBT850849 TLP850784:TLP850849 TVL850784:TVL850849 UFH850784:UFH850849 UPD850784:UPD850849 UYZ850784:UYZ850849 VIV850784:VIV850849 VSR850784:VSR850849 WCN850784:WCN850849 WMJ850784:WMJ850849 WWF850784:WWF850849 X916320:X916385 JT916320:JT916385 TP916320:TP916385 ADL916320:ADL916385 ANH916320:ANH916385 AXD916320:AXD916385 BGZ916320:BGZ916385 BQV916320:BQV916385 CAR916320:CAR916385 CKN916320:CKN916385 CUJ916320:CUJ916385 DEF916320:DEF916385 DOB916320:DOB916385 DXX916320:DXX916385 EHT916320:EHT916385 ERP916320:ERP916385 FBL916320:FBL916385 FLH916320:FLH916385 FVD916320:FVD916385 GEZ916320:GEZ916385 GOV916320:GOV916385 GYR916320:GYR916385 HIN916320:HIN916385 HSJ916320:HSJ916385 ICF916320:ICF916385 IMB916320:IMB916385 IVX916320:IVX916385 JFT916320:JFT916385 JPP916320:JPP916385 JZL916320:JZL916385 KJH916320:KJH916385 KTD916320:KTD916385 LCZ916320:LCZ916385 LMV916320:LMV916385 LWR916320:LWR916385 MGN916320:MGN916385 MQJ916320:MQJ916385 NAF916320:NAF916385 NKB916320:NKB916385 NTX916320:NTX916385 ODT916320:ODT916385 ONP916320:ONP916385 OXL916320:OXL916385 PHH916320:PHH916385 PRD916320:PRD916385 QAZ916320:QAZ916385 QKV916320:QKV916385 QUR916320:QUR916385 REN916320:REN916385 ROJ916320:ROJ916385 RYF916320:RYF916385 SIB916320:SIB916385 SRX916320:SRX916385 TBT916320:TBT916385 TLP916320:TLP916385 TVL916320:TVL916385 UFH916320:UFH916385 UPD916320:UPD916385 UYZ916320:UYZ916385 VIV916320:VIV916385 VSR916320:VSR916385 WCN916320:WCN916385 WMJ916320:WMJ916385 WWF916320:WWF916385 X981856:X981921 JT981856:JT981921 TP981856:TP981921 ADL981856:ADL981921 ANH981856:ANH981921 AXD981856:AXD981921 BGZ981856:BGZ981921 BQV981856:BQV981921 CAR981856:CAR981921 CKN981856:CKN981921 CUJ981856:CUJ981921 DEF981856:DEF981921 DOB981856:DOB981921 DXX981856:DXX981921 EHT981856:EHT981921 ERP981856:ERP981921 FBL981856:FBL981921 FLH981856:FLH981921 FVD981856:FVD981921 GEZ981856:GEZ981921 GOV981856:GOV981921 GYR981856:GYR981921 HIN981856:HIN981921 HSJ981856:HSJ981921 ICF981856:ICF981921 IMB981856:IMB981921 IVX981856:IVX981921 JFT981856:JFT981921 JPP981856:JPP981921 JZL981856:JZL981921 KJH981856:KJH981921 KTD981856:KTD981921 LCZ981856:LCZ981921 LMV981856:LMV981921 LWR981856:LWR981921 MGN981856:MGN981921 MQJ981856:MQJ981921 NAF981856:NAF981921 NKB981856:NKB981921 NTX981856:NTX981921 ODT981856:ODT981921 ONP981856:ONP981921 OXL981856:OXL981921 PHH981856:PHH981921 PRD981856:PRD981921 QAZ981856:QAZ981921 QKV981856:QKV981921 QUR981856:QUR981921 REN981856:REN981921 ROJ981856:ROJ981921 RYF981856:RYF981921 SIB981856:SIB981921 SRX981856:SRX981921 TBT981856:TBT981921 TLP981856:TLP981921 TVL981856:TVL981921 UFH981856:UFH981921 UPD981856:UPD981921 UYZ981856:UYZ981921 VIV981856:VIV981921 VSR981856:VSR981921 WCN981856:WCN981921 WMJ981856:WMJ981921 WWF981856:WWF981921 X1047392:X1047457 JT1047392:JT1047457 TP1047392:TP1047457 ADL1047392:ADL1047457 ANH1047392:ANH1047457 AXD1047392:AXD1047457 BGZ1047392:BGZ1047457 BQV1047392:BQV1047457 CAR1047392:CAR1047457 CKN1047392:CKN1047457 CUJ1047392:CUJ1047457 DEF1047392:DEF1047457 DOB1047392:DOB1047457 DXX1047392:DXX1047457 EHT1047392:EHT1047457 ERP1047392:ERP1047457 FBL1047392:FBL1047457 FLH1047392:FLH1047457 FVD1047392:FVD1047457 GEZ1047392:GEZ1047457 GOV1047392:GOV1047457 GYR1047392:GYR1047457 HIN1047392:HIN1047457 HSJ1047392:HSJ1047457 ICF1047392:ICF1047457 IMB1047392:IMB1047457 IVX1047392:IVX1047457 JFT1047392:JFT1047457 JPP1047392:JPP1047457 JZL1047392:JZL1047457 KJH1047392:KJH1047457 KTD1047392:KTD1047457 LCZ1047392:LCZ1047457 LMV1047392:LMV1047457 LWR1047392:LWR1047457 MGN1047392:MGN1047457 MQJ1047392:MQJ1047457 NAF1047392:NAF1047457 NKB1047392:NKB1047457 NTX1047392:NTX1047457 ODT1047392:ODT1047457 ONP1047392:ONP1047457 OXL1047392:OXL1047457 PHH1047392:PHH1047457 PRD1047392:PRD1047457 QAZ1047392:QAZ1047457 QKV1047392:QKV1047457 QUR1047392:QUR1047457 REN1047392:REN1047457 ROJ1047392:ROJ1047457 RYF1047392:RYF1047457 SIB1047392:SIB1047457 SRX1047392:SRX1047457 TBT1047392:TBT1047457 TLP1047392:TLP1047457 TVL1047392:TVL1047457 UFH1047392:UFH1047457 UPD1047392:UPD1047457 UYZ1047392:UYZ1047457 VIV1047392:VIV1047457 VSR1047392:VSR1047457 WCN1047392:WCN1047457 WMJ1047392:WMJ1047457 WWF1047392:WWF1047457 WWF983031:WWF983096 X65527:X65592 JT65527:JT65592 TP65527:TP65592 ADL65527:ADL65592 ANH65527:ANH65592 AXD65527:AXD65592 BGZ65527:BGZ65592 BQV65527:BQV65592 CAR65527:CAR65592 CKN65527:CKN65592 CUJ65527:CUJ65592 DEF65527:DEF65592 DOB65527:DOB65592 DXX65527:DXX65592 EHT65527:EHT65592 ERP65527:ERP65592 FBL65527:FBL65592 FLH65527:FLH65592 FVD65527:FVD65592 GEZ65527:GEZ65592 GOV65527:GOV65592 GYR65527:GYR65592 HIN65527:HIN65592 HSJ65527:HSJ65592 ICF65527:ICF65592 IMB65527:IMB65592 IVX65527:IVX65592 JFT65527:JFT65592 JPP65527:JPP65592 JZL65527:JZL65592 KJH65527:KJH65592 KTD65527:KTD65592 LCZ65527:LCZ65592 LMV65527:LMV65592 LWR65527:LWR65592 MGN65527:MGN65592 MQJ65527:MQJ65592 NAF65527:NAF65592 NKB65527:NKB65592 NTX65527:NTX65592 ODT65527:ODT65592 ONP65527:ONP65592 OXL65527:OXL65592 PHH65527:PHH65592 PRD65527:PRD65592 QAZ65527:QAZ65592 QKV65527:QKV65592 QUR65527:QUR65592 REN65527:REN65592 ROJ65527:ROJ65592 RYF65527:RYF65592 SIB65527:SIB65592 SRX65527:SRX65592 TBT65527:TBT65592 TLP65527:TLP65592 TVL65527:TVL65592 UFH65527:UFH65592 UPD65527:UPD65592 UYZ65527:UYZ65592 VIV65527:VIV65592 VSR65527:VSR65592 WCN65527:WCN65592 WMJ65527:WMJ65592 WWF65527:WWF65592 X131063:X131128 JT131063:JT131128 TP131063:TP131128 ADL131063:ADL131128 ANH131063:ANH131128 AXD131063:AXD131128 BGZ131063:BGZ131128 BQV131063:BQV131128 CAR131063:CAR131128 CKN131063:CKN131128 CUJ131063:CUJ131128 DEF131063:DEF131128 DOB131063:DOB131128 DXX131063:DXX131128 EHT131063:EHT131128 ERP131063:ERP131128 FBL131063:FBL131128 FLH131063:FLH131128 FVD131063:FVD131128 GEZ131063:GEZ131128 GOV131063:GOV131128 GYR131063:GYR131128 HIN131063:HIN131128 HSJ131063:HSJ131128 ICF131063:ICF131128 IMB131063:IMB131128 IVX131063:IVX131128 JFT131063:JFT131128 JPP131063:JPP131128 JZL131063:JZL131128 KJH131063:KJH131128 KTD131063:KTD131128 LCZ131063:LCZ131128 LMV131063:LMV131128 LWR131063:LWR131128 MGN131063:MGN131128 MQJ131063:MQJ131128 NAF131063:NAF131128 NKB131063:NKB131128 NTX131063:NTX131128 ODT131063:ODT131128 ONP131063:ONP131128 OXL131063:OXL131128 PHH131063:PHH131128 PRD131063:PRD131128 QAZ131063:QAZ131128 QKV131063:QKV131128 QUR131063:QUR131128 REN131063:REN131128 ROJ131063:ROJ131128 RYF131063:RYF131128 SIB131063:SIB131128 SRX131063:SRX131128 TBT131063:TBT131128 TLP131063:TLP131128 TVL131063:TVL131128 UFH131063:UFH131128 UPD131063:UPD131128 UYZ131063:UYZ131128 VIV131063:VIV131128 VSR131063:VSR131128 WCN131063:WCN131128 WMJ131063:WMJ131128 WWF131063:WWF131128 X196599:X196664 JT196599:JT196664 TP196599:TP196664 ADL196599:ADL196664 ANH196599:ANH196664 AXD196599:AXD196664 BGZ196599:BGZ196664 BQV196599:BQV196664 CAR196599:CAR196664 CKN196599:CKN196664 CUJ196599:CUJ196664 DEF196599:DEF196664 DOB196599:DOB196664 DXX196599:DXX196664 EHT196599:EHT196664 ERP196599:ERP196664 FBL196599:FBL196664 FLH196599:FLH196664 FVD196599:FVD196664 GEZ196599:GEZ196664 GOV196599:GOV196664 GYR196599:GYR196664 HIN196599:HIN196664 HSJ196599:HSJ196664 ICF196599:ICF196664 IMB196599:IMB196664 IVX196599:IVX196664 JFT196599:JFT196664 JPP196599:JPP196664 JZL196599:JZL196664 KJH196599:KJH196664 KTD196599:KTD196664 LCZ196599:LCZ196664 LMV196599:LMV196664 LWR196599:LWR196664 MGN196599:MGN196664 MQJ196599:MQJ196664 NAF196599:NAF196664 NKB196599:NKB196664 NTX196599:NTX196664 ODT196599:ODT196664 ONP196599:ONP196664 OXL196599:OXL196664 PHH196599:PHH196664 PRD196599:PRD196664 QAZ196599:QAZ196664 QKV196599:QKV196664 QUR196599:QUR196664 REN196599:REN196664 ROJ196599:ROJ196664 RYF196599:RYF196664 SIB196599:SIB196664 SRX196599:SRX196664 TBT196599:TBT196664 TLP196599:TLP196664 TVL196599:TVL196664 UFH196599:UFH196664 UPD196599:UPD196664 UYZ196599:UYZ196664 VIV196599:VIV196664 VSR196599:VSR196664 WCN196599:WCN196664 WMJ196599:WMJ196664 WWF196599:WWF196664 X262135:X262200 JT262135:JT262200 TP262135:TP262200 ADL262135:ADL262200 ANH262135:ANH262200 AXD262135:AXD262200 BGZ262135:BGZ262200 BQV262135:BQV262200 CAR262135:CAR262200 CKN262135:CKN262200 CUJ262135:CUJ262200 DEF262135:DEF262200 DOB262135:DOB262200 DXX262135:DXX262200 EHT262135:EHT262200 ERP262135:ERP262200 FBL262135:FBL262200 FLH262135:FLH262200 FVD262135:FVD262200 GEZ262135:GEZ262200 GOV262135:GOV262200 GYR262135:GYR262200 HIN262135:HIN262200 HSJ262135:HSJ262200 ICF262135:ICF262200 IMB262135:IMB262200 IVX262135:IVX262200 JFT262135:JFT262200 JPP262135:JPP262200 JZL262135:JZL262200 KJH262135:KJH262200 KTD262135:KTD262200 LCZ262135:LCZ262200 LMV262135:LMV262200 LWR262135:LWR262200 MGN262135:MGN262200 MQJ262135:MQJ262200 NAF262135:NAF262200 NKB262135:NKB262200 NTX262135:NTX262200 ODT262135:ODT262200 ONP262135:ONP262200 OXL262135:OXL262200 PHH262135:PHH262200 PRD262135:PRD262200 QAZ262135:QAZ262200 QKV262135:QKV262200 QUR262135:QUR262200 REN262135:REN262200 ROJ262135:ROJ262200 RYF262135:RYF262200 SIB262135:SIB262200 SRX262135:SRX262200 TBT262135:TBT262200 TLP262135:TLP262200 TVL262135:TVL262200 UFH262135:UFH262200 UPD262135:UPD262200 UYZ262135:UYZ262200 VIV262135:VIV262200 VSR262135:VSR262200 WCN262135:WCN262200 WMJ262135:WMJ262200 WWF262135:WWF262200 X327671:X327736 JT327671:JT327736 TP327671:TP327736 ADL327671:ADL327736 ANH327671:ANH327736 AXD327671:AXD327736 BGZ327671:BGZ327736 BQV327671:BQV327736 CAR327671:CAR327736 CKN327671:CKN327736 CUJ327671:CUJ327736 DEF327671:DEF327736 DOB327671:DOB327736 DXX327671:DXX327736 EHT327671:EHT327736 ERP327671:ERP327736 FBL327671:FBL327736 FLH327671:FLH327736 FVD327671:FVD327736 GEZ327671:GEZ327736 GOV327671:GOV327736 GYR327671:GYR327736 HIN327671:HIN327736 HSJ327671:HSJ327736 ICF327671:ICF327736 IMB327671:IMB327736 IVX327671:IVX327736 JFT327671:JFT327736 JPP327671:JPP327736 JZL327671:JZL327736 KJH327671:KJH327736 KTD327671:KTD327736 LCZ327671:LCZ327736 LMV327671:LMV327736 LWR327671:LWR327736 MGN327671:MGN327736 MQJ327671:MQJ327736 NAF327671:NAF327736 NKB327671:NKB327736 NTX327671:NTX327736 ODT327671:ODT327736 ONP327671:ONP327736 OXL327671:OXL327736 PHH327671:PHH327736 PRD327671:PRD327736 QAZ327671:QAZ327736 QKV327671:QKV327736 QUR327671:QUR327736 REN327671:REN327736 ROJ327671:ROJ327736 RYF327671:RYF327736 SIB327671:SIB327736 SRX327671:SRX327736 TBT327671:TBT327736 TLP327671:TLP327736 TVL327671:TVL327736 UFH327671:UFH327736 UPD327671:UPD327736 UYZ327671:UYZ327736 VIV327671:VIV327736 VSR327671:VSR327736 WCN327671:WCN327736 WMJ327671:WMJ327736 WWF327671:WWF327736 X393207:X393272 JT393207:JT393272 TP393207:TP393272 ADL393207:ADL393272 ANH393207:ANH393272 AXD393207:AXD393272 BGZ393207:BGZ393272 BQV393207:BQV393272 CAR393207:CAR393272 CKN393207:CKN393272 CUJ393207:CUJ393272 DEF393207:DEF393272 DOB393207:DOB393272 DXX393207:DXX393272 EHT393207:EHT393272 ERP393207:ERP393272 FBL393207:FBL393272 FLH393207:FLH393272 FVD393207:FVD393272 GEZ393207:GEZ393272 GOV393207:GOV393272 GYR393207:GYR393272 HIN393207:HIN393272 HSJ393207:HSJ393272 ICF393207:ICF393272 IMB393207:IMB393272 IVX393207:IVX393272 JFT393207:JFT393272 JPP393207:JPP393272 JZL393207:JZL393272 KJH393207:KJH393272 KTD393207:KTD393272 LCZ393207:LCZ393272 LMV393207:LMV393272 LWR393207:LWR393272 MGN393207:MGN393272 MQJ393207:MQJ393272 NAF393207:NAF393272 NKB393207:NKB393272 NTX393207:NTX393272 ODT393207:ODT393272 ONP393207:ONP393272 OXL393207:OXL393272 PHH393207:PHH393272 PRD393207:PRD393272 QAZ393207:QAZ393272 QKV393207:QKV393272 QUR393207:QUR393272 REN393207:REN393272 ROJ393207:ROJ393272 RYF393207:RYF393272 SIB393207:SIB393272 SRX393207:SRX393272 TBT393207:TBT393272 TLP393207:TLP393272 TVL393207:TVL393272 UFH393207:UFH393272 UPD393207:UPD393272 UYZ393207:UYZ393272 VIV393207:VIV393272 VSR393207:VSR393272 WCN393207:WCN393272 WMJ393207:WMJ393272 WWF393207:WWF393272 X458743:X458808 JT458743:JT458808 TP458743:TP458808 ADL458743:ADL458808 ANH458743:ANH458808 AXD458743:AXD458808 BGZ458743:BGZ458808 BQV458743:BQV458808 CAR458743:CAR458808 CKN458743:CKN458808 CUJ458743:CUJ458808 DEF458743:DEF458808 DOB458743:DOB458808 DXX458743:DXX458808 EHT458743:EHT458808 ERP458743:ERP458808 FBL458743:FBL458808 FLH458743:FLH458808 FVD458743:FVD458808 GEZ458743:GEZ458808 GOV458743:GOV458808 GYR458743:GYR458808 HIN458743:HIN458808 HSJ458743:HSJ458808 ICF458743:ICF458808 IMB458743:IMB458808 IVX458743:IVX458808 JFT458743:JFT458808 JPP458743:JPP458808 JZL458743:JZL458808 KJH458743:KJH458808 KTD458743:KTD458808 LCZ458743:LCZ458808 LMV458743:LMV458808 LWR458743:LWR458808 MGN458743:MGN458808 MQJ458743:MQJ458808 NAF458743:NAF458808 NKB458743:NKB458808 NTX458743:NTX458808 ODT458743:ODT458808 ONP458743:ONP458808 OXL458743:OXL458808 PHH458743:PHH458808 PRD458743:PRD458808 QAZ458743:QAZ458808 QKV458743:QKV458808 QUR458743:QUR458808 REN458743:REN458808 ROJ458743:ROJ458808 RYF458743:RYF458808 SIB458743:SIB458808 SRX458743:SRX458808 TBT458743:TBT458808 TLP458743:TLP458808 TVL458743:TVL458808 UFH458743:UFH458808 UPD458743:UPD458808 UYZ458743:UYZ458808 VIV458743:VIV458808 VSR458743:VSR458808 WCN458743:WCN458808 WMJ458743:WMJ458808 WWF458743:WWF458808 X524279:X524344 JT524279:JT524344 TP524279:TP524344 ADL524279:ADL524344 ANH524279:ANH524344 AXD524279:AXD524344 BGZ524279:BGZ524344 BQV524279:BQV524344 CAR524279:CAR524344 CKN524279:CKN524344 CUJ524279:CUJ524344 DEF524279:DEF524344 DOB524279:DOB524344 DXX524279:DXX524344 EHT524279:EHT524344 ERP524279:ERP524344 FBL524279:FBL524344 FLH524279:FLH524344 FVD524279:FVD524344 GEZ524279:GEZ524344 GOV524279:GOV524344 GYR524279:GYR524344 HIN524279:HIN524344 HSJ524279:HSJ524344 ICF524279:ICF524344 IMB524279:IMB524344 IVX524279:IVX524344 JFT524279:JFT524344 JPP524279:JPP524344 JZL524279:JZL524344 KJH524279:KJH524344 KTD524279:KTD524344 LCZ524279:LCZ524344 LMV524279:LMV524344 LWR524279:LWR524344 MGN524279:MGN524344 MQJ524279:MQJ524344 NAF524279:NAF524344 NKB524279:NKB524344 NTX524279:NTX524344 ODT524279:ODT524344 ONP524279:ONP524344 OXL524279:OXL524344 PHH524279:PHH524344 PRD524279:PRD524344 QAZ524279:QAZ524344 QKV524279:QKV524344 QUR524279:QUR524344 REN524279:REN524344 ROJ524279:ROJ524344 RYF524279:RYF524344 SIB524279:SIB524344 SRX524279:SRX524344 TBT524279:TBT524344 TLP524279:TLP524344 TVL524279:TVL524344 UFH524279:UFH524344 UPD524279:UPD524344 UYZ524279:UYZ524344 VIV524279:VIV524344 VSR524279:VSR524344 WCN524279:WCN524344 WMJ524279:WMJ524344 WWF524279:WWF524344 X589815:X589880 JT589815:JT589880 TP589815:TP589880 ADL589815:ADL589880 ANH589815:ANH589880 AXD589815:AXD589880 BGZ589815:BGZ589880 BQV589815:BQV589880 CAR589815:CAR589880 CKN589815:CKN589880 CUJ589815:CUJ589880 DEF589815:DEF589880 DOB589815:DOB589880 DXX589815:DXX589880 EHT589815:EHT589880 ERP589815:ERP589880 FBL589815:FBL589880 FLH589815:FLH589880 FVD589815:FVD589880 GEZ589815:GEZ589880 GOV589815:GOV589880 GYR589815:GYR589880 HIN589815:HIN589880 HSJ589815:HSJ589880 ICF589815:ICF589880 IMB589815:IMB589880 IVX589815:IVX589880 JFT589815:JFT589880 JPP589815:JPP589880 JZL589815:JZL589880 KJH589815:KJH589880 KTD589815:KTD589880 LCZ589815:LCZ589880 LMV589815:LMV589880 LWR589815:LWR589880 MGN589815:MGN589880 MQJ589815:MQJ589880 NAF589815:NAF589880 NKB589815:NKB589880 NTX589815:NTX589880 ODT589815:ODT589880 ONP589815:ONP589880 OXL589815:OXL589880 PHH589815:PHH589880 PRD589815:PRD589880 QAZ589815:QAZ589880 QKV589815:QKV589880 QUR589815:QUR589880 REN589815:REN589880 ROJ589815:ROJ589880 RYF589815:RYF589880 SIB589815:SIB589880 SRX589815:SRX589880 TBT589815:TBT589880 TLP589815:TLP589880 TVL589815:TVL589880 UFH589815:UFH589880 UPD589815:UPD589880 UYZ589815:UYZ589880 VIV589815:VIV589880 VSR589815:VSR589880 WCN589815:WCN589880 WMJ589815:WMJ589880 WWF589815:WWF589880 X655351:X655416 JT655351:JT655416 TP655351:TP655416 ADL655351:ADL655416 ANH655351:ANH655416 AXD655351:AXD655416 BGZ655351:BGZ655416 BQV655351:BQV655416 CAR655351:CAR655416 CKN655351:CKN655416 CUJ655351:CUJ655416 DEF655351:DEF655416 DOB655351:DOB655416 DXX655351:DXX655416 EHT655351:EHT655416 ERP655351:ERP655416 FBL655351:FBL655416 FLH655351:FLH655416 FVD655351:FVD655416 GEZ655351:GEZ655416 GOV655351:GOV655416 GYR655351:GYR655416 HIN655351:HIN655416 HSJ655351:HSJ655416 ICF655351:ICF655416 IMB655351:IMB655416 IVX655351:IVX655416 JFT655351:JFT655416 JPP655351:JPP655416 JZL655351:JZL655416 KJH655351:KJH655416 KTD655351:KTD655416 LCZ655351:LCZ655416 LMV655351:LMV655416 LWR655351:LWR655416 MGN655351:MGN655416 MQJ655351:MQJ655416 NAF655351:NAF655416 NKB655351:NKB655416 NTX655351:NTX655416 ODT655351:ODT655416 ONP655351:ONP655416 OXL655351:OXL655416 PHH655351:PHH655416 PRD655351:PRD655416 QAZ655351:QAZ655416 QKV655351:QKV655416 QUR655351:QUR655416 REN655351:REN655416 ROJ655351:ROJ655416 RYF655351:RYF655416 SIB655351:SIB655416 SRX655351:SRX655416 TBT655351:TBT655416 TLP655351:TLP655416 TVL655351:TVL655416 UFH655351:UFH655416 UPD655351:UPD655416 UYZ655351:UYZ655416 VIV655351:VIV655416 VSR655351:VSR655416 WCN655351:WCN655416 WMJ655351:WMJ655416 WWF655351:WWF655416 X720887:X720952 JT720887:JT720952 TP720887:TP720952 ADL720887:ADL720952 ANH720887:ANH720952 AXD720887:AXD720952 BGZ720887:BGZ720952 BQV720887:BQV720952 CAR720887:CAR720952 CKN720887:CKN720952 CUJ720887:CUJ720952 DEF720887:DEF720952 DOB720887:DOB720952 DXX720887:DXX720952 EHT720887:EHT720952 ERP720887:ERP720952 FBL720887:FBL720952 FLH720887:FLH720952 FVD720887:FVD720952 GEZ720887:GEZ720952 GOV720887:GOV720952 GYR720887:GYR720952 HIN720887:HIN720952 HSJ720887:HSJ720952 ICF720887:ICF720952 IMB720887:IMB720952 IVX720887:IVX720952 JFT720887:JFT720952 JPP720887:JPP720952 JZL720887:JZL720952 KJH720887:KJH720952 KTD720887:KTD720952 LCZ720887:LCZ720952 LMV720887:LMV720952 LWR720887:LWR720952 MGN720887:MGN720952 MQJ720887:MQJ720952 NAF720887:NAF720952 NKB720887:NKB720952 NTX720887:NTX720952 ODT720887:ODT720952 ONP720887:ONP720952 OXL720887:OXL720952 PHH720887:PHH720952 PRD720887:PRD720952 QAZ720887:QAZ720952 QKV720887:QKV720952 QUR720887:QUR720952 REN720887:REN720952 ROJ720887:ROJ720952 RYF720887:RYF720952 SIB720887:SIB720952 SRX720887:SRX720952 TBT720887:TBT720952 TLP720887:TLP720952 TVL720887:TVL720952 UFH720887:UFH720952 UPD720887:UPD720952 UYZ720887:UYZ720952 VIV720887:VIV720952 VSR720887:VSR720952 WCN720887:WCN720952 WMJ720887:WMJ720952 WWF720887:WWF720952 X786423:X786488 JT786423:JT786488 TP786423:TP786488 ADL786423:ADL786488 ANH786423:ANH786488 AXD786423:AXD786488 BGZ786423:BGZ786488 BQV786423:BQV786488 CAR786423:CAR786488 CKN786423:CKN786488 CUJ786423:CUJ786488 DEF786423:DEF786488 DOB786423:DOB786488 DXX786423:DXX786488 EHT786423:EHT786488 ERP786423:ERP786488 FBL786423:FBL786488 FLH786423:FLH786488 FVD786423:FVD786488 GEZ786423:GEZ786488 GOV786423:GOV786488 GYR786423:GYR786488 HIN786423:HIN786488 HSJ786423:HSJ786488 ICF786423:ICF786488 IMB786423:IMB786488 IVX786423:IVX786488 JFT786423:JFT786488 JPP786423:JPP786488 JZL786423:JZL786488 KJH786423:KJH786488 KTD786423:KTD786488 LCZ786423:LCZ786488 LMV786423:LMV786488 LWR786423:LWR786488 MGN786423:MGN786488 MQJ786423:MQJ786488 NAF786423:NAF786488 NKB786423:NKB786488 NTX786423:NTX786488 ODT786423:ODT786488 ONP786423:ONP786488 OXL786423:OXL786488 PHH786423:PHH786488 PRD786423:PRD786488 QAZ786423:QAZ786488 QKV786423:QKV786488 QUR786423:QUR786488 REN786423:REN786488 ROJ786423:ROJ786488 RYF786423:RYF786488 SIB786423:SIB786488 SRX786423:SRX786488 TBT786423:TBT786488 TLP786423:TLP786488 TVL786423:TVL786488 UFH786423:UFH786488 UPD786423:UPD786488 UYZ786423:UYZ786488 VIV786423:VIV786488 VSR786423:VSR786488 WCN786423:WCN786488 WMJ786423:WMJ786488 WWF786423:WWF786488 X851959:X852024 JT851959:JT852024 TP851959:TP852024 ADL851959:ADL852024 ANH851959:ANH852024 AXD851959:AXD852024 BGZ851959:BGZ852024 BQV851959:BQV852024 CAR851959:CAR852024 CKN851959:CKN852024 CUJ851959:CUJ852024 DEF851959:DEF852024 DOB851959:DOB852024 DXX851959:DXX852024 EHT851959:EHT852024 ERP851959:ERP852024 FBL851959:FBL852024 FLH851959:FLH852024 FVD851959:FVD852024 GEZ851959:GEZ852024 GOV851959:GOV852024 GYR851959:GYR852024 HIN851959:HIN852024 HSJ851959:HSJ852024 ICF851959:ICF852024 IMB851959:IMB852024 IVX851959:IVX852024 JFT851959:JFT852024 JPP851959:JPP852024 JZL851959:JZL852024 KJH851959:KJH852024 KTD851959:KTD852024 LCZ851959:LCZ852024 LMV851959:LMV852024 LWR851959:LWR852024 MGN851959:MGN852024 MQJ851959:MQJ852024 NAF851959:NAF852024 NKB851959:NKB852024 NTX851959:NTX852024 ODT851959:ODT852024 ONP851959:ONP852024 OXL851959:OXL852024 PHH851959:PHH852024 PRD851959:PRD852024 QAZ851959:QAZ852024 QKV851959:QKV852024 QUR851959:QUR852024 REN851959:REN852024 ROJ851959:ROJ852024 RYF851959:RYF852024 SIB851959:SIB852024 SRX851959:SRX852024 TBT851959:TBT852024 TLP851959:TLP852024 TVL851959:TVL852024 UFH851959:UFH852024 UPD851959:UPD852024 UYZ851959:UYZ852024 VIV851959:VIV852024 VSR851959:VSR852024 WCN851959:WCN852024 WMJ851959:WMJ852024 WWF851959:WWF852024 X917495:X917560 JT917495:JT917560 TP917495:TP917560 ADL917495:ADL917560 ANH917495:ANH917560 AXD917495:AXD917560 BGZ917495:BGZ917560 BQV917495:BQV917560 CAR917495:CAR917560 CKN917495:CKN917560 CUJ917495:CUJ917560 DEF917495:DEF917560 DOB917495:DOB917560 DXX917495:DXX917560 EHT917495:EHT917560 ERP917495:ERP917560 FBL917495:FBL917560 FLH917495:FLH917560 FVD917495:FVD917560 GEZ917495:GEZ917560 GOV917495:GOV917560 GYR917495:GYR917560 HIN917495:HIN917560 HSJ917495:HSJ917560 ICF917495:ICF917560 IMB917495:IMB917560 IVX917495:IVX917560 JFT917495:JFT917560 JPP917495:JPP917560 JZL917495:JZL917560 KJH917495:KJH917560 KTD917495:KTD917560 LCZ917495:LCZ917560 LMV917495:LMV917560 LWR917495:LWR917560 MGN917495:MGN917560 MQJ917495:MQJ917560 NAF917495:NAF917560 NKB917495:NKB917560 NTX917495:NTX917560 ODT917495:ODT917560 ONP917495:ONP917560 OXL917495:OXL917560 PHH917495:PHH917560 PRD917495:PRD917560 QAZ917495:QAZ917560 QKV917495:QKV917560 QUR917495:QUR917560 REN917495:REN917560 ROJ917495:ROJ917560 RYF917495:RYF917560 SIB917495:SIB917560 SRX917495:SRX917560 TBT917495:TBT917560 TLP917495:TLP917560 TVL917495:TVL917560 UFH917495:UFH917560 UPD917495:UPD917560 UYZ917495:UYZ917560 VIV917495:VIV917560 VSR917495:VSR917560 WCN917495:WCN917560 WMJ917495:WMJ917560 WWF917495:WWF917560 X983031:X983096 JT983031:JT983096 TP983031:TP983096 ADL983031:ADL983096 ANH983031:ANH983096 AXD983031:AXD983096 BGZ983031:BGZ983096 BQV983031:BQV983096 CAR983031:CAR983096 CKN983031:CKN983096 CUJ983031:CUJ983096 DEF983031:DEF983096 DOB983031:DOB983096 DXX983031:DXX983096 EHT983031:EHT983096 ERP983031:ERP983096 FBL983031:FBL983096 FLH983031:FLH983096 FVD983031:FVD983096 GEZ983031:GEZ983096 GOV983031:GOV983096 GYR983031:GYR983096 HIN983031:HIN983096 HSJ983031:HSJ983096 ICF983031:ICF983096 IMB983031:IMB983096 IVX983031:IVX983096 JFT983031:JFT983096 JPP983031:JPP983096 JZL983031:JZL983096 KJH983031:KJH983096 KTD983031:KTD983096 LCZ983031:LCZ983096 LMV983031:LMV983096 LWR983031:LWR983096 MGN983031:MGN983096 MQJ983031:MQJ983096 NAF983031:NAF983096 NKB983031:NKB983096 NTX983031:NTX983096 ODT983031:ODT983096 ONP983031:ONP983096 OXL983031:OXL983096 PHH983031:PHH983096 PRD983031:PRD983096 QAZ983031:QAZ983096 QKV983031:QKV983096 QUR983031:QUR983096 REN983031:REN983096 ROJ983031:ROJ983096 RYF983031:RYF983096 SIB983031:SIB983096 SRX983031:SRX983096 TBT983031:TBT983096 TLP983031:TLP983096 TVL983031:TVL983096 UFH983031:UFH983096 UPD983031:UPD983096 UYZ983031:UYZ983096 VIV983031:VIV983096 VSR983031:VSR983096 WCN983031:WCN983096 WMJ983031:WMJ983096 JT2:JT59 WWF2:WWF59 WMJ2:WMJ59 WCN2:WCN59 VSR2:VSR59 VIV2:VIV59 UYZ2:UYZ59 UPD2:UPD59 UFH2:UFH59 TVL2:TVL59 TLP2:TLP59 TBT2:TBT59 SRX2:SRX59 SIB2:SIB59 RYF2:RYF59 ROJ2:ROJ59 REN2:REN59 QUR2:QUR59 QKV2:QKV59 QAZ2:QAZ59 PRD2:PRD59 PHH2:PHH59 OXL2:OXL59 ONP2:ONP59 ODT2:ODT59 NTX2:NTX59 NKB2:NKB59 NAF2:NAF59 MQJ2:MQJ59 MGN2:MGN59 LWR2:LWR59 LMV2:LMV59 LCZ2:LCZ59 KTD2:KTD59 KJH2:KJH59 JZL2:JZL59 JPP2:JPP59 JFT2:JFT59 IVX2:IVX59 IMB2:IMB59 ICF2:ICF59 HSJ2:HSJ59 HIN2:HIN59 GYR2:GYR59 GOV2:GOV59 GEZ2:GEZ59 FVD2:FVD59 FLH2:FLH59 FBL2:FBL59 ERP2:ERP59 EHT2:EHT59 DXX2:DXX59 DOB2:DOB59 DEF2:DEF59 CUJ2:CUJ59 CKN2:CKN59 CAR2:CAR59 BQV2:BQV59 BGZ2:BGZ59 AXD2:AXD59 ANH2:ANH59 ADL2:ADL59 TP2:TP59 X2:X489" xr:uid="{6FC16B5D-9845-44AE-B0BA-6CB2D94DADA5}">
      <formula1>$AT$2:$AT$3</formula1>
    </dataValidation>
    <dataValidation type="list" allowBlank="1" showInputMessage="1" showErrorMessage="1" sqref="G64352:G64419 JC64352:JC64419 SY64352:SY64419 ACU64352:ACU64419 AMQ64352:AMQ64419 AWM64352:AWM64419 BGI64352:BGI64419 BQE64352:BQE64419 CAA64352:CAA64419 CJW64352:CJW64419 CTS64352:CTS64419 DDO64352:DDO64419 DNK64352:DNK64419 DXG64352:DXG64419 EHC64352:EHC64419 EQY64352:EQY64419 FAU64352:FAU64419 FKQ64352:FKQ64419 FUM64352:FUM64419 GEI64352:GEI64419 GOE64352:GOE64419 GYA64352:GYA64419 HHW64352:HHW64419 HRS64352:HRS64419 IBO64352:IBO64419 ILK64352:ILK64419 IVG64352:IVG64419 JFC64352:JFC64419 JOY64352:JOY64419 JYU64352:JYU64419 KIQ64352:KIQ64419 KSM64352:KSM64419 LCI64352:LCI64419 LME64352:LME64419 LWA64352:LWA64419 MFW64352:MFW64419 MPS64352:MPS64419 MZO64352:MZO64419 NJK64352:NJK64419 NTG64352:NTG64419 ODC64352:ODC64419 OMY64352:OMY64419 OWU64352:OWU64419 PGQ64352:PGQ64419 PQM64352:PQM64419 QAI64352:QAI64419 QKE64352:QKE64419 QUA64352:QUA64419 RDW64352:RDW64419 RNS64352:RNS64419 RXO64352:RXO64419 SHK64352:SHK64419 SRG64352:SRG64419 TBC64352:TBC64419 TKY64352:TKY64419 TUU64352:TUU64419 UEQ64352:UEQ64419 UOM64352:UOM64419 UYI64352:UYI64419 VIE64352:VIE64419 VSA64352:VSA64419 WBW64352:WBW64419 WLS64352:WLS64419 WVO64352:WVO64419 G129888:G129955 JC129888:JC129955 SY129888:SY129955 ACU129888:ACU129955 AMQ129888:AMQ129955 AWM129888:AWM129955 BGI129888:BGI129955 BQE129888:BQE129955 CAA129888:CAA129955 CJW129888:CJW129955 CTS129888:CTS129955 DDO129888:DDO129955 DNK129888:DNK129955 DXG129888:DXG129955 EHC129888:EHC129955 EQY129888:EQY129955 FAU129888:FAU129955 FKQ129888:FKQ129955 FUM129888:FUM129955 GEI129888:GEI129955 GOE129888:GOE129955 GYA129888:GYA129955 HHW129888:HHW129955 HRS129888:HRS129955 IBO129888:IBO129955 ILK129888:ILK129955 IVG129888:IVG129955 JFC129888:JFC129955 JOY129888:JOY129955 JYU129888:JYU129955 KIQ129888:KIQ129955 KSM129888:KSM129955 LCI129888:LCI129955 LME129888:LME129955 LWA129888:LWA129955 MFW129888:MFW129955 MPS129888:MPS129955 MZO129888:MZO129955 NJK129888:NJK129955 NTG129888:NTG129955 ODC129888:ODC129955 OMY129888:OMY129955 OWU129888:OWU129955 PGQ129888:PGQ129955 PQM129888:PQM129955 QAI129888:QAI129955 QKE129888:QKE129955 QUA129888:QUA129955 RDW129888:RDW129955 RNS129888:RNS129955 RXO129888:RXO129955 SHK129888:SHK129955 SRG129888:SRG129955 TBC129888:TBC129955 TKY129888:TKY129955 TUU129888:TUU129955 UEQ129888:UEQ129955 UOM129888:UOM129955 UYI129888:UYI129955 VIE129888:VIE129955 VSA129888:VSA129955 WBW129888:WBW129955 WLS129888:WLS129955 WVO129888:WVO129955 G195424:G195491 JC195424:JC195491 SY195424:SY195491 ACU195424:ACU195491 AMQ195424:AMQ195491 AWM195424:AWM195491 BGI195424:BGI195491 BQE195424:BQE195491 CAA195424:CAA195491 CJW195424:CJW195491 CTS195424:CTS195491 DDO195424:DDO195491 DNK195424:DNK195491 DXG195424:DXG195491 EHC195424:EHC195491 EQY195424:EQY195491 FAU195424:FAU195491 FKQ195424:FKQ195491 FUM195424:FUM195491 GEI195424:GEI195491 GOE195424:GOE195491 GYA195424:GYA195491 HHW195424:HHW195491 HRS195424:HRS195491 IBO195424:IBO195491 ILK195424:ILK195491 IVG195424:IVG195491 JFC195424:JFC195491 JOY195424:JOY195491 JYU195424:JYU195491 KIQ195424:KIQ195491 KSM195424:KSM195491 LCI195424:LCI195491 LME195424:LME195491 LWA195424:LWA195491 MFW195424:MFW195491 MPS195424:MPS195491 MZO195424:MZO195491 NJK195424:NJK195491 NTG195424:NTG195491 ODC195424:ODC195491 OMY195424:OMY195491 OWU195424:OWU195491 PGQ195424:PGQ195491 PQM195424:PQM195491 QAI195424:QAI195491 QKE195424:QKE195491 QUA195424:QUA195491 RDW195424:RDW195491 RNS195424:RNS195491 RXO195424:RXO195491 SHK195424:SHK195491 SRG195424:SRG195491 TBC195424:TBC195491 TKY195424:TKY195491 TUU195424:TUU195491 UEQ195424:UEQ195491 UOM195424:UOM195491 UYI195424:UYI195491 VIE195424:VIE195491 VSA195424:VSA195491 WBW195424:WBW195491 WLS195424:WLS195491 WVO195424:WVO195491 G260960:G261027 JC260960:JC261027 SY260960:SY261027 ACU260960:ACU261027 AMQ260960:AMQ261027 AWM260960:AWM261027 BGI260960:BGI261027 BQE260960:BQE261027 CAA260960:CAA261027 CJW260960:CJW261027 CTS260960:CTS261027 DDO260960:DDO261027 DNK260960:DNK261027 DXG260960:DXG261027 EHC260960:EHC261027 EQY260960:EQY261027 FAU260960:FAU261027 FKQ260960:FKQ261027 FUM260960:FUM261027 GEI260960:GEI261027 GOE260960:GOE261027 GYA260960:GYA261027 HHW260960:HHW261027 HRS260960:HRS261027 IBO260960:IBO261027 ILK260960:ILK261027 IVG260960:IVG261027 JFC260960:JFC261027 JOY260960:JOY261027 JYU260960:JYU261027 KIQ260960:KIQ261027 KSM260960:KSM261027 LCI260960:LCI261027 LME260960:LME261027 LWA260960:LWA261027 MFW260960:MFW261027 MPS260960:MPS261027 MZO260960:MZO261027 NJK260960:NJK261027 NTG260960:NTG261027 ODC260960:ODC261027 OMY260960:OMY261027 OWU260960:OWU261027 PGQ260960:PGQ261027 PQM260960:PQM261027 QAI260960:QAI261027 QKE260960:QKE261027 QUA260960:QUA261027 RDW260960:RDW261027 RNS260960:RNS261027 RXO260960:RXO261027 SHK260960:SHK261027 SRG260960:SRG261027 TBC260960:TBC261027 TKY260960:TKY261027 TUU260960:TUU261027 UEQ260960:UEQ261027 UOM260960:UOM261027 UYI260960:UYI261027 VIE260960:VIE261027 VSA260960:VSA261027 WBW260960:WBW261027 WLS260960:WLS261027 WVO260960:WVO261027 G326496:G326563 JC326496:JC326563 SY326496:SY326563 ACU326496:ACU326563 AMQ326496:AMQ326563 AWM326496:AWM326563 BGI326496:BGI326563 BQE326496:BQE326563 CAA326496:CAA326563 CJW326496:CJW326563 CTS326496:CTS326563 DDO326496:DDO326563 DNK326496:DNK326563 DXG326496:DXG326563 EHC326496:EHC326563 EQY326496:EQY326563 FAU326496:FAU326563 FKQ326496:FKQ326563 FUM326496:FUM326563 GEI326496:GEI326563 GOE326496:GOE326563 GYA326496:GYA326563 HHW326496:HHW326563 HRS326496:HRS326563 IBO326496:IBO326563 ILK326496:ILK326563 IVG326496:IVG326563 JFC326496:JFC326563 JOY326496:JOY326563 JYU326496:JYU326563 KIQ326496:KIQ326563 KSM326496:KSM326563 LCI326496:LCI326563 LME326496:LME326563 LWA326496:LWA326563 MFW326496:MFW326563 MPS326496:MPS326563 MZO326496:MZO326563 NJK326496:NJK326563 NTG326496:NTG326563 ODC326496:ODC326563 OMY326496:OMY326563 OWU326496:OWU326563 PGQ326496:PGQ326563 PQM326496:PQM326563 QAI326496:QAI326563 QKE326496:QKE326563 QUA326496:QUA326563 RDW326496:RDW326563 RNS326496:RNS326563 RXO326496:RXO326563 SHK326496:SHK326563 SRG326496:SRG326563 TBC326496:TBC326563 TKY326496:TKY326563 TUU326496:TUU326563 UEQ326496:UEQ326563 UOM326496:UOM326563 UYI326496:UYI326563 VIE326496:VIE326563 VSA326496:VSA326563 WBW326496:WBW326563 WLS326496:WLS326563 WVO326496:WVO326563 G392032:G392099 JC392032:JC392099 SY392032:SY392099 ACU392032:ACU392099 AMQ392032:AMQ392099 AWM392032:AWM392099 BGI392032:BGI392099 BQE392032:BQE392099 CAA392032:CAA392099 CJW392032:CJW392099 CTS392032:CTS392099 DDO392032:DDO392099 DNK392032:DNK392099 DXG392032:DXG392099 EHC392032:EHC392099 EQY392032:EQY392099 FAU392032:FAU392099 FKQ392032:FKQ392099 FUM392032:FUM392099 GEI392032:GEI392099 GOE392032:GOE392099 GYA392032:GYA392099 HHW392032:HHW392099 HRS392032:HRS392099 IBO392032:IBO392099 ILK392032:ILK392099 IVG392032:IVG392099 JFC392032:JFC392099 JOY392032:JOY392099 JYU392032:JYU392099 KIQ392032:KIQ392099 KSM392032:KSM392099 LCI392032:LCI392099 LME392032:LME392099 LWA392032:LWA392099 MFW392032:MFW392099 MPS392032:MPS392099 MZO392032:MZO392099 NJK392032:NJK392099 NTG392032:NTG392099 ODC392032:ODC392099 OMY392032:OMY392099 OWU392032:OWU392099 PGQ392032:PGQ392099 PQM392032:PQM392099 QAI392032:QAI392099 QKE392032:QKE392099 QUA392032:QUA392099 RDW392032:RDW392099 RNS392032:RNS392099 RXO392032:RXO392099 SHK392032:SHK392099 SRG392032:SRG392099 TBC392032:TBC392099 TKY392032:TKY392099 TUU392032:TUU392099 UEQ392032:UEQ392099 UOM392032:UOM392099 UYI392032:UYI392099 VIE392032:VIE392099 VSA392032:VSA392099 WBW392032:WBW392099 WLS392032:WLS392099 WVO392032:WVO392099 G457568:G457635 JC457568:JC457635 SY457568:SY457635 ACU457568:ACU457635 AMQ457568:AMQ457635 AWM457568:AWM457635 BGI457568:BGI457635 BQE457568:BQE457635 CAA457568:CAA457635 CJW457568:CJW457635 CTS457568:CTS457635 DDO457568:DDO457635 DNK457568:DNK457635 DXG457568:DXG457635 EHC457568:EHC457635 EQY457568:EQY457635 FAU457568:FAU457635 FKQ457568:FKQ457635 FUM457568:FUM457635 GEI457568:GEI457635 GOE457568:GOE457635 GYA457568:GYA457635 HHW457568:HHW457635 HRS457568:HRS457635 IBO457568:IBO457635 ILK457568:ILK457635 IVG457568:IVG457635 JFC457568:JFC457635 JOY457568:JOY457635 JYU457568:JYU457635 KIQ457568:KIQ457635 KSM457568:KSM457635 LCI457568:LCI457635 LME457568:LME457635 LWA457568:LWA457635 MFW457568:MFW457635 MPS457568:MPS457635 MZO457568:MZO457635 NJK457568:NJK457635 NTG457568:NTG457635 ODC457568:ODC457635 OMY457568:OMY457635 OWU457568:OWU457635 PGQ457568:PGQ457635 PQM457568:PQM457635 QAI457568:QAI457635 QKE457568:QKE457635 QUA457568:QUA457635 RDW457568:RDW457635 RNS457568:RNS457635 RXO457568:RXO457635 SHK457568:SHK457635 SRG457568:SRG457635 TBC457568:TBC457635 TKY457568:TKY457635 TUU457568:TUU457635 UEQ457568:UEQ457635 UOM457568:UOM457635 UYI457568:UYI457635 VIE457568:VIE457635 VSA457568:VSA457635 WBW457568:WBW457635 WLS457568:WLS457635 WVO457568:WVO457635 G523104:G523171 JC523104:JC523171 SY523104:SY523171 ACU523104:ACU523171 AMQ523104:AMQ523171 AWM523104:AWM523171 BGI523104:BGI523171 BQE523104:BQE523171 CAA523104:CAA523171 CJW523104:CJW523171 CTS523104:CTS523171 DDO523104:DDO523171 DNK523104:DNK523171 DXG523104:DXG523171 EHC523104:EHC523171 EQY523104:EQY523171 FAU523104:FAU523171 FKQ523104:FKQ523171 FUM523104:FUM523171 GEI523104:GEI523171 GOE523104:GOE523171 GYA523104:GYA523171 HHW523104:HHW523171 HRS523104:HRS523171 IBO523104:IBO523171 ILK523104:ILK523171 IVG523104:IVG523171 JFC523104:JFC523171 JOY523104:JOY523171 JYU523104:JYU523171 KIQ523104:KIQ523171 KSM523104:KSM523171 LCI523104:LCI523171 LME523104:LME523171 LWA523104:LWA523171 MFW523104:MFW523171 MPS523104:MPS523171 MZO523104:MZO523171 NJK523104:NJK523171 NTG523104:NTG523171 ODC523104:ODC523171 OMY523104:OMY523171 OWU523104:OWU523171 PGQ523104:PGQ523171 PQM523104:PQM523171 QAI523104:QAI523171 QKE523104:QKE523171 QUA523104:QUA523171 RDW523104:RDW523171 RNS523104:RNS523171 RXO523104:RXO523171 SHK523104:SHK523171 SRG523104:SRG523171 TBC523104:TBC523171 TKY523104:TKY523171 TUU523104:TUU523171 UEQ523104:UEQ523171 UOM523104:UOM523171 UYI523104:UYI523171 VIE523104:VIE523171 VSA523104:VSA523171 WBW523104:WBW523171 WLS523104:WLS523171 WVO523104:WVO523171 G588640:G588707 JC588640:JC588707 SY588640:SY588707 ACU588640:ACU588707 AMQ588640:AMQ588707 AWM588640:AWM588707 BGI588640:BGI588707 BQE588640:BQE588707 CAA588640:CAA588707 CJW588640:CJW588707 CTS588640:CTS588707 DDO588640:DDO588707 DNK588640:DNK588707 DXG588640:DXG588707 EHC588640:EHC588707 EQY588640:EQY588707 FAU588640:FAU588707 FKQ588640:FKQ588707 FUM588640:FUM588707 GEI588640:GEI588707 GOE588640:GOE588707 GYA588640:GYA588707 HHW588640:HHW588707 HRS588640:HRS588707 IBO588640:IBO588707 ILK588640:ILK588707 IVG588640:IVG588707 JFC588640:JFC588707 JOY588640:JOY588707 JYU588640:JYU588707 KIQ588640:KIQ588707 KSM588640:KSM588707 LCI588640:LCI588707 LME588640:LME588707 LWA588640:LWA588707 MFW588640:MFW588707 MPS588640:MPS588707 MZO588640:MZO588707 NJK588640:NJK588707 NTG588640:NTG588707 ODC588640:ODC588707 OMY588640:OMY588707 OWU588640:OWU588707 PGQ588640:PGQ588707 PQM588640:PQM588707 QAI588640:QAI588707 QKE588640:QKE588707 QUA588640:QUA588707 RDW588640:RDW588707 RNS588640:RNS588707 RXO588640:RXO588707 SHK588640:SHK588707 SRG588640:SRG588707 TBC588640:TBC588707 TKY588640:TKY588707 TUU588640:TUU588707 UEQ588640:UEQ588707 UOM588640:UOM588707 UYI588640:UYI588707 VIE588640:VIE588707 VSA588640:VSA588707 WBW588640:WBW588707 WLS588640:WLS588707 WVO588640:WVO588707 G654176:G654243 JC654176:JC654243 SY654176:SY654243 ACU654176:ACU654243 AMQ654176:AMQ654243 AWM654176:AWM654243 BGI654176:BGI654243 BQE654176:BQE654243 CAA654176:CAA654243 CJW654176:CJW654243 CTS654176:CTS654243 DDO654176:DDO654243 DNK654176:DNK654243 DXG654176:DXG654243 EHC654176:EHC654243 EQY654176:EQY654243 FAU654176:FAU654243 FKQ654176:FKQ654243 FUM654176:FUM654243 GEI654176:GEI654243 GOE654176:GOE654243 GYA654176:GYA654243 HHW654176:HHW654243 HRS654176:HRS654243 IBO654176:IBO654243 ILK654176:ILK654243 IVG654176:IVG654243 JFC654176:JFC654243 JOY654176:JOY654243 JYU654176:JYU654243 KIQ654176:KIQ654243 KSM654176:KSM654243 LCI654176:LCI654243 LME654176:LME654243 LWA654176:LWA654243 MFW654176:MFW654243 MPS654176:MPS654243 MZO654176:MZO654243 NJK654176:NJK654243 NTG654176:NTG654243 ODC654176:ODC654243 OMY654176:OMY654243 OWU654176:OWU654243 PGQ654176:PGQ654243 PQM654176:PQM654243 QAI654176:QAI654243 QKE654176:QKE654243 QUA654176:QUA654243 RDW654176:RDW654243 RNS654176:RNS654243 RXO654176:RXO654243 SHK654176:SHK654243 SRG654176:SRG654243 TBC654176:TBC654243 TKY654176:TKY654243 TUU654176:TUU654243 UEQ654176:UEQ654243 UOM654176:UOM654243 UYI654176:UYI654243 VIE654176:VIE654243 VSA654176:VSA654243 WBW654176:WBW654243 WLS654176:WLS654243 WVO654176:WVO654243 G719712:G719779 JC719712:JC719779 SY719712:SY719779 ACU719712:ACU719779 AMQ719712:AMQ719779 AWM719712:AWM719779 BGI719712:BGI719779 BQE719712:BQE719779 CAA719712:CAA719779 CJW719712:CJW719779 CTS719712:CTS719779 DDO719712:DDO719779 DNK719712:DNK719779 DXG719712:DXG719779 EHC719712:EHC719779 EQY719712:EQY719779 FAU719712:FAU719779 FKQ719712:FKQ719779 FUM719712:FUM719779 GEI719712:GEI719779 GOE719712:GOE719779 GYA719712:GYA719779 HHW719712:HHW719779 HRS719712:HRS719779 IBO719712:IBO719779 ILK719712:ILK719779 IVG719712:IVG719779 JFC719712:JFC719779 JOY719712:JOY719779 JYU719712:JYU719779 KIQ719712:KIQ719779 KSM719712:KSM719779 LCI719712:LCI719779 LME719712:LME719779 LWA719712:LWA719779 MFW719712:MFW719779 MPS719712:MPS719779 MZO719712:MZO719779 NJK719712:NJK719779 NTG719712:NTG719779 ODC719712:ODC719779 OMY719712:OMY719779 OWU719712:OWU719779 PGQ719712:PGQ719779 PQM719712:PQM719779 QAI719712:QAI719779 QKE719712:QKE719779 QUA719712:QUA719779 RDW719712:RDW719779 RNS719712:RNS719779 RXO719712:RXO719779 SHK719712:SHK719779 SRG719712:SRG719779 TBC719712:TBC719779 TKY719712:TKY719779 TUU719712:TUU719779 UEQ719712:UEQ719779 UOM719712:UOM719779 UYI719712:UYI719779 VIE719712:VIE719779 VSA719712:VSA719779 WBW719712:WBW719779 WLS719712:WLS719779 WVO719712:WVO719779 G785248:G785315 JC785248:JC785315 SY785248:SY785315 ACU785248:ACU785315 AMQ785248:AMQ785315 AWM785248:AWM785315 BGI785248:BGI785315 BQE785248:BQE785315 CAA785248:CAA785315 CJW785248:CJW785315 CTS785248:CTS785315 DDO785248:DDO785315 DNK785248:DNK785315 DXG785248:DXG785315 EHC785248:EHC785315 EQY785248:EQY785315 FAU785248:FAU785315 FKQ785248:FKQ785315 FUM785248:FUM785315 GEI785248:GEI785315 GOE785248:GOE785315 GYA785248:GYA785315 HHW785248:HHW785315 HRS785248:HRS785315 IBO785248:IBO785315 ILK785248:ILK785315 IVG785248:IVG785315 JFC785248:JFC785315 JOY785248:JOY785315 JYU785248:JYU785315 KIQ785248:KIQ785315 KSM785248:KSM785315 LCI785248:LCI785315 LME785248:LME785315 LWA785248:LWA785315 MFW785248:MFW785315 MPS785248:MPS785315 MZO785248:MZO785315 NJK785248:NJK785315 NTG785248:NTG785315 ODC785248:ODC785315 OMY785248:OMY785315 OWU785248:OWU785315 PGQ785248:PGQ785315 PQM785248:PQM785315 QAI785248:QAI785315 QKE785248:QKE785315 QUA785248:QUA785315 RDW785248:RDW785315 RNS785248:RNS785315 RXO785248:RXO785315 SHK785248:SHK785315 SRG785248:SRG785315 TBC785248:TBC785315 TKY785248:TKY785315 TUU785248:TUU785315 UEQ785248:UEQ785315 UOM785248:UOM785315 UYI785248:UYI785315 VIE785248:VIE785315 VSA785248:VSA785315 WBW785248:WBW785315 WLS785248:WLS785315 WVO785248:WVO785315 G850784:G850851 JC850784:JC850851 SY850784:SY850851 ACU850784:ACU850851 AMQ850784:AMQ850851 AWM850784:AWM850851 BGI850784:BGI850851 BQE850784:BQE850851 CAA850784:CAA850851 CJW850784:CJW850851 CTS850784:CTS850851 DDO850784:DDO850851 DNK850784:DNK850851 DXG850784:DXG850851 EHC850784:EHC850851 EQY850784:EQY850851 FAU850784:FAU850851 FKQ850784:FKQ850851 FUM850784:FUM850851 GEI850784:GEI850851 GOE850784:GOE850851 GYA850784:GYA850851 HHW850784:HHW850851 HRS850784:HRS850851 IBO850784:IBO850851 ILK850784:ILK850851 IVG850784:IVG850851 JFC850784:JFC850851 JOY850784:JOY850851 JYU850784:JYU850851 KIQ850784:KIQ850851 KSM850784:KSM850851 LCI850784:LCI850851 LME850784:LME850851 LWA850784:LWA850851 MFW850784:MFW850851 MPS850784:MPS850851 MZO850784:MZO850851 NJK850784:NJK850851 NTG850784:NTG850851 ODC850784:ODC850851 OMY850784:OMY850851 OWU850784:OWU850851 PGQ850784:PGQ850851 PQM850784:PQM850851 QAI850784:QAI850851 QKE850784:QKE850851 QUA850784:QUA850851 RDW850784:RDW850851 RNS850784:RNS850851 RXO850784:RXO850851 SHK850784:SHK850851 SRG850784:SRG850851 TBC850784:TBC850851 TKY850784:TKY850851 TUU850784:TUU850851 UEQ850784:UEQ850851 UOM850784:UOM850851 UYI850784:UYI850851 VIE850784:VIE850851 VSA850784:VSA850851 WBW850784:WBW850851 WLS850784:WLS850851 WVO850784:WVO850851 G916320:G916387 JC916320:JC916387 SY916320:SY916387 ACU916320:ACU916387 AMQ916320:AMQ916387 AWM916320:AWM916387 BGI916320:BGI916387 BQE916320:BQE916387 CAA916320:CAA916387 CJW916320:CJW916387 CTS916320:CTS916387 DDO916320:DDO916387 DNK916320:DNK916387 DXG916320:DXG916387 EHC916320:EHC916387 EQY916320:EQY916387 FAU916320:FAU916387 FKQ916320:FKQ916387 FUM916320:FUM916387 GEI916320:GEI916387 GOE916320:GOE916387 GYA916320:GYA916387 HHW916320:HHW916387 HRS916320:HRS916387 IBO916320:IBO916387 ILK916320:ILK916387 IVG916320:IVG916387 JFC916320:JFC916387 JOY916320:JOY916387 JYU916320:JYU916387 KIQ916320:KIQ916387 KSM916320:KSM916387 LCI916320:LCI916387 LME916320:LME916387 LWA916320:LWA916387 MFW916320:MFW916387 MPS916320:MPS916387 MZO916320:MZO916387 NJK916320:NJK916387 NTG916320:NTG916387 ODC916320:ODC916387 OMY916320:OMY916387 OWU916320:OWU916387 PGQ916320:PGQ916387 PQM916320:PQM916387 QAI916320:QAI916387 QKE916320:QKE916387 QUA916320:QUA916387 RDW916320:RDW916387 RNS916320:RNS916387 RXO916320:RXO916387 SHK916320:SHK916387 SRG916320:SRG916387 TBC916320:TBC916387 TKY916320:TKY916387 TUU916320:TUU916387 UEQ916320:UEQ916387 UOM916320:UOM916387 UYI916320:UYI916387 VIE916320:VIE916387 VSA916320:VSA916387 WBW916320:WBW916387 WLS916320:WLS916387 WVO916320:WVO916387 G981856:G981923 JC981856:JC981923 SY981856:SY981923 ACU981856:ACU981923 AMQ981856:AMQ981923 AWM981856:AWM981923 BGI981856:BGI981923 BQE981856:BQE981923 CAA981856:CAA981923 CJW981856:CJW981923 CTS981856:CTS981923 DDO981856:DDO981923 DNK981856:DNK981923 DXG981856:DXG981923 EHC981856:EHC981923 EQY981856:EQY981923 FAU981856:FAU981923 FKQ981856:FKQ981923 FUM981856:FUM981923 GEI981856:GEI981923 GOE981856:GOE981923 GYA981856:GYA981923 HHW981856:HHW981923 HRS981856:HRS981923 IBO981856:IBO981923 ILK981856:ILK981923 IVG981856:IVG981923 JFC981856:JFC981923 JOY981856:JOY981923 JYU981856:JYU981923 KIQ981856:KIQ981923 KSM981856:KSM981923 LCI981856:LCI981923 LME981856:LME981923 LWA981856:LWA981923 MFW981856:MFW981923 MPS981856:MPS981923 MZO981856:MZO981923 NJK981856:NJK981923 NTG981856:NTG981923 ODC981856:ODC981923 OMY981856:OMY981923 OWU981856:OWU981923 PGQ981856:PGQ981923 PQM981856:PQM981923 QAI981856:QAI981923 QKE981856:QKE981923 QUA981856:QUA981923 RDW981856:RDW981923 RNS981856:RNS981923 RXO981856:RXO981923 SHK981856:SHK981923 SRG981856:SRG981923 TBC981856:TBC981923 TKY981856:TKY981923 TUU981856:TUU981923 UEQ981856:UEQ981923 UOM981856:UOM981923 UYI981856:UYI981923 VIE981856:VIE981923 VSA981856:VSA981923 WBW981856:WBW981923 WLS981856:WLS981923 WVO981856:WVO981923 G1047392:G1047459 JC1047392:JC1047459 SY1047392:SY1047459 ACU1047392:ACU1047459 AMQ1047392:AMQ1047459 AWM1047392:AWM1047459 BGI1047392:BGI1047459 BQE1047392:BQE1047459 CAA1047392:CAA1047459 CJW1047392:CJW1047459 CTS1047392:CTS1047459 DDO1047392:DDO1047459 DNK1047392:DNK1047459 DXG1047392:DXG1047459 EHC1047392:EHC1047459 EQY1047392:EQY1047459 FAU1047392:FAU1047459 FKQ1047392:FKQ1047459 FUM1047392:FUM1047459 GEI1047392:GEI1047459 GOE1047392:GOE1047459 GYA1047392:GYA1047459 HHW1047392:HHW1047459 HRS1047392:HRS1047459 IBO1047392:IBO1047459 ILK1047392:ILK1047459 IVG1047392:IVG1047459 JFC1047392:JFC1047459 JOY1047392:JOY1047459 JYU1047392:JYU1047459 KIQ1047392:KIQ1047459 KSM1047392:KSM1047459 LCI1047392:LCI1047459 LME1047392:LME1047459 LWA1047392:LWA1047459 MFW1047392:MFW1047459 MPS1047392:MPS1047459 MZO1047392:MZO1047459 NJK1047392:NJK1047459 NTG1047392:NTG1047459 ODC1047392:ODC1047459 OMY1047392:OMY1047459 OWU1047392:OWU1047459 PGQ1047392:PGQ1047459 PQM1047392:PQM1047459 QAI1047392:QAI1047459 QKE1047392:QKE1047459 QUA1047392:QUA1047459 RDW1047392:RDW1047459 RNS1047392:RNS1047459 RXO1047392:RXO1047459 SHK1047392:SHK1047459 SRG1047392:SRG1047459 TBC1047392:TBC1047459 TKY1047392:TKY1047459 TUU1047392:TUU1047459 UEQ1047392:UEQ1047459 UOM1047392:UOM1047459 UYI1047392:UYI1047459 VIE1047392:VIE1047459 VSA1047392:VSA1047459 WBW1047392:WBW1047459 WLS1047392:WLS1047459 WVO1047392:WVO1047459 WVO983031:WVO983102 G65527:G65598 JC65527:JC65598 SY65527:SY65598 ACU65527:ACU65598 AMQ65527:AMQ65598 AWM65527:AWM65598 BGI65527:BGI65598 BQE65527:BQE65598 CAA65527:CAA65598 CJW65527:CJW65598 CTS65527:CTS65598 DDO65527:DDO65598 DNK65527:DNK65598 DXG65527:DXG65598 EHC65527:EHC65598 EQY65527:EQY65598 FAU65527:FAU65598 FKQ65527:FKQ65598 FUM65527:FUM65598 GEI65527:GEI65598 GOE65527:GOE65598 GYA65527:GYA65598 HHW65527:HHW65598 HRS65527:HRS65598 IBO65527:IBO65598 ILK65527:ILK65598 IVG65527:IVG65598 JFC65527:JFC65598 JOY65527:JOY65598 JYU65527:JYU65598 KIQ65527:KIQ65598 KSM65527:KSM65598 LCI65527:LCI65598 LME65527:LME65598 LWA65527:LWA65598 MFW65527:MFW65598 MPS65527:MPS65598 MZO65527:MZO65598 NJK65527:NJK65598 NTG65527:NTG65598 ODC65527:ODC65598 OMY65527:OMY65598 OWU65527:OWU65598 PGQ65527:PGQ65598 PQM65527:PQM65598 QAI65527:QAI65598 QKE65527:QKE65598 QUA65527:QUA65598 RDW65527:RDW65598 RNS65527:RNS65598 RXO65527:RXO65598 SHK65527:SHK65598 SRG65527:SRG65598 TBC65527:TBC65598 TKY65527:TKY65598 TUU65527:TUU65598 UEQ65527:UEQ65598 UOM65527:UOM65598 UYI65527:UYI65598 VIE65527:VIE65598 VSA65527:VSA65598 WBW65527:WBW65598 WLS65527:WLS65598 WVO65527:WVO65598 G131063:G131134 JC131063:JC131134 SY131063:SY131134 ACU131063:ACU131134 AMQ131063:AMQ131134 AWM131063:AWM131134 BGI131063:BGI131134 BQE131063:BQE131134 CAA131063:CAA131134 CJW131063:CJW131134 CTS131063:CTS131134 DDO131063:DDO131134 DNK131063:DNK131134 DXG131063:DXG131134 EHC131063:EHC131134 EQY131063:EQY131134 FAU131063:FAU131134 FKQ131063:FKQ131134 FUM131063:FUM131134 GEI131063:GEI131134 GOE131063:GOE131134 GYA131063:GYA131134 HHW131063:HHW131134 HRS131063:HRS131134 IBO131063:IBO131134 ILK131063:ILK131134 IVG131063:IVG131134 JFC131063:JFC131134 JOY131063:JOY131134 JYU131063:JYU131134 KIQ131063:KIQ131134 KSM131063:KSM131134 LCI131063:LCI131134 LME131063:LME131134 LWA131063:LWA131134 MFW131063:MFW131134 MPS131063:MPS131134 MZO131063:MZO131134 NJK131063:NJK131134 NTG131063:NTG131134 ODC131063:ODC131134 OMY131063:OMY131134 OWU131063:OWU131134 PGQ131063:PGQ131134 PQM131063:PQM131134 QAI131063:QAI131134 QKE131063:QKE131134 QUA131063:QUA131134 RDW131063:RDW131134 RNS131063:RNS131134 RXO131063:RXO131134 SHK131063:SHK131134 SRG131063:SRG131134 TBC131063:TBC131134 TKY131063:TKY131134 TUU131063:TUU131134 UEQ131063:UEQ131134 UOM131063:UOM131134 UYI131063:UYI131134 VIE131063:VIE131134 VSA131063:VSA131134 WBW131063:WBW131134 WLS131063:WLS131134 WVO131063:WVO131134 G196599:G196670 JC196599:JC196670 SY196599:SY196670 ACU196599:ACU196670 AMQ196599:AMQ196670 AWM196599:AWM196670 BGI196599:BGI196670 BQE196599:BQE196670 CAA196599:CAA196670 CJW196599:CJW196670 CTS196599:CTS196670 DDO196599:DDO196670 DNK196599:DNK196670 DXG196599:DXG196670 EHC196599:EHC196670 EQY196599:EQY196670 FAU196599:FAU196670 FKQ196599:FKQ196670 FUM196599:FUM196670 GEI196599:GEI196670 GOE196599:GOE196670 GYA196599:GYA196670 HHW196599:HHW196670 HRS196599:HRS196670 IBO196599:IBO196670 ILK196599:ILK196670 IVG196599:IVG196670 JFC196599:JFC196670 JOY196599:JOY196670 JYU196599:JYU196670 KIQ196599:KIQ196670 KSM196599:KSM196670 LCI196599:LCI196670 LME196599:LME196670 LWA196599:LWA196670 MFW196599:MFW196670 MPS196599:MPS196670 MZO196599:MZO196670 NJK196599:NJK196670 NTG196599:NTG196670 ODC196599:ODC196670 OMY196599:OMY196670 OWU196599:OWU196670 PGQ196599:PGQ196670 PQM196599:PQM196670 QAI196599:QAI196670 QKE196599:QKE196670 QUA196599:QUA196670 RDW196599:RDW196670 RNS196599:RNS196670 RXO196599:RXO196670 SHK196599:SHK196670 SRG196599:SRG196670 TBC196599:TBC196670 TKY196599:TKY196670 TUU196599:TUU196670 UEQ196599:UEQ196670 UOM196599:UOM196670 UYI196599:UYI196670 VIE196599:VIE196670 VSA196599:VSA196670 WBW196599:WBW196670 WLS196599:WLS196670 WVO196599:WVO196670 G262135:G262206 JC262135:JC262206 SY262135:SY262206 ACU262135:ACU262206 AMQ262135:AMQ262206 AWM262135:AWM262206 BGI262135:BGI262206 BQE262135:BQE262206 CAA262135:CAA262206 CJW262135:CJW262206 CTS262135:CTS262206 DDO262135:DDO262206 DNK262135:DNK262206 DXG262135:DXG262206 EHC262135:EHC262206 EQY262135:EQY262206 FAU262135:FAU262206 FKQ262135:FKQ262206 FUM262135:FUM262206 GEI262135:GEI262206 GOE262135:GOE262206 GYA262135:GYA262206 HHW262135:HHW262206 HRS262135:HRS262206 IBO262135:IBO262206 ILK262135:ILK262206 IVG262135:IVG262206 JFC262135:JFC262206 JOY262135:JOY262206 JYU262135:JYU262206 KIQ262135:KIQ262206 KSM262135:KSM262206 LCI262135:LCI262206 LME262135:LME262206 LWA262135:LWA262206 MFW262135:MFW262206 MPS262135:MPS262206 MZO262135:MZO262206 NJK262135:NJK262206 NTG262135:NTG262206 ODC262135:ODC262206 OMY262135:OMY262206 OWU262135:OWU262206 PGQ262135:PGQ262206 PQM262135:PQM262206 QAI262135:QAI262206 QKE262135:QKE262206 QUA262135:QUA262206 RDW262135:RDW262206 RNS262135:RNS262206 RXO262135:RXO262206 SHK262135:SHK262206 SRG262135:SRG262206 TBC262135:TBC262206 TKY262135:TKY262206 TUU262135:TUU262206 UEQ262135:UEQ262206 UOM262135:UOM262206 UYI262135:UYI262206 VIE262135:VIE262206 VSA262135:VSA262206 WBW262135:WBW262206 WLS262135:WLS262206 WVO262135:WVO262206 G327671:G327742 JC327671:JC327742 SY327671:SY327742 ACU327671:ACU327742 AMQ327671:AMQ327742 AWM327671:AWM327742 BGI327671:BGI327742 BQE327671:BQE327742 CAA327671:CAA327742 CJW327671:CJW327742 CTS327671:CTS327742 DDO327671:DDO327742 DNK327671:DNK327742 DXG327671:DXG327742 EHC327671:EHC327742 EQY327671:EQY327742 FAU327671:FAU327742 FKQ327671:FKQ327742 FUM327671:FUM327742 GEI327671:GEI327742 GOE327671:GOE327742 GYA327671:GYA327742 HHW327671:HHW327742 HRS327671:HRS327742 IBO327671:IBO327742 ILK327671:ILK327742 IVG327671:IVG327742 JFC327671:JFC327742 JOY327671:JOY327742 JYU327671:JYU327742 KIQ327671:KIQ327742 KSM327671:KSM327742 LCI327671:LCI327742 LME327671:LME327742 LWA327671:LWA327742 MFW327671:MFW327742 MPS327671:MPS327742 MZO327671:MZO327742 NJK327671:NJK327742 NTG327671:NTG327742 ODC327671:ODC327742 OMY327671:OMY327742 OWU327671:OWU327742 PGQ327671:PGQ327742 PQM327671:PQM327742 QAI327671:QAI327742 QKE327671:QKE327742 QUA327671:QUA327742 RDW327671:RDW327742 RNS327671:RNS327742 RXO327671:RXO327742 SHK327671:SHK327742 SRG327671:SRG327742 TBC327671:TBC327742 TKY327671:TKY327742 TUU327671:TUU327742 UEQ327671:UEQ327742 UOM327671:UOM327742 UYI327671:UYI327742 VIE327671:VIE327742 VSA327671:VSA327742 WBW327671:WBW327742 WLS327671:WLS327742 WVO327671:WVO327742 G393207:G393278 JC393207:JC393278 SY393207:SY393278 ACU393207:ACU393278 AMQ393207:AMQ393278 AWM393207:AWM393278 BGI393207:BGI393278 BQE393207:BQE393278 CAA393207:CAA393278 CJW393207:CJW393278 CTS393207:CTS393278 DDO393207:DDO393278 DNK393207:DNK393278 DXG393207:DXG393278 EHC393207:EHC393278 EQY393207:EQY393278 FAU393207:FAU393278 FKQ393207:FKQ393278 FUM393207:FUM393278 GEI393207:GEI393278 GOE393207:GOE393278 GYA393207:GYA393278 HHW393207:HHW393278 HRS393207:HRS393278 IBO393207:IBO393278 ILK393207:ILK393278 IVG393207:IVG393278 JFC393207:JFC393278 JOY393207:JOY393278 JYU393207:JYU393278 KIQ393207:KIQ393278 KSM393207:KSM393278 LCI393207:LCI393278 LME393207:LME393278 LWA393207:LWA393278 MFW393207:MFW393278 MPS393207:MPS393278 MZO393207:MZO393278 NJK393207:NJK393278 NTG393207:NTG393278 ODC393207:ODC393278 OMY393207:OMY393278 OWU393207:OWU393278 PGQ393207:PGQ393278 PQM393207:PQM393278 QAI393207:QAI393278 QKE393207:QKE393278 QUA393207:QUA393278 RDW393207:RDW393278 RNS393207:RNS393278 RXO393207:RXO393278 SHK393207:SHK393278 SRG393207:SRG393278 TBC393207:TBC393278 TKY393207:TKY393278 TUU393207:TUU393278 UEQ393207:UEQ393278 UOM393207:UOM393278 UYI393207:UYI393278 VIE393207:VIE393278 VSA393207:VSA393278 WBW393207:WBW393278 WLS393207:WLS393278 WVO393207:WVO393278 G458743:G458814 JC458743:JC458814 SY458743:SY458814 ACU458743:ACU458814 AMQ458743:AMQ458814 AWM458743:AWM458814 BGI458743:BGI458814 BQE458743:BQE458814 CAA458743:CAA458814 CJW458743:CJW458814 CTS458743:CTS458814 DDO458743:DDO458814 DNK458743:DNK458814 DXG458743:DXG458814 EHC458743:EHC458814 EQY458743:EQY458814 FAU458743:FAU458814 FKQ458743:FKQ458814 FUM458743:FUM458814 GEI458743:GEI458814 GOE458743:GOE458814 GYA458743:GYA458814 HHW458743:HHW458814 HRS458743:HRS458814 IBO458743:IBO458814 ILK458743:ILK458814 IVG458743:IVG458814 JFC458743:JFC458814 JOY458743:JOY458814 JYU458743:JYU458814 KIQ458743:KIQ458814 KSM458743:KSM458814 LCI458743:LCI458814 LME458743:LME458814 LWA458743:LWA458814 MFW458743:MFW458814 MPS458743:MPS458814 MZO458743:MZO458814 NJK458743:NJK458814 NTG458743:NTG458814 ODC458743:ODC458814 OMY458743:OMY458814 OWU458743:OWU458814 PGQ458743:PGQ458814 PQM458743:PQM458814 QAI458743:QAI458814 QKE458743:QKE458814 QUA458743:QUA458814 RDW458743:RDW458814 RNS458743:RNS458814 RXO458743:RXO458814 SHK458743:SHK458814 SRG458743:SRG458814 TBC458743:TBC458814 TKY458743:TKY458814 TUU458743:TUU458814 UEQ458743:UEQ458814 UOM458743:UOM458814 UYI458743:UYI458814 VIE458743:VIE458814 VSA458743:VSA458814 WBW458743:WBW458814 WLS458743:WLS458814 WVO458743:WVO458814 G524279:G524350 JC524279:JC524350 SY524279:SY524350 ACU524279:ACU524350 AMQ524279:AMQ524350 AWM524279:AWM524350 BGI524279:BGI524350 BQE524279:BQE524350 CAA524279:CAA524350 CJW524279:CJW524350 CTS524279:CTS524350 DDO524279:DDO524350 DNK524279:DNK524350 DXG524279:DXG524350 EHC524279:EHC524350 EQY524279:EQY524350 FAU524279:FAU524350 FKQ524279:FKQ524350 FUM524279:FUM524350 GEI524279:GEI524350 GOE524279:GOE524350 GYA524279:GYA524350 HHW524279:HHW524350 HRS524279:HRS524350 IBO524279:IBO524350 ILK524279:ILK524350 IVG524279:IVG524350 JFC524279:JFC524350 JOY524279:JOY524350 JYU524279:JYU524350 KIQ524279:KIQ524350 KSM524279:KSM524350 LCI524279:LCI524350 LME524279:LME524350 LWA524279:LWA524350 MFW524279:MFW524350 MPS524279:MPS524350 MZO524279:MZO524350 NJK524279:NJK524350 NTG524279:NTG524350 ODC524279:ODC524350 OMY524279:OMY524350 OWU524279:OWU524350 PGQ524279:PGQ524350 PQM524279:PQM524350 QAI524279:QAI524350 QKE524279:QKE524350 QUA524279:QUA524350 RDW524279:RDW524350 RNS524279:RNS524350 RXO524279:RXO524350 SHK524279:SHK524350 SRG524279:SRG524350 TBC524279:TBC524350 TKY524279:TKY524350 TUU524279:TUU524350 UEQ524279:UEQ524350 UOM524279:UOM524350 UYI524279:UYI524350 VIE524279:VIE524350 VSA524279:VSA524350 WBW524279:WBW524350 WLS524279:WLS524350 WVO524279:WVO524350 G589815:G589886 JC589815:JC589886 SY589815:SY589886 ACU589815:ACU589886 AMQ589815:AMQ589886 AWM589815:AWM589886 BGI589815:BGI589886 BQE589815:BQE589886 CAA589815:CAA589886 CJW589815:CJW589886 CTS589815:CTS589886 DDO589815:DDO589886 DNK589815:DNK589886 DXG589815:DXG589886 EHC589815:EHC589886 EQY589815:EQY589886 FAU589815:FAU589886 FKQ589815:FKQ589886 FUM589815:FUM589886 GEI589815:GEI589886 GOE589815:GOE589886 GYA589815:GYA589886 HHW589815:HHW589886 HRS589815:HRS589886 IBO589815:IBO589886 ILK589815:ILK589886 IVG589815:IVG589886 JFC589815:JFC589886 JOY589815:JOY589886 JYU589815:JYU589886 KIQ589815:KIQ589886 KSM589815:KSM589886 LCI589815:LCI589886 LME589815:LME589886 LWA589815:LWA589886 MFW589815:MFW589886 MPS589815:MPS589886 MZO589815:MZO589886 NJK589815:NJK589886 NTG589815:NTG589886 ODC589815:ODC589886 OMY589815:OMY589886 OWU589815:OWU589886 PGQ589815:PGQ589886 PQM589815:PQM589886 QAI589815:QAI589886 QKE589815:QKE589886 QUA589815:QUA589886 RDW589815:RDW589886 RNS589815:RNS589886 RXO589815:RXO589886 SHK589815:SHK589886 SRG589815:SRG589886 TBC589815:TBC589886 TKY589815:TKY589886 TUU589815:TUU589886 UEQ589815:UEQ589886 UOM589815:UOM589886 UYI589815:UYI589886 VIE589815:VIE589886 VSA589815:VSA589886 WBW589815:WBW589886 WLS589815:WLS589886 WVO589815:WVO589886 G655351:G655422 JC655351:JC655422 SY655351:SY655422 ACU655351:ACU655422 AMQ655351:AMQ655422 AWM655351:AWM655422 BGI655351:BGI655422 BQE655351:BQE655422 CAA655351:CAA655422 CJW655351:CJW655422 CTS655351:CTS655422 DDO655351:DDO655422 DNK655351:DNK655422 DXG655351:DXG655422 EHC655351:EHC655422 EQY655351:EQY655422 FAU655351:FAU655422 FKQ655351:FKQ655422 FUM655351:FUM655422 GEI655351:GEI655422 GOE655351:GOE655422 GYA655351:GYA655422 HHW655351:HHW655422 HRS655351:HRS655422 IBO655351:IBO655422 ILK655351:ILK655422 IVG655351:IVG655422 JFC655351:JFC655422 JOY655351:JOY655422 JYU655351:JYU655422 KIQ655351:KIQ655422 KSM655351:KSM655422 LCI655351:LCI655422 LME655351:LME655422 LWA655351:LWA655422 MFW655351:MFW655422 MPS655351:MPS655422 MZO655351:MZO655422 NJK655351:NJK655422 NTG655351:NTG655422 ODC655351:ODC655422 OMY655351:OMY655422 OWU655351:OWU655422 PGQ655351:PGQ655422 PQM655351:PQM655422 QAI655351:QAI655422 QKE655351:QKE655422 QUA655351:QUA655422 RDW655351:RDW655422 RNS655351:RNS655422 RXO655351:RXO655422 SHK655351:SHK655422 SRG655351:SRG655422 TBC655351:TBC655422 TKY655351:TKY655422 TUU655351:TUU655422 UEQ655351:UEQ655422 UOM655351:UOM655422 UYI655351:UYI655422 VIE655351:VIE655422 VSA655351:VSA655422 WBW655351:WBW655422 WLS655351:WLS655422 WVO655351:WVO655422 G720887:G720958 JC720887:JC720958 SY720887:SY720958 ACU720887:ACU720958 AMQ720887:AMQ720958 AWM720887:AWM720958 BGI720887:BGI720958 BQE720887:BQE720958 CAA720887:CAA720958 CJW720887:CJW720958 CTS720887:CTS720958 DDO720887:DDO720958 DNK720887:DNK720958 DXG720887:DXG720958 EHC720887:EHC720958 EQY720887:EQY720958 FAU720887:FAU720958 FKQ720887:FKQ720958 FUM720887:FUM720958 GEI720887:GEI720958 GOE720887:GOE720958 GYA720887:GYA720958 HHW720887:HHW720958 HRS720887:HRS720958 IBO720887:IBO720958 ILK720887:ILK720958 IVG720887:IVG720958 JFC720887:JFC720958 JOY720887:JOY720958 JYU720887:JYU720958 KIQ720887:KIQ720958 KSM720887:KSM720958 LCI720887:LCI720958 LME720887:LME720958 LWA720887:LWA720958 MFW720887:MFW720958 MPS720887:MPS720958 MZO720887:MZO720958 NJK720887:NJK720958 NTG720887:NTG720958 ODC720887:ODC720958 OMY720887:OMY720958 OWU720887:OWU720958 PGQ720887:PGQ720958 PQM720887:PQM720958 QAI720887:QAI720958 QKE720887:QKE720958 QUA720887:QUA720958 RDW720887:RDW720958 RNS720887:RNS720958 RXO720887:RXO720958 SHK720887:SHK720958 SRG720887:SRG720958 TBC720887:TBC720958 TKY720887:TKY720958 TUU720887:TUU720958 UEQ720887:UEQ720958 UOM720887:UOM720958 UYI720887:UYI720958 VIE720887:VIE720958 VSA720887:VSA720958 WBW720887:WBW720958 WLS720887:WLS720958 WVO720887:WVO720958 G786423:G786494 JC786423:JC786494 SY786423:SY786494 ACU786423:ACU786494 AMQ786423:AMQ786494 AWM786423:AWM786494 BGI786423:BGI786494 BQE786423:BQE786494 CAA786423:CAA786494 CJW786423:CJW786494 CTS786423:CTS786494 DDO786423:DDO786494 DNK786423:DNK786494 DXG786423:DXG786494 EHC786423:EHC786494 EQY786423:EQY786494 FAU786423:FAU786494 FKQ786423:FKQ786494 FUM786423:FUM786494 GEI786423:GEI786494 GOE786423:GOE786494 GYA786423:GYA786494 HHW786423:HHW786494 HRS786423:HRS786494 IBO786423:IBO786494 ILK786423:ILK786494 IVG786423:IVG786494 JFC786423:JFC786494 JOY786423:JOY786494 JYU786423:JYU786494 KIQ786423:KIQ786494 KSM786423:KSM786494 LCI786423:LCI786494 LME786423:LME786494 LWA786423:LWA786494 MFW786423:MFW786494 MPS786423:MPS786494 MZO786423:MZO786494 NJK786423:NJK786494 NTG786423:NTG786494 ODC786423:ODC786494 OMY786423:OMY786494 OWU786423:OWU786494 PGQ786423:PGQ786494 PQM786423:PQM786494 QAI786423:QAI786494 QKE786423:QKE786494 QUA786423:QUA786494 RDW786423:RDW786494 RNS786423:RNS786494 RXO786423:RXO786494 SHK786423:SHK786494 SRG786423:SRG786494 TBC786423:TBC786494 TKY786423:TKY786494 TUU786423:TUU786494 UEQ786423:UEQ786494 UOM786423:UOM786494 UYI786423:UYI786494 VIE786423:VIE786494 VSA786423:VSA786494 WBW786423:WBW786494 WLS786423:WLS786494 WVO786423:WVO786494 G851959:G852030 JC851959:JC852030 SY851959:SY852030 ACU851959:ACU852030 AMQ851959:AMQ852030 AWM851959:AWM852030 BGI851959:BGI852030 BQE851959:BQE852030 CAA851959:CAA852030 CJW851959:CJW852030 CTS851959:CTS852030 DDO851959:DDO852030 DNK851959:DNK852030 DXG851959:DXG852030 EHC851959:EHC852030 EQY851959:EQY852030 FAU851959:FAU852030 FKQ851959:FKQ852030 FUM851959:FUM852030 GEI851959:GEI852030 GOE851959:GOE852030 GYA851959:GYA852030 HHW851959:HHW852030 HRS851959:HRS852030 IBO851959:IBO852030 ILK851959:ILK852030 IVG851959:IVG852030 JFC851959:JFC852030 JOY851959:JOY852030 JYU851959:JYU852030 KIQ851959:KIQ852030 KSM851959:KSM852030 LCI851959:LCI852030 LME851959:LME852030 LWA851959:LWA852030 MFW851959:MFW852030 MPS851959:MPS852030 MZO851959:MZO852030 NJK851959:NJK852030 NTG851959:NTG852030 ODC851959:ODC852030 OMY851959:OMY852030 OWU851959:OWU852030 PGQ851959:PGQ852030 PQM851959:PQM852030 QAI851959:QAI852030 QKE851959:QKE852030 QUA851959:QUA852030 RDW851959:RDW852030 RNS851959:RNS852030 RXO851959:RXO852030 SHK851959:SHK852030 SRG851959:SRG852030 TBC851959:TBC852030 TKY851959:TKY852030 TUU851959:TUU852030 UEQ851959:UEQ852030 UOM851959:UOM852030 UYI851959:UYI852030 VIE851959:VIE852030 VSA851959:VSA852030 WBW851959:WBW852030 WLS851959:WLS852030 WVO851959:WVO852030 G917495:G917566 JC917495:JC917566 SY917495:SY917566 ACU917495:ACU917566 AMQ917495:AMQ917566 AWM917495:AWM917566 BGI917495:BGI917566 BQE917495:BQE917566 CAA917495:CAA917566 CJW917495:CJW917566 CTS917495:CTS917566 DDO917495:DDO917566 DNK917495:DNK917566 DXG917495:DXG917566 EHC917495:EHC917566 EQY917495:EQY917566 FAU917495:FAU917566 FKQ917495:FKQ917566 FUM917495:FUM917566 GEI917495:GEI917566 GOE917495:GOE917566 GYA917495:GYA917566 HHW917495:HHW917566 HRS917495:HRS917566 IBO917495:IBO917566 ILK917495:ILK917566 IVG917495:IVG917566 JFC917495:JFC917566 JOY917495:JOY917566 JYU917495:JYU917566 KIQ917495:KIQ917566 KSM917495:KSM917566 LCI917495:LCI917566 LME917495:LME917566 LWA917495:LWA917566 MFW917495:MFW917566 MPS917495:MPS917566 MZO917495:MZO917566 NJK917495:NJK917566 NTG917495:NTG917566 ODC917495:ODC917566 OMY917495:OMY917566 OWU917495:OWU917566 PGQ917495:PGQ917566 PQM917495:PQM917566 QAI917495:QAI917566 QKE917495:QKE917566 QUA917495:QUA917566 RDW917495:RDW917566 RNS917495:RNS917566 RXO917495:RXO917566 SHK917495:SHK917566 SRG917495:SRG917566 TBC917495:TBC917566 TKY917495:TKY917566 TUU917495:TUU917566 UEQ917495:UEQ917566 UOM917495:UOM917566 UYI917495:UYI917566 VIE917495:VIE917566 VSA917495:VSA917566 WBW917495:WBW917566 WLS917495:WLS917566 WVO917495:WVO917566 G983031:G983102 JC983031:JC983102 SY983031:SY983102 ACU983031:ACU983102 AMQ983031:AMQ983102 AWM983031:AWM983102 BGI983031:BGI983102 BQE983031:BQE983102 CAA983031:CAA983102 CJW983031:CJW983102 CTS983031:CTS983102 DDO983031:DDO983102 DNK983031:DNK983102 DXG983031:DXG983102 EHC983031:EHC983102 EQY983031:EQY983102 FAU983031:FAU983102 FKQ983031:FKQ983102 FUM983031:FUM983102 GEI983031:GEI983102 GOE983031:GOE983102 GYA983031:GYA983102 HHW983031:HHW983102 HRS983031:HRS983102 IBO983031:IBO983102 ILK983031:ILK983102 IVG983031:IVG983102 JFC983031:JFC983102 JOY983031:JOY983102 JYU983031:JYU983102 KIQ983031:KIQ983102 KSM983031:KSM983102 LCI983031:LCI983102 LME983031:LME983102 LWA983031:LWA983102 MFW983031:MFW983102 MPS983031:MPS983102 MZO983031:MZO983102 NJK983031:NJK983102 NTG983031:NTG983102 ODC983031:ODC983102 OMY983031:OMY983102 OWU983031:OWU983102 PGQ983031:PGQ983102 PQM983031:PQM983102 QAI983031:QAI983102 QKE983031:QKE983102 QUA983031:QUA983102 RDW983031:RDW983102 RNS983031:RNS983102 RXO983031:RXO983102 SHK983031:SHK983102 SRG983031:SRG983102 TBC983031:TBC983102 TKY983031:TKY983102 TUU983031:TUU983102 UEQ983031:UEQ983102 UOM983031:UOM983102 UYI983031:UYI983102 VIE983031:VIE983102 VSA983031:VSA983102 WBW983031:WBW983102 WLS983031:WLS98310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G2:G489" xr:uid="{DABAA52B-1847-4A98-8C00-D8AD81D39CD1}">
      <formula1>$AJ$2:$AJ$4</formula1>
    </dataValidation>
    <dataValidation type="list" allowBlank="1" showInputMessage="1" showErrorMessage="1" sqref="I64352:I64417 JE64352:JE64417 TA64352:TA64417 ACW64352:ACW64417 AMS64352:AMS64417 AWO64352:AWO64417 BGK64352:BGK64417 BQG64352:BQG64417 CAC64352:CAC64417 CJY64352:CJY64417 CTU64352:CTU64417 DDQ64352:DDQ64417 DNM64352:DNM64417 DXI64352:DXI64417 EHE64352:EHE64417 ERA64352:ERA64417 FAW64352:FAW64417 FKS64352:FKS64417 FUO64352:FUO64417 GEK64352:GEK64417 GOG64352:GOG64417 GYC64352:GYC64417 HHY64352:HHY64417 HRU64352:HRU64417 IBQ64352:IBQ64417 ILM64352:ILM64417 IVI64352:IVI64417 JFE64352:JFE64417 JPA64352:JPA64417 JYW64352:JYW64417 KIS64352:KIS64417 KSO64352:KSO64417 LCK64352:LCK64417 LMG64352:LMG64417 LWC64352:LWC64417 MFY64352:MFY64417 MPU64352:MPU64417 MZQ64352:MZQ64417 NJM64352:NJM64417 NTI64352:NTI64417 ODE64352:ODE64417 ONA64352:ONA64417 OWW64352:OWW64417 PGS64352:PGS64417 PQO64352:PQO64417 QAK64352:QAK64417 QKG64352:QKG64417 QUC64352:QUC64417 RDY64352:RDY64417 RNU64352:RNU64417 RXQ64352:RXQ64417 SHM64352:SHM64417 SRI64352:SRI64417 TBE64352:TBE64417 TLA64352:TLA64417 TUW64352:TUW64417 UES64352:UES64417 UOO64352:UOO64417 UYK64352:UYK64417 VIG64352:VIG64417 VSC64352:VSC64417 WBY64352:WBY64417 WLU64352:WLU64417 WVQ64352:WVQ64417 I129888:I129953 JE129888:JE129953 TA129888:TA129953 ACW129888:ACW129953 AMS129888:AMS129953 AWO129888:AWO129953 BGK129888:BGK129953 BQG129888:BQG129953 CAC129888:CAC129953 CJY129888:CJY129953 CTU129888:CTU129953 DDQ129888:DDQ129953 DNM129888:DNM129953 DXI129888:DXI129953 EHE129888:EHE129953 ERA129888:ERA129953 FAW129888:FAW129953 FKS129888:FKS129953 FUO129888:FUO129953 GEK129888:GEK129953 GOG129888:GOG129953 GYC129888:GYC129953 HHY129888:HHY129953 HRU129888:HRU129953 IBQ129888:IBQ129953 ILM129888:ILM129953 IVI129888:IVI129953 JFE129888:JFE129953 JPA129888:JPA129953 JYW129888:JYW129953 KIS129888:KIS129953 KSO129888:KSO129953 LCK129888:LCK129953 LMG129888:LMG129953 LWC129888:LWC129953 MFY129888:MFY129953 MPU129888:MPU129953 MZQ129888:MZQ129953 NJM129888:NJM129953 NTI129888:NTI129953 ODE129888:ODE129953 ONA129888:ONA129953 OWW129888:OWW129953 PGS129888:PGS129953 PQO129888:PQO129953 QAK129888:QAK129953 QKG129888:QKG129953 QUC129888:QUC129953 RDY129888:RDY129953 RNU129888:RNU129953 RXQ129888:RXQ129953 SHM129888:SHM129953 SRI129888:SRI129953 TBE129888:TBE129953 TLA129888:TLA129953 TUW129888:TUW129953 UES129888:UES129953 UOO129888:UOO129953 UYK129888:UYK129953 VIG129888:VIG129953 VSC129888:VSC129953 WBY129888:WBY129953 WLU129888:WLU129953 WVQ129888:WVQ129953 I195424:I195489 JE195424:JE195489 TA195424:TA195489 ACW195424:ACW195489 AMS195424:AMS195489 AWO195424:AWO195489 BGK195424:BGK195489 BQG195424:BQG195489 CAC195424:CAC195489 CJY195424:CJY195489 CTU195424:CTU195489 DDQ195424:DDQ195489 DNM195424:DNM195489 DXI195424:DXI195489 EHE195424:EHE195489 ERA195424:ERA195489 FAW195424:FAW195489 FKS195424:FKS195489 FUO195424:FUO195489 GEK195424:GEK195489 GOG195424:GOG195489 GYC195424:GYC195489 HHY195424:HHY195489 HRU195424:HRU195489 IBQ195424:IBQ195489 ILM195424:ILM195489 IVI195424:IVI195489 JFE195424:JFE195489 JPA195424:JPA195489 JYW195424:JYW195489 KIS195424:KIS195489 KSO195424:KSO195489 LCK195424:LCK195489 LMG195424:LMG195489 LWC195424:LWC195489 MFY195424:MFY195489 MPU195424:MPU195489 MZQ195424:MZQ195489 NJM195424:NJM195489 NTI195424:NTI195489 ODE195424:ODE195489 ONA195424:ONA195489 OWW195424:OWW195489 PGS195424:PGS195489 PQO195424:PQO195489 QAK195424:QAK195489 QKG195424:QKG195489 QUC195424:QUC195489 RDY195424:RDY195489 RNU195424:RNU195489 RXQ195424:RXQ195489 SHM195424:SHM195489 SRI195424:SRI195489 TBE195424:TBE195489 TLA195424:TLA195489 TUW195424:TUW195489 UES195424:UES195489 UOO195424:UOO195489 UYK195424:UYK195489 VIG195424:VIG195489 VSC195424:VSC195489 WBY195424:WBY195489 WLU195424:WLU195489 WVQ195424:WVQ195489 I260960:I261025 JE260960:JE261025 TA260960:TA261025 ACW260960:ACW261025 AMS260960:AMS261025 AWO260960:AWO261025 BGK260960:BGK261025 BQG260960:BQG261025 CAC260960:CAC261025 CJY260960:CJY261025 CTU260960:CTU261025 DDQ260960:DDQ261025 DNM260960:DNM261025 DXI260960:DXI261025 EHE260960:EHE261025 ERA260960:ERA261025 FAW260960:FAW261025 FKS260960:FKS261025 FUO260960:FUO261025 GEK260960:GEK261025 GOG260960:GOG261025 GYC260960:GYC261025 HHY260960:HHY261025 HRU260960:HRU261025 IBQ260960:IBQ261025 ILM260960:ILM261025 IVI260960:IVI261025 JFE260960:JFE261025 JPA260960:JPA261025 JYW260960:JYW261025 KIS260960:KIS261025 KSO260960:KSO261025 LCK260960:LCK261025 LMG260960:LMG261025 LWC260960:LWC261025 MFY260960:MFY261025 MPU260960:MPU261025 MZQ260960:MZQ261025 NJM260960:NJM261025 NTI260960:NTI261025 ODE260960:ODE261025 ONA260960:ONA261025 OWW260960:OWW261025 PGS260960:PGS261025 PQO260960:PQO261025 QAK260960:QAK261025 QKG260960:QKG261025 QUC260960:QUC261025 RDY260960:RDY261025 RNU260960:RNU261025 RXQ260960:RXQ261025 SHM260960:SHM261025 SRI260960:SRI261025 TBE260960:TBE261025 TLA260960:TLA261025 TUW260960:TUW261025 UES260960:UES261025 UOO260960:UOO261025 UYK260960:UYK261025 VIG260960:VIG261025 VSC260960:VSC261025 WBY260960:WBY261025 WLU260960:WLU261025 WVQ260960:WVQ261025 I326496:I326561 JE326496:JE326561 TA326496:TA326561 ACW326496:ACW326561 AMS326496:AMS326561 AWO326496:AWO326561 BGK326496:BGK326561 BQG326496:BQG326561 CAC326496:CAC326561 CJY326496:CJY326561 CTU326496:CTU326561 DDQ326496:DDQ326561 DNM326496:DNM326561 DXI326496:DXI326561 EHE326496:EHE326561 ERA326496:ERA326561 FAW326496:FAW326561 FKS326496:FKS326561 FUO326496:FUO326561 GEK326496:GEK326561 GOG326496:GOG326561 GYC326496:GYC326561 HHY326496:HHY326561 HRU326496:HRU326561 IBQ326496:IBQ326561 ILM326496:ILM326561 IVI326496:IVI326561 JFE326496:JFE326561 JPA326496:JPA326561 JYW326496:JYW326561 KIS326496:KIS326561 KSO326496:KSO326561 LCK326496:LCK326561 LMG326496:LMG326561 LWC326496:LWC326561 MFY326496:MFY326561 MPU326496:MPU326561 MZQ326496:MZQ326561 NJM326496:NJM326561 NTI326496:NTI326561 ODE326496:ODE326561 ONA326496:ONA326561 OWW326496:OWW326561 PGS326496:PGS326561 PQO326496:PQO326561 QAK326496:QAK326561 QKG326496:QKG326561 QUC326496:QUC326561 RDY326496:RDY326561 RNU326496:RNU326561 RXQ326496:RXQ326561 SHM326496:SHM326561 SRI326496:SRI326561 TBE326496:TBE326561 TLA326496:TLA326561 TUW326496:TUW326561 UES326496:UES326561 UOO326496:UOO326561 UYK326496:UYK326561 VIG326496:VIG326561 VSC326496:VSC326561 WBY326496:WBY326561 WLU326496:WLU326561 WVQ326496:WVQ326561 I392032:I392097 JE392032:JE392097 TA392032:TA392097 ACW392032:ACW392097 AMS392032:AMS392097 AWO392032:AWO392097 BGK392032:BGK392097 BQG392032:BQG392097 CAC392032:CAC392097 CJY392032:CJY392097 CTU392032:CTU392097 DDQ392032:DDQ392097 DNM392032:DNM392097 DXI392032:DXI392097 EHE392032:EHE392097 ERA392032:ERA392097 FAW392032:FAW392097 FKS392032:FKS392097 FUO392032:FUO392097 GEK392032:GEK392097 GOG392032:GOG392097 GYC392032:GYC392097 HHY392032:HHY392097 HRU392032:HRU392097 IBQ392032:IBQ392097 ILM392032:ILM392097 IVI392032:IVI392097 JFE392032:JFE392097 JPA392032:JPA392097 JYW392032:JYW392097 KIS392032:KIS392097 KSO392032:KSO392097 LCK392032:LCK392097 LMG392032:LMG392097 LWC392032:LWC392097 MFY392032:MFY392097 MPU392032:MPU392097 MZQ392032:MZQ392097 NJM392032:NJM392097 NTI392032:NTI392097 ODE392032:ODE392097 ONA392032:ONA392097 OWW392032:OWW392097 PGS392032:PGS392097 PQO392032:PQO392097 QAK392032:QAK392097 QKG392032:QKG392097 QUC392032:QUC392097 RDY392032:RDY392097 RNU392032:RNU392097 RXQ392032:RXQ392097 SHM392032:SHM392097 SRI392032:SRI392097 TBE392032:TBE392097 TLA392032:TLA392097 TUW392032:TUW392097 UES392032:UES392097 UOO392032:UOO392097 UYK392032:UYK392097 VIG392032:VIG392097 VSC392032:VSC392097 WBY392032:WBY392097 WLU392032:WLU392097 WVQ392032:WVQ392097 I457568:I457633 JE457568:JE457633 TA457568:TA457633 ACW457568:ACW457633 AMS457568:AMS457633 AWO457568:AWO457633 BGK457568:BGK457633 BQG457568:BQG457633 CAC457568:CAC457633 CJY457568:CJY457633 CTU457568:CTU457633 DDQ457568:DDQ457633 DNM457568:DNM457633 DXI457568:DXI457633 EHE457568:EHE457633 ERA457568:ERA457633 FAW457568:FAW457633 FKS457568:FKS457633 FUO457568:FUO457633 GEK457568:GEK457633 GOG457568:GOG457633 GYC457568:GYC457633 HHY457568:HHY457633 HRU457568:HRU457633 IBQ457568:IBQ457633 ILM457568:ILM457633 IVI457568:IVI457633 JFE457568:JFE457633 JPA457568:JPA457633 JYW457568:JYW457633 KIS457568:KIS457633 KSO457568:KSO457633 LCK457568:LCK457633 LMG457568:LMG457633 LWC457568:LWC457633 MFY457568:MFY457633 MPU457568:MPU457633 MZQ457568:MZQ457633 NJM457568:NJM457633 NTI457568:NTI457633 ODE457568:ODE457633 ONA457568:ONA457633 OWW457568:OWW457633 PGS457568:PGS457633 PQO457568:PQO457633 QAK457568:QAK457633 QKG457568:QKG457633 QUC457568:QUC457633 RDY457568:RDY457633 RNU457568:RNU457633 RXQ457568:RXQ457633 SHM457568:SHM457633 SRI457568:SRI457633 TBE457568:TBE457633 TLA457568:TLA457633 TUW457568:TUW457633 UES457568:UES457633 UOO457568:UOO457633 UYK457568:UYK457633 VIG457568:VIG457633 VSC457568:VSC457633 WBY457568:WBY457633 WLU457568:WLU457633 WVQ457568:WVQ457633 I523104:I523169 JE523104:JE523169 TA523104:TA523169 ACW523104:ACW523169 AMS523104:AMS523169 AWO523104:AWO523169 BGK523104:BGK523169 BQG523104:BQG523169 CAC523104:CAC523169 CJY523104:CJY523169 CTU523104:CTU523169 DDQ523104:DDQ523169 DNM523104:DNM523169 DXI523104:DXI523169 EHE523104:EHE523169 ERA523104:ERA523169 FAW523104:FAW523169 FKS523104:FKS523169 FUO523104:FUO523169 GEK523104:GEK523169 GOG523104:GOG523169 GYC523104:GYC523169 HHY523104:HHY523169 HRU523104:HRU523169 IBQ523104:IBQ523169 ILM523104:ILM523169 IVI523104:IVI523169 JFE523104:JFE523169 JPA523104:JPA523169 JYW523104:JYW523169 KIS523104:KIS523169 KSO523104:KSO523169 LCK523104:LCK523169 LMG523104:LMG523169 LWC523104:LWC523169 MFY523104:MFY523169 MPU523104:MPU523169 MZQ523104:MZQ523169 NJM523104:NJM523169 NTI523104:NTI523169 ODE523104:ODE523169 ONA523104:ONA523169 OWW523104:OWW523169 PGS523104:PGS523169 PQO523104:PQO523169 QAK523104:QAK523169 QKG523104:QKG523169 QUC523104:QUC523169 RDY523104:RDY523169 RNU523104:RNU523169 RXQ523104:RXQ523169 SHM523104:SHM523169 SRI523104:SRI523169 TBE523104:TBE523169 TLA523104:TLA523169 TUW523104:TUW523169 UES523104:UES523169 UOO523104:UOO523169 UYK523104:UYK523169 VIG523104:VIG523169 VSC523104:VSC523169 WBY523104:WBY523169 WLU523104:WLU523169 WVQ523104:WVQ523169 I588640:I588705 JE588640:JE588705 TA588640:TA588705 ACW588640:ACW588705 AMS588640:AMS588705 AWO588640:AWO588705 BGK588640:BGK588705 BQG588640:BQG588705 CAC588640:CAC588705 CJY588640:CJY588705 CTU588640:CTU588705 DDQ588640:DDQ588705 DNM588640:DNM588705 DXI588640:DXI588705 EHE588640:EHE588705 ERA588640:ERA588705 FAW588640:FAW588705 FKS588640:FKS588705 FUO588640:FUO588705 GEK588640:GEK588705 GOG588640:GOG588705 GYC588640:GYC588705 HHY588640:HHY588705 HRU588640:HRU588705 IBQ588640:IBQ588705 ILM588640:ILM588705 IVI588640:IVI588705 JFE588640:JFE588705 JPA588640:JPA588705 JYW588640:JYW588705 KIS588640:KIS588705 KSO588640:KSO588705 LCK588640:LCK588705 LMG588640:LMG588705 LWC588640:LWC588705 MFY588640:MFY588705 MPU588640:MPU588705 MZQ588640:MZQ588705 NJM588640:NJM588705 NTI588640:NTI588705 ODE588640:ODE588705 ONA588640:ONA588705 OWW588640:OWW588705 PGS588640:PGS588705 PQO588640:PQO588705 QAK588640:QAK588705 QKG588640:QKG588705 QUC588640:QUC588705 RDY588640:RDY588705 RNU588640:RNU588705 RXQ588640:RXQ588705 SHM588640:SHM588705 SRI588640:SRI588705 TBE588640:TBE588705 TLA588640:TLA588705 TUW588640:TUW588705 UES588640:UES588705 UOO588640:UOO588705 UYK588640:UYK588705 VIG588640:VIG588705 VSC588640:VSC588705 WBY588640:WBY588705 WLU588640:WLU588705 WVQ588640:WVQ588705 I654176:I654241 JE654176:JE654241 TA654176:TA654241 ACW654176:ACW654241 AMS654176:AMS654241 AWO654176:AWO654241 BGK654176:BGK654241 BQG654176:BQG654241 CAC654176:CAC654241 CJY654176:CJY654241 CTU654176:CTU654241 DDQ654176:DDQ654241 DNM654176:DNM654241 DXI654176:DXI654241 EHE654176:EHE654241 ERA654176:ERA654241 FAW654176:FAW654241 FKS654176:FKS654241 FUO654176:FUO654241 GEK654176:GEK654241 GOG654176:GOG654241 GYC654176:GYC654241 HHY654176:HHY654241 HRU654176:HRU654241 IBQ654176:IBQ654241 ILM654176:ILM654241 IVI654176:IVI654241 JFE654176:JFE654241 JPA654176:JPA654241 JYW654176:JYW654241 KIS654176:KIS654241 KSO654176:KSO654241 LCK654176:LCK654241 LMG654176:LMG654241 LWC654176:LWC654241 MFY654176:MFY654241 MPU654176:MPU654241 MZQ654176:MZQ654241 NJM654176:NJM654241 NTI654176:NTI654241 ODE654176:ODE654241 ONA654176:ONA654241 OWW654176:OWW654241 PGS654176:PGS654241 PQO654176:PQO654241 QAK654176:QAK654241 QKG654176:QKG654241 QUC654176:QUC654241 RDY654176:RDY654241 RNU654176:RNU654241 RXQ654176:RXQ654241 SHM654176:SHM654241 SRI654176:SRI654241 TBE654176:TBE654241 TLA654176:TLA654241 TUW654176:TUW654241 UES654176:UES654241 UOO654176:UOO654241 UYK654176:UYK654241 VIG654176:VIG654241 VSC654176:VSC654241 WBY654176:WBY654241 WLU654176:WLU654241 WVQ654176:WVQ654241 I719712:I719777 JE719712:JE719777 TA719712:TA719777 ACW719712:ACW719777 AMS719712:AMS719777 AWO719712:AWO719777 BGK719712:BGK719777 BQG719712:BQG719777 CAC719712:CAC719777 CJY719712:CJY719777 CTU719712:CTU719777 DDQ719712:DDQ719777 DNM719712:DNM719777 DXI719712:DXI719777 EHE719712:EHE719777 ERA719712:ERA719777 FAW719712:FAW719777 FKS719712:FKS719777 FUO719712:FUO719777 GEK719712:GEK719777 GOG719712:GOG719777 GYC719712:GYC719777 HHY719712:HHY719777 HRU719712:HRU719777 IBQ719712:IBQ719777 ILM719712:ILM719777 IVI719712:IVI719777 JFE719712:JFE719777 JPA719712:JPA719777 JYW719712:JYW719777 KIS719712:KIS719777 KSO719712:KSO719777 LCK719712:LCK719777 LMG719712:LMG719777 LWC719712:LWC719777 MFY719712:MFY719777 MPU719712:MPU719777 MZQ719712:MZQ719777 NJM719712:NJM719777 NTI719712:NTI719777 ODE719712:ODE719777 ONA719712:ONA719777 OWW719712:OWW719777 PGS719712:PGS719777 PQO719712:PQO719777 QAK719712:QAK719777 QKG719712:QKG719777 QUC719712:QUC719777 RDY719712:RDY719777 RNU719712:RNU719777 RXQ719712:RXQ719777 SHM719712:SHM719777 SRI719712:SRI719777 TBE719712:TBE719777 TLA719712:TLA719777 TUW719712:TUW719777 UES719712:UES719777 UOO719712:UOO719777 UYK719712:UYK719777 VIG719712:VIG719777 VSC719712:VSC719777 WBY719712:WBY719777 WLU719712:WLU719777 WVQ719712:WVQ719777 I785248:I785313 JE785248:JE785313 TA785248:TA785313 ACW785248:ACW785313 AMS785248:AMS785313 AWO785248:AWO785313 BGK785248:BGK785313 BQG785248:BQG785313 CAC785248:CAC785313 CJY785248:CJY785313 CTU785248:CTU785313 DDQ785248:DDQ785313 DNM785248:DNM785313 DXI785248:DXI785313 EHE785248:EHE785313 ERA785248:ERA785313 FAW785248:FAW785313 FKS785248:FKS785313 FUO785248:FUO785313 GEK785248:GEK785313 GOG785248:GOG785313 GYC785248:GYC785313 HHY785248:HHY785313 HRU785248:HRU785313 IBQ785248:IBQ785313 ILM785248:ILM785313 IVI785248:IVI785313 JFE785248:JFE785313 JPA785248:JPA785313 JYW785248:JYW785313 KIS785248:KIS785313 KSO785248:KSO785313 LCK785248:LCK785313 LMG785248:LMG785313 LWC785248:LWC785313 MFY785248:MFY785313 MPU785248:MPU785313 MZQ785248:MZQ785313 NJM785248:NJM785313 NTI785248:NTI785313 ODE785248:ODE785313 ONA785248:ONA785313 OWW785248:OWW785313 PGS785248:PGS785313 PQO785248:PQO785313 QAK785248:QAK785313 QKG785248:QKG785313 QUC785248:QUC785313 RDY785248:RDY785313 RNU785248:RNU785313 RXQ785248:RXQ785313 SHM785248:SHM785313 SRI785248:SRI785313 TBE785248:TBE785313 TLA785248:TLA785313 TUW785248:TUW785313 UES785248:UES785313 UOO785248:UOO785313 UYK785248:UYK785313 VIG785248:VIG785313 VSC785248:VSC785313 WBY785248:WBY785313 WLU785248:WLU785313 WVQ785248:WVQ785313 I850784:I850849 JE850784:JE850849 TA850784:TA850849 ACW850784:ACW850849 AMS850784:AMS850849 AWO850784:AWO850849 BGK850784:BGK850849 BQG850784:BQG850849 CAC850784:CAC850849 CJY850784:CJY850849 CTU850784:CTU850849 DDQ850784:DDQ850849 DNM850784:DNM850849 DXI850784:DXI850849 EHE850784:EHE850849 ERA850784:ERA850849 FAW850784:FAW850849 FKS850784:FKS850849 FUO850784:FUO850849 GEK850784:GEK850849 GOG850784:GOG850849 GYC850784:GYC850849 HHY850784:HHY850849 HRU850784:HRU850849 IBQ850784:IBQ850849 ILM850784:ILM850849 IVI850784:IVI850849 JFE850784:JFE850849 JPA850784:JPA850849 JYW850784:JYW850849 KIS850784:KIS850849 KSO850784:KSO850849 LCK850784:LCK850849 LMG850784:LMG850849 LWC850784:LWC850849 MFY850784:MFY850849 MPU850784:MPU850849 MZQ850784:MZQ850849 NJM850784:NJM850849 NTI850784:NTI850849 ODE850784:ODE850849 ONA850784:ONA850849 OWW850784:OWW850849 PGS850784:PGS850849 PQO850784:PQO850849 QAK850784:QAK850849 QKG850784:QKG850849 QUC850784:QUC850849 RDY850784:RDY850849 RNU850784:RNU850849 RXQ850784:RXQ850849 SHM850784:SHM850849 SRI850784:SRI850849 TBE850784:TBE850849 TLA850784:TLA850849 TUW850784:TUW850849 UES850784:UES850849 UOO850784:UOO850849 UYK850784:UYK850849 VIG850784:VIG850849 VSC850784:VSC850849 WBY850784:WBY850849 WLU850784:WLU850849 WVQ850784:WVQ850849 I916320:I916385 JE916320:JE916385 TA916320:TA916385 ACW916320:ACW916385 AMS916320:AMS916385 AWO916320:AWO916385 BGK916320:BGK916385 BQG916320:BQG916385 CAC916320:CAC916385 CJY916320:CJY916385 CTU916320:CTU916385 DDQ916320:DDQ916385 DNM916320:DNM916385 DXI916320:DXI916385 EHE916320:EHE916385 ERA916320:ERA916385 FAW916320:FAW916385 FKS916320:FKS916385 FUO916320:FUO916385 GEK916320:GEK916385 GOG916320:GOG916385 GYC916320:GYC916385 HHY916320:HHY916385 HRU916320:HRU916385 IBQ916320:IBQ916385 ILM916320:ILM916385 IVI916320:IVI916385 JFE916320:JFE916385 JPA916320:JPA916385 JYW916320:JYW916385 KIS916320:KIS916385 KSO916320:KSO916385 LCK916320:LCK916385 LMG916320:LMG916385 LWC916320:LWC916385 MFY916320:MFY916385 MPU916320:MPU916385 MZQ916320:MZQ916385 NJM916320:NJM916385 NTI916320:NTI916385 ODE916320:ODE916385 ONA916320:ONA916385 OWW916320:OWW916385 PGS916320:PGS916385 PQO916320:PQO916385 QAK916320:QAK916385 QKG916320:QKG916385 QUC916320:QUC916385 RDY916320:RDY916385 RNU916320:RNU916385 RXQ916320:RXQ916385 SHM916320:SHM916385 SRI916320:SRI916385 TBE916320:TBE916385 TLA916320:TLA916385 TUW916320:TUW916385 UES916320:UES916385 UOO916320:UOO916385 UYK916320:UYK916385 VIG916320:VIG916385 VSC916320:VSC916385 WBY916320:WBY916385 WLU916320:WLU916385 WVQ916320:WVQ916385 I981856:I981921 JE981856:JE981921 TA981856:TA981921 ACW981856:ACW981921 AMS981856:AMS981921 AWO981856:AWO981921 BGK981856:BGK981921 BQG981856:BQG981921 CAC981856:CAC981921 CJY981856:CJY981921 CTU981856:CTU981921 DDQ981856:DDQ981921 DNM981856:DNM981921 DXI981856:DXI981921 EHE981856:EHE981921 ERA981856:ERA981921 FAW981856:FAW981921 FKS981856:FKS981921 FUO981856:FUO981921 GEK981856:GEK981921 GOG981856:GOG981921 GYC981856:GYC981921 HHY981856:HHY981921 HRU981856:HRU981921 IBQ981856:IBQ981921 ILM981856:ILM981921 IVI981856:IVI981921 JFE981856:JFE981921 JPA981856:JPA981921 JYW981856:JYW981921 KIS981856:KIS981921 KSO981856:KSO981921 LCK981856:LCK981921 LMG981856:LMG981921 LWC981856:LWC981921 MFY981856:MFY981921 MPU981856:MPU981921 MZQ981856:MZQ981921 NJM981856:NJM981921 NTI981856:NTI981921 ODE981856:ODE981921 ONA981856:ONA981921 OWW981856:OWW981921 PGS981856:PGS981921 PQO981856:PQO981921 QAK981856:QAK981921 QKG981856:QKG981921 QUC981856:QUC981921 RDY981856:RDY981921 RNU981856:RNU981921 RXQ981856:RXQ981921 SHM981856:SHM981921 SRI981856:SRI981921 TBE981856:TBE981921 TLA981856:TLA981921 TUW981856:TUW981921 UES981856:UES981921 UOO981856:UOO981921 UYK981856:UYK981921 VIG981856:VIG981921 VSC981856:VSC981921 WBY981856:WBY981921 WLU981856:WLU981921 WVQ981856:WVQ981921 I1047392:I1047457 JE1047392:JE1047457 TA1047392:TA1047457 ACW1047392:ACW1047457 AMS1047392:AMS1047457 AWO1047392:AWO1047457 BGK1047392:BGK1047457 BQG1047392:BQG1047457 CAC1047392:CAC1047457 CJY1047392:CJY1047457 CTU1047392:CTU1047457 DDQ1047392:DDQ1047457 DNM1047392:DNM1047457 DXI1047392:DXI1047457 EHE1047392:EHE1047457 ERA1047392:ERA1047457 FAW1047392:FAW1047457 FKS1047392:FKS1047457 FUO1047392:FUO1047457 GEK1047392:GEK1047457 GOG1047392:GOG1047457 GYC1047392:GYC1047457 HHY1047392:HHY1047457 HRU1047392:HRU1047457 IBQ1047392:IBQ1047457 ILM1047392:ILM1047457 IVI1047392:IVI1047457 JFE1047392:JFE1047457 JPA1047392:JPA1047457 JYW1047392:JYW1047457 KIS1047392:KIS1047457 KSO1047392:KSO1047457 LCK1047392:LCK1047457 LMG1047392:LMG1047457 LWC1047392:LWC1047457 MFY1047392:MFY1047457 MPU1047392:MPU1047457 MZQ1047392:MZQ1047457 NJM1047392:NJM1047457 NTI1047392:NTI1047457 ODE1047392:ODE1047457 ONA1047392:ONA1047457 OWW1047392:OWW1047457 PGS1047392:PGS1047457 PQO1047392:PQO1047457 QAK1047392:QAK1047457 QKG1047392:QKG1047457 QUC1047392:QUC1047457 RDY1047392:RDY1047457 RNU1047392:RNU1047457 RXQ1047392:RXQ1047457 SHM1047392:SHM1047457 SRI1047392:SRI1047457 TBE1047392:TBE1047457 TLA1047392:TLA1047457 TUW1047392:TUW1047457 UES1047392:UES1047457 UOO1047392:UOO1047457 UYK1047392:UYK1047457 VIG1047392:VIG1047457 VSC1047392:VSC1047457 WBY1047392:WBY1047457 WLU1047392:WLU1047457 WVQ1047392:WVQ1047457 WVQ983031:WVQ983096 I65527:I65592 JE65527:JE65592 TA65527:TA65592 ACW65527:ACW65592 AMS65527:AMS65592 AWO65527:AWO65592 BGK65527:BGK65592 BQG65527:BQG65592 CAC65527:CAC65592 CJY65527:CJY65592 CTU65527:CTU65592 DDQ65527:DDQ65592 DNM65527:DNM65592 DXI65527:DXI65592 EHE65527:EHE65592 ERA65527:ERA65592 FAW65527:FAW65592 FKS65527:FKS65592 FUO65527:FUO65592 GEK65527:GEK65592 GOG65527:GOG65592 GYC65527:GYC65592 HHY65527:HHY65592 HRU65527:HRU65592 IBQ65527:IBQ65592 ILM65527:ILM65592 IVI65527:IVI65592 JFE65527:JFE65592 JPA65527:JPA65592 JYW65527:JYW65592 KIS65527:KIS65592 KSO65527:KSO65592 LCK65527:LCK65592 LMG65527:LMG65592 LWC65527:LWC65592 MFY65527:MFY65592 MPU65527:MPU65592 MZQ65527:MZQ65592 NJM65527:NJM65592 NTI65527:NTI65592 ODE65527:ODE65592 ONA65527:ONA65592 OWW65527:OWW65592 PGS65527:PGS65592 PQO65527:PQO65592 QAK65527:QAK65592 QKG65527:QKG65592 QUC65527:QUC65592 RDY65527:RDY65592 RNU65527:RNU65592 RXQ65527:RXQ65592 SHM65527:SHM65592 SRI65527:SRI65592 TBE65527:TBE65592 TLA65527:TLA65592 TUW65527:TUW65592 UES65527:UES65592 UOO65527:UOO65592 UYK65527:UYK65592 VIG65527:VIG65592 VSC65527:VSC65592 WBY65527:WBY65592 WLU65527:WLU65592 WVQ65527:WVQ65592 I131063:I131128 JE131063:JE131128 TA131063:TA131128 ACW131063:ACW131128 AMS131063:AMS131128 AWO131063:AWO131128 BGK131063:BGK131128 BQG131063:BQG131128 CAC131063:CAC131128 CJY131063:CJY131128 CTU131063:CTU131128 DDQ131063:DDQ131128 DNM131063:DNM131128 DXI131063:DXI131128 EHE131063:EHE131128 ERA131063:ERA131128 FAW131063:FAW131128 FKS131063:FKS131128 FUO131063:FUO131128 GEK131063:GEK131128 GOG131063:GOG131128 GYC131063:GYC131128 HHY131063:HHY131128 HRU131063:HRU131128 IBQ131063:IBQ131128 ILM131063:ILM131128 IVI131063:IVI131128 JFE131063:JFE131128 JPA131063:JPA131128 JYW131063:JYW131128 KIS131063:KIS131128 KSO131063:KSO131128 LCK131063:LCK131128 LMG131063:LMG131128 LWC131063:LWC131128 MFY131063:MFY131128 MPU131063:MPU131128 MZQ131063:MZQ131128 NJM131063:NJM131128 NTI131063:NTI131128 ODE131063:ODE131128 ONA131063:ONA131128 OWW131063:OWW131128 PGS131063:PGS131128 PQO131063:PQO131128 QAK131063:QAK131128 QKG131063:QKG131128 QUC131063:QUC131128 RDY131063:RDY131128 RNU131063:RNU131128 RXQ131063:RXQ131128 SHM131063:SHM131128 SRI131063:SRI131128 TBE131063:TBE131128 TLA131063:TLA131128 TUW131063:TUW131128 UES131063:UES131128 UOO131063:UOO131128 UYK131063:UYK131128 VIG131063:VIG131128 VSC131063:VSC131128 WBY131063:WBY131128 WLU131063:WLU131128 WVQ131063:WVQ131128 I196599:I196664 JE196599:JE196664 TA196599:TA196664 ACW196599:ACW196664 AMS196599:AMS196664 AWO196599:AWO196664 BGK196599:BGK196664 BQG196599:BQG196664 CAC196599:CAC196664 CJY196599:CJY196664 CTU196599:CTU196664 DDQ196599:DDQ196664 DNM196599:DNM196664 DXI196599:DXI196664 EHE196599:EHE196664 ERA196599:ERA196664 FAW196599:FAW196664 FKS196599:FKS196664 FUO196599:FUO196664 GEK196599:GEK196664 GOG196599:GOG196664 GYC196599:GYC196664 HHY196599:HHY196664 HRU196599:HRU196664 IBQ196599:IBQ196664 ILM196599:ILM196664 IVI196599:IVI196664 JFE196599:JFE196664 JPA196599:JPA196664 JYW196599:JYW196664 KIS196599:KIS196664 KSO196599:KSO196664 LCK196599:LCK196664 LMG196599:LMG196664 LWC196599:LWC196664 MFY196599:MFY196664 MPU196599:MPU196664 MZQ196599:MZQ196664 NJM196599:NJM196664 NTI196599:NTI196664 ODE196599:ODE196664 ONA196599:ONA196664 OWW196599:OWW196664 PGS196599:PGS196664 PQO196599:PQO196664 QAK196599:QAK196664 QKG196599:QKG196664 QUC196599:QUC196664 RDY196599:RDY196664 RNU196599:RNU196664 RXQ196599:RXQ196664 SHM196599:SHM196664 SRI196599:SRI196664 TBE196599:TBE196664 TLA196599:TLA196664 TUW196599:TUW196664 UES196599:UES196664 UOO196599:UOO196664 UYK196599:UYK196664 VIG196599:VIG196664 VSC196599:VSC196664 WBY196599:WBY196664 WLU196599:WLU196664 WVQ196599:WVQ196664 I262135:I262200 JE262135:JE262200 TA262135:TA262200 ACW262135:ACW262200 AMS262135:AMS262200 AWO262135:AWO262200 BGK262135:BGK262200 BQG262135:BQG262200 CAC262135:CAC262200 CJY262135:CJY262200 CTU262135:CTU262200 DDQ262135:DDQ262200 DNM262135:DNM262200 DXI262135:DXI262200 EHE262135:EHE262200 ERA262135:ERA262200 FAW262135:FAW262200 FKS262135:FKS262200 FUO262135:FUO262200 GEK262135:GEK262200 GOG262135:GOG262200 GYC262135:GYC262200 HHY262135:HHY262200 HRU262135:HRU262200 IBQ262135:IBQ262200 ILM262135:ILM262200 IVI262135:IVI262200 JFE262135:JFE262200 JPA262135:JPA262200 JYW262135:JYW262200 KIS262135:KIS262200 KSO262135:KSO262200 LCK262135:LCK262200 LMG262135:LMG262200 LWC262135:LWC262200 MFY262135:MFY262200 MPU262135:MPU262200 MZQ262135:MZQ262200 NJM262135:NJM262200 NTI262135:NTI262200 ODE262135:ODE262200 ONA262135:ONA262200 OWW262135:OWW262200 PGS262135:PGS262200 PQO262135:PQO262200 QAK262135:QAK262200 QKG262135:QKG262200 QUC262135:QUC262200 RDY262135:RDY262200 RNU262135:RNU262200 RXQ262135:RXQ262200 SHM262135:SHM262200 SRI262135:SRI262200 TBE262135:TBE262200 TLA262135:TLA262200 TUW262135:TUW262200 UES262135:UES262200 UOO262135:UOO262200 UYK262135:UYK262200 VIG262135:VIG262200 VSC262135:VSC262200 WBY262135:WBY262200 WLU262135:WLU262200 WVQ262135:WVQ262200 I327671:I327736 JE327671:JE327736 TA327671:TA327736 ACW327671:ACW327736 AMS327671:AMS327736 AWO327671:AWO327736 BGK327671:BGK327736 BQG327671:BQG327736 CAC327671:CAC327736 CJY327671:CJY327736 CTU327671:CTU327736 DDQ327671:DDQ327736 DNM327671:DNM327736 DXI327671:DXI327736 EHE327671:EHE327736 ERA327671:ERA327736 FAW327671:FAW327736 FKS327671:FKS327736 FUO327671:FUO327736 GEK327671:GEK327736 GOG327671:GOG327736 GYC327671:GYC327736 HHY327671:HHY327736 HRU327671:HRU327736 IBQ327671:IBQ327736 ILM327671:ILM327736 IVI327671:IVI327736 JFE327671:JFE327736 JPA327671:JPA327736 JYW327671:JYW327736 KIS327671:KIS327736 KSO327671:KSO327736 LCK327671:LCK327736 LMG327671:LMG327736 LWC327671:LWC327736 MFY327671:MFY327736 MPU327671:MPU327736 MZQ327671:MZQ327736 NJM327671:NJM327736 NTI327671:NTI327736 ODE327671:ODE327736 ONA327671:ONA327736 OWW327671:OWW327736 PGS327671:PGS327736 PQO327671:PQO327736 QAK327671:QAK327736 QKG327671:QKG327736 QUC327671:QUC327736 RDY327671:RDY327736 RNU327671:RNU327736 RXQ327671:RXQ327736 SHM327671:SHM327736 SRI327671:SRI327736 TBE327671:TBE327736 TLA327671:TLA327736 TUW327671:TUW327736 UES327671:UES327736 UOO327671:UOO327736 UYK327671:UYK327736 VIG327671:VIG327736 VSC327671:VSC327736 WBY327671:WBY327736 WLU327671:WLU327736 WVQ327671:WVQ327736 I393207:I393272 JE393207:JE393272 TA393207:TA393272 ACW393207:ACW393272 AMS393207:AMS393272 AWO393207:AWO393272 BGK393207:BGK393272 BQG393207:BQG393272 CAC393207:CAC393272 CJY393207:CJY393272 CTU393207:CTU393272 DDQ393207:DDQ393272 DNM393207:DNM393272 DXI393207:DXI393272 EHE393207:EHE393272 ERA393207:ERA393272 FAW393207:FAW393272 FKS393207:FKS393272 FUO393207:FUO393272 GEK393207:GEK393272 GOG393207:GOG393272 GYC393207:GYC393272 HHY393207:HHY393272 HRU393207:HRU393272 IBQ393207:IBQ393272 ILM393207:ILM393272 IVI393207:IVI393272 JFE393207:JFE393272 JPA393207:JPA393272 JYW393207:JYW393272 KIS393207:KIS393272 KSO393207:KSO393272 LCK393207:LCK393272 LMG393207:LMG393272 LWC393207:LWC393272 MFY393207:MFY393272 MPU393207:MPU393272 MZQ393207:MZQ393272 NJM393207:NJM393272 NTI393207:NTI393272 ODE393207:ODE393272 ONA393207:ONA393272 OWW393207:OWW393272 PGS393207:PGS393272 PQO393207:PQO393272 QAK393207:QAK393272 QKG393207:QKG393272 QUC393207:QUC393272 RDY393207:RDY393272 RNU393207:RNU393272 RXQ393207:RXQ393272 SHM393207:SHM393272 SRI393207:SRI393272 TBE393207:TBE393272 TLA393207:TLA393272 TUW393207:TUW393272 UES393207:UES393272 UOO393207:UOO393272 UYK393207:UYK393272 VIG393207:VIG393272 VSC393207:VSC393272 WBY393207:WBY393272 WLU393207:WLU393272 WVQ393207:WVQ393272 I458743:I458808 JE458743:JE458808 TA458743:TA458808 ACW458743:ACW458808 AMS458743:AMS458808 AWO458743:AWO458808 BGK458743:BGK458808 BQG458743:BQG458808 CAC458743:CAC458808 CJY458743:CJY458808 CTU458743:CTU458808 DDQ458743:DDQ458808 DNM458743:DNM458808 DXI458743:DXI458808 EHE458743:EHE458808 ERA458743:ERA458808 FAW458743:FAW458808 FKS458743:FKS458808 FUO458743:FUO458808 GEK458743:GEK458808 GOG458743:GOG458808 GYC458743:GYC458808 HHY458743:HHY458808 HRU458743:HRU458808 IBQ458743:IBQ458808 ILM458743:ILM458808 IVI458743:IVI458808 JFE458743:JFE458808 JPA458743:JPA458808 JYW458743:JYW458808 KIS458743:KIS458808 KSO458743:KSO458808 LCK458743:LCK458808 LMG458743:LMG458808 LWC458743:LWC458808 MFY458743:MFY458808 MPU458743:MPU458808 MZQ458743:MZQ458808 NJM458743:NJM458808 NTI458743:NTI458808 ODE458743:ODE458808 ONA458743:ONA458808 OWW458743:OWW458808 PGS458743:PGS458808 PQO458743:PQO458808 QAK458743:QAK458808 QKG458743:QKG458808 QUC458743:QUC458808 RDY458743:RDY458808 RNU458743:RNU458808 RXQ458743:RXQ458808 SHM458743:SHM458808 SRI458743:SRI458808 TBE458743:TBE458808 TLA458743:TLA458808 TUW458743:TUW458808 UES458743:UES458808 UOO458743:UOO458808 UYK458743:UYK458808 VIG458743:VIG458808 VSC458743:VSC458808 WBY458743:WBY458808 WLU458743:WLU458808 WVQ458743:WVQ458808 I524279:I524344 JE524279:JE524344 TA524279:TA524344 ACW524279:ACW524344 AMS524279:AMS524344 AWO524279:AWO524344 BGK524279:BGK524344 BQG524279:BQG524344 CAC524279:CAC524344 CJY524279:CJY524344 CTU524279:CTU524344 DDQ524279:DDQ524344 DNM524279:DNM524344 DXI524279:DXI524344 EHE524279:EHE524344 ERA524279:ERA524344 FAW524279:FAW524344 FKS524279:FKS524344 FUO524279:FUO524344 GEK524279:GEK524344 GOG524279:GOG524344 GYC524279:GYC524344 HHY524279:HHY524344 HRU524279:HRU524344 IBQ524279:IBQ524344 ILM524279:ILM524344 IVI524279:IVI524344 JFE524279:JFE524344 JPA524279:JPA524344 JYW524279:JYW524344 KIS524279:KIS524344 KSO524279:KSO524344 LCK524279:LCK524344 LMG524279:LMG524344 LWC524279:LWC524344 MFY524279:MFY524344 MPU524279:MPU524344 MZQ524279:MZQ524344 NJM524279:NJM524344 NTI524279:NTI524344 ODE524279:ODE524344 ONA524279:ONA524344 OWW524279:OWW524344 PGS524279:PGS524344 PQO524279:PQO524344 QAK524279:QAK524344 QKG524279:QKG524344 QUC524279:QUC524344 RDY524279:RDY524344 RNU524279:RNU524344 RXQ524279:RXQ524344 SHM524279:SHM524344 SRI524279:SRI524344 TBE524279:TBE524344 TLA524279:TLA524344 TUW524279:TUW524344 UES524279:UES524344 UOO524279:UOO524344 UYK524279:UYK524344 VIG524279:VIG524344 VSC524279:VSC524344 WBY524279:WBY524344 WLU524279:WLU524344 WVQ524279:WVQ524344 I589815:I589880 JE589815:JE589880 TA589815:TA589880 ACW589815:ACW589880 AMS589815:AMS589880 AWO589815:AWO589880 BGK589815:BGK589880 BQG589815:BQG589880 CAC589815:CAC589880 CJY589815:CJY589880 CTU589815:CTU589880 DDQ589815:DDQ589880 DNM589815:DNM589880 DXI589815:DXI589880 EHE589815:EHE589880 ERA589815:ERA589880 FAW589815:FAW589880 FKS589815:FKS589880 FUO589815:FUO589880 GEK589815:GEK589880 GOG589815:GOG589880 GYC589815:GYC589880 HHY589815:HHY589880 HRU589815:HRU589880 IBQ589815:IBQ589880 ILM589815:ILM589880 IVI589815:IVI589880 JFE589815:JFE589880 JPA589815:JPA589880 JYW589815:JYW589880 KIS589815:KIS589880 KSO589815:KSO589880 LCK589815:LCK589880 LMG589815:LMG589880 LWC589815:LWC589880 MFY589815:MFY589880 MPU589815:MPU589880 MZQ589815:MZQ589880 NJM589815:NJM589880 NTI589815:NTI589880 ODE589815:ODE589880 ONA589815:ONA589880 OWW589815:OWW589880 PGS589815:PGS589880 PQO589815:PQO589880 QAK589815:QAK589880 QKG589815:QKG589880 QUC589815:QUC589880 RDY589815:RDY589880 RNU589815:RNU589880 RXQ589815:RXQ589880 SHM589815:SHM589880 SRI589815:SRI589880 TBE589815:TBE589880 TLA589815:TLA589880 TUW589815:TUW589880 UES589815:UES589880 UOO589815:UOO589880 UYK589815:UYK589880 VIG589815:VIG589880 VSC589815:VSC589880 WBY589815:WBY589880 WLU589815:WLU589880 WVQ589815:WVQ589880 I655351:I655416 JE655351:JE655416 TA655351:TA655416 ACW655351:ACW655416 AMS655351:AMS655416 AWO655351:AWO655416 BGK655351:BGK655416 BQG655351:BQG655416 CAC655351:CAC655416 CJY655351:CJY655416 CTU655351:CTU655416 DDQ655351:DDQ655416 DNM655351:DNM655416 DXI655351:DXI655416 EHE655351:EHE655416 ERA655351:ERA655416 FAW655351:FAW655416 FKS655351:FKS655416 FUO655351:FUO655416 GEK655351:GEK655416 GOG655351:GOG655416 GYC655351:GYC655416 HHY655351:HHY655416 HRU655351:HRU655416 IBQ655351:IBQ655416 ILM655351:ILM655416 IVI655351:IVI655416 JFE655351:JFE655416 JPA655351:JPA655416 JYW655351:JYW655416 KIS655351:KIS655416 KSO655351:KSO655416 LCK655351:LCK655416 LMG655351:LMG655416 LWC655351:LWC655416 MFY655351:MFY655416 MPU655351:MPU655416 MZQ655351:MZQ655416 NJM655351:NJM655416 NTI655351:NTI655416 ODE655351:ODE655416 ONA655351:ONA655416 OWW655351:OWW655416 PGS655351:PGS655416 PQO655351:PQO655416 QAK655351:QAK655416 QKG655351:QKG655416 QUC655351:QUC655416 RDY655351:RDY655416 RNU655351:RNU655416 RXQ655351:RXQ655416 SHM655351:SHM655416 SRI655351:SRI655416 TBE655351:TBE655416 TLA655351:TLA655416 TUW655351:TUW655416 UES655351:UES655416 UOO655351:UOO655416 UYK655351:UYK655416 VIG655351:VIG655416 VSC655351:VSC655416 WBY655351:WBY655416 WLU655351:WLU655416 WVQ655351:WVQ655416 I720887:I720952 JE720887:JE720952 TA720887:TA720952 ACW720887:ACW720952 AMS720887:AMS720952 AWO720887:AWO720952 BGK720887:BGK720952 BQG720887:BQG720952 CAC720887:CAC720952 CJY720887:CJY720952 CTU720887:CTU720952 DDQ720887:DDQ720952 DNM720887:DNM720952 DXI720887:DXI720952 EHE720887:EHE720952 ERA720887:ERA720952 FAW720887:FAW720952 FKS720887:FKS720952 FUO720887:FUO720952 GEK720887:GEK720952 GOG720887:GOG720952 GYC720887:GYC720952 HHY720887:HHY720952 HRU720887:HRU720952 IBQ720887:IBQ720952 ILM720887:ILM720952 IVI720887:IVI720952 JFE720887:JFE720952 JPA720887:JPA720952 JYW720887:JYW720952 KIS720887:KIS720952 KSO720887:KSO720952 LCK720887:LCK720952 LMG720887:LMG720952 LWC720887:LWC720952 MFY720887:MFY720952 MPU720887:MPU720952 MZQ720887:MZQ720952 NJM720887:NJM720952 NTI720887:NTI720952 ODE720887:ODE720952 ONA720887:ONA720952 OWW720887:OWW720952 PGS720887:PGS720952 PQO720887:PQO720952 QAK720887:QAK720952 QKG720887:QKG720952 QUC720887:QUC720952 RDY720887:RDY720952 RNU720887:RNU720952 RXQ720887:RXQ720952 SHM720887:SHM720952 SRI720887:SRI720952 TBE720887:TBE720952 TLA720887:TLA720952 TUW720887:TUW720952 UES720887:UES720952 UOO720887:UOO720952 UYK720887:UYK720952 VIG720887:VIG720952 VSC720887:VSC720952 WBY720887:WBY720952 WLU720887:WLU720952 WVQ720887:WVQ720952 I786423:I786488 JE786423:JE786488 TA786423:TA786488 ACW786423:ACW786488 AMS786423:AMS786488 AWO786423:AWO786488 BGK786423:BGK786488 BQG786423:BQG786488 CAC786423:CAC786488 CJY786423:CJY786488 CTU786423:CTU786488 DDQ786423:DDQ786488 DNM786423:DNM786488 DXI786423:DXI786488 EHE786423:EHE786488 ERA786423:ERA786488 FAW786423:FAW786488 FKS786423:FKS786488 FUO786423:FUO786488 GEK786423:GEK786488 GOG786423:GOG786488 GYC786423:GYC786488 HHY786423:HHY786488 HRU786423:HRU786488 IBQ786423:IBQ786488 ILM786423:ILM786488 IVI786423:IVI786488 JFE786423:JFE786488 JPA786423:JPA786488 JYW786423:JYW786488 KIS786423:KIS786488 KSO786423:KSO786488 LCK786423:LCK786488 LMG786423:LMG786488 LWC786423:LWC786488 MFY786423:MFY786488 MPU786423:MPU786488 MZQ786423:MZQ786488 NJM786423:NJM786488 NTI786423:NTI786488 ODE786423:ODE786488 ONA786423:ONA786488 OWW786423:OWW786488 PGS786423:PGS786488 PQO786423:PQO786488 QAK786423:QAK786488 QKG786423:QKG786488 QUC786423:QUC786488 RDY786423:RDY786488 RNU786423:RNU786488 RXQ786423:RXQ786488 SHM786423:SHM786488 SRI786423:SRI786488 TBE786423:TBE786488 TLA786423:TLA786488 TUW786423:TUW786488 UES786423:UES786488 UOO786423:UOO786488 UYK786423:UYK786488 VIG786423:VIG786488 VSC786423:VSC786488 WBY786423:WBY786488 WLU786423:WLU786488 WVQ786423:WVQ786488 I851959:I852024 JE851959:JE852024 TA851959:TA852024 ACW851959:ACW852024 AMS851959:AMS852024 AWO851959:AWO852024 BGK851959:BGK852024 BQG851959:BQG852024 CAC851959:CAC852024 CJY851959:CJY852024 CTU851959:CTU852024 DDQ851959:DDQ852024 DNM851959:DNM852024 DXI851959:DXI852024 EHE851959:EHE852024 ERA851959:ERA852024 FAW851959:FAW852024 FKS851959:FKS852024 FUO851959:FUO852024 GEK851959:GEK852024 GOG851959:GOG852024 GYC851959:GYC852024 HHY851959:HHY852024 HRU851959:HRU852024 IBQ851959:IBQ852024 ILM851959:ILM852024 IVI851959:IVI852024 JFE851959:JFE852024 JPA851959:JPA852024 JYW851959:JYW852024 KIS851959:KIS852024 KSO851959:KSO852024 LCK851959:LCK852024 LMG851959:LMG852024 LWC851959:LWC852024 MFY851959:MFY852024 MPU851959:MPU852024 MZQ851959:MZQ852024 NJM851959:NJM852024 NTI851959:NTI852024 ODE851959:ODE852024 ONA851959:ONA852024 OWW851959:OWW852024 PGS851959:PGS852024 PQO851959:PQO852024 QAK851959:QAK852024 QKG851959:QKG852024 QUC851959:QUC852024 RDY851959:RDY852024 RNU851959:RNU852024 RXQ851959:RXQ852024 SHM851959:SHM852024 SRI851959:SRI852024 TBE851959:TBE852024 TLA851959:TLA852024 TUW851959:TUW852024 UES851959:UES852024 UOO851959:UOO852024 UYK851959:UYK852024 VIG851959:VIG852024 VSC851959:VSC852024 WBY851959:WBY852024 WLU851959:WLU852024 WVQ851959:WVQ852024 I917495:I917560 JE917495:JE917560 TA917495:TA917560 ACW917495:ACW917560 AMS917495:AMS917560 AWO917495:AWO917560 BGK917495:BGK917560 BQG917495:BQG917560 CAC917495:CAC917560 CJY917495:CJY917560 CTU917495:CTU917560 DDQ917495:DDQ917560 DNM917495:DNM917560 DXI917495:DXI917560 EHE917495:EHE917560 ERA917495:ERA917560 FAW917495:FAW917560 FKS917495:FKS917560 FUO917495:FUO917560 GEK917495:GEK917560 GOG917495:GOG917560 GYC917495:GYC917560 HHY917495:HHY917560 HRU917495:HRU917560 IBQ917495:IBQ917560 ILM917495:ILM917560 IVI917495:IVI917560 JFE917495:JFE917560 JPA917495:JPA917560 JYW917495:JYW917560 KIS917495:KIS917560 KSO917495:KSO917560 LCK917495:LCK917560 LMG917495:LMG917560 LWC917495:LWC917560 MFY917495:MFY917560 MPU917495:MPU917560 MZQ917495:MZQ917560 NJM917495:NJM917560 NTI917495:NTI917560 ODE917495:ODE917560 ONA917495:ONA917560 OWW917495:OWW917560 PGS917495:PGS917560 PQO917495:PQO917560 QAK917495:QAK917560 QKG917495:QKG917560 QUC917495:QUC917560 RDY917495:RDY917560 RNU917495:RNU917560 RXQ917495:RXQ917560 SHM917495:SHM917560 SRI917495:SRI917560 TBE917495:TBE917560 TLA917495:TLA917560 TUW917495:TUW917560 UES917495:UES917560 UOO917495:UOO917560 UYK917495:UYK917560 VIG917495:VIG917560 VSC917495:VSC917560 WBY917495:WBY917560 WLU917495:WLU917560 WVQ917495:WVQ917560 I983031:I983096 JE983031:JE983096 TA983031:TA983096 ACW983031:ACW983096 AMS983031:AMS983096 AWO983031:AWO983096 BGK983031:BGK983096 BQG983031:BQG983096 CAC983031:CAC983096 CJY983031:CJY983096 CTU983031:CTU983096 DDQ983031:DDQ983096 DNM983031:DNM983096 DXI983031:DXI983096 EHE983031:EHE983096 ERA983031:ERA983096 FAW983031:FAW983096 FKS983031:FKS983096 FUO983031:FUO983096 GEK983031:GEK983096 GOG983031:GOG983096 GYC983031:GYC983096 HHY983031:HHY983096 HRU983031:HRU983096 IBQ983031:IBQ983096 ILM983031:ILM983096 IVI983031:IVI983096 JFE983031:JFE983096 JPA983031:JPA983096 JYW983031:JYW983096 KIS983031:KIS983096 KSO983031:KSO983096 LCK983031:LCK983096 LMG983031:LMG983096 LWC983031:LWC983096 MFY983031:MFY983096 MPU983031:MPU983096 MZQ983031:MZQ983096 NJM983031:NJM983096 NTI983031:NTI983096 ODE983031:ODE983096 ONA983031:ONA983096 OWW983031:OWW983096 PGS983031:PGS983096 PQO983031:PQO983096 QAK983031:QAK983096 QKG983031:QKG983096 QUC983031:QUC983096 RDY983031:RDY983096 RNU983031:RNU983096 RXQ983031:RXQ983096 SHM983031:SHM983096 SRI983031:SRI983096 TBE983031:TBE983096 TLA983031:TLA983096 TUW983031:TUW983096 UES983031:UES983096 UOO983031:UOO983096 UYK983031:UYK983096 VIG983031:VIG983096 VSC983031:VSC983096 WBY983031:WBY983096 WLU983031:WLU983096 JE2:JE59 WVQ2:WVQ59 WLU2:WLU59 WBY2:WBY59 VSC2:VSC59 VIG2:VIG59 UYK2:UYK59 UOO2:UOO59 UES2:UES59 TUW2:TUW59 TLA2:TLA59 TBE2:TBE59 SRI2:SRI59 SHM2:SHM59 RXQ2:RXQ59 RNU2:RNU59 RDY2:RDY59 QUC2:QUC59 QKG2:QKG59 QAK2:QAK59 PQO2:PQO59 PGS2:PGS59 OWW2:OWW59 ONA2:ONA59 ODE2:ODE59 NTI2:NTI59 NJM2:NJM59 MZQ2:MZQ59 MPU2:MPU59 MFY2:MFY59 LWC2:LWC59 LMG2:LMG59 LCK2:LCK59 KSO2:KSO59 KIS2:KIS59 JYW2:JYW59 JPA2:JPA59 JFE2:JFE59 IVI2:IVI59 ILM2:ILM59 IBQ2:IBQ59 HRU2:HRU59 HHY2:HHY59 GYC2:GYC59 GOG2:GOG59 GEK2:GEK59 FUO2:FUO59 FKS2:FKS59 FAW2:FAW59 ERA2:ERA59 EHE2:EHE59 DXI2:DXI59 DNM2:DNM59 DDQ2:DDQ59 CTU2:CTU59 CJY2:CJY59 CAC2:CAC59 BQG2:BQG59 BGK2:BGK59 AWO2:AWO59 AMS2:AMS59 ACW2:ACW59 TA2:TA59 I2:I489" xr:uid="{9978A2CB-7016-4870-9BD3-C0420DFA16B5}">
      <formula1>$AN$5:$AN$6</formula1>
    </dataValidation>
    <dataValidation type="list" allowBlank="1" showInputMessage="1" showErrorMessage="1" sqref="RDZ1047392:RDZ1047457 JF64352:JF64417 TB64352:TB64417 ACX64352:ACX64417 AMT64352:AMT64417 AWP64352:AWP64417 BGL64352:BGL64417 BQH64352:BQH64417 CAD64352:CAD64417 CJZ64352:CJZ64417 CTV64352:CTV64417 DDR64352:DDR64417 DNN64352:DNN64417 DXJ64352:DXJ64417 EHF64352:EHF64417 ERB64352:ERB64417 FAX64352:FAX64417 FKT64352:FKT64417 FUP64352:FUP64417 GEL64352:GEL64417 GOH64352:GOH64417 GYD64352:GYD64417 HHZ64352:HHZ64417 HRV64352:HRV64417 IBR64352:IBR64417 ILN64352:ILN64417 IVJ64352:IVJ64417 JFF64352:JFF64417 JPB64352:JPB64417 JYX64352:JYX64417 KIT64352:KIT64417 KSP64352:KSP64417 LCL64352:LCL64417 LMH64352:LMH64417 LWD64352:LWD64417 MFZ64352:MFZ64417 MPV64352:MPV64417 MZR64352:MZR64417 NJN64352:NJN64417 NTJ64352:NTJ64417 ODF64352:ODF64417 ONB64352:ONB64417 OWX64352:OWX64417 PGT64352:PGT64417 PQP64352:PQP64417 QAL64352:QAL64417 QKH64352:QKH64417 QUD64352:QUD64417 RDZ64352:RDZ64417 RNV64352:RNV64417 RXR64352:RXR64417 SHN64352:SHN64417 SRJ64352:SRJ64417 TBF64352:TBF64417 TLB64352:TLB64417 TUX64352:TUX64417 UET64352:UET64417 UOP64352:UOP64417 UYL64352:UYL64417 VIH64352:VIH64417 VSD64352:VSD64417 WBZ64352:WBZ64417 WLV64352:WLV64417 WVR64352:WVR64417 RNV1047392:RNV1047457 JF129888:JF129953 TB129888:TB129953 ACX129888:ACX129953 AMT129888:AMT129953 AWP129888:AWP129953 BGL129888:BGL129953 BQH129888:BQH129953 CAD129888:CAD129953 CJZ129888:CJZ129953 CTV129888:CTV129953 DDR129888:DDR129953 DNN129888:DNN129953 DXJ129888:DXJ129953 EHF129888:EHF129953 ERB129888:ERB129953 FAX129888:FAX129953 FKT129888:FKT129953 FUP129888:FUP129953 GEL129888:GEL129953 GOH129888:GOH129953 GYD129888:GYD129953 HHZ129888:HHZ129953 HRV129888:HRV129953 IBR129888:IBR129953 ILN129888:ILN129953 IVJ129888:IVJ129953 JFF129888:JFF129953 JPB129888:JPB129953 JYX129888:JYX129953 KIT129888:KIT129953 KSP129888:KSP129953 LCL129888:LCL129953 LMH129888:LMH129953 LWD129888:LWD129953 MFZ129888:MFZ129953 MPV129888:MPV129953 MZR129888:MZR129953 NJN129888:NJN129953 NTJ129888:NTJ129953 ODF129888:ODF129953 ONB129888:ONB129953 OWX129888:OWX129953 PGT129888:PGT129953 PQP129888:PQP129953 QAL129888:QAL129953 QKH129888:QKH129953 QUD129888:QUD129953 RDZ129888:RDZ129953 RNV129888:RNV129953 RXR129888:RXR129953 SHN129888:SHN129953 SRJ129888:SRJ129953 TBF129888:TBF129953 TLB129888:TLB129953 TUX129888:TUX129953 UET129888:UET129953 UOP129888:UOP129953 UYL129888:UYL129953 VIH129888:VIH129953 VSD129888:VSD129953 WBZ129888:WBZ129953 WLV129888:WLV129953 WVR129888:WVR129953 RXR1047392:RXR1047457 JF195424:JF195489 TB195424:TB195489 ACX195424:ACX195489 AMT195424:AMT195489 AWP195424:AWP195489 BGL195424:BGL195489 BQH195424:BQH195489 CAD195424:CAD195489 CJZ195424:CJZ195489 CTV195424:CTV195489 DDR195424:DDR195489 DNN195424:DNN195489 DXJ195424:DXJ195489 EHF195424:EHF195489 ERB195424:ERB195489 FAX195424:FAX195489 FKT195424:FKT195489 FUP195424:FUP195489 GEL195424:GEL195489 GOH195424:GOH195489 GYD195424:GYD195489 HHZ195424:HHZ195489 HRV195424:HRV195489 IBR195424:IBR195489 ILN195424:ILN195489 IVJ195424:IVJ195489 JFF195424:JFF195489 JPB195424:JPB195489 JYX195424:JYX195489 KIT195424:KIT195489 KSP195424:KSP195489 LCL195424:LCL195489 LMH195424:LMH195489 LWD195424:LWD195489 MFZ195424:MFZ195489 MPV195424:MPV195489 MZR195424:MZR195489 NJN195424:NJN195489 NTJ195424:NTJ195489 ODF195424:ODF195489 ONB195424:ONB195489 OWX195424:OWX195489 PGT195424:PGT195489 PQP195424:PQP195489 QAL195424:QAL195489 QKH195424:QKH195489 QUD195424:QUD195489 RDZ195424:RDZ195489 RNV195424:RNV195489 RXR195424:RXR195489 SHN195424:SHN195489 SRJ195424:SRJ195489 TBF195424:TBF195489 TLB195424:TLB195489 TUX195424:TUX195489 UET195424:UET195489 UOP195424:UOP195489 UYL195424:UYL195489 VIH195424:VIH195489 VSD195424:VSD195489 WBZ195424:WBZ195489 WLV195424:WLV195489 WVR195424:WVR195489 SHN1047392:SHN1047457 JF260960:JF261025 TB260960:TB261025 ACX260960:ACX261025 AMT260960:AMT261025 AWP260960:AWP261025 BGL260960:BGL261025 BQH260960:BQH261025 CAD260960:CAD261025 CJZ260960:CJZ261025 CTV260960:CTV261025 DDR260960:DDR261025 DNN260960:DNN261025 DXJ260960:DXJ261025 EHF260960:EHF261025 ERB260960:ERB261025 FAX260960:FAX261025 FKT260960:FKT261025 FUP260960:FUP261025 GEL260960:GEL261025 GOH260960:GOH261025 GYD260960:GYD261025 HHZ260960:HHZ261025 HRV260960:HRV261025 IBR260960:IBR261025 ILN260960:ILN261025 IVJ260960:IVJ261025 JFF260960:JFF261025 JPB260960:JPB261025 JYX260960:JYX261025 KIT260960:KIT261025 KSP260960:KSP261025 LCL260960:LCL261025 LMH260960:LMH261025 LWD260960:LWD261025 MFZ260960:MFZ261025 MPV260960:MPV261025 MZR260960:MZR261025 NJN260960:NJN261025 NTJ260960:NTJ261025 ODF260960:ODF261025 ONB260960:ONB261025 OWX260960:OWX261025 PGT260960:PGT261025 PQP260960:PQP261025 QAL260960:QAL261025 QKH260960:QKH261025 QUD260960:QUD261025 RDZ260960:RDZ261025 RNV260960:RNV261025 RXR260960:RXR261025 SHN260960:SHN261025 SRJ260960:SRJ261025 TBF260960:TBF261025 TLB260960:TLB261025 TUX260960:TUX261025 UET260960:UET261025 UOP260960:UOP261025 UYL260960:UYL261025 VIH260960:VIH261025 VSD260960:VSD261025 WBZ260960:WBZ261025 WLV260960:WLV261025 WVR260960:WVR261025 SRJ1047392:SRJ1047457 JF326496:JF326561 TB326496:TB326561 ACX326496:ACX326561 AMT326496:AMT326561 AWP326496:AWP326561 BGL326496:BGL326561 BQH326496:BQH326561 CAD326496:CAD326561 CJZ326496:CJZ326561 CTV326496:CTV326561 DDR326496:DDR326561 DNN326496:DNN326561 DXJ326496:DXJ326561 EHF326496:EHF326561 ERB326496:ERB326561 FAX326496:FAX326561 FKT326496:FKT326561 FUP326496:FUP326561 GEL326496:GEL326561 GOH326496:GOH326561 GYD326496:GYD326561 HHZ326496:HHZ326561 HRV326496:HRV326561 IBR326496:IBR326561 ILN326496:ILN326561 IVJ326496:IVJ326561 JFF326496:JFF326561 JPB326496:JPB326561 JYX326496:JYX326561 KIT326496:KIT326561 KSP326496:KSP326561 LCL326496:LCL326561 LMH326496:LMH326561 LWD326496:LWD326561 MFZ326496:MFZ326561 MPV326496:MPV326561 MZR326496:MZR326561 NJN326496:NJN326561 NTJ326496:NTJ326561 ODF326496:ODF326561 ONB326496:ONB326561 OWX326496:OWX326561 PGT326496:PGT326561 PQP326496:PQP326561 QAL326496:QAL326561 QKH326496:QKH326561 QUD326496:QUD326561 RDZ326496:RDZ326561 RNV326496:RNV326561 RXR326496:RXR326561 SHN326496:SHN326561 SRJ326496:SRJ326561 TBF326496:TBF326561 TLB326496:TLB326561 TUX326496:TUX326561 UET326496:UET326561 UOP326496:UOP326561 UYL326496:UYL326561 VIH326496:VIH326561 VSD326496:VSD326561 WBZ326496:WBZ326561 WLV326496:WLV326561 WVR326496:WVR326561 TBF1047392:TBF1047457 JF392032:JF392097 TB392032:TB392097 ACX392032:ACX392097 AMT392032:AMT392097 AWP392032:AWP392097 BGL392032:BGL392097 BQH392032:BQH392097 CAD392032:CAD392097 CJZ392032:CJZ392097 CTV392032:CTV392097 DDR392032:DDR392097 DNN392032:DNN392097 DXJ392032:DXJ392097 EHF392032:EHF392097 ERB392032:ERB392097 FAX392032:FAX392097 FKT392032:FKT392097 FUP392032:FUP392097 GEL392032:GEL392097 GOH392032:GOH392097 GYD392032:GYD392097 HHZ392032:HHZ392097 HRV392032:HRV392097 IBR392032:IBR392097 ILN392032:ILN392097 IVJ392032:IVJ392097 JFF392032:JFF392097 JPB392032:JPB392097 JYX392032:JYX392097 KIT392032:KIT392097 KSP392032:KSP392097 LCL392032:LCL392097 LMH392032:LMH392097 LWD392032:LWD392097 MFZ392032:MFZ392097 MPV392032:MPV392097 MZR392032:MZR392097 NJN392032:NJN392097 NTJ392032:NTJ392097 ODF392032:ODF392097 ONB392032:ONB392097 OWX392032:OWX392097 PGT392032:PGT392097 PQP392032:PQP392097 QAL392032:QAL392097 QKH392032:QKH392097 QUD392032:QUD392097 RDZ392032:RDZ392097 RNV392032:RNV392097 RXR392032:RXR392097 SHN392032:SHN392097 SRJ392032:SRJ392097 TBF392032:TBF392097 TLB392032:TLB392097 TUX392032:TUX392097 UET392032:UET392097 UOP392032:UOP392097 UYL392032:UYL392097 VIH392032:VIH392097 VSD392032:VSD392097 WBZ392032:WBZ392097 WLV392032:WLV392097 WVR392032:WVR392097 TLB1047392:TLB1047457 JF457568:JF457633 TB457568:TB457633 ACX457568:ACX457633 AMT457568:AMT457633 AWP457568:AWP457633 BGL457568:BGL457633 BQH457568:BQH457633 CAD457568:CAD457633 CJZ457568:CJZ457633 CTV457568:CTV457633 DDR457568:DDR457633 DNN457568:DNN457633 DXJ457568:DXJ457633 EHF457568:EHF457633 ERB457568:ERB457633 FAX457568:FAX457633 FKT457568:FKT457633 FUP457568:FUP457633 GEL457568:GEL457633 GOH457568:GOH457633 GYD457568:GYD457633 HHZ457568:HHZ457633 HRV457568:HRV457633 IBR457568:IBR457633 ILN457568:ILN457633 IVJ457568:IVJ457633 JFF457568:JFF457633 JPB457568:JPB457633 JYX457568:JYX457633 KIT457568:KIT457633 KSP457568:KSP457633 LCL457568:LCL457633 LMH457568:LMH457633 LWD457568:LWD457633 MFZ457568:MFZ457633 MPV457568:MPV457633 MZR457568:MZR457633 NJN457568:NJN457633 NTJ457568:NTJ457633 ODF457568:ODF457633 ONB457568:ONB457633 OWX457568:OWX457633 PGT457568:PGT457633 PQP457568:PQP457633 QAL457568:QAL457633 QKH457568:QKH457633 QUD457568:QUD457633 RDZ457568:RDZ457633 RNV457568:RNV457633 RXR457568:RXR457633 SHN457568:SHN457633 SRJ457568:SRJ457633 TBF457568:TBF457633 TLB457568:TLB457633 TUX457568:TUX457633 UET457568:UET457633 UOP457568:UOP457633 UYL457568:UYL457633 VIH457568:VIH457633 VSD457568:VSD457633 WBZ457568:WBZ457633 WLV457568:WLV457633 WVR457568:WVR457633 TUX1047392:TUX1047457 JF523104:JF523169 TB523104:TB523169 ACX523104:ACX523169 AMT523104:AMT523169 AWP523104:AWP523169 BGL523104:BGL523169 BQH523104:BQH523169 CAD523104:CAD523169 CJZ523104:CJZ523169 CTV523104:CTV523169 DDR523104:DDR523169 DNN523104:DNN523169 DXJ523104:DXJ523169 EHF523104:EHF523169 ERB523104:ERB523169 FAX523104:FAX523169 FKT523104:FKT523169 FUP523104:FUP523169 GEL523104:GEL523169 GOH523104:GOH523169 GYD523104:GYD523169 HHZ523104:HHZ523169 HRV523104:HRV523169 IBR523104:IBR523169 ILN523104:ILN523169 IVJ523104:IVJ523169 JFF523104:JFF523169 JPB523104:JPB523169 JYX523104:JYX523169 KIT523104:KIT523169 KSP523104:KSP523169 LCL523104:LCL523169 LMH523104:LMH523169 LWD523104:LWD523169 MFZ523104:MFZ523169 MPV523104:MPV523169 MZR523104:MZR523169 NJN523104:NJN523169 NTJ523104:NTJ523169 ODF523104:ODF523169 ONB523104:ONB523169 OWX523104:OWX523169 PGT523104:PGT523169 PQP523104:PQP523169 QAL523104:QAL523169 QKH523104:QKH523169 QUD523104:QUD523169 RDZ523104:RDZ523169 RNV523104:RNV523169 RXR523104:RXR523169 SHN523104:SHN523169 SRJ523104:SRJ523169 TBF523104:TBF523169 TLB523104:TLB523169 TUX523104:TUX523169 UET523104:UET523169 UOP523104:UOP523169 UYL523104:UYL523169 VIH523104:VIH523169 VSD523104:VSD523169 WBZ523104:WBZ523169 WLV523104:WLV523169 WVR523104:WVR523169 UET1047392:UET1047457 JF588640:JF588705 TB588640:TB588705 ACX588640:ACX588705 AMT588640:AMT588705 AWP588640:AWP588705 BGL588640:BGL588705 BQH588640:BQH588705 CAD588640:CAD588705 CJZ588640:CJZ588705 CTV588640:CTV588705 DDR588640:DDR588705 DNN588640:DNN588705 DXJ588640:DXJ588705 EHF588640:EHF588705 ERB588640:ERB588705 FAX588640:FAX588705 FKT588640:FKT588705 FUP588640:FUP588705 GEL588640:GEL588705 GOH588640:GOH588705 GYD588640:GYD588705 HHZ588640:HHZ588705 HRV588640:HRV588705 IBR588640:IBR588705 ILN588640:ILN588705 IVJ588640:IVJ588705 JFF588640:JFF588705 JPB588640:JPB588705 JYX588640:JYX588705 KIT588640:KIT588705 KSP588640:KSP588705 LCL588640:LCL588705 LMH588640:LMH588705 LWD588640:LWD588705 MFZ588640:MFZ588705 MPV588640:MPV588705 MZR588640:MZR588705 NJN588640:NJN588705 NTJ588640:NTJ588705 ODF588640:ODF588705 ONB588640:ONB588705 OWX588640:OWX588705 PGT588640:PGT588705 PQP588640:PQP588705 QAL588640:QAL588705 QKH588640:QKH588705 QUD588640:QUD588705 RDZ588640:RDZ588705 RNV588640:RNV588705 RXR588640:RXR588705 SHN588640:SHN588705 SRJ588640:SRJ588705 TBF588640:TBF588705 TLB588640:TLB588705 TUX588640:TUX588705 UET588640:UET588705 UOP588640:UOP588705 UYL588640:UYL588705 VIH588640:VIH588705 VSD588640:VSD588705 WBZ588640:WBZ588705 WLV588640:WLV588705 WVR588640:WVR588705 UOP1047392:UOP1047457 JF654176:JF654241 TB654176:TB654241 ACX654176:ACX654241 AMT654176:AMT654241 AWP654176:AWP654241 BGL654176:BGL654241 BQH654176:BQH654241 CAD654176:CAD654241 CJZ654176:CJZ654241 CTV654176:CTV654241 DDR654176:DDR654241 DNN654176:DNN654241 DXJ654176:DXJ654241 EHF654176:EHF654241 ERB654176:ERB654241 FAX654176:FAX654241 FKT654176:FKT654241 FUP654176:FUP654241 GEL654176:GEL654241 GOH654176:GOH654241 GYD654176:GYD654241 HHZ654176:HHZ654241 HRV654176:HRV654241 IBR654176:IBR654241 ILN654176:ILN654241 IVJ654176:IVJ654241 JFF654176:JFF654241 JPB654176:JPB654241 JYX654176:JYX654241 KIT654176:KIT654241 KSP654176:KSP654241 LCL654176:LCL654241 LMH654176:LMH654241 LWD654176:LWD654241 MFZ654176:MFZ654241 MPV654176:MPV654241 MZR654176:MZR654241 NJN654176:NJN654241 NTJ654176:NTJ654241 ODF654176:ODF654241 ONB654176:ONB654241 OWX654176:OWX654241 PGT654176:PGT654241 PQP654176:PQP654241 QAL654176:QAL654241 QKH654176:QKH654241 QUD654176:QUD654241 RDZ654176:RDZ654241 RNV654176:RNV654241 RXR654176:RXR654241 SHN654176:SHN654241 SRJ654176:SRJ654241 TBF654176:TBF654241 TLB654176:TLB654241 TUX654176:TUX654241 UET654176:UET654241 UOP654176:UOP654241 UYL654176:UYL654241 VIH654176:VIH654241 VSD654176:VSD654241 WBZ654176:WBZ654241 WLV654176:WLV654241 WVR654176:WVR654241 UYL1047392:UYL1047457 JF719712:JF719777 TB719712:TB719777 ACX719712:ACX719777 AMT719712:AMT719777 AWP719712:AWP719777 BGL719712:BGL719777 BQH719712:BQH719777 CAD719712:CAD719777 CJZ719712:CJZ719777 CTV719712:CTV719777 DDR719712:DDR719777 DNN719712:DNN719777 DXJ719712:DXJ719777 EHF719712:EHF719777 ERB719712:ERB719777 FAX719712:FAX719777 FKT719712:FKT719777 FUP719712:FUP719777 GEL719712:GEL719777 GOH719712:GOH719777 GYD719712:GYD719777 HHZ719712:HHZ719777 HRV719712:HRV719777 IBR719712:IBR719777 ILN719712:ILN719777 IVJ719712:IVJ719777 JFF719712:JFF719777 JPB719712:JPB719777 JYX719712:JYX719777 KIT719712:KIT719777 KSP719712:KSP719777 LCL719712:LCL719777 LMH719712:LMH719777 LWD719712:LWD719777 MFZ719712:MFZ719777 MPV719712:MPV719777 MZR719712:MZR719777 NJN719712:NJN719777 NTJ719712:NTJ719777 ODF719712:ODF719777 ONB719712:ONB719777 OWX719712:OWX719777 PGT719712:PGT719777 PQP719712:PQP719777 QAL719712:QAL719777 QKH719712:QKH719777 QUD719712:QUD719777 RDZ719712:RDZ719777 RNV719712:RNV719777 RXR719712:RXR719777 SHN719712:SHN719777 SRJ719712:SRJ719777 TBF719712:TBF719777 TLB719712:TLB719777 TUX719712:TUX719777 UET719712:UET719777 UOP719712:UOP719777 UYL719712:UYL719777 VIH719712:VIH719777 VSD719712:VSD719777 WBZ719712:WBZ719777 WLV719712:WLV719777 WVR719712:WVR719777 VIH1047392:VIH1047457 JF785248:JF785313 TB785248:TB785313 ACX785248:ACX785313 AMT785248:AMT785313 AWP785248:AWP785313 BGL785248:BGL785313 BQH785248:BQH785313 CAD785248:CAD785313 CJZ785248:CJZ785313 CTV785248:CTV785313 DDR785248:DDR785313 DNN785248:DNN785313 DXJ785248:DXJ785313 EHF785248:EHF785313 ERB785248:ERB785313 FAX785248:FAX785313 FKT785248:FKT785313 FUP785248:FUP785313 GEL785248:GEL785313 GOH785248:GOH785313 GYD785248:GYD785313 HHZ785248:HHZ785313 HRV785248:HRV785313 IBR785248:IBR785313 ILN785248:ILN785313 IVJ785248:IVJ785313 JFF785248:JFF785313 JPB785248:JPB785313 JYX785248:JYX785313 KIT785248:KIT785313 KSP785248:KSP785313 LCL785248:LCL785313 LMH785248:LMH785313 LWD785248:LWD785313 MFZ785248:MFZ785313 MPV785248:MPV785313 MZR785248:MZR785313 NJN785248:NJN785313 NTJ785248:NTJ785313 ODF785248:ODF785313 ONB785248:ONB785313 OWX785248:OWX785313 PGT785248:PGT785313 PQP785248:PQP785313 QAL785248:QAL785313 QKH785248:QKH785313 QUD785248:QUD785313 RDZ785248:RDZ785313 RNV785248:RNV785313 RXR785248:RXR785313 SHN785248:SHN785313 SRJ785248:SRJ785313 TBF785248:TBF785313 TLB785248:TLB785313 TUX785248:TUX785313 UET785248:UET785313 UOP785248:UOP785313 UYL785248:UYL785313 VIH785248:VIH785313 VSD785248:VSD785313 WBZ785248:WBZ785313 WLV785248:WLV785313 WVR785248:WVR785313 VSD1047392:VSD1047457 JF850784:JF850849 TB850784:TB850849 ACX850784:ACX850849 AMT850784:AMT850849 AWP850784:AWP850849 BGL850784:BGL850849 BQH850784:BQH850849 CAD850784:CAD850849 CJZ850784:CJZ850849 CTV850784:CTV850849 DDR850784:DDR850849 DNN850784:DNN850849 DXJ850784:DXJ850849 EHF850784:EHF850849 ERB850784:ERB850849 FAX850784:FAX850849 FKT850784:FKT850849 FUP850784:FUP850849 GEL850784:GEL850849 GOH850784:GOH850849 GYD850784:GYD850849 HHZ850784:HHZ850849 HRV850784:HRV850849 IBR850784:IBR850849 ILN850784:ILN850849 IVJ850784:IVJ850849 JFF850784:JFF850849 JPB850784:JPB850849 JYX850784:JYX850849 KIT850784:KIT850849 KSP850784:KSP850849 LCL850784:LCL850849 LMH850784:LMH850849 LWD850784:LWD850849 MFZ850784:MFZ850849 MPV850784:MPV850849 MZR850784:MZR850849 NJN850784:NJN850849 NTJ850784:NTJ850849 ODF850784:ODF850849 ONB850784:ONB850849 OWX850784:OWX850849 PGT850784:PGT850849 PQP850784:PQP850849 QAL850784:QAL850849 QKH850784:QKH850849 QUD850784:QUD850849 RDZ850784:RDZ850849 RNV850784:RNV850849 RXR850784:RXR850849 SHN850784:SHN850849 SRJ850784:SRJ850849 TBF850784:TBF850849 TLB850784:TLB850849 TUX850784:TUX850849 UET850784:UET850849 UOP850784:UOP850849 UYL850784:UYL850849 VIH850784:VIH850849 VSD850784:VSD850849 WBZ850784:WBZ850849 WLV850784:WLV850849 WVR850784:WVR850849 WBZ1047392:WBZ1047457 JF916320:JF916385 TB916320:TB916385 ACX916320:ACX916385 AMT916320:AMT916385 AWP916320:AWP916385 BGL916320:BGL916385 BQH916320:BQH916385 CAD916320:CAD916385 CJZ916320:CJZ916385 CTV916320:CTV916385 DDR916320:DDR916385 DNN916320:DNN916385 DXJ916320:DXJ916385 EHF916320:EHF916385 ERB916320:ERB916385 FAX916320:FAX916385 FKT916320:FKT916385 FUP916320:FUP916385 GEL916320:GEL916385 GOH916320:GOH916385 GYD916320:GYD916385 HHZ916320:HHZ916385 HRV916320:HRV916385 IBR916320:IBR916385 ILN916320:ILN916385 IVJ916320:IVJ916385 JFF916320:JFF916385 JPB916320:JPB916385 JYX916320:JYX916385 KIT916320:KIT916385 KSP916320:KSP916385 LCL916320:LCL916385 LMH916320:LMH916385 LWD916320:LWD916385 MFZ916320:MFZ916385 MPV916320:MPV916385 MZR916320:MZR916385 NJN916320:NJN916385 NTJ916320:NTJ916385 ODF916320:ODF916385 ONB916320:ONB916385 OWX916320:OWX916385 PGT916320:PGT916385 PQP916320:PQP916385 QAL916320:QAL916385 QKH916320:QKH916385 QUD916320:QUD916385 RDZ916320:RDZ916385 RNV916320:RNV916385 RXR916320:RXR916385 SHN916320:SHN916385 SRJ916320:SRJ916385 TBF916320:TBF916385 TLB916320:TLB916385 TUX916320:TUX916385 UET916320:UET916385 UOP916320:UOP916385 UYL916320:UYL916385 VIH916320:VIH916385 VSD916320:VSD916385 WBZ916320:WBZ916385 WLV916320:WLV916385 WVR916320:WVR916385 WLV1047392:WLV1047457 JF981856:JF981921 TB981856:TB981921 ACX981856:ACX981921 AMT981856:AMT981921 AWP981856:AWP981921 BGL981856:BGL981921 BQH981856:BQH981921 CAD981856:CAD981921 CJZ981856:CJZ981921 CTV981856:CTV981921 DDR981856:DDR981921 DNN981856:DNN981921 DXJ981856:DXJ981921 EHF981856:EHF981921 ERB981856:ERB981921 FAX981856:FAX981921 FKT981856:FKT981921 FUP981856:FUP981921 GEL981856:GEL981921 GOH981856:GOH981921 GYD981856:GYD981921 HHZ981856:HHZ981921 HRV981856:HRV981921 IBR981856:IBR981921 ILN981856:ILN981921 IVJ981856:IVJ981921 JFF981856:JFF981921 JPB981856:JPB981921 JYX981856:JYX981921 KIT981856:KIT981921 KSP981856:KSP981921 LCL981856:LCL981921 LMH981856:LMH981921 LWD981856:LWD981921 MFZ981856:MFZ981921 MPV981856:MPV981921 MZR981856:MZR981921 NJN981856:NJN981921 NTJ981856:NTJ981921 ODF981856:ODF981921 ONB981856:ONB981921 OWX981856:OWX981921 PGT981856:PGT981921 PQP981856:PQP981921 QAL981856:QAL981921 QKH981856:QKH981921 QUD981856:QUD981921 RDZ981856:RDZ981921 RNV981856:RNV981921 RXR981856:RXR981921 SHN981856:SHN981921 SRJ981856:SRJ981921 TBF981856:TBF981921 TLB981856:TLB981921 TUX981856:TUX981921 UET981856:UET981921 UOP981856:UOP981921 UYL981856:UYL981921 VIH981856:VIH981921 VSD981856:VSD981921 WBZ981856:WBZ981921 WLV981856:WLV981921 WVR981856:WVR981921 WVR1047392:WVR1047457 JF1047392:JF1047457 TB1047392:TB1047457 ACX1047392:ACX1047457 AMT1047392:AMT1047457 AWP1047392:AWP1047457 BGL1047392:BGL1047457 BQH1047392:BQH1047457 CAD1047392:CAD1047457 CJZ1047392:CJZ1047457 CTV1047392:CTV1047457 DDR1047392:DDR1047457 DNN1047392:DNN1047457 DXJ1047392:DXJ1047457 EHF1047392:EHF1047457 ERB1047392:ERB1047457 FAX1047392:FAX1047457 FKT1047392:FKT1047457 FUP1047392:FUP1047457 GEL1047392:GEL1047457 GOH1047392:GOH1047457 GYD1047392:GYD1047457 HHZ1047392:HHZ1047457 HRV1047392:HRV1047457 IBR1047392:IBR1047457 ILN1047392:ILN1047457 IVJ1047392:IVJ1047457 JFF1047392:JFF1047457 JPB1047392:JPB1047457 JYX1047392:JYX1047457 KIT1047392:KIT1047457 KSP1047392:KSP1047457 LCL1047392:LCL1047457 LMH1047392:LMH1047457 LWD1047392:LWD1047457 MFZ1047392:MFZ1047457 MPV1047392:MPV1047457 MZR1047392:MZR1047457 NJN1047392:NJN1047457 NTJ1047392:NTJ1047457 ODF1047392:ODF1047457 ONB1047392:ONB1047457 OWX1047392:OWX1047457 PGT1047392:PGT1047457 PQP1047392:PQP1047457 QAL1047392:QAL1047457 QKH1047392:QKH1047457 QUD1047392:QUD1047457 J65532:J65610 J131068:J131146 J196604:J196682 J262140:J262218 J327676:J327754 J393212:J393290 J458748:J458826 J524284:J524362 J589820:J589898 J655356:J655434 J720892:J720970 J786428:J786506 J851964:J852042 J917500:J917578 J983036:J983114" xr:uid="{0E467DDF-773A-4B22-B6C4-D7E41231749B}">
      <formula1>$AP$2:$AP$15</formula1>
    </dataValidation>
    <dataValidation type="list" allowBlank="1" showInputMessage="1" showErrorMessage="1" sqref="REA1047392:REA1047457 JG64352:JG64417 TC64352:TC64417 ACY64352:ACY64417 AMU64352:AMU64417 AWQ64352:AWQ64417 BGM64352:BGM64417 BQI64352:BQI64417 CAE64352:CAE64417 CKA64352:CKA64417 CTW64352:CTW64417 DDS64352:DDS64417 DNO64352:DNO64417 DXK64352:DXK64417 EHG64352:EHG64417 ERC64352:ERC64417 FAY64352:FAY64417 FKU64352:FKU64417 FUQ64352:FUQ64417 GEM64352:GEM64417 GOI64352:GOI64417 GYE64352:GYE64417 HIA64352:HIA64417 HRW64352:HRW64417 IBS64352:IBS64417 ILO64352:ILO64417 IVK64352:IVK64417 JFG64352:JFG64417 JPC64352:JPC64417 JYY64352:JYY64417 KIU64352:KIU64417 KSQ64352:KSQ64417 LCM64352:LCM64417 LMI64352:LMI64417 LWE64352:LWE64417 MGA64352:MGA64417 MPW64352:MPW64417 MZS64352:MZS64417 NJO64352:NJO64417 NTK64352:NTK64417 ODG64352:ODG64417 ONC64352:ONC64417 OWY64352:OWY64417 PGU64352:PGU64417 PQQ64352:PQQ64417 QAM64352:QAM64417 QKI64352:QKI64417 QUE64352:QUE64417 REA64352:REA64417 RNW64352:RNW64417 RXS64352:RXS64417 SHO64352:SHO64417 SRK64352:SRK64417 TBG64352:TBG64417 TLC64352:TLC64417 TUY64352:TUY64417 UEU64352:UEU64417 UOQ64352:UOQ64417 UYM64352:UYM64417 VII64352:VII64417 VSE64352:VSE64417 WCA64352:WCA64417 WLW64352:WLW64417 WVS64352:WVS64417 RNW1047392:RNW1047457 JG129888:JG129953 TC129888:TC129953 ACY129888:ACY129953 AMU129888:AMU129953 AWQ129888:AWQ129953 BGM129888:BGM129953 BQI129888:BQI129953 CAE129888:CAE129953 CKA129888:CKA129953 CTW129888:CTW129953 DDS129888:DDS129953 DNO129888:DNO129953 DXK129888:DXK129953 EHG129888:EHG129953 ERC129888:ERC129953 FAY129888:FAY129953 FKU129888:FKU129953 FUQ129888:FUQ129953 GEM129888:GEM129953 GOI129888:GOI129953 GYE129888:GYE129953 HIA129888:HIA129953 HRW129888:HRW129953 IBS129888:IBS129953 ILO129888:ILO129953 IVK129888:IVK129953 JFG129888:JFG129953 JPC129888:JPC129953 JYY129888:JYY129953 KIU129888:KIU129953 KSQ129888:KSQ129953 LCM129888:LCM129953 LMI129888:LMI129953 LWE129888:LWE129953 MGA129888:MGA129953 MPW129888:MPW129953 MZS129888:MZS129953 NJO129888:NJO129953 NTK129888:NTK129953 ODG129888:ODG129953 ONC129888:ONC129953 OWY129888:OWY129953 PGU129888:PGU129953 PQQ129888:PQQ129953 QAM129888:QAM129953 QKI129888:QKI129953 QUE129888:QUE129953 REA129888:REA129953 RNW129888:RNW129953 RXS129888:RXS129953 SHO129888:SHO129953 SRK129888:SRK129953 TBG129888:TBG129953 TLC129888:TLC129953 TUY129888:TUY129953 UEU129888:UEU129953 UOQ129888:UOQ129953 UYM129888:UYM129953 VII129888:VII129953 VSE129888:VSE129953 WCA129888:WCA129953 WLW129888:WLW129953 WVS129888:WVS129953 RXS1047392:RXS1047457 JG195424:JG195489 TC195424:TC195489 ACY195424:ACY195489 AMU195424:AMU195489 AWQ195424:AWQ195489 BGM195424:BGM195489 BQI195424:BQI195489 CAE195424:CAE195489 CKA195424:CKA195489 CTW195424:CTW195489 DDS195424:DDS195489 DNO195424:DNO195489 DXK195424:DXK195489 EHG195424:EHG195489 ERC195424:ERC195489 FAY195424:FAY195489 FKU195424:FKU195489 FUQ195424:FUQ195489 GEM195424:GEM195489 GOI195424:GOI195489 GYE195424:GYE195489 HIA195424:HIA195489 HRW195424:HRW195489 IBS195424:IBS195489 ILO195424:ILO195489 IVK195424:IVK195489 JFG195424:JFG195489 JPC195424:JPC195489 JYY195424:JYY195489 KIU195424:KIU195489 KSQ195424:KSQ195489 LCM195424:LCM195489 LMI195424:LMI195489 LWE195424:LWE195489 MGA195424:MGA195489 MPW195424:MPW195489 MZS195424:MZS195489 NJO195424:NJO195489 NTK195424:NTK195489 ODG195424:ODG195489 ONC195424:ONC195489 OWY195424:OWY195489 PGU195424:PGU195489 PQQ195424:PQQ195489 QAM195424:QAM195489 QKI195424:QKI195489 QUE195424:QUE195489 REA195424:REA195489 RNW195424:RNW195489 RXS195424:RXS195489 SHO195424:SHO195489 SRK195424:SRK195489 TBG195424:TBG195489 TLC195424:TLC195489 TUY195424:TUY195489 UEU195424:UEU195489 UOQ195424:UOQ195489 UYM195424:UYM195489 VII195424:VII195489 VSE195424:VSE195489 WCA195424:WCA195489 WLW195424:WLW195489 WVS195424:WVS195489 SHO1047392:SHO1047457 JG260960:JG261025 TC260960:TC261025 ACY260960:ACY261025 AMU260960:AMU261025 AWQ260960:AWQ261025 BGM260960:BGM261025 BQI260960:BQI261025 CAE260960:CAE261025 CKA260960:CKA261025 CTW260960:CTW261025 DDS260960:DDS261025 DNO260960:DNO261025 DXK260960:DXK261025 EHG260960:EHG261025 ERC260960:ERC261025 FAY260960:FAY261025 FKU260960:FKU261025 FUQ260960:FUQ261025 GEM260960:GEM261025 GOI260960:GOI261025 GYE260960:GYE261025 HIA260960:HIA261025 HRW260960:HRW261025 IBS260960:IBS261025 ILO260960:ILO261025 IVK260960:IVK261025 JFG260960:JFG261025 JPC260960:JPC261025 JYY260960:JYY261025 KIU260960:KIU261025 KSQ260960:KSQ261025 LCM260960:LCM261025 LMI260960:LMI261025 LWE260960:LWE261025 MGA260960:MGA261025 MPW260960:MPW261025 MZS260960:MZS261025 NJO260960:NJO261025 NTK260960:NTK261025 ODG260960:ODG261025 ONC260960:ONC261025 OWY260960:OWY261025 PGU260960:PGU261025 PQQ260960:PQQ261025 QAM260960:QAM261025 QKI260960:QKI261025 QUE260960:QUE261025 REA260960:REA261025 RNW260960:RNW261025 RXS260960:RXS261025 SHO260960:SHO261025 SRK260960:SRK261025 TBG260960:TBG261025 TLC260960:TLC261025 TUY260960:TUY261025 UEU260960:UEU261025 UOQ260960:UOQ261025 UYM260960:UYM261025 VII260960:VII261025 VSE260960:VSE261025 WCA260960:WCA261025 WLW260960:WLW261025 WVS260960:WVS261025 SRK1047392:SRK1047457 JG326496:JG326561 TC326496:TC326561 ACY326496:ACY326561 AMU326496:AMU326561 AWQ326496:AWQ326561 BGM326496:BGM326561 BQI326496:BQI326561 CAE326496:CAE326561 CKA326496:CKA326561 CTW326496:CTW326561 DDS326496:DDS326561 DNO326496:DNO326561 DXK326496:DXK326561 EHG326496:EHG326561 ERC326496:ERC326561 FAY326496:FAY326561 FKU326496:FKU326561 FUQ326496:FUQ326561 GEM326496:GEM326561 GOI326496:GOI326561 GYE326496:GYE326561 HIA326496:HIA326561 HRW326496:HRW326561 IBS326496:IBS326561 ILO326496:ILO326561 IVK326496:IVK326561 JFG326496:JFG326561 JPC326496:JPC326561 JYY326496:JYY326561 KIU326496:KIU326561 KSQ326496:KSQ326561 LCM326496:LCM326561 LMI326496:LMI326561 LWE326496:LWE326561 MGA326496:MGA326561 MPW326496:MPW326561 MZS326496:MZS326561 NJO326496:NJO326561 NTK326496:NTK326561 ODG326496:ODG326561 ONC326496:ONC326561 OWY326496:OWY326561 PGU326496:PGU326561 PQQ326496:PQQ326561 QAM326496:QAM326561 QKI326496:QKI326561 QUE326496:QUE326561 REA326496:REA326561 RNW326496:RNW326561 RXS326496:RXS326561 SHO326496:SHO326561 SRK326496:SRK326561 TBG326496:TBG326561 TLC326496:TLC326561 TUY326496:TUY326561 UEU326496:UEU326561 UOQ326496:UOQ326561 UYM326496:UYM326561 VII326496:VII326561 VSE326496:VSE326561 WCA326496:WCA326561 WLW326496:WLW326561 WVS326496:WVS326561 TBG1047392:TBG1047457 JG392032:JG392097 TC392032:TC392097 ACY392032:ACY392097 AMU392032:AMU392097 AWQ392032:AWQ392097 BGM392032:BGM392097 BQI392032:BQI392097 CAE392032:CAE392097 CKA392032:CKA392097 CTW392032:CTW392097 DDS392032:DDS392097 DNO392032:DNO392097 DXK392032:DXK392097 EHG392032:EHG392097 ERC392032:ERC392097 FAY392032:FAY392097 FKU392032:FKU392097 FUQ392032:FUQ392097 GEM392032:GEM392097 GOI392032:GOI392097 GYE392032:GYE392097 HIA392032:HIA392097 HRW392032:HRW392097 IBS392032:IBS392097 ILO392032:ILO392097 IVK392032:IVK392097 JFG392032:JFG392097 JPC392032:JPC392097 JYY392032:JYY392097 KIU392032:KIU392097 KSQ392032:KSQ392097 LCM392032:LCM392097 LMI392032:LMI392097 LWE392032:LWE392097 MGA392032:MGA392097 MPW392032:MPW392097 MZS392032:MZS392097 NJO392032:NJO392097 NTK392032:NTK392097 ODG392032:ODG392097 ONC392032:ONC392097 OWY392032:OWY392097 PGU392032:PGU392097 PQQ392032:PQQ392097 QAM392032:QAM392097 QKI392032:QKI392097 QUE392032:QUE392097 REA392032:REA392097 RNW392032:RNW392097 RXS392032:RXS392097 SHO392032:SHO392097 SRK392032:SRK392097 TBG392032:TBG392097 TLC392032:TLC392097 TUY392032:TUY392097 UEU392032:UEU392097 UOQ392032:UOQ392097 UYM392032:UYM392097 VII392032:VII392097 VSE392032:VSE392097 WCA392032:WCA392097 WLW392032:WLW392097 WVS392032:WVS392097 TLC1047392:TLC1047457 JG457568:JG457633 TC457568:TC457633 ACY457568:ACY457633 AMU457568:AMU457633 AWQ457568:AWQ457633 BGM457568:BGM457633 BQI457568:BQI457633 CAE457568:CAE457633 CKA457568:CKA457633 CTW457568:CTW457633 DDS457568:DDS457633 DNO457568:DNO457633 DXK457568:DXK457633 EHG457568:EHG457633 ERC457568:ERC457633 FAY457568:FAY457633 FKU457568:FKU457633 FUQ457568:FUQ457633 GEM457568:GEM457633 GOI457568:GOI457633 GYE457568:GYE457633 HIA457568:HIA457633 HRW457568:HRW457633 IBS457568:IBS457633 ILO457568:ILO457633 IVK457568:IVK457633 JFG457568:JFG457633 JPC457568:JPC457633 JYY457568:JYY457633 KIU457568:KIU457633 KSQ457568:KSQ457633 LCM457568:LCM457633 LMI457568:LMI457633 LWE457568:LWE457633 MGA457568:MGA457633 MPW457568:MPW457633 MZS457568:MZS457633 NJO457568:NJO457633 NTK457568:NTK457633 ODG457568:ODG457633 ONC457568:ONC457633 OWY457568:OWY457633 PGU457568:PGU457633 PQQ457568:PQQ457633 QAM457568:QAM457633 QKI457568:QKI457633 QUE457568:QUE457633 REA457568:REA457633 RNW457568:RNW457633 RXS457568:RXS457633 SHO457568:SHO457633 SRK457568:SRK457633 TBG457568:TBG457633 TLC457568:TLC457633 TUY457568:TUY457633 UEU457568:UEU457633 UOQ457568:UOQ457633 UYM457568:UYM457633 VII457568:VII457633 VSE457568:VSE457633 WCA457568:WCA457633 WLW457568:WLW457633 WVS457568:WVS457633 TUY1047392:TUY1047457 JG523104:JG523169 TC523104:TC523169 ACY523104:ACY523169 AMU523104:AMU523169 AWQ523104:AWQ523169 BGM523104:BGM523169 BQI523104:BQI523169 CAE523104:CAE523169 CKA523104:CKA523169 CTW523104:CTW523169 DDS523104:DDS523169 DNO523104:DNO523169 DXK523104:DXK523169 EHG523104:EHG523169 ERC523104:ERC523169 FAY523104:FAY523169 FKU523104:FKU523169 FUQ523104:FUQ523169 GEM523104:GEM523169 GOI523104:GOI523169 GYE523104:GYE523169 HIA523104:HIA523169 HRW523104:HRW523169 IBS523104:IBS523169 ILO523104:ILO523169 IVK523104:IVK523169 JFG523104:JFG523169 JPC523104:JPC523169 JYY523104:JYY523169 KIU523104:KIU523169 KSQ523104:KSQ523169 LCM523104:LCM523169 LMI523104:LMI523169 LWE523104:LWE523169 MGA523104:MGA523169 MPW523104:MPW523169 MZS523104:MZS523169 NJO523104:NJO523169 NTK523104:NTK523169 ODG523104:ODG523169 ONC523104:ONC523169 OWY523104:OWY523169 PGU523104:PGU523169 PQQ523104:PQQ523169 QAM523104:QAM523169 QKI523104:QKI523169 QUE523104:QUE523169 REA523104:REA523169 RNW523104:RNW523169 RXS523104:RXS523169 SHO523104:SHO523169 SRK523104:SRK523169 TBG523104:TBG523169 TLC523104:TLC523169 TUY523104:TUY523169 UEU523104:UEU523169 UOQ523104:UOQ523169 UYM523104:UYM523169 VII523104:VII523169 VSE523104:VSE523169 WCA523104:WCA523169 WLW523104:WLW523169 WVS523104:WVS523169 UEU1047392:UEU1047457 JG588640:JG588705 TC588640:TC588705 ACY588640:ACY588705 AMU588640:AMU588705 AWQ588640:AWQ588705 BGM588640:BGM588705 BQI588640:BQI588705 CAE588640:CAE588705 CKA588640:CKA588705 CTW588640:CTW588705 DDS588640:DDS588705 DNO588640:DNO588705 DXK588640:DXK588705 EHG588640:EHG588705 ERC588640:ERC588705 FAY588640:FAY588705 FKU588640:FKU588705 FUQ588640:FUQ588705 GEM588640:GEM588705 GOI588640:GOI588705 GYE588640:GYE588705 HIA588640:HIA588705 HRW588640:HRW588705 IBS588640:IBS588705 ILO588640:ILO588705 IVK588640:IVK588705 JFG588640:JFG588705 JPC588640:JPC588705 JYY588640:JYY588705 KIU588640:KIU588705 KSQ588640:KSQ588705 LCM588640:LCM588705 LMI588640:LMI588705 LWE588640:LWE588705 MGA588640:MGA588705 MPW588640:MPW588705 MZS588640:MZS588705 NJO588640:NJO588705 NTK588640:NTK588705 ODG588640:ODG588705 ONC588640:ONC588705 OWY588640:OWY588705 PGU588640:PGU588705 PQQ588640:PQQ588705 QAM588640:QAM588705 QKI588640:QKI588705 QUE588640:QUE588705 REA588640:REA588705 RNW588640:RNW588705 RXS588640:RXS588705 SHO588640:SHO588705 SRK588640:SRK588705 TBG588640:TBG588705 TLC588640:TLC588705 TUY588640:TUY588705 UEU588640:UEU588705 UOQ588640:UOQ588705 UYM588640:UYM588705 VII588640:VII588705 VSE588640:VSE588705 WCA588640:WCA588705 WLW588640:WLW588705 WVS588640:WVS588705 UOQ1047392:UOQ1047457 JG654176:JG654241 TC654176:TC654241 ACY654176:ACY654241 AMU654176:AMU654241 AWQ654176:AWQ654241 BGM654176:BGM654241 BQI654176:BQI654241 CAE654176:CAE654241 CKA654176:CKA654241 CTW654176:CTW654241 DDS654176:DDS654241 DNO654176:DNO654241 DXK654176:DXK654241 EHG654176:EHG654241 ERC654176:ERC654241 FAY654176:FAY654241 FKU654176:FKU654241 FUQ654176:FUQ654241 GEM654176:GEM654241 GOI654176:GOI654241 GYE654176:GYE654241 HIA654176:HIA654241 HRW654176:HRW654241 IBS654176:IBS654241 ILO654176:ILO654241 IVK654176:IVK654241 JFG654176:JFG654241 JPC654176:JPC654241 JYY654176:JYY654241 KIU654176:KIU654241 KSQ654176:KSQ654241 LCM654176:LCM654241 LMI654176:LMI654241 LWE654176:LWE654241 MGA654176:MGA654241 MPW654176:MPW654241 MZS654176:MZS654241 NJO654176:NJO654241 NTK654176:NTK654241 ODG654176:ODG654241 ONC654176:ONC654241 OWY654176:OWY654241 PGU654176:PGU654241 PQQ654176:PQQ654241 QAM654176:QAM654241 QKI654176:QKI654241 QUE654176:QUE654241 REA654176:REA654241 RNW654176:RNW654241 RXS654176:RXS654241 SHO654176:SHO654241 SRK654176:SRK654241 TBG654176:TBG654241 TLC654176:TLC654241 TUY654176:TUY654241 UEU654176:UEU654241 UOQ654176:UOQ654241 UYM654176:UYM654241 VII654176:VII654241 VSE654176:VSE654241 WCA654176:WCA654241 WLW654176:WLW654241 WVS654176:WVS654241 UYM1047392:UYM1047457 JG719712:JG719777 TC719712:TC719777 ACY719712:ACY719777 AMU719712:AMU719777 AWQ719712:AWQ719777 BGM719712:BGM719777 BQI719712:BQI719777 CAE719712:CAE719777 CKA719712:CKA719777 CTW719712:CTW719777 DDS719712:DDS719777 DNO719712:DNO719777 DXK719712:DXK719777 EHG719712:EHG719777 ERC719712:ERC719777 FAY719712:FAY719777 FKU719712:FKU719777 FUQ719712:FUQ719777 GEM719712:GEM719777 GOI719712:GOI719777 GYE719712:GYE719777 HIA719712:HIA719777 HRW719712:HRW719777 IBS719712:IBS719777 ILO719712:ILO719777 IVK719712:IVK719777 JFG719712:JFG719777 JPC719712:JPC719777 JYY719712:JYY719777 KIU719712:KIU719777 KSQ719712:KSQ719777 LCM719712:LCM719777 LMI719712:LMI719777 LWE719712:LWE719777 MGA719712:MGA719777 MPW719712:MPW719777 MZS719712:MZS719777 NJO719712:NJO719777 NTK719712:NTK719777 ODG719712:ODG719777 ONC719712:ONC719777 OWY719712:OWY719777 PGU719712:PGU719777 PQQ719712:PQQ719777 QAM719712:QAM719777 QKI719712:QKI719777 QUE719712:QUE719777 REA719712:REA719777 RNW719712:RNW719777 RXS719712:RXS719777 SHO719712:SHO719777 SRK719712:SRK719777 TBG719712:TBG719777 TLC719712:TLC719777 TUY719712:TUY719777 UEU719712:UEU719777 UOQ719712:UOQ719777 UYM719712:UYM719777 VII719712:VII719777 VSE719712:VSE719777 WCA719712:WCA719777 WLW719712:WLW719777 WVS719712:WVS719777 VII1047392:VII1047457 JG785248:JG785313 TC785248:TC785313 ACY785248:ACY785313 AMU785248:AMU785313 AWQ785248:AWQ785313 BGM785248:BGM785313 BQI785248:BQI785313 CAE785248:CAE785313 CKA785248:CKA785313 CTW785248:CTW785313 DDS785248:DDS785313 DNO785248:DNO785313 DXK785248:DXK785313 EHG785248:EHG785313 ERC785248:ERC785313 FAY785248:FAY785313 FKU785248:FKU785313 FUQ785248:FUQ785313 GEM785248:GEM785313 GOI785248:GOI785313 GYE785248:GYE785313 HIA785248:HIA785313 HRW785248:HRW785313 IBS785248:IBS785313 ILO785248:ILO785313 IVK785248:IVK785313 JFG785248:JFG785313 JPC785248:JPC785313 JYY785248:JYY785313 KIU785248:KIU785313 KSQ785248:KSQ785313 LCM785248:LCM785313 LMI785248:LMI785313 LWE785248:LWE785313 MGA785248:MGA785313 MPW785248:MPW785313 MZS785248:MZS785313 NJO785248:NJO785313 NTK785248:NTK785313 ODG785248:ODG785313 ONC785248:ONC785313 OWY785248:OWY785313 PGU785248:PGU785313 PQQ785248:PQQ785313 QAM785248:QAM785313 QKI785248:QKI785313 QUE785248:QUE785313 REA785248:REA785313 RNW785248:RNW785313 RXS785248:RXS785313 SHO785248:SHO785313 SRK785248:SRK785313 TBG785248:TBG785313 TLC785248:TLC785313 TUY785248:TUY785313 UEU785248:UEU785313 UOQ785248:UOQ785313 UYM785248:UYM785313 VII785248:VII785313 VSE785248:VSE785313 WCA785248:WCA785313 WLW785248:WLW785313 WVS785248:WVS785313 VSE1047392:VSE1047457 JG850784:JG850849 TC850784:TC850849 ACY850784:ACY850849 AMU850784:AMU850849 AWQ850784:AWQ850849 BGM850784:BGM850849 BQI850784:BQI850849 CAE850784:CAE850849 CKA850784:CKA850849 CTW850784:CTW850849 DDS850784:DDS850849 DNO850784:DNO850849 DXK850784:DXK850849 EHG850784:EHG850849 ERC850784:ERC850849 FAY850784:FAY850849 FKU850784:FKU850849 FUQ850784:FUQ850849 GEM850784:GEM850849 GOI850784:GOI850849 GYE850784:GYE850849 HIA850784:HIA850849 HRW850784:HRW850849 IBS850784:IBS850849 ILO850784:ILO850849 IVK850784:IVK850849 JFG850784:JFG850849 JPC850784:JPC850849 JYY850784:JYY850849 KIU850784:KIU850849 KSQ850784:KSQ850849 LCM850784:LCM850849 LMI850784:LMI850849 LWE850784:LWE850849 MGA850784:MGA850849 MPW850784:MPW850849 MZS850784:MZS850849 NJO850784:NJO850849 NTK850784:NTK850849 ODG850784:ODG850849 ONC850784:ONC850849 OWY850784:OWY850849 PGU850784:PGU850849 PQQ850784:PQQ850849 QAM850784:QAM850849 QKI850784:QKI850849 QUE850784:QUE850849 REA850784:REA850849 RNW850784:RNW850849 RXS850784:RXS850849 SHO850784:SHO850849 SRK850784:SRK850849 TBG850784:TBG850849 TLC850784:TLC850849 TUY850784:TUY850849 UEU850784:UEU850849 UOQ850784:UOQ850849 UYM850784:UYM850849 VII850784:VII850849 VSE850784:VSE850849 WCA850784:WCA850849 WLW850784:WLW850849 WVS850784:WVS850849 WCA1047392:WCA1047457 JG916320:JG916385 TC916320:TC916385 ACY916320:ACY916385 AMU916320:AMU916385 AWQ916320:AWQ916385 BGM916320:BGM916385 BQI916320:BQI916385 CAE916320:CAE916385 CKA916320:CKA916385 CTW916320:CTW916385 DDS916320:DDS916385 DNO916320:DNO916385 DXK916320:DXK916385 EHG916320:EHG916385 ERC916320:ERC916385 FAY916320:FAY916385 FKU916320:FKU916385 FUQ916320:FUQ916385 GEM916320:GEM916385 GOI916320:GOI916385 GYE916320:GYE916385 HIA916320:HIA916385 HRW916320:HRW916385 IBS916320:IBS916385 ILO916320:ILO916385 IVK916320:IVK916385 JFG916320:JFG916385 JPC916320:JPC916385 JYY916320:JYY916385 KIU916320:KIU916385 KSQ916320:KSQ916385 LCM916320:LCM916385 LMI916320:LMI916385 LWE916320:LWE916385 MGA916320:MGA916385 MPW916320:MPW916385 MZS916320:MZS916385 NJO916320:NJO916385 NTK916320:NTK916385 ODG916320:ODG916385 ONC916320:ONC916385 OWY916320:OWY916385 PGU916320:PGU916385 PQQ916320:PQQ916385 QAM916320:QAM916385 QKI916320:QKI916385 QUE916320:QUE916385 REA916320:REA916385 RNW916320:RNW916385 RXS916320:RXS916385 SHO916320:SHO916385 SRK916320:SRK916385 TBG916320:TBG916385 TLC916320:TLC916385 TUY916320:TUY916385 UEU916320:UEU916385 UOQ916320:UOQ916385 UYM916320:UYM916385 VII916320:VII916385 VSE916320:VSE916385 WCA916320:WCA916385 WLW916320:WLW916385 WVS916320:WVS916385 WLW1047392:WLW1047457 JG981856:JG981921 TC981856:TC981921 ACY981856:ACY981921 AMU981856:AMU981921 AWQ981856:AWQ981921 BGM981856:BGM981921 BQI981856:BQI981921 CAE981856:CAE981921 CKA981856:CKA981921 CTW981856:CTW981921 DDS981856:DDS981921 DNO981856:DNO981921 DXK981856:DXK981921 EHG981856:EHG981921 ERC981856:ERC981921 FAY981856:FAY981921 FKU981856:FKU981921 FUQ981856:FUQ981921 GEM981856:GEM981921 GOI981856:GOI981921 GYE981856:GYE981921 HIA981856:HIA981921 HRW981856:HRW981921 IBS981856:IBS981921 ILO981856:ILO981921 IVK981856:IVK981921 JFG981856:JFG981921 JPC981856:JPC981921 JYY981856:JYY981921 KIU981856:KIU981921 KSQ981856:KSQ981921 LCM981856:LCM981921 LMI981856:LMI981921 LWE981856:LWE981921 MGA981856:MGA981921 MPW981856:MPW981921 MZS981856:MZS981921 NJO981856:NJO981921 NTK981856:NTK981921 ODG981856:ODG981921 ONC981856:ONC981921 OWY981856:OWY981921 PGU981856:PGU981921 PQQ981856:PQQ981921 QAM981856:QAM981921 QKI981856:QKI981921 QUE981856:QUE981921 REA981856:REA981921 RNW981856:RNW981921 RXS981856:RXS981921 SHO981856:SHO981921 SRK981856:SRK981921 TBG981856:TBG981921 TLC981856:TLC981921 TUY981856:TUY981921 UEU981856:UEU981921 UOQ981856:UOQ981921 UYM981856:UYM981921 VII981856:VII981921 VSE981856:VSE981921 WCA981856:WCA981921 WLW981856:WLW981921 WVS981856:WVS981921 WVS1047392:WVS1047457 JG1047392:JG1047457 TC1047392:TC1047457 ACY1047392:ACY1047457 AMU1047392:AMU1047457 AWQ1047392:AWQ1047457 BGM1047392:BGM1047457 BQI1047392:BQI1047457 CAE1047392:CAE1047457 CKA1047392:CKA1047457 CTW1047392:CTW1047457 DDS1047392:DDS1047457 DNO1047392:DNO1047457 DXK1047392:DXK1047457 EHG1047392:EHG1047457 ERC1047392:ERC1047457 FAY1047392:FAY1047457 FKU1047392:FKU1047457 FUQ1047392:FUQ1047457 GEM1047392:GEM1047457 GOI1047392:GOI1047457 GYE1047392:GYE1047457 HIA1047392:HIA1047457 HRW1047392:HRW1047457 IBS1047392:IBS1047457 ILO1047392:ILO1047457 IVK1047392:IVK1047457 JFG1047392:JFG1047457 JPC1047392:JPC1047457 JYY1047392:JYY1047457 KIU1047392:KIU1047457 KSQ1047392:KSQ1047457 LCM1047392:LCM1047457 LMI1047392:LMI1047457 LWE1047392:LWE1047457 MGA1047392:MGA1047457 MPW1047392:MPW1047457 MZS1047392:MZS1047457 NJO1047392:NJO1047457 NTK1047392:NTK1047457 ODG1047392:ODG1047457 ONC1047392:ONC1047457 OWY1047392:OWY1047457 PGU1047392:PGU1047457 PQQ1047392:PQQ1047457 QAM1047392:QAM1047457 QKI1047392:QKI1047457 QUE1047392:QUE1047457" xr:uid="{8C32D0EC-2756-445B-BACE-4AB4682286BC}">
      <formula1>$AR$2:$AR$24</formula1>
    </dataValidation>
    <dataValidation type="list" allowBlank="1" showInputMessage="1" showErrorMessage="1" sqref="Y64352:AA64417 JU64352:JW64417 TQ64352:TS64417 ADM64352:ADO64417 ANI64352:ANK64417 AXE64352:AXG64417 BHA64352:BHC64417 BQW64352:BQY64417 CAS64352:CAU64417 CKO64352:CKQ64417 CUK64352:CUM64417 DEG64352:DEI64417 DOC64352:DOE64417 DXY64352:DYA64417 EHU64352:EHW64417 ERQ64352:ERS64417 FBM64352:FBO64417 FLI64352:FLK64417 FVE64352:FVG64417 GFA64352:GFC64417 GOW64352:GOY64417 GYS64352:GYU64417 HIO64352:HIQ64417 HSK64352:HSM64417 ICG64352:ICI64417 IMC64352:IME64417 IVY64352:IWA64417 JFU64352:JFW64417 JPQ64352:JPS64417 JZM64352:JZO64417 KJI64352:KJK64417 KTE64352:KTG64417 LDA64352:LDC64417 LMW64352:LMY64417 LWS64352:LWU64417 MGO64352:MGQ64417 MQK64352:MQM64417 NAG64352:NAI64417 NKC64352:NKE64417 NTY64352:NUA64417 ODU64352:ODW64417 ONQ64352:ONS64417 OXM64352:OXO64417 PHI64352:PHK64417 PRE64352:PRG64417 QBA64352:QBC64417 QKW64352:QKY64417 QUS64352:QUU64417 REO64352:REQ64417 ROK64352:ROM64417 RYG64352:RYI64417 SIC64352:SIE64417 SRY64352:SSA64417 TBU64352:TBW64417 TLQ64352:TLS64417 TVM64352:TVO64417 UFI64352:UFK64417 UPE64352:UPG64417 UZA64352:UZC64417 VIW64352:VIY64417 VSS64352:VSU64417 WCO64352:WCQ64417 WMK64352:WMM64417 WWG64352:WWI64417 Y129888:AA129953 JU129888:JW129953 TQ129888:TS129953 ADM129888:ADO129953 ANI129888:ANK129953 AXE129888:AXG129953 BHA129888:BHC129953 BQW129888:BQY129953 CAS129888:CAU129953 CKO129888:CKQ129953 CUK129888:CUM129953 DEG129888:DEI129953 DOC129888:DOE129953 DXY129888:DYA129953 EHU129888:EHW129953 ERQ129888:ERS129953 FBM129888:FBO129953 FLI129888:FLK129953 FVE129888:FVG129953 GFA129888:GFC129953 GOW129888:GOY129953 GYS129888:GYU129953 HIO129888:HIQ129953 HSK129888:HSM129953 ICG129888:ICI129953 IMC129888:IME129953 IVY129888:IWA129953 JFU129888:JFW129953 JPQ129888:JPS129953 JZM129888:JZO129953 KJI129888:KJK129953 KTE129888:KTG129953 LDA129888:LDC129953 LMW129888:LMY129953 LWS129888:LWU129953 MGO129888:MGQ129953 MQK129888:MQM129953 NAG129888:NAI129953 NKC129888:NKE129953 NTY129888:NUA129953 ODU129888:ODW129953 ONQ129888:ONS129953 OXM129888:OXO129953 PHI129888:PHK129953 PRE129888:PRG129953 QBA129888:QBC129953 QKW129888:QKY129953 QUS129888:QUU129953 REO129888:REQ129953 ROK129888:ROM129953 RYG129888:RYI129953 SIC129888:SIE129953 SRY129888:SSA129953 TBU129888:TBW129953 TLQ129888:TLS129953 TVM129888:TVO129953 UFI129888:UFK129953 UPE129888:UPG129953 UZA129888:UZC129953 VIW129888:VIY129953 VSS129888:VSU129953 WCO129888:WCQ129953 WMK129888:WMM129953 WWG129888:WWI129953 Y195424:AA195489 JU195424:JW195489 TQ195424:TS195489 ADM195424:ADO195489 ANI195424:ANK195489 AXE195424:AXG195489 BHA195424:BHC195489 BQW195424:BQY195489 CAS195424:CAU195489 CKO195424:CKQ195489 CUK195424:CUM195489 DEG195424:DEI195489 DOC195424:DOE195489 DXY195424:DYA195489 EHU195424:EHW195489 ERQ195424:ERS195489 FBM195424:FBO195489 FLI195424:FLK195489 FVE195424:FVG195489 GFA195424:GFC195489 GOW195424:GOY195489 GYS195424:GYU195489 HIO195424:HIQ195489 HSK195424:HSM195489 ICG195424:ICI195489 IMC195424:IME195489 IVY195424:IWA195489 JFU195424:JFW195489 JPQ195424:JPS195489 JZM195424:JZO195489 KJI195424:KJK195489 KTE195424:KTG195489 LDA195424:LDC195489 LMW195424:LMY195489 LWS195424:LWU195489 MGO195424:MGQ195489 MQK195424:MQM195489 NAG195424:NAI195489 NKC195424:NKE195489 NTY195424:NUA195489 ODU195424:ODW195489 ONQ195424:ONS195489 OXM195424:OXO195489 PHI195424:PHK195489 PRE195424:PRG195489 QBA195424:QBC195489 QKW195424:QKY195489 QUS195424:QUU195489 REO195424:REQ195489 ROK195424:ROM195489 RYG195424:RYI195489 SIC195424:SIE195489 SRY195424:SSA195489 TBU195424:TBW195489 TLQ195424:TLS195489 TVM195424:TVO195489 UFI195424:UFK195489 UPE195424:UPG195489 UZA195424:UZC195489 VIW195424:VIY195489 VSS195424:VSU195489 WCO195424:WCQ195489 WMK195424:WMM195489 WWG195424:WWI195489 Y260960:AA261025 JU260960:JW261025 TQ260960:TS261025 ADM260960:ADO261025 ANI260960:ANK261025 AXE260960:AXG261025 BHA260960:BHC261025 BQW260960:BQY261025 CAS260960:CAU261025 CKO260960:CKQ261025 CUK260960:CUM261025 DEG260960:DEI261025 DOC260960:DOE261025 DXY260960:DYA261025 EHU260960:EHW261025 ERQ260960:ERS261025 FBM260960:FBO261025 FLI260960:FLK261025 FVE260960:FVG261025 GFA260960:GFC261025 GOW260960:GOY261025 GYS260960:GYU261025 HIO260960:HIQ261025 HSK260960:HSM261025 ICG260960:ICI261025 IMC260960:IME261025 IVY260960:IWA261025 JFU260960:JFW261025 JPQ260960:JPS261025 JZM260960:JZO261025 KJI260960:KJK261025 KTE260960:KTG261025 LDA260960:LDC261025 LMW260960:LMY261025 LWS260960:LWU261025 MGO260960:MGQ261025 MQK260960:MQM261025 NAG260960:NAI261025 NKC260960:NKE261025 NTY260960:NUA261025 ODU260960:ODW261025 ONQ260960:ONS261025 OXM260960:OXO261025 PHI260960:PHK261025 PRE260960:PRG261025 QBA260960:QBC261025 QKW260960:QKY261025 QUS260960:QUU261025 REO260960:REQ261025 ROK260960:ROM261025 RYG260960:RYI261025 SIC260960:SIE261025 SRY260960:SSA261025 TBU260960:TBW261025 TLQ260960:TLS261025 TVM260960:TVO261025 UFI260960:UFK261025 UPE260960:UPG261025 UZA260960:UZC261025 VIW260960:VIY261025 VSS260960:VSU261025 WCO260960:WCQ261025 WMK260960:WMM261025 WWG260960:WWI261025 Y326496:AA326561 JU326496:JW326561 TQ326496:TS326561 ADM326496:ADO326561 ANI326496:ANK326561 AXE326496:AXG326561 BHA326496:BHC326561 BQW326496:BQY326561 CAS326496:CAU326561 CKO326496:CKQ326561 CUK326496:CUM326561 DEG326496:DEI326561 DOC326496:DOE326561 DXY326496:DYA326561 EHU326496:EHW326561 ERQ326496:ERS326561 FBM326496:FBO326561 FLI326496:FLK326561 FVE326496:FVG326561 GFA326496:GFC326561 GOW326496:GOY326561 GYS326496:GYU326561 HIO326496:HIQ326561 HSK326496:HSM326561 ICG326496:ICI326561 IMC326496:IME326561 IVY326496:IWA326561 JFU326496:JFW326561 JPQ326496:JPS326561 JZM326496:JZO326561 KJI326496:KJK326561 KTE326496:KTG326561 LDA326496:LDC326561 LMW326496:LMY326561 LWS326496:LWU326561 MGO326496:MGQ326561 MQK326496:MQM326561 NAG326496:NAI326561 NKC326496:NKE326561 NTY326496:NUA326561 ODU326496:ODW326561 ONQ326496:ONS326561 OXM326496:OXO326561 PHI326496:PHK326561 PRE326496:PRG326561 QBA326496:QBC326561 QKW326496:QKY326561 QUS326496:QUU326561 REO326496:REQ326561 ROK326496:ROM326561 RYG326496:RYI326561 SIC326496:SIE326561 SRY326496:SSA326561 TBU326496:TBW326561 TLQ326496:TLS326561 TVM326496:TVO326561 UFI326496:UFK326561 UPE326496:UPG326561 UZA326496:UZC326561 VIW326496:VIY326561 VSS326496:VSU326561 WCO326496:WCQ326561 WMK326496:WMM326561 WWG326496:WWI326561 Y392032:AA392097 JU392032:JW392097 TQ392032:TS392097 ADM392032:ADO392097 ANI392032:ANK392097 AXE392032:AXG392097 BHA392032:BHC392097 BQW392032:BQY392097 CAS392032:CAU392097 CKO392032:CKQ392097 CUK392032:CUM392097 DEG392032:DEI392097 DOC392032:DOE392097 DXY392032:DYA392097 EHU392032:EHW392097 ERQ392032:ERS392097 FBM392032:FBO392097 FLI392032:FLK392097 FVE392032:FVG392097 GFA392032:GFC392097 GOW392032:GOY392097 GYS392032:GYU392097 HIO392032:HIQ392097 HSK392032:HSM392097 ICG392032:ICI392097 IMC392032:IME392097 IVY392032:IWA392097 JFU392032:JFW392097 JPQ392032:JPS392097 JZM392032:JZO392097 KJI392032:KJK392097 KTE392032:KTG392097 LDA392032:LDC392097 LMW392032:LMY392097 LWS392032:LWU392097 MGO392032:MGQ392097 MQK392032:MQM392097 NAG392032:NAI392097 NKC392032:NKE392097 NTY392032:NUA392097 ODU392032:ODW392097 ONQ392032:ONS392097 OXM392032:OXO392097 PHI392032:PHK392097 PRE392032:PRG392097 QBA392032:QBC392097 QKW392032:QKY392097 QUS392032:QUU392097 REO392032:REQ392097 ROK392032:ROM392097 RYG392032:RYI392097 SIC392032:SIE392097 SRY392032:SSA392097 TBU392032:TBW392097 TLQ392032:TLS392097 TVM392032:TVO392097 UFI392032:UFK392097 UPE392032:UPG392097 UZA392032:UZC392097 VIW392032:VIY392097 VSS392032:VSU392097 WCO392032:WCQ392097 WMK392032:WMM392097 WWG392032:WWI392097 Y457568:AA457633 JU457568:JW457633 TQ457568:TS457633 ADM457568:ADO457633 ANI457568:ANK457633 AXE457568:AXG457633 BHA457568:BHC457633 BQW457568:BQY457633 CAS457568:CAU457633 CKO457568:CKQ457633 CUK457568:CUM457633 DEG457568:DEI457633 DOC457568:DOE457633 DXY457568:DYA457633 EHU457568:EHW457633 ERQ457568:ERS457633 FBM457568:FBO457633 FLI457568:FLK457633 FVE457568:FVG457633 GFA457568:GFC457633 GOW457568:GOY457633 GYS457568:GYU457633 HIO457568:HIQ457633 HSK457568:HSM457633 ICG457568:ICI457633 IMC457568:IME457633 IVY457568:IWA457633 JFU457568:JFW457633 JPQ457568:JPS457633 JZM457568:JZO457633 KJI457568:KJK457633 KTE457568:KTG457633 LDA457568:LDC457633 LMW457568:LMY457633 LWS457568:LWU457633 MGO457568:MGQ457633 MQK457568:MQM457633 NAG457568:NAI457633 NKC457568:NKE457633 NTY457568:NUA457633 ODU457568:ODW457633 ONQ457568:ONS457633 OXM457568:OXO457633 PHI457568:PHK457633 PRE457568:PRG457633 QBA457568:QBC457633 QKW457568:QKY457633 QUS457568:QUU457633 REO457568:REQ457633 ROK457568:ROM457633 RYG457568:RYI457633 SIC457568:SIE457633 SRY457568:SSA457633 TBU457568:TBW457633 TLQ457568:TLS457633 TVM457568:TVO457633 UFI457568:UFK457633 UPE457568:UPG457633 UZA457568:UZC457633 VIW457568:VIY457633 VSS457568:VSU457633 WCO457568:WCQ457633 WMK457568:WMM457633 WWG457568:WWI457633 Y523104:AA523169 JU523104:JW523169 TQ523104:TS523169 ADM523104:ADO523169 ANI523104:ANK523169 AXE523104:AXG523169 BHA523104:BHC523169 BQW523104:BQY523169 CAS523104:CAU523169 CKO523104:CKQ523169 CUK523104:CUM523169 DEG523104:DEI523169 DOC523104:DOE523169 DXY523104:DYA523169 EHU523104:EHW523169 ERQ523104:ERS523169 FBM523104:FBO523169 FLI523104:FLK523169 FVE523104:FVG523169 GFA523104:GFC523169 GOW523104:GOY523169 GYS523104:GYU523169 HIO523104:HIQ523169 HSK523104:HSM523169 ICG523104:ICI523169 IMC523104:IME523169 IVY523104:IWA523169 JFU523104:JFW523169 JPQ523104:JPS523169 JZM523104:JZO523169 KJI523104:KJK523169 KTE523104:KTG523169 LDA523104:LDC523169 LMW523104:LMY523169 LWS523104:LWU523169 MGO523104:MGQ523169 MQK523104:MQM523169 NAG523104:NAI523169 NKC523104:NKE523169 NTY523104:NUA523169 ODU523104:ODW523169 ONQ523104:ONS523169 OXM523104:OXO523169 PHI523104:PHK523169 PRE523104:PRG523169 QBA523104:QBC523169 QKW523104:QKY523169 QUS523104:QUU523169 REO523104:REQ523169 ROK523104:ROM523169 RYG523104:RYI523169 SIC523104:SIE523169 SRY523104:SSA523169 TBU523104:TBW523169 TLQ523104:TLS523169 TVM523104:TVO523169 UFI523104:UFK523169 UPE523104:UPG523169 UZA523104:UZC523169 VIW523104:VIY523169 VSS523104:VSU523169 WCO523104:WCQ523169 WMK523104:WMM523169 WWG523104:WWI523169 Y588640:AA588705 JU588640:JW588705 TQ588640:TS588705 ADM588640:ADO588705 ANI588640:ANK588705 AXE588640:AXG588705 BHA588640:BHC588705 BQW588640:BQY588705 CAS588640:CAU588705 CKO588640:CKQ588705 CUK588640:CUM588705 DEG588640:DEI588705 DOC588640:DOE588705 DXY588640:DYA588705 EHU588640:EHW588705 ERQ588640:ERS588705 FBM588640:FBO588705 FLI588640:FLK588705 FVE588640:FVG588705 GFA588640:GFC588705 GOW588640:GOY588705 GYS588640:GYU588705 HIO588640:HIQ588705 HSK588640:HSM588705 ICG588640:ICI588705 IMC588640:IME588705 IVY588640:IWA588705 JFU588640:JFW588705 JPQ588640:JPS588705 JZM588640:JZO588705 KJI588640:KJK588705 KTE588640:KTG588705 LDA588640:LDC588705 LMW588640:LMY588705 LWS588640:LWU588705 MGO588640:MGQ588705 MQK588640:MQM588705 NAG588640:NAI588705 NKC588640:NKE588705 NTY588640:NUA588705 ODU588640:ODW588705 ONQ588640:ONS588705 OXM588640:OXO588705 PHI588640:PHK588705 PRE588640:PRG588705 QBA588640:QBC588705 QKW588640:QKY588705 QUS588640:QUU588705 REO588640:REQ588705 ROK588640:ROM588705 RYG588640:RYI588705 SIC588640:SIE588705 SRY588640:SSA588705 TBU588640:TBW588705 TLQ588640:TLS588705 TVM588640:TVO588705 UFI588640:UFK588705 UPE588640:UPG588705 UZA588640:UZC588705 VIW588640:VIY588705 VSS588640:VSU588705 WCO588640:WCQ588705 WMK588640:WMM588705 WWG588640:WWI588705 Y654176:AA654241 JU654176:JW654241 TQ654176:TS654241 ADM654176:ADO654241 ANI654176:ANK654241 AXE654176:AXG654241 BHA654176:BHC654241 BQW654176:BQY654241 CAS654176:CAU654241 CKO654176:CKQ654241 CUK654176:CUM654241 DEG654176:DEI654241 DOC654176:DOE654241 DXY654176:DYA654241 EHU654176:EHW654241 ERQ654176:ERS654241 FBM654176:FBO654241 FLI654176:FLK654241 FVE654176:FVG654241 GFA654176:GFC654241 GOW654176:GOY654241 GYS654176:GYU654241 HIO654176:HIQ654241 HSK654176:HSM654241 ICG654176:ICI654241 IMC654176:IME654241 IVY654176:IWA654241 JFU654176:JFW654241 JPQ654176:JPS654241 JZM654176:JZO654241 KJI654176:KJK654241 KTE654176:KTG654241 LDA654176:LDC654241 LMW654176:LMY654241 LWS654176:LWU654241 MGO654176:MGQ654241 MQK654176:MQM654241 NAG654176:NAI654241 NKC654176:NKE654241 NTY654176:NUA654241 ODU654176:ODW654241 ONQ654176:ONS654241 OXM654176:OXO654241 PHI654176:PHK654241 PRE654176:PRG654241 QBA654176:QBC654241 QKW654176:QKY654241 QUS654176:QUU654241 REO654176:REQ654241 ROK654176:ROM654241 RYG654176:RYI654241 SIC654176:SIE654241 SRY654176:SSA654241 TBU654176:TBW654241 TLQ654176:TLS654241 TVM654176:TVO654241 UFI654176:UFK654241 UPE654176:UPG654241 UZA654176:UZC654241 VIW654176:VIY654241 VSS654176:VSU654241 WCO654176:WCQ654241 WMK654176:WMM654241 WWG654176:WWI654241 Y719712:AA719777 JU719712:JW719777 TQ719712:TS719777 ADM719712:ADO719777 ANI719712:ANK719777 AXE719712:AXG719777 BHA719712:BHC719777 BQW719712:BQY719777 CAS719712:CAU719777 CKO719712:CKQ719777 CUK719712:CUM719777 DEG719712:DEI719777 DOC719712:DOE719777 DXY719712:DYA719777 EHU719712:EHW719777 ERQ719712:ERS719777 FBM719712:FBO719777 FLI719712:FLK719777 FVE719712:FVG719777 GFA719712:GFC719777 GOW719712:GOY719777 GYS719712:GYU719777 HIO719712:HIQ719777 HSK719712:HSM719777 ICG719712:ICI719777 IMC719712:IME719777 IVY719712:IWA719777 JFU719712:JFW719777 JPQ719712:JPS719777 JZM719712:JZO719777 KJI719712:KJK719777 KTE719712:KTG719777 LDA719712:LDC719777 LMW719712:LMY719777 LWS719712:LWU719777 MGO719712:MGQ719777 MQK719712:MQM719777 NAG719712:NAI719777 NKC719712:NKE719777 NTY719712:NUA719777 ODU719712:ODW719777 ONQ719712:ONS719777 OXM719712:OXO719777 PHI719712:PHK719777 PRE719712:PRG719777 QBA719712:QBC719777 QKW719712:QKY719777 QUS719712:QUU719777 REO719712:REQ719777 ROK719712:ROM719777 RYG719712:RYI719777 SIC719712:SIE719777 SRY719712:SSA719777 TBU719712:TBW719777 TLQ719712:TLS719777 TVM719712:TVO719777 UFI719712:UFK719777 UPE719712:UPG719777 UZA719712:UZC719777 VIW719712:VIY719777 VSS719712:VSU719777 WCO719712:WCQ719777 WMK719712:WMM719777 WWG719712:WWI719777 Y785248:AA785313 JU785248:JW785313 TQ785248:TS785313 ADM785248:ADO785313 ANI785248:ANK785313 AXE785248:AXG785313 BHA785248:BHC785313 BQW785248:BQY785313 CAS785248:CAU785313 CKO785248:CKQ785313 CUK785248:CUM785313 DEG785248:DEI785313 DOC785248:DOE785313 DXY785248:DYA785313 EHU785248:EHW785313 ERQ785248:ERS785313 FBM785248:FBO785313 FLI785248:FLK785313 FVE785248:FVG785313 GFA785248:GFC785313 GOW785248:GOY785313 GYS785248:GYU785313 HIO785248:HIQ785313 HSK785248:HSM785313 ICG785248:ICI785313 IMC785248:IME785313 IVY785248:IWA785313 JFU785248:JFW785313 JPQ785248:JPS785313 JZM785248:JZO785313 KJI785248:KJK785313 KTE785248:KTG785313 LDA785248:LDC785313 LMW785248:LMY785313 LWS785248:LWU785313 MGO785248:MGQ785313 MQK785248:MQM785313 NAG785248:NAI785313 NKC785248:NKE785313 NTY785248:NUA785313 ODU785248:ODW785313 ONQ785248:ONS785313 OXM785248:OXO785313 PHI785248:PHK785313 PRE785248:PRG785313 QBA785248:QBC785313 QKW785248:QKY785313 QUS785248:QUU785313 REO785248:REQ785313 ROK785248:ROM785313 RYG785248:RYI785313 SIC785248:SIE785313 SRY785248:SSA785313 TBU785248:TBW785313 TLQ785248:TLS785313 TVM785248:TVO785313 UFI785248:UFK785313 UPE785248:UPG785313 UZA785248:UZC785313 VIW785248:VIY785313 VSS785248:VSU785313 WCO785248:WCQ785313 WMK785248:WMM785313 WWG785248:WWI785313 Y850784:AA850849 JU850784:JW850849 TQ850784:TS850849 ADM850784:ADO850849 ANI850784:ANK850849 AXE850784:AXG850849 BHA850784:BHC850849 BQW850784:BQY850849 CAS850784:CAU850849 CKO850784:CKQ850849 CUK850784:CUM850849 DEG850784:DEI850849 DOC850784:DOE850849 DXY850784:DYA850849 EHU850784:EHW850849 ERQ850784:ERS850849 FBM850784:FBO850849 FLI850784:FLK850849 FVE850784:FVG850849 GFA850784:GFC850849 GOW850784:GOY850849 GYS850784:GYU850849 HIO850784:HIQ850849 HSK850784:HSM850849 ICG850784:ICI850849 IMC850784:IME850849 IVY850784:IWA850849 JFU850784:JFW850849 JPQ850784:JPS850849 JZM850784:JZO850849 KJI850784:KJK850849 KTE850784:KTG850849 LDA850784:LDC850849 LMW850784:LMY850849 LWS850784:LWU850849 MGO850784:MGQ850849 MQK850784:MQM850849 NAG850784:NAI850849 NKC850784:NKE850849 NTY850784:NUA850849 ODU850784:ODW850849 ONQ850784:ONS850849 OXM850784:OXO850849 PHI850784:PHK850849 PRE850784:PRG850849 QBA850784:QBC850849 QKW850784:QKY850849 QUS850784:QUU850849 REO850784:REQ850849 ROK850784:ROM850849 RYG850784:RYI850849 SIC850784:SIE850849 SRY850784:SSA850849 TBU850784:TBW850849 TLQ850784:TLS850849 TVM850784:TVO850849 UFI850784:UFK850849 UPE850784:UPG850849 UZA850784:UZC850849 VIW850784:VIY850849 VSS850784:VSU850849 WCO850784:WCQ850849 WMK850784:WMM850849 WWG850784:WWI850849 Y916320:AA916385 JU916320:JW916385 TQ916320:TS916385 ADM916320:ADO916385 ANI916320:ANK916385 AXE916320:AXG916385 BHA916320:BHC916385 BQW916320:BQY916385 CAS916320:CAU916385 CKO916320:CKQ916385 CUK916320:CUM916385 DEG916320:DEI916385 DOC916320:DOE916385 DXY916320:DYA916385 EHU916320:EHW916385 ERQ916320:ERS916385 FBM916320:FBO916385 FLI916320:FLK916385 FVE916320:FVG916385 GFA916320:GFC916385 GOW916320:GOY916385 GYS916320:GYU916385 HIO916320:HIQ916385 HSK916320:HSM916385 ICG916320:ICI916385 IMC916320:IME916385 IVY916320:IWA916385 JFU916320:JFW916385 JPQ916320:JPS916385 JZM916320:JZO916385 KJI916320:KJK916385 KTE916320:KTG916385 LDA916320:LDC916385 LMW916320:LMY916385 LWS916320:LWU916385 MGO916320:MGQ916385 MQK916320:MQM916385 NAG916320:NAI916385 NKC916320:NKE916385 NTY916320:NUA916385 ODU916320:ODW916385 ONQ916320:ONS916385 OXM916320:OXO916385 PHI916320:PHK916385 PRE916320:PRG916385 QBA916320:QBC916385 QKW916320:QKY916385 QUS916320:QUU916385 REO916320:REQ916385 ROK916320:ROM916385 RYG916320:RYI916385 SIC916320:SIE916385 SRY916320:SSA916385 TBU916320:TBW916385 TLQ916320:TLS916385 TVM916320:TVO916385 UFI916320:UFK916385 UPE916320:UPG916385 UZA916320:UZC916385 VIW916320:VIY916385 VSS916320:VSU916385 WCO916320:WCQ916385 WMK916320:WMM916385 WWG916320:WWI916385 Y981856:AA981921 JU981856:JW981921 TQ981856:TS981921 ADM981856:ADO981921 ANI981856:ANK981921 AXE981856:AXG981921 BHA981856:BHC981921 BQW981856:BQY981921 CAS981856:CAU981921 CKO981856:CKQ981921 CUK981856:CUM981921 DEG981856:DEI981921 DOC981856:DOE981921 DXY981856:DYA981921 EHU981856:EHW981921 ERQ981856:ERS981921 FBM981856:FBO981921 FLI981856:FLK981921 FVE981856:FVG981921 GFA981856:GFC981921 GOW981856:GOY981921 GYS981856:GYU981921 HIO981856:HIQ981921 HSK981856:HSM981921 ICG981856:ICI981921 IMC981856:IME981921 IVY981856:IWA981921 JFU981856:JFW981921 JPQ981856:JPS981921 JZM981856:JZO981921 KJI981856:KJK981921 KTE981856:KTG981921 LDA981856:LDC981921 LMW981856:LMY981921 LWS981856:LWU981921 MGO981856:MGQ981921 MQK981856:MQM981921 NAG981856:NAI981921 NKC981856:NKE981921 NTY981856:NUA981921 ODU981856:ODW981921 ONQ981856:ONS981921 OXM981856:OXO981921 PHI981856:PHK981921 PRE981856:PRG981921 QBA981856:QBC981921 QKW981856:QKY981921 QUS981856:QUU981921 REO981856:REQ981921 ROK981856:ROM981921 RYG981856:RYI981921 SIC981856:SIE981921 SRY981856:SSA981921 TBU981856:TBW981921 TLQ981856:TLS981921 TVM981856:TVO981921 UFI981856:UFK981921 UPE981856:UPG981921 UZA981856:UZC981921 VIW981856:VIY981921 VSS981856:VSU981921 WCO981856:WCQ981921 WMK981856:WMM981921 WWG981856:WWI981921 Y1047392:AA1047457 JU1047392:JW1047457 TQ1047392:TS1047457 ADM1047392:ADO1047457 ANI1047392:ANK1047457 AXE1047392:AXG1047457 BHA1047392:BHC1047457 BQW1047392:BQY1047457 CAS1047392:CAU1047457 CKO1047392:CKQ1047457 CUK1047392:CUM1047457 DEG1047392:DEI1047457 DOC1047392:DOE1047457 DXY1047392:DYA1047457 EHU1047392:EHW1047457 ERQ1047392:ERS1047457 FBM1047392:FBO1047457 FLI1047392:FLK1047457 FVE1047392:FVG1047457 GFA1047392:GFC1047457 GOW1047392:GOY1047457 GYS1047392:GYU1047457 HIO1047392:HIQ1047457 HSK1047392:HSM1047457 ICG1047392:ICI1047457 IMC1047392:IME1047457 IVY1047392:IWA1047457 JFU1047392:JFW1047457 JPQ1047392:JPS1047457 JZM1047392:JZO1047457 KJI1047392:KJK1047457 KTE1047392:KTG1047457 LDA1047392:LDC1047457 LMW1047392:LMY1047457 LWS1047392:LWU1047457 MGO1047392:MGQ1047457 MQK1047392:MQM1047457 NAG1047392:NAI1047457 NKC1047392:NKE1047457 NTY1047392:NUA1047457 ODU1047392:ODW1047457 ONQ1047392:ONS1047457 OXM1047392:OXO1047457 PHI1047392:PHK1047457 PRE1047392:PRG1047457 QBA1047392:QBC1047457 QKW1047392:QKY1047457 QUS1047392:QUU1047457 REO1047392:REQ1047457 ROK1047392:ROM1047457 RYG1047392:RYI1047457 SIC1047392:SIE1047457 SRY1047392:SSA1047457 TBU1047392:TBW1047457 TLQ1047392:TLS1047457 TVM1047392:TVO1047457 UFI1047392:UFK1047457 UPE1047392:UPG1047457 UZA1047392:UZC1047457 VIW1047392:VIY1047457 VSS1047392:VSU1047457 WCO1047392:WCQ1047457 WMK1047392:WMM1047457 WWG1047392:WWI1047457 WWG983031:WWI983096 Y65527:AA65592 JU65527:JW65592 TQ65527:TS65592 ADM65527:ADO65592 ANI65527:ANK65592 AXE65527:AXG65592 BHA65527:BHC65592 BQW65527:BQY65592 CAS65527:CAU65592 CKO65527:CKQ65592 CUK65527:CUM65592 DEG65527:DEI65592 DOC65527:DOE65592 DXY65527:DYA65592 EHU65527:EHW65592 ERQ65527:ERS65592 FBM65527:FBO65592 FLI65527:FLK65592 FVE65527:FVG65592 GFA65527:GFC65592 GOW65527:GOY65592 GYS65527:GYU65592 HIO65527:HIQ65592 HSK65527:HSM65592 ICG65527:ICI65592 IMC65527:IME65592 IVY65527:IWA65592 JFU65527:JFW65592 JPQ65527:JPS65592 JZM65527:JZO65592 KJI65527:KJK65592 KTE65527:KTG65592 LDA65527:LDC65592 LMW65527:LMY65592 LWS65527:LWU65592 MGO65527:MGQ65592 MQK65527:MQM65592 NAG65527:NAI65592 NKC65527:NKE65592 NTY65527:NUA65592 ODU65527:ODW65592 ONQ65527:ONS65592 OXM65527:OXO65592 PHI65527:PHK65592 PRE65527:PRG65592 QBA65527:QBC65592 QKW65527:QKY65592 QUS65527:QUU65592 REO65527:REQ65592 ROK65527:ROM65592 RYG65527:RYI65592 SIC65527:SIE65592 SRY65527:SSA65592 TBU65527:TBW65592 TLQ65527:TLS65592 TVM65527:TVO65592 UFI65527:UFK65592 UPE65527:UPG65592 UZA65527:UZC65592 VIW65527:VIY65592 VSS65527:VSU65592 WCO65527:WCQ65592 WMK65527:WMM65592 WWG65527:WWI65592 Y131063:AA131128 JU131063:JW131128 TQ131063:TS131128 ADM131063:ADO131128 ANI131063:ANK131128 AXE131063:AXG131128 BHA131063:BHC131128 BQW131063:BQY131128 CAS131063:CAU131128 CKO131063:CKQ131128 CUK131063:CUM131128 DEG131063:DEI131128 DOC131063:DOE131128 DXY131063:DYA131128 EHU131063:EHW131128 ERQ131063:ERS131128 FBM131063:FBO131128 FLI131063:FLK131128 FVE131063:FVG131128 GFA131063:GFC131128 GOW131063:GOY131128 GYS131063:GYU131128 HIO131063:HIQ131128 HSK131063:HSM131128 ICG131063:ICI131128 IMC131063:IME131128 IVY131063:IWA131128 JFU131063:JFW131128 JPQ131063:JPS131128 JZM131063:JZO131128 KJI131063:KJK131128 KTE131063:KTG131128 LDA131063:LDC131128 LMW131063:LMY131128 LWS131063:LWU131128 MGO131063:MGQ131128 MQK131063:MQM131128 NAG131063:NAI131128 NKC131063:NKE131128 NTY131063:NUA131128 ODU131063:ODW131128 ONQ131063:ONS131128 OXM131063:OXO131128 PHI131063:PHK131128 PRE131063:PRG131128 QBA131063:QBC131128 QKW131063:QKY131128 QUS131063:QUU131128 REO131063:REQ131128 ROK131063:ROM131128 RYG131063:RYI131128 SIC131063:SIE131128 SRY131063:SSA131128 TBU131063:TBW131128 TLQ131063:TLS131128 TVM131063:TVO131128 UFI131063:UFK131128 UPE131063:UPG131128 UZA131063:UZC131128 VIW131063:VIY131128 VSS131063:VSU131128 WCO131063:WCQ131128 WMK131063:WMM131128 WWG131063:WWI131128 Y196599:AA196664 JU196599:JW196664 TQ196599:TS196664 ADM196599:ADO196664 ANI196599:ANK196664 AXE196599:AXG196664 BHA196599:BHC196664 BQW196599:BQY196664 CAS196599:CAU196664 CKO196599:CKQ196664 CUK196599:CUM196664 DEG196599:DEI196664 DOC196599:DOE196664 DXY196599:DYA196664 EHU196599:EHW196664 ERQ196599:ERS196664 FBM196599:FBO196664 FLI196599:FLK196664 FVE196599:FVG196664 GFA196599:GFC196664 GOW196599:GOY196664 GYS196599:GYU196664 HIO196599:HIQ196664 HSK196599:HSM196664 ICG196599:ICI196664 IMC196599:IME196664 IVY196599:IWA196664 JFU196599:JFW196664 JPQ196599:JPS196664 JZM196599:JZO196664 KJI196599:KJK196664 KTE196599:KTG196664 LDA196599:LDC196664 LMW196599:LMY196664 LWS196599:LWU196664 MGO196599:MGQ196664 MQK196599:MQM196664 NAG196599:NAI196664 NKC196599:NKE196664 NTY196599:NUA196664 ODU196599:ODW196664 ONQ196599:ONS196664 OXM196599:OXO196664 PHI196599:PHK196664 PRE196599:PRG196664 QBA196599:QBC196664 QKW196599:QKY196664 QUS196599:QUU196664 REO196599:REQ196664 ROK196599:ROM196664 RYG196599:RYI196664 SIC196599:SIE196664 SRY196599:SSA196664 TBU196599:TBW196664 TLQ196599:TLS196664 TVM196599:TVO196664 UFI196599:UFK196664 UPE196599:UPG196664 UZA196599:UZC196664 VIW196599:VIY196664 VSS196599:VSU196664 WCO196599:WCQ196664 WMK196599:WMM196664 WWG196599:WWI196664 Y262135:AA262200 JU262135:JW262200 TQ262135:TS262200 ADM262135:ADO262200 ANI262135:ANK262200 AXE262135:AXG262200 BHA262135:BHC262200 BQW262135:BQY262200 CAS262135:CAU262200 CKO262135:CKQ262200 CUK262135:CUM262200 DEG262135:DEI262200 DOC262135:DOE262200 DXY262135:DYA262200 EHU262135:EHW262200 ERQ262135:ERS262200 FBM262135:FBO262200 FLI262135:FLK262200 FVE262135:FVG262200 GFA262135:GFC262200 GOW262135:GOY262200 GYS262135:GYU262200 HIO262135:HIQ262200 HSK262135:HSM262200 ICG262135:ICI262200 IMC262135:IME262200 IVY262135:IWA262200 JFU262135:JFW262200 JPQ262135:JPS262200 JZM262135:JZO262200 KJI262135:KJK262200 KTE262135:KTG262200 LDA262135:LDC262200 LMW262135:LMY262200 LWS262135:LWU262200 MGO262135:MGQ262200 MQK262135:MQM262200 NAG262135:NAI262200 NKC262135:NKE262200 NTY262135:NUA262200 ODU262135:ODW262200 ONQ262135:ONS262200 OXM262135:OXO262200 PHI262135:PHK262200 PRE262135:PRG262200 QBA262135:QBC262200 QKW262135:QKY262200 QUS262135:QUU262200 REO262135:REQ262200 ROK262135:ROM262200 RYG262135:RYI262200 SIC262135:SIE262200 SRY262135:SSA262200 TBU262135:TBW262200 TLQ262135:TLS262200 TVM262135:TVO262200 UFI262135:UFK262200 UPE262135:UPG262200 UZA262135:UZC262200 VIW262135:VIY262200 VSS262135:VSU262200 WCO262135:WCQ262200 WMK262135:WMM262200 WWG262135:WWI262200 Y327671:AA327736 JU327671:JW327736 TQ327671:TS327736 ADM327671:ADO327736 ANI327671:ANK327736 AXE327671:AXG327736 BHA327671:BHC327736 BQW327671:BQY327736 CAS327671:CAU327736 CKO327671:CKQ327736 CUK327671:CUM327736 DEG327671:DEI327736 DOC327671:DOE327736 DXY327671:DYA327736 EHU327671:EHW327736 ERQ327671:ERS327736 FBM327671:FBO327736 FLI327671:FLK327736 FVE327671:FVG327736 GFA327671:GFC327736 GOW327671:GOY327736 GYS327671:GYU327736 HIO327671:HIQ327736 HSK327671:HSM327736 ICG327671:ICI327736 IMC327671:IME327736 IVY327671:IWA327736 JFU327671:JFW327736 JPQ327671:JPS327736 JZM327671:JZO327736 KJI327671:KJK327736 KTE327671:KTG327736 LDA327671:LDC327736 LMW327671:LMY327736 LWS327671:LWU327736 MGO327671:MGQ327736 MQK327671:MQM327736 NAG327671:NAI327736 NKC327671:NKE327736 NTY327671:NUA327736 ODU327671:ODW327736 ONQ327671:ONS327736 OXM327671:OXO327736 PHI327671:PHK327736 PRE327671:PRG327736 QBA327671:QBC327736 QKW327671:QKY327736 QUS327671:QUU327736 REO327671:REQ327736 ROK327671:ROM327736 RYG327671:RYI327736 SIC327671:SIE327736 SRY327671:SSA327736 TBU327671:TBW327736 TLQ327671:TLS327736 TVM327671:TVO327736 UFI327671:UFK327736 UPE327671:UPG327736 UZA327671:UZC327736 VIW327671:VIY327736 VSS327671:VSU327736 WCO327671:WCQ327736 WMK327671:WMM327736 WWG327671:WWI327736 Y393207:AA393272 JU393207:JW393272 TQ393207:TS393272 ADM393207:ADO393272 ANI393207:ANK393272 AXE393207:AXG393272 BHA393207:BHC393272 BQW393207:BQY393272 CAS393207:CAU393272 CKO393207:CKQ393272 CUK393207:CUM393272 DEG393207:DEI393272 DOC393207:DOE393272 DXY393207:DYA393272 EHU393207:EHW393272 ERQ393207:ERS393272 FBM393207:FBO393272 FLI393207:FLK393272 FVE393207:FVG393272 GFA393207:GFC393272 GOW393207:GOY393272 GYS393207:GYU393272 HIO393207:HIQ393272 HSK393207:HSM393272 ICG393207:ICI393272 IMC393207:IME393272 IVY393207:IWA393272 JFU393207:JFW393272 JPQ393207:JPS393272 JZM393207:JZO393272 KJI393207:KJK393272 KTE393207:KTG393272 LDA393207:LDC393272 LMW393207:LMY393272 LWS393207:LWU393272 MGO393207:MGQ393272 MQK393207:MQM393272 NAG393207:NAI393272 NKC393207:NKE393272 NTY393207:NUA393272 ODU393207:ODW393272 ONQ393207:ONS393272 OXM393207:OXO393272 PHI393207:PHK393272 PRE393207:PRG393272 QBA393207:QBC393272 QKW393207:QKY393272 QUS393207:QUU393272 REO393207:REQ393272 ROK393207:ROM393272 RYG393207:RYI393272 SIC393207:SIE393272 SRY393207:SSA393272 TBU393207:TBW393272 TLQ393207:TLS393272 TVM393207:TVO393272 UFI393207:UFK393272 UPE393207:UPG393272 UZA393207:UZC393272 VIW393207:VIY393272 VSS393207:VSU393272 WCO393207:WCQ393272 WMK393207:WMM393272 WWG393207:WWI393272 Y458743:AA458808 JU458743:JW458808 TQ458743:TS458808 ADM458743:ADO458808 ANI458743:ANK458808 AXE458743:AXG458808 BHA458743:BHC458808 BQW458743:BQY458808 CAS458743:CAU458808 CKO458743:CKQ458808 CUK458743:CUM458808 DEG458743:DEI458808 DOC458743:DOE458808 DXY458743:DYA458808 EHU458743:EHW458808 ERQ458743:ERS458808 FBM458743:FBO458808 FLI458743:FLK458808 FVE458743:FVG458808 GFA458743:GFC458808 GOW458743:GOY458808 GYS458743:GYU458808 HIO458743:HIQ458808 HSK458743:HSM458808 ICG458743:ICI458808 IMC458743:IME458808 IVY458743:IWA458808 JFU458743:JFW458808 JPQ458743:JPS458808 JZM458743:JZO458808 KJI458743:KJK458808 KTE458743:KTG458808 LDA458743:LDC458808 LMW458743:LMY458808 LWS458743:LWU458808 MGO458743:MGQ458808 MQK458743:MQM458808 NAG458743:NAI458808 NKC458743:NKE458808 NTY458743:NUA458808 ODU458743:ODW458808 ONQ458743:ONS458808 OXM458743:OXO458808 PHI458743:PHK458808 PRE458743:PRG458808 QBA458743:QBC458808 QKW458743:QKY458808 QUS458743:QUU458808 REO458743:REQ458808 ROK458743:ROM458808 RYG458743:RYI458808 SIC458743:SIE458808 SRY458743:SSA458808 TBU458743:TBW458808 TLQ458743:TLS458808 TVM458743:TVO458808 UFI458743:UFK458808 UPE458743:UPG458808 UZA458743:UZC458808 VIW458743:VIY458808 VSS458743:VSU458808 WCO458743:WCQ458808 WMK458743:WMM458808 WWG458743:WWI458808 Y524279:AA524344 JU524279:JW524344 TQ524279:TS524344 ADM524279:ADO524344 ANI524279:ANK524344 AXE524279:AXG524344 BHA524279:BHC524344 BQW524279:BQY524344 CAS524279:CAU524344 CKO524279:CKQ524344 CUK524279:CUM524344 DEG524279:DEI524344 DOC524279:DOE524344 DXY524279:DYA524344 EHU524279:EHW524344 ERQ524279:ERS524344 FBM524279:FBO524344 FLI524279:FLK524344 FVE524279:FVG524344 GFA524279:GFC524344 GOW524279:GOY524344 GYS524279:GYU524344 HIO524279:HIQ524344 HSK524279:HSM524344 ICG524279:ICI524344 IMC524279:IME524344 IVY524279:IWA524344 JFU524279:JFW524344 JPQ524279:JPS524344 JZM524279:JZO524344 KJI524279:KJK524344 KTE524279:KTG524344 LDA524279:LDC524344 LMW524279:LMY524344 LWS524279:LWU524344 MGO524279:MGQ524344 MQK524279:MQM524344 NAG524279:NAI524344 NKC524279:NKE524344 NTY524279:NUA524344 ODU524279:ODW524344 ONQ524279:ONS524344 OXM524279:OXO524344 PHI524279:PHK524344 PRE524279:PRG524344 QBA524279:QBC524344 QKW524279:QKY524344 QUS524279:QUU524344 REO524279:REQ524344 ROK524279:ROM524344 RYG524279:RYI524344 SIC524279:SIE524344 SRY524279:SSA524344 TBU524279:TBW524344 TLQ524279:TLS524344 TVM524279:TVO524344 UFI524279:UFK524344 UPE524279:UPG524344 UZA524279:UZC524344 VIW524279:VIY524344 VSS524279:VSU524344 WCO524279:WCQ524344 WMK524279:WMM524344 WWG524279:WWI524344 Y589815:AA589880 JU589815:JW589880 TQ589815:TS589880 ADM589815:ADO589880 ANI589815:ANK589880 AXE589815:AXG589880 BHA589815:BHC589880 BQW589815:BQY589880 CAS589815:CAU589880 CKO589815:CKQ589880 CUK589815:CUM589880 DEG589815:DEI589880 DOC589815:DOE589880 DXY589815:DYA589880 EHU589815:EHW589880 ERQ589815:ERS589880 FBM589815:FBO589880 FLI589815:FLK589880 FVE589815:FVG589880 GFA589815:GFC589880 GOW589815:GOY589880 GYS589815:GYU589880 HIO589815:HIQ589880 HSK589815:HSM589880 ICG589815:ICI589880 IMC589815:IME589880 IVY589815:IWA589880 JFU589815:JFW589880 JPQ589815:JPS589880 JZM589815:JZO589880 KJI589815:KJK589880 KTE589815:KTG589880 LDA589815:LDC589880 LMW589815:LMY589880 LWS589815:LWU589880 MGO589815:MGQ589880 MQK589815:MQM589880 NAG589815:NAI589880 NKC589815:NKE589880 NTY589815:NUA589880 ODU589815:ODW589880 ONQ589815:ONS589880 OXM589815:OXO589880 PHI589815:PHK589880 PRE589815:PRG589880 QBA589815:QBC589880 QKW589815:QKY589880 QUS589815:QUU589880 REO589815:REQ589880 ROK589815:ROM589880 RYG589815:RYI589880 SIC589815:SIE589880 SRY589815:SSA589880 TBU589815:TBW589880 TLQ589815:TLS589880 TVM589815:TVO589880 UFI589815:UFK589880 UPE589815:UPG589880 UZA589815:UZC589880 VIW589815:VIY589880 VSS589815:VSU589880 WCO589815:WCQ589880 WMK589815:WMM589880 WWG589815:WWI589880 Y655351:AA655416 JU655351:JW655416 TQ655351:TS655416 ADM655351:ADO655416 ANI655351:ANK655416 AXE655351:AXG655416 BHA655351:BHC655416 BQW655351:BQY655416 CAS655351:CAU655416 CKO655351:CKQ655416 CUK655351:CUM655416 DEG655351:DEI655416 DOC655351:DOE655416 DXY655351:DYA655416 EHU655351:EHW655416 ERQ655351:ERS655416 FBM655351:FBO655416 FLI655351:FLK655416 FVE655351:FVG655416 GFA655351:GFC655416 GOW655351:GOY655416 GYS655351:GYU655416 HIO655351:HIQ655416 HSK655351:HSM655416 ICG655351:ICI655416 IMC655351:IME655416 IVY655351:IWA655416 JFU655351:JFW655416 JPQ655351:JPS655416 JZM655351:JZO655416 KJI655351:KJK655416 KTE655351:KTG655416 LDA655351:LDC655416 LMW655351:LMY655416 LWS655351:LWU655416 MGO655351:MGQ655416 MQK655351:MQM655416 NAG655351:NAI655416 NKC655351:NKE655416 NTY655351:NUA655416 ODU655351:ODW655416 ONQ655351:ONS655416 OXM655351:OXO655416 PHI655351:PHK655416 PRE655351:PRG655416 QBA655351:QBC655416 QKW655351:QKY655416 QUS655351:QUU655416 REO655351:REQ655416 ROK655351:ROM655416 RYG655351:RYI655416 SIC655351:SIE655416 SRY655351:SSA655416 TBU655351:TBW655416 TLQ655351:TLS655416 TVM655351:TVO655416 UFI655351:UFK655416 UPE655351:UPG655416 UZA655351:UZC655416 VIW655351:VIY655416 VSS655351:VSU655416 WCO655351:WCQ655416 WMK655351:WMM655416 WWG655351:WWI655416 Y720887:AA720952 JU720887:JW720952 TQ720887:TS720952 ADM720887:ADO720952 ANI720887:ANK720952 AXE720887:AXG720952 BHA720887:BHC720952 BQW720887:BQY720952 CAS720887:CAU720952 CKO720887:CKQ720952 CUK720887:CUM720952 DEG720887:DEI720952 DOC720887:DOE720952 DXY720887:DYA720952 EHU720887:EHW720952 ERQ720887:ERS720952 FBM720887:FBO720952 FLI720887:FLK720952 FVE720887:FVG720952 GFA720887:GFC720952 GOW720887:GOY720952 GYS720887:GYU720952 HIO720887:HIQ720952 HSK720887:HSM720952 ICG720887:ICI720952 IMC720887:IME720952 IVY720887:IWA720952 JFU720887:JFW720952 JPQ720887:JPS720952 JZM720887:JZO720952 KJI720887:KJK720952 KTE720887:KTG720952 LDA720887:LDC720952 LMW720887:LMY720952 LWS720887:LWU720952 MGO720887:MGQ720952 MQK720887:MQM720952 NAG720887:NAI720952 NKC720887:NKE720952 NTY720887:NUA720952 ODU720887:ODW720952 ONQ720887:ONS720952 OXM720887:OXO720952 PHI720887:PHK720952 PRE720887:PRG720952 QBA720887:QBC720952 QKW720887:QKY720952 QUS720887:QUU720952 REO720887:REQ720952 ROK720887:ROM720952 RYG720887:RYI720952 SIC720887:SIE720952 SRY720887:SSA720952 TBU720887:TBW720952 TLQ720887:TLS720952 TVM720887:TVO720952 UFI720887:UFK720952 UPE720887:UPG720952 UZA720887:UZC720952 VIW720887:VIY720952 VSS720887:VSU720952 WCO720887:WCQ720952 WMK720887:WMM720952 WWG720887:WWI720952 Y786423:AA786488 JU786423:JW786488 TQ786423:TS786488 ADM786423:ADO786488 ANI786423:ANK786488 AXE786423:AXG786488 BHA786423:BHC786488 BQW786423:BQY786488 CAS786423:CAU786488 CKO786423:CKQ786488 CUK786423:CUM786488 DEG786423:DEI786488 DOC786423:DOE786488 DXY786423:DYA786488 EHU786423:EHW786488 ERQ786423:ERS786488 FBM786423:FBO786488 FLI786423:FLK786488 FVE786423:FVG786488 GFA786423:GFC786488 GOW786423:GOY786488 GYS786423:GYU786488 HIO786423:HIQ786488 HSK786423:HSM786488 ICG786423:ICI786488 IMC786423:IME786488 IVY786423:IWA786488 JFU786423:JFW786488 JPQ786423:JPS786488 JZM786423:JZO786488 KJI786423:KJK786488 KTE786423:KTG786488 LDA786423:LDC786488 LMW786423:LMY786488 LWS786423:LWU786488 MGO786423:MGQ786488 MQK786423:MQM786488 NAG786423:NAI786488 NKC786423:NKE786488 NTY786423:NUA786488 ODU786423:ODW786488 ONQ786423:ONS786488 OXM786423:OXO786488 PHI786423:PHK786488 PRE786423:PRG786488 QBA786423:QBC786488 QKW786423:QKY786488 QUS786423:QUU786488 REO786423:REQ786488 ROK786423:ROM786488 RYG786423:RYI786488 SIC786423:SIE786488 SRY786423:SSA786488 TBU786423:TBW786488 TLQ786423:TLS786488 TVM786423:TVO786488 UFI786423:UFK786488 UPE786423:UPG786488 UZA786423:UZC786488 VIW786423:VIY786488 VSS786423:VSU786488 WCO786423:WCQ786488 WMK786423:WMM786488 WWG786423:WWI786488 Y851959:AA852024 JU851959:JW852024 TQ851959:TS852024 ADM851959:ADO852024 ANI851959:ANK852024 AXE851959:AXG852024 BHA851959:BHC852024 BQW851959:BQY852024 CAS851959:CAU852024 CKO851959:CKQ852024 CUK851959:CUM852024 DEG851959:DEI852024 DOC851959:DOE852024 DXY851959:DYA852024 EHU851959:EHW852024 ERQ851959:ERS852024 FBM851959:FBO852024 FLI851959:FLK852024 FVE851959:FVG852024 GFA851959:GFC852024 GOW851959:GOY852024 GYS851959:GYU852024 HIO851959:HIQ852024 HSK851959:HSM852024 ICG851959:ICI852024 IMC851959:IME852024 IVY851959:IWA852024 JFU851959:JFW852024 JPQ851959:JPS852024 JZM851959:JZO852024 KJI851959:KJK852024 KTE851959:KTG852024 LDA851959:LDC852024 LMW851959:LMY852024 LWS851959:LWU852024 MGO851959:MGQ852024 MQK851959:MQM852024 NAG851959:NAI852024 NKC851959:NKE852024 NTY851959:NUA852024 ODU851959:ODW852024 ONQ851959:ONS852024 OXM851959:OXO852024 PHI851959:PHK852024 PRE851959:PRG852024 QBA851959:QBC852024 QKW851959:QKY852024 QUS851959:QUU852024 REO851959:REQ852024 ROK851959:ROM852024 RYG851959:RYI852024 SIC851959:SIE852024 SRY851959:SSA852024 TBU851959:TBW852024 TLQ851959:TLS852024 TVM851959:TVO852024 UFI851959:UFK852024 UPE851959:UPG852024 UZA851959:UZC852024 VIW851959:VIY852024 VSS851959:VSU852024 WCO851959:WCQ852024 WMK851959:WMM852024 WWG851959:WWI852024 Y917495:AA917560 JU917495:JW917560 TQ917495:TS917560 ADM917495:ADO917560 ANI917495:ANK917560 AXE917495:AXG917560 BHA917495:BHC917560 BQW917495:BQY917560 CAS917495:CAU917560 CKO917495:CKQ917560 CUK917495:CUM917560 DEG917495:DEI917560 DOC917495:DOE917560 DXY917495:DYA917560 EHU917495:EHW917560 ERQ917495:ERS917560 FBM917495:FBO917560 FLI917495:FLK917560 FVE917495:FVG917560 GFA917495:GFC917560 GOW917495:GOY917560 GYS917495:GYU917560 HIO917495:HIQ917560 HSK917495:HSM917560 ICG917495:ICI917560 IMC917495:IME917560 IVY917495:IWA917560 JFU917495:JFW917560 JPQ917495:JPS917560 JZM917495:JZO917560 KJI917495:KJK917560 KTE917495:KTG917560 LDA917495:LDC917560 LMW917495:LMY917560 LWS917495:LWU917560 MGO917495:MGQ917560 MQK917495:MQM917560 NAG917495:NAI917560 NKC917495:NKE917560 NTY917495:NUA917560 ODU917495:ODW917560 ONQ917495:ONS917560 OXM917495:OXO917560 PHI917495:PHK917560 PRE917495:PRG917560 QBA917495:QBC917560 QKW917495:QKY917560 QUS917495:QUU917560 REO917495:REQ917560 ROK917495:ROM917560 RYG917495:RYI917560 SIC917495:SIE917560 SRY917495:SSA917560 TBU917495:TBW917560 TLQ917495:TLS917560 TVM917495:TVO917560 UFI917495:UFK917560 UPE917495:UPG917560 UZA917495:UZC917560 VIW917495:VIY917560 VSS917495:VSU917560 WCO917495:WCQ917560 WMK917495:WMM917560 WWG917495:WWI917560 Y983031:AA983096 JU983031:JW983096 TQ983031:TS983096 ADM983031:ADO983096 ANI983031:ANK983096 AXE983031:AXG983096 BHA983031:BHC983096 BQW983031:BQY983096 CAS983031:CAU983096 CKO983031:CKQ983096 CUK983031:CUM983096 DEG983031:DEI983096 DOC983031:DOE983096 DXY983031:DYA983096 EHU983031:EHW983096 ERQ983031:ERS983096 FBM983031:FBO983096 FLI983031:FLK983096 FVE983031:FVG983096 GFA983031:GFC983096 GOW983031:GOY983096 GYS983031:GYU983096 HIO983031:HIQ983096 HSK983031:HSM983096 ICG983031:ICI983096 IMC983031:IME983096 IVY983031:IWA983096 JFU983031:JFW983096 JPQ983031:JPS983096 JZM983031:JZO983096 KJI983031:KJK983096 KTE983031:KTG983096 LDA983031:LDC983096 LMW983031:LMY983096 LWS983031:LWU983096 MGO983031:MGQ983096 MQK983031:MQM983096 NAG983031:NAI983096 NKC983031:NKE983096 NTY983031:NUA983096 ODU983031:ODW983096 ONQ983031:ONS983096 OXM983031:OXO983096 PHI983031:PHK983096 PRE983031:PRG983096 QBA983031:QBC983096 QKW983031:QKY983096 QUS983031:QUU983096 REO983031:REQ983096 ROK983031:ROM983096 RYG983031:RYI983096 SIC983031:SIE983096 SRY983031:SSA983096 TBU983031:TBW983096 TLQ983031:TLS983096 TVM983031:TVO983096 UFI983031:UFK983096 UPE983031:UPG983096 UZA983031:UZC983096 VIW983031:VIY983096 VSS983031:VSU983096 WCO983031:WCQ983096 WMK983031:WMM983096 WWG2:WWI59 WMK2:WMM59 WCO2:WCQ59 VSS2:VSU59 VIW2:VIY59 UZA2:UZC59 UPE2:UPG59 UFI2:UFK59 TVM2:TVO59 TLQ2:TLS59 TBU2:TBW59 SRY2:SSA59 SIC2:SIE59 RYG2:RYI59 ROK2:ROM59 REO2:REQ59 QUS2:QUU59 QKW2:QKY59 QBA2:QBC59 PRE2:PRG59 PHI2:PHK59 OXM2:OXO59 ONQ2:ONS59 ODU2:ODW59 NTY2:NUA59 NKC2:NKE59 NAG2:NAI59 MQK2:MQM59 MGO2:MGQ59 LWS2:LWU59 LMW2:LMY59 LDA2:LDC59 KTE2:KTG59 KJI2:KJK59 JZM2:JZO59 JPQ2:JPS59 JFU2:JFW59 IVY2:IWA59 IMC2:IME59 ICG2:ICI59 HSK2:HSM59 HIO2:HIQ59 GYS2:GYU59 GOW2:GOY59 GFA2:GFC59 FVE2:FVG59 FLI2:FLK59 FBM2:FBO59 ERQ2:ERS59 EHU2:EHW59 DXY2:DYA59 DOC2:DOE59 DEG2:DEI59 CUK2:CUM59 CKO2:CKQ59 CAS2:CAU59 BQW2:BQY59 BHA2:BHC59 AXE2:AXG59 ANI2:ANK59 ADM2:ADO59 TQ2:TS59 JU2:JW59" xr:uid="{F5E8015E-445B-40E4-9560-4EF68AECAEAE}">
      <formula1>$AV$2:$AV$20</formula1>
    </dataValidation>
    <dataValidation type="list" allowBlank="1" showInputMessage="1" showErrorMessage="1" sqref="H64352:H64417 JD64352:JD64417 SZ64352:SZ64417 ACV64352:ACV64417 AMR64352:AMR64417 AWN64352:AWN64417 BGJ64352:BGJ64417 BQF64352:BQF64417 CAB64352:CAB64417 CJX64352:CJX64417 CTT64352:CTT64417 DDP64352:DDP64417 DNL64352:DNL64417 DXH64352:DXH64417 EHD64352:EHD64417 EQZ64352:EQZ64417 FAV64352:FAV64417 FKR64352:FKR64417 FUN64352:FUN64417 GEJ64352:GEJ64417 GOF64352:GOF64417 GYB64352:GYB64417 HHX64352:HHX64417 HRT64352:HRT64417 IBP64352:IBP64417 ILL64352:ILL64417 IVH64352:IVH64417 JFD64352:JFD64417 JOZ64352:JOZ64417 JYV64352:JYV64417 KIR64352:KIR64417 KSN64352:KSN64417 LCJ64352:LCJ64417 LMF64352:LMF64417 LWB64352:LWB64417 MFX64352:MFX64417 MPT64352:MPT64417 MZP64352:MZP64417 NJL64352:NJL64417 NTH64352:NTH64417 ODD64352:ODD64417 OMZ64352:OMZ64417 OWV64352:OWV64417 PGR64352:PGR64417 PQN64352:PQN64417 QAJ64352:QAJ64417 QKF64352:QKF64417 QUB64352:QUB64417 RDX64352:RDX64417 RNT64352:RNT64417 RXP64352:RXP64417 SHL64352:SHL64417 SRH64352:SRH64417 TBD64352:TBD64417 TKZ64352:TKZ64417 TUV64352:TUV64417 UER64352:UER64417 UON64352:UON64417 UYJ64352:UYJ64417 VIF64352:VIF64417 VSB64352:VSB64417 WBX64352:WBX64417 WLT64352:WLT64417 WVP64352:WVP64417 H129888:H129953 JD129888:JD129953 SZ129888:SZ129953 ACV129888:ACV129953 AMR129888:AMR129953 AWN129888:AWN129953 BGJ129888:BGJ129953 BQF129888:BQF129953 CAB129888:CAB129953 CJX129888:CJX129953 CTT129888:CTT129953 DDP129888:DDP129953 DNL129888:DNL129953 DXH129888:DXH129953 EHD129888:EHD129953 EQZ129888:EQZ129953 FAV129888:FAV129953 FKR129888:FKR129953 FUN129888:FUN129953 GEJ129888:GEJ129953 GOF129888:GOF129953 GYB129888:GYB129953 HHX129888:HHX129953 HRT129888:HRT129953 IBP129888:IBP129953 ILL129888:ILL129953 IVH129888:IVH129953 JFD129888:JFD129953 JOZ129888:JOZ129953 JYV129888:JYV129953 KIR129888:KIR129953 KSN129888:KSN129953 LCJ129888:LCJ129953 LMF129888:LMF129953 LWB129888:LWB129953 MFX129888:MFX129953 MPT129888:MPT129953 MZP129888:MZP129953 NJL129888:NJL129953 NTH129888:NTH129953 ODD129888:ODD129953 OMZ129888:OMZ129953 OWV129888:OWV129953 PGR129888:PGR129953 PQN129888:PQN129953 QAJ129888:QAJ129953 QKF129888:QKF129953 QUB129888:QUB129953 RDX129888:RDX129953 RNT129888:RNT129953 RXP129888:RXP129953 SHL129888:SHL129953 SRH129888:SRH129953 TBD129888:TBD129953 TKZ129888:TKZ129953 TUV129888:TUV129953 UER129888:UER129953 UON129888:UON129953 UYJ129888:UYJ129953 VIF129888:VIF129953 VSB129888:VSB129953 WBX129888:WBX129953 WLT129888:WLT129953 WVP129888:WVP129953 H195424:H195489 JD195424:JD195489 SZ195424:SZ195489 ACV195424:ACV195489 AMR195424:AMR195489 AWN195424:AWN195489 BGJ195424:BGJ195489 BQF195424:BQF195489 CAB195424:CAB195489 CJX195424:CJX195489 CTT195424:CTT195489 DDP195424:DDP195489 DNL195424:DNL195489 DXH195424:DXH195489 EHD195424:EHD195489 EQZ195424:EQZ195489 FAV195424:FAV195489 FKR195424:FKR195489 FUN195424:FUN195489 GEJ195424:GEJ195489 GOF195424:GOF195489 GYB195424:GYB195489 HHX195424:HHX195489 HRT195424:HRT195489 IBP195424:IBP195489 ILL195424:ILL195489 IVH195424:IVH195489 JFD195424:JFD195489 JOZ195424:JOZ195489 JYV195424:JYV195489 KIR195424:KIR195489 KSN195424:KSN195489 LCJ195424:LCJ195489 LMF195424:LMF195489 LWB195424:LWB195489 MFX195424:MFX195489 MPT195424:MPT195489 MZP195424:MZP195489 NJL195424:NJL195489 NTH195424:NTH195489 ODD195424:ODD195489 OMZ195424:OMZ195489 OWV195424:OWV195489 PGR195424:PGR195489 PQN195424:PQN195489 QAJ195424:QAJ195489 QKF195424:QKF195489 QUB195424:QUB195489 RDX195424:RDX195489 RNT195424:RNT195489 RXP195424:RXP195489 SHL195424:SHL195489 SRH195424:SRH195489 TBD195424:TBD195489 TKZ195424:TKZ195489 TUV195424:TUV195489 UER195424:UER195489 UON195424:UON195489 UYJ195424:UYJ195489 VIF195424:VIF195489 VSB195424:VSB195489 WBX195424:WBX195489 WLT195424:WLT195489 WVP195424:WVP195489 H260960:H261025 JD260960:JD261025 SZ260960:SZ261025 ACV260960:ACV261025 AMR260960:AMR261025 AWN260960:AWN261025 BGJ260960:BGJ261025 BQF260960:BQF261025 CAB260960:CAB261025 CJX260960:CJX261025 CTT260960:CTT261025 DDP260960:DDP261025 DNL260960:DNL261025 DXH260960:DXH261025 EHD260960:EHD261025 EQZ260960:EQZ261025 FAV260960:FAV261025 FKR260960:FKR261025 FUN260960:FUN261025 GEJ260960:GEJ261025 GOF260960:GOF261025 GYB260960:GYB261025 HHX260960:HHX261025 HRT260960:HRT261025 IBP260960:IBP261025 ILL260960:ILL261025 IVH260960:IVH261025 JFD260960:JFD261025 JOZ260960:JOZ261025 JYV260960:JYV261025 KIR260960:KIR261025 KSN260960:KSN261025 LCJ260960:LCJ261025 LMF260960:LMF261025 LWB260960:LWB261025 MFX260960:MFX261025 MPT260960:MPT261025 MZP260960:MZP261025 NJL260960:NJL261025 NTH260960:NTH261025 ODD260960:ODD261025 OMZ260960:OMZ261025 OWV260960:OWV261025 PGR260960:PGR261025 PQN260960:PQN261025 QAJ260960:QAJ261025 QKF260960:QKF261025 QUB260960:QUB261025 RDX260960:RDX261025 RNT260960:RNT261025 RXP260960:RXP261025 SHL260960:SHL261025 SRH260960:SRH261025 TBD260960:TBD261025 TKZ260960:TKZ261025 TUV260960:TUV261025 UER260960:UER261025 UON260960:UON261025 UYJ260960:UYJ261025 VIF260960:VIF261025 VSB260960:VSB261025 WBX260960:WBX261025 WLT260960:WLT261025 WVP260960:WVP261025 H326496:H326561 JD326496:JD326561 SZ326496:SZ326561 ACV326496:ACV326561 AMR326496:AMR326561 AWN326496:AWN326561 BGJ326496:BGJ326561 BQF326496:BQF326561 CAB326496:CAB326561 CJX326496:CJX326561 CTT326496:CTT326561 DDP326496:DDP326561 DNL326496:DNL326561 DXH326496:DXH326561 EHD326496:EHD326561 EQZ326496:EQZ326561 FAV326496:FAV326561 FKR326496:FKR326561 FUN326496:FUN326561 GEJ326496:GEJ326561 GOF326496:GOF326561 GYB326496:GYB326561 HHX326496:HHX326561 HRT326496:HRT326561 IBP326496:IBP326561 ILL326496:ILL326561 IVH326496:IVH326561 JFD326496:JFD326561 JOZ326496:JOZ326561 JYV326496:JYV326561 KIR326496:KIR326561 KSN326496:KSN326561 LCJ326496:LCJ326561 LMF326496:LMF326561 LWB326496:LWB326561 MFX326496:MFX326561 MPT326496:MPT326561 MZP326496:MZP326561 NJL326496:NJL326561 NTH326496:NTH326561 ODD326496:ODD326561 OMZ326496:OMZ326561 OWV326496:OWV326561 PGR326496:PGR326561 PQN326496:PQN326561 QAJ326496:QAJ326561 QKF326496:QKF326561 QUB326496:QUB326561 RDX326496:RDX326561 RNT326496:RNT326561 RXP326496:RXP326561 SHL326496:SHL326561 SRH326496:SRH326561 TBD326496:TBD326561 TKZ326496:TKZ326561 TUV326496:TUV326561 UER326496:UER326561 UON326496:UON326561 UYJ326496:UYJ326561 VIF326496:VIF326561 VSB326496:VSB326561 WBX326496:WBX326561 WLT326496:WLT326561 WVP326496:WVP326561 H392032:H392097 JD392032:JD392097 SZ392032:SZ392097 ACV392032:ACV392097 AMR392032:AMR392097 AWN392032:AWN392097 BGJ392032:BGJ392097 BQF392032:BQF392097 CAB392032:CAB392097 CJX392032:CJX392097 CTT392032:CTT392097 DDP392032:DDP392097 DNL392032:DNL392097 DXH392032:DXH392097 EHD392032:EHD392097 EQZ392032:EQZ392097 FAV392032:FAV392097 FKR392032:FKR392097 FUN392032:FUN392097 GEJ392032:GEJ392097 GOF392032:GOF392097 GYB392032:GYB392097 HHX392032:HHX392097 HRT392032:HRT392097 IBP392032:IBP392097 ILL392032:ILL392097 IVH392032:IVH392097 JFD392032:JFD392097 JOZ392032:JOZ392097 JYV392032:JYV392097 KIR392032:KIR392097 KSN392032:KSN392097 LCJ392032:LCJ392097 LMF392032:LMF392097 LWB392032:LWB392097 MFX392032:MFX392097 MPT392032:MPT392097 MZP392032:MZP392097 NJL392032:NJL392097 NTH392032:NTH392097 ODD392032:ODD392097 OMZ392032:OMZ392097 OWV392032:OWV392097 PGR392032:PGR392097 PQN392032:PQN392097 QAJ392032:QAJ392097 QKF392032:QKF392097 QUB392032:QUB392097 RDX392032:RDX392097 RNT392032:RNT392097 RXP392032:RXP392097 SHL392032:SHL392097 SRH392032:SRH392097 TBD392032:TBD392097 TKZ392032:TKZ392097 TUV392032:TUV392097 UER392032:UER392097 UON392032:UON392097 UYJ392032:UYJ392097 VIF392032:VIF392097 VSB392032:VSB392097 WBX392032:WBX392097 WLT392032:WLT392097 WVP392032:WVP392097 H457568:H457633 JD457568:JD457633 SZ457568:SZ457633 ACV457568:ACV457633 AMR457568:AMR457633 AWN457568:AWN457633 BGJ457568:BGJ457633 BQF457568:BQF457633 CAB457568:CAB457633 CJX457568:CJX457633 CTT457568:CTT457633 DDP457568:DDP457633 DNL457568:DNL457633 DXH457568:DXH457633 EHD457568:EHD457633 EQZ457568:EQZ457633 FAV457568:FAV457633 FKR457568:FKR457633 FUN457568:FUN457633 GEJ457568:GEJ457633 GOF457568:GOF457633 GYB457568:GYB457633 HHX457568:HHX457633 HRT457568:HRT457633 IBP457568:IBP457633 ILL457568:ILL457633 IVH457568:IVH457633 JFD457568:JFD457633 JOZ457568:JOZ457633 JYV457568:JYV457633 KIR457568:KIR457633 KSN457568:KSN457633 LCJ457568:LCJ457633 LMF457568:LMF457633 LWB457568:LWB457633 MFX457568:MFX457633 MPT457568:MPT457633 MZP457568:MZP457633 NJL457568:NJL457633 NTH457568:NTH457633 ODD457568:ODD457633 OMZ457568:OMZ457633 OWV457568:OWV457633 PGR457568:PGR457633 PQN457568:PQN457633 QAJ457568:QAJ457633 QKF457568:QKF457633 QUB457568:QUB457633 RDX457568:RDX457633 RNT457568:RNT457633 RXP457568:RXP457633 SHL457568:SHL457633 SRH457568:SRH457633 TBD457568:TBD457633 TKZ457568:TKZ457633 TUV457568:TUV457633 UER457568:UER457633 UON457568:UON457633 UYJ457568:UYJ457633 VIF457568:VIF457633 VSB457568:VSB457633 WBX457568:WBX457633 WLT457568:WLT457633 WVP457568:WVP457633 H523104:H523169 JD523104:JD523169 SZ523104:SZ523169 ACV523104:ACV523169 AMR523104:AMR523169 AWN523104:AWN523169 BGJ523104:BGJ523169 BQF523104:BQF523169 CAB523104:CAB523169 CJX523104:CJX523169 CTT523104:CTT523169 DDP523104:DDP523169 DNL523104:DNL523169 DXH523104:DXH523169 EHD523104:EHD523169 EQZ523104:EQZ523169 FAV523104:FAV523169 FKR523104:FKR523169 FUN523104:FUN523169 GEJ523104:GEJ523169 GOF523104:GOF523169 GYB523104:GYB523169 HHX523104:HHX523169 HRT523104:HRT523169 IBP523104:IBP523169 ILL523104:ILL523169 IVH523104:IVH523169 JFD523104:JFD523169 JOZ523104:JOZ523169 JYV523104:JYV523169 KIR523104:KIR523169 KSN523104:KSN523169 LCJ523104:LCJ523169 LMF523104:LMF523169 LWB523104:LWB523169 MFX523104:MFX523169 MPT523104:MPT523169 MZP523104:MZP523169 NJL523104:NJL523169 NTH523104:NTH523169 ODD523104:ODD523169 OMZ523104:OMZ523169 OWV523104:OWV523169 PGR523104:PGR523169 PQN523104:PQN523169 QAJ523104:QAJ523169 QKF523104:QKF523169 QUB523104:QUB523169 RDX523104:RDX523169 RNT523104:RNT523169 RXP523104:RXP523169 SHL523104:SHL523169 SRH523104:SRH523169 TBD523104:TBD523169 TKZ523104:TKZ523169 TUV523104:TUV523169 UER523104:UER523169 UON523104:UON523169 UYJ523104:UYJ523169 VIF523104:VIF523169 VSB523104:VSB523169 WBX523104:WBX523169 WLT523104:WLT523169 WVP523104:WVP523169 H588640:H588705 JD588640:JD588705 SZ588640:SZ588705 ACV588640:ACV588705 AMR588640:AMR588705 AWN588640:AWN588705 BGJ588640:BGJ588705 BQF588640:BQF588705 CAB588640:CAB588705 CJX588640:CJX588705 CTT588640:CTT588705 DDP588640:DDP588705 DNL588640:DNL588705 DXH588640:DXH588705 EHD588640:EHD588705 EQZ588640:EQZ588705 FAV588640:FAV588705 FKR588640:FKR588705 FUN588640:FUN588705 GEJ588640:GEJ588705 GOF588640:GOF588705 GYB588640:GYB588705 HHX588640:HHX588705 HRT588640:HRT588705 IBP588640:IBP588705 ILL588640:ILL588705 IVH588640:IVH588705 JFD588640:JFD588705 JOZ588640:JOZ588705 JYV588640:JYV588705 KIR588640:KIR588705 KSN588640:KSN588705 LCJ588640:LCJ588705 LMF588640:LMF588705 LWB588640:LWB588705 MFX588640:MFX588705 MPT588640:MPT588705 MZP588640:MZP588705 NJL588640:NJL588705 NTH588640:NTH588705 ODD588640:ODD588705 OMZ588640:OMZ588705 OWV588640:OWV588705 PGR588640:PGR588705 PQN588640:PQN588705 QAJ588640:QAJ588705 QKF588640:QKF588705 QUB588640:QUB588705 RDX588640:RDX588705 RNT588640:RNT588705 RXP588640:RXP588705 SHL588640:SHL588705 SRH588640:SRH588705 TBD588640:TBD588705 TKZ588640:TKZ588705 TUV588640:TUV588705 UER588640:UER588705 UON588640:UON588705 UYJ588640:UYJ588705 VIF588640:VIF588705 VSB588640:VSB588705 WBX588640:WBX588705 WLT588640:WLT588705 WVP588640:WVP588705 H654176:H654241 JD654176:JD654241 SZ654176:SZ654241 ACV654176:ACV654241 AMR654176:AMR654241 AWN654176:AWN654241 BGJ654176:BGJ654241 BQF654176:BQF654241 CAB654176:CAB654241 CJX654176:CJX654241 CTT654176:CTT654241 DDP654176:DDP654241 DNL654176:DNL654241 DXH654176:DXH654241 EHD654176:EHD654241 EQZ654176:EQZ654241 FAV654176:FAV654241 FKR654176:FKR654241 FUN654176:FUN654241 GEJ654176:GEJ654241 GOF654176:GOF654241 GYB654176:GYB654241 HHX654176:HHX654241 HRT654176:HRT654241 IBP654176:IBP654241 ILL654176:ILL654241 IVH654176:IVH654241 JFD654176:JFD654241 JOZ654176:JOZ654241 JYV654176:JYV654241 KIR654176:KIR654241 KSN654176:KSN654241 LCJ654176:LCJ654241 LMF654176:LMF654241 LWB654176:LWB654241 MFX654176:MFX654241 MPT654176:MPT654241 MZP654176:MZP654241 NJL654176:NJL654241 NTH654176:NTH654241 ODD654176:ODD654241 OMZ654176:OMZ654241 OWV654176:OWV654241 PGR654176:PGR654241 PQN654176:PQN654241 QAJ654176:QAJ654241 QKF654176:QKF654241 QUB654176:QUB654241 RDX654176:RDX654241 RNT654176:RNT654241 RXP654176:RXP654241 SHL654176:SHL654241 SRH654176:SRH654241 TBD654176:TBD654241 TKZ654176:TKZ654241 TUV654176:TUV654241 UER654176:UER654241 UON654176:UON654241 UYJ654176:UYJ654241 VIF654176:VIF654241 VSB654176:VSB654241 WBX654176:WBX654241 WLT654176:WLT654241 WVP654176:WVP654241 H719712:H719777 JD719712:JD719777 SZ719712:SZ719777 ACV719712:ACV719777 AMR719712:AMR719777 AWN719712:AWN719777 BGJ719712:BGJ719777 BQF719712:BQF719777 CAB719712:CAB719777 CJX719712:CJX719777 CTT719712:CTT719777 DDP719712:DDP719777 DNL719712:DNL719777 DXH719712:DXH719777 EHD719712:EHD719777 EQZ719712:EQZ719777 FAV719712:FAV719777 FKR719712:FKR719777 FUN719712:FUN719777 GEJ719712:GEJ719777 GOF719712:GOF719777 GYB719712:GYB719777 HHX719712:HHX719777 HRT719712:HRT719777 IBP719712:IBP719777 ILL719712:ILL719777 IVH719712:IVH719777 JFD719712:JFD719777 JOZ719712:JOZ719777 JYV719712:JYV719777 KIR719712:KIR719777 KSN719712:KSN719777 LCJ719712:LCJ719777 LMF719712:LMF719777 LWB719712:LWB719777 MFX719712:MFX719777 MPT719712:MPT719777 MZP719712:MZP719777 NJL719712:NJL719777 NTH719712:NTH719777 ODD719712:ODD719777 OMZ719712:OMZ719777 OWV719712:OWV719777 PGR719712:PGR719777 PQN719712:PQN719777 QAJ719712:QAJ719777 QKF719712:QKF719777 QUB719712:QUB719777 RDX719712:RDX719777 RNT719712:RNT719777 RXP719712:RXP719777 SHL719712:SHL719777 SRH719712:SRH719777 TBD719712:TBD719777 TKZ719712:TKZ719777 TUV719712:TUV719777 UER719712:UER719777 UON719712:UON719777 UYJ719712:UYJ719777 VIF719712:VIF719777 VSB719712:VSB719777 WBX719712:WBX719777 WLT719712:WLT719777 WVP719712:WVP719777 H785248:H785313 JD785248:JD785313 SZ785248:SZ785313 ACV785248:ACV785313 AMR785248:AMR785313 AWN785248:AWN785313 BGJ785248:BGJ785313 BQF785248:BQF785313 CAB785248:CAB785313 CJX785248:CJX785313 CTT785248:CTT785313 DDP785248:DDP785313 DNL785248:DNL785313 DXH785248:DXH785313 EHD785248:EHD785313 EQZ785248:EQZ785313 FAV785248:FAV785313 FKR785248:FKR785313 FUN785248:FUN785313 GEJ785248:GEJ785313 GOF785248:GOF785313 GYB785248:GYB785313 HHX785248:HHX785313 HRT785248:HRT785313 IBP785248:IBP785313 ILL785248:ILL785313 IVH785248:IVH785313 JFD785248:JFD785313 JOZ785248:JOZ785313 JYV785248:JYV785313 KIR785248:KIR785313 KSN785248:KSN785313 LCJ785248:LCJ785313 LMF785248:LMF785313 LWB785248:LWB785313 MFX785248:MFX785313 MPT785248:MPT785313 MZP785248:MZP785313 NJL785248:NJL785313 NTH785248:NTH785313 ODD785248:ODD785313 OMZ785248:OMZ785313 OWV785248:OWV785313 PGR785248:PGR785313 PQN785248:PQN785313 QAJ785248:QAJ785313 QKF785248:QKF785313 QUB785248:QUB785313 RDX785248:RDX785313 RNT785248:RNT785313 RXP785248:RXP785313 SHL785248:SHL785313 SRH785248:SRH785313 TBD785248:TBD785313 TKZ785248:TKZ785313 TUV785248:TUV785313 UER785248:UER785313 UON785248:UON785313 UYJ785248:UYJ785313 VIF785248:VIF785313 VSB785248:VSB785313 WBX785248:WBX785313 WLT785248:WLT785313 WVP785248:WVP785313 H850784:H850849 JD850784:JD850849 SZ850784:SZ850849 ACV850784:ACV850849 AMR850784:AMR850849 AWN850784:AWN850849 BGJ850784:BGJ850849 BQF850784:BQF850849 CAB850784:CAB850849 CJX850784:CJX850849 CTT850784:CTT850849 DDP850784:DDP850849 DNL850784:DNL850849 DXH850784:DXH850849 EHD850784:EHD850849 EQZ850784:EQZ850849 FAV850784:FAV850849 FKR850784:FKR850849 FUN850784:FUN850849 GEJ850784:GEJ850849 GOF850784:GOF850849 GYB850784:GYB850849 HHX850784:HHX850849 HRT850784:HRT850849 IBP850784:IBP850849 ILL850784:ILL850849 IVH850784:IVH850849 JFD850784:JFD850849 JOZ850784:JOZ850849 JYV850784:JYV850849 KIR850784:KIR850849 KSN850784:KSN850849 LCJ850784:LCJ850849 LMF850784:LMF850849 LWB850784:LWB850849 MFX850784:MFX850849 MPT850784:MPT850849 MZP850784:MZP850849 NJL850784:NJL850849 NTH850784:NTH850849 ODD850784:ODD850849 OMZ850784:OMZ850849 OWV850784:OWV850849 PGR850784:PGR850849 PQN850784:PQN850849 QAJ850784:QAJ850849 QKF850784:QKF850849 QUB850784:QUB850849 RDX850784:RDX850849 RNT850784:RNT850849 RXP850784:RXP850849 SHL850784:SHL850849 SRH850784:SRH850849 TBD850784:TBD850849 TKZ850784:TKZ850849 TUV850784:TUV850849 UER850784:UER850849 UON850784:UON850849 UYJ850784:UYJ850849 VIF850784:VIF850849 VSB850784:VSB850849 WBX850784:WBX850849 WLT850784:WLT850849 WVP850784:WVP850849 H916320:H916385 JD916320:JD916385 SZ916320:SZ916385 ACV916320:ACV916385 AMR916320:AMR916385 AWN916320:AWN916385 BGJ916320:BGJ916385 BQF916320:BQF916385 CAB916320:CAB916385 CJX916320:CJX916385 CTT916320:CTT916385 DDP916320:DDP916385 DNL916320:DNL916385 DXH916320:DXH916385 EHD916320:EHD916385 EQZ916320:EQZ916385 FAV916320:FAV916385 FKR916320:FKR916385 FUN916320:FUN916385 GEJ916320:GEJ916385 GOF916320:GOF916385 GYB916320:GYB916385 HHX916320:HHX916385 HRT916320:HRT916385 IBP916320:IBP916385 ILL916320:ILL916385 IVH916320:IVH916385 JFD916320:JFD916385 JOZ916320:JOZ916385 JYV916320:JYV916385 KIR916320:KIR916385 KSN916320:KSN916385 LCJ916320:LCJ916385 LMF916320:LMF916385 LWB916320:LWB916385 MFX916320:MFX916385 MPT916320:MPT916385 MZP916320:MZP916385 NJL916320:NJL916385 NTH916320:NTH916385 ODD916320:ODD916385 OMZ916320:OMZ916385 OWV916320:OWV916385 PGR916320:PGR916385 PQN916320:PQN916385 QAJ916320:QAJ916385 QKF916320:QKF916385 QUB916320:QUB916385 RDX916320:RDX916385 RNT916320:RNT916385 RXP916320:RXP916385 SHL916320:SHL916385 SRH916320:SRH916385 TBD916320:TBD916385 TKZ916320:TKZ916385 TUV916320:TUV916385 UER916320:UER916385 UON916320:UON916385 UYJ916320:UYJ916385 VIF916320:VIF916385 VSB916320:VSB916385 WBX916320:WBX916385 WLT916320:WLT916385 WVP916320:WVP916385 H981856:H981921 JD981856:JD981921 SZ981856:SZ981921 ACV981856:ACV981921 AMR981856:AMR981921 AWN981856:AWN981921 BGJ981856:BGJ981921 BQF981856:BQF981921 CAB981856:CAB981921 CJX981856:CJX981921 CTT981856:CTT981921 DDP981856:DDP981921 DNL981856:DNL981921 DXH981856:DXH981921 EHD981856:EHD981921 EQZ981856:EQZ981921 FAV981856:FAV981921 FKR981856:FKR981921 FUN981856:FUN981921 GEJ981856:GEJ981921 GOF981856:GOF981921 GYB981856:GYB981921 HHX981856:HHX981921 HRT981856:HRT981921 IBP981856:IBP981921 ILL981856:ILL981921 IVH981856:IVH981921 JFD981856:JFD981921 JOZ981856:JOZ981921 JYV981856:JYV981921 KIR981856:KIR981921 KSN981856:KSN981921 LCJ981856:LCJ981921 LMF981856:LMF981921 LWB981856:LWB981921 MFX981856:MFX981921 MPT981856:MPT981921 MZP981856:MZP981921 NJL981856:NJL981921 NTH981856:NTH981921 ODD981856:ODD981921 OMZ981856:OMZ981921 OWV981856:OWV981921 PGR981856:PGR981921 PQN981856:PQN981921 QAJ981856:QAJ981921 QKF981856:QKF981921 QUB981856:QUB981921 RDX981856:RDX981921 RNT981856:RNT981921 RXP981856:RXP981921 SHL981856:SHL981921 SRH981856:SRH981921 TBD981856:TBD981921 TKZ981856:TKZ981921 TUV981856:TUV981921 UER981856:UER981921 UON981856:UON981921 UYJ981856:UYJ981921 VIF981856:VIF981921 VSB981856:VSB981921 WBX981856:WBX981921 WLT981856:WLT981921 WVP981856:WVP981921 H1047392:H1047457 JD1047392:JD1047457 SZ1047392:SZ1047457 ACV1047392:ACV1047457 AMR1047392:AMR1047457 AWN1047392:AWN1047457 BGJ1047392:BGJ1047457 BQF1047392:BQF1047457 CAB1047392:CAB1047457 CJX1047392:CJX1047457 CTT1047392:CTT1047457 DDP1047392:DDP1047457 DNL1047392:DNL1047457 DXH1047392:DXH1047457 EHD1047392:EHD1047457 EQZ1047392:EQZ1047457 FAV1047392:FAV1047457 FKR1047392:FKR1047457 FUN1047392:FUN1047457 GEJ1047392:GEJ1047457 GOF1047392:GOF1047457 GYB1047392:GYB1047457 HHX1047392:HHX1047457 HRT1047392:HRT1047457 IBP1047392:IBP1047457 ILL1047392:ILL1047457 IVH1047392:IVH1047457 JFD1047392:JFD1047457 JOZ1047392:JOZ1047457 JYV1047392:JYV1047457 KIR1047392:KIR1047457 KSN1047392:KSN1047457 LCJ1047392:LCJ1047457 LMF1047392:LMF1047457 LWB1047392:LWB1047457 MFX1047392:MFX1047457 MPT1047392:MPT1047457 MZP1047392:MZP1047457 NJL1047392:NJL1047457 NTH1047392:NTH1047457 ODD1047392:ODD1047457 OMZ1047392:OMZ1047457 OWV1047392:OWV1047457 PGR1047392:PGR1047457 PQN1047392:PQN1047457 QAJ1047392:QAJ1047457 QKF1047392:QKF1047457 QUB1047392:QUB1047457 RDX1047392:RDX1047457 RNT1047392:RNT1047457 RXP1047392:RXP1047457 SHL1047392:SHL1047457 SRH1047392:SRH1047457 TBD1047392:TBD1047457 TKZ1047392:TKZ1047457 TUV1047392:TUV1047457 UER1047392:UER1047457 UON1047392:UON1047457 UYJ1047392:UYJ1047457 VIF1047392:VIF1047457 VSB1047392:VSB1047457 WBX1047392:WBX1047457 WLT1047392:WLT1047457 WVP1047392:WVP1047457" xr:uid="{4F8642A4-466E-40EA-9E96-B124C47AD509}">
      <formula1>$AL$5:$AL$12</formula1>
    </dataValidation>
    <dataValidation type="list" allowBlank="1" showInputMessage="1" showErrorMessage="1" sqref="E64352:F64417 WVM983031:WVN983102 WLQ983031:WLR983102 WBU983031:WBV983102 VRY983031:VRZ983102 VIC983031:VID983102 UYG983031:UYH983102 UOK983031:UOL983102 UEO983031:UEP983102 TUS983031:TUT983102 TKW983031:TKX983102 TBA983031:TBB983102 SRE983031:SRF983102 SHI983031:SHJ983102 RXM983031:RXN983102 RNQ983031:RNR983102 RDU983031:RDV983102 QTY983031:QTZ983102 QKC983031:QKD983102 QAG983031:QAH983102 PQK983031:PQL983102 PGO983031:PGP983102 OWS983031:OWT983102 OMW983031:OMX983102 ODA983031:ODB983102 NTE983031:NTF983102 NJI983031:NJJ983102 MZM983031:MZN983102 MPQ983031:MPR983102 MFU983031:MFV983102 LVY983031:LVZ983102 LMC983031:LMD983102 LCG983031:LCH983102 KSK983031:KSL983102 KIO983031:KIP983102 JYS983031:JYT983102 JOW983031:JOX983102 JFA983031:JFB983102 IVE983031:IVF983102 ILI983031:ILJ983102 IBM983031:IBN983102 HRQ983031:HRR983102 HHU983031:HHV983102 GXY983031:GXZ983102 GOC983031:GOD983102 GEG983031:GEH983102 FUK983031:FUL983102 FKO983031:FKP983102 FAS983031:FAT983102 EQW983031:EQX983102 EHA983031:EHB983102 DXE983031:DXF983102 DNI983031:DNJ983102 DDM983031:DDN983102 CTQ983031:CTR983102 CJU983031:CJV983102 BZY983031:BZZ983102 BQC983031:BQD983102 BGG983031:BGH983102 AWK983031:AWL983102 AMO983031:AMP983102 ACS983031:ACT983102 SW983031:SX983102 JA983031:JB983102 E983031:F983102 WVM917495:WVN917566 WLQ917495:WLR917566 WBU917495:WBV917566 VRY917495:VRZ917566 VIC917495:VID917566 UYG917495:UYH917566 UOK917495:UOL917566 UEO917495:UEP917566 TUS917495:TUT917566 TKW917495:TKX917566 TBA917495:TBB917566 SRE917495:SRF917566 SHI917495:SHJ917566 RXM917495:RXN917566 RNQ917495:RNR917566 RDU917495:RDV917566 QTY917495:QTZ917566 QKC917495:QKD917566 QAG917495:QAH917566 PQK917495:PQL917566 PGO917495:PGP917566 OWS917495:OWT917566 OMW917495:OMX917566 ODA917495:ODB917566 NTE917495:NTF917566 NJI917495:NJJ917566 MZM917495:MZN917566 MPQ917495:MPR917566 MFU917495:MFV917566 LVY917495:LVZ917566 LMC917495:LMD917566 LCG917495:LCH917566 KSK917495:KSL917566 KIO917495:KIP917566 JYS917495:JYT917566 JOW917495:JOX917566 JFA917495:JFB917566 IVE917495:IVF917566 ILI917495:ILJ917566 IBM917495:IBN917566 HRQ917495:HRR917566 HHU917495:HHV917566 GXY917495:GXZ917566 GOC917495:GOD917566 GEG917495:GEH917566 FUK917495:FUL917566 FKO917495:FKP917566 FAS917495:FAT917566 EQW917495:EQX917566 EHA917495:EHB917566 DXE917495:DXF917566 DNI917495:DNJ917566 DDM917495:DDN917566 CTQ917495:CTR917566 CJU917495:CJV917566 BZY917495:BZZ917566 BQC917495:BQD917566 BGG917495:BGH917566 AWK917495:AWL917566 AMO917495:AMP917566 ACS917495:ACT917566 SW917495:SX917566 JA917495:JB917566 E917495:F917566 WVM851959:WVN852030 WLQ851959:WLR852030 WBU851959:WBV852030 VRY851959:VRZ852030 VIC851959:VID852030 UYG851959:UYH852030 UOK851959:UOL852030 UEO851959:UEP852030 TUS851959:TUT852030 TKW851959:TKX852030 TBA851959:TBB852030 SRE851959:SRF852030 SHI851959:SHJ852030 RXM851959:RXN852030 RNQ851959:RNR852030 RDU851959:RDV852030 QTY851959:QTZ852030 QKC851959:QKD852030 QAG851959:QAH852030 PQK851959:PQL852030 PGO851959:PGP852030 OWS851959:OWT852030 OMW851959:OMX852030 ODA851959:ODB852030 NTE851959:NTF852030 NJI851959:NJJ852030 MZM851959:MZN852030 MPQ851959:MPR852030 MFU851959:MFV852030 LVY851959:LVZ852030 LMC851959:LMD852030 LCG851959:LCH852030 KSK851959:KSL852030 KIO851959:KIP852030 JYS851959:JYT852030 JOW851959:JOX852030 JFA851959:JFB852030 IVE851959:IVF852030 ILI851959:ILJ852030 IBM851959:IBN852030 HRQ851959:HRR852030 HHU851959:HHV852030 GXY851959:GXZ852030 GOC851959:GOD852030 GEG851959:GEH852030 FUK851959:FUL852030 FKO851959:FKP852030 FAS851959:FAT852030 EQW851959:EQX852030 EHA851959:EHB852030 DXE851959:DXF852030 DNI851959:DNJ852030 DDM851959:DDN852030 CTQ851959:CTR852030 CJU851959:CJV852030 BZY851959:BZZ852030 BQC851959:BQD852030 BGG851959:BGH852030 AWK851959:AWL852030 AMO851959:AMP852030 ACS851959:ACT852030 SW851959:SX852030 JA851959:JB852030 E851959:F852030 WVM786423:WVN786494 WLQ786423:WLR786494 WBU786423:WBV786494 VRY786423:VRZ786494 VIC786423:VID786494 UYG786423:UYH786494 UOK786423:UOL786494 UEO786423:UEP786494 TUS786423:TUT786494 TKW786423:TKX786494 TBA786423:TBB786494 SRE786423:SRF786494 SHI786423:SHJ786494 RXM786423:RXN786494 RNQ786423:RNR786494 RDU786423:RDV786494 QTY786423:QTZ786494 QKC786423:QKD786494 QAG786423:QAH786494 PQK786423:PQL786494 PGO786423:PGP786494 OWS786423:OWT786494 OMW786423:OMX786494 ODA786423:ODB786494 NTE786423:NTF786494 NJI786423:NJJ786494 MZM786423:MZN786494 MPQ786423:MPR786494 MFU786423:MFV786494 LVY786423:LVZ786494 LMC786423:LMD786494 LCG786423:LCH786494 KSK786423:KSL786494 KIO786423:KIP786494 JYS786423:JYT786494 JOW786423:JOX786494 JFA786423:JFB786494 IVE786423:IVF786494 ILI786423:ILJ786494 IBM786423:IBN786494 HRQ786423:HRR786494 HHU786423:HHV786494 GXY786423:GXZ786494 GOC786423:GOD786494 GEG786423:GEH786494 FUK786423:FUL786494 FKO786423:FKP786494 FAS786423:FAT786494 EQW786423:EQX786494 EHA786423:EHB786494 DXE786423:DXF786494 DNI786423:DNJ786494 DDM786423:DDN786494 CTQ786423:CTR786494 CJU786423:CJV786494 BZY786423:BZZ786494 BQC786423:BQD786494 BGG786423:BGH786494 AWK786423:AWL786494 AMO786423:AMP786494 ACS786423:ACT786494 SW786423:SX786494 JA786423:JB786494 E786423:F786494 WVM720887:WVN720958 WLQ720887:WLR720958 WBU720887:WBV720958 VRY720887:VRZ720958 VIC720887:VID720958 UYG720887:UYH720958 UOK720887:UOL720958 UEO720887:UEP720958 TUS720887:TUT720958 TKW720887:TKX720958 TBA720887:TBB720958 SRE720887:SRF720958 SHI720887:SHJ720958 RXM720887:RXN720958 RNQ720887:RNR720958 RDU720887:RDV720958 QTY720887:QTZ720958 QKC720887:QKD720958 QAG720887:QAH720958 PQK720887:PQL720958 PGO720887:PGP720958 OWS720887:OWT720958 OMW720887:OMX720958 ODA720887:ODB720958 NTE720887:NTF720958 NJI720887:NJJ720958 MZM720887:MZN720958 MPQ720887:MPR720958 MFU720887:MFV720958 LVY720887:LVZ720958 LMC720887:LMD720958 LCG720887:LCH720958 KSK720887:KSL720958 KIO720887:KIP720958 JYS720887:JYT720958 JOW720887:JOX720958 JFA720887:JFB720958 IVE720887:IVF720958 ILI720887:ILJ720958 IBM720887:IBN720958 HRQ720887:HRR720958 HHU720887:HHV720958 GXY720887:GXZ720958 GOC720887:GOD720958 GEG720887:GEH720958 FUK720887:FUL720958 FKO720887:FKP720958 FAS720887:FAT720958 EQW720887:EQX720958 EHA720887:EHB720958 DXE720887:DXF720958 DNI720887:DNJ720958 DDM720887:DDN720958 CTQ720887:CTR720958 CJU720887:CJV720958 BZY720887:BZZ720958 BQC720887:BQD720958 BGG720887:BGH720958 AWK720887:AWL720958 AMO720887:AMP720958 ACS720887:ACT720958 SW720887:SX720958 JA720887:JB720958 E720887:F720958 WVM655351:WVN655422 WLQ655351:WLR655422 WBU655351:WBV655422 VRY655351:VRZ655422 VIC655351:VID655422 UYG655351:UYH655422 UOK655351:UOL655422 UEO655351:UEP655422 TUS655351:TUT655422 TKW655351:TKX655422 TBA655351:TBB655422 SRE655351:SRF655422 SHI655351:SHJ655422 RXM655351:RXN655422 RNQ655351:RNR655422 RDU655351:RDV655422 QTY655351:QTZ655422 QKC655351:QKD655422 QAG655351:QAH655422 PQK655351:PQL655422 PGO655351:PGP655422 OWS655351:OWT655422 OMW655351:OMX655422 ODA655351:ODB655422 NTE655351:NTF655422 NJI655351:NJJ655422 MZM655351:MZN655422 MPQ655351:MPR655422 MFU655351:MFV655422 LVY655351:LVZ655422 LMC655351:LMD655422 LCG655351:LCH655422 KSK655351:KSL655422 KIO655351:KIP655422 JYS655351:JYT655422 JOW655351:JOX655422 JFA655351:JFB655422 IVE655351:IVF655422 ILI655351:ILJ655422 IBM655351:IBN655422 HRQ655351:HRR655422 HHU655351:HHV655422 GXY655351:GXZ655422 GOC655351:GOD655422 GEG655351:GEH655422 FUK655351:FUL655422 FKO655351:FKP655422 FAS655351:FAT655422 EQW655351:EQX655422 EHA655351:EHB655422 DXE655351:DXF655422 DNI655351:DNJ655422 DDM655351:DDN655422 CTQ655351:CTR655422 CJU655351:CJV655422 BZY655351:BZZ655422 BQC655351:BQD655422 BGG655351:BGH655422 AWK655351:AWL655422 AMO655351:AMP655422 ACS655351:ACT655422 SW655351:SX655422 JA655351:JB655422 E655351:F655422 WVM589815:WVN589886 WLQ589815:WLR589886 WBU589815:WBV589886 VRY589815:VRZ589886 VIC589815:VID589886 UYG589815:UYH589886 UOK589815:UOL589886 UEO589815:UEP589886 TUS589815:TUT589886 TKW589815:TKX589886 TBA589815:TBB589886 SRE589815:SRF589886 SHI589815:SHJ589886 RXM589815:RXN589886 RNQ589815:RNR589886 RDU589815:RDV589886 QTY589815:QTZ589886 QKC589815:QKD589886 QAG589815:QAH589886 PQK589815:PQL589886 PGO589815:PGP589886 OWS589815:OWT589886 OMW589815:OMX589886 ODA589815:ODB589886 NTE589815:NTF589886 NJI589815:NJJ589886 MZM589815:MZN589886 MPQ589815:MPR589886 MFU589815:MFV589886 LVY589815:LVZ589886 LMC589815:LMD589886 LCG589815:LCH589886 KSK589815:KSL589886 KIO589815:KIP589886 JYS589815:JYT589886 JOW589815:JOX589886 JFA589815:JFB589886 IVE589815:IVF589886 ILI589815:ILJ589886 IBM589815:IBN589886 HRQ589815:HRR589886 HHU589815:HHV589886 GXY589815:GXZ589886 GOC589815:GOD589886 GEG589815:GEH589886 FUK589815:FUL589886 FKO589815:FKP589886 FAS589815:FAT589886 EQW589815:EQX589886 EHA589815:EHB589886 DXE589815:DXF589886 DNI589815:DNJ589886 DDM589815:DDN589886 CTQ589815:CTR589886 CJU589815:CJV589886 BZY589815:BZZ589886 BQC589815:BQD589886 BGG589815:BGH589886 AWK589815:AWL589886 AMO589815:AMP589886 ACS589815:ACT589886 SW589815:SX589886 JA589815:JB589886 E589815:F589886 WVM524279:WVN524350 WLQ524279:WLR524350 WBU524279:WBV524350 VRY524279:VRZ524350 VIC524279:VID524350 UYG524279:UYH524350 UOK524279:UOL524350 UEO524279:UEP524350 TUS524279:TUT524350 TKW524279:TKX524350 TBA524279:TBB524350 SRE524279:SRF524350 SHI524279:SHJ524350 RXM524279:RXN524350 RNQ524279:RNR524350 RDU524279:RDV524350 QTY524279:QTZ524350 QKC524279:QKD524350 QAG524279:QAH524350 PQK524279:PQL524350 PGO524279:PGP524350 OWS524279:OWT524350 OMW524279:OMX524350 ODA524279:ODB524350 NTE524279:NTF524350 NJI524279:NJJ524350 MZM524279:MZN524350 MPQ524279:MPR524350 MFU524279:MFV524350 LVY524279:LVZ524350 LMC524279:LMD524350 LCG524279:LCH524350 KSK524279:KSL524350 KIO524279:KIP524350 JYS524279:JYT524350 JOW524279:JOX524350 JFA524279:JFB524350 IVE524279:IVF524350 ILI524279:ILJ524350 IBM524279:IBN524350 HRQ524279:HRR524350 HHU524279:HHV524350 GXY524279:GXZ524350 GOC524279:GOD524350 GEG524279:GEH524350 FUK524279:FUL524350 FKO524279:FKP524350 FAS524279:FAT524350 EQW524279:EQX524350 EHA524279:EHB524350 DXE524279:DXF524350 DNI524279:DNJ524350 DDM524279:DDN524350 CTQ524279:CTR524350 CJU524279:CJV524350 BZY524279:BZZ524350 BQC524279:BQD524350 BGG524279:BGH524350 AWK524279:AWL524350 AMO524279:AMP524350 ACS524279:ACT524350 SW524279:SX524350 JA524279:JB524350 E524279:F524350 WVM458743:WVN458814 WLQ458743:WLR458814 WBU458743:WBV458814 VRY458743:VRZ458814 VIC458743:VID458814 UYG458743:UYH458814 UOK458743:UOL458814 UEO458743:UEP458814 TUS458743:TUT458814 TKW458743:TKX458814 TBA458743:TBB458814 SRE458743:SRF458814 SHI458743:SHJ458814 RXM458743:RXN458814 RNQ458743:RNR458814 RDU458743:RDV458814 QTY458743:QTZ458814 QKC458743:QKD458814 QAG458743:QAH458814 PQK458743:PQL458814 PGO458743:PGP458814 OWS458743:OWT458814 OMW458743:OMX458814 ODA458743:ODB458814 NTE458743:NTF458814 NJI458743:NJJ458814 MZM458743:MZN458814 MPQ458743:MPR458814 MFU458743:MFV458814 LVY458743:LVZ458814 LMC458743:LMD458814 LCG458743:LCH458814 KSK458743:KSL458814 KIO458743:KIP458814 JYS458743:JYT458814 JOW458743:JOX458814 JFA458743:JFB458814 IVE458743:IVF458814 ILI458743:ILJ458814 IBM458743:IBN458814 HRQ458743:HRR458814 HHU458743:HHV458814 GXY458743:GXZ458814 GOC458743:GOD458814 GEG458743:GEH458814 FUK458743:FUL458814 FKO458743:FKP458814 FAS458743:FAT458814 EQW458743:EQX458814 EHA458743:EHB458814 DXE458743:DXF458814 DNI458743:DNJ458814 DDM458743:DDN458814 CTQ458743:CTR458814 CJU458743:CJV458814 BZY458743:BZZ458814 BQC458743:BQD458814 BGG458743:BGH458814 AWK458743:AWL458814 AMO458743:AMP458814 ACS458743:ACT458814 SW458743:SX458814 JA458743:JB458814 E458743:F458814 WVM393207:WVN393278 WLQ393207:WLR393278 WBU393207:WBV393278 VRY393207:VRZ393278 VIC393207:VID393278 UYG393207:UYH393278 UOK393207:UOL393278 UEO393207:UEP393278 TUS393207:TUT393278 TKW393207:TKX393278 TBA393207:TBB393278 SRE393207:SRF393278 SHI393207:SHJ393278 RXM393207:RXN393278 RNQ393207:RNR393278 RDU393207:RDV393278 QTY393207:QTZ393278 QKC393207:QKD393278 QAG393207:QAH393278 PQK393207:PQL393278 PGO393207:PGP393278 OWS393207:OWT393278 OMW393207:OMX393278 ODA393207:ODB393278 NTE393207:NTF393278 NJI393207:NJJ393278 MZM393207:MZN393278 MPQ393207:MPR393278 MFU393207:MFV393278 LVY393207:LVZ393278 LMC393207:LMD393278 LCG393207:LCH393278 KSK393207:KSL393278 KIO393207:KIP393278 JYS393207:JYT393278 JOW393207:JOX393278 JFA393207:JFB393278 IVE393207:IVF393278 ILI393207:ILJ393278 IBM393207:IBN393278 HRQ393207:HRR393278 HHU393207:HHV393278 GXY393207:GXZ393278 GOC393207:GOD393278 GEG393207:GEH393278 FUK393207:FUL393278 FKO393207:FKP393278 FAS393207:FAT393278 EQW393207:EQX393278 EHA393207:EHB393278 DXE393207:DXF393278 DNI393207:DNJ393278 DDM393207:DDN393278 CTQ393207:CTR393278 CJU393207:CJV393278 BZY393207:BZZ393278 BQC393207:BQD393278 BGG393207:BGH393278 AWK393207:AWL393278 AMO393207:AMP393278 ACS393207:ACT393278 SW393207:SX393278 JA393207:JB393278 E393207:F393278 WVM327671:WVN327742 WLQ327671:WLR327742 WBU327671:WBV327742 VRY327671:VRZ327742 VIC327671:VID327742 UYG327671:UYH327742 UOK327671:UOL327742 UEO327671:UEP327742 TUS327671:TUT327742 TKW327671:TKX327742 TBA327671:TBB327742 SRE327671:SRF327742 SHI327671:SHJ327742 RXM327671:RXN327742 RNQ327671:RNR327742 RDU327671:RDV327742 QTY327671:QTZ327742 QKC327671:QKD327742 QAG327671:QAH327742 PQK327671:PQL327742 PGO327671:PGP327742 OWS327671:OWT327742 OMW327671:OMX327742 ODA327671:ODB327742 NTE327671:NTF327742 NJI327671:NJJ327742 MZM327671:MZN327742 MPQ327671:MPR327742 MFU327671:MFV327742 LVY327671:LVZ327742 LMC327671:LMD327742 LCG327671:LCH327742 KSK327671:KSL327742 KIO327671:KIP327742 JYS327671:JYT327742 JOW327671:JOX327742 JFA327671:JFB327742 IVE327671:IVF327742 ILI327671:ILJ327742 IBM327671:IBN327742 HRQ327671:HRR327742 HHU327671:HHV327742 GXY327671:GXZ327742 GOC327671:GOD327742 GEG327671:GEH327742 FUK327671:FUL327742 FKO327671:FKP327742 FAS327671:FAT327742 EQW327671:EQX327742 EHA327671:EHB327742 DXE327671:DXF327742 DNI327671:DNJ327742 DDM327671:DDN327742 CTQ327671:CTR327742 CJU327671:CJV327742 BZY327671:BZZ327742 BQC327671:BQD327742 BGG327671:BGH327742 AWK327671:AWL327742 AMO327671:AMP327742 ACS327671:ACT327742 SW327671:SX327742 JA327671:JB327742 E327671:F327742 WVM262135:WVN262206 WLQ262135:WLR262206 WBU262135:WBV262206 VRY262135:VRZ262206 VIC262135:VID262206 UYG262135:UYH262206 UOK262135:UOL262206 UEO262135:UEP262206 TUS262135:TUT262206 TKW262135:TKX262206 TBA262135:TBB262206 SRE262135:SRF262206 SHI262135:SHJ262206 RXM262135:RXN262206 RNQ262135:RNR262206 RDU262135:RDV262206 QTY262135:QTZ262206 QKC262135:QKD262206 QAG262135:QAH262206 PQK262135:PQL262206 PGO262135:PGP262206 OWS262135:OWT262206 OMW262135:OMX262206 ODA262135:ODB262206 NTE262135:NTF262206 NJI262135:NJJ262206 MZM262135:MZN262206 MPQ262135:MPR262206 MFU262135:MFV262206 LVY262135:LVZ262206 LMC262135:LMD262206 LCG262135:LCH262206 KSK262135:KSL262206 KIO262135:KIP262206 JYS262135:JYT262206 JOW262135:JOX262206 JFA262135:JFB262206 IVE262135:IVF262206 ILI262135:ILJ262206 IBM262135:IBN262206 HRQ262135:HRR262206 HHU262135:HHV262206 GXY262135:GXZ262206 GOC262135:GOD262206 GEG262135:GEH262206 FUK262135:FUL262206 FKO262135:FKP262206 FAS262135:FAT262206 EQW262135:EQX262206 EHA262135:EHB262206 DXE262135:DXF262206 DNI262135:DNJ262206 DDM262135:DDN262206 CTQ262135:CTR262206 CJU262135:CJV262206 BZY262135:BZZ262206 BQC262135:BQD262206 BGG262135:BGH262206 AWK262135:AWL262206 AMO262135:AMP262206 ACS262135:ACT262206 SW262135:SX262206 JA262135:JB262206 E262135:F262206 WVM196599:WVN196670 WLQ196599:WLR196670 WBU196599:WBV196670 VRY196599:VRZ196670 VIC196599:VID196670 UYG196599:UYH196670 UOK196599:UOL196670 UEO196599:UEP196670 TUS196599:TUT196670 TKW196599:TKX196670 TBA196599:TBB196670 SRE196599:SRF196670 SHI196599:SHJ196670 RXM196599:RXN196670 RNQ196599:RNR196670 RDU196599:RDV196670 QTY196599:QTZ196670 QKC196599:QKD196670 QAG196599:QAH196670 PQK196599:PQL196670 PGO196599:PGP196670 OWS196599:OWT196670 OMW196599:OMX196670 ODA196599:ODB196670 NTE196599:NTF196670 NJI196599:NJJ196670 MZM196599:MZN196670 MPQ196599:MPR196670 MFU196599:MFV196670 LVY196599:LVZ196670 LMC196599:LMD196670 LCG196599:LCH196670 KSK196599:KSL196670 KIO196599:KIP196670 JYS196599:JYT196670 JOW196599:JOX196670 JFA196599:JFB196670 IVE196599:IVF196670 ILI196599:ILJ196670 IBM196599:IBN196670 HRQ196599:HRR196670 HHU196599:HHV196670 GXY196599:GXZ196670 GOC196599:GOD196670 GEG196599:GEH196670 FUK196599:FUL196670 FKO196599:FKP196670 FAS196599:FAT196670 EQW196599:EQX196670 EHA196599:EHB196670 DXE196599:DXF196670 DNI196599:DNJ196670 DDM196599:DDN196670 CTQ196599:CTR196670 CJU196599:CJV196670 BZY196599:BZZ196670 BQC196599:BQD196670 BGG196599:BGH196670 AWK196599:AWL196670 AMO196599:AMP196670 ACS196599:ACT196670 SW196599:SX196670 JA196599:JB196670 E196599:F196670 WVM131063:WVN131134 WLQ131063:WLR131134 WBU131063:WBV131134 VRY131063:VRZ131134 VIC131063:VID131134 UYG131063:UYH131134 UOK131063:UOL131134 UEO131063:UEP131134 TUS131063:TUT131134 TKW131063:TKX131134 TBA131063:TBB131134 SRE131063:SRF131134 SHI131063:SHJ131134 RXM131063:RXN131134 RNQ131063:RNR131134 RDU131063:RDV131134 QTY131063:QTZ131134 QKC131063:QKD131134 QAG131063:QAH131134 PQK131063:PQL131134 PGO131063:PGP131134 OWS131063:OWT131134 OMW131063:OMX131134 ODA131063:ODB131134 NTE131063:NTF131134 NJI131063:NJJ131134 MZM131063:MZN131134 MPQ131063:MPR131134 MFU131063:MFV131134 LVY131063:LVZ131134 LMC131063:LMD131134 LCG131063:LCH131134 KSK131063:KSL131134 KIO131063:KIP131134 JYS131063:JYT131134 JOW131063:JOX131134 JFA131063:JFB131134 IVE131063:IVF131134 ILI131063:ILJ131134 IBM131063:IBN131134 HRQ131063:HRR131134 HHU131063:HHV131134 GXY131063:GXZ131134 GOC131063:GOD131134 GEG131063:GEH131134 FUK131063:FUL131134 FKO131063:FKP131134 FAS131063:FAT131134 EQW131063:EQX131134 EHA131063:EHB131134 DXE131063:DXF131134 DNI131063:DNJ131134 DDM131063:DDN131134 CTQ131063:CTR131134 CJU131063:CJV131134 BZY131063:BZZ131134 BQC131063:BQD131134 BGG131063:BGH131134 AWK131063:AWL131134 AMO131063:AMP131134 ACS131063:ACT131134 SW131063:SX131134 JA131063:JB131134 E131063:F131134 WVM65527:WVN65598 WLQ65527:WLR65598 WBU65527:WBV65598 VRY65527:VRZ65598 VIC65527:VID65598 UYG65527:UYH65598 UOK65527:UOL65598 UEO65527:UEP65598 TUS65527:TUT65598 TKW65527:TKX65598 TBA65527:TBB65598 SRE65527:SRF65598 SHI65527:SHJ65598 RXM65527:RXN65598 RNQ65527:RNR65598 RDU65527:RDV65598 QTY65527:QTZ65598 QKC65527:QKD65598 QAG65527:QAH65598 PQK65527:PQL65598 PGO65527:PGP65598 OWS65527:OWT65598 OMW65527:OMX65598 ODA65527:ODB65598 NTE65527:NTF65598 NJI65527:NJJ65598 MZM65527:MZN65598 MPQ65527:MPR65598 MFU65527:MFV65598 LVY65527:LVZ65598 LMC65527:LMD65598 LCG65527:LCH65598 KSK65527:KSL65598 KIO65527:KIP65598 JYS65527:JYT65598 JOW65527:JOX65598 JFA65527:JFB65598 IVE65527:IVF65598 ILI65527:ILJ65598 IBM65527:IBN65598 HRQ65527:HRR65598 HHU65527:HHV65598 GXY65527:GXZ65598 GOC65527:GOD65598 GEG65527:GEH65598 FUK65527:FUL65598 FKO65527:FKP65598 FAS65527:FAT65598 EQW65527:EQX65598 EHA65527:EHB65598 DXE65527:DXF65598 DNI65527:DNJ65598 DDM65527:DDN65598 CTQ65527:CTR65598 CJU65527:CJV65598 BZY65527:BZZ65598 BQC65527:BQD65598 BGG65527:BGH65598 AWK65527:AWL65598 AMO65527:AMP65598 ACS65527:ACT65598 SW65527:SX65598 JA65527:JB65598 E65527:F65598 JA64352:JB64417 WVM1047392:WVN1047457 WLQ1047392:WLR1047457 WBU1047392:WBV1047457 VRY1047392:VRZ1047457 VIC1047392:VID1047457 UYG1047392:UYH1047457 UOK1047392:UOL1047457 UEO1047392:UEP1047457 TUS1047392:TUT1047457 TKW1047392:TKX1047457 TBA1047392:TBB1047457 SRE1047392:SRF1047457 SHI1047392:SHJ1047457 RXM1047392:RXN1047457 RNQ1047392:RNR1047457 RDU1047392:RDV1047457 QTY1047392:QTZ1047457 QKC1047392:QKD1047457 QAG1047392:QAH1047457 PQK1047392:PQL1047457 PGO1047392:PGP1047457 OWS1047392:OWT1047457 OMW1047392:OMX1047457 ODA1047392:ODB1047457 NTE1047392:NTF1047457 NJI1047392:NJJ1047457 MZM1047392:MZN1047457 MPQ1047392:MPR1047457 MFU1047392:MFV1047457 LVY1047392:LVZ1047457 LMC1047392:LMD1047457 LCG1047392:LCH1047457 KSK1047392:KSL1047457 KIO1047392:KIP1047457 JYS1047392:JYT1047457 JOW1047392:JOX1047457 JFA1047392:JFB1047457 IVE1047392:IVF1047457 ILI1047392:ILJ1047457 IBM1047392:IBN1047457 HRQ1047392:HRR1047457 HHU1047392:HHV1047457 GXY1047392:GXZ1047457 GOC1047392:GOD1047457 GEG1047392:GEH1047457 FUK1047392:FUL1047457 FKO1047392:FKP1047457 FAS1047392:FAT1047457 EQW1047392:EQX1047457 EHA1047392:EHB1047457 DXE1047392:DXF1047457 DNI1047392:DNJ1047457 DDM1047392:DDN1047457 CTQ1047392:CTR1047457 CJU1047392:CJV1047457 BZY1047392:BZZ1047457 BQC1047392:BQD1047457 BGG1047392:BGH1047457 AWK1047392:AWL1047457 AMO1047392:AMP1047457 ACS1047392:ACT1047457 SW1047392:SX1047457 JA1047392:JB1047457 E1047392:F1047457 WVM981856:WVN981921 WLQ981856:WLR981921 WBU981856:WBV981921 VRY981856:VRZ981921 VIC981856:VID981921 UYG981856:UYH981921 UOK981856:UOL981921 UEO981856:UEP981921 TUS981856:TUT981921 TKW981856:TKX981921 TBA981856:TBB981921 SRE981856:SRF981921 SHI981856:SHJ981921 RXM981856:RXN981921 RNQ981856:RNR981921 RDU981856:RDV981921 QTY981856:QTZ981921 QKC981856:QKD981921 QAG981856:QAH981921 PQK981856:PQL981921 PGO981856:PGP981921 OWS981856:OWT981921 OMW981856:OMX981921 ODA981856:ODB981921 NTE981856:NTF981921 NJI981856:NJJ981921 MZM981856:MZN981921 MPQ981856:MPR981921 MFU981856:MFV981921 LVY981856:LVZ981921 LMC981856:LMD981921 LCG981856:LCH981921 KSK981856:KSL981921 KIO981856:KIP981921 JYS981856:JYT981921 JOW981856:JOX981921 JFA981856:JFB981921 IVE981856:IVF981921 ILI981856:ILJ981921 IBM981856:IBN981921 HRQ981856:HRR981921 HHU981856:HHV981921 GXY981856:GXZ981921 GOC981856:GOD981921 GEG981856:GEH981921 FUK981856:FUL981921 FKO981856:FKP981921 FAS981856:FAT981921 EQW981856:EQX981921 EHA981856:EHB981921 DXE981856:DXF981921 DNI981856:DNJ981921 DDM981856:DDN981921 CTQ981856:CTR981921 CJU981856:CJV981921 BZY981856:BZZ981921 BQC981856:BQD981921 BGG981856:BGH981921 AWK981856:AWL981921 AMO981856:AMP981921 ACS981856:ACT981921 SW981856:SX981921 JA981856:JB981921 E981856:F981921 WVM916320:WVN916385 WLQ916320:WLR916385 WBU916320:WBV916385 VRY916320:VRZ916385 VIC916320:VID916385 UYG916320:UYH916385 UOK916320:UOL916385 UEO916320:UEP916385 TUS916320:TUT916385 TKW916320:TKX916385 TBA916320:TBB916385 SRE916320:SRF916385 SHI916320:SHJ916385 RXM916320:RXN916385 RNQ916320:RNR916385 RDU916320:RDV916385 QTY916320:QTZ916385 QKC916320:QKD916385 QAG916320:QAH916385 PQK916320:PQL916385 PGO916320:PGP916385 OWS916320:OWT916385 OMW916320:OMX916385 ODA916320:ODB916385 NTE916320:NTF916385 NJI916320:NJJ916385 MZM916320:MZN916385 MPQ916320:MPR916385 MFU916320:MFV916385 LVY916320:LVZ916385 LMC916320:LMD916385 LCG916320:LCH916385 KSK916320:KSL916385 KIO916320:KIP916385 JYS916320:JYT916385 JOW916320:JOX916385 JFA916320:JFB916385 IVE916320:IVF916385 ILI916320:ILJ916385 IBM916320:IBN916385 HRQ916320:HRR916385 HHU916320:HHV916385 GXY916320:GXZ916385 GOC916320:GOD916385 GEG916320:GEH916385 FUK916320:FUL916385 FKO916320:FKP916385 FAS916320:FAT916385 EQW916320:EQX916385 EHA916320:EHB916385 DXE916320:DXF916385 DNI916320:DNJ916385 DDM916320:DDN916385 CTQ916320:CTR916385 CJU916320:CJV916385 BZY916320:BZZ916385 BQC916320:BQD916385 BGG916320:BGH916385 AWK916320:AWL916385 AMO916320:AMP916385 ACS916320:ACT916385 SW916320:SX916385 JA916320:JB916385 E916320:F916385 WVM850784:WVN850849 WLQ850784:WLR850849 WBU850784:WBV850849 VRY850784:VRZ850849 VIC850784:VID850849 UYG850784:UYH850849 UOK850784:UOL850849 UEO850784:UEP850849 TUS850784:TUT850849 TKW850784:TKX850849 TBA850784:TBB850849 SRE850784:SRF850849 SHI850784:SHJ850849 RXM850784:RXN850849 RNQ850784:RNR850849 RDU850784:RDV850849 QTY850784:QTZ850849 QKC850784:QKD850849 QAG850784:QAH850849 PQK850784:PQL850849 PGO850784:PGP850849 OWS850784:OWT850849 OMW850784:OMX850849 ODA850784:ODB850849 NTE850784:NTF850849 NJI850784:NJJ850849 MZM850784:MZN850849 MPQ850784:MPR850849 MFU850784:MFV850849 LVY850784:LVZ850849 LMC850784:LMD850849 LCG850784:LCH850849 KSK850784:KSL850849 KIO850784:KIP850849 JYS850784:JYT850849 JOW850784:JOX850849 JFA850784:JFB850849 IVE850784:IVF850849 ILI850784:ILJ850849 IBM850784:IBN850849 HRQ850784:HRR850849 HHU850784:HHV850849 GXY850784:GXZ850849 GOC850784:GOD850849 GEG850784:GEH850849 FUK850784:FUL850849 FKO850784:FKP850849 FAS850784:FAT850849 EQW850784:EQX850849 EHA850784:EHB850849 DXE850784:DXF850849 DNI850784:DNJ850849 DDM850784:DDN850849 CTQ850784:CTR850849 CJU850784:CJV850849 BZY850784:BZZ850849 BQC850784:BQD850849 BGG850784:BGH850849 AWK850784:AWL850849 AMO850784:AMP850849 ACS850784:ACT850849 SW850784:SX850849 JA850784:JB850849 E850784:F850849 WVM785248:WVN785313 WLQ785248:WLR785313 WBU785248:WBV785313 VRY785248:VRZ785313 VIC785248:VID785313 UYG785248:UYH785313 UOK785248:UOL785313 UEO785248:UEP785313 TUS785248:TUT785313 TKW785248:TKX785313 TBA785248:TBB785313 SRE785248:SRF785313 SHI785248:SHJ785313 RXM785248:RXN785313 RNQ785248:RNR785313 RDU785248:RDV785313 QTY785248:QTZ785313 QKC785248:QKD785313 QAG785248:QAH785313 PQK785248:PQL785313 PGO785248:PGP785313 OWS785248:OWT785313 OMW785248:OMX785313 ODA785248:ODB785313 NTE785248:NTF785313 NJI785248:NJJ785313 MZM785248:MZN785313 MPQ785248:MPR785313 MFU785248:MFV785313 LVY785248:LVZ785313 LMC785248:LMD785313 LCG785248:LCH785313 KSK785248:KSL785313 KIO785248:KIP785313 JYS785248:JYT785313 JOW785248:JOX785313 JFA785248:JFB785313 IVE785248:IVF785313 ILI785248:ILJ785313 IBM785248:IBN785313 HRQ785248:HRR785313 HHU785248:HHV785313 GXY785248:GXZ785313 GOC785248:GOD785313 GEG785248:GEH785313 FUK785248:FUL785313 FKO785248:FKP785313 FAS785248:FAT785313 EQW785248:EQX785313 EHA785248:EHB785313 DXE785248:DXF785313 DNI785248:DNJ785313 DDM785248:DDN785313 CTQ785248:CTR785313 CJU785248:CJV785313 BZY785248:BZZ785313 BQC785248:BQD785313 BGG785248:BGH785313 AWK785248:AWL785313 AMO785248:AMP785313 ACS785248:ACT785313 SW785248:SX785313 JA785248:JB785313 E785248:F785313 WVM719712:WVN719777 WLQ719712:WLR719777 WBU719712:WBV719777 VRY719712:VRZ719777 VIC719712:VID719777 UYG719712:UYH719777 UOK719712:UOL719777 UEO719712:UEP719777 TUS719712:TUT719777 TKW719712:TKX719777 TBA719712:TBB719777 SRE719712:SRF719777 SHI719712:SHJ719777 RXM719712:RXN719777 RNQ719712:RNR719777 RDU719712:RDV719777 QTY719712:QTZ719777 QKC719712:QKD719777 QAG719712:QAH719777 PQK719712:PQL719777 PGO719712:PGP719777 OWS719712:OWT719777 OMW719712:OMX719777 ODA719712:ODB719777 NTE719712:NTF719777 NJI719712:NJJ719777 MZM719712:MZN719777 MPQ719712:MPR719777 MFU719712:MFV719777 LVY719712:LVZ719777 LMC719712:LMD719777 LCG719712:LCH719777 KSK719712:KSL719777 KIO719712:KIP719777 JYS719712:JYT719777 JOW719712:JOX719777 JFA719712:JFB719777 IVE719712:IVF719777 ILI719712:ILJ719777 IBM719712:IBN719777 HRQ719712:HRR719777 HHU719712:HHV719777 GXY719712:GXZ719777 GOC719712:GOD719777 GEG719712:GEH719777 FUK719712:FUL719777 FKO719712:FKP719777 FAS719712:FAT719777 EQW719712:EQX719777 EHA719712:EHB719777 DXE719712:DXF719777 DNI719712:DNJ719777 DDM719712:DDN719777 CTQ719712:CTR719777 CJU719712:CJV719777 BZY719712:BZZ719777 BQC719712:BQD719777 BGG719712:BGH719777 AWK719712:AWL719777 AMO719712:AMP719777 ACS719712:ACT719777 SW719712:SX719777 JA719712:JB719777 E719712:F719777 WVM654176:WVN654241 WLQ654176:WLR654241 WBU654176:WBV654241 VRY654176:VRZ654241 VIC654176:VID654241 UYG654176:UYH654241 UOK654176:UOL654241 UEO654176:UEP654241 TUS654176:TUT654241 TKW654176:TKX654241 TBA654176:TBB654241 SRE654176:SRF654241 SHI654176:SHJ654241 RXM654176:RXN654241 RNQ654176:RNR654241 RDU654176:RDV654241 QTY654176:QTZ654241 QKC654176:QKD654241 QAG654176:QAH654241 PQK654176:PQL654241 PGO654176:PGP654241 OWS654176:OWT654241 OMW654176:OMX654241 ODA654176:ODB654241 NTE654176:NTF654241 NJI654176:NJJ654241 MZM654176:MZN654241 MPQ654176:MPR654241 MFU654176:MFV654241 LVY654176:LVZ654241 LMC654176:LMD654241 LCG654176:LCH654241 KSK654176:KSL654241 KIO654176:KIP654241 JYS654176:JYT654241 JOW654176:JOX654241 JFA654176:JFB654241 IVE654176:IVF654241 ILI654176:ILJ654241 IBM654176:IBN654241 HRQ654176:HRR654241 HHU654176:HHV654241 GXY654176:GXZ654241 GOC654176:GOD654241 GEG654176:GEH654241 FUK654176:FUL654241 FKO654176:FKP654241 FAS654176:FAT654241 EQW654176:EQX654241 EHA654176:EHB654241 DXE654176:DXF654241 DNI654176:DNJ654241 DDM654176:DDN654241 CTQ654176:CTR654241 CJU654176:CJV654241 BZY654176:BZZ654241 BQC654176:BQD654241 BGG654176:BGH654241 AWK654176:AWL654241 AMO654176:AMP654241 ACS654176:ACT654241 SW654176:SX654241 JA654176:JB654241 E654176:F654241 WVM588640:WVN588705 WLQ588640:WLR588705 WBU588640:WBV588705 VRY588640:VRZ588705 VIC588640:VID588705 UYG588640:UYH588705 UOK588640:UOL588705 UEO588640:UEP588705 TUS588640:TUT588705 TKW588640:TKX588705 TBA588640:TBB588705 SRE588640:SRF588705 SHI588640:SHJ588705 RXM588640:RXN588705 RNQ588640:RNR588705 RDU588640:RDV588705 QTY588640:QTZ588705 QKC588640:QKD588705 QAG588640:QAH588705 PQK588640:PQL588705 PGO588640:PGP588705 OWS588640:OWT588705 OMW588640:OMX588705 ODA588640:ODB588705 NTE588640:NTF588705 NJI588640:NJJ588705 MZM588640:MZN588705 MPQ588640:MPR588705 MFU588640:MFV588705 LVY588640:LVZ588705 LMC588640:LMD588705 LCG588640:LCH588705 KSK588640:KSL588705 KIO588640:KIP588705 JYS588640:JYT588705 JOW588640:JOX588705 JFA588640:JFB588705 IVE588640:IVF588705 ILI588640:ILJ588705 IBM588640:IBN588705 HRQ588640:HRR588705 HHU588640:HHV588705 GXY588640:GXZ588705 GOC588640:GOD588705 GEG588640:GEH588705 FUK588640:FUL588705 FKO588640:FKP588705 FAS588640:FAT588705 EQW588640:EQX588705 EHA588640:EHB588705 DXE588640:DXF588705 DNI588640:DNJ588705 DDM588640:DDN588705 CTQ588640:CTR588705 CJU588640:CJV588705 BZY588640:BZZ588705 BQC588640:BQD588705 BGG588640:BGH588705 AWK588640:AWL588705 AMO588640:AMP588705 ACS588640:ACT588705 SW588640:SX588705 JA588640:JB588705 E588640:F588705 WVM523104:WVN523169 WLQ523104:WLR523169 WBU523104:WBV523169 VRY523104:VRZ523169 VIC523104:VID523169 UYG523104:UYH523169 UOK523104:UOL523169 UEO523104:UEP523169 TUS523104:TUT523169 TKW523104:TKX523169 TBA523104:TBB523169 SRE523104:SRF523169 SHI523104:SHJ523169 RXM523104:RXN523169 RNQ523104:RNR523169 RDU523104:RDV523169 QTY523104:QTZ523169 QKC523104:QKD523169 QAG523104:QAH523169 PQK523104:PQL523169 PGO523104:PGP523169 OWS523104:OWT523169 OMW523104:OMX523169 ODA523104:ODB523169 NTE523104:NTF523169 NJI523104:NJJ523169 MZM523104:MZN523169 MPQ523104:MPR523169 MFU523104:MFV523169 LVY523104:LVZ523169 LMC523104:LMD523169 LCG523104:LCH523169 KSK523104:KSL523169 KIO523104:KIP523169 JYS523104:JYT523169 JOW523104:JOX523169 JFA523104:JFB523169 IVE523104:IVF523169 ILI523104:ILJ523169 IBM523104:IBN523169 HRQ523104:HRR523169 HHU523104:HHV523169 GXY523104:GXZ523169 GOC523104:GOD523169 GEG523104:GEH523169 FUK523104:FUL523169 FKO523104:FKP523169 FAS523104:FAT523169 EQW523104:EQX523169 EHA523104:EHB523169 DXE523104:DXF523169 DNI523104:DNJ523169 DDM523104:DDN523169 CTQ523104:CTR523169 CJU523104:CJV523169 BZY523104:BZZ523169 BQC523104:BQD523169 BGG523104:BGH523169 AWK523104:AWL523169 AMO523104:AMP523169 ACS523104:ACT523169 SW523104:SX523169 JA523104:JB523169 E523104:F523169 WVM457568:WVN457633 WLQ457568:WLR457633 WBU457568:WBV457633 VRY457568:VRZ457633 VIC457568:VID457633 UYG457568:UYH457633 UOK457568:UOL457633 UEO457568:UEP457633 TUS457568:TUT457633 TKW457568:TKX457633 TBA457568:TBB457633 SRE457568:SRF457633 SHI457568:SHJ457633 RXM457568:RXN457633 RNQ457568:RNR457633 RDU457568:RDV457633 QTY457568:QTZ457633 QKC457568:QKD457633 QAG457568:QAH457633 PQK457568:PQL457633 PGO457568:PGP457633 OWS457568:OWT457633 OMW457568:OMX457633 ODA457568:ODB457633 NTE457568:NTF457633 NJI457568:NJJ457633 MZM457568:MZN457633 MPQ457568:MPR457633 MFU457568:MFV457633 LVY457568:LVZ457633 LMC457568:LMD457633 LCG457568:LCH457633 KSK457568:KSL457633 KIO457568:KIP457633 JYS457568:JYT457633 JOW457568:JOX457633 JFA457568:JFB457633 IVE457568:IVF457633 ILI457568:ILJ457633 IBM457568:IBN457633 HRQ457568:HRR457633 HHU457568:HHV457633 GXY457568:GXZ457633 GOC457568:GOD457633 GEG457568:GEH457633 FUK457568:FUL457633 FKO457568:FKP457633 FAS457568:FAT457633 EQW457568:EQX457633 EHA457568:EHB457633 DXE457568:DXF457633 DNI457568:DNJ457633 DDM457568:DDN457633 CTQ457568:CTR457633 CJU457568:CJV457633 BZY457568:BZZ457633 BQC457568:BQD457633 BGG457568:BGH457633 AWK457568:AWL457633 AMO457568:AMP457633 ACS457568:ACT457633 SW457568:SX457633 JA457568:JB457633 E457568:F457633 WVM392032:WVN392097 WLQ392032:WLR392097 WBU392032:WBV392097 VRY392032:VRZ392097 VIC392032:VID392097 UYG392032:UYH392097 UOK392032:UOL392097 UEO392032:UEP392097 TUS392032:TUT392097 TKW392032:TKX392097 TBA392032:TBB392097 SRE392032:SRF392097 SHI392032:SHJ392097 RXM392032:RXN392097 RNQ392032:RNR392097 RDU392032:RDV392097 QTY392032:QTZ392097 QKC392032:QKD392097 QAG392032:QAH392097 PQK392032:PQL392097 PGO392032:PGP392097 OWS392032:OWT392097 OMW392032:OMX392097 ODA392032:ODB392097 NTE392032:NTF392097 NJI392032:NJJ392097 MZM392032:MZN392097 MPQ392032:MPR392097 MFU392032:MFV392097 LVY392032:LVZ392097 LMC392032:LMD392097 LCG392032:LCH392097 KSK392032:KSL392097 KIO392032:KIP392097 JYS392032:JYT392097 JOW392032:JOX392097 JFA392032:JFB392097 IVE392032:IVF392097 ILI392032:ILJ392097 IBM392032:IBN392097 HRQ392032:HRR392097 HHU392032:HHV392097 GXY392032:GXZ392097 GOC392032:GOD392097 GEG392032:GEH392097 FUK392032:FUL392097 FKO392032:FKP392097 FAS392032:FAT392097 EQW392032:EQX392097 EHA392032:EHB392097 DXE392032:DXF392097 DNI392032:DNJ392097 DDM392032:DDN392097 CTQ392032:CTR392097 CJU392032:CJV392097 BZY392032:BZZ392097 BQC392032:BQD392097 BGG392032:BGH392097 AWK392032:AWL392097 AMO392032:AMP392097 ACS392032:ACT392097 SW392032:SX392097 JA392032:JB392097 E392032:F392097 WVM326496:WVN326561 WLQ326496:WLR326561 WBU326496:WBV326561 VRY326496:VRZ326561 VIC326496:VID326561 UYG326496:UYH326561 UOK326496:UOL326561 UEO326496:UEP326561 TUS326496:TUT326561 TKW326496:TKX326561 TBA326496:TBB326561 SRE326496:SRF326561 SHI326496:SHJ326561 RXM326496:RXN326561 RNQ326496:RNR326561 RDU326496:RDV326561 QTY326496:QTZ326561 QKC326496:QKD326561 QAG326496:QAH326561 PQK326496:PQL326561 PGO326496:PGP326561 OWS326496:OWT326561 OMW326496:OMX326561 ODA326496:ODB326561 NTE326496:NTF326561 NJI326496:NJJ326561 MZM326496:MZN326561 MPQ326496:MPR326561 MFU326496:MFV326561 LVY326496:LVZ326561 LMC326496:LMD326561 LCG326496:LCH326561 KSK326496:KSL326561 KIO326496:KIP326561 JYS326496:JYT326561 JOW326496:JOX326561 JFA326496:JFB326561 IVE326496:IVF326561 ILI326496:ILJ326561 IBM326496:IBN326561 HRQ326496:HRR326561 HHU326496:HHV326561 GXY326496:GXZ326561 GOC326496:GOD326561 GEG326496:GEH326561 FUK326496:FUL326561 FKO326496:FKP326561 FAS326496:FAT326561 EQW326496:EQX326561 EHA326496:EHB326561 DXE326496:DXF326561 DNI326496:DNJ326561 DDM326496:DDN326561 CTQ326496:CTR326561 CJU326496:CJV326561 BZY326496:BZZ326561 BQC326496:BQD326561 BGG326496:BGH326561 AWK326496:AWL326561 AMO326496:AMP326561 ACS326496:ACT326561 SW326496:SX326561 JA326496:JB326561 E326496:F326561 WVM260960:WVN261025 WLQ260960:WLR261025 WBU260960:WBV261025 VRY260960:VRZ261025 VIC260960:VID261025 UYG260960:UYH261025 UOK260960:UOL261025 UEO260960:UEP261025 TUS260960:TUT261025 TKW260960:TKX261025 TBA260960:TBB261025 SRE260960:SRF261025 SHI260960:SHJ261025 RXM260960:RXN261025 RNQ260960:RNR261025 RDU260960:RDV261025 QTY260960:QTZ261025 QKC260960:QKD261025 QAG260960:QAH261025 PQK260960:PQL261025 PGO260960:PGP261025 OWS260960:OWT261025 OMW260960:OMX261025 ODA260960:ODB261025 NTE260960:NTF261025 NJI260960:NJJ261025 MZM260960:MZN261025 MPQ260960:MPR261025 MFU260960:MFV261025 LVY260960:LVZ261025 LMC260960:LMD261025 LCG260960:LCH261025 KSK260960:KSL261025 KIO260960:KIP261025 JYS260960:JYT261025 JOW260960:JOX261025 JFA260960:JFB261025 IVE260960:IVF261025 ILI260960:ILJ261025 IBM260960:IBN261025 HRQ260960:HRR261025 HHU260960:HHV261025 GXY260960:GXZ261025 GOC260960:GOD261025 GEG260960:GEH261025 FUK260960:FUL261025 FKO260960:FKP261025 FAS260960:FAT261025 EQW260960:EQX261025 EHA260960:EHB261025 DXE260960:DXF261025 DNI260960:DNJ261025 DDM260960:DDN261025 CTQ260960:CTR261025 CJU260960:CJV261025 BZY260960:BZZ261025 BQC260960:BQD261025 BGG260960:BGH261025 AWK260960:AWL261025 AMO260960:AMP261025 ACS260960:ACT261025 SW260960:SX261025 JA260960:JB261025 E260960:F261025 WVM195424:WVN195489 WLQ195424:WLR195489 WBU195424:WBV195489 VRY195424:VRZ195489 VIC195424:VID195489 UYG195424:UYH195489 UOK195424:UOL195489 UEO195424:UEP195489 TUS195424:TUT195489 TKW195424:TKX195489 TBA195424:TBB195489 SRE195424:SRF195489 SHI195424:SHJ195489 RXM195424:RXN195489 RNQ195424:RNR195489 RDU195424:RDV195489 QTY195424:QTZ195489 QKC195424:QKD195489 QAG195424:QAH195489 PQK195424:PQL195489 PGO195424:PGP195489 OWS195424:OWT195489 OMW195424:OMX195489 ODA195424:ODB195489 NTE195424:NTF195489 NJI195424:NJJ195489 MZM195424:MZN195489 MPQ195424:MPR195489 MFU195424:MFV195489 LVY195424:LVZ195489 LMC195424:LMD195489 LCG195424:LCH195489 KSK195424:KSL195489 KIO195424:KIP195489 JYS195424:JYT195489 JOW195424:JOX195489 JFA195424:JFB195489 IVE195424:IVF195489 ILI195424:ILJ195489 IBM195424:IBN195489 HRQ195424:HRR195489 HHU195424:HHV195489 GXY195424:GXZ195489 GOC195424:GOD195489 GEG195424:GEH195489 FUK195424:FUL195489 FKO195424:FKP195489 FAS195424:FAT195489 EQW195424:EQX195489 EHA195424:EHB195489 DXE195424:DXF195489 DNI195424:DNJ195489 DDM195424:DDN195489 CTQ195424:CTR195489 CJU195424:CJV195489 BZY195424:BZZ195489 BQC195424:BQD195489 BGG195424:BGH195489 AWK195424:AWL195489 AMO195424:AMP195489 ACS195424:ACT195489 SW195424:SX195489 JA195424:JB195489 E195424:F195489 WVM129888:WVN129953 WLQ129888:WLR129953 WBU129888:WBV129953 VRY129888:VRZ129953 VIC129888:VID129953 UYG129888:UYH129953 UOK129888:UOL129953 UEO129888:UEP129953 TUS129888:TUT129953 TKW129888:TKX129953 TBA129888:TBB129953 SRE129888:SRF129953 SHI129888:SHJ129953 RXM129888:RXN129953 RNQ129888:RNR129953 RDU129888:RDV129953 QTY129888:QTZ129953 QKC129888:QKD129953 QAG129888:QAH129953 PQK129888:PQL129953 PGO129888:PGP129953 OWS129888:OWT129953 OMW129888:OMX129953 ODA129888:ODB129953 NTE129888:NTF129953 NJI129888:NJJ129953 MZM129888:MZN129953 MPQ129888:MPR129953 MFU129888:MFV129953 LVY129888:LVZ129953 LMC129888:LMD129953 LCG129888:LCH129953 KSK129888:KSL129953 KIO129888:KIP129953 JYS129888:JYT129953 JOW129888:JOX129953 JFA129888:JFB129953 IVE129888:IVF129953 ILI129888:ILJ129953 IBM129888:IBN129953 HRQ129888:HRR129953 HHU129888:HHV129953 GXY129888:GXZ129953 GOC129888:GOD129953 GEG129888:GEH129953 FUK129888:FUL129953 FKO129888:FKP129953 FAS129888:FAT129953 EQW129888:EQX129953 EHA129888:EHB129953 DXE129888:DXF129953 DNI129888:DNJ129953 DDM129888:DDN129953 CTQ129888:CTR129953 CJU129888:CJV129953 BZY129888:BZZ129953 BQC129888:BQD129953 BGG129888:BGH129953 AWK129888:AWL129953 AMO129888:AMP129953 ACS129888:ACT129953 SW129888:SX129953 JA129888:JB129953 E129888:F129953 WVM64352:WVN64417 WLQ64352:WLR64417 WBU64352:WBV64417 VRY64352:VRZ64417 VIC64352:VID64417 UYG64352:UYH64417 UOK64352:UOL64417 UEO64352:UEP64417 TUS64352:TUT64417 TKW64352:TKX64417 TBA64352:TBB64417 SRE64352:SRF64417 SHI64352:SHJ64417 RXM64352:RXN64417 RNQ64352:RNR64417 RDU64352:RDV64417 QTY64352:QTZ64417 QKC64352:QKD64417 QAG64352:QAH64417 PQK64352:PQL64417 PGO64352:PGP64417 OWS64352:OWT64417 OMW64352:OMX64417 ODA64352:ODB64417 NTE64352:NTF64417 NJI64352:NJJ64417 MZM64352:MZN64417 MPQ64352:MPR64417 MFU64352:MFV64417 LVY64352:LVZ64417 LMC64352:LMD64417 LCG64352:LCH64417 KSK64352:KSL64417 KIO64352:KIP64417 JYS64352:JYT64417 JOW64352:JOX64417 JFA64352:JFB64417 IVE64352:IVF64417 ILI64352:ILJ64417 IBM64352:IBN64417 HRQ64352:HRR64417 HHU64352:HHV64417 GXY64352:GXZ64417 GOC64352:GOD64417 GEG64352:GEH64417 FUK64352:FUL64417 FKO64352:FKP64417 FAS64352:FAT64417 EQW64352:EQX64417 EHA64352:EHB64417 DXE64352:DXF64417 DNI64352:DNJ64417 DDM64352:DDN64417 CTQ64352:CTR64417 CJU64352:CJV64417 BZY64352:BZZ64417 BQC64352:BQD64417 BGG64352:BGH64417 AWK64352:AWL64417 AMO64352:AMP64417 ACS64352:ACT64417 SW64352:SX64417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xr:uid="{14444178-C252-475C-9D82-C222292A54CB}">
      <formula1>#REF!</formula1>
    </dataValidation>
    <dataValidation type="list" allowBlank="1" showInputMessage="1" showErrorMessage="1" sqref="AC38 Y2:AA580" xr:uid="{32A9E740-E8B8-425A-91D8-6544AA879A43}">
      <formula1>$AV$2:$AV$38</formula1>
    </dataValidation>
    <dataValidation type="list" allowBlank="1" showInputMessage="1" showErrorMessage="1" sqref="K2:K997" xr:uid="{4AD1A3B3-046B-44D5-816A-5B0C8B4E8B2E}">
      <formula1>$AR$2:$AR$29</formula1>
    </dataValidation>
    <dataValidation type="list" allowBlank="1" showInputMessage="1" showErrorMessage="1" sqref="J2:J997" xr:uid="{29DD0AB1-1FC8-4F05-8F37-A544407D7422}">
      <formula1>$AP$2:$AP$29</formula1>
    </dataValidation>
    <dataValidation type="list" allowBlank="1" showInputMessage="1" showErrorMessage="1" sqref="H2:H1304" xr:uid="{8F24A3AF-0670-4249-B4D4-5A8AE9CA4961}">
      <formula1>$AL$2:$AL$9</formula1>
    </dataValidation>
    <dataValidation type="list" allowBlank="1" showInputMessage="1" showErrorMessage="1" sqref="E2:E489" xr:uid="{B4B18F08-B48C-48BD-B15E-99CB7443E7FB}">
      <formula1>$AG$2:$AG$11</formula1>
    </dataValidation>
    <dataValidation type="decimal" allowBlank="1" showInputMessage="1" showErrorMessage="1" error="硬度を正しく入力して下さい。" sqref="O2:P489" xr:uid="{0D8DAAAC-2C0D-40AB-96C6-8539D5EF698D}">
      <formula1>0</formula1>
      <formula2>7</formula2>
    </dataValidation>
    <dataValidation type="list" allowBlank="1" showInputMessage="1" showErrorMessage="1" sqref="F2:F1443" xr:uid="{969A5B08-B553-4CCC-9C19-D2DD012B8BCC}">
      <formula1>$AH$2:$AH$11</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333"/>
  <sheetViews>
    <sheetView zoomScale="85" zoomScaleNormal="85" zoomScaleSheetLayoutView="100" workbookViewId="0">
      <pane ySplit="1" topLeftCell="A2" activePane="bottomLeft" state="frozen"/>
      <selection activeCell="F1" sqref="F1"/>
      <selection pane="bottomLeft" activeCell="A2" sqref="A2"/>
    </sheetView>
  </sheetViews>
  <sheetFormatPr defaultColWidth="9" defaultRowHeight="13.5"/>
  <cols>
    <col min="1" max="1" width="7.875" style="10" customWidth="1"/>
    <col min="2" max="2" width="6.75" style="10" customWidth="1"/>
    <col min="3" max="3" width="8.25" style="10" customWidth="1"/>
    <col min="4" max="4" width="10.375" style="10" customWidth="1"/>
    <col min="5" max="6" width="10.625" style="10" customWidth="1"/>
    <col min="7" max="16" width="9.125" style="10" customWidth="1"/>
    <col min="17" max="17" width="9.125" style="24" customWidth="1"/>
    <col min="18" max="19" width="9.125" style="10" customWidth="1"/>
    <col min="20" max="20" width="9.125" style="24" customWidth="1"/>
    <col min="21" max="21" width="9.125" style="10" customWidth="1"/>
    <col min="22" max="22" width="9.125" style="24" customWidth="1"/>
    <col min="23" max="27" width="9.125" style="10" customWidth="1"/>
    <col min="28" max="28" width="11.5" style="10" bestFit="1" customWidth="1"/>
    <col min="29" max="30" width="9" style="10"/>
    <col min="31" max="31" width="10.125" style="10" bestFit="1" customWidth="1"/>
    <col min="32" max="32" width="9" style="10"/>
    <col min="33" max="33" width="13.875" style="10" bestFit="1" customWidth="1"/>
    <col min="34" max="34" width="12.375" style="10" bestFit="1" customWidth="1"/>
    <col min="35" max="35" width="9" style="23"/>
    <col min="36" max="36" width="13.125" style="23" bestFit="1" customWidth="1"/>
    <col min="37" max="37" width="9" style="23"/>
    <col min="38" max="38" width="13.375" style="23" bestFit="1" customWidth="1"/>
    <col min="39" max="39" width="9" style="23"/>
    <col min="40" max="40" width="13.125" style="10" bestFit="1" customWidth="1"/>
    <col min="41" max="41" width="9" style="10"/>
    <col min="42" max="42" width="13.625" style="10" bestFit="1" customWidth="1"/>
    <col min="43" max="43" width="9" style="10"/>
    <col min="44" max="44" width="11.625" style="10" bestFit="1" customWidth="1"/>
    <col min="45" max="45" width="9" style="10"/>
    <col min="46" max="46" width="13.125" style="10" bestFit="1" customWidth="1"/>
    <col min="47" max="47" width="9" style="10"/>
    <col min="48" max="48" width="14.75" style="10" bestFit="1" customWidth="1"/>
    <col min="49" max="49" width="9" style="10"/>
    <col min="50" max="50" width="13.125" style="10" bestFit="1" customWidth="1"/>
    <col min="51" max="51" width="11.375" style="10" bestFit="1" customWidth="1"/>
    <col min="52" max="52" width="13.125" style="10" bestFit="1" customWidth="1"/>
    <col min="53" max="53" width="10.375" style="10" bestFit="1" customWidth="1"/>
    <col min="54" max="16384" width="9" style="10"/>
  </cols>
  <sheetData>
    <row r="1" spans="1:53" ht="45">
      <c r="A1" s="1" t="s">
        <v>0</v>
      </c>
      <c r="B1" s="2" t="s">
        <v>1</v>
      </c>
      <c r="C1" s="2" t="s">
        <v>2</v>
      </c>
      <c r="D1" s="3" t="s">
        <v>3</v>
      </c>
      <c r="E1" s="4" t="s">
        <v>4</v>
      </c>
      <c r="F1" s="4" t="s">
        <v>5</v>
      </c>
      <c r="G1" s="4" t="s">
        <v>6</v>
      </c>
      <c r="H1" s="4" t="s">
        <v>7</v>
      </c>
      <c r="I1" s="4" t="s">
        <v>8</v>
      </c>
      <c r="J1" s="4" t="s">
        <v>9</v>
      </c>
      <c r="K1" s="4" t="s">
        <v>10</v>
      </c>
      <c r="L1" s="3" t="s">
        <v>11</v>
      </c>
      <c r="M1" s="3" t="s">
        <v>12</v>
      </c>
      <c r="N1" s="3" t="s">
        <v>13</v>
      </c>
      <c r="O1" s="3" t="s">
        <v>14</v>
      </c>
      <c r="P1" s="3" t="s">
        <v>15</v>
      </c>
      <c r="Q1" s="5" t="s">
        <v>16</v>
      </c>
      <c r="R1" s="3" t="s">
        <v>17</v>
      </c>
      <c r="S1" s="3" t="s">
        <v>18</v>
      </c>
      <c r="T1" s="5" t="s">
        <v>19</v>
      </c>
      <c r="U1" s="6" t="s">
        <v>20</v>
      </c>
      <c r="V1" s="7" t="s">
        <v>21</v>
      </c>
      <c r="W1" s="3" t="s">
        <v>22</v>
      </c>
      <c r="X1" s="4" t="s">
        <v>23</v>
      </c>
      <c r="Y1" s="4" t="s">
        <v>24</v>
      </c>
      <c r="Z1" s="4" t="s">
        <v>25</v>
      </c>
      <c r="AA1" s="8" t="s">
        <v>26</v>
      </c>
      <c r="AB1" s="9" t="s">
        <v>27</v>
      </c>
      <c r="AE1" s="11" t="s">
        <v>0</v>
      </c>
      <c r="AF1" s="12"/>
      <c r="AG1" s="11" t="s">
        <v>4</v>
      </c>
      <c r="AH1" s="11" t="s">
        <v>5</v>
      </c>
      <c r="AI1" s="13"/>
      <c r="AJ1" s="14" t="s">
        <v>6</v>
      </c>
      <c r="AK1" s="13"/>
      <c r="AL1" s="15" t="s">
        <v>7</v>
      </c>
      <c r="AM1" s="13"/>
      <c r="AN1" s="16" t="s">
        <v>8</v>
      </c>
      <c r="AO1" s="12"/>
      <c r="AP1" s="16" t="s">
        <v>28</v>
      </c>
      <c r="AQ1" s="12"/>
      <c r="AR1" s="16" t="s">
        <v>10</v>
      </c>
      <c r="AS1" s="12"/>
      <c r="AT1" s="17" t="s">
        <v>29</v>
      </c>
      <c r="AU1" s="12"/>
      <c r="AV1" s="16" t="s">
        <v>30</v>
      </c>
      <c r="AX1" s="18" t="s">
        <v>31</v>
      </c>
      <c r="AY1" s="19" t="s">
        <v>32</v>
      </c>
      <c r="AZ1" s="19" t="s">
        <v>33</v>
      </c>
      <c r="BA1" s="20" t="s">
        <v>34</v>
      </c>
    </row>
    <row r="2" spans="1:53" s="172" customFormat="1" ht="13.5" customHeight="1">
      <c r="A2" s="170" t="s">
        <v>35</v>
      </c>
      <c r="B2" s="170" t="s">
        <v>36</v>
      </c>
      <c r="C2" s="170">
        <v>2020</v>
      </c>
      <c r="D2" s="171" t="s">
        <v>284</v>
      </c>
      <c r="E2" s="170" t="s">
        <v>94</v>
      </c>
      <c r="F2" s="170" t="s">
        <v>57</v>
      </c>
      <c r="G2" s="170" t="s">
        <v>39</v>
      </c>
      <c r="H2" s="170" t="s">
        <v>40</v>
      </c>
      <c r="I2" s="170" t="s">
        <v>41</v>
      </c>
      <c r="J2" s="172" t="s">
        <v>42</v>
      </c>
      <c r="K2" s="172" t="s">
        <v>43</v>
      </c>
      <c r="L2" s="170">
        <v>1</v>
      </c>
      <c r="N2" s="172">
        <v>8</v>
      </c>
      <c r="O2" s="172">
        <v>1.3</v>
      </c>
      <c r="P2" s="172">
        <v>0.9</v>
      </c>
      <c r="Q2" s="173">
        <f t="shared" ref="Q2:Q64" si="0">IF(OR(O2="",P2=""),"",AVERAGE(O2,P2))</f>
        <v>1.1000000000000001</v>
      </c>
      <c r="R2" s="174">
        <v>15.2</v>
      </c>
      <c r="S2" s="174">
        <v>93</v>
      </c>
      <c r="T2" s="175">
        <f t="shared" ref="T2:T64" si="1">IF(H2="","",IF(OR(H2="GREEN",H2="GK"),IF(S2&gt;=$AX$2,VLOOKUP(S2,$AX$2:$AY$7,2,1),""),IF(S2&gt;=$AZ$2,VLOOKUP(S2,$AZ$2:$BA$7,2,1),"")))</f>
        <v>36</v>
      </c>
      <c r="U2" s="176">
        <v>698</v>
      </c>
      <c r="V2" s="177">
        <f t="shared" ref="V2:V64" si="2">IF(OR(N2="",U2="",T2=""),"",U2/N2*T2)</f>
        <v>3141</v>
      </c>
      <c r="W2" s="178">
        <v>6</v>
      </c>
      <c r="X2" s="179" t="s">
        <v>44</v>
      </c>
      <c r="Y2" s="180" t="s">
        <v>45</v>
      </c>
      <c r="Z2" s="180" t="s">
        <v>46</v>
      </c>
      <c r="AA2" s="180" t="s">
        <v>54</v>
      </c>
      <c r="AB2" s="172" t="s">
        <v>48</v>
      </c>
      <c r="AE2" s="181" t="s">
        <v>49</v>
      </c>
      <c r="AG2" s="182" t="s">
        <v>50</v>
      </c>
      <c r="AH2" s="182" t="s">
        <v>38</v>
      </c>
      <c r="AI2" s="183"/>
      <c r="AJ2" s="184" t="s">
        <v>39</v>
      </c>
      <c r="AK2" s="183"/>
      <c r="AL2" s="181" t="s">
        <v>51</v>
      </c>
      <c r="AM2" s="183"/>
      <c r="AN2" s="185" t="s">
        <v>52</v>
      </c>
      <c r="AP2" s="185" t="s">
        <v>42</v>
      </c>
      <c r="AR2" s="185" t="s">
        <v>53</v>
      </c>
      <c r="AT2" s="185" t="s">
        <v>44</v>
      </c>
      <c r="AV2" s="185" t="s">
        <v>54</v>
      </c>
      <c r="AX2" s="186">
        <v>1</v>
      </c>
      <c r="AY2" s="187">
        <v>50</v>
      </c>
      <c r="AZ2" s="187">
        <v>1</v>
      </c>
      <c r="BA2" s="188">
        <v>50</v>
      </c>
    </row>
    <row r="3" spans="1:53" s="172" customFormat="1" ht="13.5" customHeight="1">
      <c r="A3" s="170" t="s">
        <v>35</v>
      </c>
      <c r="B3" s="170" t="s">
        <v>36</v>
      </c>
      <c r="C3" s="170">
        <v>2020</v>
      </c>
      <c r="D3" s="171" t="s">
        <v>284</v>
      </c>
      <c r="E3" s="170" t="s">
        <v>94</v>
      </c>
      <c r="F3" s="170" t="s">
        <v>57</v>
      </c>
      <c r="G3" s="170" t="s">
        <v>39</v>
      </c>
      <c r="H3" s="170" t="s">
        <v>40</v>
      </c>
      <c r="I3" s="170" t="s">
        <v>41</v>
      </c>
      <c r="J3" s="172" t="s">
        <v>42</v>
      </c>
      <c r="K3" s="172" t="s">
        <v>43</v>
      </c>
      <c r="L3" s="170">
        <v>2</v>
      </c>
      <c r="N3" s="172">
        <v>8</v>
      </c>
      <c r="O3" s="172">
        <v>0.75</v>
      </c>
      <c r="P3" s="172">
        <v>0.35</v>
      </c>
      <c r="Q3" s="173">
        <f t="shared" si="0"/>
        <v>0.55000000000000004</v>
      </c>
      <c r="R3" s="174">
        <v>14.3</v>
      </c>
      <c r="S3" s="174">
        <v>89</v>
      </c>
      <c r="T3" s="175">
        <f t="shared" si="1"/>
        <v>36</v>
      </c>
      <c r="U3" s="189">
        <v>698</v>
      </c>
      <c r="V3" s="177">
        <f t="shared" si="2"/>
        <v>3141</v>
      </c>
      <c r="W3" s="178">
        <v>6</v>
      </c>
      <c r="X3" s="179" t="s">
        <v>44</v>
      </c>
      <c r="Y3" s="180" t="s">
        <v>45</v>
      </c>
      <c r="Z3" s="180" t="s">
        <v>46</v>
      </c>
      <c r="AA3" s="180" t="s">
        <v>54</v>
      </c>
      <c r="AB3" s="172" t="s">
        <v>48</v>
      </c>
      <c r="AE3" s="190" t="s">
        <v>55</v>
      </c>
      <c r="AG3" s="191" t="s">
        <v>56</v>
      </c>
      <c r="AH3" s="191" t="s">
        <v>57</v>
      </c>
      <c r="AI3" s="183"/>
      <c r="AJ3" s="192" t="s">
        <v>58</v>
      </c>
      <c r="AK3" s="183"/>
      <c r="AL3" s="190" t="s">
        <v>59</v>
      </c>
      <c r="AM3" s="183"/>
      <c r="AN3" s="190" t="s">
        <v>60</v>
      </c>
      <c r="AP3" s="190" t="s">
        <v>61</v>
      </c>
      <c r="AR3" s="190" t="s">
        <v>62</v>
      </c>
      <c r="AT3" s="190" t="s">
        <v>63</v>
      </c>
      <c r="AV3" s="190" t="s">
        <v>64</v>
      </c>
      <c r="AX3" s="193">
        <v>72</v>
      </c>
      <c r="AY3" s="194">
        <v>46</v>
      </c>
      <c r="AZ3" s="194">
        <v>71</v>
      </c>
      <c r="BA3" s="195">
        <v>42</v>
      </c>
    </row>
    <row r="4" spans="1:53" s="172" customFormat="1" ht="13.5" customHeight="1">
      <c r="A4" s="170" t="s">
        <v>35</v>
      </c>
      <c r="B4" s="170" t="s">
        <v>36</v>
      </c>
      <c r="C4" s="170">
        <v>2020</v>
      </c>
      <c r="D4" s="171" t="s">
        <v>284</v>
      </c>
      <c r="E4" s="170" t="s">
        <v>94</v>
      </c>
      <c r="F4" s="170" t="s">
        <v>57</v>
      </c>
      <c r="G4" s="170" t="s">
        <v>39</v>
      </c>
      <c r="H4" s="170" t="s">
        <v>40</v>
      </c>
      <c r="I4" s="170" t="s">
        <v>41</v>
      </c>
      <c r="J4" s="172" t="s">
        <v>42</v>
      </c>
      <c r="K4" s="172" t="s">
        <v>43</v>
      </c>
      <c r="L4" s="170">
        <v>3</v>
      </c>
      <c r="N4" s="172">
        <v>8</v>
      </c>
      <c r="O4" s="172">
        <v>0.6</v>
      </c>
      <c r="P4" s="172">
        <v>0.55000000000000004</v>
      </c>
      <c r="Q4" s="173">
        <f t="shared" si="0"/>
        <v>0.57499999999999996</v>
      </c>
      <c r="R4" s="174">
        <v>15.8</v>
      </c>
      <c r="S4" s="174">
        <v>93</v>
      </c>
      <c r="T4" s="175">
        <f t="shared" si="1"/>
        <v>36</v>
      </c>
      <c r="U4" s="189">
        <v>698</v>
      </c>
      <c r="V4" s="177">
        <f t="shared" si="2"/>
        <v>3141</v>
      </c>
      <c r="W4" s="178">
        <v>6</v>
      </c>
      <c r="X4" s="179" t="s">
        <v>44</v>
      </c>
      <c r="Y4" s="180" t="s">
        <v>45</v>
      </c>
      <c r="Z4" s="180" t="s">
        <v>46</v>
      </c>
      <c r="AA4" s="180" t="s">
        <v>54</v>
      </c>
      <c r="AB4" s="172" t="s">
        <v>48</v>
      </c>
      <c r="AE4" s="190" t="s">
        <v>35</v>
      </c>
      <c r="AG4" s="191" t="s">
        <v>65</v>
      </c>
      <c r="AH4" s="191" t="s">
        <v>66</v>
      </c>
      <c r="AI4" s="183"/>
      <c r="AJ4" s="196" t="s">
        <v>67</v>
      </c>
      <c r="AK4" s="183"/>
      <c r="AL4" s="190" t="s">
        <v>68</v>
      </c>
      <c r="AM4" s="183"/>
      <c r="AN4" s="197" t="s">
        <v>69</v>
      </c>
      <c r="AP4" s="190" t="s">
        <v>70</v>
      </c>
      <c r="AR4" s="190" t="s">
        <v>71</v>
      </c>
      <c r="AT4" s="197"/>
      <c r="AV4" s="190" t="s">
        <v>47</v>
      </c>
      <c r="AX4" s="193">
        <v>75</v>
      </c>
      <c r="AY4" s="194">
        <v>42</v>
      </c>
      <c r="AZ4" s="194">
        <v>76</v>
      </c>
      <c r="BA4" s="195">
        <v>39</v>
      </c>
    </row>
    <row r="5" spans="1:53" s="172" customFormat="1" ht="13.5" customHeight="1">
      <c r="A5" s="170" t="s">
        <v>35</v>
      </c>
      <c r="B5" s="170" t="s">
        <v>36</v>
      </c>
      <c r="C5" s="170">
        <v>2020</v>
      </c>
      <c r="D5" s="171" t="s">
        <v>284</v>
      </c>
      <c r="E5" s="170" t="s">
        <v>94</v>
      </c>
      <c r="F5" s="170" t="s">
        <v>57</v>
      </c>
      <c r="G5" s="170" t="s">
        <v>39</v>
      </c>
      <c r="H5" s="170" t="s">
        <v>40</v>
      </c>
      <c r="I5" s="170" t="s">
        <v>41</v>
      </c>
      <c r="J5" s="172" t="s">
        <v>42</v>
      </c>
      <c r="K5" s="172" t="s">
        <v>43</v>
      </c>
      <c r="L5" s="170">
        <v>1</v>
      </c>
      <c r="N5" s="172">
        <v>4</v>
      </c>
      <c r="O5" s="172">
        <v>0.65</v>
      </c>
      <c r="P5" s="172">
        <v>0.65</v>
      </c>
      <c r="Q5" s="173">
        <f t="shared" si="0"/>
        <v>0.65</v>
      </c>
      <c r="R5" s="174">
        <v>12.7</v>
      </c>
      <c r="S5" s="174">
        <v>84</v>
      </c>
      <c r="T5" s="175">
        <f t="shared" si="1"/>
        <v>36</v>
      </c>
      <c r="U5" s="189">
        <v>398</v>
      </c>
      <c r="V5" s="177">
        <f t="shared" si="2"/>
        <v>3582</v>
      </c>
      <c r="W5" s="178">
        <v>6</v>
      </c>
      <c r="X5" s="179" t="s">
        <v>44</v>
      </c>
      <c r="Y5" s="180" t="s">
        <v>45</v>
      </c>
      <c r="Z5" s="180" t="s">
        <v>46</v>
      </c>
      <c r="AA5" s="180" t="s">
        <v>54</v>
      </c>
      <c r="AB5" s="172" t="s">
        <v>48</v>
      </c>
      <c r="AE5" s="190" t="s">
        <v>72</v>
      </c>
      <c r="AG5" s="191" t="s">
        <v>73</v>
      </c>
      <c r="AH5" s="191" t="s">
        <v>74</v>
      </c>
      <c r="AI5" s="183"/>
      <c r="AJ5" s="198"/>
      <c r="AK5" s="183"/>
      <c r="AL5" s="190" t="s">
        <v>75</v>
      </c>
      <c r="AM5" s="183"/>
      <c r="AN5" s="199" t="s">
        <v>76</v>
      </c>
      <c r="AP5" s="190" t="s">
        <v>77</v>
      </c>
      <c r="AR5" s="190" t="s">
        <v>78</v>
      </c>
      <c r="AV5" s="190" t="s">
        <v>79</v>
      </c>
      <c r="AX5" s="193">
        <v>84</v>
      </c>
      <c r="AY5" s="194">
        <v>39</v>
      </c>
      <c r="AZ5" s="194">
        <v>84</v>
      </c>
      <c r="BA5" s="195">
        <v>36</v>
      </c>
    </row>
    <row r="6" spans="1:53" s="172" customFormat="1" ht="13.5" customHeight="1">
      <c r="A6" s="170" t="s">
        <v>35</v>
      </c>
      <c r="B6" s="170" t="s">
        <v>36</v>
      </c>
      <c r="C6" s="170">
        <v>2020</v>
      </c>
      <c r="D6" s="171" t="s">
        <v>284</v>
      </c>
      <c r="E6" s="170" t="s">
        <v>94</v>
      </c>
      <c r="F6" s="170" t="s">
        <v>57</v>
      </c>
      <c r="G6" s="170" t="s">
        <v>39</v>
      </c>
      <c r="H6" s="170" t="s">
        <v>40</v>
      </c>
      <c r="I6" s="170" t="s">
        <v>41</v>
      </c>
      <c r="J6" s="172" t="s">
        <v>42</v>
      </c>
      <c r="K6" s="172" t="s">
        <v>43</v>
      </c>
      <c r="L6" s="170">
        <v>2</v>
      </c>
      <c r="N6" s="172">
        <v>4</v>
      </c>
      <c r="O6" s="172">
        <v>0.75</v>
      </c>
      <c r="P6" s="172">
        <v>0.8</v>
      </c>
      <c r="Q6" s="173">
        <f t="shared" si="0"/>
        <v>0.77500000000000002</v>
      </c>
      <c r="R6" s="174">
        <v>13.5</v>
      </c>
      <c r="S6" s="174">
        <v>89</v>
      </c>
      <c r="T6" s="175">
        <f t="shared" si="1"/>
        <v>36</v>
      </c>
      <c r="U6" s="189">
        <v>398</v>
      </c>
      <c r="V6" s="177">
        <f t="shared" si="2"/>
        <v>3582</v>
      </c>
      <c r="W6" s="178">
        <v>6</v>
      </c>
      <c r="X6" s="179" t="s">
        <v>44</v>
      </c>
      <c r="Y6" s="180" t="s">
        <v>45</v>
      </c>
      <c r="Z6" s="180" t="s">
        <v>46</v>
      </c>
      <c r="AA6" s="180" t="s">
        <v>54</v>
      </c>
      <c r="AB6" s="172" t="s">
        <v>48</v>
      </c>
      <c r="AE6" s="190" t="s">
        <v>80</v>
      </c>
      <c r="AG6" s="191" t="s">
        <v>81</v>
      </c>
      <c r="AH6" s="191" t="s">
        <v>82</v>
      </c>
      <c r="AI6" s="183"/>
      <c r="AJ6" s="183"/>
      <c r="AK6" s="183"/>
      <c r="AL6" s="190" t="s">
        <v>83</v>
      </c>
      <c r="AM6" s="183"/>
      <c r="AN6" s="199" t="s">
        <v>84</v>
      </c>
      <c r="AP6" s="190" t="s">
        <v>85</v>
      </c>
      <c r="AR6" s="190" t="s">
        <v>86</v>
      </c>
      <c r="AV6" s="190" t="s">
        <v>87</v>
      </c>
      <c r="AX6" s="193">
        <v>97</v>
      </c>
      <c r="AY6" s="194">
        <v>36</v>
      </c>
      <c r="AZ6" s="194">
        <v>99</v>
      </c>
      <c r="BA6" s="195">
        <v>33</v>
      </c>
    </row>
    <row r="7" spans="1:53" s="172" customFormat="1" ht="13.5" customHeight="1">
      <c r="A7" s="170" t="s">
        <v>35</v>
      </c>
      <c r="B7" s="170" t="s">
        <v>36</v>
      </c>
      <c r="C7" s="170">
        <v>2020</v>
      </c>
      <c r="D7" s="171" t="s">
        <v>284</v>
      </c>
      <c r="E7" s="170" t="s">
        <v>94</v>
      </c>
      <c r="F7" s="170" t="s">
        <v>57</v>
      </c>
      <c r="G7" s="170" t="s">
        <v>39</v>
      </c>
      <c r="H7" s="170" t="s">
        <v>40</v>
      </c>
      <c r="I7" s="170" t="s">
        <v>41</v>
      </c>
      <c r="J7" s="172" t="s">
        <v>42</v>
      </c>
      <c r="K7" s="172" t="s">
        <v>43</v>
      </c>
      <c r="L7" s="170">
        <v>3</v>
      </c>
      <c r="N7" s="172">
        <v>4</v>
      </c>
      <c r="O7" s="172">
        <v>1.1000000000000001</v>
      </c>
      <c r="P7" s="172">
        <v>0.8</v>
      </c>
      <c r="Q7" s="173">
        <f t="shared" si="0"/>
        <v>0.95000000000000007</v>
      </c>
      <c r="R7" s="174">
        <v>13.4</v>
      </c>
      <c r="S7" s="174">
        <v>90</v>
      </c>
      <c r="T7" s="175">
        <f t="shared" si="1"/>
        <v>36</v>
      </c>
      <c r="U7" s="189">
        <v>398</v>
      </c>
      <c r="V7" s="177">
        <f t="shared" si="2"/>
        <v>3582</v>
      </c>
      <c r="W7" s="178">
        <v>6</v>
      </c>
      <c r="X7" s="179" t="s">
        <v>44</v>
      </c>
      <c r="Y7" s="180" t="s">
        <v>45</v>
      </c>
      <c r="Z7" s="180" t="s">
        <v>46</v>
      </c>
      <c r="AA7" s="180" t="s">
        <v>54</v>
      </c>
      <c r="AB7" s="172" t="s">
        <v>48</v>
      </c>
      <c r="AE7" s="190" t="s">
        <v>88</v>
      </c>
      <c r="AG7" s="191" t="s">
        <v>89</v>
      </c>
      <c r="AH7" s="191" t="s">
        <v>74</v>
      </c>
      <c r="AI7" s="183"/>
      <c r="AJ7" s="183"/>
      <c r="AK7" s="183"/>
      <c r="AL7" s="200" t="s">
        <v>90</v>
      </c>
      <c r="AM7" s="183"/>
      <c r="AP7" s="190" t="s">
        <v>91</v>
      </c>
      <c r="AR7" s="190" t="s">
        <v>92</v>
      </c>
      <c r="AV7" s="190" t="s">
        <v>93</v>
      </c>
      <c r="AX7" s="193">
        <v>109</v>
      </c>
      <c r="AY7" s="194">
        <v>33</v>
      </c>
      <c r="AZ7" s="194">
        <v>113</v>
      </c>
      <c r="BA7" s="195">
        <v>30</v>
      </c>
    </row>
    <row r="8" spans="1:53" s="172" customFormat="1" ht="13.5" customHeight="1">
      <c r="A8" s="170" t="s">
        <v>35</v>
      </c>
      <c r="B8" s="170" t="s">
        <v>36</v>
      </c>
      <c r="C8" s="170">
        <v>2020</v>
      </c>
      <c r="D8" s="171" t="s">
        <v>284</v>
      </c>
      <c r="E8" s="170" t="s">
        <v>94</v>
      </c>
      <c r="F8" s="170" t="s">
        <v>57</v>
      </c>
      <c r="G8" s="170" t="s">
        <v>39</v>
      </c>
      <c r="H8" s="170" t="s">
        <v>157</v>
      </c>
      <c r="I8" s="170" t="s">
        <v>41</v>
      </c>
      <c r="J8" s="172" t="s">
        <v>42</v>
      </c>
      <c r="K8" s="172" t="s">
        <v>78</v>
      </c>
      <c r="L8" s="170">
        <v>1</v>
      </c>
      <c r="N8" s="172">
        <v>3</v>
      </c>
      <c r="O8" s="172">
        <v>0.2</v>
      </c>
      <c r="P8" s="172">
        <v>0.2</v>
      </c>
      <c r="Q8" s="173">
        <f t="shared" ref="Q8:Q10" si="3">IF(OR(O8="",P8=""),"",AVERAGE(O8,P8))</f>
        <v>0.2</v>
      </c>
      <c r="R8" s="174">
        <v>15.6</v>
      </c>
      <c r="S8" s="174">
        <v>88</v>
      </c>
      <c r="T8" s="175">
        <f t="shared" ref="T8:T10" si="4">IF(H8="","",IF(OR(H8="GREEN",H8="GK"),IF(S8&gt;=$AX$2,VLOOKUP(S8,$AX$2:$AY$7,2,1),""),IF(S8&gt;=$AZ$2,VLOOKUP(S8,$AZ$2:$BA$7,2,1),"")))</f>
        <v>39</v>
      </c>
      <c r="U8" s="189">
        <v>398</v>
      </c>
      <c r="V8" s="177">
        <f t="shared" ref="V8:V10" si="5">IF(OR(N8="",U8="",T8=""),"",U8/N8*T8)</f>
        <v>5174</v>
      </c>
      <c r="W8" s="178">
        <v>6</v>
      </c>
      <c r="X8" s="179" t="s">
        <v>44</v>
      </c>
      <c r="Y8" s="180" t="s">
        <v>45</v>
      </c>
      <c r="Z8" s="180" t="s">
        <v>46</v>
      </c>
      <c r="AA8" s="180" t="s">
        <v>54</v>
      </c>
      <c r="AB8" s="172" t="s">
        <v>48</v>
      </c>
      <c r="AE8" s="190" t="s">
        <v>86</v>
      </c>
      <c r="AG8" s="191" t="s">
        <v>95</v>
      </c>
      <c r="AH8" s="191" t="s">
        <v>74</v>
      </c>
      <c r="AI8" s="183"/>
      <c r="AJ8" s="183"/>
      <c r="AK8" s="183"/>
      <c r="AL8" s="200" t="s">
        <v>96</v>
      </c>
      <c r="AM8" s="183"/>
      <c r="AP8" s="190" t="s">
        <v>97</v>
      </c>
      <c r="AR8" s="190" t="s">
        <v>98</v>
      </c>
      <c r="AV8" s="190" t="s">
        <v>99</v>
      </c>
      <c r="AX8" s="193">
        <v>151</v>
      </c>
      <c r="AY8" s="194">
        <v>22</v>
      </c>
      <c r="AZ8" s="194">
        <v>152</v>
      </c>
      <c r="BA8" s="195">
        <v>18</v>
      </c>
    </row>
    <row r="9" spans="1:53" s="172" customFormat="1" ht="13.5" customHeight="1">
      <c r="A9" s="170" t="s">
        <v>35</v>
      </c>
      <c r="B9" s="170" t="s">
        <v>36</v>
      </c>
      <c r="C9" s="170">
        <v>2020</v>
      </c>
      <c r="D9" s="171" t="s">
        <v>284</v>
      </c>
      <c r="E9" s="170" t="s">
        <v>94</v>
      </c>
      <c r="F9" s="170" t="s">
        <v>57</v>
      </c>
      <c r="G9" s="170" t="s">
        <v>39</v>
      </c>
      <c r="H9" s="170" t="s">
        <v>157</v>
      </c>
      <c r="I9" s="170" t="s">
        <v>41</v>
      </c>
      <c r="J9" s="172" t="s">
        <v>42</v>
      </c>
      <c r="K9" s="172" t="s">
        <v>78</v>
      </c>
      <c r="L9" s="170">
        <v>2</v>
      </c>
      <c r="N9" s="172">
        <v>3</v>
      </c>
      <c r="O9" s="172">
        <v>0.5</v>
      </c>
      <c r="P9" s="172">
        <v>0.7</v>
      </c>
      <c r="Q9" s="173">
        <f t="shared" si="3"/>
        <v>0.6</v>
      </c>
      <c r="R9" s="174">
        <v>14.6</v>
      </c>
      <c r="S9" s="174">
        <v>87</v>
      </c>
      <c r="T9" s="175">
        <f t="shared" si="4"/>
        <v>39</v>
      </c>
      <c r="U9" s="189">
        <v>398</v>
      </c>
      <c r="V9" s="177">
        <f t="shared" si="5"/>
        <v>5174</v>
      </c>
      <c r="W9" s="178">
        <v>6</v>
      </c>
      <c r="X9" s="179" t="s">
        <v>44</v>
      </c>
      <c r="Y9" s="180" t="s">
        <v>45</v>
      </c>
      <c r="Z9" s="180" t="s">
        <v>46</v>
      </c>
      <c r="AA9" s="180" t="s">
        <v>54</v>
      </c>
      <c r="AB9" s="172" t="s">
        <v>48</v>
      </c>
      <c r="AE9" s="190" t="s">
        <v>100</v>
      </c>
      <c r="AG9" s="191" t="s">
        <v>101</v>
      </c>
      <c r="AH9" s="191" t="s">
        <v>74</v>
      </c>
      <c r="AI9" s="183"/>
      <c r="AJ9" s="183"/>
      <c r="AK9" s="183"/>
      <c r="AL9" s="190" t="s">
        <v>102</v>
      </c>
      <c r="AM9" s="183"/>
      <c r="AP9" s="190" t="s">
        <v>103</v>
      </c>
      <c r="AR9" s="190" t="s">
        <v>104</v>
      </c>
      <c r="AV9" s="190" t="s">
        <v>105</v>
      </c>
      <c r="AX9" s="201">
        <v>180</v>
      </c>
      <c r="AY9" s="202">
        <v>18</v>
      </c>
      <c r="AZ9" s="202">
        <v>181</v>
      </c>
      <c r="BA9" s="203">
        <v>16</v>
      </c>
    </row>
    <row r="10" spans="1:53" s="172" customFormat="1" ht="13.5" customHeight="1">
      <c r="A10" s="170" t="s">
        <v>35</v>
      </c>
      <c r="B10" s="170" t="s">
        <v>36</v>
      </c>
      <c r="C10" s="170">
        <v>2020</v>
      </c>
      <c r="D10" s="171" t="s">
        <v>284</v>
      </c>
      <c r="E10" s="170" t="s">
        <v>94</v>
      </c>
      <c r="F10" s="170" t="s">
        <v>57</v>
      </c>
      <c r="G10" s="170" t="s">
        <v>39</v>
      </c>
      <c r="H10" s="170" t="s">
        <v>157</v>
      </c>
      <c r="I10" s="170" t="s">
        <v>41</v>
      </c>
      <c r="J10" s="172" t="s">
        <v>42</v>
      </c>
      <c r="K10" s="172" t="s">
        <v>78</v>
      </c>
      <c r="L10" s="170">
        <v>3</v>
      </c>
      <c r="N10" s="172">
        <v>3</v>
      </c>
      <c r="O10" s="172">
        <v>0.65</v>
      </c>
      <c r="P10" s="172">
        <v>0.6</v>
      </c>
      <c r="Q10" s="173">
        <f t="shared" si="3"/>
        <v>0.625</v>
      </c>
      <c r="R10" s="174">
        <v>14.5</v>
      </c>
      <c r="S10" s="174">
        <v>91</v>
      </c>
      <c r="T10" s="175">
        <f t="shared" si="4"/>
        <v>39</v>
      </c>
      <c r="U10" s="189">
        <v>398</v>
      </c>
      <c r="V10" s="177">
        <f t="shared" si="5"/>
        <v>5174</v>
      </c>
      <c r="W10" s="178">
        <v>6</v>
      </c>
      <c r="X10" s="179" t="s">
        <v>44</v>
      </c>
      <c r="Y10" s="180" t="s">
        <v>45</v>
      </c>
      <c r="Z10" s="180" t="s">
        <v>46</v>
      </c>
      <c r="AA10" s="180" t="s">
        <v>54</v>
      </c>
      <c r="AB10" s="172" t="s">
        <v>48</v>
      </c>
      <c r="AE10" s="190" t="s">
        <v>106</v>
      </c>
      <c r="AG10" s="191" t="s">
        <v>107</v>
      </c>
      <c r="AH10" s="191" t="s">
        <v>108</v>
      </c>
      <c r="AI10" s="183"/>
      <c r="AJ10" s="183"/>
      <c r="AK10" s="183"/>
      <c r="AL10" s="204"/>
      <c r="AM10" s="183"/>
      <c r="AP10" s="190" t="s">
        <v>109</v>
      </c>
      <c r="AR10" s="190" t="s">
        <v>110</v>
      </c>
      <c r="AV10" s="190" t="s">
        <v>111</v>
      </c>
    </row>
    <row r="11" spans="1:53" s="172" customFormat="1" ht="13.5" customHeight="1">
      <c r="A11" s="170" t="s">
        <v>35</v>
      </c>
      <c r="B11" s="170" t="s">
        <v>36</v>
      </c>
      <c r="C11" s="170">
        <v>2020</v>
      </c>
      <c r="D11" s="171" t="s">
        <v>284</v>
      </c>
      <c r="E11" s="170" t="s">
        <v>94</v>
      </c>
      <c r="F11" s="170" t="s">
        <v>57</v>
      </c>
      <c r="G11" s="170" t="s">
        <v>39</v>
      </c>
      <c r="H11" s="205" t="s">
        <v>59</v>
      </c>
      <c r="I11" s="205" t="s">
        <v>41</v>
      </c>
      <c r="J11" s="206" t="s">
        <v>121</v>
      </c>
      <c r="K11" s="172" t="s">
        <v>134</v>
      </c>
      <c r="L11" s="170">
        <v>1</v>
      </c>
      <c r="N11" s="172">
        <v>4</v>
      </c>
      <c r="O11" s="172">
        <v>0.55000000000000004</v>
      </c>
      <c r="P11" s="172">
        <v>0.55000000000000004</v>
      </c>
      <c r="Q11" s="173">
        <f t="shared" si="0"/>
        <v>0.55000000000000004</v>
      </c>
      <c r="R11" s="174">
        <v>14.7</v>
      </c>
      <c r="S11" s="174">
        <v>115</v>
      </c>
      <c r="T11" s="175">
        <f t="shared" si="1"/>
        <v>30</v>
      </c>
      <c r="U11" s="189">
        <v>398</v>
      </c>
      <c r="V11" s="177">
        <f t="shared" si="2"/>
        <v>2985</v>
      </c>
      <c r="W11" s="178">
        <v>6</v>
      </c>
      <c r="X11" s="179" t="s">
        <v>44</v>
      </c>
      <c r="Y11" s="180" t="s">
        <v>45</v>
      </c>
      <c r="Z11" s="180" t="s">
        <v>46</v>
      </c>
      <c r="AA11" s="180" t="s">
        <v>54</v>
      </c>
      <c r="AB11" s="172" t="s">
        <v>48</v>
      </c>
      <c r="AC11" s="204"/>
      <c r="AE11" s="190" t="s">
        <v>112</v>
      </c>
      <c r="AI11" s="183"/>
      <c r="AJ11" s="183"/>
      <c r="AK11" s="183"/>
      <c r="AL11" s="183"/>
      <c r="AM11" s="183"/>
      <c r="AP11" s="190" t="s">
        <v>113</v>
      </c>
      <c r="AR11" s="190" t="s">
        <v>114</v>
      </c>
      <c r="AV11" s="190" t="s">
        <v>115</v>
      </c>
    </row>
    <row r="12" spans="1:53" s="172" customFormat="1" ht="13.5" customHeight="1">
      <c r="A12" s="170" t="s">
        <v>35</v>
      </c>
      <c r="B12" s="170" t="s">
        <v>36</v>
      </c>
      <c r="C12" s="170">
        <v>2020</v>
      </c>
      <c r="D12" s="171" t="s">
        <v>284</v>
      </c>
      <c r="E12" s="170" t="s">
        <v>94</v>
      </c>
      <c r="F12" s="170" t="s">
        <v>57</v>
      </c>
      <c r="G12" s="170" t="s">
        <v>39</v>
      </c>
      <c r="H12" s="205" t="s">
        <v>59</v>
      </c>
      <c r="I12" s="205" t="s">
        <v>41</v>
      </c>
      <c r="J12" s="206" t="s">
        <v>121</v>
      </c>
      <c r="K12" s="172" t="s">
        <v>134</v>
      </c>
      <c r="L12" s="170">
        <v>2</v>
      </c>
      <c r="N12" s="172">
        <v>4</v>
      </c>
      <c r="O12" s="172">
        <v>0.45</v>
      </c>
      <c r="P12" s="172">
        <v>0.6</v>
      </c>
      <c r="Q12" s="173">
        <f t="shared" si="0"/>
        <v>0.52500000000000002</v>
      </c>
      <c r="R12" s="174">
        <v>15.7</v>
      </c>
      <c r="S12" s="174">
        <v>90</v>
      </c>
      <c r="T12" s="175">
        <f t="shared" si="1"/>
        <v>36</v>
      </c>
      <c r="U12" s="189">
        <v>398</v>
      </c>
      <c r="V12" s="177">
        <f t="shared" si="2"/>
        <v>3582</v>
      </c>
      <c r="W12" s="178">
        <v>6</v>
      </c>
      <c r="X12" s="179" t="s">
        <v>44</v>
      </c>
      <c r="Y12" s="180" t="s">
        <v>45</v>
      </c>
      <c r="Z12" s="180" t="s">
        <v>46</v>
      </c>
      <c r="AA12" s="180" t="s">
        <v>54</v>
      </c>
      <c r="AB12" s="172" t="s">
        <v>48</v>
      </c>
      <c r="AC12" s="204"/>
      <c r="AE12" s="190" t="s">
        <v>116</v>
      </c>
      <c r="AI12" s="183"/>
      <c r="AJ12" s="183"/>
      <c r="AK12" s="183"/>
      <c r="AL12" s="183"/>
      <c r="AM12" s="183"/>
      <c r="AP12" s="190" t="s">
        <v>117</v>
      </c>
      <c r="AR12" s="190" t="s">
        <v>118</v>
      </c>
      <c r="AV12" s="190" t="s">
        <v>119</v>
      </c>
    </row>
    <row r="13" spans="1:53" s="172" customFormat="1" ht="13.5" customHeight="1">
      <c r="A13" s="170" t="s">
        <v>35</v>
      </c>
      <c r="B13" s="170" t="s">
        <v>36</v>
      </c>
      <c r="C13" s="170">
        <v>2020</v>
      </c>
      <c r="D13" s="171" t="s">
        <v>284</v>
      </c>
      <c r="E13" s="170" t="s">
        <v>94</v>
      </c>
      <c r="F13" s="170" t="s">
        <v>57</v>
      </c>
      <c r="G13" s="170" t="s">
        <v>39</v>
      </c>
      <c r="H13" s="205" t="s">
        <v>59</v>
      </c>
      <c r="I13" s="205" t="s">
        <v>41</v>
      </c>
      <c r="J13" s="206" t="s">
        <v>121</v>
      </c>
      <c r="K13" s="172" t="s">
        <v>134</v>
      </c>
      <c r="L13" s="170">
        <v>3</v>
      </c>
      <c r="N13" s="172">
        <v>4</v>
      </c>
      <c r="O13" s="172">
        <v>0.5</v>
      </c>
      <c r="P13" s="172">
        <v>0.55000000000000004</v>
      </c>
      <c r="Q13" s="173">
        <f t="shared" si="0"/>
        <v>0.52500000000000002</v>
      </c>
      <c r="R13" s="174">
        <v>15</v>
      </c>
      <c r="S13" s="174">
        <v>92</v>
      </c>
      <c r="T13" s="175">
        <f t="shared" si="1"/>
        <v>36</v>
      </c>
      <c r="U13" s="189">
        <v>398</v>
      </c>
      <c r="V13" s="177">
        <f t="shared" si="2"/>
        <v>3582</v>
      </c>
      <c r="W13" s="178">
        <v>6</v>
      </c>
      <c r="X13" s="179" t="s">
        <v>44</v>
      </c>
      <c r="Y13" s="180" t="s">
        <v>45</v>
      </c>
      <c r="Z13" s="180" t="s">
        <v>46</v>
      </c>
      <c r="AA13" s="180" t="s">
        <v>54</v>
      </c>
      <c r="AB13" s="172" t="s">
        <v>48</v>
      </c>
      <c r="AC13" s="204"/>
      <c r="AE13" s="190" t="s">
        <v>120</v>
      </c>
      <c r="AI13" s="183"/>
      <c r="AJ13" s="183"/>
      <c r="AK13" s="183"/>
      <c r="AL13" s="183"/>
      <c r="AM13" s="183"/>
      <c r="AP13" s="190" t="s">
        <v>121</v>
      </c>
      <c r="AR13" s="190" t="s">
        <v>122</v>
      </c>
      <c r="AV13" s="190" t="s">
        <v>46</v>
      </c>
    </row>
    <row r="14" spans="1:53" s="172" customFormat="1" ht="13.5" customHeight="1">
      <c r="A14" s="170" t="s">
        <v>35</v>
      </c>
      <c r="B14" s="170" t="s">
        <v>36</v>
      </c>
      <c r="C14" s="170">
        <v>2020</v>
      </c>
      <c r="D14" s="171" t="s">
        <v>284</v>
      </c>
      <c r="E14" s="205" t="s">
        <v>151</v>
      </c>
      <c r="F14" s="205" t="s">
        <v>82</v>
      </c>
      <c r="G14" s="205" t="s">
        <v>39</v>
      </c>
      <c r="H14" s="205" t="s">
        <v>157</v>
      </c>
      <c r="I14" s="205" t="s">
        <v>41</v>
      </c>
      <c r="J14" s="172" t="s">
        <v>42</v>
      </c>
      <c r="K14" s="206" t="s">
        <v>43</v>
      </c>
      <c r="L14" s="205">
        <v>1</v>
      </c>
      <c r="M14" s="206"/>
      <c r="N14" s="206">
        <v>1</v>
      </c>
      <c r="O14" s="206">
        <v>1</v>
      </c>
      <c r="P14" s="206">
        <v>1</v>
      </c>
      <c r="Q14" s="173">
        <f t="shared" si="0"/>
        <v>1</v>
      </c>
      <c r="R14" s="206">
        <v>14.3</v>
      </c>
      <c r="S14" s="206">
        <v>112</v>
      </c>
      <c r="T14" s="175">
        <f t="shared" si="1"/>
        <v>33</v>
      </c>
      <c r="U14" s="206">
        <v>138</v>
      </c>
      <c r="V14" s="177">
        <f t="shared" si="2"/>
        <v>4554</v>
      </c>
      <c r="W14" s="206">
        <v>1</v>
      </c>
      <c r="X14" s="207" t="s">
        <v>63</v>
      </c>
      <c r="Y14" s="208" t="s">
        <v>54</v>
      </c>
      <c r="Z14" s="208" t="s">
        <v>46</v>
      </c>
      <c r="AA14" s="208" t="s">
        <v>45</v>
      </c>
      <c r="AB14" s="206" t="s">
        <v>48</v>
      </c>
      <c r="AC14" s="204"/>
      <c r="AE14" s="190" t="s">
        <v>112</v>
      </c>
      <c r="AI14" s="183"/>
      <c r="AJ14" s="183"/>
      <c r="AK14" s="183"/>
      <c r="AL14" s="183"/>
      <c r="AM14" s="183"/>
      <c r="AP14" s="190" t="s">
        <v>113</v>
      </c>
      <c r="AR14" s="190" t="s">
        <v>114</v>
      </c>
      <c r="AV14" s="190" t="s">
        <v>115</v>
      </c>
    </row>
    <row r="15" spans="1:53" s="172" customFormat="1" ht="13.5" customHeight="1">
      <c r="A15" s="170" t="s">
        <v>35</v>
      </c>
      <c r="B15" s="170" t="s">
        <v>36</v>
      </c>
      <c r="C15" s="170">
        <v>2020</v>
      </c>
      <c r="D15" s="171" t="s">
        <v>284</v>
      </c>
      <c r="E15" s="170" t="s">
        <v>151</v>
      </c>
      <c r="F15" s="170" t="s">
        <v>82</v>
      </c>
      <c r="G15" s="170" t="s">
        <v>39</v>
      </c>
      <c r="H15" s="170" t="s">
        <v>157</v>
      </c>
      <c r="I15" s="170" t="s">
        <v>41</v>
      </c>
      <c r="J15" s="172" t="s">
        <v>42</v>
      </c>
      <c r="K15" s="172" t="s">
        <v>43</v>
      </c>
      <c r="L15" s="170">
        <v>2</v>
      </c>
      <c r="N15" s="172">
        <v>1</v>
      </c>
      <c r="O15" s="172">
        <v>1</v>
      </c>
      <c r="P15" s="172">
        <v>0.7</v>
      </c>
      <c r="Q15" s="173">
        <f t="shared" ref="Q15:Q16" si="6">IF(OR(O15="",P15=""),"",AVERAGE(O15,P15))</f>
        <v>0.85</v>
      </c>
      <c r="R15" s="172">
        <v>14</v>
      </c>
      <c r="S15" s="172">
        <v>113</v>
      </c>
      <c r="T15" s="175">
        <f t="shared" ref="T15:T16" si="7">IF(H15="","",IF(OR(H15="GREEN",H15="GK"),IF(S15&gt;=$AX$2,VLOOKUP(S15,$AX$2:$AY$7,2,1),""),IF(S15&gt;=$AZ$2,VLOOKUP(S15,$AZ$2:$BA$7,2,1),"")))</f>
        <v>33</v>
      </c>
      <c r="U15" s="172">
        <v>138</v>
      </c>
      <c r="V15" s="177">
        <f t="shared" ref="V15:V16" si="8">IF(OR(N15="",U15="",T15=""),"",U15/N15*T15)</f>
        <v>4554</v>
      </c>
      <c r="W15" s="172">
        <v>1</v>
      </c>
      <c r="X15" s="179" t="s">
        <v>63</v>
      </c>
      <c r="Y15" s="180" t="s">
        <v>54</v>
      </c>
      <c r="Z15" s="180" t="s">
        <v>46</v>
      </c>
      <c r="AA15" s="180" t="s">
        <v>45</v>
      </c>
      <c r="AB15" s="172" t="s">
        <v>48</v>
      </c>
      <c r="AC15" s="204"/>
      <c r="AE15" s="190" t="s">
        <v>116</v>
      </c>
      <c r="AI15" s="183"/>
      <c r="AJ15" s="183"/>
      <c r="AK15" s="183"/>
      <c r="AL15" s="183"/>
      <c r="AM15" s="183"/>
      <c r="AP15" s="190" t="s">
        <v>117</v>
      </c>
      <c r="AR15" s="190" t="s">
        <v>126</v>
      </c>
      <c r="AV15" s="190" t="s">
        <v>119</v>
      </c>
    </row>
    <row r="16" spans="1:53" s="172" customFormat="1" ht="13.5" customHeight="1">
      <c r="A16" s="170" t="s">
        <v>35</v>
      </c>
      <c r="B16" s="170" t="s">
        <v>36</v>
      </c>
      <c r="C16" s="170">
        <v>2020</v>
      </c>
      <c r="D16" s="171" t="s">
        <v>284</v>
      </c>
      <c r="E16" s="170" t="s">
        <v>151</v>
      </c>
      <c r="F16" s="170" t="s">
        <v>82</v>
      </c>
      <c r="G16" s="170" t="s">
        <v>39</v>
      </c>
      <c r="H16" s="170" t="s">
        <v>157</v>
      </c>
      <c r="I16" s="170" t="s">
        <v>41</v>
      </c>
      <c r="J16" s="172" t="s">
        <v>42</v>
      </c>
      <c r="K16" s="172" t="s">
        <v>43</v>
      </c>
      <c r="L16" s="170">
        <v>3</v>
      </c>
      <c r="N16" s="172">
        <v>1</v>
      </c>
      <c r="O16" s="172">
        <v>0.7</v>
      </c>
      <c r="P16" s="172">
        <v>0.65</v>
      </c>
      <c r="Q16" s="173">
        <f t="shared" si="6"/>
        <v>0.67500000000000004</v>
      </c>
      <c r="R16" s="172">
        <v>15</v>
      </c>
      <c r="S16" s="172">
        <v>110</v>
      </c>
      <c r="T16" s="175">
        <f t="shared" si="7"/>
        <v>33</v>
      </c>
      <c r="U16" s="172">
        <v>138</v>
      </c>
      <c r="V16" s="177">
        <f t="shared" si="8"/>
        <v>4554</v>
      </c>
      <c r="W16" s="172">
        <v>1</v>
      </c>
      <c r="X16" s="179" t="s">
        <v>63</v>
      </c>
      <c r="Y16" s="180" t="s">
        <v>54</v>
      </c>
      <c r="Z16" s="180" t="s">
        <v>46</v>
      </c>
      <c r="AA16" s="180" t="s">
        <v>45</v>
      </c>
      <c r="AB16" s="172" t="s">
        <v>48</v>
      </c>
      <c r="AC16" s="204"/>
      <c r="AE16" s="190" t="s">
        <v>120</v>
      </c>
      <c r="AI16" s="183"/>
      <c r="AJ16" s="183"/>
      <c r="AK16" s="183"/>
      <c r="AL16" s="183"/>
      <c r="AM16" s="183"/>
      <c r="AP16" s="190" t="s">
        <v>121</v>
      </c>
      <c r="AR16" s="190" t="s">
        <v>130</v>
      </c>
      <c r="AV16" s="190" t="s">
        <v>46</v>
      </c>
    </row>
    <row r="17" spans="1:48" s="172" customFormat="1" ht="13.5" customHeight="1">
      <c r="A17" s="205" t="s">
        <v>35</v>
      </c>
      <c r="B17" s="205" t="s">
        <v>36</v>
      </c>
      <c r="C17" s="170">
        <v>2020</v>
      </c>
      <c r="D17" s="171" t="s">
        <v>284</v>
      </c>
      <c r="E17" s="170" t="s">
        <v>73</v>
      </c>
      <c r="F17" s="170" t="s">
        <v>74</v>
      </c>
      <c r="G17" s="170" t="s">
        <v>39</v>
      </c>
      <c r="H17" s="170" t="s">
        <v>40</v>
      </c>
      <c r="I17" s="170" t="s">
        <v>41</v>
      </c>
      <c r="J17" s="172" t="s">
        <v>42</v>
      </c>
      <c r="K17" s="172" t="s">
        <v>144</v>
      </c>
      <c r="L17" s="170">
        <v>1</v>
      </c>
      <c r="N17" s="172">
        <v>1</v>
      </c>
      <c r="O17" s="172">
        <v>0.6</v>
      </c>
      <c r="P17" s="172">
        <v>1</v>
      </c>
      <c r="Q17" s="173">
        <f t="shared" si="0"/>
        <v>0.8</v>
      </c>
      <c r="R17" s="174">
        <v>14.8</v>
      </c>
      <c r="S17" s="174">
        <v>109</v>
      </c>
      <c r="T17" s="175">
        <f t="shared" si="1"/>
        <v>33</v>
      </c>
      <c r="U17" s="189">
        <v>88</v>
      </c>
      <c r="V17" s="177">
        <f t="shared" si="2"/>
        <v>2904</v>
      </c>
      <c r="W17" s="178">
        <v>4</v>
      </c>
      <c r="X17" s="179" t="s">
        <v>63</v>
      </c>
      <c r="Y17" s="180" t="s">
        <v>46</v>
      </c>
      <c r="Z17" s="180" t="s">
        <v>45</v>
      </c>
      <c r="AA17" s="180" t="s">
        <v>54</v>
      </c>
      <c r="AB17" s="172" t="s">
        <v>48</v>
      </c>
      <c r="AC17" s="204"/>
      <c r="AE17" s="190" t="s">
        <v>124</v>
      </c>
      <c r="AI17" s="183"/>
      <c r="AJ17" s="183"/>
      <c r="AK17" s="183"/>
      <c r="AL17" s="183"/>
      <c r="AM17" s="183"/>
      <c r="AP17" s="209" t="s">
        <v>125</v>
      </c>
      <c r="AR17" s="190" t="s">
        <v>133</v>
      </c>
      <c r="AV17" s="190" t="s">
        <v>127</v>
      </c>
    </row>
    <row r="18" spans="1:48" s="172" customFormat="1" ht="13.5" customHeight="1">
      <c r="A18" s="170" t="s">
        <v>35</v>
      </c>
      <c r="B18" s="170" t="s">
        <v>36</v>
      </c>
      <c r="C18" s="170">
        <v>2020</v>
      </c>
      <c r="D18" s="171" t="s">
        <v>284</v>
      </c>
      <c r="E18" s="170" t="s">
        <v>73</v>
      </c>
      <c r="F18" s="170" t="s">
        <v>74</v>
      </c>
      <c r="G18" s="170" t="s">
        <v>39</v>
      </c>
      <c r="H18" s="170" t="s">
        <v>40</v>
      </c>
      <c r="I18" s="170" t="s">
        <v>41</v>
      </c>
      <c r="J18" s="172" t="s">
        <v>42</v>
      </c>
      <c r="K18" s="172" t="s">
        <v>144</v>
      </c>
      <c r="L18" s="170">
        <v>2</v>
      </c>
      <c r="N18" s="172">
        <v>1</v>
      </c>
      <c r="O18" s="172">
        <v>0.9</v>
      </c>
      <c r="P18" s="172">
        <v>0.75</v>
      </c>
      <c r="Q18" s="173">
        <f t="shared" si="0"/>
        <v>0.82499999999999996</v>
      </c>
      <c r="R18" s="174">
        <v>14.2</v>
      </c>
      <c r="S18" s="174">
        <v>117</v>
      </c>
      <c r="T18" s="175">
        <f t="shared" si="1"/>
        <v>30</v>
      </c>
      <c r="U18" s="189">
        <v>88</v>
      </c>
      <c r="V18" s="177">
        <f t="shared" si="2"/>
        <v>2640</v>
      </c>
      <c r="W18" s="178">
        <v>4</v>
      </c>
      <c r="X18" s="179" t="s">
        <v>63</v>
      </c>
      <c r="Y18" s="180" t="s">
        <v>46</v>
      </c>
      <c r="Z18" s="180" t="s">
        <v>45</v>
      </c>
      <c r="AA18" s="180" t="s">
        <v>54</v>
      </c>
      <c r="AB18" s="172" t="s">
        <v>48</v>
      </c>
      <c r="AC18" s="204"/>
      <c r="AE18" s="190" t="s">
        <v>128</v>
      </c>
      <c r="AI18" s="183"/>
      <c r="AJ18" s="183"/>
      <c r="AK18" s="183"/>
      <c r="AL18" s="183"/>
      <c r="AM18" s="183"/>
      <c r="AP18" s="209" t="s">
        <v>129</v>
      </c>
      <c r="AR18" s="190" t="s">
        <v>136</v>
      </c>
      <c r="AV18" s="190" t="s">
        <v>131</v>
      </c>
    </row>
    <row r="19" spans="1:48" s="172" customFormat="1" ht="13.5" customHeight="1">
      <c r="A19" s="170" t="s">
        <v>35</v>
      </c>
      <c r="B19" s="170" t="s">
        <v>36</v>
      </c>
      <c r="C19" s="170">
        <v>2020</v>
      </c>
      <c r="D19" s="171" t="s">
        <v>284</v>
      </c>
      <c r="E19" s="170" t="s">
        <v>73</v>
      </c>
      <c r="F19" s="170" t="s">
        <v>74</v>
      </c>
      <c r="G19" s="170" t="s">
        <v>39</v>
      </c>
      <c r="H19" s="170" t="s">
        <v>40</v>
      </c>
      <c r="I19" s="170" t="s">
        <v>41</v>
      </c>
      <c r="J19" s="172" t="s">
        <v>42</v>
      </c>
      <c r="K19" s="172" t="s">
        <v>144</v>
      </c>
      <c r="L19" s="170">
        <v>3</v>
      </c>
      <c r="N19" s="172">
        <v>1</v>
      </c>
      <c r="O19" s="172">
        <v>0.8</v>
      </c>
      <c r="P19" s="172">
        <v>0.35</v>
      </c>
      <c r="Q19" s="173">
        <f t="shared" si="0"/>
        <v>0.57499999999999996</v>
      </c>
      <c r="R19" s="174">
        <v>14</v>
      </c>
      <c r="S19" s="174">
        <v>109</v>
      </c>
      <c r="T19" s="175">
        <f t="shared" si="1"/>
        <v>33</v>
      </c>
      <c r="U19" s="189">
        <v>88</v>
      </c>
      <c r="V19" s="177">
        <f t="shared" si="2"/>
        <v>2904</v>
      </c>
      <c r="W19" s="178">
        <v>4</v>
      </c>
      <c r="X19" s="179" t="s">
        <v>63</v>
      </c>
      <c r="Y19" s="180" t="s">
        <v>46</v>
      </c>
      <c r="Z19" s="180" t="s">
        <v>45</v>
      </c>
      <c r="AA19" s="180" t="s">
        <v>54</v>
      </c>
      <c r="AB19" s="172" t="s">
        <v>48</v>
      </c>
      <c r="AC19" s="204"/>
      <c r="AE19" s="209" t="s">
        <v>104</v>
      </c>
      <c r="AI19" s="183"/>
      <c r="AJ19" s="183"/>
      <c r="AK19" s="183"/>
      <c r="AL19" s="183"/>
      <c r="AM19" s="183"/>
      <c r="AP19" s="209" t="s">
        <v>132</v>
      </c>
      <c r="AR19" s="190" t="s">
        <v>139</v>
      </c>
      <c r="AV19" s="190" t="s">
        <v>45</v>
      </c>
    </row>
    <row r="20" spans="1:48" s="206" customFormat="1" ht="13.5" customHeight="1">
      <c r="A20" s="170" t="s">
        <v>35</v>
      </c>
      <c r="B20" s="170" t="s">
        <v>36</v>
      </c>
      <c r="C20" s="170">
        <v>2020</v>
      </c>
      <c r="D20" s="171" t="s">
        <v>284</v>
      </c>
      <c r="E20" s="170" t="s">
        <v>73</v>
      </c>
      <c r="F20" s="170" t="s">
        <v>74</v>
      </c>
      <c r="G20" s="170" t="s">
        <v>39</v>
      </c>
      <c r="H20" s="170" t="s">
        <v>40</v>
      </c>
      <c r="I20" s="170" t="s">
        <v>41</v>
      </c>
      <c r="J20" s="172" t="s">
        <v>42</v>
      </c>
      <c r="K20" s="172" t="s">
        <v>144</v>
      </c>
      <c r="L20" s="170">
        <v>1</v>
      </c>
      <c r="M20" s="172"/>
      <c r="N20" s="172">
        <v>8</v>
      </c>
      <c r="O20" s="172">
        <v>0.35</v>
      </c>
      <c r="P20" s="172">
        <v>0.75</v>
      </c>
      <c r="Q20" s="173">
        <f t="shared" si="0"/>
        <v>0.55000000000000004</v>
      </c>
      <c r="R20" s="174">
        <v>14.3</v>
      </c>
      <c r="S20" s="174">
        <v>90</v>
      </c>
      <c r="T20" s="175">
        <f t="shared" si="1"/>
        <v>36</v>
      </c>
      <c r="U20" s="189">
        <v>480</v>
      </c>
      <c r="V20" s="177">
        <f t="shared" si="2"/>
        <v>2160</v>
      </c>
      <c r="W20" s="178">
        <v>4</v>
      </c>
      <c r="X20" s="179" t="s">
        <v>63</v>
      </c>
      <c r="Y20" s="180" t="s">
        <v>46</v>
      </c>
      <c r="Z20" s="180" t="s">
        <v>45</v>
      </c>
      <c r="AA20" s="180" t="s">
        <v>54</v>
      </c>
      <c r="AB20" s="172" t="s">
        <v>48</v>
      </c>
      <c r="AE20" s="210"/>
      <c r="AP20" s="210" t="s">
        <v>135</v>
      </c>
      <c r="AR20" s="211" t="s">
        <v>142</v>
      </c>
      <c r="AV20" s="210" t="s">
        <v>137</v>
      </c>
    </row>
    <row r="21" spans="1:48" s="172" customFormat="1" ht="13.5" customHeight="1">
      <c r="A21" s="170" t="s">
        <v>35</v>
      </c>
      <c r="B21" s="170" t="s">
        <v>36</v>
      </c>
      <c r="C21" s="170">
        <v>2020</v>
      </c>
      <c r="D21" s="171" t="s">
        <v>284</v>
      </c>
      <c r="E21" s="170" t="s">
        <v>73</v>
      </c>
      <c r="F21" s="170" t="s">
        <v>74</v>
      </c>
      <c r="G21" s="170" t="s">
        <v>39</v>
      </c>
      <c r="H21" s="170" t="s">
        <v>40</v>
      </c>
      <c r="I21" s="170" t="s">
        <v>41</v>
      </c>
      <c r="J21" s="172" t="s">
        <v>42</v>
      </c>
      <c r="K21" s="172" t="s">
        <v>144</v>
      </c>
      <c r="L21" s="170">
        <v>2</v>
      </c>
      <c r="N21" s="172">
        <v>8</v>
      </c>
      <c r="O21" s="172">
        <v>0.8</v>
      </c>
      <c r="P21" s="172">
        <v>0.85</v>
      </c>
      <c r="Q21" s="173">
        <f t="shared" si="0"/>
        <v>0.82499999999999996</v>
      </c>
      <c r="R21" s="174">
        <v>14.9</v>
      </c>
      <c r="S21" s="174">
        <v>92</v>
      </c>
      <c r="T21" s="175">
        <f t="shared" si="1"/>
        <v>36</v>
      </c>
      <c r="U21" s="189">
        <v>480</v>
      </c>
      <c r="V21" s="177">
        <f t="shared" si="2"/>
        <v>2160</v>
      </c>
      <c r="W21" s="178">
        <v>4</v>
      </c>
      <c r="X21" s="179" t="s">
        <v>63</v>
      </c>
      <c r="Y21" s="180" t="s">
        <v>46</v>
      </c>
      <c r="Z21" s="180" t="s">
        <v>45</v>
      </c>
      <c r="AA21" s="180" t="s">
        <v>54</v>
      </c>
      <c r="AB21" s="172" t="s">
        <v>48</v>
      </c>
      <c r="AE21" s="197"/>
      <c r="AI21" s="183"/>
      <c r="AJ21" s="183"/>
      <c r="AK21" s="183"/>
      <c r="AL21" s="183"/>
      <c r="AM21" s="183"/>
      <c r="AP21" s="209" t="s">
        <v>138</v>
      </c>
      <c r="AR21" s="190" t="s">
        <v>123</v>
      </c>
      <c r="AV21" s="209" t="s">
        <v>140</v>
      </c>
    </row>
    <row r="22" spans="1:48" s="172" customFormat="1" ht="13.5" customHeight="1">
      <c r="A22" s="170" t="s">
        <v>35</v>
      </c>
      <c r="B22" s="170" t="s">
        <v>36</v>
      </c>
      <c r="C22" s="170">
        <v>2020</v>
      </c>
      <c r="D22" s="171" t="s">
        <v>284</v>
      </c>
      <c r="E22" s="170" t="s">
        <v>73</v>
      </c>
      <c r="F22" s="170" t="s">
        <v>74</v>
      </c>
      <c r="G22" s="170" t="s">
        <v>39</v>
      </c>
      <c r="H22" s="170" t="s">
        <v>40</v>
      </c>
      <c r="I22" s="170" t="s">
        <v>41</v>
      </c>
      <c r="J22" s="172" t="s">
        <v>42</v>
      </c>
      <c r="K22" s="172" t="s">
        <v>144</v>
      </c>
      <c r="L22" s="170">
        <v>3</v>
      </c>
      <c r="N22" s="172">
        <v>8</v>
      </c>
      <c r="O22" s="172">
        <v>0.55000000000000004</v>
      </c>
      <c r="P22" s="172">
        <v>0.8</v>
      </c>
      <c r="Q22" s="173">
        <f t="shared" si="0"/>
        <v>0.67500000000000004</v>
      </c>
      <c r="R22" s="174">
        <v>14.8</v>
      </c>
      <c r="S22" s="174">
        <v>90</v>
      </c>
      <c r="T22" s="175">
        <f t="shared" si="1"/>
        <v>36</v>
      </c>
      <c r="U22" s="189">
        <v>480</v>
      </c>
      <c r="V22" s="177">
        <f t="shared" si="2"/>
        <v>2160</v>
      </c>
      <c r="W22" s="178">
        <v>4</v>
      </c>
      <c r="X22" s="179" t="s">
        <v>63</v>
      </c>
      <c r="Y22" s="180" t="s">
        <v>46</v>
      </c>
      <c r="Z22" s="180" t="s">
        <v>45</v>
      </c>
      <c r="AA22" s="180" t="s">
        <v>54</v>
      </c>
      <c r="AB22" s="172" t="s">
        <v>48</v>
      </c>
      <c r="AI22" s="183"/>
      <c r="AJ22" s="183"/>
      <c r="AK22" s="183"/>
      <c r="AL22" s="183"/>
      <c r="AM22" s="183"/>
      <c r="AP22" s="209" t="s">
        <v>141</v>
      </c>
      <c r="AR22" s="190" t="s">
        <v>147</v>
      </c>
      <c r="AV22" s="209" t="s">
        <v>156</v>
      </c>
    </row>
    <row r="23" spans="1:48" s="172" customFormat="1" ht="13.5" customHeight="1">
      <c r="A23" s="170" t="s">
        <v>35</v>
      </c>
      <c r="B23" s="170" t="s">
        <v>36</v>
      </c>
      <c r="C23" s="170">
        <v>2020</v>
      </c>
      <c r="D23" s="171" t="s">
        <v>284</v>
      </c>
      <c r="E23" s="170" t="s">
        <v>143</v>
      </c>
      <c r="F23" s="170" t="s">
        <v>66</v>
      </c>
      <c r="G23" s="170" t="s">
        <v>39</v>
      </c>
      <c r="H23" s="170" t="s">
        <v>40</v>
      </c>
      <c r="I23" s="170" t="s">
        <v>41</v>
      </c>
      <c r="J23" s="172" t="s">
        <v>42</v>
      </c>
      <c r="K23" s="172" t="s">
        <v>144</v>
      </c>
      <c r="L23" s="170">
        <v>1</v>
      </c>
      <c r="N23" s="172">
        <v>5</v>
      </c>
      <c r="O23" s="172">
        <v>0.8</v>
      </c>
      <c r="P23" s="172">
        <v>0.9</v>
      </c>
      <c r="Q23" s="173">
        <f t="shared" ref="Q23:Q28" si="9">IF(OR(O23="",P23=""),"",AVERAGE(O23,P23))</f>
        <v>0.85000000000000009</v>
      </c>
      <c r="R23" s="174">
        <v>16.100000000000001</v>
      </c>
      <c r="S23" s="174">
        <v>77</v>
      </c>
      <c r="T23" s="175">
        <f t="shared" ref="T23:T28" si="10">IF(H23="","",IF(OR(H23="GREEN",H23="GK"),IF(S23&gt;=$AX$2,VLOOKUP(S23,$AX$2:$AY$7,2,1),""),IF(S23&gt;=$AZ$2,VLOOKUP(S23,$AZ$2:$BA$7,2,1),"")))</f>
        <v>39</v>
      </c>
      <c r="U23" s="189">
        <v>298</v>
      </c>
      <c r="V23" s="177">
        <f t="shared" ref="V23:V28" si="11">IF(OR(N23="",U23="",T23=""),"",U23/N23*T23)</f>
        <v>2324.4</v>
      </c>
      <c r="W23" s="178">
        <v>2</v>
      </c>
      <c r="X23" s="179" t="s">
        <v>63</v>
      </c>
      <c r="Y23" s="180" t="s">
        <v>46</v>
      </c>
      <c r="Z23" s="180" t="s">
        <v>45</v>
      </c>
      <c r="AA23" s="180" t="s">
        <v>54</v>
      </c>
      <c r="AB23" s="172" t="s">
        <v>48</v>
      </c>
      <c r="AI23" s="183"/>
      <c r="AJ23" s="183"/>
      <c r="AK23" s="183"/>
      <c r="AL23" s="183"/>
      <c r="AM23" s="183"/>
      <c r="AP23" s="209" t="s">
        <v>145</v>
      </c>
      <c r="AR23" s="190" t="s">
        <v>149</v>
      </c>
      <c r="AV23" s="209"/>
    </row>
    <row r="24" spans="1:48" s="172" customFormat="1" ht="13.5" customHeight="1">
      <c r="A24" s="170" t="s">
        <v>35</v>
      </c>
      <c r="B24" s="170" t="s">
        <v>36</v>
      </c>
      <c r="C24" s="170">
        <v>2020</v>
      </c>
      <c r="D24" s="171" t="s">
        <v>284</v>
      </c>
      <c r="E24" s="170" t="s">
        <v>143</v>
      </c>
      <c r="F24" s="170" t="s">
        <v>66</v>
      </c>
      <c r="G24" s="170" t="s">
        <v>39</v>
      </c>
      <c r="H24" s="170" t="s">
        <v>40</v>
      </c>
      <c r="I24" s="170" t="s">
        <v>41</v>
      </c>
      <c r="J24" s="172" t="s">
        <v>42</v>
      </c>
      <c r="K24" s="172" t="s">
        <v>144</v>
      </c>
      <c r="L24" s="170">
        <v>2</v>
      </c>
      <c r="N24" s="172">
        <v>5</v>
      </c>
      <c r="O24" s="172">
        <v>0.6</v>
      </c>
      <c r="P24" s="172">
        <v>0.7</v>
      </c>
      <c r="Q24" s="173">
        <f t="shared" si="9"/>
        <v>0.64999999999999991</v>
      </c>
      <c r="R24" s="174">
        <v>17.3</v>
      </c>
      <c r="S24" s="174">
        <v>79</v>
      </c>
      <c r="T24" s="175">
        <f t="shared" si="10"/>
        <v>39</v>
      </c>
      <c r="U24" s="189">
        <v>298</v>
      </c>
      <c r="V24" s="177">
        <f t="shared" si="11"/>
        <v>2324.4</v>
      </c>
      <c r="W24" s="178">
        <v>2</v>
      </c>
      <c r="X24" s="179" t="s">
        <v>63</v>
      </c>
      <c r="Y24" s="180" t="s">
        <v>46</v>
      </c>
      <c r="Z24" s="180" t="s">
        <v>45</v>
      </c>
      <c r="AA24" s="180" t="s">
        <v>54</v>
      </c>
      <c r="AB24" s="172" t="s">
        <v>48</v>
      </c>
      <c r="AI24" s="183"/>
      <c r="AJ24" s="183"/>
      <c r="AK24" s="183"/>
      <c r="AL24" s="183"/>
      <c r="AM24" s="183"/>
      <c r="AP24" s="209" t="s">
        <v>146</v>
      </c>
      <c r="AR24" s="190" t="s">
        <v>134</v>
      </c>
      <c r="AV24" s="209"/>
    </row>
    <row r="25" spans="1:48" s="172" customFormat="1" ht="13.5" customHeight="1">
      <c r="A25" s="170" t="s">
        <v>35</v>
      </c>
      <c r="B25" s="170" t="s">
        <v>36</v>
      </c>
      <c r="C25" s="170">
        <v>2020</v>
      </c>
      <c r="D25" s="171" t="s">
        <v>284</v>
      </c>
      <c r="E25" s="170" t="s">
        <v>143</v>
      </c>
      <c r="F25" s="170" t="s">
        <v>66</v>
      </c>
      <c r="G25" s="170" t="s">
        <v>39</v>
      </c>
      <c r="H25" s="170" t="s">
        <v>40</v>
      </c>
      <c r="I25" s="170" t="s">
        <v>41</v>
      </c>
      <c r="J25" s="172" t="s">
        <v>42</v>
      </c>
      <c r="K25" s="172" t="s">
        <v>144</v>
      </c>
      <c r="L25" s="170">
        <v>3</v>
      </c>
      <c r="N25" s="172">
        <v>5</v>
      </c>
      <c r="O25" s="172">
        <v>0.75</v>
      </c>
      <c r="P25" s="172">
        <v>0.55000000000000004</v>
      </c>
      <c r="Q25" s="173">
        <f t="shared" si="9"/>
        <v>0.65</v>
      </c>
      <c r="R25" s="174">
        <v>17.2</v>
      </c>
      <c r="S25" s="174">
        <v>86</v>
      </c>
      <c r="T25" s="175">
        <f t="shared" si="10"/>
        <v>36</v>
      </c>
      <c r="U25" s="189">
        <v>298</v>
      </c>
      <c r="V25" s="177">
        <f t="shared" si="11"/>
        <v>2145.6</v>
      </c>
      <c r="W25" s="178">
        <v>2</v>
      </c>
      <c r="X25" s="179" t="s">
        <v>63</v>
      </c>
      <c r="Y25" s="180" t="s">
        <v>46</v>
      </c>
      <c r="Z25" s="180" t="s">
        <v>45</v>
      </c>
      <c r="AA25" s="180" t="s">
        <v>54</v>
      </c>
      <c r="AB25" s="172" t="s">
        <v>48</v>
      </c>
      <c r="AI25" s="183"/>
      <c r="AJ25" s="183"/>
      <c r="AK25" s="183"/>
      <c r="AL25" s="183"/>
      <c r="AM25" s="183"/>
      <c r="AP25" s="209" t="s">
        <v>148</v>
      </c>
      <c r="AR25" s="190"/>
      <c r="AV25" s="209"/>
    </row>
    <row r="26" spans="1:48" s="172" customFormat="1" ht="13.5" customHeight="1">
      <c r="A26" s="170" t="s">
        <v>35</v>
      </c>
      <c r="B26" s="170" t="s">
        <v>36</v>
      </c>
      <c r="C26" s="170">
        <v>2020</v>
      </c>
      <c r="D26" s="171" t="s">
        <v>284</v>
      </c>
      <c r="E26" s="170" t="s">
        <v>143</v>
      </c>
      <c r="F26" s="170" t="s">
        <v>66</v>
      </c>
      <c r="G26" s="170" t="s">
        <v>39</v>
      </c>
      <c r="H26" s="205" t="s">
        <v>59</v>
      </c>
      <c r="I26" s="205" t="s">
        <v>41</v>
      </c>
      <c r="J26" s="206" t="s">
        <v>159</v>
      </c>
      <c r="K26" s="172" t="s">
        <v>122</v>
      </c>
      <c r="L26" s="170">
        <v>1</v>
      </c>
      <c r="N26" s="172">
        <v>6</v>
      </c>
      <c r="O26" s="172">
        <v>0.7</v>
      </c>
      <c r="P26" s="172">
        <v>0.8</v>
      </c>
      <c r="Q26" s="173">
        <f t="shared" si="9"/>
        <v>0.75</v>
      </c>
      <c r="R26" s="174">
        <v>17.3</v>
      </c>
      <c r="S26" s="174">
        <v>65</v>
      </c>
      <c r="T26" s="175">
        <f t="shared" si="10"/>
        <v>50</v>
      </c>
      <c r="U26" s="189">
        <v>398</v>
      </c>
      <c r="V26" s="177">
        <f>IF(OR(N26="",U26="",T26=""),"",U26/N26*T26)</f>
        <v>3316.6666666666665</v>
      </c>
      <c r="W26" s="178">
        <v>2</v>
      </c>
      <c r="X26" s="179" t="s">
        <v>63</v>
      </c>
      <c r="Y26" s="180" t="s">
        <v>46</v>
      </c>
      <c r="Z26" s="180" t="s">
        <v>45</v>
      </c>
      <c r="AA26" s="180" t="s">
        <v>54</v>
      </c>
      <c r="AB26" s="172" t="s">
        <v>48</v>
      </c>
      <c r="AI26" s="183"/>
      <c r="AJ26" s="183"/>
      <c r="AK26" s="183"/>
      <c r="AL26" s="183"/>
      <c r="AM26" s="183"/>
      <c r="AP26" s="209" t="s">
        <v>150</v>
      </c>
      <c r="AR26" s="190"/>
      <c r="AV26" s="209"/>
    </row>
    <row r="27" spans="1:48" s="172" customFormat="1" ht="13.5" customHeight="1">
      <c r="A27" s="170" t="s">
        <v>35</v>
      </c>
      <c r="B27" s="170" t="s">
        <v>36</v>
      </c>
      <c r="C27" s="170">
        <v>2020</v>
      </c>
      <c r="D27" s="171" t="s">
        <v>284</v>
      </c>
      <c r="E27" s="170" t="s">
        <v>143</v>
      </c>
      <c r="F27" s="170" t="s">
        <v>66</v>
      </c>
      <c r="G27" s="170" t="s">
        <v>39</v>
      </c>
      <c r="H27" s="205" t="s">
        <v>59</v>
      </c>
      <c r="I27" s="205" t="s">
        <v>41</v>
      </c>
      <c r="J27" s="206" t="s">
        <v>159</v>
      </c>
      <c r="K27" s="172" t="s">
        <v>122</v>
      </c>
      <c r="L27" s="170">
        <v>2</v>
      </c>
      <c r="N27" s="172">
        <v>6</v>
      </c>
      <c r="O27" s="172">
        <v>0.9</v>
      </c>
      <c r="P27" s="172">
        <v>1</v>
      </c>
      <c r="Q27" s="173">
        <f t="shared" si="9"/>
        <v>0.95</v>
      </c>
      <c r="R27" s="174">
        <v>16.399999999999999</v>
      </c>
      <c r="S27" s="174">
        <v>70</v>
      </c>
      <c r="T27" s="175">
        <f t="shared" si="10"/>
        <v>50</v>
      </c>
      <c r="U27" s="189">
        <v>398</v>
      </c>
      <c r="V27" s="177">
        <f t="shared" si="11"/>
        <v>3316.6666666666665</v>
      </c>
      <c r="W27" s="178">
        <v>2</v>
      </c>
      <c r="X27" s="179" t="s">
        <v>63</v>
      </c>
      <c r="Y27" s="180" t="s">
        <v>46</v>
      </c>
      <c r="Z27" s="180" t="s">
        <v>45</v>
      </c>
      <c r="AA27" s="180" t="s">
        <v>54</v>
      </c>
      <c r="AB27" s="172" t="s">
        <v>48</v>
      </c>
      <c r="AI27" s="183"/>
      <c r="AJ27" s="183"/>
      <c r="AK27" s="183"/>
      <c r="AL27" s="183"/>
      <c r="AM27" s="183"/>
      <c r="AP27" s="209" t="s">
        <v>158</v>
      </c>
      <c r="AR27" s="190"/>
    </row>
    <row r="28" spans="1:48" s="172" customFormat="1" ht="13.5" customHeight="1">
      <c r="A28" s="170" t="s">
        <v>35</v>
      </c>
      <c r="B28" s="170" t="s">
        <v>36</v>
      </c>
      <c r="C28" s="170">
        <v>2020</v>
      </c>
      <c r="D28" s="171" t="s">
        <v>284</v>
      </c>
      <c r="E28" s="170" t="s">
        <v>143</v>
      </c>
      <c r="F28" s="170" t="s">
        <v>66</v>
      </c>
      <c r="G28" s="170" t="s">
        <v>39</v>
      </c>
      <c r="H28" s="170" t="s">
        <v>59</v>
      </c>
      <c r="I28" s="170" t="s">
        <v>41</v>
      </c>
      <c r="J28" s="172" t="s">
        <v>159</v>
      </c>
      <c r="K28" s="172" t="s">
        <v>122</v>
      </c>
      <c r="L28" s="170">
        <v>3</v>
      </c>
      <c r="N28" s="172">
        <v>6</v>
      </c>
      <c r="O28" s="172">
        <v>0.8</v>
      </c>
      <c r="P28" s="172">
        <v>0.9</v>
      </c>
      <c r="Q28" s="173">
        <f t="shared" si="9"/>
        <v>0.85000000000000009</v>
      </c>
      <c r="R28" s="174">
        <v>16.399999999999999</v>
      </c>
      <c r="S28" s="174">
        <v>72</v>
      </c>
      <c r="T28" s="175">
        <f t="shared" si="10"/>
        <v>42</v>
      </c>
      <c r="U28" s="189">
        <v>398</v>
      </c>
      <c r="V28" s="177">
        <f t="shared" si="11"/>
        <v>2786</v>
      </c>
      <c r="W28" s="178">
        <v>2</v>
      </c>
      <c r="X28" s="179" t="s">
        <v>63</v>
      </c>
      <c r="Y28" s="180" t="s">
        <v>46</v>
      </c>
      <c r="Z28" s="180" t="s">
        <v>45</v>
      </c>
      <c r="AA28" s="180" t="s">
        <v>54</v>
      </c>
      <c r="AB28" s="172" t="s">
        <v>48</v>
      </c>
      <c r="AI28" s="183"/>
      <c r="AJ28" s="183"/>
      <c r="AK28" s="183"/>
      <c r="AL28" s="183"/>
      <c r="AM28" s="183"/>
      <c r="AP28" s="209" t="s">
        <v>160</v>
      </c>
    </row>
    <row r="29" spans="1:48" s="172" customFormat="1" ht="13.5" customHeight="1">
      <c r="A29" s="170" t="s">
        <v>35</v>
      </c>
      <c r="B29" s="170" t="s">
        <v>36</v>
      </c>
      <c r="C29" s="170">
        <v>2020</v>
      </c>
      <c r="D29" s="171" t="s">
        <v>284</v>
      </c>
      <c r="E29" s="205" t="s">
        <v>152</v>
      </c>
      <c r="F29" s="205" t="s">
        <v>74</v>
      </c>
      <c r="G29" s="205" t="s">
        <v>39</v>
      </c>
      <c r="H29" s="205" t="s">
        <v>40</v>
      </c>
      <c r="I29" s="205" t="s">
        <v>41</v>
      </c>
      <c r="J29" s="206" t="s">
        <v>42</v>
      </c>
      <c r="K29" s="206" t="s">
        <v>144</v>
      </c>
      <c r="L29" s="205">
        <v>1</v>
      </c>
      <c r="M29" s="206"/>
      <c r="N29" s="206">
        <v>1</v>
      </c>
      <c r="O29" s="206">
        <v>0.4</v>
      </c>
      <c r="P29" s="206">
        <v>0.45</v>
      </c>
      <c r="Q29" s="173">
        <f t="shared" ref="Q29:Q35" si="12">IF(OR(O29="",P29=""),"",AVERAGE(O29,P29))</f>
        <v>0.42500000000000004</v>
      </c>
      <c r="R29" s="206">
        <v>15.9</v>
      </c>
      <c r="S29" s="206">
        <v>107</v>
      </c>
      <c r="T29" s="175">
        <f t="shared" ref="T29:T35" si="13">IF(H29="","",IF(OR(H29="GREEN",H29="GK"),IF(S29&gt;=$AX$2,VLOOKUP(S29,$AX$2:$AY$7,2,1),""),IF(S29&gt;=$AZ$2,VLOOKUP(S29,$AZ$2:$BA$7,2,1),"")))</f>
        <v>33</v>
      </c>
      <c r="U29" s="206">
        <v>98</v>
      </c>
      <c r="V29" s="177">
        <f t="shared" ref="V29:V35" si="14">IF(OR(N29="",U29="",T29=""),"",U29/N29*T29)</f>
        <v>3234</v>
      </c>
      <c r="W29" s="206">
        <v>6</v>
      </c>
      <c r="X29" s="207" t="s">
        <v>63</v>
      </c>
      <c r="Y29" s="208" t="s">
        <v>46</v>
      </c>
      <c r="Z29" s="208" t="s">
        <v>54</v>
      </c>
      <c r="AA29" s="208" t="s">
        <v>161</v>
      </c>
      <c r="AB29" s="206" t="s">
        <v>48</v>
      </c>
      <c r="AC29" s="204"/>
      <c r="AI29" s="183"/>
      <c r="AJ29" s="183"/>
      <c r="AK29" s="183"/>
      <c r="AL29" s="183"/>
      <c r="AM29" s="183"/>
      <c r="AP29" s="209" t="s">
        <v>163</v>
      </c>
    </row>
    <row r="30" spans="1:48" s="172" customFormat="1" ht="13.5" customHeight="1">
      <c r="A30" s="170" t="s">
        <v>35</v>
      </c>
      <c r="B30" s="170" t="s">
        <v>36</v>
      </c>
      <c r="C30" s="170">
        <v>2020</v>
      </c>
      <c r="D30" s="171" t="s">
        <v>284</v>
      </c>
      <c r="E30" s="170" t="s">
        <v>152</v>
      </c>
      <c r="F30" s="170" t="s">
        <v>74</v>
      </c>
      <c r="G30" s="170" t="s">
        <v>39</v>
      </c>
      <c r="H30" s="170" t="s">
        <v>40</v>
      </c>
      <c r="I30" s="170" t="s">
        <v>41</v>
      </c>
      <c r="J30" s="172" t="s">
        <v>42</v>
      </c>
      <c r="K30" s="172" t="s">
        <v>144</v>
      </c>
      <c r="L30" s="170">
        <v>2</v>
      </c>
      <c r="N30" s="172">
        <v>1</v>
      </c>
      <c r="O30" s="172">
        <v>0.7</v>
      </c>
      <c r="P30" s="172">
        <v>0.7</v>
      </c>
      <c r="Q30" s="173">
        <f t="shared" si="12"/>
        <v>0.7</v>
      </c>
      <c r="R30" s="172">
        <v>14.5</v>
      </c>
      <c r="S30" s="172">
        <v>108</v>
      </c>
      <c r="T30" s="175">
        <f t="shared" si="13"/>
        <v>33</v>
      </c>
      <c r="U30" s="172">
        <v>98</v>
      </c>
      <c r="V30" s="177">
        <f t="shared" si="14"/>
        <v>3234</v>
      </c>
      <c r="W30" s="172">
        <v>6</v>
      </c>
      <c r="X30" s="179" t="s">
        <v>63</v>
      </c>
      <c r="Y30" s="180" t="s">
        <v>46</v>
      </c>
      <c r="Z30" s="180" t="s">
        <v>54</v>
      </c>
      <c r="AA30" s="180" t="s">
        <v>161</v>
      </c>
      <c r="AB30" s="172" t="s">
        <v>48</v>
      </c>
      <c r="AC30" s="204"/>
      <c r="AI30" s="183"/>
      <c r="AJ30" s="183"/>
      <c r="AK30" s="183"/>
      <c r="AL30" s="183"/>
      <c r="AM30" s="183"/>
      <c r="AP30" s="209"/>
    </row>
    <row r="31" spans="1:48" s="172" customFormat="1" ht="13.5" customHeight="1">
      <c r="A31" s="170" t="s">
        <v>35</v>
      </c>
      <c r="B31" s="170" t="s">
        <v>36</v>
      </c>
      <c r="C31" s="170">
        <v>2020</v>
      </c>
      <c r="D31" s="171" t="s">
        <v>284</v>
      </c>
      <c r="E31" s="170" t="s">
        <v>152</v>
      </c>
      <c r="F31" s="170" t="s">
        <v>74</v>
      </c>
      <c r="G31" s="170" t="s">
        <v>39</v>
      </c>
      <c r="H31" s="170" t="s">
        <v>40</v>
      </c>
      <c r="I31" s="170" t="s">
        <v>41</v>
      </c>
      <c r="J31" s="172" t="s">
        <v>42</v>
      </c>
      <c r="K31" s="172" t="s">
        <v>144</v>
      </c>
      <c r="L31" s="170">
        <v>3</v>
      </c>
      <c r="N31" s="172">
        <v>1</v>
      </c>
      <c r="O31" s="172">
        <v>1</v>
      </c>
      <c r="P31" s="172">
        <v>1.2</v>
      </c>
      <c r="Q31" s="173">
        <f t="shared" si="12"/>
        <v>1.1000000000000001</v>
      </c>
      <c r="R31" s="172">
        <v>14</v>
      </c>
      <c r="S31" s="172">
        <v>108</v>
      </c>
      <c r="T31" s="175">
        <f t="shared" si="13"/>
        <v>33</v>
      </c>
      <c r="U31" s="172">
        <v>98</v>
      </c>
      <c r="V31" s="177">
        <f t="shared" si="14"/>
        <v>3234</v>
      </c>
      <c r="W31" s="172">
        <v>6</v>
      </c>
      <c r="X31" s="179" t="s">
        <v>63</v>
      </c>
      <c r="Y31" s="180" t="s">
        <v>46</v>
      </c>
      <c r="Z31" s="180" t="s">
        <v>54</v>
      </c>
      <c r="AA31" s="180" t="s">
        <v>161</v>
      </c>
      <c r="AB31" s="172" t="s">
        <v>48</v>
      </c>
      <c r="AC31" s="204"/>
      <c r="AI31" s="183"/>
      <c r="AJ31" s="183"/>
      <c r="AK31" s="183"/>
      <c r="AL31" s="183"/>
      <c r="AM31" s="183"/>
      <c r="AP31" s="209"/>
    </row>
    <row r="32" spans="1:48" s="172" customFormat="1" ht="13.5" customHeight="1">
      <c r="A32" s="205" t="s">
        <v>35</v>
      </c>
      <c r="B32" s="205" t="s">
        <v>36</v>
      </c>
      <c r="C32" s="170">
        <v>2020</v>
      </c>
      <c r="D32" s="171" t="s">
        <v>284</v>
      </c>
      <c r="E32" s="170" t="s">
        <v>152</v>
      </c>
      <c r="F32" s="170" t="s">
        <v>74</v>
      </c>
      <c r="G32" s="170" t="s">
        <v>39</v>
      </c>
      <c r="H32" s="170" t="s">
        <v>40</v>
      </c>
      <c r="I32" s="170" t="s">
        <v>153</v>
      </c>
      <c r="J32" s="172" t="s">
        <v>42</v>
      </c>
      <c r="K32" s="172" t="s">
        <v>144</v>
      </c>
      <c r="L32" s="170">
        <v>1</v>
      </c>
      <c r="N32" s="172">
        <v>8</v>
      </c>
      <c r="O32" s="172">
        <v>0.2</v>
      </c>
      <c r="P32" s="172">
        <v>0.3</v>
      </c>
      <c r="Q32" s="173">
        <f t="shared" si="12"/>
        <v>0.25</v>
      </c>
      <c r="R32" s="172">
        <v>14.4</v>
      </c>
      <c r="S32" s="172">
        <v>104</v>
      </c>
      <c r="T32" s="175">
        <f t="shared" si="13"/>
        <v>33</v>
      </c>
      <c r="U32" s="172">
        <v>698</v>
      </c>
      <c r="V32" s="177">
        <f t="shared" si="14"/>
        <v>2879.25</v>
      </c>
      <c r="W32" s="172">
        <v>6</v>
      </c>
      <c r="X32" s="179" t="s">
        <v>63</v>
      </c>
      <c r="Y32" s="180" t="s">
        <v>46</v>
      </c>
      <c r="Z32" s="180" t="s">
        <v>54</v>
      </c>
      <c r="AA32" s="180" t="s">
        <v>161</v>
      </c>
      <c r="AB32" s="172" t="s">
        <v>48</v>
      </c>
      <c r="AC32" s="204"/>
      <c r="AI32" s="183"/>
      <c r="AJ32" s="183"/>
      <c r="AK32" s="183"/>
      <c r="AL32" s="183"/>
      <c r="AM32" s="183"/>
      <c r="AP32" s="209"/>
    </row>
    <row r="33" spans="1:42" s="172" customFormat="1" ht="13.5" customHeight="1">
      <c r="A33" s="170" t="s">
        <v>35</v>
      </c>
      <c r="B33" s="170" t="s">
        <v>36</v>
      </c>
      <c r="C33" s="170">
        <v>2020</v>
      </c>
      <c r="D33" s="171" t="s">
        <v>284</v>
      </c>
      <c r="E33" s="170" t="s">
        <v>152</v>
      </c>
      <c r="F33" s="170" t="s">
        <v>74</v>
      </c>
      <c r="G33" s="170" t="s">
        <v>39</v>
      </c>
      <c r="H33" s="170" t="s">
        <v>40</v>
      </c>
      <c r="I33" s="170" t="s">
        <v>153</v>
      </c>
      <c r="J33" s="172" t="s">
        <v>42</v>
      </c>
      <c r="K33" s="172" t="s">
        <v>144</v>
      </c>
      <c r="L33" s="170">
        <v>2</v>
      </c>
      <c r="N33" s="172">
        <v>8</v>
      </c>
      <c r="O33" s="172">
        <v>0.8</v>
      </c>
      <c r="P33" s="172">
        <v>0.85</v>
      </c>
      <c r="Q33" s="173">
        <f t="shared" si="12"/>
        <v>0.82499999999999996</v>
      </c>
      <c r="R33" s="172">
        <v>18.8</v>
      </c>
      <c r="S33" s="172">
        <v>106</v>
      </c>
      <c r="T33" s="175">
        <f t="shared" si="13"/>
        <v>33</v>
      </c>
      <c r="U33" s="172">
        <v>698</v>
      </c>
      <c r="V33" s="177">
        <f t="shared" si="14"/>
        <v>2879.25</v>
      </c>
      <c r="W33" s="172">
        <v>6</v>
      </c>
      <c r="X33" s="179" t="s">
        <v>63</v>
      </c>
      <c r="Y33" s="180" t="s">
        <v>46</v>
      </c>
      <c r="Z33" s="180" t="s">
        <v>54</v>
      </c>
      <c r="AA33" s="180" t="s">
        <v>161</v>
      </c>
      <c r="AB33" s="172" t="s">
        <v>48</v>
      </c>
      <c r="AC33" s="204"/>
      <c r="AI33" s="183"/>
      <c r="AJ33" s="183"/>
      <c r="AK33" s="183"/>
      <c r="AL33" s="183"/>
      <c r="AM33" s="183"/>
      <c r="AP33" s="212"/>
    </row>
    <row r="34" spans="1:42" s="172" customFormat="1" ht="13.5" customHeight="1">
      <c r="A34" s="170" t="s">
        <v>35</v>
      </c>
      <c r="B34" s="170" t="s">
        <v>36</v>
      </c>
      <c r="C34" s="170">
        <v>2020</v>
      </c>
      <c r="D34" s="171" t="s">
        <v>284</v>
      </c>
      <c r="E34" s="170" t="s">
        <v>152</v>
      </c>
      <c r="F34" s="170" t="s">
        <v>74</v>
      </c>
      <c r="G34" s="170" t="s">
        <v>39</v>
      </c>
      <c r="H34" s="170" t="s">
        <v>40</v>
      </c>
      <c r="I34" s="170" t="s">
        <v>153</v>
      </c>
      <c r="J34" s="172" t="s">
        <v>42</v>
      </c>
      <c r="K34" s="172" t="s">
        <v>144</v>
      </c>
      <c r="L34" s="170">
        <v>3</v>
      </c>
      <c r="N34" s="172">
        <v>8</v>
      </c>
      <c r="O34" s="172">
        <v>0.45</v>
      </c>
      <c r="P34" s="172">
        <v>0.5</v>
      </c>
      <c r="Q34" s="173">
        <f t="shared" si="12"/>
        <v>0.47499999999999998</v>
      </c>
      <c r="R34" s="172">
        <v>15.9</v>
      </c>
      <c r="S34" s="172">
        <v>93</v>
      </c>
      <c r="T34" s="175">
        <f t="shared" si="13"/>
        <v>36</v>
      </c>
      <c r="U34" s="172">
        <v>698</v>
      </c>
      <c r="V34" s="177">
        <f t="shared" si="14"/>
        <v>3141</v>
      </c>
      <c r="W34" s="172">
        <v>6</v>
      </c>
      <c r="X34" s="179" t="s">
        <v>63</v>
      </c>
      <c r="Y34" s="180" t="s">
        <v>46</v>
      </c>
      <c r="Z34" s="180" t="s">
        <v>54</v>
      </c>
      <c r="AA34" s="180" t="s">
        <v>161</v>
      </c>
      <c r="AB34" s="172" t="s">
        <v>48</v>
      </c>
      <c r="AC34" s="204"/>
      <c r="AI34" s="183"/>
      <c r="AJ34" s="183"/>
      <c r="AK34" s="183"/>
      <c r="AL34" s="183"/>
      <c r="AM34" s="183"/>
      <c r="AP34" s="212"/>
    </row>
    <row r="35" spans="1:42" s="206" customFormat="1" ht="13.5" customHeight="1">
      <c r="A35" s="170" t="s">
        <v>35</v>
      </c>
      <c r="B35" s="170" t="s">
        <v>36</v>
      </c>
      <c r="C35" s="170">
        <v>2020</v>
      </c>
      <c r="D35" s="171" t="s">
        <v>284</v>
      </c>
      <c r="E35" s="170" t="s">
        <v>152</v>
      </c>
      <c r="F35" s="170" t="s">
        <v>74</v>
      </c>
      <c r="G35" s="170" t="s">
        <v>39</v>
      </c>
      <c r="H35" s="170" t="s">
        <v>59</v>
      </c>
      <c r="I35" s="170" t="s">
        <v>41</v>
      </c>
      <c r="J35" s="172" t="s">
        <v>162</v>
      </c>
      <c r="K35" s="172" t="s">
        <v>139</v>
      </c>
      <c r="L35" s="170">
        <v>1</v>
      </c>
      <c r="M35" s="172"/>
      <c r="N35" s="172">
        <v>3</v>
      </c>
      <c r="O35" s="172">
        <v>1.7</v>
      </c>
      <c r="P35" s="172">
        <v>1.8</v>
      </c>
      <c r="Q35" s="173">
        <f t="shared" si="12"/>
        <v>1.75</v>
      </c>
      <c r="R35" s="172">
        <v>16</v>
      </c>
      <c r="S35" s="172">
        <v>124</v>
      </c>
      <c r="T35" s="175">
        <f t="shared" si="13"/>
        <v>30</v>
      </c>
      <c r="U35" s="172">
        <v>498</v>
      </c>
      <c r="V35" s="177">
        <f t="shared" si="14"/>
        <v>4980</v>
      </c>
      <c r="W35" s="172">
        <v>6</v>
      </c>
      <c r="X35" s="179" t="s">
        <v>63</v>
      </c>
      <c r="Y35" s="180" t="s">
        <v>46</v>
      </c>
      <c r="Z35" s="180" t="s">
        <v>54</v>
      </c>
      <c r="AA35" s="180" t="s">
        <v>161</v>
      </c>
      <c r="AB35" s="172" t="s">
        <v>48</v>
      </c>
    </row>
    <row r="36" spans="1:42" s="172" customFormat="1" ht="13.5" customHeight="1">
      <c r="A36" s="170" t="s">
        <v>35</v>
      </c>
      <c r="B36" s="170" t="s">
        <v>36</v>
      </c>
      <c r="C36" s="170">
        <v>2020</v>
      </c>
      <c r="D36" s="171" t="s">
        <v>284</v>
      </c>
      <c r="E36" s="170" t="s">
        <v>152</v>
      </c>
      <c r="F36" s="170" t="s">
        <v>74</v>
      </c>
      <c r="G36" s="170" t="s">
        <v>39</v>
      </c>
      <c r="H36" s="170" t="s">
        <v>59</v>
      </c>
      <c r="I36" s="170" t="s">
        <v>41</v>
      </c>
      <c r="J36" s="172" t="s">
        <v>162</v>
      </c>
      <c r="K36" s="172" t="s">
        <v>139</v>
      </c>
      <c r="L36" s="170">
        <v>2</v>
      </c>
      <c r="N36" s="172">
        <v>3</v>
      </c>
      <c r="O36" s="172">
        <v>0.8</v>
      </c>
      <c r="P36" s="172">
        <v>0.25</v>
      </c>
      <c r="Q36" s="173">
        <f t="shared" si="0"/>
        <v>0.52500000000000002</v>
      </c>
      <c r="R36" s="172">
        <v>15.3</v>
      </c>
      <c r="S36" s="172">
        <v>130</v>
      </c>
      <c r="T36" s="175">
        <f t="shared" si="1"/>
        <v>30</v>
      </c>
      <c r="U36" s="172">
        <v>498</v>
      </c>
      <c r="V36" s="177">
        <f t="shared" si="2"/>
        <v>4980</v>
      </c>
      <c r="W36" s="172">
        <v>6</v>
      </c>
      <c r="X36" s="179" t="s">
        <v>63</v>
      </c>
      <c r="Y36" s="180" t="s">
        <v>46</v>
      </c>
      <c r="Z36" s="180" t="s">
        <v>54</v>
      </c>
      <c r="AA36" s="180" t="s">
        <v>161</v>
      </c>
      <c r="AB36" s="172" t="s">
        <v>48</v>
      </c>
      <c r="AI36" s="183"/>
      <c r="AJ36" s="183"/>
      <c r="AK36" s="183"/>
      <c r="AL36" s="183"/>
      <c r="AM36" s="183"/>
    </row>
    <row r="37" spans="1:42" s="172" customFormat="1" ht="13.5" customHeight="1">
      <c r="A37" s="170" t="s">
        <v>35</v>
      </c>
      <c r="B37" s="170" t="s">
        <v>36</v>
      </c>
      <c r="C37" s="170">
        <v>2020</v>
      </c>
      <c r="D37" s="171" t="s">
        <v>284</v>
      </c>
      <c r="E37" s="170" t="s">
        <v>152</v>
      </c>
      <c r="F37" s="170" t="s">
        <v>74</v>
      </c>
      <c r="G37" s="170" t="s">
        <v>39</v>
      </c>
      <c r="H37" s="170" t="s">
        <v>59</v>
      </c>
      <c r="I37" s="170" t="s">
        <v>41</v>
      </c>
      <c r="J37" s="172" t="s">
        <v>162</v>
      </c>
      <c r="K37" s="172" t="s">
        <v>139</v>
      </c>
      <c r="L37" s="170">
        <v>3</v>
      </c>
      <c r="N37" s="172">
        <v>3</v>
      </c>
      <c r="O37" s="172">
        <v>0.55000000000000004</v>
      </c>
      <c r="P37" s="172">
        <v>0.35</v>
      </c>
      <c r="Q37" s="173">
        <f t="shared" si="0"/>
        <v>0.45</v>
      </c>
      <c r="R37" s="172">
        <v>16.5</v>
      </c>
      <c r="S37" s="172">
        <v>112</v>
      </c>
      <c r="T37" s="175">
        <f t="shared" si="1"/>
        <v>33</v>
      </c>
      <c r="U37" s="172">
        <v>498</v>
      </c>
      <c r="V37" s="177">
        <f t="shared" si="2"/>
        <v>5478</v>
      </c>
      <c r="W37" s="172">
        <v>6</v>
      </c>
      <c r="X37" s="179" t="s">
        <v>63</v>
      </c>
      <c r="Y37" s="180" t="s">
        <v>46</v>
      </c>
      <c r="Z37" s="180" t="s">
        <v>54</v>
      </c>
      <c r="AA37" s="180" t="s">
        <v>161</v>
      </c>
      <c r="AB37" s="172" t="s">
        <v>48</v>
      </c>
      <c r="AI37" s="183"/>
      <c r="AJ37" s="183"/>
      <c r="AK37" s="183"/>
      <c r="AL37" s="183"/>
      <c r="AM37" s="183"/>
    </row>
    <row r="38" spans="1:42" s="172" customFormat="1" ht="13.5" customHeight="1">
      <c r="A38" s="170" t="s">
        <v>35</v>
      </c>
      <c r="B38" s="170" t="s">
        <v>36</v>
      </c>
      <c r="C38" s="170">
        <v>2020</v>
      </c>
      <c r="D38" s="171" t="s">
        <v>284</v>
      </c>
      <c r="E38" s="170" t="s">
        <v>95</v>
      </c>
      <c r="F38" s="170" t="s">
        <v>74</v>
      </c>
      <c r="G38" s="170" t="s">
        <v>39</v>
      </c>
      <c r="H38" s="170" t="s">
        <v>40</v>
      </c>
      <c r="I38" s="170" t="s">
        <v>41</v>
      </c>
      <c r="J38" s="172" t="s">
        <v>42</v>
      </c>
      <c r="K38" s="172" t="s">
        <v>144</v>
      </c>
      <c r="L38" s="170">
        <v>1</v>
      </c>
      <c r="N38" s="172">
        <v>1</v>
      </c>
      <c r="O38" s="172">
        <v>0.2</v>
      </c>
      <c r="P38" s="172">
        <v>0.2</v>
      </c>
      <c r="Q38" s="173">
        <f t="shared" si="0"/>
        <v>0.2</v>
      </c>
      <c r="R38" s="172">
        <v>14.5</v>
      </c>
      <c r="S38" s="172">
        <v>120</v>
      </c>
      <c r="T38" s="175">
        <f t="shared" si="1"/>
        <v>30</v>
      </c>
      <c r="U38" s="172">
        <v>89</v>
      </c>
      <c r="V38" s="177">
        <f t="shared" si="2"/>
        <v>2670</v>
      </c>
      <c r="W38" s="172">
        <v>2</v>
      </c>
      <c r="X38" s="172" t="s">
        <v>63</v>
      </c>
      <c r="Y38" s="180" t="s">
        <v>54</v>
      </c>
      <c r="Z38" s="180" t="s">
        <v>45</v>
      </c>
      <c r="AA38" s="180" t="s">
        <v>46</v>
      </c>
      <c r="AB38" s="172" t="s">
        <v>48</v>
      </c>
      <c r="AI38" s="183"/>
      <c r="AJ38" s="183"/>
      <c r="AK38" s="183"/>
      <c r="AL38" s="183"/>
      <c r="AM38" s="183"/>
    </row>
    <row r="39" spans="1:42" s="172" customFormat="1" ht="13.5" customHeight="1">
      <c r="A39" s="170" t="s">
        <v>35</v>
      </c>
      <c r="B39" s="170" t="s">
        <v>36</v>
      </c>
      <c r="C39" s="170">
        <v>2020</v>
      </c>
      <c r="D39" s="171" t="s">
        <v>284</v>
      </c>
      <c r="E39" s="170" t="s">
        <v>95</v>
      </c>
      <c r="F39" s="170" t="s">
        <v>74</v>
      </c>
      <c r="G39" s="170" t="s">
        <v>39</v>
      </c>
      <c r="H39" s="170" t="s">
        <v>40</v>
      </c>
      <c r="I39" s="170" t="s">
        <v>41</v>
      </c>
      <c r="J39" s="172" t="s">
        <v>42</v>
      </c>
      <c r="K39" s="172" t="s">
        <v>144</v>
      </c>
      <c r="L39" s="170">
        <v>2</v>
      </c>
      <c r="N39" s="172">
        <v>1</v>
      </c>
      <c r="O39" s="172">
        <v>0.3</v>
      </c>
      <c r="P39" s="172">
        <v>0.45</v>
      </c>
      <c r="Q39" s="173">
        <f t="shared" si="0"/>
        <v>0.375</v>
      </c>
      <c r="R39" s="172">
        <v>15.2</v>
      </c>
      <c r="S39" s="172">
        <v>123</v>
      </c>
      <c r="T39" s="175">
        <f t="shared" si="1"/>
        <v>30</v>
      </c>
      <c r="U39" s="172">
        <v>89</v>
      </c>
      <c r="V39" s="177">
        <f t="shared" si="2"/>
        <v>2670</v>
      </c>
      <c r="W39" s="172">
        <v>2</v>
      </c>
      <c r="X39" s="172" t="s">
        <v>63</v>
      </c>
      <c r="Y39" s="180" t="s">
        <v>54</v>
      </c>
      <c r="Z39" s="180" t="s">
        <v>45</v>
      </c>
      <c r="AA39" s="180" t="s">
        <v>46</v>
      </c>
      <c r="AB39" s="172" t="s">
        <v>48</v>
      </c>
      <c r="AI39" s="183"/>
      <c r="AJ39" s="183"/>
      <c r="AK39" s="183"/>
      <c r="AL39" s="183"/>
      <c r="AM39" s="183"/>
    </row>
    <row r="40" spans="1:42" s="172" customFormat="1" ht="13.5" customHeight="1">
      <c r="A40" s="170" t="s">
        <v>35</v>
      </c>
      <c r="B40" s="170" t="s">
        <v>36</v>
      </c>
      <c r="C40" s="170">
        <v>2020</v>
      </c>
      <c r="D40" s="171" t="s">
        <v>284</v>
      </c>
      <c r="E40" s="170" t="s">
        <v>95</v>
      </c>
      <c r="F40" s="170" t="s">
        <v>74</v>
      </c>
      <c r="G40" s="170" t="s">
        <v>39</v>
      </c>
      <c r="H40" s="170" t="s">
        <v>40</v>
      </c>
      <c r="I40" s="170" t="s">
        <v>41</v>
      </c>
      <c r="J40" s="172" t="s">
        <v>42</v>
      </c>
      <c r="K40" s="172" t="s">
        <v>144</v>
      </c>
      <c r="L40" s="170">
        <v>3</v>
      </c>
      <c r="N40" s="172">
        <v>1</v>
      </c>
      <c r="O40" s="172">
        <v>0.35</v>
      </c>
      <c r="P40" s="172">
        <v>0.3</v>
      </c>
      <c r="Q40" s="173">
        <f t="shared" si="0"/>
        <v>0.32499999999999996</v>
      </c>
      <c r="R40" s="172">
        <v>14.5</v>
      </c>
      <c r="S40" s="172">
        <v>130</v>
      </c>
      <c r="T40" s="175">
        <f t="shared" si="1"/>
        <v>30</v>
      </c>
      <c r="U40" s="172">
        <v>89</v>
      </c>
      <c r="V40" s="177">
        <f t="shared" si="2"/>
        <v>2670</v>
      </c>
      <c r="W40" s="172">
        <v>2</v>
      </c>
      <c r="X40" s="172" t="s">
        <v>63</v>
      </c>
      <c r="Y40" s="180" t="s">
        <v>54</v>
      </c>
      <c r="Z40" s="180" t="s">
        <v>45</v>
      </c>
      <c r="AA40" s="180" t="s">
        <v>46</v>
      </c>
      <c r="AB40" s="172" t="s">
        <v>48</v>
      </c>
      <c r="AI40" s="183"/>
      <c r="AJ40" s="183"/>
      <c r="AK40" s="183"/>
      <c r="AL40" s="183"/>
      <c r="AM40" s="183"/>
    </row>
    <row r="41" spans="1:42" s="172" customFormat="1" ht="13.5" customHeight="1">
      <c r="A41" s="170" t="s">
        <v>35</v>
      </c>
      <c r="B41" s="170" t="s">
        <v>36</v>
      </c>
      <c r="C41" s="170">
        <v>2020</v>
      </c>
      <c r="D41" s="171" t="s">
        <v>284</v>
      </c>
      <c r="E41" s="170" t="s">
        <v>101</v>
      </c>
      <c r="F41" s="170" t="s">
        <v>74</v>
      </c>
      <c r="G41" s="170" t="s">
        <v>39</v>
      </c>
      <c r="H41" s="170" t="s">
        <v>40</v>
      </c>
      <c r="I41" s="170" t="s">
        <v>41</v>
      </c>
      <c r="J41" s="172" t="s">
        <v>42</v>
      </c>
      <c r="K41" s="172" t="s">
        <v>144</v>
      </c>
      <c r="L41" s="170">
        <v>1</v>
      </c>
      <c r="N41" s="172">
        <v>1</v>
      </c>
      <c r="O41" s="172">
        <v>0.2</v>
      </c>
      <c r="P41" s="172">
        <v>0.3</v>
      </c>
      <c r="Q41" s="173">
        <f t="shared" si="0"/>
        <v>0.25</v>
      </c>
      <c r="R41" s="172">
        <v>14.9</v>
      </c>
      <c r="S41" s="172">
        <v>118</v>
      </c>
      <c r="T41" s="175">
        <f t="shared" si="1"/>
        <v>30</v>
      </c>
      <c r="U41" s="172">
        <v>100</v>
      </c>
      <c r="V41" s="177">
        <f t="shared" si="2"/>
        <v>3000</v>
      </c>
      <c r="W41" s="172">
        <v>4</v>
      </c>
      <c r="X41" s="172" t="s">
        <v>154</v>
      </c>
      <c r="Y41" s="180" t="s">
        <v>46</v>
      </c>
      <c r="Z41" s="180" t="s">
        <v>54</v>
      </c>
      <c r="AA41" s="180" t="s">
        <v>45</v>
      </c>
      <c r="AB41" s="172" t="s">
        <v>48</v>
      </c>
      <c r="AI41" s="183"/>
      <c r="AJ41" s="183"/>
      <c r="AK41" s="183"/>
      <c r="AL41" s="183"/>
      <c r="AM41" s="183"/>
    </row>
    <row r="42" spans="1:42" s="172" customFormat="1" ht="13.5" customHeight="1">
      <c r="A42" s="170" t="s">
        <v>35</v>
      </c>
      <c r="B42" s="170" t="s">
        <v>36</v>
      </c>
      <c r="C42" s="170">
        <v>2020</v>
      </c>
      <c r="D42" s="171" t="s">
        <v>284</v>
      </c>
      <c r="E42" s="170" t="s">
        <v>101</v>
      </c>
      <c r="F42" s="170" t="s">
        <v>74</v>
      </c>
      <c r="G42" s="170" t="s">
        <v>39</v>
      </c>
      <c r="H42" s="170" t="s">
        <v>40</v>
      </c>
      <c r="I42" s="170" t="s">
        <v>41</v>
      </c>
      <c r="J42" s="172" t="s">
        <v>42</v>
      </c>
      <c r="K42" s="172" t="s">
        <v>144</v>
      </c>
      <c r="L42" s="170">
        <v>2</v>
      </c>
      <c r="N42" s="172">
        <v>1</v>
      </c>
      <c r="O42" s="172">
        <v>0.45</v>
      </c>
      <c r="P42" s="172">
        <v>0.5</v>
      </c>
      <c r="Q42" s="173">
        <f t="shared" si="0"/>
        <v>0.47499999999999998</v>
      </c>
      <c r="R42" s="172">
        <v>15.7</v>
      </c>
      <c r="S42" s="172">
        <v>92</v>
      </c>
      <c r="T42" s="175">
        <f t="shared" si="1"/>
        <v>36</v>
      </c>
      <c r="U42" s="172">
        <v>100</v>
      </c>
      <c r="V42" s="177">
        <f t="shared" si="2"/>
        <v>3600</v>
      </c>
      <c r="W42" s="172">
        <v>4</v>
      </c>
      <c r="X42" s="172" t="s">
        <v>154</v>
      </c>
      <c r="Y42" s="180" t="s">
        <v>46</v>
      </c>
      <c r="Z42" s="180" t="s">
        <v>54</v>
      </c>
      <c r="AA42" s="180" t="s">
        <v>45</v>
      </c>
      <c r="AB42" s="172" t="s">
        <v>48</v>
      </c>
      <c r="AI42" s="183"/>
      <c r="AJ42" s="183"/>
      <c r="AK42" s="183"/>
      <c r="AL42" s="183"/>
      <c r="AM42" s="183"/>
    </row>
    <row r="43" spans="1:42" s="172" customFormat="1" ht="13.5" customHeight="1">
      <c r="A43" s="170" t="s">
        <v>35</v>
      </c>
      <c r="B43" s="170" t="s">
        <v>36</v>
      </c>
      <c r="C43" s="170">
        <v>2020</v>
      </c>
      <c r="D43" s="171" t="s">
        <v>284</v>
      </c>
      <c r="E43" s="170" t="s">
        <v>101</v>
      </c>
      <c r="F43" s="170" t="s">
        <v>74</v>
      </c>
      <c r="G43" s="170" t="s">
        <v>39</v>
      </c>
      <c r="H43" s="170" t="s">
        <v>40</v>
      </c>
      <c r="I43" s="170" t="s">
        <v>41</v>
      </c>
      <c r="J43" s="172" t="s">
        <v>42</v>
      </c>
      <c r="K43" s="172" t="s">
        <v>144</v>
      </c>
      <c r="L43" s="170">
        <v>3</v>
      </c>
      <c r="N43" s="172">
        <v>1</v>
      </c>
      <c r="O43" s="172">
        <v>0.6</v>
      </c>
      <c r="P43" s="172">
        <v>0.6</v>
      </c>
      <c r="Q43" s="173">
        <f t="shared" si="0"/>
        <v>0.6</v>
      </c>
      <c r="R43" s="172">
        <v>15.7</v>
      </c>
      <c r="S43" s="172">
        <v>115</v>
      </c>
      <c r="T43" s="175">
        <f t="shared" si="1"/>
        <v>30</v>
      </c>
      <c r="U43" s="172">
        <v>100</v>
      </c>
      <c r="V43" s="177">
        <f t="shared" si="2"/>
        <v>3000</v>
      </c>
      <c r="W43" s="172">
        <v>4</v>
      </c>
      <c r="X43" s="172" t="s">
        <v>154</v>
      </c>
      <c r="Y43" s="180" t="s">
        <v>46</v>
      </c>
      <c r="Z43" s="180" t="s">
        <v>54</v>
      </c>
      <c r="AA43" s="180" t="s">
        <v>45</v>
      </c>
      <c r="AB43" s="172" t="s">
        <v>48</v>
      </c>
      <c r="AI43" s="183"/>
      <c r="AJ43" s="183"/>
      <c r="AK43" s="183"/>
      <c r="AL43" s="183"/>
      <c r="AM43" s="183"/>
    </row>
    <row r="44" spans="1:42" s="172" customFormat="1" ht="13.5" customHeight="1">
      <c r="A44" s="170" t="s">
        <v>35</v>
      </c>
      <c r="B44" s="170" t="s">
        <v>36</v>
      </c>
      <c r="C44" s="170">
        <v>2020</v>
      </c>
      <c r="D44" s="171" t="s">
        <v>284</v>
      </c>
      <c r="E44" s="170" t="s">
        <v>101</v>
      </c>
      <c r="F44" s="170" t="s">
        <v>74</v>
      </c>
      <c r="G44" s="170" t="s">
        <v>39</v>
      </c>
      <c r="H44" s="170" t="s">
        <v>40</v>
      </c>
      <c r="I44" s="170" t="s">
        <v>41</v>
      </c>
      <c r="J44" s="172" t="s">
        <v>42</v>
      </c>
      <c r="K44" s="172" t="s">
        <v>144</v>
      </c>
      <c r="L44" s="170">
        <v>1</v>
      </c>
      <c r="N44" s="172">
        <v>4</v>
      </c>
      <c r="O44" s="172">
        <v>1</v>
      </c>
      <c r="P44" s="172">
        <v>1.2</v>
      </c>
      <c r="Q44" s="173">
        <f t="shared" si="0"/>
        <v>1.1000000000000001</v>
      </c>
      <c r="R44" s="172">
        <v>15.1</v>
      </c>
      <c r="S44" s="172">
        <v>97</v>
      </c>
      <c r="T44" s="175">
        <f t="shared" si="1"/>
        <v>36</v>
      </c>
      <c r="U44" s="172">
        <v>298</v>
      </c>
      <c r="V44" s="177">
        <f t="shared" si="2"/>
        <v>2682</v>
      </c>
      <c r="W44" s="172">
        <v>4</v>
      </c>
      <c r="X44" s="172" t="s">
        <v>154</v>
      </c>
      <c r="Y44" s="180" t="s">
        <v>46</v>
      </c>
      <c r="Z44" s="180" t="s">
        <v>54</v>
      </c>
      <c r="AA44" s="180" t="s">
        <v>45</v>
      </c>
      <c r="AB44" s="172" t="s">
        <v>48</v>
      </c>
      <c r="AI44" s="183"/>
      <c r="AJ44" s="183"/>
      <c r="AK44" s="183"/>
      <c r="AL44" s="183"/>
      <c r="AM44" s="183"/>
    </row>
    <row r="45" spans="1:42" s="172" customFormat="1" ht="13.5" customHeight="1">
      <c r="A45" s="170" t="s">
        <v>35</v>
      </c>
      <c r="B45" s="170" t="s">
        <v>36</v>
      </c>
      <c r="C45" s="170">
        <v>2020</v>
      </c>
      <c r="D45" s="171" t="s">
        <v>284</v>
      </c>
      <c r="E45" s="170" t="s">
        <v>101</v>
      </c>
      <c r="F45" s="170" t="s">
        <v>74</v>
      </c>
      <c r="G45" s="170" t="s">
        <v>39</v>
      </c>
      <c r="H45" s="170" t="s">
        <v>40</v>
      </c>
      <c r="I45" s="170" t="s">
        <v>41</v>
      </c>
      <c r="J45" s="172" t="s">
        <v>42</v>
      </c>
      <c r="K45" s="172" t="s">
        <v>144</v>
      </c>
      <c r="L45" s="170">
        <v>2</v>
      </c>
      <c r="N45" s="172">
        <v>4</v>
      </c>
      <c r="O45" s="172">
        <v>1.35</v>
      </c>
      <c r="P45" s="172">
        <v>1.55</v>
      </c>
      <c r="Q45" s="173">
        <f t="shared" si="0"/>
        <v>1.4500000000000002</v>
      </c>
      <c r="R45" s="172">
        <v>15.9</v>
      </c>
      <c r="S45" s="172">
        <v>98</v>
      </c>
      <c r="T45" s="175">
        <f t="shared" si="1"/>
        <v>36</v>
      </c>
      <c r="U45" s="172">
        <v>298</v>
      </c>
      <c r="V45" s="177">
        <f t="shared" si="2"/>
        <v>2682</v>
      </c>
      <c r="W45" s="172">
        <v>4</v>
      </c>
      <c r="X45" s="172" t="s">
        <v>44</v>
      </c>
      <c r="Y45" s="180" t="s">
        <v>46</v>
      </c>
      <c r="Z45" s="180" t="s">
        <v>54</v>
      </c>
      <c r="AA45" s="180" t="s">
        <v>45</v>
      </c>
      <c r="AB45" s="172" t="s">
        <v>48</v>
      </c>
      <c r="AI45" s="183"/>
      <c r="AJ45" s="183"/>
      <c r="AK45" s="183"/>
      <c r="AL45" s="183"/>
      <c r="AM45" s="183"/>
    </row>
    <row r="46" spans="1:42" s="172" customFormat="1" ht="13.5" customHeight="1">
      <c r="A46" s="170" t="s">
        <v>35</v>
      </c>
      <c r="B46" s="170" t="s">
        <v>36</v>
      </c>
      <c r="C46" s="170">
        <v>2020</v>
      </c>
      <c r="D46" s="171" t="s">
        <v>284</v>
      </c>
      <c r="E46" s="170" t="s">
        <v>101</v>
      </c>
      <c r="F46" s="170" t="s">
        <v>74</v>
      </c>
      <c r="G46" s="170" t="s">
        <v>39</v>
      </c>
      <c r="H46" s="170" t="s">
        <v>40</v>
      </c>
      <c r="I46" s="170" t="s">
        <v>41</v>
      </c>
      <c r="J46" s="172" t="s">
        <v>42</v>
      </c>
      <c r="K46" s="172" t="s">
        <v>144</v>
      </c>
      <c r="L46" s="170">
        <v>3</v>
      </c>
      <c r="N46" s="172">
        <v>4</v>
      </c>
      <c r="O46" s="172">
        <v>1.05</v>
      </c>
      <c r="P46" s="172">
        <v>1.1000000000000001</v>
      </c>
      <c r="Q46" s="173">
        <f t="shared" si="0"/>
        <v>1.0750000000000002</v>
      </c>
      <c r="R46" s="172">
        <v>14.4</v>
      </c>
      <c r="S46" s="172">
        <v>99</v>
      </c>
      <c r="T46" s="175">
        <f t="shared" si="1"/>
        <v>33</v>
      </c>
      <c r="U46" s="172">
        <v>298</v>
      </c>
      <c r="V46" s="177">
        <f t="shared" si="2"/>
        <v>2458.5</v>
      </c>
      <c r="W46" s="172">
        <v>4</v>
      </c>
      <c r="X46" s="172" t="s">
        <v>154</v>
      </c>
      <c r="Y46" s="180" t="s">
        <v>46</v>
      </c>
      <c r="Z46" s="180" t="s">
        <v>54</v>
      </c>
      <c r="AA46" s="180" t="s">
        <v>45</v>
      </c>
      <c r="AB46" s="172" t="s">
        <v>48</v>
      </c>
      <c r="AI46" s="183"/>
      <c r="AJ46" s="183"/>
      <c r="AK46" s="183"/>
      <c r="AL46" s="183"/>
      <c r="AM46" s="183"/>
    </row>
    <row r="47" spans="1:42" s="172" customFormat="1" ht="13.5" customHeight="1">
      <c r="A47" s="170" t="s">
        <v>35</v>
      </c>
      <c r="B47" s="170" t="s">
        <v>36</v>
      </c>
      <c r="C47" s="170">
        <v>2020</v>
      </c>
      <c r="D47" s="171" t="s">
        <v>284</v>
      </c>
      <c r="E47" s="170" t="s">
        <v>101</v>
      </c>
      <c r="F47" s="170" t="s">
        <v>74</v>
      </c>
      <c r="G47" s="170" t="s">
        <v>39</v>
      </c>
      <c r="H47" s="170" t="s">
        <v>157</v>
      </c>
      <c r="I47" s="170" t="s">
        <v>41</v>
      </c>
      <c r="J47" s="172" t="s">
        <v>42</v>
      </c>
      <c r="K47" s="172" t="s">
        <v>144</v>
      </c>
      <c r="L47" s="170">
        <v>1</v>
      </c>
      <c r="N47" s="172">
        <v>1</v>
      </c>
      <c r="O47" s="172">
        <v>0.8</v>
      </c>
      <c r="P47" s="172">
        <v>0.85</v>
      </c>
      <c r="Q47" s="173">
        <f t="shared" si="0"/>
        <v>0.82499999999999996</v>
      </c>
      <c r="R47" s="172">
        <v>16.2</v>
      </c>
      <c r="S47" s="172">
        <v>130</v>
      </c>
      <c r="T47" s="175">
        <f t="shared" si="1"/>
        <v>33</v>
      </c>
      <c r="U47" s="172">
        <v>100</v>
      </c>
      <c r="V47" s="177">
        <f t="shared" si="2"/>
        <v>3300</v>
      </c>
      <c r="W47" s="172">
        <v>4</v>
      </c>
      <c r="X47" s="172" t="s">
        <v>154</v>
      </c>
      <c r="Y47" s="180" t="s">
        <v>46</v>
      </c>
      <c r="Z47" s="180" t="s">
        <v>54</v>
      </c>
      <c r="AA47" s="180" t="s">
        <v>45</v>
      </c>
      <c r="AB47" s="172" t="s">
        <v>48</v>
      </c>
      <c r="AI47" s="183"/>
      <c r="AJ47" s="183"/>
      <c r="AK47" s="183"/>
      <c r="AL47" s="183"/>
      <c r="AM47" s="183"/>
    </row>
    <row r="48" spans="1:42" s="172" customFormat="1" ht="13.5" customHeight="1">
      <c r="A48" s="170" t="s">
        <v>35</v>
      </c>
      <c r="B48" s="170" t="s">
        <v>36</v>
      </c>
      <c r="C48" s="170">
        <v>2020</v>
      </c>
      <c r="D48" s="171" t="s">
        <v>284</v>
      </c>
      <c r="E48" s="170" t="s">
        <v>101</v>
      </c>
      <c r="F48" s="170" t="s">
        <v>74</v>
      </c>
      <c r="G48" s="170" t="s">
        <v>39</v>
      </c>
      <c r="H48" s="170" t="s">
        <v>157</v>
      </c>
      <c r="I48" s="170" t="s">
        <v>41</v>
      </c>
      <c r="J48" s="172" t="s">
        <v>42</v>
      </c>
      <c r="K48" s="172" t="s">
        <v>144</v>
      </c>
      <c r="L48" s="170">
        <v>2</v>
      </c>
      <c r="N48" s="172">
        <v>1</v>
      </c>
      <c r="O48" s="172">
        <v>0.7</v>
      </c>
      <c r="P48" s="172">
        <v>0.75</v>
      </c>
      <c r="Q48" s="173">
        <f t="shared" si="0"/>
        <v>0.72499999999999998</v>
      </c>
      <c r="R48" s="172">
        <v>14.5</v>
      </c>
      <c r="S48" s="172">
        <v>135</v>
      </c>
      <c r="T48" s="175">
        <f t="shared" si="1"/>
        <v>33</v>
      </c>
      <c r="U48" s="172">
        <v>100</v>
      </c>
      <c r="V48" s="177">
        <f t="shared" si="2"/>
        <v>3300</v>
      </c>
      <c r="W48" s="172">
        <v>4</v>
      </c>
      <c r="X48" s="172" t="s">
        <v>154</v>
      </c>
      <c r="Y48" s="180" t="s">
        <v>46</v>
      </c>
      <c r="Z48" s="180" t="s">
        <v>54</v>
      </c>
      <c r="AA48" s="180" t="s">
        <v>45</v>
      </c>
      <c r="AB48" s="172" t="s">
        <v>48</v>
      </c>
      <c r="AI48" s="183"/>
      <c r="AJ48" s="183"/>
      <c r="AK48" s="183"/>
      <c r="AL48" s="183"/>
      <c r="AM48" s="183"/>
    </row>
    <row r="49" spans="1:39" s="172" customFormat="1" ht="13.5" customHeight="1">
      <c r="A49" s="170" t="s">
        <v>35</v>
      </c>
      <c r="B49" s="170" t="s">
        <v>36</v>
      </c>
      <c r="C49" s="170">
        <v>2020</v>
      </c>
      <c r="D49" s="171" t="s">
        <v>284</v>
      </c>
      <c r="E49" s="170" t="s">
        <v>101</v>
      </c>
      <c r="F49" s="170" t="s">
        <v>74</v>
      </c>
      <c r="G49" s="170" t="s">
        <v>39</v>
      </c>
      <c r="H49" s="170" t="s">
        <v>157</v>
      </c>
      <c r="I49" s="170" t="s">
        <v>41</v>
      </c>
      <c r="J49" s="172" t="s">
        <v>42</v>
      </c>
      <c r="K49" s="172" t="s">
        <v>144</v>
      </c>
      <c r="L49" s="170">
        <v>3</v>
      </c>
      <c r="N49" s="172">
        <v>1</v>
      </c>
      <c r="O49" s="172">
        <v>0.95</v>
      </c>
      <c r="P49" s="172">
        <v>0.85</v>
      </c>
      <c r="Q49" s="173">
        <f t="shared" si="0"/>
        <v>0.89999999999999991</v>
      </c>
      <c r="R49" s="172">
        <v>15.3</v>
      </c>
      <c r="S49" s="172">
        <v>131</v>
      </c>
      <c r="T49" s="175">
        <f t="shared" si="1"/>
        <v>33</v>
      </c>
      <c r="U49" s="172">
        <v>100</v>
      </c>
      <c r="V49" s="177">
        <f t="shared" si="2"/>
        <v>3300</v>
      </c>
      <c r="W49" s="172">
        <v>4</v>
      </c>
      <c r="X49" s="172" t="s">
        <v>154</v>
      </c>
      <c r="Y49" s="180" t="s">
        <v>46</v>
      </c>
      <c r="Z49" s="180" t="s">
        <v>54</v>
      </c>
      <c r="AA49" s="180" t="s">
        <v>45</v>
      </c>
      <c r="AB49" s="172" t="s">
        <v>48</v>
      </c>
      <c r="AI49" s="183"/>
      <c r="AJ49" s="183"/>
      <c r="AK49" s="183"/>
      <c r="AL49" s="183"/>
      <c r="AM49" s="183"/>
    </row>
    <row r="50" spans="1:39" s="172" customFormat="1" ht="13.5" customHeight="1">
      <c r="A50" s="170" t="s">
        <v>35</v>
      </c>
      <c r="B50" s="170" t="s">
        <v>36</v>
      </c>
      <c r="C50" s="170">
        <v>2020</v>
      </c>
      <c r="D50" s="171" t="s">
        <v>284</v>
      </c>
      <c r="E50" s="170" t="s">
        <v>101</v>
      </c>
      <c r="F50" s="170" t="s">
        <v>74</v>
      </c>
      <c r="G50" s="170" t="s">
        <v>39</v>
      </c>
      <c r="H50" s="170" t="s">
        <v>59</v>
      </c>
      <c r="I50" s="170" t="s">
        <v>41</v>
      </c>
      <c r="J50" s="172" t="s">
        <v>159</v>
      </c>
      <c r="K50" s="172" t="s">
        <v>122</v>
      </c>
      <c r="L50" s="170">
        <v>1</v>
      </c>
      <c r="N50" s="172">
        <v>5</v>
      </c>
      <c r="O50" s="172">
        <v>0.5</v>
      </c>
      <c r="P50" s="172">
        <v>0.6</v>
      </c>
      <c r="Q50" s="173">
        <f t="shared" ref="Q50:Q52" si="15">IF(OR(O50="",P50=""),"",AVERAGE(O50,P50))</f>
        <v>0.55000000000000004</v>
      </c>
      <c r="R50" s="172">
        <v>17</v>
      </c>
      <c r="S50" s="172">
        <v>80</v>
      </c>
      <c r="T50" s="175">
        <f t="shared" ref="T50:T52" si="16">IF(H50="","",IF(OR(H50="GREEN",H50="GK"),IF(S50&gt;=$AX$2,VLOOKUP(S50,$AX$2:$AY$7,2,1),""),IF(S50&gt;=$AZ$2,VLOOKUP(S50,$AZ$2:$BA$7,2,1),"")))</f>
        <v>39</v>
      </c>
      <c r="U50" s="172">
        <v>458</v>
      </c>
      <c r="V50" s="177">
        <f t="shared" ref="V50:V52" si="17">IF(OR(N50="",U50="",T50=""),"",U50/N50*T50)</f>
        <v>3572.3999999999996</v>
      </c>
      <c r="W50" s="172">
        <v>4</v>
      </c>
      <c r="X50" s="172" t="s">
        <v>154</v>
      </c>
      <c r="Y50" s="180" t="s">
        <v>46</v>
      </c>
      <c r="Z50" s="180" t="s">
        <v>54</v>
      </c>
      <c r="AA50" s="180" t="s">
        <v>45</v>
      </c>
      <c r="AB50" s="172" t="s">
        <v>48</v>
      </c>
      <c r="AI50" s="183"/>
      <c r="AJ50" s="183"/>
      <c r="AK50" s="183"/>
      <c r="AL50" s="183"/>
      <c r="AM50" s="183"/>
    </row>
    <row r="51" spans="1:39" s="172" customFormat="1" ht="13.5" customHeight="1">
      <c r="A51" s="170" t="s">
        <v>35</v>
      </c>
      <c r="B51" s="170" t="s">
        <v>36</v>
      </c>
      <c r="C51" s="170">
        <v>2020</v>
      </c>
      <c r="D51" s="171" t="s">
        <v>284</v>
      </c>
      <c r="E51" s="170" t="s">
        <v>101</v>
      </c>
      <c r="F51" s="170" t="s">
        <v>74</v>
      </c>
      <c r="G51" s="170" t="s">
        <v>39</v>
      </c>
      <c r="H51" s="170" t="s">
        <v>59</v>
      </c>
      <c r="I51" s="170" t="s">
        <v>41</v>
      </c>
      <c r="J51" s="172" t="s">
        <v>159</v>
      </c>
      <c r="K51" s="172" t="s">
        <v>122</v>
      </c>
      <c r="L51" s="170">
        <v>2</v>
      </c>
      <c r="N51" s="172">
        <v>5</v>
      </c>
      <c r="O51" s="172">
        <v>0.45</v>
      </c>
      <c r="P51" s="172">
        <v>0.5</v>
      </c>
      <c r="Q51" s="173">
        <f t="shared" si="15"/>
        <v>0.47499999999999998</v>
      </c>
      <c r="R51" s="172">
        <v>15.5</v>
      </c>
      <c r="S51" s="172">
        <v>75</v>
      </c>
      <c r="T51" s="175">
        <f t="shared" si="16"/>
        <v>42</v>
      </c>
      <c r="U51" s="172">
        <v>458</v>
      </c>
      <c r="V51" s="177">
        <f t="shared" si="17"/>
        <v>3847.2</v>
      </c>
      <c r="W51" s="172">
        <v>4</v>
      </c>
      <c r="X51" s="172" t="s">
        <v>154</v>
      </c>
      <c r="Y51" s="180" t="s">
        <v>46</v>
      </c>
      <c r="Z51" s="180" t="s">
        <v>54</v>
      </c>
      <c r="AA51" s="180" t="s">
        <v>45</v>
      </c>
      <c r="AB51" s="172" t="s">
        <v>48</v>
      </c>
      <c r="AI51" s="183"/>
      <c r="AJ51" s="183"/>
      <c r="AK51" s="183"/>
      <c r="AL51" s="183"/>
      <c r="AM51" s="183"/>
    </row>
    <row r="52" spans="1:39" s="172" customFormat="1" ht="13.5" customHeight="1">
      <c r="A52" s="170" t="s">
        <v>35</v>
      </c>
      <c r="B52" s="170" t="s">
        <v>36</v>
      </c>
      <c r="C52" s="170">
        <v>2020</v>
      </c>
      <c r="D52" s="171" t="s">
        <v>284</v>
      </c>
      <c r="E52" s="170" t="s">
        <v>101</v>
      </c>
      <c r="F52" s="170" t="s">
        <v>74</v>
      </c>
      <c r="G52" s="170" t="s">
        <v>39</v>
      </c>
      <c r="H52" s="170" t="s">
        <v>59</v>
      </c>
      <c r="I52" s="170" t="s">
        <v>41</v>
      </c>
      <c r="J52" s="172" t="s">
        <v>159</v>
      </c>
      <c r="K52" s="172" t="s">
        <v>122</v>
      </c>
      <c r="L52" s="170">
        <v>3</v>
      </c>
      <c r="N52" s="172">
        <v>5</v>
      </c>
      <c r="O52" s="172">
        <v>0.7</v>
      </c>
      <c r="P52" s="172">
        <v>0.55000000000000004</v>
      </c>
      <c r="Q52" s="173">
        <f t="shared" si="15"/>
        <v>0.625</v>
      </c>
      <c r="R52" s="172">
        <v>16.600000000000001</v>
      </c>
      <c r="S52" s="172">
        <v>88</v>
      </c>
      <c r="T52" s="175">
        <f t="shared" si="16"/>
        <v>36</v>
      </c>
      <c r="U52" s="172">
        <v>458</v>
      </c>
      <c r="V52" s="177">
        <f t="shared" si="17"/>
        <v>3297.6</v>
      </c>
      <c r="W52" s="172">
        <v>4</v>
      </c>
      <c r="X52" s="172" t="s">
        <v>154</v>
      </c>
      <c r="Y52" s="180" t="s">
        <v>46</v>
      </c>
      <c r="Z52" s="180" t="s">
        <v>54</v>
      </c>
      <c r="AA52" s="180" t="s">
        <v>45</v>
      </c>
      <c r="AB52" s="172" t="s">
        <v>48</v>
      </c>
      <c r="AI52" s="183"/>
      <c r="AJ52" s="183"/>
      <c r="AK52" s="183"/>
      <c r="AL52" s="183"/>
      <c r="AM52" s="183"/>
    </row>
    <row r="53" spans="1:39" s="172" customFormat="1" ht="13.5" customHeight="1">
      <c r="A53" s="170" t="s">
        <v>35</v>
      </c>
      <c r="B53" s="170" t="s">
        <v>36</v>
      </c>
      <c r="C53" s="170">
        <v>2020</v>
      </c>
      <c r="D53" s="171" t="s">
        <v>284</v>
      </c>
      <c r="E53" s="170" t="s">
        <v>107</v>
      </c>
      <c r="F53" s="170" t="s">
        <v>108</v>
      </c>
      <c r="G53" s="170" t="s">
        <v>39</v>
      </c>
      <c r="H53" s="170" t="s">
        <v>40</v>
      </c>
      <c r="I53" s="170" t="s">
        <v>41</v>
      </c>
      <c r="J53" s="172" t="s">
        <v>42</v>
      </c>
      <c r="K53" s="172" t="s">
        <v>144</v>
      </c>
      <c r="L53" s="170">
        <v>1</v>
      </c>
      <c r="N53" s="172">
        <v>4</v>
      </c>
      <c r="O53" s="172">
        <v>0.2</v>
      </c>
      <c r="P53" s="172">
        <v>0.2</v>
      </c>
      <c r="Q53" s="173">
        <f t="shared" si="0"/>
        <v>0.2</v>
      </c>
      <c r="R53" s="172">
        <v>16</v>
      </c>
      <c r="S53" s="172">
        <v>106</v>
      </c>
      <c r="T53" s="175">
        <f t="shared" si="1"/>
        <v>33</v>
      </c>
      <c r="U53" s="172">
        <v>499</v>
      </c>
      <c r="V53" s="177">
        <f t="shared" si="2"/>
        <v>4116.75</v>
      </c>
      <c r="W53" s="172">
        <v>1</v>
      </c>
      <c r="X53" s="179" t="s">
        <v>44</v>
      </c>
      <c r="Y53" s="180" t="s">
        <v>46</v>
      </c>
      <c r="Z53" s="180" t="s">
        <v>45</v>
      </c>
      <c r="AA53" s="180" t="s">
        <v>54</v>
      </c>
      <c r="AB53" s="172" t="s">
        <v>48</v>
      </c>
      <c r="AI53" s="183"/>
      <c r="AJ53" s="183"/>
      <c r="AK53" s="183"/>
      <c r="AL53" s="183"/>
      <c r="AM53" s="183"/>
    </row>
    <row r="54" spans="1:39" s="172" customFormat="1" ht="13.5" customHeight="1">
      <c r="A54" s="170" t="s">
        <v>35</v>
      </c>
      <c r="B54" s="170" t="s">
        <v>36</v>
      </c>
      <c r="C54" s="170">
        <v>2020</v>
      </c>
      <c r="D54" s="171" t="s">
        <v>284</v>
      </c>
      <c r="E54" s="170" t="s">
        <v>107</v>
      </c>
      <c r="F54" s="170" t="s">
        <v>108</v>
      </c>
      <c r="G54" s="170" t="s">
        <v>39</v>
      </c>
      <c r="H54" s="170" t="s">
        <v>40</v>
      </c>
      <c r="I54" s="170" t="s">
        <v>41</v>
      </c>
      <c r="J54" s="172" t="s">
        <v>42</v>
      </c>
      <c r="K54" s="172" t="s">
        <v>144</v>
      </c>
      <c r="L54" s="170">
        <v>2</v>
      </c>
      <c r="N54" s="172">
        <v>4</v>
      </c>
      <c r="O54" s="172">
        <v>0.35</v>
      </c>
      <c r="P54" s="172">
        <v>0.7</v>
      </c>
      <c r="Q54" s="173">
        <f t="shared" si="0"/>
        <v>0.52499999999999991</v>
      </c>
      <c r="R54" s="172">
        <v>17.899999999999999</v>
      </c>
      <c r="S54" s="172">
        <v>103</v>
      </c>
      <c r="T54" s="175">
        <f t="shared" si="1"/>
        <v>33</v>
      </c>
      <c r="U54" s="172">
        <v>499</v>
      </c>
      <c r="V54" s="177">
        <f t="shared" si="2"/>
        <v>4116.75</v>
      </c>
      <c r="W54" s="172">
        <v>1</v>
      </c>
      <c r="X54" s="179" t="s">
        <v>44</v>
      </c>
      <c r="Y54" s="180" t="s">
        <v>46</v>
      </c>
      <c r="Z54" s="180" t="s">
        <v>45</v>
      </c>
      <c r="AA54" s="180" t="s">
        <v>54</v>
      </c>
      <c r="AB54" s="172" t="s">
        <v>48</v>
      </c>
      <c r="AI54" s="183"/>
      <c r="AJ54" s="183"/>
      <c r="AK54" s="183"/>
      <c r="AL54" s="183"/>
      <c r="AM54" s="183"/>
    </row>
    <row r="55" spans="1:39" s="172" customFormat="1" ht="13.5" customHeight="1">
      <c r="A55" s="170" t="s">
        <v>35</v>
      </c>
      <c r="B55" s="170" t="s">
        <v>36</v>
      </c>
      <c r="C55" s="170">
        <v>2020</v>
      </c>
      <c r="D55" s="171" t="s">
        <v>284</v>
      </c>
      <c r="E55" s="170" t="s">
        <v>107</v>
      </c>
      <c r="F55" s="170" t="s">
        <v>108</v>
      </c>
      <c r="G55" s="170" t="s">
        <v>39</v>
      </c>
      <c r="H55" s="170" t="s">
        <v>40</v>
      </c>
      <c r="I55" s="170" t="s">
        <v>41</v>
      </c>
      <c r="J55" s="172" t="s">
        <v>42</v>
      </c>
      <c r="K55" s="172" t="s">
        <v>144</v>
      </c>
      <c r="L55" s="170">
        <v>3</v>
      </c>
      <c r="N55" s="172">
        <v>4</v>
      </c>
      <c r="O55" s="172">
        <v>0.2</v>
      </c>
      <c r="P55" s="172">
        <v>0.2</v>
      </c>
      <c r="Q55" s="173">
        <f t="shared" si="0"/>
        <v>0.2</v>
      </c>
      <c r="R55" s="172">
        <v>17.3</v>
      </c>
      <c r="S55" s="172">
        <v>107</v>
      </c>
      <c r="T55" s="175">
        <f t="shared" si="1"/>
        <v>33</v>
      </c>
      <c r="U55" s="172">
        <v>499</v>
      </c>
      <c r="V55" s="177">
        <f t="shared" si="2"/>
        <v>4116.75</v>
      </c>
      <c r="W55" s="172">
        <v>1</v>
      </c>
      <c r="X55" s="179" t="s">
        <v>44</v>
      </c>
      <c r="Y55" s="180" t="s">
        <v>46</v>
      </c>
      <c r="Z55" s="180" t="s">
        <v>45</v>
      </c>
      <c r="AA55" s="180" t="s">
        <v>54</v>
      </c>
      <c r="AB55" s="172" t="s">
        <v>48</v>
      </c>
      <c r="AI55" s="183"/>
      <c r="AJ55" s="183"/>
      <c r="AK55" s="183"/>
      <c r="AL55" s="183"/>
      <c r="AM55" s="183"/>
    </row>
    <row r="56" spans="1:39" s="172" customFormat="1" ht="13.5" customHeight="1">
      <c r="A56" s="170" t="s">
        <v>35</v>
      </c>
      <c r="B56" s="170" t="s">
        <v>36</v>
      </c>
      <c r="C56" s="170">
        <v>2020</v>
      </c>
      <c r="D56" s="171" t="s">
        <v>284</v>
      </c>
      <c r="E56" s="170" t="s">
        <v>107</v>
      </c>
      <c r="F56" s="170" t="s">
        <v>108</v>
      </c>
      <c r="G56" s="170" t="s">
        <v>39</v>
      </c>
      <c r="H56" s="170" t="s">
        <v>157</v>
      </c>
      <c r="I56" s="170" t="s">
        <v>41</v>
      </c>
      <c r="J56" s="172" t="s">
        <v>42</v>
      </c>
      <c r="K56" s="172" t="s">
        <v>78</v>
      </c>
      <c r="L56" s="170">
        <v>1</v>
      </c>
      <c r="N56" s="172">
        <v>2</v>
      </c>
      <c r="O56" s="172">
        <v>0.3</v>
      </c>
      <c r="P56" s="172">
        <v>0.5</v>
      </c>
      <c r="Q56" s="173">
        <f t="shared" si="0"/>
        <v>0.4</v>
      </c>
      <c r="R56" s="172">
        <v>15.4</v>
      </c>
      <c r="S56" s="172">
        <v>157</v>
      </c>
      <c r="T56" s="175">
        <f t="shared" si="1"/>
        <v>33</v>
      </c>
      <c r="U56" s="172">
        <v>599</v>
      </c>
      <c r="V56" s="177">
        <f t="shared" si="2"/>
        <v>9883.5</v>
      </c>
      <c r="W56" s="172">
        <v>1</v>
      </c>
      <c r="X56" s="179" t="s">
        <v>44</v>
      </c>
      <c r="Y56" s="180" t="s">
        <v>46</v>
      </c>
      <c r="Z56" s="180" t="s">
        <v>45</v>
      </c>
      <c r="AA56" s="180" t="s">
        <v>54</v>
      </c>
      <c r="AB56" s="172" t="s">
        <v>48</v>
      </c>
      <c r="AI56" s="183"/>
      <c r="AJ56" s="183"/>
      <c r="AK56" s="183"/>
      <c r="AL56" s="183"/>
      <c r="AM56" s="183"/>
    </row>
    <row r="57" spans="1:39" s="172" customFormat="1" ht="13.5" customHeight="1">
      <c r="A57" s="170" t="s">
        <v>35</v>
      </c>
      <c r="B57" s="170" t="s">
        <v>36</v>
      </c>
      <c r="C57" s="170">
        <v>2020</v>
      </c>
      <c r="D57" s="171" t="s">
        <v>284</v>
      </c>
      <c r="E57" s="170" t="s">
        <v>107</v>
      </c>
      <c r="F57" s="170" t="s">
        <v>108</v>
      </c>
      <c r="G57" s="170" t="s">
        <v>39</v>
      </c>
      <c r="H57" s="170" t="s">
        <v>157</v>
      </c>
      <c r="I57" s="170" t="s">
        <v>41</v>
      </c>
      <c r="J57" s="172" t="s">
        <v>42</v>
      </c>
      <c r="K57" s="172" t="s">
        <v>78</v>
      </c>
      <c r="L57" s="170">
        <v>2</v>
      </c>
      <c r="N57" s="172">
        <v>2</v>
      </c>
      <c r="O57" s="172">
        <v>0.7</v>
      </c>
      <c r="P57" s="172">
        <v>0.5</v>
      </c>
      <c r="Q57" s="173">
        <f t="shared" si="0"/>
        <v>0.6</v>
      </c>
      <c r="R57" s="172">
        <v>17.5</v>
      </c>
      <c r="S57" s="172">
        <v>164</v>
      </c>
      <c r="T57" s="175">
        <f t="shared" si="1"/>
        <v>33</v>
      </c>
      <c r="U57" s="172">
        <v>599</v>
      </c>
      <c r="V57" s="177">
        <f t="shared" si="2"/>
        <v>9883.5</v>
      </c>
      <c r="W57" s="172">
        <v>1</v>
      </c>
      <c r="X57" s="179" t="s">
        <v>44</v>
      </c>
      <c r="Y57" s="180" t="s">
        <v>46</v>
      </c>
      <c r="Z57" s="180" t="s">
        <v>45</v>
      </c>
      <c r="AA57" s="180" t="s">
        <v>54</v>
      </c>
      <c r="AB57" s="172" t="s">
        <v>48</v>
      </c>
      <c r="AI57" s="183"/>
      <c r="AJ57" s="183"/>
      <c r="AK57" s="183"/>
      <c r="AL57" s="183"/>
      <c r="AM57" s="183"/>
    </row>
    <row r="58" spans="1:39" s="172" customFormat="1" ht="13.5" customHeight="1">
      <c r="A58" s="170" t="s">
        <v>35</v>
      </c>
      <c r="B58" s="170" t="s">
        <v>36</v>
      </c>
      <c r="C58" s="170">
        <v>2020</v>
      </c>
      <c r="D58" s="171" t="s">
        <v>284</v>
      </c>
      <c r="E58" s="170" t="s">
        <v>107</v>
      </c>
      <c r="F58" s="170" t="s">
        <v>108</v>
      </c>
      <c r="G58" s="170" t="s">
        <v>39</v>
      </c>
      <c r="H58" s="170" t="s">
        <v>157</v>
      </c>
      <c r="I58" s="170" t="s">
        <v>41</v>
      </c>
      <c r="J58" s="172" t="s">
        <v>42</v>
      </c>
      <c r="K58" s="172" t="s">
        <v>78</v>
      </c>
      <c r="L58" s="170">
        <v>3</v>
      </c>
      <c r="N58" s="172">
        <v>2</v>
      </c>
      <c r="O58" s="172">
        <v>0.95</v>
      </c>
      <c r="P58" s="172">
        <v>0.65</v>
      </c>
      <c r="Q58" s="173">
        <f t="shared" si="0"/>
        <v>0.8</v>
      </c>
      <c r="R58" s="172">
        <v>17.8</v>
      </c>
      <c r="S58" s="172">
        <v>158</v>
      </c>
      <c r="T58" s="175">
        <f t="shared" si="1"/>
        <v>33</v>
      </c>
      <c r="U58" s="172">
        <v>599</v>
      </c>
      <c r="V58" s="177">
        <f t="shared" si="2"/>
        <v>9883.5</v>
      </c>
      <c r="W58" s="172">
        <v>1</v>
      </c>
      <c r="X58" s="179" t="s">
        <v>44</v>
      </c>
      <c r="Y58" s="180" t="s">
        <v>46</v>
      </c>
      <c r="Z58" s="180" t="s">
        <v>45</v>
      </c>
      <c r="AA58" s="180" t="s">
        <v>54</v>
      </c>
      <c r="AB58" s="172" t="s">
        <v>48</v>
      </c>
      <c r="AI58" s="183"/>
      <c r="AJ58" s="183"/>
      <c r="AK58" s="183"/>
      <c r="AL58" s="183"/>
      <c r="AM58" s="183"/>
    </row>
    <row r="59" spans="1:39" s="172" customFormat="1" ht="13.5" customHeight="1">
      <c r="A59" s="170" t="s">
        <v>35</v>
      </c>
      <c r="B59" s="170" t="s">
        <v>36</v>
      </c>
      <c r="C59" s="170">
        <v>2020</v>
      </c>
      <c r="D59" s="171" t="s">
        <v>284</v>
      </c>
      <c r="E59" s="170" t="s">
        <v>151</v>
      </c>
      <c r="F59" s="170" t="s">
        <v>74</v>
      </c>
      <c r="G59" s="170" t="s">
        <v>39</v>
      </c>
      <c r="H59" s="170" t="s">
        <v>155</v>
      </c>
      <c r="I59" s="170" t="s">
        <v>41</v>
      </c>
      <c r="J59" s="172" t="s">
        <v>42</v>
      </c>
      <c r="K59" s="172" t="s">
        <v>144</v>
      </c>
      <c r="L59" s="170">
        <v>1</v>
      </c>
      <c r="N59" s="172">
        <v>1</v>
      </c>
      <c r="O59" s="172">
        <v>0.7</v>
      </c>
      <c r="P59" s="172">
        <v>0.8</v>
      </c>
      <c r="Q59" s="173">
        <f t="shared" si="0"/>
        <v>0.75</v>
      </c>
      <c r="R59" s="172">
        <v>14.2</v>
      </c>
      <c r="S59" s="172">
        <v>105</v>
      </c>
      <c r="T59" s="175">
        <f t="shared" si="1"/>
        <v>33</v>
      </c>
      <c r="U59" s="172">
        <v>98</v>
      </c>
      <c r="V59" s="177">
        <f t="shared" si="2"/>
        <v>3234</v>
      </c>
      <c r="W59" s="172">
        <v>2</v>
      </c>
      <c r="X59" s="179" t="s">
        <v>63</v>
      </c>
      <c r="Y59" s="180" t="s">
        <v>46</v>
      </c>
      <c r="Z59" s="180" t="s">
        <v>45</v>
      </c>
      <c r="AA59" s="180" t="s">
        <v>54</v>
      </c>
      <c r="AB59" s="172" t="s">
        <v>48</v>
      </c>
      <c r="AI59" s="183"/>
      <c r="AJ59" s="183"/>
      <c r="AK59" s="183"/>
      <c r="AL59" s="183"/>
      <c r="AM59" s="183"/>
    </row>
    <row r="60" spans="1:39" s="172" customFormat="1" ht="13.5" customHeight="1">
      <c r="A60" s="170" t="s">
        <v>35</v>
      </c>
      <c r="B60" s="170" t="s">
        <v>36</v>
      </c>
      <c r="C60" s="170">
        <v>2020</v>
      </c>
      <c r="D60" s="171" t="s">
        <v>284</v>
      </c>
      <c r="E60" s="170" t="s">
        <v>151</v>
      </c>
      <c r="F60" s="170" t="s">
        <v>74</v>
      </c>
      <c r="G60" s="170" t="s">
        <v>39</v>
      </c>
      <c r="H60" s="170" t="s">
        <v>155</v>
      </c>
      <c r="I60" s="170" t="s">
        <v>41</v>
      </c>
      <c r="J60" s="172" t="s">
        <v>42</v>
      </c>
      <c r="K60" s="172" t="s">
        <v>144</v>
      </c>
      <c r="L60" s="170">
        <v>2</v>
      </c>
      <c r="N60" s="172">
        <v>1</v>
      </c>
      <c r="O60" s="172">
        <v>0.75</v>
      </c>
      <c r="P60" s="172">
        <v>0.85</v>
      </c>
      <c r="Q60" s="173">
        <f t="shared" si="0"/>
        <v>0.8</v>
      </c>
      <c r="R60" s="172">
        <v>13.9</v>
      </c>
      <c r="S60" s="172">
        <v>109</v>
      </c>
      <c r="T60" s="175">
        <f t="shared" si="1"/>
        <v>33</v>
      </c>
      <c r="U60" s="172">
        <v>98</v>
      </c>
      <c r="V60" s="177">
        <f t="shared" si="2"/>
        <v>3234</v>
      </c>
      <c r="W60" s="172">
        <v>2</v>
      </c>
      <c r="X60" s="179" t="s">
        <v>63</v>
      </c>
      <c r="Y60" s="180" t="s">
        <v>46</v>
      </c>
      <c r="Z60" s="180" t="s">
        <v>45</v>
      </c>
      <c r="AA60" s="180" t="s">
        <v>54</v>
      </c>
      <c r="AB60" s="172" t="s">
        <v>48</v>
      </c>
      <c r="AI60" s="183"/>
      <c r="AJ60" s="183"/>
      <c r="AK60" s="183"/>
      <c r="AL60" s="183"/>
      <c r="AM60" s="183"/>
    </row>
    <row r="61" spans="1:39" s="172" customFormat="1" ht="13.5" customHeight="1">
      <c r="A61" s="170" t="s">
        <v>35</v>
      </c>
      <c r="B61" s="170" t="s">
        <v>36</v>
      </c>
      <c r="C61" s="170">
        <v>2020</v>
      </c>
      <c r="D61" s="171" t="s">
        <v>284</v>
      </c>
      <c r="E61" s="170" t="s">
        <v>151</v>
      </c>
      <c r="F61" s="170" t="s">
        <v>74</v>
      </c>
      <c r="G61" s="170" t="s">
        <v>39</v>
      </c>
      <c r="H61" s="170" t="s">
        <v>155</v>
      </c>
      <c r="I61" s="170" t="s">
        <v>41</v>
      </c>
      <c r="J61" s="172" t="s">
        <v>42</v>
      </c>
      <c r="K61" s="172" t="s">
        <v>144</v>
      </c>
      <c r="L61" s="170">
        <v>3</v>
      </c>
      <c r="N61" s="172">
        <v>1</v>
      </c>
      <c r="O61" s="172">
        <v>0.65</v>
      </c>
      <c r="P61" s="172">
        <v>0.35</v>
      </c>
      <c r="Q61" s="173">
        <f t="shared" si="0"/>
        <v>0.5</v>
      </c>
      <c r="R61" s="172">
        <v>16.3</v>
      </c>
      <c r="S61" s="172">
        <v>111</v>
      </c>
      <c r="T61" s="175">
        <f t="shared" si="1"/>
        <v>33</v>
      </c>
      <c r="U61" s="172">
        <v>98</v>
      </c>
      <c r="V61" s="177">
        <f t="shared" si="2"/>
        <v>3234</v>
      </c>
      <c r="W61" s="172">
        <v>2</v>
      </c>
      <c r="X61" s="179" t="s">
        <v>63</v>
      </c>
      <c r="Y61" s="180" t="s">
        <v>46</v>
      </c>
      <c r="Z61" s="180" t="s">
        <v>45</v>
      </c>
      <c r="AA61" s="180" t="s">
        <v>54</v>
      </c>
      <c r="AB61" s="172" t="s">
        <v>48</v>
      </c>
      <c r="AI61" s="183"/>
      <c r="AJ61" s="183"/>
      <c r="AK61" s="183"/>
      <c r="AL61" s="183"/>
      <c r="AM61" s="183"/>
    </row>
    <row r="62" spans="1:39" s="172" customFormat="1" ht="13.5" customHeight="1">
      <c r="A62" s="170" t="s">
        <v>35</v>
      </c>
      <c r="B62" s="170" t="s">
        <v>36</v>
      </c>
      <c r="C62" s="170">
        <v>2020</v>
      </c>
      <c r="D62" s="171" t="s">
        <v>284</v>
      </c>
      <c r="E62" s="170" t="s">
        <v>151</v>
      </c>
      <c r="F62" s="170" t="s">
        <v>74</v>
      </c>
      <c r="G62" s="170" t="s">
        <v>39</v>
      </c>
      <c r="H62" s="170" t="s">
        <v>157</v>
      </c>
      <c r="I62" s="170" t="s">
        <v>41</v>
      </c>
      <c r="J62" s="172" t="s">
        <v>42</v>
      </c>
      <c r="K62" s="172" t="s">
        <v>78</v>
      </c>
      <c r="L62" s="170">
        <v>1</v>
      </c>
      <c r="N62" s="172">
        <v>3</v>
      </c>
      <c r="O62" s="172">
        <v>0.75</v>
      </c>
      <c r="P62" s="172">
        <v>0.7</v>
      </c>
      <c r="Q62" s="173">
        <f t="shared" si="0"/>
        <v>0.72499999999999998</v>
      </c>
      <c r="R62" s="172">
        <v>13.9</v>
      </c>
      <c r="S62" s="172">
        <v>132</v>
      </c>
      <c r="T62" s="175">
        <f t="shared" si="1"/>
        <v>33</v>
      </c>
      <c r="U62" s="172">
        <v>398</v>
      </c>
      <c r="V62" s="177">
        <f t="shared" si="2"/>
        <v>4378</v>
      </c>
      <c r="W62" s="172">
        <v>2</v>
      </c>
      <c r="X62" s="179" t="s">
        <v>63</v>
      </c>
      <c r="Y62" s="180" t="s">
        <v>46</v>
      </c>
      <c r="Z62" s="180" t="s">
        <v>45</v>
      </c>
      <c r="AA62" s="180" t="s">
        <v>54</v>
      </c>
      <c r="AB62" s="172" t="s">
        <v>48</v>
      </c>
      <c r="AI62" s="183"/>
      <c r="AJ62" s="183"/>
      <c r="AK62" s="183"/>
      <c r="AL62" s="183"/>
      <c r="AM62" s="183"/>
    </row>
    <row r="63" spans="1:39" s="172" customFormat="1" ht="13.5" customHeight="1">
      <c r="A63" s="170" t="s">
        <v>35</v>
      </c>
      <c r="B63" s="170" t="s">
        <v>36</v>
      </c>
      <c r="C63" s="170">
        <v>2020</v>
      </c>
      <c r="D63" s="171" t="s">
        <v>284</v>
      </c>
      <c r="E63" s="170" t="s">
        <v>151</v>
      </c>
      <c r="F63" s="170" t="s">
        <v>74</v>
      </c>
      <c r="G63" s="170" t="s">
        <v>39</v>
      </c>
      <c r="H63" s="170" t="s">
        <v>157</v>
      </c>
      <c r="I63" s="170" t="s">
        <v>41</v>
      </c>
      <c r="J63" s="172" t="s">
        <v>42</v>
      </c>
      <c r="K63" s="172" t="s">
        <v>78</v>
      </c>
      <c r="L63" s="170">
        <v>2</v>
      </c>
      <c r="N63" s="172">
        <v>3</v>
      </c>
      <c r="O63" s="172">
        <v>0.45</v>
      </c>
      <c r="P63" s="172">
        <v>0.55000000000000004</v>
      </c>
      <c r="Q63" s="173">
        <f t="shared" si="0"/>
        <v>0.5</v>
      </c>
      <c r="R63" s="172">
        <v>15.3</v>
      </c>
      <c r="S63" s="172">
        <v>134</v>
      </c>
      <c r="T63" s="175">
        <f t="shared" si="1"/>
        <v>33</v>
      </c>
      <c r="U63" s="172">
        <v>398</v>
      </c>
      <c r="V63" s="177">
        <f t="shared" si="2"/>
        <v>4378</v>
      </c>
      <c r="W63" s="172">
        <v>2</v>
      </c>
      <c r="X63" s="179" t="s">
        <v>63</v>
      </c>
      <c r="Y63" s="180" t="s">
        <v>46</v>
      </c>
      <c r="Z63" s="180" t="s">
        <v>45</v>
      </c>
      <c r="AA63" s="180" t="s">
        <v>54</v>
      </c>
      <c r="AB63" s="172" t="s">
        <v>48</v>
      </c>
      <c r="AI63" s="183"/>
      <c r="AJ63" s="183"/>
      <c r="AK63" s="183"/>
      <c r="AL63" s="183"/>
      <c r="AM63" s="183"/>
    </row>
    <row r="64" spans="1:39" s="172" customFormat="1" ht="13.5" customHeight="1">
      <c r="A64" s="170" t="s">
        <v>35</v>
      </c>
      <c r="B64" s="170" t="s">
        <v>36</v>
      </c>
      <c r="C64" s="170">
        <v>2020</v>
      </c>
      <c r="D64" s="171" t="s">
        <v>284</v>
      </c>
      <c r="E64" s="170" t="s">
        <v>151</v>
      </c>
      <c r="F64" s="170" t="s">
        <v>74</v>
      </c>
      <c r="G64" s="170" t="s">
        <v>39</v>
      </c>
      <c r="H64" s="170" t="s">
        <v>157</v>
      </c>
      <c r="I64" s="170" t="s">
        <v>41</v>
      </c>
      <c r="J64" s="172" t="s">
        <v>42</v>
      </c>
      <c r="K64" s="172" t="s">
        <v>78</v>
      </c>
      <c r="L64" s="170">
        <v>3</v>
      </c>
      <c r="N64" s="172">
        <v>3</v>
      </c>
      <c r="O64" s="172">
        <v>0.55000000000000004</v>
      </c>
      <c r="P64" s="172">
        <v>0.65</v>
      </c>
      <c r="Q64" s="173">
        <f t="shared" si="0"/>
        <v>0.60000000000000009</v>
      </c>
      <c r="R64" s="172">
        <v>16.3</v>
      </c>
      <c r="S64" s="172">
        <v>130</v>
      </c>
      <c r="T64" s="175">
        <f t="shared" si="1"/>
        <v>33</v>
      </c>
      <c r="U64" s="172">
        <v>398</v>
      </c>
      <c r="V64" s="177">
        <f t="shared" si="2"/>
        <v>4378</v>
      </c>
      <c r="W64" s="172">
        <v>2</v>
      </c>
      <c r="X64" s="179" t="s">
        <v>63</v>
      </c>
      <c r="Y64" s="180" t="s">
        <v>46</v>
      </c>
      <c r="Z64" s="180" t="s">
        <v>45</v>
      </c>
      <c r="AA64" s="180" t="s">
        <v>54</v>
      </c>
      <c r="AB64" s="172" t="s">
        <v>48</v>
      </c>
      <c r="AI64" s="183"/>
      <c r="AJ64" s="183"/>
      <c r="AK64" s="183"/>
      <c r="AL64" s="183"/>
      <c r="AM64" s="183"/>
    </row>
    <row r="65" spans="1:39" s="35" customFormat="1" ht="13.5" customHeight="1">
      <c r="A65" s="21"/>
      <c r="B65" s="21"/>
      <c r="C65" s="21"/>
      <c r="D65" s="28"/>
      <c r="E65" s="21"/>
      <c r="F65" s="21"/>
      <c r="G65" s="21"/>
      <c r="H65" s="21"/>
      <c r="I65" s="21"/>
      <c r="J65" s="10"/>
      <c r="K65" s="10"/>
      <c r="L65" s="21"/>
      <c r="M65" s="10"/>
      <c r="N65" s="10"/>
      <c r="O65" s="10"/>
      <c r="P65" s="10"/>
      <c r="Q65" s="26"/>
      <c r="R65" s="10"/>
      <c r="S65" s="10"/>
      <c r="T65" s="24"/>
      <c r="U65" s="10"/>
      <c r="V65" s="25"/>
      <c r="W65" s="10"/>
      <c r="X65" s="27"/>
      <c r="Y65" s="22"/>
      <c r="Z65" s="22"/>
      <c r="AA65" s="22"/>
      <c r="AB65" s="10"/>
      <c r="AI65" s="36"/>
      <c r="AJ65" s="36"/>
      <c r="AK65" s="36"/>
      <c r="AL65" s="36"/>
      <c r="AM65" s="36"/>
    </row>
    <row r="66" spans="1:39" s="35" customFormat="1" ht="13.5" customHeight="1">
      <c r="A66" s="21"/>
      <c r="B66" s="21"/>
      <c r="C66" s="21"/>
      <c r="D66" s="28"/>
      <c r="E66" s="21"/>
      <c r="F66" s="21"/>
      <c r="G66" s="21"/>
      <c r="H66" s="21"/>
      <c r="I66" s="21"/>
      <c r="J66" s="10"/>
      <c r="K66" s="10"/>
      <c r="L66" s="21"/>
      <c r="M66" s="10"/>
      <c r="N66" s="10"/>
      <c r="O66" s="10"/>
      <c r="P66" s="10"/>
      <c r="Q66" s="26"/>
      <c r="R66" s="10"/>
      <c r="S66" s="10"/>
      <c r="T66" s="24"/>
      <c r="U66" s="10"/>
      <c r="V66" s="25"/>
      <c r="W66" s="10"/>
      <c r="X66" s="27"/>
      <c r="Y66" s="22"/>
      <c r="Z66" s="22"/>
      <c r="AA66" s="22"/>
      <c r="AB66" s="10"/>
      <c r="AI66" s="36"/>
      <c r="AJ66" s="36"/>
      <c r="AK66" s="36"/>
      <c r="AL66" s="36"/>
      <c r="AM66" s="36"/>
    </row>
    <row r="67" spans="1:39" s="35" customFormat="1" ht="13.5" customHeight="1">
      <c r="A67" s="21"/>
      <c r="B67" s="21"/>
      <c r="C67" s="21"/>
      <c r="D67" s="28"/>
      <c r="E67" s="21"/>
      <c r="F67" s="21"/>
      <c r="G67" s="21"/>
      <c r="H67" s="21"/>
      <c r="I67" s="21"/>
      <c r="J67" s="10"/>
      <c r="K67" s="10"/>
      <c r="L67" s="21"/>
      <c r="M67" s="10"/>
      <c r="N67" s="10"/>
      <c r="O67" s="10"/>
      <c r="P67" s="10"/>
      <c r="Q67" s="26"/>
      <c r="R67" s="10"/>
      <c r="S67" s="10"/>
      <c r="T67" s="24"/>
      <c r="U67" s="10"/>
      <c r="V67" s="25"/>
      <c r="W67" s="10"/>
      <c r="X67" s="27"/>
      <c r="Y67" s="22"/>
      <c r="Z67" s="22"/>
      <c r="AA67" s="22"/>
      <c r="AB67" s="10"/>
      <c r="AI67" s="36"/>
      <c r="AJ67" s="36"/>
      <c r="AK67" s="36"/>
      <c r="AL67" s="36"/>
      <c r="AM67" s="36"/>
    </row>
    <row r="68" spans="1:39" s="35" customFormat="1" ht="13.5" customHeight="1">
      <c r="A68" s="21"/>
      <c r="B68" s="21"/>
      <c r="C68" s="21"/>
      <c r="D68" s="28"/>
      <c r="E68" s="21"/>
      <c r="F68" s="21"/>
      <c r="G68" s="21"/>
      <c r="H68" s="21"/>
      <c r="I68" s="21"/>
      <c r="J68" s="10"/>
      <c r="K68" s="10"/>
      <c r="L68" s="21"/>
      <c r="M68" s="10"/>
      <c r="N68" s="10"/>
      <c r="O68" s="10"/>
      <c r="P68" s="10"/>
      <c r="Q68" s="26"/>
      <c r="R68" s="10"/>
      <c r="S68" s="10"/>
      <c r="T68" s="24"/>
      <c r="U68" s="10"/>
      <c r="V68" s="25"/>
      <c r="W68" s="10"/>
      <c r="X68" s="27"/>
      <c r="Y68" s="22"/>
      <c r="Z68" s="22"/>
      <c r="AA68" s="22"/>
      <c r="AB68" s="10"/>
      <c r="AI68" s="36"/>
      <c r="AJ68" s="36"/>
      <c r="AK68" s="36"/>
      <c r="AL68" s="36"/>
      <c r="AM68" s="36"/>
    </row>
    <row r="69" spans="1:39" s="35" customFormat="1" ht="13.5" customHeight="1">
      <c r="A69" s="21"/>
      <c r="B69" s="21"/>
      <c r="C69" s="21"/>
      <c r="D69" s="28"/>
      <c r="E69" s="21"/>
      <c r="F69" s="21"/>
      <c r="G69" s="21"/>
      <c r="H69" s="21"/>
      <c r="I69" s="21"/>
      <c r="J69" s="10"/>
      <c r="K69" s="10"/>
      <c r="L69" s="21"/>
      <c r="M69" s="10"/>
      <c r="N69" s="10"/>
      <c r="O69" s="10"/>
      <c r="P69" s="10"/>
      <c r="Q69" s="26"/>
      <c r="R69" s="10"/>
      <c r="S69" s="10"/>
      <c r="T69" s="24"/>
      <c r="U69" s="10"/>
      <c r="V69" s="25"/>
      <c r="W69" s="10"/>
      <c r="X69" s="27"/>
      <c r="Y69" s="22"/>
      <c r="Z69" s="22"/>
      <c r="AA69" s="22"/>
      <c r="AB69" s="10"/>
      <c r="AI69" s="36"/>
      <c r="AJ69" s="36"/>
      <c r="AK69" s="36"/>
      <c r="AL69" s="36"/>
      <c r="AM69" s="36"/>
    </row>
    <row r="70" spans="1:39" s="35" customFormat="1" ht="13.5" customHeight="1">
      <c r="A70" s="21"/>
      <c r="B70" s="21"/>
      <c r="C70" s="21"/>
      <c r="D70" s="28"/>
      <c r="E70" s="21"/>
      <c r="F70" s="21"/>
      <c r="G70" s="21"/>
      <c r="H70" s="21"/>
      <c r="I70" s="21"/>
      <c r="J70" s="10"/>
      <c r="K70" s="10"/>
      <c r="L70" s="21"/>
      <c r="M70" s="10"/>
      <c r="N70" s="10"/>
      <c r="O70" s="10"/>
      <c r="P70" s="10"/>
      <c r="Q70" s="26"/>
      <c r="R70" s="10"/>
      <c r="S70" s="10"/>
      <c r="T70" s="24"/>
      <c r="U70" s="10"/>
      <c r="V70" s="25"/>
      <c r="W70" s="10"/>
      <c r="X70" s="27"/>
      <c r="Y70" s="22"/>
      <c r="Z70" s="22"/>
      <c r="AA70" s="22"/>
      <c r="AB70" s="10"/>
      <c r="AI70" s="36"/>
      <c r="AJ70" s="36"/>
      <c r="AK70" s="36"/>
      <c r="AL70" s="36"/>
      <c r="AM70" s="36"/>
    </row>
    <row r="71" spans="1:39" s="35" customFormat="1" ht="13.5" customHeight="1">
      <c r="A71" s="21"/>
      <c r="B71" s="21"/>
      <c r="C71" s="21"/>
      <c r="D71" s="28"/>
      <c r="E71" s="21"/>
      <c r="F71" s="21"/>
      <c r="G71" s="21"/>
      <c r="H71" s="21"/>
      <c r="I71" s="21"/>
      <c r="J71" s="10"/>
      <c r="K71" s="10"/>
      <c r="L71" s="21"/>
      <c r="M71" s="10"/>
      <c r="N71" s="10"/>
      <c r="O71" s="10"/>
      <c r="P71" s="10"/>
      <c r="Q71" s="26"/>
      <c r="R71" s="10"/>
      <c r="S71" s="10"/>
      <c r="T71" s="24"/>
      <c r="U71" s="10"/>
      <c r="V71" s="25"/>
      <c r="W71" s="10"/>
      <c r="X71" s="27"/>
      <c r="Y71" s="22"/>
      <c r="Z71" s="22"/>
      <c r="AA71" s="22"/>
      <c r="AB71" s="10"/>
      <c r="AI71" s="36"/>
      <c r="AJ71" s="36"/>
      <c r="AK71" s="36"/>
      <c r="AL71" s="36"/>
      <c r="AM71" s="36"/>
    </row>
    <row r="72" spans="1:39" s="35" customFormat="1" ht="13.5" customHeight="1">
      <c r="A72" s="21"/>
      <c r="B72" s="21"/>
      <c r="C72" s="21"/>
      <c r="D72" s="28"/>
      <c r="E72" s="21"/>
      <c r="F72" s="21"/>
      <c r="G72" s="21"/>
      <c r="H72" s="21"/>
      <c r="I72" s="21"/>
      <c r="J72" s="10"/>
      <c r="K72" s="10"/>
      <c r="L72" s="21"/>
      <c r="M72" s="10"/>
      <c r="N72" s="10"/>
      <c r="O72" s="10"/>
      <c r="P72" s="10"/>
      <c r="Q72" s="26"/>
      <c r="R72" s="10"/>
      <c r="S72" s="10"/>
      <c r="T72" s="24"/>
      <c r="U72" s="10"/>
      <c r="V72" s="25"/>
      <c r="W72" s="10"/>
      <c r="X72" s="27"/>
      <c r="Y72" s="22"/>
      <c r="Z72" s="22"/>
      <c r="AA72" s="22"/>
      <c r="AB72" s="10"/>
      <c r="AI72" s="36"/>
      <c r="AJ72" s="36"/>
      <c r="AK72" s="36"/>
      <c r="AL72" s="36"/>
      <c r="AM72" s="36"/>
    </row>
    <row r="73" spans="1:39" s="35" customFormat="1" ht="13.5" customHeight="1">
      <c r="A73" s="21"/>
      <c r="B73" s="21"/>
      <c r="C73" s="21"/>
      <c r="D73" s="28"/>
      <c r="E73" s="21"/>
      <c r="F73" s="21"/>
      <c r="G73" s="21"/>
      <c r="H73" s="21"/>
      <c r="I73" s="21"/>
      <c r="J73" s="10"/>
      <c r="K73" s="10"/>
      <c r="L73" s="21"/>
      <c r="M73" s="10"/>
      <c r="N73" s="10"/>
      <c r="O73" s="10"/>
      <c r="P73" s="10"/>
      <c r="Q73" s="26"/>
      <c r="R73" s="10"/>
      <c r="S73" s="10"/>
      <c r="T73" s="24"/>
      <c r="U73" s="10"/>
      <c r="V73" s="25"/>
      <c r="W73" s="10"/>
      <c r="X73" s="27"/>
      <c r="Y73" s="22"/>
      <c r="Z73" s="22"/>
      <c r="AA73" s="22"/>
      <c r="AB73" s="10"/>
      <c r="AI73" s="36"/>
      <c r="AJ73" s="36"/>
      <c r="AK73" s="36"/>
      <c r="AL73" s="36"/>
      <c r="AM73" s="36"/>
    </row>
    <row r="74" spans="1:39" s="37" customFormat="1">
      <c r="A74" s="21"/>
      <c r="B74" s="21"/>
      <c r="C74" s="21"/>
      <c r="D74" s="28"/>
      <c r="E74" s="21"/>
      <c r="F74" s="21"/>
      <c r="G74" s="21"/>
      <c r="H74" s="21"/>
      <c r="I74" s="21"/>
      <c r="J74" s="10"/>
      <c r="K74" s="10"/>
      <c r="L74" s="21"/>
      <c r="M74" s="10"/>
      <c r="N74" s="10"/>
      <c r="O74" s="10"/>
      <c r="P74" s="10"/>
      <c r="Q74" s="26"/>
      <c r="R74" s="10"/>
      <c r="S74" s="10"/>
      <c r="T74" s="24"/>
      <c r="U74" s="10"/>
      <c r="V74" s="25"/>
      <c r="W74" s="10"/>
      <c r="X74" s="27"/>
      <c r="Y74" s="22"/>
      <c r="Z74" s="22"/>
      <c r="AA74" s="22"/>
      <c r="AB74" s="10"/>
      <c r="AI74" s="38"/>
      <c r="AJ74" s="38"/>
      <c r="AK74" s="38"/>
      <c r="AL74" s="38"/>
      <c r="AM74" s="38"/>
    </row>
    <row r="75" spans="1:39" s="37" customFormat="1">
      <c r="A75" s="21"/>
      <c r="B75" s="21"/>
      <c r="C75" s="21"/>
      <c r="D75" s="28"/>
      <c r="E75" s="21"/>
      <c r="F75" s="21"/>
      <c r="G75" s="21"/>
      <c r="H75" s="21"/>
      <c r="I75" s="21"/>
      <c r="J75" s="10"/>
      <c r="K75" s="10"/>
      <c r="L75" s="21"/>
      <c r="M75" s="10"/>
      <c r="N75" s="10"/>
      <c r="O75" s="10"/>
      <c r="P75" s="10"/>
      <c r="Q75" s="26"/>
      <c r="R75" s="10"/>
      <c r="S75" s="10"/>
      <c r="T75" s="24"/>
      <c r="U75" s="10"/>
      <c r="V75" s="25"/>
      <c r="W75" s="10"/>
      <c r="X75" s="27"/>
      <c r="Y75" s="22"/>
      <c r="Z75" s="22"/>
      <c r="AA75" s="22"/>
      <c r="AB75" s="10"/>
      <c r="AI75" s="38"/>
      <c r="AJ75" s="38"/>
      <c r="AK75" s="38"/>
      <c r="AL75" s="38"/>
      <c r="AM75" s="38"/>
    </row>
    <row r="76" spans="1:39" s="37" customFormat="1">
      <c r="A76" s="21"/>
      <c r="B76" s="21"/>
      <c r="C76" s="21"/>
      <c r="D76" s="28"/>
      <c r="E76" s="21"/>
      <c r="F76" s="21"/>
      <c r="G76" s="21"/>
      <c r="H76" s="21"/>
      <c r="I76" s="21"/>
      <c r="J76" s="10"/>
      <c r="K76" s="10"/>
      <c r="L76" s="21"/>
      <c r="M76" s="10"/>
      <c r="N76" s="10"/>
      <c r="O76" s="10"/>
      <c r="P76" s="10"/>
      <c r="Q76" s="26"/>
      <c r="R76" s="10"/>
      <c r="S76" s="10"/>
      <c r="T76" s="24"/>
      <c r="U76" s="10"/>
      <c r="V76" s="25"/>
      <c r="W76" s="10"/>
      <c r="X76" s="27"/>
      <c r="Y76" s="22"/>
      <c r="Z76" s="22"/>
      <c r="AA76" s="22"/>
      <c r="AB76" s="10"/>
      <c r="AI76" s="38"/>
      <c r="AJ76" s="38"/>
      <c r="AK76" s="38"/>
      <c r="AL76" s="38"/>
      <c r="AM76" s="38"/>
    </row>
    <row r="77" spans="1:39">
      <c r="A77" s="21"/>
      <c r="B77" s="21"/>
      <c r="C77" s="21"/>
      <c r="D77" s="28"/>
      <c r="E77" s="21"/>
      <c r="F77" s="21"/>
      <c r="G77" s="21"/>
      <c r="H77" s="21"/>
      <c r="I77" s="21"/>
      <c r="L77" s="21"/>
      <c r="Q77" s="26"/>
      <c r="V77" s="25"/>
      <c r="X77" s="27"/>
      <c r="Y77" s="22"/>
      <c r="Z77" s="22"/>
      <c r="AA77" s="22"/>
    </row>
    <row r="78" spans="1:39">
      <c r="A78" s="21"/>
      <c r="B78" s="21"/>
      <c r="C78" s="21"/>
      <c r="D78" s="28"/>
      <c r="E78" s="21"/>
      <c r="F78" s="21"/>
      <c r="G78" s="21"/>
      <c r="H78" s="21"/>
      <c r="I78" s="21"/>
      <c r="L78" s="21"/>
      <c r="Q78" s="26"/>
      <c r="V78" s="25"/>
      <c r="X78" s="27"/>
      <c r="Y78" s="22"/>
      <c r="Z78" s="22"/>
      <c r="AA78" s="22"/>
    </row>
    <row r="79" spans="1:39">
      <c r="A79" s="21"/>
      <c r="B79" s="21"/>
      <c r="C79" s="21"/>
      <c r="D79" s="28"/>
      <c r="E79" s="21"/>
      <c r="F79" s="21"/>
      <c r="G79" s="21"/>
      <c r="H79" s="21"/>
      <c r="I79" s="21"/>
      <c r="L79" s="21"/>
      <c r="Q79" s="26"/>
      <c r="V79" s="25"/>
      <c r="X79" s="27"/>
      <c r="Y79" s="22"/>
      <c r="Z79" s="22"/>
      <c r="AA79" s="22"/>
    </row>
    <row r="80" spans="1:39">
      <c r="A80" s="21"/>
      <c r="B80" s="21"/>
      <c r="C80" s="21"/>
      <c r="D80" s="28"/>
      <c r="E80" s="21"/>
      <c r="F80" s="21"/>
      <c r="G80" s="21"/>
      <c r="H80" s="21"/>
      <c r="I80" s="21"/>
      <c r="L80" s="21"/>
      <c r="Q80" s="26"/>
      <c r="V80" s="25"/>
      <c r="X80" s="27"/>
      <c r="Y80" s="22"/>
      <c r="Z80" s="22"/>
      <c r="AA80" s="22"/>
    </row>
    <row r="81" spans="1:27">
      <c r="A81" s="21"/>
      <c r="B81" s="21"/>
      <c r="C81" s="21"/>
      <c r="D81" s="28"/>
      <c r="E81" s="21"/>
      <c r="F81" s="21"/>
      <c r="G81" s="21"/>
      <c r="H81" s="21"/>
      <c r="I81" s="21"/>
      <c r="L81" s="21"/>
      <c r="Q81" s="26"/>
      <c r="V81" s="25"/>
      <c r="X81" s="27"/>
      <c r="Y81" s="22"/>
      <c r="Z81" s="22"/>
      <c r="AA81" s="22"/>
    </row>
    <row r="82" spans="1:27">
      <c r="A82" s="21"/>
      <c r="B82" s="21"/>
      <c r="C82" s="21"/>
      <c r="D82" s="28"/>
      <c r="E82" s="21"/>
      <c r="F82" s="21"/>
      <c r="G82" s="21"/>
      <c r="H82" s="21"/>
      <c r="I82" s="21"/>
      <c r="L82" s="21"/>
      <c r="Q82" s="26"/>
      <c r="V82" s="25"/>
      <c r="X82" s="27"/>
      <c r="Y82" s="22"/>
      <c r="AA82" s="22"/>
    </row>
    <row r="83" spans="1:27">
      <c r="A83" s="21"/>
      <c r="B83" s="21"/>
      <c r="C83" s="21"/>
      <c r="D83" s="28"/>
      <c r="E83" s="21"/>
      <c r="F83" s="21"/>
      <c r="G83" s="21"/>
      <c r="H83" s="21"/>
      <c r="I83" s="21"/>
      <c r="L83" s="21"/>
      <c r="Q83" s="26"/>
      <c r="V83" s="25"/>
      <c r="X83" s="27"/>
      <c r="Y83" s="22"/>
      <c r="AA83" s="22"/>
    </row>
    <row r="84" spans="1:27">
      <c r="A84" s="21"/>
      <c r="B84" s="21"/>
      <c r="C84" s="21"/>
      <c r="D84" s="28"/>
      <c r="E84" s="21"/>
      <c r="F84" s="21"/>
      <c r="G84" s="21"/>
      <c r="H84" s="21"/>
      <c r="I84" s="21"/>
      <c r="L84" s="21"/>
      <c r="Q84" s="26"/>
      <c r="V84" s="25"/>
      <c r="X84" s="27"/>
      <c r="Y84" s="22"/>
      <c r="AA84" s="22"/>
    </row>
    <row r="85" spans="1:27">
      <c r="A85" s="21"/>
      <c r="B85" s="21"/>
      <c r="C85" s="21"/>
      <c r="D85" s="28"/>
      <c r="E85" s="21"/>
      <c r="F85" s="21"/>
      <c r="G85" s="21"/>
      <c r="H85" s="21"/>
      <c r="I85" s="21"/>
      <c r="L85" s="21"/>
      <c r="Q85" s="26"/>
      <c r="V85" s="25"/>
      <c r="X85" s="27"/>
      <c r="Y85" s="22"/>
      <c r="AA85" s="22"/>
    </row>
    <row r="86" spans="1:27">
      <c r="A86" s="21"/>
      <c r="B86" s="21"/>
      <c r="C86" s="21"/>
      <c r="D86" s="28"/>
      <c r="E86" s="21"/>
      <c r="F86" s="21"/>
      <c r="G86" s="21"/>
      <c r="H86" s="21"/>
      <c r="I86" s="21"/>
      <c r="L86" s="21"/>
      <c r="Q86" s="26"/>
      <c r="V86" s="25"/>
      <c r="X86" s="27"/>
      <c r="Y86" s="22"/>
      <c r="AA86" s="22"/>
    </row>
    <row r="87" spans="1:27">
      <c r="A87" s="21"/>
      <c r="B87" s="21"/>
      <c r="C87" s="21"/>
      <c r="D87" s="28"/>
      <c r="E87" s="21"/>
      <c r="F87" s="21"/>
      <c r="G87" s="21"/>
      <c r="H87" s="21"/>
      <c r="I87" s="21"/>
      <c r="L87" s="21"/>
      <c r="Q87" s="26"/>
      <c r="V87" s="25"/>
      <c r="X87" s="27"/>
      <c r="Y87" s="22"/>
      <c r="AA87" s="22"/>
    </row>
    <row r="88" spans="1:27">
      <c r="A88" s="21"/>
      <c r="B88" s="21"/>
      <c r="C88" s="21"/>
      <c r="D88" s="28"/>
      <c r="E88" s="21"/>
      <c r="F88" s="21"/>
      <c r="G88" s="21"/>
      <c r="H88" s="21"/>
      <c r="I88" s="21"/>
      <c r="L88" s="21"/>
      <c r="Q88" s="26"/>
      <c r="V88" s="25"/>
      <c r="X88" s="27"/>
      <c r="Y88" s="22"/>
      <c r="AA88" s="22"/>
    </row>
    <row r="89" spans="1:27">
      <c r="A89" s="21"/>
      <c r="B89" s="21"/>
      <c r="C89" s="21"/>
      <c r="D89" s="28"/>
      <c r="E89" s="21"/>
      <c r="F89" s="21"/>
      <c r="G89" s="21"/>
      <c r="H89" s="21"/>
      <c r="I89" s="21"/>
      <c r="L89" s="21"/>
      <c r="Q89" s="26"/>
      <c r="V89" s="25"/>
      <c r="X89" s="27"/>
      <c r="Y89" s="22"/>
      <c r="AA89" s="22"/>
    </row>
    <row r="90" spans="1:27">
      <c r="A90" s="21"/>
      <c r="B90" s="21"/>
      <c r="C90" s="21"/>
      <c r="D90" s="28"/>
      <c r="E90" s="21"/>
      <c r="F90" s="21"/>
      <c r="G90" s="21"/>
      <c r="H90" s="21"/>
      <c r="I90" s="21"/>
      <c r="L90" s="21"/>
      <c r="Q90" s="26"/>
      <c r="V90" s="25"/>
      <c r="X90" s="27"/>
      <c r="Y90" s="22"/>
      <c r="AA90" s="22"/>
    </row>
    <row r="91" spans="1:27">
      <c r="A91" s="21"/>
      <c r="B91" s="21"/>
      <c r="C91" s="21"/>
      <c r="D91" s="28"/>
      <c r="E91" s="21"/>
      <c r="F91" s="21"/>
      <c r="G91" s="21"/>
      <c r="H91" s="21"/>
      <c r="I91" s="21"/>
      <c r="L91" s="21"/>
      <c r="Q91" s="26"/>
      <c r="V91" s="25"/>
      <c r="X91" s="27"/>
      <c r="Y91" s="22"/>
      <c r="AA91" s="22"/>
    </row>
    <row r="92" spans="1:27">
      <c r="A92" s="21"/>
      <c r="B92" s="21"/>
      <c r="C92" s="21"/>
      <c r="D92" s="28"/>
      <c r="E92" s="21"/>
      <c r="F92" s="21"/>
      <c r="G92" s="21"/>
      <c r="H92" s="21"/>
      <c r="I92" s="21"/>
      <c r="L92" s="21"/>
      <c r="Q92" s="26"/>
      <c r="V92" s="25"/>
      <c r="X92" s="27"/>
      <c r="Y92" s="22"/>
      <c r="AA92" s="22"/>
    </row>
    <row r="93" spans="1:27">
      <c r="A93" s="21"/>
      <c r="B93" s="21"/>
      <c r="C93" s="21"/>
      <c r="D93" s="28"/>
      <c r="E93" s="21"/>
      <c r="F93" s="21"/>
      <c r="G93" s="21"/>
      <c r="H93" s="21"/>
      <c r="I93" s="21"/>
      <c r="L93" s="21"/>
      <c r="Q93" s="26"/>
      <c r="V93" s="25"/>
      <c r="X93" s="27"/>
      <c r="Y93" s="22"/>
      <c r="AA93" s="22"/>
    </row>
    <row r="94" spans="1:27">
      <c r="A94" s="21"/>
      <c r="B94" s="21"/>
      <c r="C94" s="21"/>
      <c r="D94" s="28"/>
      <c r="E94" s="21"/>
      <c r="F94" s="21"/>
      <c r="G94" s="21"/>
      <c r="H94" s="21"/>
      <c r="I94" s="21"/>
      <c r="L94" s="21"/>
      <c r="Q94" s="26"/>
      <c r="V94" s="25"/>
      <c r="X94" s="27"/>
      <c r="Y94" s="22"/>
      <c r="AA94" s="22"/>
    </row>
    <row r="95" spans="1:27">
      <c r="A95" s="21"/>
      <c r="B95" s="21"/>
      <c r="C95" s="21"/>
      <c r="D95" s="28"/>
      <c r="E95" s="21"/>
      <c r="F95" s="21"/>
      <c r="G95" s="21"/>
      <c r="H95" s="21"/>
      <c r="I95" s="21"/>
      <c r="L95" s="21"/>
      <c r="Q95" s="26"/>
      <c r="V95" s="25"/>
      <c r="X95" s="27"/>
      <c r="Y95" s="22"/>
      <c r="AA95" s="22"/>
    </row>
    <row r="96" spans="1:27">
      <c r="A96" s="21"/>
      <c r="B96" s="21"/>
      <c r="C96" s="21"/>
      <c r="D96" s="28"/>
      <c r="E96" s="21"/>
      <c r="F96" s="21"/>
      <c r="G96" s="21"/>
      <c r="H96" s="21"/>
      <c r="I96" s="21"/>
      <c r="L96" s="21"/>
      <c r="Q96" s="26"/>
      <c r="V96" s="25"/>
      <c r="X96" s="27"/>
      <c r="Y96" s="22"/>
      <c r="AA96" s="22"/>
    </row>
    <row r="97" spans="1:27">
      <c r="A97" s="21"/>
      <c r="B97" s="21"/>
      <c r="C97" s="21"/>
      <c r="D97" s="28"/>
      <c r="E97" s="21"/>
      <c r="F97" s="21"/>
      <c r="G97" s="21"/>
      <c r="H97" s="21"/>
      <c r="I97" s="21"/>
      <c r="L97" s="21"/>
      <c r="Q97" s="26"/>
      <c r="V97" s="25"/>
      <c r="AA97" s="22"/>
    </row>
    <row r="98" spans="1:27">
      <c r="A98" s="21"/>
      <c r="B98" s="21"/>
      <c r="C98" s="21"/>
      <c r="D98" s="28"/>
      <c r="E98" s="21"/>
      <c r="F98" s="21"/>
      <c r="G98" s="21"/>
      <c r="H98" s="21"/>
      <c r="I98" s="21"/>
      <c r="L98" s="21"/>
      <c r="Q98" s="26"/>
      <c r="V98" s="25"/>
      <c r="AA98" s="22"/>
    </row>
    <row r="99" spans="1:27">
      <c r="A99" s="21"/>
      <c r="B99" s="21"/>
      <c r="C99" s="21"/>
      <c r="D99" s="28"/>
      <c r="E99" s="21"/>
      <c r="F99" s="21"/>
      <c r="G99" s="21"/>
      <c r="H99" s="21"/>
      <c r="I99" s="21"/>
      <c r="L99" s="21"/>
      <c r="Q99" s="26"/>
      <c r="V99" s="25"/>
      <c r="AA99" s="22"/>
    </row>
    <row r="100" spans="1:27">
      <c r="A100" s="21"/>
      <c r="B100" s="21"/>
      <c r="C100" s="21"/>
      <c r="D100" s="28"/>
      <c r="E100" s="21"/>
      <c r="F100" s="21"/>
      <c r="G100" s="21"/>
      <c r="H100" s="21"/>
      <c r="I100" s="21"/>
      <c r="L100" s="21"/>
      <c r="Q100" s="26"/>
      <c r="V100" s="25"/>
      <c r="AA100" s="22"/>
    </row>
    <row r="101" spans="1:27">
      <c r="A101" s="21"/>
      <c r="B101" s="21"/>
      <c r="C101" s="21"/>
      <c r="D101" s="28"/>
      <c r="E101" s="21"/>
      <c r="F101" s="21"/>
      <c r="G101" s="21"/>
      <c r="H101" s="21"/>
      <c r="I101" s="21"/>
      <c r="L101" s="21"/>
      <c r="Q101" s="26"/>
      <c r="V101" s="25"/>
      <c r="AA101" s="22"/>
    </row>
    <row r="102" spans="1:27">
      <c r="A102" s="21"/>
      <c r="B102" s="21"/>
      <c r="C102" s="21"/>
      <c r="D102" s="28"/>
      <c r="E102" s="21"/>
      <c r="F102" s="21"/>
      <c r="G102" s="21"/>
      <c r="H102" s="21"/>
      <c r="I102" s="21"/>
      <c r="L102" s="21"/>
      <c r="Q102" s="26"/>
      <c r="V102" s="25"/>
      <c r="AA102" s="22"/>
    </row>
    <row r="103" spans="1:27">
      <c r="A103" s="21"/>
      <c r="B103" s="21"/>
      <c r="C103" s="21"/>
      <c r="D103" s="28"/>
      <c r="E103" s="21"/>
      <c r="F103" s="21"/>
      <c r="G103" s="21"/>
      <c r="H103" s="21"/>
      <c r="I103" s="21"/>
      <c r="L103" s="21"/>
      <c r="Q103" s="26"/>
      <c r="V103" s="25"/>
      <c r="AA103" s="22"/>
    </row>
    <row r="104" spans="1:27">
      <c r="A104" s="21"/>
      <c r="B104" s="21"/>
      <c r="C104" s="21"/>
      <c r="D104" s="28"/>
      <c r="E104" s="21"/>
      <c r="F104" s="21"/>
      <c r="G104" s="21"/>
      <c r="H104" s="21"/>
      <c r="I104" s="21"/>
      <c r="L104" s="21"/>
      <c r="Q104" s="26"/>
      <c r="V104" s="25"/>
      <c r="AA104" s="22"/>
    </row>
    <row r="105" spans="1:27">
      <c r="A105" s="21"/>
      <c r="B105" s="21"/>
      <c r="C105" s="21"/>
      <c r="D105" s="28"/>
      <c r="E105" s="21"/>
      <c r="F105" s="21"/>
      <c r="G105" s="21"/>
      <c r="H105" s="21"/>
      <c r="I105" s="21"/>
      <c r="L105" s="21"/>
      <c r="Q105" s="26"/>
      <c r="V105" s="25"/>
      <c r="AA105" s="22"/>
    </row>
    <row r="106" spans="1:27">
      <c r="A106" s="21"/>
      <c r="B106" s="21"/>
      <c r="C106" s="21"/>
      <c r="D106" s="28"/>
      <c r="E106" s="21"/>
      <c r="F106" s="21"/>
      <c r="G106" s="21"/>
      <c r="H106" s="21"/>
      <c r="I106" s="21"/>
      <c r="L106" s="21"/>
      <c r="Q106" s="26"/>
      <c r="V106" s="25"/>
      <c r="AA106" s="22"/>
    </row>
    <row r="107" spans="1:27">
      <c r="A107" s="21"/>
      <c r="B107" s="21"/>
      <c r="C107" s="21"/>
      <c r="D107" s="28"/>
      <c r="E107" s="21"/>
      <c r="F107" s="21"/>
      <c r="G107" s="21"/>
      <c r="H107" s="21"/>
      <c r="I107" s="21"/>
      <c r="L107" s="21"/>
      <c r="Q107" s="26"/>
      <c r="V107" s="25"/>
      <c r="AA107" s="22"/>
    </row>
    <row r="108" spans="1:27">
      <c r="A108" s="21"/>
      <c r="B108" s="21"/>
      <c r="C108" s="21"/>
      <c r="D108" s="28"/>
      <c r="E108" s="21"/>
      <c r="F108" s="21"/>
      <c r="G108" s="21"/>
      <c r="H108" s="21"/>
      <c r="I108" s="21"/>
      <c r="L108" s="21"/>
      <c r="Q108" s="26"/>
      <c r="V108" s="25"/>
      <c r="AA108" s="22"/>
    </row>
    <row r="109" spans="1:27">
      <c r="A109" s="21"/>
      <c r="B109" s="21"/>
      <c r="C109" s="21"/>
      <c r="D109" s="28"/>
      <c r="E109" s="21"/>
      <c r="F109" s="21"/>
      <c r="G109" s="21"/>
      <c r="H109" s="21"/>
      <c r="I109" s="21"/>
      <c r="L109" s="21"/>
      <c r="Q109" s="26"/>
      <c r="V109" s="25"/>
      <c r="AA109" s="22"/>
    </row>
    <row r="110" spans="1:27">
      <c r="A110" s="21"/>
      <c r="B110" s="21"/>
      <c r="C110" s="21"/>
      <c r="D110" s="28"/>
      <c r="E110" s="21"/>
      <c r="F110" s="21"/>
      <c r="G110" s="21"/>
      <c r="H110" s="21"/>
      <c r="I110" s="21"/>
      <c r="L110" s="21"/>
      <c r="Q110" s="26"/>
      <c r="V110" s="25"/>
      <c r="AA110" s="22"/>
    </row>
    <row r="111" spans="1:27">
      <c r="A111" s="21"/>
      <c r="B111" s="21"/>
      <c r="C111" s="21"/>
      <c r="D111" s="28"/>
      <c r="E111" s="21"/>
      <c r="F111" s="21"/>
      <c r="G111" s="21"/>
      <c r="H111" s="21"/>
      <c r="I111" s="21"/>
      <c r="L111" s="21"/>
      <c r="Q111" s="26"/>
      <c r="V111" s="25"/>
      <c r="AA111" s="22"/>
    </row>
    <row r="112" spans="1:27">
      <c r="A112" s="21"/>
      <c r="B112" s="21"/>
      <c r="C112" s="21"/>
      <c r="D112" s="28"/>
      <c r="E112" s="21"/>
      <c r="F112" s="21"/>
      <c r="G112" s="21"/>
      <c r="H112" s="21"/>
      <c r="I112" s="21"/>
      <c r="L112" s="21"/>
      <c r="Q112" s="26"/>
      <c r="V112" s="25"/>
      <c r="AA112" s="22"/>
    </row>
    <row r="113" spans="1:27">
      <c r="A113" s="21"/>
      <c r="B113" s="21"/>
      <c r="C113" s="21"/>
      <c r="D113" s="28"/>
      <c r="E113" s="21"/>
      <c r="F113" s="21"/>
      <c r="G113" s="21"/>
      <c r="H113" s="21"/>
      <c r="I113" s="21"/>
      <c r="L113" s="21"/>
      <c r="Q113" s="26"/>
      <c r="V113" s="25"/>
      <c r="AA113" s="22"/>
    </row>
    <row r="114" spans="1:27">
      <c r="A114" s="21"/>
      <c r="B114" s="21"/>
      <c r="C114" s="21"/>
      <c r="D114" s="28"/>
      <c r="E114" s="21"/>
      <c r="F114" s="21"/>
      <c r="G114" s="21"/>
      <c r="H114" s="21"/>
      <c r="I114" s="21"/>
      <c r="L114" s="21"/>
      <c r="Q114" s="26"/>
      <c r="V114" s="25"/>
      <c r="AA114" s="22"/>
    </row>
    <row r="115" spans="1:27">
      <c r="A115" s="21"/>
      <c r="B115" s="21"/>
      <c r="C115" s="21"/>
      <c r="D115" s="28"/>
      <c r="E115" s="21"/>
      <c r="F115" s="21"/>
      <c r="G115" s="21"/>
      <c r="H115" s="21"/>
      <c r="I115" s="21"/>
      <c r="L115" s="21"/>
      <c r="Q115" s="26"/>
      <c r="V115" s="25"/>
      <c r="AA115" s="22"/>
    </row>
    <row r="116" spans="1:27">
      <c r="A116" s="21"/>
      <c r="B116" s="21"/>
      <c r="C116" s="21"/>
      <c r="D116" s="28"/>
      <c r="E116" s="21"/>
      <c r="F116" s="21"/>
      <c r="G116" s="21"/>
      <c r="H116" s="21"/>
      <c r="I116" s="21"/>
      <c r="L116" s="21"/>
      <c r="Q116" s="26"/>
      <c r="V116" s="25"/>
      <c r="AA116" s="22"/>
    </row>
    <row r="117" spans="1:27">
      <c r="A117" s="21"/>
      <c r="B117" s="21"/>
      <c r="C117" s="21"/>
      <c r="D117" s="28"/>
      <c r="E117" s="21"/>
      <c r="F117" s="21"/>
      <c r="G117" s="21"/>
      <c r="H117" s="21"/>
      <c r="I117" s="21"/>
      <c r="L117" s="21"/>
      <c r="Q117" s="26"/>
      <c r="V117" s="25"/>
      <c r="AA117" s="22"/>
    </row>
    <row r="118" spans="1:27">
      <c r="A118" s="21"/>
      <c r="B118" s="21"/>
      <c r="C118" s="21"/>
      <c r="D118" s="28"/>
      <c r="E118" s="21"/>
      <c r="F118" s="21"/>
      <c r="G118" s="21"/>
      <c r="H118" s="21"/>
      <c r="I118" s="21"/>
      <c r="L118" s="21"/>
      <c r="Q118" s="26"/>
      <c r="V118" s="25"/>
      <c r="AA118" s="22"/>
    </row>
    <row r="119" spans="1:27">
      <c r="A119" s="21"/>
      <c r="B119" s="21"/>
      <c r="C119" s="21"/>
      <c r="D119" s="28"/>
      <c r="E119" s="21"/>
      <c r="F119" s="21"/>
      <c r="G119" s="21"/>
      <c r="H119" s="21"/>
      <c r="I119" s="21"/>
      <c r="L119" s="21"/>
      <c r="Q119" s="26"/>
      <c r="V119" s="25"/>
      <c r="AA119" s="22"/>
    </row>
    <row r="120" spans="1:27">
      <c r="A120" s="21"/>
      <c r="B120" s="21"/>
      <c r="C120" s="21"/>
      <c r="D120" s="28"/>
      <c r="E120" s="21"/>
      <c r="F120" s="21"/>
      <c r="G120" s="21"/>
      <c r="H120" s="21"/>
      <c r="I120" s="21"/>
      <c r="L120" s="21"/>
      <c r="Q120" s="26"/>
      <c r="V120" s="25"/>
      <c r="AA120" s="22"/>
    </row>
    <row r="121" spans="1:27">
      <c r="A121" s="21"/>
      <c r="B121" s="21"/>
      <c r="C121" s="21"/>
      <c r="D121" s="28"/>
      <c r="E121" s="21"/>
      <c r="F121" s="21"/>
      <c r="G121" s="21"/>
      <c r="H121" s="21"/>
      <c r="I121" s="21"/>
      <c r="L121" s="21"/>
      <c r="Q121" s="26"/>
      <c r="V121" s="25"/>
      <c r="AA121" s="22"/>
    </row>
    <row r="122" spans="1:27">
      <c r="A122" s="21"/>
      <c r="B122" s="21"/>
      <c r="C122" s="21"/>
      <c r="D122" s="28"/>
      <c r="E122" s="21"/>
      <c r="F122" s="21"/>
      <c r="G122" s="21"/>
      <c r="H122" s="21"/>
      <c r="I122" s="21"/>
      <c r="L122" s="21"/>
      <c r="Q122" s="26"/>
      <c r="V122" s="25"/>
      <c r="AA122" s="22"/>
    </row>
    <row r="123" spans="1:27">
      <c r="A123" s="21"/>
      <c r="B123" s="21"/>
      <c r="C123" s="21"/>
      <c r="D123" s="28"/>
      <c r="E123" s="21"/>
      <c r="F123" s="21"/>
      <c r="G123" s="21"/>
      <c r="H123" s="21"/>
      <c r="I123" s="21"/>
      <c r="L123" s="21"/>
      <c r="Q123" s="26"/>
      <c r="V123" s="25"/>
      <c r="AA123" s="22"/>
    </row>
    <row r="124" spans="1:27">
      <c r="A124" s="21"/>
      <c r="B124" s="21"/>
      <c r="C124" s="21"/>
      <c r="D124" s="28"/>
      <c r="E124" s="21"/>
      <c r="F124" s="21"/>
      <c r="G124" s="21"/>
      <c r="H124" s="21"/>
      <c r="I124" s="21"/>
      <c r="L124" s="21"/>
      <c r="Q124" s="26"/>
      <c r="V124" s="25"/>
      <c r="AA124" s="22"/>
    </row>
    <row r="125" spans="1:27">
      <c r="A125" s="21"/>
      <c r="B125" s="21"/>
      <c r="C125" s="21"/>
      <c r="D125" s="28"/>
      <c r="E125" s="21"/>
      <c r="F125" s="21"/>
      <c r="G125" s="21"/>
      <c r="H125" s="21"/>
      <c r="I125" s="21"/>
      <c r="L125" s="21"/>
      <c r="Q125" s="26"/>
      <c r="V125" s="25"/>
      <c r="AA125" s="22"/>
    </row>
    <row r="126" spans="1:27">
      <c r="A126" s="21"/>
      <c r="B126" s="21"/>
      <c r="C126" s="21"/>
      <c r="D126" s="28"/>
      <c r="E126" s="21"/>
      <c r="F126" s="21"/>
      <c r="G126" s="21"/>
      <c r="H126" s="21"/>
      <c r="I126" s="21"/>
      <c r="L126" s="21"/>
      <c r="Q126" s="26"/>
      <c r="V126" s="25"/>
      <c r="AA126" s="22"/>
    </row>
    <row r="127" spans="1:27">
      <c r="A127" s="21"/>
      <c r="B127" s="21"/>
      <c r="C127" s="21"/>
      <c r="D127" s="28"/>
      <c r="E127" s="21"/>
      <c r="F127" s="21"/>
      <c r="G127" s="21"/>
      <c r="H127" s="21"/>
      <c r="I127" s="21"/>
      <c r="L127" s="21"/>
      <c r="Q127" s="26"/>
      <c r="V127" s="25"/>
      <c r="AA127" s="22"/>
    </row>
    <row r="128" spans="1:27">
      <c r="A128" s="21"/>
      <c r="B128" s="21"/>
      <c r="C128" s="21"/>
      <c r="D128" s="28"/>
      <c r="E128" s="21"/>
      <c r="F128" s="21"/>
      <c r="G128" s="21"/>
      <c r="H128" s="21"/>
      <c r="I128" s="21"/>
      <c r="L128" s="21"/>
      <c r="Q128" s="26"/>
      <c r="V128" s="25"/>
      <c r="AA128" s="22"/>
    </row>
    <row r="129" spans="1:27">
      <c r="A129" s="21"/>
      <c r="B129" s="21"/>
      <c r="C129" s="21"/>
      <c r="D129" s="28"/>
      <c r="E129" s="30"/>
      <c r="F129" s="30"/>
      <c r="G129" s="30"/>
      <c r="H129" s="30"/>
      <c r="I129" s="30"/>
      <c r="Q129" s="26"/>
      <c r="AA129" s="22"/>
    </row>
    <row r="130" spans="1:27">
      <c r="A130" s="21"/>
      <c r="B130" s="21"/>
      <c r="C130" s="21"/>
      <c r="D130" s="28"/>
      <c r="E130" s="30"/>
      <c r="F130" s="30"/>
      <c r="G130" s="30"/>
      <c r="H130" s="30"/>
      <c r="I130" s="30"/>
      <c r="Q130" s="26"/>
      <c r="AA130" s="22"/>
    </row>
    <row r="131" spans="1:27">
      <c r="A131" s="21"/>
      <c r="B131" s="21"/>
      <c r="C131" s="21"/>
      <c r="D131" s="28"/>
      <c r="E131" s="30"/>
      <c r="F131" s="30"/>
      <c r="G131" s="30"/>
      <c r="H131" s="30"/>
      <c r="I131" s="30"/>
      <c r="Q131" s="26"/>
      <c r="AA131" s="22"/>
    </row>
    <row r="132" spans="1:27">
      <c r="A132" s="21"/>
      <c r="B132" s="21"/>
      <c r="C132" s="21"/>
      <c r="D132" s="28"/>
      <c r="E132" s="30"/>
      <c r="F132" s="30"/>
      <c r="G132" s="30"/>
      <c r="H132" s="30"/>
      <c r="I132" s="30"/>
      <c r="Q132" s="26"/>
      <c r="AA132" s="22"/>
    </row>
    <row r="133" spans="1:27">
      <c r="A133" s="21"/>
      <c r="B133" s="21"/>
      <c r="C133" s="21"/>
      <c r="D133" s="28"/>
      <c r="E133" s="30"/>
      <c r="F133" s="30"/>
      <c r="G133" s="30"/>
      <c r="H133" s="30"/>
      <c r="I133" s="30"/>
      <c r="Q133" s="26"/>
      <c r="AA133" s="22"/>
    </row>
    <row r="134" spans="1:27">
      <c r="A134" s="21"/>
      <c r="B134" s="21"/>
      <c r="C134" s="21"/>
      <c r="D134" s="28"/>
      <c r="E134" s="30"/>
      <c r="F134" s="30"/>
      <c r="G134" s="30"/>
      <c r="H134" s="30"/>
      <c r="I134" s="30"/>
      <c r="Q134" s="26"/>
      <c r="AA134" s="22"/>
    </row>
    <row r="135" spans="1:27">
      <c r="A135" s="21"/>
      <c r="B135" s="21"/>
      <c r="C135" s="21"/>
      <c r="D135" s="28"/>
      <c r="E135" s="30"/>
      <c r="F135" s="30"/>
      <c r="G135" s="30"/>
      <c r="H135" s="30"/>
      <c r="I135" s="30"/>
      <c r="Q135" s="26"/>
      <c r="AA135" s="22"/>
    </row>
    <row r="136" spans="1:27">
      <c r="A136" s="21"/>
      <c r="B136" s="21"/>
      <c r="C136" s="21"/>
      <c r="D136" s="28"/>
      <c r="E136" s="30"/>
      <c r="F136" s="30"/>
      <c r="G136" s="30"/>
      <c r="H136" s="30"/>
      <c r="I136" s="30"/>
      <c r="Q136" s="26"/>
      <c r="AA136" s="22"/>
    </row>
    <row r="137" spans="1:27">
      <c r="A137" s="21"/>
      <c r="B137" s="21"/>
      <c r="C137" s="21"/>
      <c r="D137" s="28"/>
      <c r="E137" s="30"/>
      <c r="F137" s="30"/>
      <c r="G137" s="30"/>
      <c r="H137" s="30"/>
      <c r="I137" s="30"/>
      <c r="Q137" s="26"/>
      <c r="AA137" s="22"/>
    </row>
    <row r="138" spans="1:27" ht="18.75">
      <c r="A138" s="29"/>
      <c r="B138" s="30"/>
      <c r="C138" s="30"/>
      <c r="D138" s="31"/>
      <c r="E138" s="30"/>
      <c r="F138" s="30"/>
      <c r="G138" s="30"/>
      <c r="H138" s="30"/>
      <c r="I138" s="30"/>
      <c r="Q138" s="26"/>
      <c r="AA138" s="22"/>
    </row>
    <row r="139" spans="1:27" ht="18.75">
      <c r="A139" s="29"/>
      <c r="B139" s="30"/>
      <c r="C139" s="30"/>
      <c r="D139" s="31"/>
      <c r="E139" s="30"/>
      <c r="F139" s="30"/>
      <c r="G139" s="30"/>
      <c r="H139" s="30"/>
      <c r="I139" s="30"/>
      <c r="Q139" s="26"/>
    </row>
    <row r="140" spans="1:27" ht="18.75">
      <c r="A140" s="29"/>
      <c r="B140" s="30"/>
      <c r="C140" s="30"/>
      <c r="D140" s="31"/>
      <c r="E140" s="30"/>
      <c r="F140" s="30"/>
      <c r="G140" s="30"/>
      <c r="H140" s="30"/>
      <c r="I140" s="30"/>
      <c r="Q140" s="26"/>
    </row>
    <row r="141" spans="1:27" ht="18.75">
      <c r="A141" s="29"/>
      <c r="B141" s="30"/>
      <c r="C141" s="30"/>
      <c r="D141" s="31"/>
      <c r="E141" s="30"/>
      <c r="F141" s="30"/>
      <c r="G141" s="30"/>
      <c r="H141" s="30"/>
      <c r="I141" s="30"/>
      <c r="Q141" s="26"/>
    </row>
    <row r="142" spans="1:27" ht="18.75">
      <c r="A142" s="29"/>
      <c r="B142" s="30"/>
      <c r="C142" s="30"/>
      <c r="D142" s="31"/>
      <c r="E142" s="30"/>
      <c r="F142" s="30"/>
      <c r="G142" s="30"/>
      <c r="H142" s="30"/>
      <c r="I142" s="30"/>
      <c r="Q142" s="26"/>
    </row>
    <row r="143" spans="1:27" ht="18.75">
      <c r="A143" s="29"/>
      <c r="B143" s="30"/>
      <c r="C143" s="30"/>
      <c r="D143" s="31"/>
      <c r="E143" s="30"/>
      <c r="F143" s="30"/>
      <c r="G143" s="30"/>
      <c r="H143" s="30"/>
      <c r="I143" s="30"/>
      <c r="Q143" s="26"/>
    </row>
    <row r="144" spans="1:27" ht="18.75">
      <c r="A144" s="29"/>
      <c r="B144" s="30"/>
      <c r="C144" s="30"/>
      <c r="D144" s="31"/>
      <c r="E144" s="30"/>
      <c r="F144" s="30"/>
      <c r="G144" s="30"/>
      <c r="H144" s="30"/>
      <c r="I144" s="30"/>
      <c r="Q144" s="26"/>
    </row>
    <row r="145" spans="1:17" ht="18.75">
      <c r="A145" s="29"/>
      <c r="B145" s="30"/>
      <c r="C145" s="30"/>
      <c r="D145" s="31"/>
      <c r="E145" s="30"/>
      <c r="F145" s="30"/>
      <c r="G145" s="30"/>
      <c r="H145" s="30"/>
      <c r="I145" s="30"/>
      <c r="Q145" s="26"/>
    </row>
    <row r="146" spans="1:17" ht="18.75">
      <c r="A146" s="29"/>
      <c r="B146" s="30"/>
      <c r="C146" s="30"/>
      <c r="D146" s="31"/>
      <c r="E146" s="30"/>
      <c r="F146" s="30"/>
      <c r="G146" s="30"/>
      <c r="H146" s="30"/>
      <c r="I146" s="30"/>
      <c r="Q146" s="26"/>
    </row>
    <row r="147" spans="1:17" ht="18.75">
      <c r="A147" s="29"/>
      <c r="B147" s="30"/>
      <c r="C147" s="30"/>
      <c r="D147" s="31"/>
      <c r="E147" s="30"/>
      <c r="F147" s="30"/>
      <c r="G147" s="30"/>
      <c r="H147" s="30"/>
      <c r="I147" s="30"/>
      <c r="Q147" s="26"/>
    </row>
    <row r="148" spans="1:17" ht="18.75">
      <c r="A148" s="29"/>
      <c r="B148" s="30"/>
      <c r="C148" s="30"/>
      <c r="D148" s="31"/>
      <c r="E148" s="30"/>
      <c r="F148" s="30"/>
      <c r="G148" s="30"/>
      <c r="H148" s="30"/>
      <c r="I148" s="30"/>
      <c r="Q148" s="26"/>
    </row>
    <row r="149" spans="1:17" ht="18.75">
      <c r="A149" s="29"/>
      <c r="B149" s="30"/>
      <c r="C149" s="30"/>
      <c r="D149" s="31"/>
      <c r="E149" s="30"/>
      <c r="F149" s="30"/>
      <c r="G149" s="30"/>
      <c r="H149" s="30"/>
      <c r="I149" s="30"/>
      <c r="Q149" s="26"/>
    </row>
    <row r="150" spans="1:17" ht="18.75">
      <c r="A150" s="29"/>
      <c r="B150" s="30"/>
      <c r="C150" s="30"/>
      <c r="D150" s="31"/>
      <c r="E150" s="30"/>
      <c r="F150" s="30"/>
      <c r="G150" s="30"/>
      <c r="H150" s="30"/>
      <c r="I150" s="30"/>
      <c r="Q150" s="26"/>
    </row>
    <row r="151" spans="1:17" ht="18.75">
      <c r="A151" s="29"/>
      <c r="B151" s="30"/>
      <c r="C151" s="30"/>
      <c r="D151" s="31"/>
      <c r="E151" s="30"/>
      <c r="F151" s="30"/>
      <c r="G151" s="30"/>
      <c r="H151" s="30"/>
      <c r="I151" s="30"/>
      <c r="Q151" s="26"/>
    </row>
    <row r="152" spans="1:17" ht="18.75">
      <c r="A152" s="29"/>
      <c r="B152" s="30"/>
      <c r="C152" s="30"/>
      <c r="D152" s="31"/>
      <c r="E152" s="30"/>
      <c r="F152" s="30"/>
      <c r="G152" s="30"/>
      <c r="H152" s="30"/>
      <c r="I152" s="30"/>
      <c r="Q152" s="26"/>
    </row>
    <row r="153" spans="1:17" ht="18.75">
      <c r="A153" s="29"/>
      <c r="B153" s="30"/>
      <c r="C153" s="30"/>
      <c r="D153" s="31"/>
      <c r="E153" s="30"/>
      <c r="F153" s="30"/>
      <c r="G153" s="30"/>
      <c r="H153" s="30"/>
      <c r="I153" s="30"/>
      <c r="Q153" s="26"/>
    </row>
    <row r="154" spans="1:17" ht="18.75">
      <c r="A154" s="29"/>
      <c r="B154" s="30"/>
      <c r="C154" s="30"/>
      <c r="D154" s="31"/>
      <c r="E154" s="30"/>
      <c r="F154" s="30"/>
      <c r="G154" s="30"/>
      <c r="H154" s="30"/>
      <c r="I154" s="30"/>
      <c r="Q154" s="26"/>
    </row>
    <row r="155" spans="1:17" ht="18.75">
      <c r="A155" s="29"/>
      <c r="B155" s="30"/>
      <c r="C155" s="30"/>
      <c r="D155" s="31"/>
      <c r="E155" s="30"/>
      <c r="F155" s="30"/>
      <c r="G155" s="30"/>
      <c r="H155" s="30"/>
      <c r="I155" s="30"/>
      <c r="Q155" s="26"/>
    </row>
    <row r="156" spans="1:17" ht="18.75">
      <c r="A156" s="29"/>
      <c r="B156" s="30"/>
      <c r="C156" s="30"/>
      <c r="D156" s="31"/>
      <c r="E156" s="30"/>
      <c r="F156" s="30"/>
      <c r="G156" s="30"/>
      <c r="H156" s="30"/>
      <c r="I156" s="30"/>
      <c r="Q156" s="26"/>
    </row>
    <row r="157" spans="1:17" ht="18.75">
      <c r="A157" s="29"/>
      <c r="B157" s="30"/>
      <c r="C157" s="30"/>
      <c r="D157" s="31"/>
      <c r="E157" s="30"/>
      <c r="F157" s="30"/>
      <c r="G157" s="30"/>
      <c r="H157" s="30"/>
      <c r="I157" s="30"/>
      <c r="Q157" s="26"/>
    </row>
    <row r="158" spans="1:17" ht="18.75">
      <c r="A158" s="29"/>
      <c r="B158" s="30"/>
      <c r="C158" s="30"/>
      <c r="D158" s="31"/>
      <c r="E158" s="30"/>
      <c r="F158" s="30"/>
      <c r="G158" s="30"/>
      <c r="H158" s="30"/>
      <c r="I158" s="30"/>
      <c r="Q158" s="26"/>
    </row>
    <row r="159" spans="1:17" ht="18.75">
      <c r="A159" s="29"/>
      <c r="B159" s="30"/>
      <c r="C159" s="30"/>
      <c r="D159" s="31"/>
      <c r="E159" s="30"/>
      <c r="F159" s="30"/>
      <c r="G159" s="30"/>
      <c r="H159" s="30"/>
      <c r="I159" s="30"/>
      <c r="Q159" s="26"/>
    </row>
    <row r="160" spans="1:17" ht="18.75">
      <c r="A160" s="29"/>
      <c r="B160" s="30"/>
      <c r="C160" s="30"/>
      <c r="D160" s="31"/>
      <c r="E160" s="30"/>
      <c r="F160" s="30"/>
      <c r="G160" s="30"/>
      <c r="H160" s="30"/>
      <c r="I160" s="30"/>
      <c r="Q160" s="26"/>
    </row>
    <row r="161" spans="1:17" ht="18.75">
      <c r="A161" s="29"/>
      <c r="B161" s="30"/>
      <c r="C161" s="30"/>
      <c r="D161" s="31"/>
      <c r="E161" s="30"/>
      <c r="F161" s="30"/>
      <c r="G161" s="30"/>
      <c r="H161" s="30"/>
      <c r="I161" s="30"/>
      <c r="Q161" s="26"/>
    </row>
    <row r="162" spans="1:17" ht="18.75">
      <c r="A162" s="29"/>
      <c r="B162" s="30"/>
      <c r="C162" s="30"/>
      <c r="D162" s="31"/>
      <c r="E162" s="30"/>
      <c r="F162" s="30"/>
      <c r="G162" s="30"/>
      <c r="H162" s="30"/>
      <c r="I162" s="30"/>
      <c r="Q162" s="26"/>
    </row>
    <row r="163" spans="1:17" ht="18.75">
      <c r="A163" s="29"/>
      <c r="B163" s="30"/>
      <c r="C163" s="30"/>
      <c r="D163" s="31"/>
      <c r="E163" s="30"/>
      <c r="F163" s="30"/>
      <c r="G163" s="30"/>
      <c r="H163" s="30"/>
      <c r="I163" s="30"/>
      <c r="Q163" s="26"/>
    </row>
    <row r="164" spans="1:17" ht="18.75">
      <c r="A164" s="29"/>
      <c r="B164" s="30"/>
      <c r="C164" s="30"/>
      <c r="D164" s="31"/>
      <c r="E164" s="30"/>
      <c r="F164" s="30"/>
      <c r="G164" s="30"/>
      <c r="H164" s="30"/>
      <c r="I164" s="30"/>
      <c r="Q164" s="26"/>
    </row>
    <row r="165" spans="1:17" ht="18.75">
      <c r="A165" s="29"/>
      <c r="B165" s="30"/>
      <c r="C165" s="30"/>
      <c r="D165" s="31"/>
      <c r="E165" s="30"/>
      <c r="F165" s="30"/>
      <c r="G165" s="30"/>
      <c r="H165" s="30"/>
      <c r="I165" s="30"/>
      <c r="Q165" s="26"/>
    </row>
    <row r="166" spans="1:17" ht="18.75">
      <c r="A166" s="29"/>
      <c r="B166" s="30"/>
      <c r="C166" s="30"/>
      <c r="D166" s="31"/>
      <c r="E166" s="30"/>
      <c r="F166" s="30"/>
      <c r="G166" s="30"/>
      <c r="H166" s="30"/>
      <c r="I166" s="30"/>
      <c r="Q166" s="26"/>
    </row>
    <row r="167" spans="1:17" ht="18.75">
      <c r="A167" s="29"/>
      <c r="B167" s="30"/>
      <c r="C167" s="30"/>
      <c r="D167" s="31"/>
      <c r="E167" s="30"/>
      <c r="F167" s="30"/>
      <c r="G167" s="30"/>
      <c r="H167" s="30"/>
      <c r="I167" s="30"/>
      <c r="Q167" s="26"/>
    </row>
    <row r="168" spans="1:17" ht="18.75">
      <c r="A168" s="29"/>
      <c r="B168" s="30"/>
      <c r="C168" s="30"/>
      <c r="D168" s="31"/>
      <c r="E168" s="30"/>
      <c r="F168" s="30"/>
      <c r="G168" s="30"/>
      <c r="H168" s="30"/>
      <c r="I168" s="30"/>
      <c r="Q168" s="26"/>
    </row>
    <row r="169" spans="1:17" ht="18.75">
      <c r="A169" s="29"/>
      <c r="B169" s="30"/>
      <c r="C169" s="30"/>
      <c r="D169" s="31"/>
      <c r="E169" s="30"/>
      <c r="F169" s="30"/>
      <c r="G169" s="30"/>
      <c r="H169" s="30"/>
      <c r="I169" s="30"/>
      <c r="Q169" s="26"/>
    </row>
    <row r="170" spans="1:17" ht="18.75">
      <c r="A170" s="29"/>
      <c r="B170" s="30"/>
      <c r="C170" s="30"/>
      <c r="D170" s="31"/>
      <c r="E170" s="30"/>
      <c r="F170" s="30"/>
      <c r="G170" s="30"/>
      <c r="H170" s="30"/>
      <c r="I170" s="30"/>
      <c r="Q170" s="26"/>
    </row>
    <row r="171" spans="1:17" ht="18.75">
      <c r="A171" s="29"/>
      <c r="B171" s="30"/>
      <c r="C171" s="30"/>
      <c r="D171" s="31"/>
      <c r="E171" s="30"/>
      <c r="F171" s="30"/>
      <c r="G171" s="30"/>
      <c r="H171" s="30"/>
      <c r="I171" s="30"/>
      <c r="Q171" s="26"/>
    </row>
    <row r="172" spans="1:17" ht="18.75">
      <c r="A172" s="29"/>
      <c r="B172" s="30"/>
      <c r="C172" s="30"/>
      <c r="D172" s="31"/>
      <c r="E172" s="30"/>
      <c r="F172" s="30"/>
      <c r="G172" s="30"/>
      <c r="H172" s="30"/>
      <c r="I172" s="30"/>
      <c r="Q172" s="26"/>
    </row>
    <row r="173" spans="1:17" ht="18.75">
      <c r="A173" s="29"/>
      <c r="B173" s="30"/>
      <c r="C173" s="30"/>
      <c r="D173" s="31"/>
      <c r="E173" s="30"/>
      <c r="F173" s="30"/>
      <c r="G173" s="30"/>
      <c r="H173" s="30"/>
      <c r="I173" s="30"/>
      <c r="Q173" s="26"/>
    </row>
    <row r="174" spans="1:17" ht="18.75">
      <c r="A174" s="29"/>
      <c r="B174" s="30"/>
      <c r="C174" s="30"/>
      <c r="D174" s="31"/>
      <c r="E174" s="30"/>
      <c r="F174" s="30"/>
      <c r="G174" s="30"/>
      <c r="H174" s="30"/>
      <c r="I174" s="30"/>
      <c r="Q174" s="26"/>
    </row>
    <row r="175" spans="1:17" ht="18.75">
      <c r="A175" s="29"/>
      <c r="B175" s="30"/>
      <c r="C175" s="30"/>
      <c r="D175" s="31"/>
      <c r="E175" s="30"/>
      <c r="F175" s="30"/>
      <c r="G175" s="30"/>
      <c r="H175" s="30"/>
      <c r="I175" s="30"/>
      <c r="Q175" s="26"/>
    </row>
    <row r="176" spans="1:17" ht="18.75">
      <c r="A176" s="29"/>
      <c r="B176" s="30"/>
      <c r="C176" s="30"/>
      <c r="D176" s="31"/>
      <c r="E176" s="30"/>
      <c r="F176" s="30"/>
      <c r="G176" s="30"/>
      <c r="H176" s="30"/>
      <c r="I176" s="30"/>
      <c r="Q176" s="26"/>
    </row>
    <row r="177" spans="1:17" ht="18.75">
      <c r="A177" s="29"/>
      <c r="B177" s="30"/>
      <c r="C177" s="30"/>
      <c r="D177" s="31"/>
      <c r="E177" s="30"/>
      <c r="F177" s="30"/>
      <c r="G177" s="30"/>
      <c r="H177" s="30"/>
      <c r="I177" s="30"/>
      <c r="Q177" s="26"/>
    </row>
    <row r="178" spans="1:17" ht="18.75">
      <c r="A178" s="29"/>
      <c r="B178" s="30"/>
      <c r="C178" s="30"/>
      <c r="D178" s="31"/>
      <c r="E178" s="30"/>
      <c r="F178" s="30"/>
      <c r="G178" s="30"/>
      <c r="H178" s="30"/>
      <c r="I178" s="30"/>
      <c r="Q178" s="26"/>
    </row>
    <row r="179" spans="1:17" ht="18.75">
      <c r="A179" s="29"/>
      <c r="B179" s="30"/>
      <c r="C179" s="30"/>
      <c r="D179" s="31"/>
      <c r="E179" s="30"/>
      <c r="F179" s="30"/>
      <c r="G179" s="30"/>
      <c r="H179" s="30"/>
      <c r="I179" s="30"/>
      <c r="Q179" s="26"/>
    </row>
    <row r="180" spans="1:17" ht="18.75">
      <c r="A180" s="29"/>
      <c r="B180" s="30"/>
      <c r="C180" s="30"/>
      <c r="D180" s="31"/>
      <c r="E180" s="30"/>
      <c r="F180" s="30"/>
      <c r="G180" s="30"/>
      <c r="H180" s="30"/>
      <c r="I180" s="30"/>
      <c r="Q180" s="26"/>
    </row>
    <row r="181" spans="1:17" ht="18.75">
      <c r="A181" s="29"/>
      <c r="B181" s="30"/>
      <c r="C181" s="30"/>
      <c r="D181" s="31"/>
      <c r="E181" s="30"/>
      <c r="F181" s="30"/>
      <c r="G181" s="30"/>
      <c r="H181" s="30"/>
      <c r="I181" s="30"/>
      <c r="Q181" s="26"/>
    </row>
    <row r="182" spans="1:17" ht="18.75">
      <c r="A182" s="29"/>
      <c r="B182" s="30"/>
      <c r="C182" s="30"/>
      <c r="D182" s="31"/>
      <c r="E182" s="30"/>
      <c r="F182" s="30"/>
      <c r="G182" s="30"/>
      <c r="H182" s="30"/>
      <c r="I182" s="30"/>
      <c r="Q182" s="26"/>
    </row>
    <row r="183" spans="1:17" ht="18.75">
      <c r="A183" s="29"/>
      <c r="B183" s="30"/>
      <c r="C183" s="30"/>
      <c r="D183" s="31"/>
      <c r="E183" s="30"/>
      <c r="F183" s="30"/>
      <c r="G183" s="30"/>
      <c r="H183" s="30"/>
      <c r="I183" s="30"/>
      <c r="Q183" s="26"/>
    </row>
    <row r="184" spans="1:17" ht="18.75">
      <c r="A184" s="29"/>
      <c r="B184" s="30"/>
      <c r="C184" s="30"/>
      <c r="D184" s="31"/>
      <c r="E184" s="30"/>
      <c r="F184" s="30"/>
      <c r="G184" s="30"/>
      <c r="H184" s="30"/>
      <c r="I184" s="30"/>
      <c r="Q184" s="26"/>
    </row>
    <row r="185" spans="1:17" ht="18.75">
      <c r="A185" s="29"/>
      <c r="B185" s="30"/>
      <c r="C185" s="30"/>
      <c r="D185" s="31"/>
      <c r="E185" s="30"/>
      <c r="F185" s="30"/>
      <c r="G185" s="30"/>
      <c r="H185" s="30"/>
      <c r="I185" s="30"/>
      <c r="Q185" s="26"/>
    </row>
    <row r="186" spans="1:17" ht="18.75">
      <c r="A186" s="29"/>
      <c r="B186" s="30"/>
      <c r="C186" s="30"/>
      <c r="D186" s="31"/>
      <c r="E186" s="30"/>
      <c r="F186" s="30"/>
      <c r="G186" s="30"/>
      <c r="H186" s="30"/>
      <c r="I186" s="30"/>
      <c r="Q186" s="26"/>
    </row>
    <row r="187" spans="1:17" ht="18.75">
      <c r="A187" s="29"/>
      <c r="B187" s="30"/>
      <c r="C187" s="30"/>
      <c r="D187" s="31"/>
      <c r="E187" s="30"/>
      <c r="F187" s="30"/>
      <c r="G187" s="30"/>
      <c r="H187" s="30"/>
      <c r="I187" s="30"/>
      <c r="Q187" s="26"/>
    </row>
    <row r="188" spans="1:17" ht="18.75">
      <c r="A188" s="29"/>
      <c r="B188" s="30"/>
      <c r="C188" s="30"/>
      <c r="D188" s="31"/>
      <c r="E188" s="30"/>
      <c r="F188" s="30"/>
      <c r="G188" s="30"/>
      <c r="H188" s="30"/>
      <c r="I188" s="30"/>
      <c r="Q188" s="26"/>
    </row>
    <row r="189" spans="1:17" ht="18.75">
      <c r="A189" s="29"/>
      <c r="B189" s="30"/>
      <c r="C189" s="30"/>
      <c r="D189" s="31"/>
      <c r="E189" s="30"/>
      <c r="F189" s="30"/>
      <c r="G189" s="30"/>
      <c r="H189" s="30"/>
      <c r="I189" s="30"/>
      <c r="Q189" s="26"/>
    </row>
    <row r="190" spans="1:17" ht="18.75">
      <c r="A190" s="29"/>
      <c r="B190" s="30"/>
      <c r="C190" s="30"/>
      <c r="D190" s="31"/>
      <c r="E190" s="30"/>
      <c r="F190" s="30"/>
      <c r="G190" s="30"/>
      <c r="H190" s="30"/>
      <c r="I190" s="30"/>
      <c r="Q190" s="26"/>
    </row>
    <row r="191" spans="1:17" ht="18.75">
      <c r="A191" s="29"/>
      <c r="B191" s="30"/>
      <c r="C191" s="30"/>
      <c r="D191" s="31"/>
      <c r="E191" s="30"/>
      <c r="F191" s="30"/>
      <c r="G191" s="30"/>
      <c r="H191" s="30"/>
      <c r="I191" s="30"/>
      <c r="Q191" s="26"/>
    </row>
    <row r="192" spans="1:17" ht="18.75">
      <c r="A192" s="29"/>
      <c r="B192" s="30"/>
      <c r="C192" s="30"/>
      <c r="D192" s="31"/>
      <c r="E192" s="30"/>
      <c r="F192" s="30"/>
      <c r="G192" s="30"/>
      <c r="H192" s="30"/>
      <c r="I192" s="30"/>
      <c r="Q192" s="26"/>
    </row>
    <row r="193" spans="1:17" ht="18.75">
      <c r="A193" s="29"/>
      <c r="B193" s="30"/>
      <c r="C193" s="30"/>
      <c r="D193" s="31"/>
      <c r="E193" s="30"/>
      <c r="F193" s="30"/>
      <c r="G193" s="30"/>
      <c r="H193" s="30"/>
      <c r="I193" s="30"/>
      <c r="Q193" s="26"/>
    </row>
    <row r="194" spans="1:17" ht="18.75">
      <c r="A194" s="29"/>
      <c r="B194" s="30"/>
      <c r="C194" s="30"/>
      <c r="D194" s="31"/>
      <c r="E194" s="30"/>
      <c r="F194" s="30"/>
      <c r="G194" s="30"/>
      <c r="H194" s="30"/>
      <c r="I194" s="30"/>
      <c r="Q194" s="26"/>
    </row>
    <row r="195" spans="1:17" ht="18.75">
      <c r="A195" s="29"/>
      <c r="B195" s="30"/>
      <c r="C195" s="30"/>
      <c r="D195" s="31"/>
      <c r="E195" s="30"/>
      <c r="F195" s="30"/>
      <c r="G195" s="30"/>
      <c r="H195" s="30"/>
      <c r="I195" s="30"/>
      <c r="Q195" s="26"/>
    </row>
    <row r="196" spans="1:17" ht="18.75">
      <c r="A196" s="29"/>
      <c r="B196" s="30"/>
      <c r="C196" s="30"/>
      <c r="D196" s="31"/>
      <c r="E196" s="30"/>
      <c r="F196" s="30"/>
      <c r="G196" s="30"/>
      <c r="H196" s="30"/>
      <c r="I196" s="30"/>
      <c r="Q196" s="26"/>
    </row>
    <row r="197" spans="1:17" ht="18.75">
      <c r="A197" s="29"/>
      <c r="B197" s="30"/>
      <c r="C197" s="30"/>
      <c r="D197" s="31"/>
      <c r="E197" s="30"/>
      <c r="F197" s="30"/>
      <c r="G197" s="30"/>
      <c r="H197" s="30"/>
      <c r="I197" s="30"/>
      <c r="Q197" s="26"/>
    </row>
    <row r="198" spans="1:17" ht="18.75">
      <c r="A198" s="29"/>
      <c r="B198" s="30"/>
      <c r="C198" s="30"/>
      <c r="D198" s="31"/>
      <c r="E198" s="30"/>
      <c r="F198" s="30"/>
      <c r="G198" s="30"/>
      <c r="H198" s="30"/>
      <c r="I198" s="30"/>
      <c r="Q198" s="26"/>
    </row>
    <row r="199" spans="1:17" ht="18.75">
      <c r="A199" s="29"/>
      <c r="B199" s="30"/>
      <c r="C199" s="30"/>
      <c r="D199" s="31"/>
      <c r="E199" s="30"/>
      <c r="F199" s="30"/>
      <c r="G199" s="30"/>
      <c r="H199" s="30"/>
      <c r="I199" s="30"/>
      <c r="Q199" s="26"/>
    </row>
    <row r="200" spans="1:17" ht="18.75">
      <c r="A200" s="29"/>
      <c r="B200" s="30"/>
      <c r="C200" s="30"/>
      <c r="D200" s="31"/>
      <c r="E200" s="30"/>
      <c r="F200" s="30"/>
      <c r="G200" s="30"/>
      <c r="H200" s="30"/>
      <c r="I200" s="30"/>
      <c r="Q200" s="26"/>
    </row>
    <row r="201" spans="1:17" ht="18.75">
      <c r="A201" s="29"/>
      <c r="B201" s="30"/>
      <c r="C201" s="30"/>
      <c r="D201" s="31"/>
      <c r="E201" s="30"/>
      <c r="F201" s="30"/>
      <c r="G201" s="30"/>
      <c r="H201" s="30"/>
      <c r="I201" s="30"/>
      <c r="Q201" s="26"/>
    </row>
    <row r="202" spans="1:17" ht="18.75">
      <c r="A202" s="29"/>
      <c r="B202" s="30"/>
      <c r="C202" s="30"/>
      <c r="D202" s="31"/>
      <c r="E202" s="30"/>
      <c r="F202" s="30"/>
      <c r="G202" s="30"/>
      <c r="H202" s="30"/>
      <c r="I202" s="30"/>
      <c r="Q202" s="26"/>
    </row>
    <row r="203" spans="1:17" ht="18.75">
      <c r="A203" s="29"/>
      <c r="B203" s="30"/>
      <c r="C203" s="30"/>
      <c r="D203" s="31"/>
      <c r="E203" s="30"/>
      <c r="F203" s="30"/>
      <c r="G203" s="30"/>
      <c r="H203" s="30"/>
      <c r="I203" s="30"/>
      <c r="Q203" s="26"/>
    </row>
    <row r="204" spans="1:17" ht="18.75">
      <c r="A204" s="29"/>
      <c r="B204" s="30"/>
      <c r="C204" s="30"/>
      <c r="D204" s="31"/>
      <c r="E204" s="30"/>
      <c r="F204" s="30"/>
      <c r="G204" s="30"/>
      <c r="H204" s="30"/>
      <c r="I204" s="30"/>
      <c r="Q204" s="26"/>
    </row>
    <row r="205" spans="1:17" ht="18.75">
      <c r="A205" s="29"/>
      <c r="B205" s="30"/>
      <c r="C205" s="30"/>
      <c r="D205" s="31"/>
      <c r="E205" s="30"/>
      <c r="F205" s="30"/>
      <c r="G205" s="30"/>
      <c r="H205" s="30"/>
      <c r="I205" s="30"/>
      <c r="Q205" s="26"/>
    </row>
    <row r="206" spans="1:17" ht="18.75">
      <c r="A206" s="29"/>
      <c r="B206" s="30"/>
      <c r="C206" s="30"/>
      <c r="D206" s="31"/>
      <c r="E206" s="30"/>
      <c r="F206" s="30"/>
      <c r="G206" s="30"/>
      <c r="H206" s="30"/>
      <c r="I206" s="30"/>
      <c r="Q206" s="26"/>
    </row>
    <row r="207" spans="1:17" ht="18.75">
      <c r="A207" s="29"/>
      <c r="B207" s="30"/>
      <c r="C207" s="30"/>
      <c r="D207" s="31"/>
      <c r="E207" s="30"/>
      <c r="F207" s="30"/>
      <c r="G207" s="30"/>
      <c r="H207" s="30"/>
      <c r="I207" s="30"/>
      <c r="Q207" s="26"/>
    </row>
    <row r="208" spans="1:17" ht="18.75">
      <c r="A208" s="29"/>
      <c r="B208" s="30"/>
      <c r="C208" s="30"/>
      <c r="D208" s="31"/>
      <c r="E208" s="30"/>
      <c r="F208" s="30"/>
      <c r="G208" s="30"/>
      <c r="H208" s="30"/>
      <c r="I208" s="30"/>
      <c r="Q208" s="26"/>
    </row>
    <row r="209" spans="1:17" ht="18.75">
      <c r="A209" s="29"/>
      <c r="B209" s="30"/>
      <c r="C209" s="30"/>
      <c r="D209" s="31"/>
      <c r="E209" s="30"/>
      <c r="F209" s="30"/>
      <c r="G209" s="30"/>
      <c r="H209" s="30"/>
      <c r="I209" s="30"/>
      <c r="Q209" s="26"/>
    </row>
    <row r="210" spans="1:17" ht="18.75">
      <c r="A210" s="29"/>
      <c r="B210" s="30"/>
      <c r="C210" s="30"/>
      <c r="D210" s="31"/>
      <c r="E210" s="30"/>
      <c r="F210" s="30"/>
      <c r="G210" s="30"/>
      <c r="H210" s="30"/>
      <c r="I210" s="30"/>
      <c r="Q210" s="26"/>
    </row>
    <row r="211" spans="1:17" ht="18.75">
      <c r="A211" s="29"/>
      <c r="B211" s="30"/>
      <c r="C211" s="30"/>
      <c r="D211" s="31"/>
      <c r="E211" s="30"/>
      <c r="F211" s="30"/>
      <c r="G211" s="30"/>
      <c r="H211" s="30"/>
      <c r="I211" s="30"/>
      <c r="Q211" s="26"/>
    </row>
    <row r="212" spans="1:17" ht="18.75">
      <c r="A212" s="29"/>
      <c r="B212" s="30"/>
      <c r="C212" s="30"/>
      <c r="D212" s="31"/>
      <c r="E212" s="30"/>
      <c r="F212" s="30"/>
      <c r="G212" s="30"/>
      <c r="H212" s="30"/>
      <c r="I212" s="30"/>
      <c r="Q212" s="26"/>
    </row>
    <row r="213" spans="1:17" ht="18.75">
      <c r="A213" s="29"/>
      <c r="B213" s="30"/>
      <c r="C213" s="30"/>
      <c r="D213" s="31"/>
      <c r="E213" s="30"/>
      <c r="F213" s="30"/>
      <c r="G213" s="30"/>
      <c r="H213" s="30"/>
      <c r="I213" s="30"/>
      <c r="Q213" s="26"/>
    </row>
    <row r="214" spans="1:17" ht="18.75">
      <c r="A214" s="29"/>
      <c r="B214" s="30"/>
      <c r="C214" s="30"/>
      <c r="D214" s="31"/>
      <c r="E214" s="30"/>
      <c r="F214" s="30"/>
      <c r="G214" s="30"/>
      <c r="H214" s="30"/>
      <c r="I214" s="30"/>
      <c r="Q214" s="26"/>
    </row>
    <row r="215" spans="1:17" ht="18.75">
      <c r="A215" s="29"/>
      <c r="B215" s="30"/>
      <c r="C215" s="30"/>
      <c r="D215" s="31"/>
      <c r="E215" s="30"/>
      <c r="F215" s="30"/>
      <c r="G215" s="30"/>
      <c r="H215" s="30"/>
      <c r="I215" s="30"/>
      <c r="Q215" s="26"/>
    </row>
    <row r="216" spans="1:17" ht="18.75">
      <c r="A216" s="29"/>
      <c r="B216" s="30"/>
      <c r="C216" s="30"/>
      <c r="D216" s="31"/>
      <c r="E216" s="30"/>
      <c r="F216" s="30"/>
      <c r="G216" s="30"/>
      <c r="H216" s="30"/>
      <c r="I216" s="30"/>
      <c r="Q216" s="26"/>
    </row>
    <row r="217" spans="1:17" ht="18.75">
      <c r="A217" s="29"/>
      <c r="B217" s="30"/>
      <c r="C217" s="30"/>
      <c r="D217" s="31"/>
      <c r="E217" s="30"/>
      <c r="F217" s="30"/>
      <c r="G217" s="30"/>
      <c r="H217" s="30"/>
      <c r="I217" s="30"/>
      <c r="Q217" s="26"/>
    </row>
    <row r="218" spans="1:17" ht="18.75">
      <c r="A218" s="29"/>
      <c r="B218" s="30"/>
      <c r="C218" s="30"/>
      <c r="D218" s="31"/>
      <c r="E218" s="30"/>
      <c r="F218" s="30"/>
      <c r="G218" s="30"/>
      <c r="H218" s="30"/>
      <c r="I218" s="30"/>
      <c r="Q218" s="26"/>
    </row>
    <row r="219" spans="1:17" ht="18.75">
      <c r="A219" s="29"/>
      <c r="B219" s="30"/>
      <c r="C219" s="30"/>
      <c r="D219" s="31"/>
      <c r="E219" s="30"/>
      <c r="F219" s="30"/>
      <c r="G219" s="30"/>
      <c r="H219" s="30"/>
      <c r="I219" s="30"/>
      <c r="Q219" s="26"/>
    </row>
    <row r="220" spans="1:17" ht="18.75">
      <c r="A220" s="29"/>
      <c r="B220" s="30"/>
      <c r="C220" s="30"/>
      <c r="D220" s="31"/>
      <c r="E220" s="30"/>
      <c r="F220" s="30"/>
      <c r="G220" s="30"/>
      <c r="H220" s="30"/>
      <c r="I220" s="30"/>
      <c r="Q220" s="26"/>
    </row>
    <row r="221" spans="1:17" ht="18.75">
      <c r="A221" s="29"/>
      <c r="B221" s="30"/>
      <c r="C221" s="30"/>
      <c r="D221" s="31"/>
      <c r="E221" s="30"/>
      <c r="F221" s="30"/>
      <c r="G221" s="30"/>
      <c r="H221" s="30"/>
      <c r="I221" s="30"/>
      <c r="Q221" s="26"/>
    </row>
    <row r="222" spans="1:17" ht="18.75">
      <c r="A222" s="29"/>
      <c r="B222" s="30"/>
      <c r="C222" s="30"/>
      <c r="D222" s="31"/>
      <c r="E222" s="30"/>
      <c r="F222" s="30"/>
      <c r="G222" s="30"/>
      <c r="H222" s="30"/>
      <c r="I222" s="30"/>
      <c r="Q222" s="26"/>
    </row>
    <row r="223" spans="1:17" ht="18.75">
      <c r="A223" s="29"/>
      <c r="B223" s="30"/>
      <c r="C223" s="30"/>
      <c r="D223" s="31"/>
      <c r="E223" s="30"/>
      <c r="F223" s="30"/>
      <c r="G223" s="30"/>
      <c r="H223" s="30"/>
      <c r="I223" s="30"/>
      <c r="Q223" s="26"/>
    </row>
    <row r="224" spans="1:17" ht="18.75">
      <c r="A224" s="29"/>
      <c r="B224" s="30"/>
      <c r="C224" s="30"/>
      <c r="D224" s="31"/>
      <c r="E224" s="30"/>
      <c r="F224" s="30"/>
      <c r="G224" s="30"/>
      <c r="H224" s="30"/>
      <c r="I224" s="30"/>
      <c r="Q224" s="26"/>
    </row>
    <row r="225" spans="1:17" ht="18.75">
      <c r="A225" s="29"/>
      <c r="B225" s="30"/>
      <c r="C225" s="30"/>
      <c r="D225" s="31"/>
      <c r="E225" s="30"/>
      <c r="F225" s="30"/>
      <c r="G225" s="30"/>
      <c r="H225" s="30"/>
      <c r="I225" s="30"/>
      <c r="Q225" s="26"/>
    </row>
    <row r="226" spans="1:17" ht="18.75">
      <c r="A226" s="29"/>
      <c r="B226" s="30"/>
      <c r="C226" s="30"/>
      <c r="D226" s="31"/>
      <c r="E226" s="30"/>
      <c r="F226" s="30"/>
      <c r="G226" s="30"/>
      <c r="H226" s="30"/>
      <c r="I226" s="30"/>
      <c r="Q226" s="26"/>
    </row>
    <row r="227" spans="1:17" ht="18.75">
      <c r="A227" s="29"/>
      <c r="B227" s="30"/>
      <c r="C227" s="30"/>
      <c r="D227" s="31"/>
      <c r="E227" s="30"/>
      <c r="F227" s="30"/>
      <c r="G227" s="30"/>
      <c r="H227" s="30"/>
      <c r="I227" s="30"/>
      <c r="Q227" s="26"/>
    </row>
    <row r="228" spans="1:17" ht="18.75">
      <c r="A228" s="29"/>
      <c r="B228" s="30"/>
      <c r="C228" s="30"/>
      <c r="D228" s="31"/>
      <c r="E228" s="30"/>
      <c r="F228" s="30"/>
      <c r="G228" s="30"/>
      <c r="H228" s="30"/>
      <c r="I228" s="30"/>
      <c r="Q228" s="26"/>
    </row>
    <row r="229" spans="1:17" ht="18.75">
      <c r="A229" s="29"/>
      <c r="B229" s="30"/>
      <c r="C229" s="30"/>
      <c r="D229" s="31"/>
      <c r="E229" s="30"/>
      <c r="F229" s="30"/>
      <c r="G229" s="30"/>
      <c r="H229" s="30"/>
      <c r="I229" s="30"/>
      <c r="Q229" s="26"/>
    </row>
    <row r="230" spans="1:17" ht="18.75">
      <c r="A230" s="29"/>
      <c r="B230" s="30"/>
      <c r="C230" s="30"/>
      <c r="D230" s="31"/>
      <c r="E230" s="30"/>
      <c r="F230" s="30"/>
      <c r="G230" s="30"/>
      <c r="H230" s="30"/>
      <c r="I230" s="30"/>
      <c r="Q230" s="26"/>
    </row>
    <row r="231" spans="1:17" ht="18.75">
      <c r="A231" s="29"/>
      <c r="B231" s="30"/>
      <c r="C231" s="30"/>
      <c r="D231" s="31"/>
      <c r="E231" s="30"/>
      <c r="F231" s="30"/>
      <c r="G231" s="30"/>
      <c r="H231" s="30"/>
      <c r="I231" s="30"/>
      <c r="Q231" s="26"/>
    </row>
    <row r="232" spans="1:17" ht="18.75">
      <c r="A232" s="29"/>
      <c r="B232" s="30"/>
      <c r="C232" s="30"/>
      <c r="D232" s="31"/>
      <c r="E232" s="30"/>
      <c r="F232" s="30"/>
      <c r="G232" s="30"/>
      <c r="H232" s="30"/>
      <c r="I232" s="30"/>
      <c r="Q232" s="26"/>
    </row>
    <row r="233" spans="1:17" ht="18.75">
      <c r="A233" s="29"/>
      <c r="B233" s="30"/>
      <c r="C233" s="30"/>
      <c r="D233" s="31"/>
      <c r="E233" s="30"/>
      <c r="F233" s="30"/>
      <c r="G233" s="30"/>
      <c r="H233" s="30"/>
      <c r="I233" s="30"/>
      <c r="Q233" s="26"/>
    </row>
    <row r="234" spans="1:17" ht="18.75">
      <c r="A234" s="29"/>
      <c r="B234" s="30"/>
      <c r="C234" s="30"/>
      <c r="D234" s="31"/>
      <c r="E234" s="30"/>
      <c r="F234" s="30"/>
      <c r="G234" s="30"/>
      <c r="H234" s="30"/>
      <c r="I234" s="30"/>
      <c r="Q234" s="26"/>
    </row>
    <row r="235" spans="1:17" ht="18.75">
      <c r="A235" s="29"/>
      <c r="B235" s="30"/>
      <c r="C235" s="30"/>
      <c r="D235" s="31"/>
      <c r="E235" s="30"/>
      <c r="F235" s="30"/>
      <c r="G235" s="30"/>
      <c r="H235" s="30"/>
      <c r="I235" s="30"/>
      <c r="Q235" s="26"/>
    </row>
    <row r="236" spans="1:17" ht="18.75">
      <c r="A236" s="29"/>
      <c r="B236" s="30"/>
      <c r="C236" s="30"/>
      <c r="D236" s="31"/>
      <c r="E236" s="30"/>
      <c r="F236" s="30"/>
      <c r="G236" s="30"/>
      <c r="H236" s="30"/>
      <c r="I236" s="30"/>
      <c r="Q236" s="26"/>
    </row>
    <row r="237" spans="1:17" ht="18.75">
      <c r="A237" s="29"/>
      <c r="B237" s="30"/>
      <c r="C237" s="30"/>
      <c r="D237" s="31"/>
      <c r="E237" s="30"/>
      <c r="F237" s="30"/>
      <c r="G237" s="30"/>
      <c r="H237" s="30"/>
      <c r="I237" s="30"/>
      <c r="Q237" s="26"/>
    </row>
    <row r="238" spans="1:17" ht="18.75">
      <c r="A238" s="29"/>
      <c r="B238" s="30"/>
      <c r="C238" s="30"/>
      <c r="D238" s="31"/>
      <c r="E238" s="30"/>
      <c r="F238" s="30"/>
      <c r="G238" s="30"/>
      <c r="H238" s="30"/>
      <c r="I238" s="30"/>
      <c r="Q238" s="26"/>
    </row>
    <row r="239" spans="1:17" ht="18.75">
      <c r="A239" s="29"/>
      <c r="B239" s="30"/>
      <c r="C239" s="30"/>
      <c r="D239" s="31"/>
      <c r="E239" s="30"/>
      <c r="F239" s="30"/>
      <c r="G239" s="30"/>
      <c r="H239" s="30"/>
      <c r="I239" s="30"/>
      <c r="Q239" s="26"/>
    </row>
    <row r="240" spans="1:17" ht="18.75">
      <c r="A240" s="29"/>
      <c r="B240" s="30"/>
      <c r="C240" s="30"/>
      <c r="D240" s="31"/>
      <c r="E240" s="30"/>
      <c r="F240" s="30"/>
      <c r="G240" s="30"/>
      <c r="H240" s="30"/>
      <c r="I240" s="30"/>
      <c r="Q240" s="26"/>
    </row>
    <row r="241" spans="1:17" ht="18.75">
      <c r="A241" s="29"/>
      <c r="B241" s="30"/>
      <c r="C241" s="30"/>
      <c r="D241" s="31"/>
      <c r="E241" s="30"/>
      <c r="F241" s="30"/>
      <c r="G241" s="30"/>
      <c r="H241" s="30"/>
      <c r="I241" s="30"/>
      <c r="Q241" s="26"/>
    </row>
    <row r="242" spans="1:17" ht="18.75">
      <c r="A242" s="29"/>
      <c r="B242" s="30"/>
      <c r="C242" s="30"/>
      <c r="D242" s="31"/>
      <c r="E242" s="30"/>
      <c r="F242" s="30"/>
      <c r="G242" s="30"/>
      <c r="H242" s="30"/>
      <c r="I242" s="30"/>
      <c r="Q242" s="26"/>
    </row>
    <row r="243" spans="1:17" ht="18.75">
      <c r="A243" s="29"/>
      <c r="B243" s="30"/>
      <c r="C243" s="30"/>
      <c r="D243" s="31"/>
      <c r="E243" s="30"/>
      <c r="F243" s="30"/>
      <c r="G243" s="30"/>
      <c r="H243" s="30"/>
      <c r="I243" s="30"/>
      <c r="Q243" s="26"/>
    </row>
    <row r="244" spans="1:17" ht="18.75">
      <c r="A244" s="29"/>
      <c r="B244" s="30"/>
      <c r="C244" s="30"/>
      <c r="D244" s="31"/>
      <c r="E244" s="30"/>
      <c r="F244" s="30"/>
      <c r="G244" s="30"/>
      <c r="H244" s="30"/>
      <c r="I244" s="30"/>
      <c r="Q244" s="26"/>
    </row>
    <row r="245" spans="1:17" ht="18.75">
      <c r="A245" s="29"/>
      <c r="B245" s="30"/>
      <c r="C245" s="30"/>
      <c r="D245" s="31"/>
      <c r="E245" s="30"/>
      <c r="F245" s="30"/>
      <c r="G245" s="30"/>
      <c r="H245" s="30"/>
      <c r="I245" s="30"/>
      <c r="Q245" s="26"/>
    </row>
    <row r="246" spans="1:17" ht="18.75">
      <c r="A246" s="29"/>
      <c r="B246" s="30"/>
      <c r="C246" s="30"/>
      <c r="D246" s="31"/>
      <c r="E246" s="30"/>
      <c r="F246" s="30"/>
      <c r="G246" s="30"/>
      <c r="H246" s="30"/>
      <c r="I246" s="30"/>
      <c r="Q246" s="26"/>
    </row>
    <row r="247" spans="1:17" ht="18.75">
      <c r="A247" s="29"/>
      <c r="B247" s="30"/>
      <c r="C247" s="30"/>
      <c r="D247" s="31"/>
      <c r="E247" s="30"/>
      <c r="F247" s="30"/>
      <c r="G247" s="30"/>
      <c r="H247" s="30"/>
      <c r="I247" s="30"/>
      <c r="Q247" s="26"/>
    </row>
    <row r="248" spans="1:17" ht="18.75">
      <c r="A248" s="29"/>
      <c r="B248" s="30"/>
      <c r="C248" s="30"/>
      <c r="D248" s="31"/>
      <c r="E248" s="30"/>
      <c r="F248" s="30"/>
      <c r="G248" s="30"/>
      <c r="H248" s="30"/>
      <c r="I248" s="30"/>
      <c r="Q248" s="26"/>
    </row>
    <row r="249" spans="1:17" ht="18.75">
      <c r="A249" s="29"/>
      <c r="B249" s="30"/>
      <c r="C249" s="30"/>
      <c r="D249" s="31"/>
      <c r="E249" s="30"/>
      <c r="F249" s="30"/>
      <c r="G249" s="30"/>
      <c r="H249" s="30"/>
      <c r="I249" s="30"/>
      <c r="Q249" s="26"/>
    </row>
    <row r="250" spans="1:17" ht="18.75">
      <c r="A250" s="29"/>
      <c r="B250" s="30"/>
      <c r="C250" s="30"/>
      <c r="D250" s="31"/>
      <c r="E250" s="30"/>
      <c r="F250" s="30"/>
      <c r="G250" s="30"/>
      <c r="H250" s="30"/>
      <c r="I250" s="30"/>
      <c r="Q250" s="26"/>
    </row>
    <row r="251" spans="1:17" ht="18.75">
      <c r="A251" s="29"/>
      <c r="B251" s="30"/>
      <c r="C251" s="30"/>
      <c r="D251" s="31"/>
      <c r="E251" s="30"/>
      <c r="F251" s="30"/>
      <c r="G251" s="30"/>
      <c r="H251" s="30"/>
      <c r="I251" s="30"/>
      <c r="Q251" s="26"/>
    </row>
    <row r="252" spans="1:17" ht="18.75">
      <c r="A252" s="29"/>
      <c r="B252" s="30"/>
      <c r="C252" s="30"/>
      <c r="D252" s="31"/>
      <c r="E252" s="30"/>
      <c r="F252" s="30"/>
      <c r="G252" s="30"/>
      <c r="H252" s="30"/>
      <c r="I252" s="30"/>
      <c r="Q252" s="26"/>
    </row>
    <row r="253" spans="1:17" ht="18.75">
      <c r="A253" s="29"/>
      <c r="B253" s="30"/>
      <c r="C253" s="30"/>
      <c r="D253" s="31"/>
      <c r="E253" s="30"/>
      <c r="F253" s="30"/>
      <c r="G253" s="30"/>
      <c r="H253" s="30"/>
      <c r="I253" s="30"/>
      <c r="Q253" s="26"/>
    </row>
    <row r="254" spans="1:17" ht="18.75">
      <c r="A254" s="29"/>
      <c r="B254" s="30"/>
      <c r="C254" s="30"/>
      <c r="D254" s="31"/>
      <c r="E254" s="30"/>
      <c r="F254" s="30"/>
      <c r="G254" s="30"/>
      <c r="H254" s="30"/>
      <c r="I254" s="30"/>
      <c r="Q254" s="26"/>
    </row>
    <row r="255" spans="1:17" ht="18.75">
      <c r="A255" s="29"/>
      <c r="B255" s="30"/>
      <c r="C255" s="30"/>
      <c r="D255" s="31"/>
      <c r="E255" s="30"/>
      <c r="F255" s="30"/>
      <c r="G255" s="30"/>
      <c r="H255" s="30"/>
      <c r="I255" s="30"/>
      <c r="Q255" s="26"/>
    </row>
    <row r="256" spans="1:17" ht="18.75">
      <c r="A256" s="29"/>
      <c r="B256" s="30"/>
      <c r="C256" s="30"/>
      <c r="D256" s="31"/>
      <c r="E256" s="30"/>
      <c r="F256" s="30"/>
      <c r="G256" s="30"/>
      <c r="H256" s="30"/>
      <c r="I256" s="30"/>
      <c r="Q256" s="26"/>
    </row>
    <row r="257" spans="1:17" ht="18.75">
      <c r="A257" s="29"/>
      <c r="B257" s="30"/>
      <c r="C257" s="30"/>
      <c r="D257" s="31"/>
      <c r="E257" s="30"/>
      <c r="F257" s="30"/>
      <c r="G257" s="30"/>
      <c r="H257" s="30"/>
      <c r="I257" s="30"/>
      <c r="Q257" s="26"/>
    </row>
    <row r="258" spans="1:17" ht="18.75">
      <c r="A258" s="29"/>
      <c r="B258" s="30"/>
      <c r="C258" s="30"/>
      <c r="D258" s="31"/>
      <c r="E258" s="30"/>
      <c r="F258" s="30"/>
      <c r="G258" s="30"/>
      <c r="H258" s="30"/>
      <c r="I258" s="30"/>
      <c r="Q258" s="26"/>
    </row>
    <row r="259" spans="1:17" ht="18.75">
      <c r="A259" s="29"/>
      <c r="B259" s="30"/>
      <c r="C259" s="30"/>
      <c r="D259" s="31"/>
      <c r="E259" s="30"/>
      <c r="F259" s="30"/>
      <c r="G259" s="30"/>
      <c r="H259" s="30"/>
      <c r="I259" s="30"/>
      <c r="Q259" s="26"/>
    </row>
    <row r="260" spans="1:17" ht="18.75">
      <c r="A260" s="29"/>
      <c r="B260" s="30"/>
      <c r="C260" s="30"/>
      <c r="D260" s="31"/>
      <c r="E260" s="30"/>
      <c r="F260" s="30"/>
      <c r="G260" s="30"/>
      <c r="H260" s="30"/>
      <c r="I260" s="30"/>
      <c r="Q260" s="26"/>
    </row>
    <row r="261" spans="1:17" ht="18.75">
      <c r="A261" s="29"/>
      <c r="B261" s="30"/>
      <c r="C261" s="30"/>
      <c r="D261" s="31"/>
      <c r="E261" s="30"/>
      <c r="F261" s="30"/>
      <c r="G261" s="30"/>
      <c r="H261" s="30"/>
      <c r="I261" s="30"/>
      <c r="Q261" s="26"/>
    </row>
    <row r="262" spans="1:17" ht="18.75">
      <c r="A262" s="29"/>
      <c r="B262" s="30"/>
      <c r="C262" s="30"/>
      <c r="D262" s="31"/>
      <c r="E262" s="30"/>
      <c r="F262" s="30"/>
      <c r="G262" s="30"/>
      <c r="H262" s="30"/>
      <c r="I262" s="30"/>
      <c r="Q262" s="26"/>
    </row>
    <row r="263" spans="1:17" ht="18.75">
      <c r="A263" s="29"/>
      <c r="B263" s="30"/>
      <c r="C263" s="30"/>
      <c r="D263" s="31"/>
      <c r="E263" s="30"/>
      <c r="F263" s="30"/>
      <c r="G263" s="30"/>
      <c r="H263" s="30"/>
      <c r="I263" s="30"/>
      <c r="Q263" s="26"/>
    </row>
    <row r="264" spans="1:17" ht="18.75">
      <c r="A264" s="29"/>
      <c r="B264" s="30"/>
      <c r="C264" s="30"/>
      <c r="D264" s="31"/>
      <c r="E264" s="30"/>
      <c r="F264" s="30"/>
      <c r="G264" s="30"/>
      <c r="H264" s="30"/>
      <c r="I264" s="30"/>
      <c r="Q264" s="26"/>
    </row>
    <row r="265" spans="1:17" ht="18.75">
      <c r="A265" s="29"/>
      <c r="B265" s="30"/>
      <c r="C265" s="30"/>
      <c r="D265" s="31"/>
      <c r="E265" s="30"/>
      <c r="F265" s="30"/>
      <c r="G265" s="30"/>
      <c r="H265" s="30"/>
      <c r="I265" s="30"/>
      <c r="Q265" s="26"/>
    </row>
    <row r="266" spans="1:17" ht="18.75">
      <c r="A266" s="29"/>
      <c r="B266" s="30"/>
      <c r="C266" s="30"/>
      <c r="D266" s="31"/>
      <c r="E266" s="30"/>
      <c r="F266" s="30"/>
      <c r="G266" s="30"/>
      <c r="H266" s="30"/>
      <c r="I266" s="30"/>
      <c r="Q266" s="26"/>
    </row>
    <row r="267" spans="1:17" ht="18.75">
      <c r="A267" s="29"/>
      <c r="B267" s="30"/>
      <c r="C267" s="30"/>
      <c r="D267" s="31"/>
      <c r="E267" s="30"/>
      <c r="F267" s="30"/>
      <c r="G267" s="30"/>
      <c r="H267" s="30"/>
      <c r="I267" s="30"/>
      <c r="Q267" s="26"/>
    </row>
    <row r="268" spans="1:17" ht="18.75">
      <c r="A268" s="29"/>
      <c r="B268" s="30"/>
      <c r="C268" s="30"/>
      <c r="D268" s="31"/>
      <c r="E268" s="30"/>
      <c r="F268" s="30"/>
      <c r="G268" s="30"/>
      <c r="H268" s="30"/>
      <c r="I268" s="30"/>
      <c r="Q268" s="26"/>
    </row>
    <row r="269" spans="1:17" ht="18.75">
      <c r="A269" s="29"/>
      <c r="B269" s="30"/>
      <c r="C269" s="30"/>
      <c r="D269" s="31"/>
      <c r="E269" s="30"/>
      <c r="F269" s="30"/>
      <c r="G269" s="30"/>
      <c r="H269" s="30"/>
      <c r="I269" s="30"/>
      <c r="Q269" s="26"/>
    </row>
    <row r="270" spans="1:17" ht="18.75">
      <c r="A270" s="29"/>
      <c r="B270" s="30"/>
      <c r="C270" s="30"/>
      <c r="D270" s="31"/>
      <c r="E270" s="30"/>
      <c r="F270" s="30"/>
      <c r="G270" s="30"/>
      <c r="H270" s="30"/>
      <c r="I270" s="30"/>
      <c r="Q270" s="26"/>
    </row>
    <row r="271" spans="1:17" ht="18.75">
      <c r="A271" s="29"/>
      <c r="B271" s="30"/>
      <c r="C271" s="30"/>
      <c r="D271" s="31"/>
      <c r="E271" s="30"/>
      <c r="F271" s="30"/>
      <c r="G271" s="30"/>
      <c r="H271" s="30"/>
      <c r="I271" s="30"/>
      <c r="Q271" s="26"/>
    </row>
    <row r="272" spans="1:17" ht="18.75">
      <c r="A272" s="29"/>
      <c r="B272" s="30"/>
      <c r="C272" s="30"/>
      <c r="D272" s="31"/>
      <c r="E272" s="30"/>
      <c r="F272" s="30"/>
      <c r="G272" s="30"/>
      <c r="H272" s="30"/>
      <c r="I272" s="30"/>
      <c r="Q272" s="26"/>
    </row>
    <row r="273" spans="1:17" ht="18.75">
      <c r="A273" s="29"/>
      <c r="B273" s="30"/>
      <c r="C273" s="30"/>
      <c r="D273" s="31"/>
      <c r="E273" s="30"/>
      <c r="F273" s="30"/>
      <c r="G273" s="30"/>
      <c r="H273" s="30"/>
      <c r="I273" s="30"/>
      <c r="Q273" s="26"/>
    </row>
    <row r="274" spans="1:17" ht="18.75">
      <c r="A274" s="29"/>
      <c r="B274" s="30"/>
      <c r="C274" s="30"/>
      <c r="D274" s="31"/>
      <c r="E274" s="30"/>
      <c r="F274" s="30"/>
      <c r="G274" s="30"/>
      <c r="H274" s="30"/>
      <c r="I274" s="30"/>
      <c r="Q274" s="26"/>
    </row>
    <row r="275" spans="1:17" ht="18.75">
      <c r="A275" s="29"/>
      <c r="B275" s="30"/>
      <c r="C275" s="30"/>
      <c r="D275" s="31"/>
      <c r="E275" s="30"/>
      <c r="F275" s="30"/>
      <c r="G275" s="30"/>
      <c r="H275" s="30"/>
      <c r="I275" s="30"/>
      <c r="Q275" s="26"/>
    </row>
    <row r="276" spans="1:17" ht="18.75">
      <c r="A276" s="29"/>
      <c r="B276" s="30"/>
      <c r="C276" s="30"/>
      <c r="D276" s="31"/>
      <c r="E276" s="30"/>
      <c r="F276" s="30"/>
      <c r="G276" s="30"/>
      <c r="H276" s="30"/>
      <c r="I276" s="30"/>
      <c r="Q276" s="26"/>
    </row>
    <row r="277" spans="1:17" ht="18.75">
      <c r="A277" s="29"/>
      <c r="B277" s="30"/>
      <c r="C277" s="30"/>
      <c r="D277" s="31"/>
      <c r="E277" s="30"/>
      <c r="F277" s="30"/>
      <c r="G277" s="30"/>
      <c r="H277" s="30"/>
      <c r="I277" s="30"/>
      <c r="Q277" s="26"/>
    </row>
    <row r="278" spans="1:17" ht="18.75">
      <c r="A278" s="29"/>
      <c r="B278" s="30"/>
      <c r="C278" s="30"/>
      <c r="D278" s="31"/>
      <c r="E278" s="30"/>
      <c r="F278" s="30"/>
      <c r="G278" s="30"/>
      <c r="H278" s="30"/>
      <c r="I278" s="30"/>
      <c r="Q278" s="26"/>
    </row>
    <row r="279" spans="1:17" ht="18.75">
      <c r="A279" s="29"/>
      <c r="B279" s="30"/>
      <c r="C279" s="30"/>
      <c r="D279" s="31"/>
      <c r="E279" s="30"/>
      <c r="F279" s="30"/>
      <c r="G279" s="30"/>
      <c r="H279" s="30"/>
      <c r="I279" s="30"/>
      <c r="Q279" s="26"/>
    </row>
    <row r="280" spans="1:17" ht="18.75">
      <c r="A280" s="29"/>
      <c r="B280" s="30"/>
      <c r="C280" s="30"/>
      <c r="D280" s="31"/>
      <c r="E280" s="30"/>
      <c r="F280" s="30"/>
      <c r="G280" s="30"/>
      <c r="H280" s="30"/>
      <c r="I280" s="30"/>
      <c r="Q280" s="26"/>
    </row>
    <row r="281" spans="1:17" ht="18.75">
      <c r="A281" s="29"/>
      <c r="B281" s="30"/>
      <c r="C281" s="30"/>
      <c r="D281" s="31"/>
      <c r="E281" s="30"/>
      <c r="F281" s="30"/>
      <c r="G281" s="30"/>
      <c r="H281" s="30"/>
      <c r="I281" s="30"/>
      <c r="Q281" s="26"/>
    </row>
    <row r="282" spans="1:17" ht="18.75">
      <c r="A282" s="29"/>
      <c r="B282" s="30"/>
      <c r="C282" s="30"/>
      <c r="D282" s="31"/>
      <c r="E282" s="30"/>
      <c r="F282" s="30"/>
      <c r="G282" s="30"/>
      <c r="H282" s="30"/>
      <c r="I282" s="30"/>
      <c r="Q282" s="26"/>
    </row>
    <row r="283" spans="1:17" ht="18.75">
      <c r="A283" s="29"/>
      <c r="B283" s="30"/>
      <c r="C283" s="30"/>
      <c r="D283" s="31"/>
      <c r="E283" s="30"/>
      <c r="F283" s="30"/>
      <c r="G283" s="30"/>
      <c r="H283" s="30"/>
      <c r="I283" s="30"/>
      <c r="Q283" s="26"/>
    </row>
    <row r="284" spans="1:17" ht="18.75">
      <c r="A284" s="29"/>
      <c r="B284" s="30"/>
      <c r="C284" s="30"/>
      <c r="D284" s="31"/>
      <c r="E284" s="30"/>
      <c r="F284" s="30"/>
      <c r="G284" s="30"/>
      <c r="H284" s="30"/>
      <c r="I284" s="30"/>
      <c r="Q284" s="26"/>
    </row>
    <row r="285" spans="1:17" ht="18.75">
      <c r="A285" s="29"/>
      <c r="B285" s="30"/>
      <c r="C285" s="30"/>
      <c r="D285" s="31"/>
      <c r="E285" s="30"/>
      <c r="F285" s="30"/>
      <c r="G285" s="30"/>
      <c r="H285" s="30"/>
      <c r="I285" s="30"/>
      <c r="Q285" s="26"/>
    </row>
    <row r="286" spans="1:17" ht="18.75">
      <c r="A286" s="29"/>
      <c r="B286" s="30"/>
      <c r="C286" s="30"/>
      <c r="D286" s="31"/>
      <c r="E286" s="30"/>
      <c r="F286" s="30"/>
      <c r="G286" s="30"/>
      <c r="H286" s="30"/>
      <c r="I286" s="30"/>
      <c r="Q286" s="26"/>
    </row>
    <row r="287" spans="1:17" ht="18.75">
      <c r="A287" s="29"/>
      <c r="B287" s="30"/>
      <c r="C287" s="30"/>
      <c r="D287" s="31"/>
      <c r="E287" s="30"/>
      <c r="F287" s="30"/>
      <c r="G287" s="30"/>
      <c r="H287" s="30"/>
      <c r="I287" s="30"/>
      <c r="Q287" s="26"/>
    </row>
    <row r="288" spans="1:17" ht="18.75">
      <c r="A288" s="29"/>
      <c r="B288" s="30"/>
      <c r="C288" s="30"/>
      <c r="D288" s="31"/>
      <c r="E288" s="30"/>
      <c r="F288" s="30"/>
      <c r="G288" s="30"/>
      <c r="H288" s="30"/>
      <c r="I288" s="30"/>
      <c r="Q288" s="26"/>
    </row>
    <row r="289" spans="1:17" ht="18.75">
      <c r="A289" s="29"/>
      <c r="B289" s="30"/>
      <c r="C289" s="30"/>
      <c r="D289" s="31"/>
      <c r="E289" s="30"/>
      <c r="F289" s="30"/>
      <c r="G289" s="30"/>
      <c r="H289" s="30"/>
      <c r="I289" s="30"/>
      <c r="Q289" s="26"/>
    </row>
    <row r="290" spans="1:17" ht="18.75">
      <c r="A290" s="29"/>
      <c r="B290" s="30"/>
      <c r="C290" s="30"/>
      <c r="D290" s="31"/>
      <c r="E290" s="30"/>
      <c r="F290" s="30"/>
      <c r="G290" s="30"/>
      <c r="H290" s="30"/>
      <c r="I290" s="30"/>
      <c r="Q290" s="26"/>
    </row>
    <row r="291" spans="1:17" ht="18.75">
      <c r="A291" s="29"/>
      <c r="B291" s="30"/>
      <c r="C291" s="30"/>
      <c r="D291" s="31"/>
      <c r="E291" s="30"/>
      <c r="F291" s="30"/>
      <c r="G291" s="30"/>
      <c r="H291" s="30"/>
      <c r="I291" s="30"/>
      <c r="Q291" s="26"/>
    </row>
    <row r="292" spans="1:17" ht="18.75">
      <c r="A292" s="29"/>
      <c r="B292" s="30"/>
      <c r="C292" s="30"/>
      <c r="D292" s="31"/>
      <c r="E292" s="30"/>
      <c r="F292" s="30"/>
      <c r="G292" s="30"/>
      <c r="H292" s="30"/>
      <c r="I292" s="30"/>
      <c r="Q292" s="26"/>
    </row>
    <row r="293" spans="1:17" ht="18.75">
      <c r="A293" s="29"/>
      <c r="B293" s="30"/>
      <c r="C293" s="30"/>
      <c r="D293" s="31"/>
      <c r="E293" s="30"/>
      <c r="F293" s="30"/>
      <c r="G293" s="30"/>
      <c r="H293" s="30"/>
      <c r="I293" s="30"/>
      <c r="Q293" s="26"/>
    </row>
    <row r="294" spans="1:17" ht="18.75">
      <c r="A294" s="29"/>
      <c r="B294" s="30"/>
      <c r="C294" s="30"/>
      <c r="D294" s="31"/>
      <c r="E294" s="30"/>
      <c r="F294" s="30"/>
      <c r="G294" s="30"/>
      <c r="H294" s="30"/>
      <c r="I294" s="30"/>
      <c r="Q294" s="26"/>
    </row>
    <row r="295" spans="1:17" ht="18.75">
      <c r="A295" s="29"/>
      <c r="B295" s="30"/>
      <c r="C295" s="30"/>
      <c r="D295" s="31"/>
      <c r="E295" s="30"/>
      <c r="F295" s="30"/>
      <c r="G295" s="30"/>
      <c r="H295" s="30"/>
      <c r="I295" s="30"/>
      <c r="Q295" s="26"/>
    </row>
    <row r="296" spans="1:17" ht="18.75">
      <c r="A296" s="29"/>
      <c r="B296" s="30"/>
      <c r="C296" s="30"/>
      <c r="D296" s="31"/>
      <c r="E296" s="30"/>
      <c r="F296" s="30"/>
      <c r="G296" s="30"/>
      <c r="H296" s="30"/>
      <c r="I296" s="30"/>
      <c r="Q296" s="26"/>
    </row>
    <row r="297" spans="1:17" ht="18.75">
      <c r="A297" s="29"/>
      <c r="B297" s="30"/>
      <c r="C297" s="30"/>
      <c r="D297" s="31"/>
      <c r="E297" s="30"/>
      <c r="F297" s="30"/>
      <c r="G297" s="30"/>
      <c r="H297" s="30"/>
      <c r="I297" s="30"/>
      <c r="Q297" s="26"/>
    </row>
    <row r="298" spans="1:17" ht="18.75">
      <c r="A298" s="29"/>
      <c r="B298" s="30"/>
      <c r="C298" s="30"/>
      <c r="D298" s="31"/>
      <c r="E298" s="30"/>
      <c r="F298" s="30"/>
      <c r="G298" s="30"/>
      <c r="H298" s="30"/>
      <c r="I298" s="30"/>
      <c r="Q298" s="26"/>
    </row>
    <row r="299" spans="1:17" ht="18.75">
      <c r="A299" s="29"/>
      <c r="B299" s="30"/>
      <c r="C299" s="30"/>
      <c r="D299" s="31"/>
      <c r="E299" s="30"/>
      <c r="F299" s="30"/>
      <c r="G299" s="30"/>
      <c r="H299" s="30"/>
      <c r="I299" s="30"/>
      <c r="Q299" s="26"/>
    </row>
    <row r="300" spans="1:17" ht="18.75">
      <c r="A300" s="29"/>
      <c r="B300" s="30"/>
      <c r="C300" s="30"/>
      <c r="D300" s="31"/>
      <c r="E300" s="30"/>
      <c r="F300" s="30"/>
      <c r="G300" s="30"/>
      <c r="H300" s="30"/>
      <c r="I300" s="30"/>
      <c r="Q300" s="26"/>
    </row>
    <row r="301" spans="1:17" ht="18.75">
      <c r="A301" s="29"/>
      <c r="B301" s="30"/>
      <c r="C301" s="30"/>
      <c r="D301" s="31"/>
      <c r="E301" s="30"/>
      <c r="F301" s="30"/>
      <c r="G301" s="30"/>
      <c r="H301" s="30"/>
      <c r="I301" s="30"/>
      <c r="Q301" s="26"/>
    </row>
    <row r="302" spans="1:17" ht="18.75">
      <c r="A302" s="29"/>
      <c r="B302" s="30"/>
      <c r="C302" s="30"/>
      <c r="D302" s="31"/>
      <c r="E302" s="30"/>
      <c r="F302" s="30"/>
      <c r="G302" s="30"/>
      <c r="H302" s="30"/>
      <c r="I302" s="30"/>
      <c r="Q302" s="26"/>
    </row>
    <row r="303" spans="1:17" ht="18.75">
      <c r="A303" s="29"/>
      <c r="B303" s="30"/>
      <c r="C303" s="30"/>
      <c r="D303" s="31"/>
      <c r="E303" s="30"/>
      <c r="F303" s="30"/>
      <c r="G303" s="30"/>
      <c r="H303" s="30"/>
      <c r="I303" s="30"/>
      <c r="Q303" s="26"/>
    </row>
    <row r="304" spans="1:17" ht="18.75">
      <c r="A304" s="29"/>
      <c r="B304" s="30"/>
      <c r="C304" s="30"/>
      <c r="D304" s="31"/>
      <c r="E304" s="30"/>
      <c r="F304" s="30"/>
      <c r="G304" s="30"/>
      <c r="H304" s="30"/>
      <c r="I304" s="30"/>
      <c r="Q304" s="26"/>
    </row>
    <row r="305" spans="1:17" ht="18.75">
      <c r="A305" s="29"/>
      <c r="B305" s="30"/>
      <c r="C305" s="30"/>
      <c r="D305" s="31"/>
      <c r="E305" s="30"/>
      <c r="F305" s="30"/>
      <c r="G305" s="30"/>
      <c r="H305" s="30"/>
      <c r="I305" s="30"/>
      <c r="Q305" s="26"/>
    </row>
    <row r="306" spans="1:17" ht="18.75">
      <c r="A306" s="29"/>
      <c r="B306" s="30"/>
      <c r="C306" s="30"/>
      <c r="D306" s="31"/>
      <c r="E306" s="30"/>
      <c r="F306" s="30"/>
      <c r="G306" s="30"/>
      <c r="H306" s="30"/>
      <c r="I306" s="30"/>
      <c r="Q306" s="26"/>
    </row>
    <row r="307" spans="1:17" ht="18.75">
      <c r="A307" s="29"/>
      <c r="B307" s="30"/>
      <c r="C307" s="30"/>
      <c r="D307" s="31"/>
      <c r="E307" s="30"/>
      <c r="F307" s="30"/>
      <c r="G307" s="30"/>
      <c r="H307" s="30"/>
      <c r="I307" s="30"/>
      <c r="Q307" s="26"/>
    </row>
    <row r="308" spans="1:17" ht="18.75">
      <c r="A308" s="29"/>
      <c r="B308" s="30"/>
      <c r="C308" s="30"/>
      <c r="D308" s="31"/>
      <c r="E308" s="30"/>
      <c r="F308" s="30"/>
      <c r="G308" s="30"/>
      <c r="H308" s="30"/>
      <c r="I308" s="30"/>
    </row>
    <row r="309" spans="1:17" ht="18.75">
      <c r="A309" s="29"/>
      <c r="B309" s="30"/>
      <c r="C309" s="30"/>
      <c r="D309" s="31"/>
      <c r="E309" s="30"/>
      <c r="F309" s="30"/>
      <c r="G309" s="30"/>
      <c r="H309" s="30"/>
      <c r="I309" s="30"/>
    </row>
    <row r="310" spans="1:17" ht="18.75">
      <c r="A310" s="29"/>
      <c r="B310" s="30"/>
      <c r="C310" s="30"/>
      <c r="D310" s="31"/>
      <c r="E310" s="30"/>
      <c r="F310" s="30"/>
      <c r="G310" s="30"/>
      <c r="H310" s="30"/>
      <c r="I310" s="30"/>
    </row>
    <row r="311" spans="1:17" ht="18.75">
      <c r="A311" s="29"/>
      <c r="B311" s="30"/>
      <c r="C311" s="30"/>
      <c r="D311" s="31"/>
      <c r="E311" s="30"/>
      <c r="F311" s="30"/>
      <c r="G311" s="30"/>
      <c r="H311" s="30"/>
      <c r="I311" s="30"/>
    </row>
    <row r="312" spans="1:17" ht="18.75">
      <c r="A312" s="29"/>
      <c r="B312" s="30"/>
      <c r="C312" s="30"/>
      <c r="D312" s="31"/>
      <c r="E312" s="30"/>
      <c r="F312" s="30"/>
      <c r="G312" s="30"/>
      <c r="H312" s="30"/>
      <c r="I312" s="30"/>
    </row>
    <row r="313" spans="1:17" ht="18.75">
      <c r="A313" s="29"/>
      <c r="B313" s="30"/>
      <c r="C313" s="30"/>
      <c r="D313" s="31"/>
      <c r="E313" s="30"/>
      <c r="F313" s="30"/>
      <c r="G313" s="30"/>
      <c r="H313" s="30"/>
      <c r="I313" s="30"/>
    </row>
    <row r="314" spans="1:17" ht="18.75">
      <c r="A314" s="29"/>
      <c r="B314" s="30"/>
      <c r="C314" s="30"/>
      <c r="D314" s="31"/>
      <c r="E314" s="30"/>
      <c r="F314" s="30"/>
      <c r="G314" s="30"/>
      <c r="H314" s="30"/>
      <c r="I314" s="30"/>
    </row>
    <row r="315" spans="1:17" ht="18.75">
      <c r="A315" s="29"/>
      <c r="B315" s="30"/>
      <c r="C315" s="30"/>
      <c r="D315" s="31"/>
      <c r="E315" s="30"/>
      <c r="F315" s="30"/>
      <c r="G315" s="30"/>
      <c r="H315" s="30"/>
      <c r="I315" s="30"/>
    </row>
    <row r="316" spans="1:17" ht="18.75">
      <c r="A316" s="29"/>
      <c r="B316" s="30"/>
      <c r="C316" s="30"/>
      <c r="D316" s="31"/>
      <c r="E316" s="30"/>
      <c r="F316" s="30"/>
      <c r="G316" s="30"/>
      <c r="H316" s="30"/>
      <c r="I316" s="30"/>
    </row>
    <row r="317" spans="1:17" ht="18.75">
      <c r="A317" s="29"/>
      <c r="B317" s="30"/>
      <c r="C317" s="30"/>
      <c r="D317" s="31"/>
      <c r="E317" s="30"/>
      <c r="F317" s="30"/>
      <c r="G317" s="30"/>
      <c r="H317" s="30"/>
      <c r="I317" s="30"/>
    </row>
    <row r="318" spans="1:17" ht="18.75">
      <c r="A318" s="29"/>
      <c r="B318" s="30"/>
      <c r="C318" s="30"/>
      <c r="D318" s="31"/>
      <c r="E318" s="30"/>
      <c r="F318" s="30"/>
      <c r="G318" s="30"/>
      <c r="H318" s="30"/>
      <c r="I318" s="30"/>
    </row>
    <row r="319" spans="1:17" ht="18.75">
      <c r="A319" s="29"/>
      <c r="B319" s="30"/>
      <c r="C319" s="30"/>
      <c r="D319" s="31"/>
      <c r="E319" s="30"/>
      <c r="F319" s="30"/>
      <c r="G319" s="30"/>
      <c r="H319" s="30"/>
      <c r="I319" s="30"/>
    </row>
    <row r="320" spans="1:17" ht="18.75">
      <c r="A320" s="29"/>
      <c r="B320" s="30"/>
      <c r="C320" s="30"/>
      <c r="D320" s="31"/>
      <c r="E320" s="30"/>
      <c r="F320" s="30"/>
      <c r="G320" s="30"/>
      <c r="H320" s="30"/>
      <c r="I320" s="30"/>
    </row>
    <row r="321" spans="1:9" ht="18.75">
      <c r="A321" s="29"/>
      <c r="B321" s="30"/>
      <c r="C321" s="30"/>
      <c r="D321" s="31"/>
      <c r="E321" s="30"/>
      <c r="F321" s="30"/>
      <c r="G321" s="30"/>
      <c r="H321" s="30"/>
      <c r="I321" s="30"/>
    </row>
    <row r="322" spans="1:9" ht="18.75">
      <c r="A322" s="29"/>
      <c r="B322" s="30"/>
      <c r="C322" s="30"/>
      <c r="D322" s="31"/>
      <c r="E322" s="30"/>
      <c r="F322" s="30"/>
      <c r="G322" s="30"/>
      <c r="H322" s="30"/>
      <c r="I322" s="30"/>
    </row>
    <row r="323" spans="1:9" ht="18.75">
      <c r="A323" s="29"/>
      <c r="B323" s="30"/>
      <c r="C323" s="30"/>
      <c r="D323" s="31"/>
      <c r="E323" s="30"/>
      <c r="F323" s="30"/>
      <c r="G323" s="30"/>
      <c r="H323" s="30"/>
      <c r="I323" s="30"/>
    </row>
    <row r="324" spans="1:9" ht="18.75">
      <c r="A324" s="29"/>
      <c r="B324" s="30"/>
      <c r="C324" s="30"/>
      <c r="D324" s="31"/>
      <c r="E324" s="30"/>
      <c r="F324" s="30"/>
      <c r="G324" s="30"/>
      <c r="H324" s="30"/>
      <c r="I324" s="30"/>
    </row>
    <row r="325" spans="1:9" ht="18.75">
      <c r="A325" s="29"/>
      <c r="B325" s="30"/>
      <c r="C325" s="30"/>
      <c r="D325" s="31"/>
      <c r="E325" s="30"/>
      <c r="F325" s="30"/>
      <c r="G325" s="30"/>
      <c r="H325" s="30"/>
      <c r="I325" s="30"/>
    </row>
    <row r="326" spans="1:9" ht="18.75">
      <c r="A326" s="29"/>
      <c r="B326" s="30"/>
      <c r="C326" s="30"/>
      <c r="D326" s="31"/>
      <c r="E326" s="30"/>
      <c r="F326" s="30"/>
      <c r="G326" s="30"/>
      <c r="H326" s="30"/>
      <c r="I326" s="30"/>
    </row>
    <row r="327" spans="1:9" ht="18.75">
      <c r="A327" s="29"/>
      <c r="B327" s="30"/>
      <c r="C327" s="30"/>
      <c r="D327" s="31"/>
      <c r="E327" s="30"/>
      <c r="F327" s="30"/>
      <c r="G327" s="30"/>
      <c r="H327" s="30"/>
      <c r="I327" s="30"/>
    </row>
    <row r="328" spans="1:9" ht="18.75">
      <c r="A328" s="29"/>
      <c r="B328" s="30"/>
      <c r="C328" s="30"/>
      <c r="D328" s="31"/>
      <c r="E328" s="30"/>
      <c r="F328" s="30"/>
      <c r="G328" s="30"/>
      <c r="H328" s="30"/>
      <c r="I328" s="30"/>
    </row>
    <row r="329" spans="1:9" ht="18.75">
      <c r="A329" s="29"/>
      <c r="B329" s="30"/>
      <c r="C329" s="30"/>
      <c r="D329" s="31"/>
      <c r="E329" s="30"/>
      <c r="F329" s="30"/>
      <c r="G329" s="30"/>
      <c r="H329" s="30"/>
      <c r="I329" s="30"/>
    </row>
    <row r="330" spans="1:9" ht="18.75">
      <c r="A330" s="29"/>
      <c r="B330" s="30"/>
      <c r="C330" s="30"/>
      <c r="D330" s="31"/>
      <c r="E330" s="30"/>
      <c r="F330" s="30"/>
      <c r="G330" s="30"/>
      <c r="H330" s="30"/>
      <c r="I330" s="30"/>
    </row>
    <row r="331" spans="1:9" ht="18.75">
      <c r="A331" s="29"/>
      <c r="B331" s="30"/>
      <c r="C331" s="30"/>
      <c r="D331" s="31"/>
      <c r="E331" s="30"/>
      <c r="F331" s="30"/>
      <c r="G331" s="30"/>
      <c r="H331" s="30"/>
      <c r="I331" s="30"/>
    </row>
    <row r="332" spans="1:9" ht="18.75">
      <c r="A332" s="29"/>
      <c r="B332" s="30"/>
      <c r="C332" s="30"/>
      <c r="D332" s="31"/>
      <c r="E332" s="30"/>
      <c r="F332" s="30"/>
      <c r="G332" s="30"/>
      <c r="H332" s="30"/>
      <c r="I332" s="30"/>
    </row>
    <row r="333" spans="1:9" ht="18.75">
      <c r="A333" s="29"/>
      <c r="B333" s="30"/>
      <c r="C333" s="30"/>
      <c r="D333" s="31"/>
      <c r="E333" s="30"/>
      <c r="F333" s="30"/>
      <c r="G333" s="30"/>
      <c r="H333" s="30"/>
      <c r="I333" s="30"/>
    </row>
    <row r="334" spans="1:9" ht="18.75">
      <c r="A334" s="29"/>
      <c r="B334" s="30"/>
      <c r="C334" s="30"/>
      <c r="D334" s="31"/>
      <c r="E334" s="30"/>
      <c r="F334" s="30"/>
      <c r="G334" s="30"/>
      <c r="H334" s="30"/>
      <c r="I334" s="30"/>
    </row>
    <row r="335" spans="1:9" ht="18.75">
      <c r="A335" s="29"/>
      <c r="B335" s="30"/>
      <c r="C335" s="30"/>
      <c r="D335" s="31"/>
      <c r="E335" s="30"/>
      <c r="F335" s="30"/>
      <c r="G335" s="30"/>
      <c r="H335" s="30"/>
      <c r="I335" s="30"/>
    </row>
    <row r="336" spans="1:9" ht="18.75">
      <c r="A336" s="29"/>
      <c r="B336" s="30"/>
      <c r="C336" s="30"/>
      <c r="D336" s="31"/>
      <c r="E336" s="30"/>
      <c r="F336" s="30"/>
      <c r="G336" s="30"/>
      <c r="H336" s="30"/>
      <c r="I336" s="30"/>
    </row>
    <row r="337" spans="1:9" ht="18.75">
      <c r="A337" s="29"/>
      <c r="B337" s="30"/>
      <c r="C337" s="30"/>
      <c r="D337" s="31"/>
      <c r="E337" s="30"/>
      <c r="F337" s="30"/>
      <c r="G337" s="30"/>
      <c r="H337" s="30"/>
      <c r="I337" s="30"/>
    </row>
    <row r="338" spans="1:9" ht="18.75">
      <c r="A338" s="29"/>
      <c r="B338" s="30"/>
      <c r="C338" s="30"/>
      <c r="D338" s="31"/>
      <c r="E338" s="30"/>
      <c r="F338" s="30"/>
      <c r="G338" s="30"/>
      <c r="H338" s="30"/>
      <c r="I338" s="30"/>
    </row>
    <row r="339" spans="1:9" ht="18.75">
      <c r="A339" s="29"/>
      <c r="B339" s="30"/>
      <c r="C339" s="30"/>
      <c r="D339" s="31"/>
      <c r="E339" s="30"/>
      <c r="F339" s="30"/>
      <c r="G339" s="30"/>
      <c r="H339" s="30"/>
      <c r="I339" s="30"/>
    </row>
    <row r="340" spans="1:9" ht="18.75">
      <c r="A340" s="29"/>
      <c r="B340" s="30"/>
      <c r="C340" s="30"/>
      <c r="D340" s="31"/>
      <c r="E340" s="30"/>
      <c r="F340" s="30"/>
      <c r="G340" s="30"/>
      <c r="H340" s="30"/>
      <c r="I340" s="30"/>
    </row>
    <row r="341" spans="1:9" ht="18.75">
      <c r="A341" s="29"/>
      <c r="B341" s="30"/>
      <c r="C341" s="30"/>
      <c r="D341" s="31"/>
      <c r="E341" s="30"/>
      <c r="F341" s="30"/>
      <c r="G341" s="30"/>
      <c r="H341" s="30"/>
      <c r="I341" s="30"/>
    </row>
    <row r="342" spans="1:9" ht="18.75">
      <c r="A342" s="29"/>
      <c r="B342" s="30"/>
      <c r="C342" s="30"/>
      <c r="D342" s="31"/>
      <c r="E342" s="30"/>
      <c r="F342" s="30"/>
      <c r="G342" s="30"/>
      <c r="H342" s="30"/>
      <c r="I342" s="30"/>
    </row>
    <row r="343" spans="1:9" ht="18.75">
      <c r="A343" s="29"/>
      <c r="B343" s="30"/>
      <c r="C343" s="30"/>
      <c r="D343" s="31"/>
      <c r="E343" s="30"/>
      <c r="F343" s="30"/>
      <c r="G343" s="30"/>
      <c r="H343" s="30"/>
      <c r="I343" s="30"/>
    </row>
    <row r="344" spans="1:9" ht="18.75">
      <c r="A344" s="29"/>
      <c r="B344" s="30"/>
      <c r="C344" s="30"/>
      <c r="D344" s="31"/>
      <c r="E344" s="30"/>
      <c r="F344" s="30"/>
      <c r="G344" s="30"/>
      <c r="H344" s="30"/>
      <c r="I344" s="30"/>
    </row>
    <row r="345" spans="1:9" ht="18.75">
      <c r="A345" s="29"/>
      <c r="B345" s="30"/>
      <c r="C345" s="30"/>
      <c r="D345" s="31"/>
      <c r="E345" s="30"/>
      <c r="F345" s="30"/>
      <c r="G345" s="30"/>
      <c r="H345" s="30"/>
      <c r="I345" s="30"/>
    </row>
    <row r="346" spans="1:9" ht="18.75">
      <c r="A346" s="29"/>
      <c r="B346" s="30"/>
      <c r="C346" s="30"/>
      <c r="D346" s="31"/>
      <c r="E346" s="30"/>
      <c r="F346" s="30"/>
      <c r="G346" s="30"/>
      <c r="H346" s="30"/>
      <c r="I346" s="30"/>
    </row>
    <row r="347" spans="1:9" ht="18.75">
      <c r="A347" s="29"/>
      <c r="B347" s="30"/>
      <c r="C347" s="30"/>
      <c r="D347" s="31"/>
      <c r="E347" s="30"/>
      <c r="F347" s="30"/>
      <c r="G347" s="30"/>
      <c r="H347" s="30"/>
      <c r="I347" s="30"/>
    </row>
    <row r="348" spans="1:9" ht="18.75">
      <c r="A348" s="29"/>
      <c r="B348" s="30"/>
      <c r="C348" s="30"/>
      <c r="D348" s="31"/>
      <c r="E348" s="30"/>
      <c r="F348" s="30"/>
      <c r="G348" s="30"/>
      <c r="H348" s="30"/>
      <c r="I348" s="30"/>
    </row>
    <row r="349" spans="1:9" ht="18.75">
      <c r="A349" s="29"/>
      <c r="B349" s="30"/>
      <c r="C349" s="30"/>
      <c r="D349" s="31"/>
      <c r="E349" s="30"/>
      <c r="F349" s="30"/>
      <c r="G349" s="30"/>
      <c r="H349" s="30"/>
      <c r="I349" s="30"/>
    </row>
    <row r="350" spans="1:9" ht="18.75">
      <c r="A350" s="29"/>
      <c r="B350" s="30"/>
      <c r="C350" s="30"/>
      <c r="D350" s="31"/>
      <c r="E350" s="30"/>
      <c r="F350" s="30"/>
      <c r="G350" s="30"/>
      <c r="H350" s="30"/>
      <c r="I350" s="30"/>
    </row>
    <row r="351" spans="1:9" ht="18.75">
      <c r="A351" s="29"/>
      <c r="B351" s="30"/>
      <c r="C351" s="30"/>
      <c r="D351" s="31"/>
      <c r="E351" s="30"/>
      <c r="F351" s="30"/>
      <c r="G351" s="30"/>
      <c r="H351" s="30"/>
      <c r="I351" s="30"/>
    </row>
    <row r="352" spans="1:9" ht="18.75">
      <c r="A352" s="29"/>
      <c r="B352" s="30"/>
      <c r="C352" s="30"/>
      <c r="D352" s="31"/>
      <c r="E352" s="30"/>
      <c r="F352" s="30"/>
      <c r="G352" s="30"/>
      <c r="H352" s="30"/>
      <c r="I352" s="30"/>
    </row>
    <row r="353" spans="1:9" ht="18.75">
      <c r="A353" s="29"/>
      <c r="B353" s="30"/>
      <c r="C353" s="30"/>
      <c r="D353" s="31"/>
      <c r="E353" s="30"/>
      <c r="F353" s="30"/>
      <c r="G353" s="30"/>
      <c r="H353" s="30"/>
      <c r="I353" s="30"/>
    </row>
    <row r="354" spans="1:9" ht="18.75">
      <c r="A354" s="29"/>
      <c r="B354" s="30"/>
      <c r="C354" s="30"/>
      <c r="D354" s="31"/>
      <c r="E354" s="30"/>
      <c r="F354" s="30"/>
      <c r="G354" s="30"/>
      <c r="H354" s="30"/>
      <c r="I354" s="30"/>
    </row>
    <row r="355" spans="1:9" ht="18.75">
      <c r="A355" s="29"/>
      <c r="B355" s="30"/>
      <c r="C355" s="30"/>
      <c r="D355" s="31"/>
      <c r="E355" s="30"/>
      <c r="F355" s="30"/>
      <c r="G355" s="30"/>
      <c r="H355" s="30"/>
      <c r="I355" s="30"/>
    </row>
    <row r="356" spans="1:9" ht="18.75">
      <c r="A356" s="29"/>
      <c r="B356" s="30"/>
      <c r="C356" s="30"/>
      <c r="D356" s="31"/>
      <c r="E356" s="30"/>
      <c r="F356" s="30"/>
      <c r="G356" s="30"/>
      <c r="H356" s="30"/>
      <c r="I356" s="30"/>
    </row>
    <row r="357" spans="1:9" ht="18.75">
      <c r="A357" s="29"/>
      <c r="B357" s="30"/>
      <c r="C357" s="30"/>
      <c r="D357" s="31"/>
      <c r="E357" s="30"/>
      <c r="F357" s="30"/>
      <c r="G357" s="30"/>
      <c r="H357" s="30"/>
      <c r="I357" s="30"/>
    </row>
    <row r="358" spans="1:9" ht="18.75">
      <c r="A358" s="29"/>
      <c r="B358" s="30"/>
      <c r="C358" s="30"/>
      <c r="D358" s="31"/>
      <c r="E358" s="30"/>
      <c r="F358" s="30"/>
      <c r="G358" s="30"/>
      <c r="H358" s="30"/>
      <c r="I358" s="30"/>
    </row>
    <row r="359" spans="1:9" ht="18.75">
      <c r="A359" s="29"/>
      <c r="B359" s="30"/>
      <c r="C359" s="30"/>
      <c r="D359" s="31"/>
      <c r="E359" s="30"/>
      <c r="F359" s="30"/>
      <c r="G359" s="30"/>
      <c r="H359" s="30"/>
      <c r="I359" s="30"/>
    </row>
    <row r="360" spans="1:9" ht="18.75">
      <c r="A360" s="29"/>
      <c r="B360" s="30"/>
      <c r="C360" s="30"/>
      <c r="D360" s="31"/>
      <c r="E360" s="30"/>
      <c r="F360" s="30"/>
      <c r="G360" s="30"/>
      <c r="H360" s="30"/>
      <c r="I360" s="30"/>
    </row>
    <row r="361" spans="1:9" ht="18.75">
      <c r="A361" s="29"/>
      <c r="B361" s="30"/>
      <c r="C361" s="30"/>
      <c r="D361" s="31"/>
      <c r="E361" s="30"/>
      <c r="F361" s="30"/>
      <c r="G361" s="30"/>
      <c r="H361" s="30"/>
      <c r="I361" s="30"/>
    </row>
    <row r="362" spans="1:9" ht="18.75">
      <c r="A362" s="29"/>
      <c r="B362" s="30"/>
      <c r="C362" s="30"/>
      <c r="D362" s="31"/>
      <c r="E362" s="30"/>
      <c r="F362" s="30"/>
      <c r="G362" s="30"/>
      <c r="H362" s="30"/>
      <c r="I362" s="30"/>
    </row>
    <row r="363" spans="1:9" ht="18.75">
      <c r="A363" s="29"/>
      <c r="B363" s="30"/>
      <c r="C363" s="30"/>
      <c r="D363" s="31"/>
      <c r="E363" s="30"/>
      <c r="F363" s="30"/>
      <c r="G363" s="30"/>
      <c r="H363" s="30"/>
      <c r="I363" s="30"/>
    </row>
    <row r="364" spans="1:9" ht="18.75">
      <c r="A364" s="29"/>
      <c r="B364" s="30"/>
      <c r="C364" s="30"/>
      <c r="D364" s="31"/>
      <c r="E364" s="30"/>
      <c r="F364" s="30"/>
      <c r="G364" s="30"/>
      <c r="H364" s="30"/>
      <c r="I364" s="30"/>
    </row>
    <row r="365" spans="1:9" ht="18.75">
      <c r="A365" s="29"/>
      <c r="B365" s="30"/>
      <c r="C365" s="30"/>
      <c r="D365" s="31"/>
      <c r="E365" s="30"/>
      <c r="F365" s="30"/>
      <c r="G365" s="30"/>
      <c r="H365" s="30"/>
      <c r="I365" s="30"/>
    </row>
    <row r="366" spans="1:9" ht="18.75">
      <c r="A366" s="29"/>
      <c r="B366" s="30"/>
      <c r="C366" s="30"/>
      <c r="D366" s="31"/>
      <c r="E366" s="30"/>
      <c r="F366" s="30"/>
      <c r="G366" s="30"/>
      <c r="H366" s="30"/>
      <c r="I366" s="30"/>
    </row>
    <row r="367" spans="1:9" ht="18.75">
      <c r="A367" s="29"/>
      <c r="B367" s="30"/>
      <c r="C367" s="30"/>
      <c r="D367" s="31"/>
      <c r="E367" s="30"/>
      <c r="F367" s="30"/>
      <c r="G367" s="30"/>
      <c r="H367" s="30"/>
      <c r="I367" s="30"/>
    </row>
    <row r="368" spans="1:9" ht="18.75">
      <c r="A368" s="29"/>
      <c r="B368" s="30"/>
      <c r="C368" s="30"/>
      <c r="D368" s="31"/>
      <c r="E368" s="30"/>
      <c r="F368" s="30"/>
      <c r="G368" s="30"/>
      <c r="H368" s="30"/>
      <c r="I368" s="30"/>
    </row>
    <row r="369" spans="1:9" ht="18.75">
      <c r="A369" s="29"/>
      <c r="B369" s="30"/>
      <c r="C369" s="30"/>
      <c r="D369" s="31"/>
      <c r="E369" s="30"/>
      <c r="F369" s="30"/>
      <c r="G369" s="30"/>
      <c r="H369" s="30"/>
      <c r="I369" s="30"/>
    </row>
    <row r="370" spans="1:9" ht="18.75">
      <c r="A370" s="29"/>
      <c r="B370" s="30"/>
      <c r="C370" s="30"/>
      <c r="D370" s="31"/>
      <c r="E370" s="30"/>
      <c r="F370" s="30"/>
      <c r="G370" s="30"/>
      <c r="H370" s="30"/>
      <c r="I370" s="30"/>
    </row>
    <row r="371" spans="1:9" ht="18.75">
      <c r="A371" s="29"/>
      <c r="B371" s="30"/>
      <c r="C371" s="30"/>
      <c r="D371" s="31"/>
      <c r="E371" s="30"/>
      <c r="F371" s="30"/>
      <c r="G371" s="30"/>
      <c r="H371" s="30"/>
      <c r="I371" s="30"/>
    </row>
    <row r="372" spans="1:9" ht="18.75">
      <c r="A372" s="29"/>
      <c r="B372" s="30"/>
      <c r="C372" s="30"/>
      <c r="D372" s="31"/>
      <c r="E372" s="30"/>
      <c r="F372" s="30"/>
      <c r="G372" s="30"/>
      <c r="H372" s="30"/>
      <c r="I372" s="30"/>
    </row>
    <row r="373" spans="1:9" ht="18.75">
      <c r="A373" s="29"/>
      <c r="B373" s="30"/>
      <c r="C373" s="30"/>
      <c r="D373" s="31"/>
      <c r="E373" s="30"/>
      <c r="F373" s="30"/>
      <c r="G373" s="30"/>
      <c r="H373" s="30"/>
      <c r="I373" s="30"/>
    </row>
    <row r="374" spans="1:9" ht="18.75">
      <c r="A374" s="29"/>
      <c r="B374" s="30"/>
      <c r="C374" s="30"/>
      <c r="D374" s="31"/>
      <c r="E374" s="30"/>
      <c r="F374" s="30"/>
      <c r="G374" s="30"/>
      <c r="H374" s="30"/>
      <c r="I374" s="30"/>
    </row>
    <row r="375" spans="1:9" ht="18.75">
      <c r="A375" s="29"/>
      <c r="B375" s="30"/>
      <c r="C375" s="30"/>
      <c r="D375" s="31"/>
      <c r="E375" s="30"/>
      <c r="F375" s="30"/>
      <c r="G375" s="30"/>
      <c r="H375" s="30"/>
      <c r="I375" s="30"/>
    </row>
    <row r="376" spans="1:9" ht="18.75">
      <c r="A376" s="29"/>
      <c r="B376" s="30"/>
      <c r="C376" s="30"/>
      <c r="D376" s="31"/>
      <c r="E376" s="30"/>
      <c r="F376" s="30"/>
      <c r="G376" s="30"/>
      <c r="H376" s="30"/>
      <c r="I376" s="30"/>
    </row>
    <row r="377" spans="1:9" ht="18.75">
      <c r="A377" s="29"/>
      <c r="B377" s="30"/>
      <c r="C377" s="30"/>
      <c r="D377" s="31"/>
      <c r="E377" s="30"/>
      <c r="F377" s="30"/>
      <c r="G377" s="30"/>
      <c r="H377" s="30"/>
      <c r="I377" s="30"/>
    </row>
    <row r="378" spans="1:9" ht="18.75">
      <c r="A378" s="29"/>
      <c r="B378" s="30"/>
      <c r="C378" s="30"/>
      <c r="D378" s="31"/>
      <c r="E378" s="30"/>
      <c r="F378" s="30"/>
      <c r="G378" s="30"/>
      <c r="H378" s="30"/>
      <c r="I378" s="30"/>
    </row>
    <row r="379" spans="1:9" ht="18.75">
      <c r="A379" s="29"/>
      <c r="B379" s="30"/>
      <c r="C379" s="30"/>
      <c r="D379" s="31"/>
      <c r="E379" s="30"/>
      <c r="F379" s="30"/>
      <c r="G379" s="30"/>
      <c r="H379" s="30"/>
      <c r="I379" s="30"/>
    </row>
    <row r="380" spans="1:9" ht="18.75">
      <c r="A380" s="29"/>
      <c r="B380" s="30"/>
      <c r="C380" s="30"/>
      <c r="D380" s="31"/>
      <c r="E380" s="30"/>
      <c r="F380" s="30"/>
      <c r="G380" s="30"/>
      <c r="H380" s="30"/>
      <c r="I380" s="30"/>
    </row>
    <row r="381" spans="1:9" ht="18.75">
      <c r="A381" s="29"/>
      <c r="B381" s="30"/>
      <c r="C381" s="30"/>
      <c r="D381" s="31"/>
      <c r="E381" s="30"/>
      <c r="F381" s="30"/>
      <c r="G381" s="30"/>
      <c r="H381" s="30"/>
      <c r="I381" s="30"/>
    </row>
    <row r="382" spans="1:9" ht="18.75">
      <c r="A382" s="29"/>
      <c r="B382" s="30"/>
      <c r="C382" s="30"/>
      <c r="D382" s="31"/>
      <c r="E382" s="30"/>
      <c r="F382" s="30"/>
      <c r="G382" s="30"/>
      <c r="H382" s="30"/>
      <c r="I382" s="30"/>
    </row>
    <row r="383" spans="1:9" ht="18.75">
      <c r="A383" s="29"/>
      <c r="B383" s="30"/>
      <c r="C383" s="30"/>
      <c r="D383" s="31"/>
      <c r="E383" s="30"/>
      <c r="F383" s="30"/>
      <c r="G383" s="30"/>
      <c r="H383" s="30"/>
      <c r="I383" s="30"/>
    </row>
    <row r="384" spans="1:9" ht="18.75">
      <c r="A384" s="29"/>
      <c r="B384" s="30"/>
      <c r="C384" s="30"/>
      <c r="D384" s="31"/>
      <c r="E384" s="30"/>
      <c r="F384" s="30"/>
      <c r="G384" s="30"/>
      <c r="H384" s="30"/>
      <c r="I384" s="30"/>
    </row>
    <row r="385" spans="1:9" ht="18.75">
      <c r="A385" s="29"/>
      <c r="B385" s="30"/>
      <c r="C385" s="30"/>
      <c r="D385" s="31"/>
      <c r="E385" s="30"/>
      <c r="F385" s="30"/>
      <c r="G385" s="30"/>
      <c r="H385" s="30"/>
      <c r="I385" s="30"/>
    </row>
    <row r="386" spans="1:9" ht="18.75">
      <c r="A386" s="29"/>
      <c r="B386" s="30"/>
      <c r="C386" s="30"/>
      <c r="D386" s="31"/>
      <c r="E386" s="30"/>
      <c r="F386" s="30"/>
      <c r="G386" s="30"/>
      <c r="H386" s="30"/>
      <c r="I386" s="30"/>
    </row>
    <row r="387" spans="1:9" ht="18.75">
      <c r="A387" s="29"/>
      <c r="B387" s="30"/>
      <c r="C387" s="30"/>
      <c r="D387" s="31"/>
      <c r="E387" s="30"/>
      <c r="F387" s="30"/>
      <c r="G387" s="30"/>
      <c r="H387" s="30"/>
      <c r="I387" s="30"/>
    </row>
    <row r="388" spans="1:9" ht="18.75">
      <c r="A388" s="29"/>
      <c r="B388" s="30"/>
      <c r="C388" s="30"/>
      <c r="D388" s="31"/>
      <c r="E388" s="30"/>
      <c r="F388" s="30"/>
      <c r="G388" s="30"/>
      <c r="H388" s="30"/>
      <c r="I388" s="30"/>
    </row>
    <row r="389" spans="1:9" ht="18.75">
      <c r="A389" s="29"/>
      <c r="B389" s="30"/>
      <c r="C389" s="30"/>
      <c r="D389" s="31"/>
      <c r="E389" s="30"/>
      <c r="F389" s="30"/>
      <c r="G389" s="30"/>
      <c r="H389" s="30"/>
      <c r="I389" s="30"/>
    </row>
    <row r="390" spans="1:9" ht="18.75">
      <c r="A390" s="29"/>
      <c r="B390" s="30"/>
      <c r="C390" s="30"/>
      <c r="D390" s="31"/>
      <c r="E390" s="30"/>
      <c r="F390" s="30"/>
      <c r="G390" s="30"/>
      <c r="H390" s="30"/>
      <c r="I390" s="30"/>
    </row>
    <row r="391" spans="1:9" ht="18.75">
      <c r="A391" s="29"/>
      <c r="B391" s="30"/>
      <c r="C391" s="30"/>
      <c r="D391" s="31"/>
      <c r="E391" s="30"/>
      <c r="F391" s="30"/>
      <c r="G391" s="30"/>
      <c r="H391" s="30"/>
      <c r="I391" s="30"/>
    </row>
    <row r="392" spans="1:9" ht="18.75">
      <c r="A392" s="29"/>
      <c r="B392" s="30"/>
      <c r="C392" s="30"/>
      <c r="D392" s="31"/>
      <c r="E392" s="30"/>
      <c r="F392" s="30"/>
      <c r="G392" s="30"/>
      <c r="H392" s="30"/>
      <c r="I392" s="30"/>
    </row>
    <row r="393" spans="1:9" ht="18.75">
      <c r="A393" s="29"/>
      <c r="B393" s="30"/>
      <c r="C393" s="30"/>
      <c r="D393" s="31"/>
      <c r="E393" s="30"/>
      <c r="F393" s="30"/>
      <c r="G393" s="30"/>
      <c r="H393" s="30"/>
      <c r="I393" s="30"/>
    </row>
    <row r="394" spans="1:9" ht="18.75">
      <c r="A394" s="29"/>
      <c r="B394" s="30"/>
      <c r="C394" s="30"/>
      <c r="D394" s="31"/>
      <c r="E394" s="30"/>
      <c r="F394" s="30"/>
      <c r="G394" s="30"/>
      <c r="H394" s="30"/>
      <c r="I394" s="30"/>
    </row>
    <row r="395" spans="1:9" ht="18.75">
      <c r="A395" s="29"/>
      <c r="B395" s="30"/>
      <c r="C395" s="30"/>
      <c r="D395" s="31"/>
      <c r="E395" s="30"/>
      <c r="F395" s="30"/>
      <c r="G395" s="30"/>
      <c r="H395" s="30"/>
      <c r="I395" s="30"/>
    </row>
    <row r="396" spans="1:9" ht="18.75">
      <c r="A396" s="29"/>
      <c r="B396" s="30"/>
      <c r="C396" s="30"/>
      <c r="D396" s="31"/>
      <c r="E396" s="30"/>
      <c r="F396" s="30"/>
      <c r="G396" s="30"/>
      <c r="H396" s="30"/>
      <c r="I396" s="30"/>
    </row>
    <row r="397" spans="1:9" ht="18.75">
      <c r="A397" s="29"/>
      <c r="B397" s="30"/>
      <c r="C397" s="30"/>
      <c r="D397" s="31"/>
      <c r="E397" s="30"/>
      <c r="F397" s="30"/>
      <c r="G397" s="30"/>
      <c r="H397" s="30"/>
      <c r="I397" s="30"/>
    </row>
    <row r="398" spans="1:9" ht="18.75">
      <c r="A398" s="29"/>
      <c r="B398" s="30"/>
      <c r="C398" s="30"/>
      <c r="D398" s="31"/>
      <c r="E398" s="30"/>
      <c r="F398" s="30"/>
      <c r="G398" s="30"/>
      <c r="H398" s="30"/>
      <c r="I398" s="30"/>
    </row>
    <row r="399" spans="1:9" ht="18.75">
      <c r="A399" s="29"/>
      <c r="B399" s="30"/>
      <c r="C399" s="30"/>
      <c r="D399" s="31"/>
      <c r="E399" s="30"/>
      <c r="F399" s="30"/>
      <c r="G399" s="30"/>
      <c r="H399" s="30"/>
      <c r="I399" s="30"/>
    </row>
    <row r="400" spans="1:9" ht="18.75">
      <c r="A400" s="29"/>
      <c r="B400" s="30"/>
      <c r="C400" s="30"/>
      <c r="D400" s="31"/>
      <c r="E400" s="30"/>
      <c r="F400" s="30"/>
      <c r="G400" s="30"/>
      <c r="H400" s="30"/>
      <c r="I400" s="30"/>
    </row>
    <row r="401" spans="1:9" ht="18.75">
      <c r="A401" s="29"/>
      <c r="B401" s="30"/>
      <c r="C401" s="30"/>
      <c r="D401" s="31"/>
      <c r="E401" s="30"/>
      <c r="F401" s="30"/>
      <c r="G401" s="30"/>
      <c r="H401" s="30"/>
      <c r="I401" s="30"/>
    </row>
    <row r="402" spans="1:9" ht="18.75">
      <c r="A402" s="29"/>
      <c r="B402" s="30"/>
      <c r="C402" s="30"/>
      <c r="D402" s="31"/>
      <c r="E402" s="30"/>
      <c r="F402" s="30"/>
      <c r="G402" s="30"/>
      <c r="H402" s="30"/>
      <c r="I402" s="30"/>
    </row>
    <row r="403" spans="1:9" ht="18.75">
      <c r="A403" s="29"/>
      <c r="B403" s="30"/>
      <c r="C403" s="30"/>
      <c r="D403" s="31"/>
      <c r="E403" s="30"/>
      <c r="F403" s="30"/>
      <c r="G403" s="30"/>
      <c r="H403" s="30"/>
      <c r="I403" s="30"/>
    </row>
    <row r="404" spans="1:9" ht="18.75">
      <c r="A404" s="29"/>
      <c r="B404" s="30"/>
      <c r="C404" s="30"/>
      <c r="D404" s="31"/>
      <c r="E404" s="30"/>
      <c r="F404" s="30"/>
      <c r="G404" s="30"/>
      <c r="H404" s="30"/>
      <c r="I404" s="30"/>
    </row>
    <row r="405" spans="1:9" ht="18.75">
      <c r="A405" s="29"/>
      <c r="B405" s="30"/>
      <c r="C405" s="30"/>
      <c r="D405" s="31"/>
      <c r="E405" s="30"/>
      <c r="F405" s="30"/>
      <c r="G405" s="30"/>
      <c r="H405" s="30"/>
      <c r="I405" s="30"/>
    </row>
    <row r="406" spans="1:9" ht="18.75">
      <c r="A406" s="29"/>
      <c r="B406" s="30"/>
      <c r="C406" s="30"/>
      <c r="D406" s="31"/>
      <c r="E406" s="30"/>
      <c r="F406" s="30"/>
      <c r="G406" s="30"/>
      <c r="H406" s="30"/>
      <c r="I406" s="30"/>
    </row>
    <row r="407" spans="1:9" ht="18.75">
      <c r="A407" s="29"/>
      <c r="B407" s="30"/>
      <c r="C407" s="30"/>
      <c r="D407" s="31"/>
      <c r="E407" s="30"/>
      <c r="F407" s="30"/>
      <c r="G407" s="30"/>
      <c r="H407" s="30"/>
      <c r="I407" s="30"/>
    </row>
    <row r="408" spans="1:9" ht="18.75">
      <c r="A408" s="29"/>
      <c r="B408" s="30"/>
      <c r="C408" s="30"/>
      <c r="D408" s="31"/>
      <c r="E408" s="30"/>
      <c r="F408" s="30"/>
      <c r="G408" s="30"/>
      <c r="H408" s="30"/>
      <c r="I408" s="30"/>
    </row>
    <row r="409" spans="1:9" ht="18.75">
      <c r="A409" s="29"/>
      <c r="B409" s="30"/>
      <c r="C409" s="30"/>
      <c r="D409" s="31"/>
      <c r="E409" s="30"/>
      <c r="F409" s="30"/>
      <c r="G409" s="30"/>
      <c r="H409" s="30"/>
      <c r="I409" s="30"/>
    </row>
    <row r="410" spans="1:9" ht="18.75">
      <c r="A410" s="29"/>
      <c r="B410" s="30"/>
      <c r="C410" s="30"/>
      <c r="D410" s="31"/>
      <c r="E410" s="30"/>
      <c r="F410" s="30"/>
      <c r="G410" s="30"/>
      <c r="H410" s="30"/>
      <c r="I410" s="30"/>
    </row>
    <row r="411" spans="1:9" ht="18.75">
      <c r="A411" s="29"/>
      <c r="B411" s="30"/>
      <c r="C411" s="30"/>
      <c r="D411" s="31"/>
      <c r="E411" s="30"/>
      <c r="F411" s="30"/>
      <c r="G411" s="30"/>
      <c r="H411" s="30"/>
      <c r="I411" s="30"/>
    </row>
    <row r="412" spans="1:9" ht="18.75">
      <c r="A412" s="29"/>
      <c r="B412" s="30"/>
      <c r="C412" s="30"/>
      <c r="D412" s="31"/>
      <c r="E412" s="30"/>
      <c r="F412" s="30"/>
      <c r="G412" s="30"/>
      <c r="H412" s="30"/>
      <c r="I412" s="30"/>
    </row>
    <row r="413" spans="1:9" ht="18.75">
      <c r="A413" s="29"/>
      <c r="B413" s="30"/>
      <c r="C413" s="30"/>
      <c r="D413" s="31"/>
      <c r="E413" s="30"/>
      <c r="F413" s="30"/>
      <c r="G413" s="30"/>
      <c r="H413" s="30"/>
      <c r="I413" s="30"/>
    </row>
    <row r="414" spans="1:9" ht="18.75">
      <c r="A414" s="29"/>
      <c r="B414" s="30"/>
      <c r="C414" s="30"/>
      <c r="D414" s="31"/>
      <c r="E414" s="30"/>
      <c r="F414" s="30"/>
      <c r="G414" s="30"/>
      <c r="H414" s="30"/>
      <c r="I414" s="30"/>
    </row>
    <row r="415" spans="1:9" ht="18.75">
      <c r="A415" s="29"/>
      <c r="B415" s="30"/>
      <c r="C415" s="30"/>
      <c r="D415" s="31"/>
      <c r="E415" s="30"/>
      <c r="F415" s="30"/>
      <c r="G415" s="30"/>
      <c r="H415" s="30"/>
      <c r="I415" s="30"/>
    </row>
    <row r="416" spans="1:9" ht="18.75">
      <c r="A416" s="29"/>
      <c r="B416" s="30"/>
      <c r="C416" s="30"/>
      <c r="D416" s="31"/>
      <c r="E416" s="30"/>
      <c r="F416" s="30"/>
      <c r="G416" s="30"/>
      <c r="H416" s="30"/>
      <c r="I416" s="30"/>
    </row>
    <row r="417" spans="1:9" ht="18.75">
      <c r="A417" s="29"/>
      <c r="B417" s="30"/>
      <c r="C417" s="30"/>
      <c r="D417" s="31"/>
      <c r="E417" s="30"/>
      <c r="F417" s="30"/>
      <c r="G417" s="30"/>
      <c r="H417" s="30"/>
      <c r="I417" s="30"/>
    </row>
    <row r="418" spans="1:9" ht="18.75">
      <c r="A418" s="29"/>
      <c r="B418" s="30"/>
      <c r="C418" s="30"/>
      <c r="D418" s="31"/>
      <c r="E418" s="30"/>
      <c r="F418" s="30"/>
      <c r="G418" s="30"/>
      <c r="H418" s="30"/>
      <c r="I418" s="30"/>
    </row>
    <row r="419" spans="1:9" ht="18.75">
      <c r="A419" s="29"/>
      <c r="B419" s="30"/>
      <c r="C419" s="30"/>
      <c r="D419" s="31"/>
      <c r="E419" s="30"/>
      <c r="F419" s="30"/>
      <c r="G419" s="30"/>
      <c r="H419" s="30"/>
      <c r="I419" s="30"/>
    </row>
    <row r="420" spans="1:9" ht="18.75">
      <c r="A420" s="29"/>
      <c r="B420" s="30"/>
      <c r="C420" s="30"/>
      <c r="D420" s="31"/>
      <c r="E420" s="30"/>
      <c r="F420" s="30"/>
      <c r="G420" s="30"/>
      <c r="H420" s="30"/>
      <c r="I420" s="30"/>
    </row>
    <row r="421" spans="1:9" ht="18.75">
      <c r="A421" s="29"/>
      <c r="B421" s="30"/>
      <c r="C421" s="30"/>
      <c r="D421" s="31"/>
      <c r="E421" s="30"/>
      <c r="F421" s="30"/>
      <c r="G421" s="30"/>
      <c r="H421" s="30"/>
      <c r="I421" s="30"/>
    </row>
    <row r="422" spans="1:9" ht="18.75">
      <c r="A422" s="29"/>
      <c r="B422" s="30"/>
      <c r="C422" s="30"/>
      <c r="D422" s="31"/>
      <c r="E422" s="30"/>
      <c r="F422" s="30"/>
      <c r="G422" s="30"/>
      <c r="H422" s="30"/>
      <c r="I422" s="30"/>
    </row>
    <row r="423" spans="1:9" ht="18.75">
      <c r="A423" s="29"/>
      <c r="B423" s="30"/>
      <c r="C423" s="30"/>
      <c r="D423" s="31"/>
      <c r="E423" s="30"/>
      <c r="F423" s="30"/>
      <c r="G423" s="30"/>
      <c r="H423" s="30"/>
      <c r="I423" s="30"/>
    </row>
    <row r="424" spans="1:9" ht="18.75">
      <c r="A424" s="29"/>
      <c r="B424" s="30"/>
      <c r="C424" s="30"/>
      <c r="D424" s="31"/>
      <c r="E424" s="30"/>
      <c r="F424" s="30"/>
      <c r="G424" s="30"/>
      <c r="H424" s="30"/>
      <c r="I424" s="30"/>
    </row>
    <row r="425" spans="1:9" ht="18.75">
      <c r="A425" s="29"/>
      <c r="B425" s="30"/>
      <c r="C425" s="30"/>
      <c r="D425" s="31"/>
      <c r="E425" s="30"/>
      <c r="F425" s="30"/>
      <c r="G425" s="30"/>
      <c r="H425" s="30"/>
      <c r="I425" s="30"/>
    </row>
    <row r="426" spans="1:9" ht="18.75">
      <c r="A426" s="29"/>
      <c r="B426" s="30"/>
      <c r="C426" s="30"/>
      <c r="D426" s="31"/>
      <c r="E426" s="30"/>
      <c r="F426" s="30"/>
      <c r="G426" s="30"/>
      <c r="H426" s="30"/>
      <c r="I426" s="30"/>
    </row>
    <row r="427" spans="1:9" ht="18.75">
      <c r="A427" s="29"/>
      <c r="B427" s="30"/>
      <c r="C427" s="30"/>
      <c r="D427" s="31"/>
      <c r="E427" s="30"/>
      <c r="F427" s="30"/>
      <c r="G427" s="30"/>
      <c r="H427" s="30"/>
      <c r="I427" s="30"/>
    </row>
    <row r="428" spans="1:9" ht="18.75">
      <c r="A428" s="29"/>
      <c r="B428" s="30"/>
      <c r="C428" s="30"/>
      <c r="D428" s="31"/>
      <c r="E428" s="30"/>
      <c r="F428" s="30"/>
      <c r="G428" s="30"/>
      <c r="H428" s="30"/>
      <c r="I428" s="30"/>
    </row>
    <row r="429" spans="1:9" ht="18.75">
      <c r="A429" s="29"/>
      <c r="B429" s="30"/>
      <c r="C429" s="30"/>
      <c r="D429" s="31"/>
      <c r="E429" s="30"/>
      <c r="F429" s="30"/>
      <c r="G429" s="30"/>
      <c r="H429" s="30"/>
      <c r="I429" s="30"/>
    </row>
    <row r="430" spans="1:9" ht="18.75">
      <c r="A430" s="29"/>
      <c r="B430" s="30"/>
      <c r="C430" s="30"/>
      <c r="D430" s="31"/>
      <c r="E430" s="30"/>
      <c r="F430" s="30"/>
      <c r="G430" s="30"/>
      <c r="H430" s="30"/>
      <c r="I430" s="30"/>
    </row>
    <row r="431" spans="1:9" ht="18.75">
      <c r="A431" s="29"/>
      <c r="B431" s="30"/>
      <c r="C431" s="30"/>
      <c r="D431" s="31"/>
      <c r="E431" s="30"/>
      <c r="F431" s="30"/>
      <c r="G431" s="30"/>
      <c r="H431" s="30"/>
      <c r="I431" s="30"/>
    </row>
    <row r="432" spans="1:9" ht="18.75">
      <c r="A432" s="29"/>
      <c r="B432" s="30"/>
      <c r="C432" s="30"/>
      <c r="D432" s="31"/>
      <c r="E432" s="30"/>
      <c r="F432" s="30"/>
      <c r="G432" s="30"/>
      <c r="H432" s="30"/>
      <c r="I432" s="30"/>
    </row>
    <row r="433" spans="1:9" ht="18.75">
      <c r="A433" s="29"/>
      <c r="B433" s="30"/>
      <c r="C433" s="30"/>
      <c r="D433" s="31"/>
      <c r="E433" s="30"/>
      <c r="F433" s="30"/>
      <c r="G433" s="30"/>
      <c r="H433" s="30"/>
      <c r="I433" s="30"/>
    </row>
    <row r="434" spans="1:9" ht="18.75">
      <c r="A434" s="29"/>
      <c r="B434" s="30"/>
      <c r="C434" s="30"/>
      <c r="D434" s="31"/>
      <c r="E434" s="30"/>
      <c r="F434" s="30"/>
      <c r="G434" s="30"/>
      <c r="H434" s="30"/>
      <c r="I434" s="30"/>
    </row>
    <row r="435" spans="1:9" ht="18.75">
      <c r="A435" s="29"/>
      <c r="B435" s="30"/>
      <c r="C435" s="30"/>
      <c r="D435" s="31"/>
      <c r="E435" s="30"/>
      <c r="F435" s="30"/>
      <c r="G435" s="30"/>
      <c r="H435" s="30"/>
      <c r="I435" s="30"/>
    </row>
    <row r="436" spans="1:9" ht="18.75">
      <c r="A436" s="29"/>
      <c r="B436" s="30"/>
      <c r="C436" s="30"/>
      <c r="D436" s="31"/>
      <c r="E436" s="30"/>
      <c r="F436" s="30"/>
      <c r="G436" s="30"/>
      <c r="H436" s="30"/>
      <c r="I436" s="30"/>
    </row>
    <row r="437" spans="1:9" ht="18.75">
      <c r="A437" s="29"/>
      <c r="B437" s="30"/>
      <c r="C437" s="30"/>
      <c r="D437" s="31"/>
      <c r="E437" s="30"/>
      <c r="F437" s="30"/>
      <c r="G437" s="30"/>
      <c r="H437" s="30"/>
      <c r="I437" s="30"/>
    </row>
    <row r="438" spans="1:9" ht="18.75">
      <c r="A438" s="29"/>
      <c r="B438" s="30"/>
      <c r="C438" s="30"/>
      <c r="D438" s="31"/>
      <c r="E438" s="30"/>
      <c r="F438" s="30"/>
      <c r="G438" s="30"/>
      <c r="H438" s="30"/>
      <c r="I438" s="30"/>
    </row>
    <row r="439" spans="1:9" ht="18.75">
      <c r="A439" s="29"/>
      <c r="B439" s="30"/>
      <c r="C439" s="30"/>
      <c r="D439" s="31"/>
      <c r="E439" s="30"/>
      <c r="F439" s="30"/>
      <c r="G439" s="30"/>
      <c r="H439" s="30"/>
      <c r="I439" s="30"/>
    </row>
    <row r="440" spans="1:9" ht="18.75">
      <c r="A440" s="29"/>
      <c r="B440" s="30"/>
      <c r="C440" s="30"/>
      <c r="D440" s="31"/>
      <c r="E440" s="30"/>
      <c r="F440" s="30"/>
      <c r="G440" s="30"/>
      <c r="H440" s="30"/>
      <c r="I440" s="30"/>
    </row>
    <row r="441" spans="1:9" ht="18.75">
      <c r="A441" s="29"/>
      <c r="B441" s="30"/>
      <c r="C441" s="30"/>
      <c r="D441" s="31"/>
      <c r="E441" s="30"/>
      <c r="F441" s="30"/>
      <c r="G441" s="30"/>
      <c r="H441" s="30"/>
      <c r="I441" s="30"/>
    </row>
    <row r="442" spans="1:9" ht="18.75">
      <c r="A442" s="29"/>
      <c r="B442" s="30"/>
      <c r="C442" s="30"/>
      <c r="D442" s="31"/>
      <c r="E442" s="30"/>
      <c r="F442" s="30"/>
      <c r="G442" s="30"/>
      <c r="H442" s="30"/>
      <c r="I442" s="30"/>
    </row>
    <row r="443" spans="1:9" ht="18.75">
      <c r="A443" s="29"/>
      <c r="B443" s="30"/>
      <c r="C443" s="30"/>
      <c r="D443" s="31"/>
      <c r="E443" s="30"/>
      <c r="F443" s="30"/>
      <c r="G443" s="30"/>
      <c r="H443" s="30"/>
      <c r="I443" s="30"/>
    </row>
    <row r="444" spans="1:9" ht="18.75">
      <c r="A444" s="29"/>
      <c r="B444" s="30"/>
      <c r="C444" s="30"/>
      <c r="D444" s="31"/>
      <c r="E444" s="30"/>
      <c r="F444" s="30"/>
      <c r="G444" s="30"/>
      <c r="H444" s="30"/>
      <c r="I444" s="30"/>
    </row>
    <row r="445" spans="1:9" ht="18.75">
      <c r="A445" s="29"/>
      <c r="B445" s="30"/>
      <c r="C445" s="30"/>
      <c r="D445" s="31"/>
      <c r="E445" s="30"/>
      <c r="F445" s="30"/>
      <c r="G445" s="30"/>
      <c r="H445" s="30"/>
      <c r="I445" s="30"/>
    </row>
    <row r="446" spans="1:9" ht="18.75">
      <c r="A446" s="29"/>
      <c r="B446" s="30"/>
      <c r="C446" s="30"/>
      <c r="D446" s="31"/>
      <c r="E446" s="30"/>
      <c r="F446" s="30"/>
      <c r="G446" s="30"/>
      <c r="H446" s="30"/>
      <c r="I446" s="30"/>
    </row>
    <row r="447" spans="1:9" ht="18.75">
      <c r="A447" s="29"/>
      <c r="B447" s="30"/>
      <c r="C447" s="30"/>
      <c r="D447" s="31"/>
      <c r="E447" s="30"/>
      <c r="F447" s="30"/>
      <c r="G447" s="30"/>
      <c r="H447" s="30"/>
      <c r="I447" s="30"/>
    </row>
    <row r="448" spans="1:9" ht="18.75">
      <c r="A448" s="29"/>
      <c r="B448" s="30"/>
      <c r="C448" s="30"/>
      <c r="D448" s="31"/>
      <c r="E448" s="30"/>
      <c r="F448" s="30"/>
      <c r="G448" s="30"/>
      <c r="H448" s="30"/>
      <c r="I448" s="30"/>
    </row>
    <row r="449" spans="1:9" ht="18.75">
      <c r="A449" s="29"/>
      <c r="B449" s="30"/>
      <c r="C449" s="30"/>
      <c r="D449" s="31"/>
      <c r="E449" s="30"/>
      <c r="F449" s="30"/>
      <c r="G449" s="30"/>
      <c r="H449" s="30"/>
      <c r="I449" s="30"/>
    </row>
    <row r="450" spans="1:9" ht="18.75">
      <c r="A450" s="29"/>
      <c r="B450" s="30"/>
      <c r="C450" s="30"/>
      <c r="D450" s="31"/>
      <c r="E450" s="30"/>
      <c r="F450" s="30"/>
      <c r="G450" s="30"/>
      <c r="H450" s="30"/>
      <c r="I450" s="30"/>
    </row>
    <row r="451" spans="1:9" ht="18.75">
      <c r="A451" s="29"/>
      <c r="B451" s="30"/>
      <c r="C451" s="30"/>
      <c r="D451" s="31"/>
      <c r="E451" s="30"/>
      <c r="F451" s="30"/>
      <c r="G451" s="30"/>
      <c r="H451" s="30"/>
      <c r="I451" s="30"/>
    </row>
    <row r="452" spans="1:9" ht="18.75">
      <c r="A452" s="29"/>
      <c r="B452" s="30"/>
      <c r="C452" s="30"/>
      <c r="D452" s="31"/>
      <c r="E452" s="30"/>
      <c r="F452" s="30"/>
      <c r="G452" s="30"/>
      <c r="H452" s="30"/>
      <c r="I452" s="30"/>
    </row>
    <row r="453" spans="1:9" ht="18.75">
      <c r="A453" s="29"/>
      <c r="B453" s="30"/>
      <c r="C453" s="30"/>
      <c r="D453" s="31"/>
      <c r="E453" s="30"/>
      <c r="F453" s="30"/>
      <c r="G453" s="30"/>
      <c r="H453" s="30"/>
      <c r="I453" s="30"/>
    </row>
    <row r="454" spans="1:9" ht="18.75">
      <c r="A454" s="29"/>
      <c r="B454" s="30"/>
      <c r="C454" s="30"/>
      <c r="D454" s="31"/>
      <c r="E454" s="30"/>
      <c r="F454" s="30"/>
      <c r="G454" s="30"/>
      <c r="H454" s="30"/>
      <c r="I454" s="30"/>
    </row>
    <row r="455" spans="1:9" ht="18.75">
      <c r="A455" s="29"/>
      <c r="B455" s="30"/>
      <c r="C455" s="30"/>
      <c r="D455" s="31"/>
      <c r="E455" s="30"/>
      <c r="F455" s="30"/>
      <c r="G455" s="30"/>
      <c r="H455" s="30"/>
      <c r="I455" s="30"/>
    </row>
    <row r="456" spans="1:9" ht="18.75">
      <c r="A456" s="29"/>
      <c r="B456" s="30"/>
      <c r="C456" s="30"/>
      <c r="D456" s="31"/>
      <c r="E456" s="30"/>
      <c r="F456" s="30"/>
      <c r="G456" s="30"/>
      <c r="H456" s="30"/>
      <c r="I456" s="30"/>
    </row>
    <row r="457" spans="1:9" ht="18.75">
      <c r="A457" s="29"/>
      <c r="B457" s="30"/>
      <c r="C457" s="30"/>
      <c r="D457" s="31"/>
      <c r="E457" s="30"/>
      <c r="F457" s="30"/>
      <c r="G457" s="30"/>
      <c r="H457" s="30"/>
      <c r="I457" s="30"/>
    </row>
    <row r="458" spans="1:9" ht="18.75">
      <c r="A458" s="29"/>
      <c r="B458" s="30"/>
      <c r="C458" s="30"/>
      <c r="D458" s="31"/>
      <c r="E458" s="30"/>
      <c r="F458" s="30"/>
      <c r="G458" s="30"/>
      <c r="H458" s="30"/>
      <c r="I458" s="30"/>
    </row>
    <row r="459" spans="1:9" ht="18.75">
      <c r="A459" s="29"/>
      <c r="B459" s="30"/>
      <c r="C459" s="30"/>
      <c r="D459" s="31"/>
      <c r="E459" s="30"/>
      <c r="F459" s="30"/>
      <c r="G459" s="30"/>
      <c r="H459" s="30"/>
      <c r="I459" s="30"/>
    </row>
    <row r="460" spans="1:9" ht="18.75">
      <c r="A460" s="29"/>
      <c r="B460" s="30"/>
      <c r="C460" s="30"/>
      <c r="D460" s="31"/>
      <c r="E460" s="30"/>
      <c r="F460" s="30"/>
      <c r="G460" s="30"/>
      <c r="H460" s="30"/>
      <c r="I460" s="30"/>
    </row>
    <row r="461" spans="1:9" ht="18.75">
      <c r="A461" s="29"/>
      <c r="B461" s="30"/>
      <c r="C461" s="30"/>
      <c r="D461" s="31"/>
      <c r="E461" s="30"/>
      <c r="F461" s="30"/>
      <c r="G461" s="30"/>
      <c r="H461" s="30"/>
      <c r="I461" s="30"/>
    </row>
    <row r="462" spans="1:9" ht="18.75">
      <c r="A462" s="29"/>
      <c r="B462" s="30"/>
      <c r="C462" s="30"/>
      <c r="D462" s="31"/>
      <c r="E462" s="30"/>
      <c r="F462" s="30"/>
      <c r="G462" s="30"/>
      <c r="H462" s="30"/>
      <c r="I462" s="30"/>
    </row>
    <row r="463" spans="1:9" ht="18.75">
      <c r="A463" s="29"/>
      <c r="B463" s="30"/>
      <c r="C463" s="30"/>
      <c r="D463" s="31"/>
      <c r="E463" s="30"/>
      <c r="F463" s="30"/>
      <c r="G463" s="30"/>
      <c r="H463" s="30"/>
      <c r="I463" s="30"/>
    </row>
    <row r="464" spans="1:9" ht="18.75">
      <c r="A464" s="29"/>
      <c r="B464" s="30"/>
      <c r="C464" s="30"/>
      <c r="D464" s="31"/>
      <c r="E464" s="30"/>
      <c r="F464" s="30"/>
      <c r="G464" s="30"/>
      <c r="H464" s="30"/>
      <c r="I464" s="30"/>
    </row>
    <row r="465" spans="1:9" ht="18.75">
      <c r="A465" s="29"/>
      <c r="B465" s="30"/>
      <c r="C465" s="30"/>
      <c r="D465" s="31"/>
      <c r="E465" s="30"/>
      <c r="F465" s="30"/>
      <c r="G465" s="30"/>
      <c r="H465" s="30"/>
      <c r="I465" s="30"/>
    </row>
    <row r="466" spans="1:9" ht="18.75">
      <c r="A466" s="29"/>
      <c r="B466" s="30"/>
      <c r="C466" s="30"/>
      <c r="D466" s="31"/>
      <c r="E466" s="30"/>
      <c r="F466" s="30"/>
      <c r="G466" s="30"/>
      <c r="H466" s="30"/>
      <c r="I466" s="30"/>
    </row>
    <row r="467" spans="1:9" ht="18.75">
      <c r="A467" s="29"/>
      <c r="B467" s="30"/>
      <c r="C467" s="30"/>
      <c r="D467" s="31"/>
      <c r="E467" s="30"/>
      <c r="F467" s="30"/>
      <c r="G467" s="30"/>
      <c r="H467" s="30"/>
      <c r="I467" s="30"/>
    </row>
    <row r="468" spans="1:9" ht="18.75">
      <c r="A468" s="29"/>
      <c r="B468" s="30"/>
      <c r="C468" s="30"/>
      <c r="D468" s="31"/>
      <c r="E468" s="30"/>
      <c r="F468" s="30"/>
      <c r="G468" s="30"/>
      <c r="H468" s="30"/>
      <c r="I468" s="30"/>
    </row>
    <row r="469" spans="1:9" ht="18.75">
      <c r="A469" s="29"/>
      <c r="B469" s="30"/>
      <c r="C469" s="30"/>
      <c r="D469" s="31"/>
      <c r="E469" s="30"/>
      <c r="F469" s="30"/>
      <c r="G469" s="30"/>
      <c r="H469" s="30"/>
      <c r="I469" s="30"/>
    </row>
    <row r="470" spans="1:9" ht="18.75">
      <c r="A470" s="29"/>
      <c r="B470" s="30"/>
      <c r="C470" s="30"/>
      <c r="D470" s="31"/>
      <c r="E470" s="30"/>
      <c r="F470" s="30"/>
      <c r="G470" s="30"/>
      <c r="H470" s="30"/>
      <c r="I470" s="30"/>
    </row>
    <row r="471" spans="1:9" ht="18.75">
      <c r="A471" s="29"/>
      <c r="B471" s="30"/>
      <c r="C471" s="30"/>
      <c r="D471" s="31"/>
      <c r="E471" s="30"/>
      <c r="F471" s="30"/>
      <c r="G471" s="30"/>
      <c r="H471" s="30"/>
      <c r="I471" s="30"/>
    </row>
    <row r="472" spans="1:9" ht="18.75">
      <c r="A472" s="29"/>
      <c r="B472" s="30"/>
      <c r="C472" s="30"/>
      <c r="D472" s="31"/>
      <c r="E472" s="30"/>
      <c r="F472" s="30"/>
      <c r="G472" s="30"/>
      <c r="H472" s="30"/>
      <c r="I472" s="30"/>
    </row>
    <row r="473" spans="1:9" ht="18.75">
      <c r="A473" s="29"/>
      <c r="B473" s="30"/>
      <c r="C473" s="30"/>
      <c r="D473" s="31"/>
      <c r="E473" s="30"/>
      <c r="F473" s="30"/>
      <c r="G473" s="30"/>
      <c r="H473" s="30"/>
      <c r="I473" s="30"/>
    </row>
    <row r="474" spans="1:9" ht="18.75">
      <c r="A474" s="29"/>
      <c r="B474" s="30"/>
      <c r="C474" s="30"/>
      <c r="D474" s="31"/>
      <c r="E474" s="30"/>
      <c r="F474" s="30"/>
      <c r="G474" s="30"/>
      <c r="H474" s="30"/>
      <c r="I474" s="30"/>
    </row>
    <row r="475" spans="1:9" ht="18.75">
      <c r="A475" s="29"/>
      <c r="B475" s="30"/>
      <c r="C475" s="30"/>
      <c r="D475" s="31"/>
      <c r="E475" s="30"/>
      <c r="F475" s="30"/>
      <c r="G475" s="30"/>
      <c r="H475" s="30"/>
      <c r="I475" s="30"/>
    </row>
    <row r="476" spans="1:9" ht="18.75">
      <c r="A476" s="29"/>
      <c r="B476" s="30"/>
      <c r="C476" s="30"/>
      <c r="D476" s="31"/>
      <c r="E476" s="30"/>
      <c r="F476" s="30"/>
      <c r="G476" s="30"/>
      <c r="H476" s="30"/>
      <c r="I476" s="30"/>
    </row>
    <row r="477" spans="1:9" ht="18.75">
      <c r="A477" s="29"/>
      <c r="B477" s="30"/>
      <c r="C477" s="30"/>
      <c r="D477" s="31"/>
      <c r="E477" s="30"/>
      <c r="F477" s="30"/>
      <c r="G477" s="30"/>
      <c r="H477" s="30"/>
      <c r="I477" s="30"/>
    </row>
    <row r="478" spans="1:9" ht="18.75">
      <c r="A478" s="29"/>
      <c r="B478" s="30"/>
      <c r="C478" s="30"/>
      <c r="D478" s="31"/>
      <c r="E478" s="30"/>
      <c r="F478" s="30"/>
      <c r="G478" s="30"/>
      <c r="H478" s="30"/>
      <c r="I478" s="30"/>
    </row>
    <row r="479" spans="1:9" ht="18.75">
      <c r="A479" s="29"/>
      <c r="B479" s="30"/>
      <c r="C479" s="30"/>
      <c r="D479" s="31"/>
      <c r="E479" s="30"/>
      <c r="F479" s="30"/>
      <c r="G479" s="30"/>
      <c r="H479" s="30"/>
      <c r="I479" s="30"/>
    </row>
    <row r="480" spans="1:9" ht="18.75">
      <c r="A480" s="29"/>
      <c r="B480" s="30"/>
      <c r="C480" s="30"/>
      <c r="D480" s="31"/>
      <c r="E480" s="30"/>
      <c r="F480" s="30"/>
      <c r="G480" s="30"/>
      <c r="H480" s="30"/>
      <c r="I480" s="30"/>
    </row>
    <row r="481" spans="1:9" ht="18.75">
      <c r="A481" s="29"/>
      <c r="B481" s="30"/>
      <c r="C481" s="30"/>
      <c r="D481" s="31"/>
      <c r="E481" s="30"/>
      <c r="F481" s="30"/>
      <c r="G481" s="30"/>
      <c r="H481" s="30"/>
      <c r="I481" s="30"/>
    </row>
    <row r="482" spans="1:9" ht="18.75">
      <c r="A482" s="29"/>
      <c r="B482" s="30"/>
      <c r="C482" s="30"/>
      <c r="D482" s="31"/>
      <c r="E482" s="30"/>
      <c r="F482" s="30"/>
      <c r="G482" s="30"/>
      <c r="H482" s="30"/>
      <c r="I482" s="30"/>
    </row>
    <row r="483" spans="1:9" ht="18.75">
      <c r="A483" s="29"/>
      <c r="B483" s="30"/>
      <c r="C483" s="30"/>
      <c r="D483" s="31"/>
      <c r="E483" s="30"/>
      <c r="F483" s="30"/>
      <c r="G483" s="30"/>
      <c r="H483" s="30"/>
      <c r="I483" s="30"/>
    </row>
    <row r="484" spans="1:9" ht="18.75">
      <c r="A484" s="29"/>
      <c r="B484" s="30"/>
      <c r="C484" s="30"/>
      <c r="D484" s="31"/>
      <c r="E484" s="30"/>
      <c r="F484" s="30"/>
      <c r="G484" s="30"/>
      <c r="H484" s="30"/>
      <c r="I484" s="30"/>
    </row>
    <row r="485" spans="1:9" ht="18.75">
      <c r="A485" s="29"/>
      <c r="B485" s="30"/>
      <c r="C485" s="30"/>
      <c r="D485" s="31"/>
      <c r="E485" s="30"/>
      <c r="F485" s="30"/>
      <c r="G485" s="30"/>
      <c r="H485" s="30"/>
      <c r="I485" s="30"/>
    </row>
    <row r="486" spans="1:9" ht="18.75">
      <c r="A486" s="29"/>
      <c r="B486" s="30"/>
      <c r="C486" s="30"/>
      <c r="D486" s="31"/>
      <c r="E486" s="30"/>
      <c r="F486" s="30"/>
      <c r="G486" s="30"/>
      <c r="H486" s="30"/>
      <c r="I486" s="30"/>
    </row>
    <row r="487" spans="1:9" ht="18.75">
      <c r="A487" s="29"/>
      <c r="B487" s="30"/>
      <c r="C487" s="30"/>
      <c r="D487" s="31"/>
      <c r="E487" s="30"/>
      <c r="F487" s="30"/>
      <c r="G487" s="30"/>
      <c r="H487" s="30"/>
      <c r="I487" s="30"/>
    </row>
    <row r="488" spans="1:9" ht="18.75">
      <c r="A488" s="29"/>
      <c r="B488" s="30"/>
      <c r="C488" s="30"/>
      <c r="D488" s="31"/>
      <c r="E488" s="30"/>
      <c r="F488" s="30"/>
      <c r="G488" s="30"/>
      <c r="H488" s="30"/>
      <c r="I488" s="30"/>
    </row>
    <row r="489" spans="1:9" ht="18.75">
      <c r="A489" s="29"/>
      <c r="B489" s="30"/>
      <c r="C489" s="30"/>
      <c r="D489" s="31"/>
      <c r="E489" s="30"/>
      <c r="F489" s="30"/>
      <c r="G489" s="30"/>
      <c r="H489" s="30"/>
      <c r="I489" s="30"/>
    </row>
    <row r="490" spans="1:9" ht="18.75">
      <c r="A490" s="29"/>
      <c r="B490" s="30"/>
      <c r="C490" s="30"/>
      <c r="D490" s="31"/>
      <c r="E490" s="30"/>
      <c r="F490" s="30"/>
      <c r="G490" s="30"/>
      <c r="H490" s="30"/>
      <c r="I490" s="30"/>
    </row>
    <row r="491" spans="1:9" ht="18.75">
      <c r="A491" s="29"/>
      <c r="B491" s="30"/>
      <c r="C491" s="30"/>
      <c r="D491" s="31"/>
      <c r="E491" s="30"/>
      <c r="F491" s="30"/>
      <c r="G491" s="30"/>
      <c r="H491" s="30"/>
      <c r="I491" s="30"/>
    </row>
    <row r="492" spans="1:9" ht="18.75">
      <c r="A492" s="29"/>
      <c r="B492" s="30"/>
      <c r="C492" s="30"/>
      <c r="D492" s="31"/>
      <c r="E492" s="30"/>
      <c r="F492" s="30"/>
      <c r="G492" s="30"/>
      <c r="H492" s="30"/>
      <c r="I492" s="30"/>
    </row>
    <row r="493" spans="1:9" ht="18.75">
      <c r="A493" s="29"/>
      <c r="B493" s="30"/>
      <c r="C493" s="30"/>
      <c r="D493" s="31"/>
      <c r="E493" s="30"/>
      <c r="F493" s="30"/>
      <c r="G493" s="30"/>
      <c r="H493" s="30"/>
      <c r="I493" s="30"/>
    </row>
    <row r="494" spans="1:9" ht="18.75">
      <c r="A494" s="29"/>
      <c r="B494" s="30"/>
      <c r="C494" s="30"/>
      <c r="D494" s="31"/>
      <c r="E494" s="30"/>
      <c r="F494" s="30"/>
      <c r="G494" s="30"/>
      <c r="H494" s="30"/>
      <c r="I494" s="30"/>
    </row>
    <row r="495" spans="1:9" ht="18.75">
      <c r="A495" s="29"/>
      <c r="B495" s="30"/>
      <c r="C495" s="30"/>
      <c r="D495" s="31"/>
      <c r="E495" s="30"/>
      <c r="F495" s="30"/>
      <c r="G495" s="30"/>
      <c r="H495" s="30"/>
      <c r="I495" s="30"/>
    </row>
    <row r="496" spans="1:9" ht="18.75">
      <c r="A496" s="29"/>
      <c r="B496" s="30"/>
      <c r="C496" s="30"/>
      <c r="D496" s="31"/>
      <c r="E496" s="30"/>
      <c r="F496" s="30"/>
      <c r="G496" s="30"/>
      <c r="H496" s="30"/>
      <c r="I496" s="30"/>
    </row>
    <row r="497" spans="1:9" ht="18.75">
      <c r="A497" s="29"/>
      <c r="B497" s="30"/>
      <c r="C497" s="30"/>
      <c r="D497" s="31"/>
      <c r="E497" s="30"/>
      <c r="F497" s="30"/>
      <c r="G497" s="30"/>
      <c r="H497" s="30"/>
      <c r="I497" s="30"/>
    </row>
    <row r="498" spans="1:9" ht="18.75">
      <c r="A498" s="29"/>
      <c r="B498" s="30"/>
      <c r="C498" s="30"/>
      <c r="D498" s="31"/>
      <c r="E498" s="30"/>
      <c r="F498" s="30"/>
      <c r="G498" s="30"/>
      <c r="H498" s="30"/>
      <c r="I498" s="30"/>
    </row>
    <row r="499" spans="1:9" ht="18.75">
      <c r="A499" s="29"/>
      <c r="B499" s="30"/>
      <c r="C499" s="30"/>
      <c r="D499" s="31"/>
      <c r="E499" s="30"/>
      <c r="F499" s="30"/>
      <c r="G499" s="30"/>
      <c r="H499" s="30"/>
      <c r="I499" s="30"/>
    </row>
    <row r="500" spans="1:9" ht="18.75">
      <c r="A500" s="29"/>
      <c r="B500" s="30"/>
      <c r="C500" s="30"/>
      <c r="D500" s="31"/>
      <c r="E500" s="30"/>
      <c r="F500" s="30"/>
      <c r="G500" s="30"/>
      <c r="H500" s="30"/>
      <c r="I500" s="30"/>
    </row>
    <row r="501" spans="1:9" ht="18.75">
      <c r="A501" s="29"/>
      <c r="B501" s="30"/>
      <c r="C501" s="30"/>
      <c r="D501" s="31"/>
      <c r="E501" s="30"/>
      <c r="F501" s="30"/>
      <c r="G501" s="30"/>
      <c r="H501" s="30"/>
      <c r="I501" s="30"/>
    </row>
    <row r="502" spans="1:9" ht="18.75">
      <c r="A502" s="29"/>
      <c r="B502" s="30"/>
      <c r="C502" s="30"/>
      <c r="D502" s="31"/>
      <c r="E502" s="30"/>
      <c r="F502" s="30"/>
      <c r="G502" s="30"/>
      <c r="H502" s="30"/>
      <c r="I502" s="30"/>
    </row>
    <row r="503" spans="1:9" ht="18.75">
      <c r="A503" s="29"/>
      <c r="B503" s="30"/>
      <c r="C503" s="30"/>
      <c r="D503" s="31"/>
      <c r="E503" s="30"/>
      <c r="F503" s="30"/>
      <c r="G503" s="30"/>
      <c r="H503" s="30"/>
      <c r="I503" s="30"/>
    </row>
    <row r="504" spans="1:9" ht="18.75">
      <c r="A504" s="29"/>
      <c r="B504" s="30"/>
      <c r="C504" s="30"/>
      <c r="D504" s="31"/>
      <c r="E504" s="30"/>
      <c r="F504" s="30"/>
      <c r="G504" s="30"/>
      <c r="H504" s="30"/>
      <c r="I504" s="30"/>
    </row>
    <row r="505" spans="1:9" ht="18.75">
      <c r="A505" s="29"/>
      <c r="B505" s="30"/>
      <c r="C505" s="30"/>
      <c r="D505" s="31"/>
      <c r="E505" s="30"/>
      <c r="F505" s="30"/>
      <c r="G505" s="30"/>
      <c r="H505" s="30"/>
      <c r="I505" s="30"/>
    </row>
    <row r="506" spans="1:9" ht="18.75">
      <c r="A506" s="29"/>
      <c r="B506" s="30"/>
      <c r="C506" s="30"/>
      <c r="D506" s="31"/>
      <c r="E506" s="30"/>
      <c r="F506" s="30"/>
      <c r="G506" s="30"/>
      <c r="H506" s="30"/>
      <c r="I506" s="30"/>
    </row>
    <row r="507" spans="1:9" ht="18.75">
      <c r="A507" s="29"/>
      <c r="B507" s="30"/>
      <c r="C507" s="30"/>
      <c r="D507" s="31"/>
      <c r="E507" s="30"/>
      <c r="F507" s="30"/>
      <c r="G507" s="30"/>
      <c r="H507" s="30"/>
      <c r="I507" s="30"/>
    </row>
    <row r="508" spans="1:9" ht="18.75">
      <c r="A508" s="29"/>
      <c r="B508" s="30"/>
      <c r="C508" s="30"/>
      <c r="D508" s="31"/>
      <c r="E508" s="30"/>
      <c r="F508" s="30"/>
      <c r="G508" s="30"/>
      <c r="H508" s="30"/>
      <c r="I508" s="30"/>
    </row>
    <row r="509" spans="1:9" ht="18.75">
      <c r="A509" s="29"/>
      <c r="B509" s="30"/>
      <c r="C509" s="30"/>
      <c r="D509" s="31"/>
      <c r="E509" s="30"/>
      <c r="F509" s="30"/>
      <c r="G509" s="30"/>
      <c r="H509" s="30"/>
      <c r="I509" s="30"/>
    </row>
    <row r="510" spans="1:9" ht="18.75">
      <c r="A510" s="29"/>
      <c r="B510" s="30"/>
      <c r="C510" s="30"/>
      <c r="D510" s="31"/>
      <c r="E510" s="30"/>
      <c r="F510" s="30"/>
      <c r="G510" s="30"/>
      <c r="H510" s="30"/>
      <c r="I510" s="30"/>
    </row>
    <row r="511" spans="1:9" ht="18.75">
      <c r="A511" s="29"/>
      <c r="B511" s="30"/>
      <c r="C511" s="30"/>
      <c r="D511" s="31"/>
      <c r="E511" s="30"/>
      <c r="F511" s="30"/>
      <c r="G511" s="30"/>
      <c r="H511" s="30"/>
      <c r="I511" s="30"/>
    </row>
    <row r="512" spans="1:9" ht="18.75">
      <c r="A512" s="29"/>
      <c r="B512" s="30"/>
      <c r="C512" s="30"/>
      <c r="D512" s="31"/>
      <c r="E512" s="30"/>
      <c r="F512" s="30"/>
      <c r="G512" s="30"/>
      <c r="H512" s="30"/>
      <c r="I512" s="30"/>
    </row>
    <row r="513" spans="1:9" ht="18.75">
      <c r="A513" s="29"/>
      <c r="B513" s="30"/>
      <c r="C513" s="30"/>
      <c r="D513" s="31"/>
      <c r="E513" s="30"/>
      <c r="F513" s="30"/>
      <c r="G513" s="30"/>
      <c r="H513" s="30"/>
      <c r="I513" s="30"/>
    </row>
    <row r="514" spans="1:9" ht="18.75">
      <c r="A514" s="29"/>
      <c r="B514" s="30"/>
      <c r="C514" s="30"/>
      <c r="D514" s="31"/>
      <c r="E514" s="30"/>
      <c r="F514" s="30"/>
      <c r="G514" s="30"/>
      <c r="H514" s="30"/>
      <c r="I514" s="30"/>
    </row>
    <row r="515" spans="1:9" ht="18.75">
      <c r="A515" s="29"/>
      <c r="B515" s="30"/>
      <c r="C515" s="30"/>
      <c r="D515" s="31"/>
      <c r="E515" s="30"/>
      <c r="F515" s="30"/>
      <c r="G515" s="30"/>
      <c r="H515" s="30"/>
      <c r="I515" s="30"/>
    </row>
    <row r="516" spans="1:9" ht="18.75">
      <c r="A516" s="29"/>
      <c r="B516" s="30"/>
      <c r="C516" s="30"/>
      <c r="D516" s="31"/>
      <c r="E516" s="30"/>
      <c r="F516" s="30"/>
      <c r="G516" s="30"/>
      <c r="H516" s="30"/>
      <c r="I516" s="30"/>
    </row>
    <row r="517" spans="1:9" ht="18.75">
      <c r="A517" s="29"/>
      <c r="B517" s="30"/>
      <c r="C517" s="30"/>
      <c r="D517" s="31"/>
      <c r="E517" s="30"/>
      <c r="F517" s="30"/>
      <c r="G517" s="30"/>
      <c r="H517" s="30"/>
      <c r="I517" s="30"/>
    </row>
    <row r="518" spans="1:9" ht="18.75">
      <c r="A518" s="29"/>
      <c r="B518" s="30"/>
      <c r="C518" s="30"/>
      <c r="D518" s="31"/>
      <c r="E518" s="30"/>
      <c r="F518" s="30"/>
      <c r="G518" s="30"/>
      <c r="H518" s="30"/>
      <c r="I518" s="30"/>
    </row>
    <row r="519" spans="1:9" ht="18.75">
      <c r="A519" s="29"/>
      <c r="B519" s="30"/>
      <c r="C519" s="30"/>
      <c r="D519" s="31"/>
      <c r="E519" s="30"/>
      <c r="F519" s="30"/>
      <c r="G519" s="30"/>
      <c r="H519" s="30"/>
      <c r="I519" s="30"/>
    </row>
    <row r="520" spans="1:9" ht="18.75">
      <c r="A520" s="29"/>
      <c r="B520" s="30"/>
      <c r="C520" s="30"/>
      <c r="D520" s="31"/>
      <c r="E520" s="30"/>
      <c r="F520" s="30"/>
      <c r="G520" s="30"/>
      <c r="H520" s="30"/>
      <c r="I520" s="30"/>
    </row>
    <row r="521" spans="1:9" ht="18.75">
      <c r="A521" s="29"/>
      <c r="B521" s="30"/>
      <c r="C521" s="30"/>
      <c r="D521" s="31"/>
      <c r="E521" s="30"/>
      <c r="F521" s="30"/>
      <c r="G521" s="30"/>
      <c r="H521" s="30"/>
      <c r="I521" s="30"/>
    </row>
    <row r="522" spans="1:9" ht="18.75">
      <c r="A522" s="29"/>
      <c r="B522" s="30"/>
      <c r="C522" s="30"/>
      <c r="D522" s="31"/>
      <c r="E522" s="30"/>
      <c r="F522" s="30"/>
      <c r="G522" s="30"/>
      <c r="H522" s="30"/>
      <c r="I522" s="30"/>
    </row>
    <row r="523" spans="1:9" ht="18.75">
      <c r="A523" s="29"/>
      <c r="B523" s="30"/>
      <c r="C523" s="30"/>
      <c r="D523" s="31"/>
      <c r="E523" s="30"/>
      <c r="F523" s="30"/>
      <c r="G523" s="30"/>
      <c r="H523" s="30"/>
      <c r="I523" s="30"/>
    </row>
    <row r="524" spans="1:9" ht="18.75">
      <c r="A524" s="29"/>
      <c r="B524" s="30"/>
      <c r="C524" s="30"/>
      <c r="D524" s="31"/>
      <c r="E524" s="30"/>
      <c r="F524" s="30"/>
      <c r="G524" s="30"/>
      <c r="H524" s="30"/>
      <c r="I524" s="30"/>
    </row>
    <row r="525" spans="1:9" ht="18.75">
      <c r="A525" s="29"/>
      <c r="B525" s="30"/>
      <c r="C525" s="30"/>
      <c r="D525" s="31"/>
      <c r="E525" s="30"/>
      <c r="F525" s="30"/>
      <c r="G525" s="30"/>
      <c r="H525" s="30"/>
      <c r="I525" s="30"/>
    </row>
    <row r="526" spans="1:9" ht="18.75">
      <c r="A526" s="29"/>
      <c r="B526" s="30"/>
      <c r="C526" s="30"/>
      <c r="D526" s="31"/>
      <c r="E526" s="30"/>
      <c r="F526" s="30"/>
      <c r="G526" s="30"/>
      <c r="H526" s="30"/>
      <c r="I526" s="30"/>
    </row>
    <row r="527" spans="1:9" ht="18.75">
      <c r="A527" s="29"/>
      <c r="B527" s="30"/>
      <c r="C527" s="30"/>
      <c r="D527" s="31"/>
      <c r="E527" s="30"/>
      <c r="F527" s="30"/>
      <c r="G527" s="30"/>
      <c r="H527" s="30"/>
      <c r="I527" s="30"/>
    </row>
    <row r="528" spans="1:9" ht="18.75">
      <c r="A528" s="29"/>
      <c r="B528" s="30"/>
      <c r="C528" s="30"/>
      <c r="D528" s="31"/>
      <c r="E528" s="30"/>
      <c r="F528" s="30"/>
      <c r="G528" s="30"/>
      <c r="H528" s="30"/>
      <c r="I528" s="30"/>
    </row>
    <row r="529" spans="1:9" ht="18.75">
      <c r="A529" s="29"/>
      <c r="B529" s="30"/>
      <c r="C529" s="30"/>
      <c r="D529" s="31"/>
      <c r="E529" s="30"/>
      <c r="F529" s="30"/>
      <c r="G529" s="30"/>
      <c r="H529" s="30"/>
      <c r="I529" s="30"/>
    </row>
    <row r="530" spans="1:9" ht="18.75">
      <c r="A530" s="29"/>
      <c r="B530" s="30"/>
      <c r="C530" s="30"/>
      <c r="D530" s="31"/>
      <c r="E530" s="30"/>
      <c r="F530" s="30"/>
      <c r="G530" s="30"/>
      <c r="H530" s="30"/>
      <c r="I530" s="30"/>
    </row>
    <row r="531" spans="1:9" ht="18.75">
      <c r="A531" s="29"/>
      <c r="B531" s="30"/>
      <c r="C531" s="30"/>
      <c r="D531" s="31"/>
      <c r="E531" s="30"/>
      <c r="F531" s="30"/>
      <c r="G531" s="30"/>
      <c r="H531" s="30"/>
      <c r="I531" s="30"/>
    </row>
    <row r="532" spans="1:9" ht="18.75">
      <c r="A532" s="29"/>
      <c r="B532" s="30"/>
      <c r="C532" s="30"/>
      <c r="D532" s="31"/>
      <c r="E532" s="30"/>
      <c r="F532" s="30"/>
      <c r="G532" s="30"/>
      <c r="H532" s="30"/>
      <c r="I532" s="30"/>
    </row>
    <row r="533" spans="1:9" ht="18.75">
      <c r="A533" s="29"/>
      <c r="B533" s="30"/>
      <c r="C533" s="30"/>
      <c r="D533" s="31"/>
      <c r="E533" s="30"/>
      <c r="F533" s="30"/>
      <c r="G533" s="30"/>
      <c r="H533" s="30"/>
      <c r="I533" s="30"/>
    </row>
    <row r="534" spans="1:9" ht="18.75">
      <c r="A534" s="29"/>
      <c r="B534" s="30"/>
      <c r="C534" s="30"/>
      <c r="D534" s="31"/>
      <c r="E534" s="30"/>
      <c r="F534" s="30"/>
      <c r="G534" s="30"/>
      <c r="H534" s="30"/>
      <c r="I534" s="30"/>
    </row>
    <row r="535" spans="1:9" ht="18.75">
      <c r="A535" s="29"/>
      <c r="B535" s="30"/>
      <c r="C535" s="30"/>
      <c r="D535" s="31"/>
      <c r="E535" s="30"/>
      <c r="F535" s="30"/>
      <c r="G535" s="30"/>
      <c r="H535" s="30"/>
      <c r="I535" s="30"/>
    </row>
    <row r="536" spans="1:9" ht="18.75">
      <c r="A536" s="29"/>
      <c r="B536" s="30"/>
      <c r="C536" s="30"/>
      <c r="D536" s="31"/>
      <c r="E536" s="30"/>
      <c r="F536" s="30"/>
      <c r="G536" s="30"/>
      <c r="H536" s="30"/>
      <c r="I536" s="30"/>
    </row>
    <row r="537" spans="1:9" ht="18.75">
      <c r="A537" s="29"/>
      <c r="B537" s="30"/>
      <c r="C537" s="30"/>
      <c r="D537" s="31"/>
      <c r="E537" s="30"/>
      <c r="F537" s="30"/>
      <c r="G537" s="30"/>
      <c r="H537" s="30"/>
      <c r="I537" s="30"/>
    </row>
    <row r="538" spans="1:9" ht="18.75">
      <c r="A538" s="29"/>
      <c r="B538" s="30"/>
      <c r="C538" s="30"/>
      <c r="D538" s="31"/>
      <c r="E538" s="30"/>
      <c r="F538" s="30"/>
      <c r="G538" s="30"/>
      <c r="H538" s="30"/>
      <c r="I538" s="30"/>
    </row>
    <row r="539" spans="1:9" ht="18.75">
      <c r="A539" s="29"/>
      <c r="B539" s="30"/>
      <c r="C539" s="30"/>
      <c r="D539" s="31"/>
      <c r="E539" s="30"/>
      <c r="F539" s="30"/>
      <c r="G539" s="30"/>
      <c r="H539" s="30"/>
      <c r="I539" s="30"/>
    </row>
    <row r="540" spans="1:9" ht="18.75">
      <c r="A540" s="29"/>
      <c r="B540" s="30"/>
      <c r="C540" s="30"/>
      <c r="D540" s="31"/>
      <c r="E540" s="30"/>
      <c r="F540" s="30"/>
      <c r="G540" s="30"/>
      <c r="H540" s="30"/>
      <c r="I540" s="30"/>
    </row>
    <row r="541" spans="1:9" ht="18.75">
      <c r="A541" s="29"/>
      <c r="B541" s="30"/>
      <c r="C541" s="30"/>
      <c r="D541" s="31"/>
      <c r="E541" s="30"/>
      <c r="F541" s="30"/>
      <c r="G541" s="30"/>
      <c r="H541" s="30"/>
      <c r="I541" s="30"/>
    </row>
    <row r="542" spans="1:9" ht="18.75">
      <c r="A542" s="29"/>
      <c r="B542" s="30"/>
      <c r="C542" s="30"/>
      <c r="D542" s="31"/>
      <c r="E542" s="30"/>
      <c r="F542" s="30"/>
      <c r="G542" s="30"/>
      <c r="H542" s="30"/>
      <c r="I542" s="30"/>
    </row>
    <row r="543" spans="1:9" ht="18.75">
      <c r="A543" s="29"/>
      <c r="B543" s="30"/>
      <c r="C543" s="30"/>
      <c r="D543" s="31"/>
      <c r="E543" s="30"/>
      <c r="F543" s="30"/>
      <c r="G543" s="30"/>
      <c r="H543" s="30"/>
      <c r="I543" s="30"/>
    </row>
    <row r="544" spans="1:9" ht="18.75">
      <c r="A544" s="29"/>
      <c r="B544" s="30"/>
      <c r="C544" s="30"/>
      <c r="D544" s="31"/>
      <c r="E544" s="30"/>
      <c r="F544" s="30"/>
      <c r="G544" s="30"/>
      <c r="H544" s="30"/>
      <c r="I544" s="30"/>
    </row>
    <row r="545" spans="1:9" ht="18.75">
      <c r="A545" s="29"/>
      <c r="B545" s="30"/>
      <c r="C545" s="30"/>
      <c r="D545" s="31"/>
      <c r="E545" s="30"/>
      <c r="F545" s="30"/>
      <c r="G545" s="30"/>
      <c r="H545" s="30"/>
      <c r="I545" s="30"/>
    </row>
    <row r="546" spans="1:9" ht="18.75">
      <c r="A546" s="29"/>
      <c r="B546" s="30"/>
      <c r="C546" s="30"/>
      <c r="D546" s="31"/>
      <c r="E546" s="30"/>
      <c r="F546" s="30"/>
      <c r="G546" s="30"/>
      <c r="H546" s="30"/>
      <c r="I546" s="30"/>
    </row>
    <row r="547" spans="1:9" ht="18.75">
      <c r="A547" s="29"/>
      <c r="B547" s="30"/>
      <c r="C547" s="30"/>
      <c r="D547" s="31"/>
      <c r="E547" s="30"/>
      <c r="F547" s="30"/>
      <c r="G547" s="30"/>
      <c r="H547" s="30"/>
      <c r="I547" s="30"/>
    </row>
    <row r="548" spans="1:9" ht="18.75">
      <c r="A548" s="29"/>
      <c r="B548" s="30"/>
      <c r="C548" s="30"/>
      <c r="D548" s="31"/>
      <c r="E548" s="30"/>
      <c r="F548" s="30"/>
      <c r="G548" s="30"/>
      <c r="H548" s="30"/>
      <c r="I548" s="30"/>
    </row>
    <row r="549" spans="1:9" ht="18.75">
      <c r="A549" s="29"/>
      <c r="B549" s="30"/>
      <c r="C549" s="30"/>
      <c r="D549" s="31"/>
      <c r="E549" s="30"/>
      <c r="F549" s="30"/>
      <c r="G549" s="30"/>
      <c r="H549" s="30"/>
      <c r="I549" s="30"/>
    </row>
    <row r="550" spans="1:9" ht="18.75">
      <c r="A550" s="29"/>
      <c r="B550" s="30"/>
      <c r="C550" s="30"/>
      <c r="D550" s="31"/>
      <c r="E550" s="30"/>
      <c r="F550" s="30"/>
      <c r="G550" s="30"/>
      <c r="H550" s="30"/>
      <c r="I550" s="30"/>
    </row>
    <row r="551" spans="1:9" ht="18.75">
      <c r="A551" s="29"/>
      <c r="B551" s="30"/>
      <c r="C551" s="30"/>
      <c r="D551" s="31"/>
      <c r="E551" s="30"/>
      <c r="F551" s="30"/>
      <c r="G551" s="30"/>
      <c r="H551" s="30"/>
      <c r="I551" s="30"/>
    </row>
    <row r="552" spans="1:9" ht="18.75">
      <c r="A552" s="29"/>
      <c r="B552" s="30"/>
      <c r="C552" s="30"/>
      <c r="D552" s="31"/>
      <c r="E552" s="30"/>
      <c r="F552" s="30"/>
      <c r="G552" s="30"/>
      <c r="H552" s="30"/>
      <c r="I552" s="30"/>
    </row>
    <row r="553" spans="1:9" ht="18.75">
      <c r="A553" s="29"/>
      <c r="B553" s="30"/>
      <c r="C553" s="30"/>
      <c r="D553" s="31"/>
      <c r="E553" s="30"/>
      <c r="F553" s="30"/>
      <c r="G553" s="30"/>
      <c r="H553" s="30"/>
      <c r="I553" s="30"/>
    </row>
    <row r="554" spans="1:9" ht="18.75">
      <c r="A554" s="29"/>
      <c r="B554" s="30"/>
      <c r="C554" s="30"/>
      <c r="D554" s="31"/>
      <c r="E554" s="30"/>
      <c r="F554" s="30"/>
      <c r="G554" s="30"/>
      <c r="H554" s="30"/>
      <c r="I554" s="30"/>
    </row>
    <row r="555" spans="1:9" ht="18.75">
      <c r="A555" s="29"/>
      <c r="B555" s="30"/>
      <c r="C555" s="30"/>
      <c r="D555" s="31"/>
      <c r="E555" s="30"/>
      <c r="F555" s="30"/>
      <c r="G555" s="30"/>
      <c r="H555" s="30"/>
      <c r="I555" s="30"/>
    </row>
    <row r="556" spans="1:9" ht="18.75">
      <c r="A556" s="29"/>
      <c r="B556" s="30"/>
      <c r="C556" s="30"/>
      <c r="D556" s="31"/>
      <c r="E556" s="30"/>
      <c r="F556" s="30"/>
      <c r="G556" s="30"/>
      <c r="H556" s="30"/>
      <c r="I556" s="30"/>
    </row>
    <row r="557" spans="1:9" ht="18.75">
      <c r="A557" s="29"/>
      <c r="B557" s="30"/>
      <c r="C557" s="30"/>
      <c r="D557" s="31"/>
      <c r="E557" s="30"/>
      <c r="F557" s="30"/>
      <c r="G557" s="30"/>
      <c r="H557" s="30"/>
      <c r="I557" s="30"/>
    </row>
    <row r="558" spans="1:9" ht="18.75">
      <c r="A558" s="29"/>
      <c r="B558" s="30"/>
      <c r="C558" s="30"/>
      <c r="D558" s="31"/>
      <c r="E558" s="30"/>
      <c r="F558" s="30"/>
      <c r="G558" s="30"/>
      <c r="H558" s="30"/>
      <c r="I558" s="30"/>
    </row>
    <row r="559" spans="1:9" ht="18.75">
      <c r="A559" s="29"/>
      <c r="B559" s="30"/>
      <c r="C559" s="30"/>
      <c r="D559" s="31"/>
      <c r="E559" s="30"/>
      <c r="F559" s="30"/>
      <c r="G559" s="30"/>
      <c r="H559" s="30"/>
      <c r="I559" s="30"/>
    </row>
    <row r="560" spans="1:9" ht="18.75">
      <c r="A560" s="29"/>
      <c r="B560" s="30"/>
      <c r="C560" s="30"/>
      <c r="D560" s="31"/>
      <c r="E560" s="30"/>
      <c r="F560" s="30"/>
      <c r="G560" s="30"/>
      <c r="H560" s="30"/>
      <c r="I560" s="30"/>
    </row>
    <row r="561" spans="1:9" ht="18.75">
      <c r="A561" s="29"/>
      <c r="B561" s="30"/>
      <c r="C561" s="30"/>
      <c r="D561" s="31"/>
      <c r="E561" s="30"/>
      <c r="F561" s="30"/>
      <c r="G561" s="30"/>
      <c r="H561" s="30"/>
      <c r="I561" s="30"/>
    </row>
    <row r="562" spans="1:9" ht="18.75">
      <c r="A562" s="29"/>
      <c r="B562" s="30"/>
      <c r="C562" s="30"/>
      <c r="D562" s="31"/>
      <c r="E562" s="30"/>
      <c r="F562" s="30"/>
      <c r="G562" s="30"/>
      <c r="H562" s="30"/>
      <c r="I562" s="30"/>
    </row>
    <row r="563" spans="1:9" ht="18.75">
      <c r="A563" s="29"/>
      <c r="B563" s="30"/>
      <c r="C563" s="30"/>
      <c r="D563" s="31"/>
      <c r="E563" s="30"/>
      <c r="F563" s="30"/>
      <c r="G563" s="30"/>
      <c r="H563" s="30"/>
      <c r="I563" s="30"/>
    </row>
    <row r="564" spans="1:9" ht="18.75">
      <c r="A564" s="29"/>
      <c r="B564" s="30"/>
      <c r="C564" s="30"/>
      <c r="D564" s="31"/>
      <c r="E564" s="30"/>
      <c r="F564" s="30"/>
      <c r="G564" s="30"/>
      <c r="H564" s="30"/>
      <c r="I564" s="30"/>
    </row>
    <row r="565" spans="1:9" ht="18.75">
      <c r="A565" s="29"/>
      <c r="B565" s="30"/>
      <c r="C565" s="30"/>
      <c r="D565" s="31"/>
      <c r="E565" s="30"/>
      <c r="F565" s="30"/>
      <c r="G565" s="30"/>
      <c r="H565" s="30"/>
      <c r="I565" s="30"/>
    </row>
    <row r="566" spans="1:9" ht="18.75">
      <c r="A566" s="29"/>
      <c r="B566" s="30"/>
      <c r="C566" s="30"/>
      <c r="D566" s="31"/>
      <c r="E566" s="30"/>
      <c r="F566" s="30"/>
      <c r="G566" s="30"/>
      <c r="H566" s="30"/>
      <c r="I566" s="30"/>
    </row>
    <row r="567" spans="1:9" ht="18.75">
      <c r="A567" s="29"/>
      <c r="B567" s="30"/>
      <c r="C567" s="30"/>
      <c r="D567" s="31"/>
      <c r="E567" s="30"/>
      <c r="F567" s="30"/>
      <c r="G567" s="30"/>
      <c r="H567" s="30"/>
      <c r="I567" s="30"/>
    </row>
    <row r="568" spans="1:9" ht="18.75">
      <c r="A568" s="29"/>
      <c r="B568" s="30"/>
      <c r="C568" s="30"/>
      <c r="D568" s="31"/>
      <c r="E568" s="30"/>
      <c r="F568" s="30"/>
      <c r="G568" s="30"/>
      <c r="H568" s="30"/>
      <c r="I568" s="30"/>
    </row>
    <row r="569" spans="1:9" ht="18.75">
      <c r="A569" s="29"/>
      <c r="B569" s="30"/>
      <c r="C569" s="30"/>
      <c r="D569" s="31"/>
      <c r="E569" s="30"/>
      <c r="F569" s="30"/>
      <c r="G569" s="30"/>
      <c r="H569" s="30"/>
      <c r="I569" s="30"/>
    </row>
    <row r="570" spans="1:9" ht="18.75">
      <c r="A570" s="29"/>
      <c r="B570" s="30"/>
      <c r="C570" s="30"/>
      <c r="D570" s="31"/>
      <c r="E570" s="30"/>
      <c r="F570" s="30"/>
      <c r="G570" s="30"/>
      <c r="H570" s="30"/>
      <c r="I570" s="30"/>
    </row>
    <row r="571" spans="1:9" ht="18.75">
      <c r="A571" s="29"/>
      <c r="B571" s="30"/>
      <c r="C571" s="30"/>
      <c r="D571" s="31"/>
      <c r="E571" s="30"/>
      <c r="F571" s="30"/>
      <c r="G571" s="30"/>
      <c r="H571" s="30"/>
      <c r="I571" s="30"/>
    </row>
    <row r="572" spans="1:9" ht="18.75">
      <c r="A572" s="29"/>
      <c r="B572" s="30"/>
      <c r="C572" s="30"/>
      <c r="D572" s="31"/>
      <c r="E572" s="30"/>
      <c r="F572" s="30"/>
      <c r="G572" s="30"/>
      <c r="H572" s="30"/>
      <c r="I572" s="30"/>
    </row>
    <row r="573" spans="1:9" ht="18.75">
      <c r="A573" s="29"/>
      <c r="B573" s="30"/>
      <c r="C573" s="30"/>
      <c r="D573" s="31"/>
      <c r="E573" s="30"/>
      <c r="F573" s="30"/>
      <c r="G573" s="30"/>
      <c r="H573" s="30"/>
      <c r="I573" s="30"/>
    </row>
    <row r="574" spans="1:9" ht="18.75">
      <c r="A574" s="29"/>
      <c r="B574" s="30"/>
      <c r="C574" s="30"/>
      <c r="D574" s="31"/>
      <c r="E574" s="30"/>
      <c r="F574" s="30"/>
      <c r="G574" s="30"/>
      <c r="H574" s="30"/>
      <c r="I574" s="30"/>
    </row>
    <row r="575" spans="1:9" ht="18.75">
      <c r="A575" s="29"/>
      <c r="B575" s="30"/>
      <c r="C575" s="30"/>
      <c r="D575" s="31"/>
      <c r="E575" s="30"/>
      <c r="F575" s="30"/>
      <c r="G575" s="30"/>
      <c r="H575" s="30"/>
      <c r="I575" s="30"/>
    </row>
    <row r="576" spans="1:9" ht="18.75">
      <c r="A576" s="29"/>
      <c r="B576" s="30"/>
      <c r="C576" s="30"/>
      <c r="D576" s="31"/>
      <c r="E576" s="30"/>
      <c r="F576" s="30"/>
      <c r="G576" s="30"/>
      <c r="H576" s="30"/>
      <c r="I576" s="30"/>
    </row>
    <row r="577" spans="1:9" ht="18.75">
      <c r="A577" s="29"/>
      <c r="B577" s="30"/>
      <c r="C577" s="30"/>
      <c r="D577" s="31"/>
      <c r="E577" s="30"/>
      <c r="F577" s="30"/>
      <c r="G577" s="30"/>
      <c r="H577" s="30"/>
      <c r="I577" s="30"/>
    </row>
    <row r="578" spans="1:9" ht="18.75">
      <c r="A578" s="29"/>
      <c r="B578" s="30"/>
      <c r="C578" s="30"/>
      <c r="D578" s="31"/>
      <c r="E578" s="30"/>
      <c r="F578" s="30"/>
      <c r="G578" s="30"/>
      <c r="H578" s="30"/>
      <c r="I578" s="30"/>
    </row>
    <row r="579" spans="1:9" ht="18.75">
      <c r="A579" s="29"/>
      <c r="B579" s="30"/>
      <c r="C579" s="30"/>
      <c r="D579" s="31"/>
      <c r="E579" s="30"/>
      <c r="F579" s="30"/>
      <c r="G579" s="30"/>
      <c r="H579" s="30"/>
      <c r="I579" s="30"/>
    </row>
    <row r="580" spans="1:9" ht="18.75">
      <c r="A580" s="29"/>
      <c r="B580" s="30"/>
      <c r="C580" s="30"/>
      <c r="D580" s="31"/>
      <c r="E580" s="30"/>
      <c r="F580" s="30"/>
      <c r="G580" s="30"/>
      <c r="H580" s="30"/>
      <c r="I580" s="30"/>
    </row>
    <row r="581" spans="1:9" ht="18.75">
      <c r="A581" s="29"/>
      <c r="B581" s="30"/>
      <c r="C581" s="30"/>
      <c r="D581" s="31"/>
      <c r="E581" s="30"/>
      <c r="F581" s="30"/>
      <c r="G581" s="30"/>
      <c r="H581" s="30"/>
      <c r="I581" s="30"/>
    </row>
    <row r="582" spans="1:9" ht="18.75">
      <c r="A582" s="29"/>
      <c r="B582" s="30"/>
      <c r="C582" s="30"/>
      <c r="D582" s="31"/>
      <c r="E582" s="30"/>
      <c r="F582" s="30"/>
      <c r="G582" s="30"/>
      <c r="H582" s="30"/>
      <c r="I582" s="30"/>
    </row>
    <row r="583" spans="1:9" ht="18.75">
      <c r="A583" s="29"/>
      <c r="B583" s="30"/>
      <c r="C583" s="30"/>
      <c r="D583" s="31"/>
      <c r="E583" s="30"/>
      <c r="F583" s="30"/>
      <c r="G583" s="30"/>
      <c r="H583" s="30"/>
      <c r="I583" s="30"/>
    </row>
    <row r="584" spans="1:9" ht="18.75">
      <c r="A584" s="29"/>
      <c r="B584" s="30"/>
      <c r="C584" s="30"/>
      <c r="D584" s="31"/>
      <c r="E584" s="30"/>
      <c r="F584" s="30"/>
      <c r="G584" s="30"/>
      <c r="H584" s="30"/>
      <c r="I584" s="30"/>
    </row>
    <row r="585" spans="1:9" ht="18.75">
      <c r="A585" s="29"/>
      <c r="B585" s="30"/>
      <c r="C585" s="30"/>
      <c r="D585" s="31"/>
      <c r="E585" s="30"/>
      <c r="F585" s="30"/>
      <c r="G585" s="30"/>
      <c r="H585" s="30"/>
      <c r="I585" s="30"/>
    </row>
    <row r="586" spans="1:9" ht="18.75">
      <c r="A586" s="29"/>
      <c r="B586" s="30"/>
      <c r="C586" s="30"/>
      <c r="D586" s="31"/>
      <c r="E586" s="30"/>
      <c r="F586" s="30"/>
      <c r="G586" s="30"/>
      <c r="H586" s="30"/>
      <c r="I586" s="30"/>
    </row>
    <row r="587" spans="1:9" ht="18.75">
      <c r="A587" s="29"/>
      <c r="B587" s="30"/>
      <c r="C587" s="30"/>
      <c r="D587" s="31"/>
      <c r="E587" s="30"/>
      <c r="F587" s="30"/>
      <c r="G587" s="30"/>
      <c r="H587" s="30"/>
      <c r="I587" s="30"/>
    </row>
    <row r="588" spans="1:9" ht="18.75">
      <c r="A588" s="29"/>
      <c r="B588" s="30"/>
      <c r="C588" s="30"/>
      <c r="D588" s="31"/>
      <c r="E588" s="30"/>
      <c r="F588" s="30"/>
      <c r="G588" s="30"/>
      <c r="H588" s="30"/>
      <c r="I588" s="30"/>
    </row>
    <row r="589" spans="1:9" ht="18.75">
      <c r="A589" s="29"/>
      <c r="B589" s="30"/>
      <c r="C589" s="30"/>
      <c r="D589" s="31"/>
      <c r="E589" s="30"/>
      <c r="F589" s="30"/>
      <c r="G589" s="30"/>
      <c r="H589" s="30"/>
      <c r="I589" s="30"/>
    </row>
    <row r="590" spans="1:9" ht="18.75">
      <c r="A590" s="29"/>
      <c r="B590" s="30"/>
      <c r="C590" s="30"/>
      <c r="D590" s="31"/>
      <c r="E590" s="30"/>
      <c r="F590" s="30"/>
      <c r="G590" s="30"/>
      <c r="H590" s="30"/>
      <c r="I590" s="30"/>
    </row>
    <row r="591" spans="1:9" ht="18.75">
      <c r="A591" s="29"/>
      <c r="B591" s="30"/>
      <c r="C591" s="30"/>
      <c r="D591" s="31"/>
      <c r="E591" s="30"/>
      <c r="F591" s="30"/>
      <c r="G591" s="30"/>
      <c r="H591" s="30"/>
      <c r="I591" s="30"/>
    </row>
    <row r="592" spans="1:9" ht="18.75">
      <c r="A592" s="29"/>
      <c r="B592" s="30"/>
      <c r="C592" s="30"/>
      <c r="D592" s="31"/>
      <c r="E592" s="30"/>
      <c r="F592" s="30"/>
      <c r="G592" s="30"/>
      <c r="H592" s="30"/>
      <c r="I592" s="30"/>
    </row>
    <row r="593" spans="1:9" ht="18.75">
      <c r="A593" s="29"/>
      <c r="B593" s="30"/>
      <c r="C593" s="30"/>
      <c r="D593" s="31"/>
      <c r="E593" s="30"/>
      <c r="F593" s="30"/>
      <c r="G593" s="30"/>
      <c r="H593" s="30"/>
      <c r="I593" s="30"/>
    </row>
    <row r="594" spans="1:9" ht="18.75">
      <c r="A594" s="29"/>
      <c r="B594" s="30"/>
      <c r="C594" s="30"/>
      <c r="D594" s="31"/>
      <c r="E594" s="30"/>
      <c r="F594" s="30"/>
      <c r="G594" s="30"/>
      <c r="H594" s="30"/>
      <c r="I594" s="30"/>
    </row>
    <row r="595" spans="1:9" ht="18.75">
      <c r="A595" s="29"/>
      <c r="B595" s="30"/>
      <c r="C595" s="30"/>
      <c r="D595" s="31"/>
      <c r="E595" s="30"/>
      <c r="F595" s="30"/>
      <c r="G595" s="30"/>
      <c r="H595" s="30"/>
      <c r="I595" s="30"/>
    </row>
    <row r="596" spans="1:9" ht="18.75">
      <c r="A596" s="29"/>
      <c r="B596" s="30"/>
      <c r="C596" s="30"/>
      <c r="D596" s="31"/>
      <c r="E596" s="30"/>
      <c r="F596" s="30"/>
      <c r="G596" s="30"/>
      <c r="H596" s="30"/>
      <c r="I596" s="30"/>
    </row>
    <row r="597" spans="1:9" ht="18.75">
      <c r="A597" s="29"/>
      <c r="B597" s="30"/>
      <c r="C597" s="30"/>
      <c r="D597" s="31"/>
      <c r="E597" s="30"/>
      <c r="F597" s="30"/>
      <c r="G597" s="30"/>
      <c r="H597" s="30"/>
      <c r="I597" s="30"/>
    </row>
    <row r="598" spans="1:9" ht="18.75">
      <c r="A598" s="29"/>
      <c r="B598" s="30"/>
      <c r="C598" s="30"/>
      <c r="D598" s="31"/>
      <c r="E598" s="30"/>
      <c r="F598" s="30"/>
      <c r="G598" s="30"/>
      <c r="H598" s="30"/>
      <c r="I598" s="30"/>
    </row>
    <row r="599" spans="1:9" ht="18.75">
      <c r="A599" s="29"/>
      <c r="B599" s="30"/>
      <c r="C599" s="30"/>
      <c r="D599" s="31"/>
      <c r="E599" s="30"/>
      <c r="F599" s="30"/>
      <c r="G599" s="30"/>
      <c r="H599" s="30"/>
      <c r="I599" s="30"/>
    </row>
    <row r="600" spans="1:9" ht="18.75">
      <c r="A600" s="29"/>
      <c r="B600" s="30"/>
      <c r="C600" s="30"/>
      <c r="D600" s="31"/>
      <c r="E600" s="30"/>
      <c r="F600" s="30"/>
      <c r="G600" s="30"/>
      <c r="H600" s="30"/>
      <c r="I600" s="30"/>
    </row>
    <row r="601" spans="1:9" ht="18.75">
      <c r="A601" s="29"/>
      <c r="B601" s="30"/>
      <c r="C601" s="30"/>
      <c r="D601" s="31"/>
      <c r="E601" s="30"/>
      <c r="F601" s="30"/>
      <c r="G601" s="30"/>
      <c r="H601" s="30"/>
      <c r="I601" s="30"/>
    </row>
    <row r="602" spans="1:9" ht="18.75">
      <c r="A602" s="29"/>
      <c r="B602" s="30"/>
      <c r="C602" s="30"/>
      <c r="D602" s="31"/>
      <c r="E602" s="30"/>
      <c r="F602" s="30"/>
      <c r="G602" s="30"/>
      <c r="H602" s="30"/>
      <c r="I602" s="30"/>
    </row>
    <row r="603" spans="1:9" ht="18.75">
      <c r="A603" s="29"/>
      <c r="B603" s="30"/>
      <c r="C603" s="30"/>
      <c r="D603" s="31"/>
      <c r="E603" s="30"/>
      <c r="F603" s="30"/>
      <c r="G603" s="30"/>
      <c r="H603" s="30"/>
      <c r="I603" s="30"/>
    </row>
    <row r="604" spans="1:9" ht="18.75">
      <c r="A604" s="29"/>
      <c r="B604" s="30"/>
      <c r="C604" s="30"/>
      <c r="D604" s="31"/>
      <c r="E604" s="30"/>
      <c r="F604" s="30"/>
      <c r="G604" s="30"/>
      <c r="H604" s="30"/>
      <c r="I604" s="30"/>
    </row>
    <row r="605" spans="1:9" ht="18.75">
      <c r="A605" s="29"/>
      <c r="B605" s="30"/>
      <c r="C605" s="30"/>
      <c r="D605" s="31"/>
      <c r="E605" s="30"/>
      <c r="F605" s="30"/>
      <c r="G605" s="30"/>
      <c r="H605" s="30"/>
      <c r="I605" s="30"/>
    </row>
    <row r="606" spans="1:9" ht="18.75">
      <c r="A606" s="29"/>
      <c r="B606" s="30"/>
      <c r="C606" s="30"/>
      <c r="D606" s="31"/>
      <c r="E606" s="30"/>
      <c r="F606" s="30"/>
      <c r="G606" s="30"/>
      <c r="H606" s="30"/>
      <c r="I606" s="30"/>
    </row>
    <row r="607" spans="1:9" ht="18.75">
      <c r="A607" s="29"/>
      <c r="B607" s="30"/>
      <c r="C607" s="30"/>
      <c r="D607" s="31"/>
      <c r="E607" s="30"/>
      <c r="F607" s="30"/>
      <c r="G607" s="30"/>
      <c r="H607" s="30"/>
      <c r="I607" s="30"/>
    </row>
    <row r="608" spans="1:9" ht="18.75">
      <c r="A608" s="29"/>
      <c r="B608" s="30"/>
      <c r="C608" s="30"/>
      <c r="D608" s="31"/>
      <c r="E608" s="30"/>
      <c r="F608" s="30"/>
      <c r="G608" s="30"/>
      <c r="H608" s="30"/>
      <c r="I608" s="30"/>
    </row>
    <row r="609" spans="1:9" ht="18.75">
      <c r="A609" s="29"/>
      <c r="B609" s="30"/>
      <c r="C609" s="30"/>
      <c r="D609" s="31"/>
      <c r="E609" s="30"/>
      <c r="F609" s="30"/>
      <c r="G609" s="30"/>
      <c r="H609" s="30"/>
      <c r="I609" s="30"/>
    </row>
    <row r="610" spans="1:9" ht="18.75">
      <c r="A610" s="29"/>
      <c r="B610" s="30"/>
      <c r="C610" s="30"/>
      <c r="D610" s="31"/>
      <c r="E610" s="30"/>
      <c r="F610" s="30"/>
      <c r="G610" s="30"/>
      <c r="H610" s="30"/>
      <c r="I610" s="30"/>
    </row>
    <row r="611" spans="1:9" ht="18.75">
      <c r="A611" s="29"/>
      <c r="B611" s="30"/>
      <c r="C611" s="30"/>
      <c r="D611" s="31"/>
      <c r="E611" s="30"/>
      <c r="F611" s="30"/>
      <c r="G611" s="30"/>
      <c r="H611" s="30"/>
      <c r="I611" s="30"/>
    </row>
    <row r="612" spans="1:9" ht="18.75">
      <c r="A612" s="29"/>
      <c r="B612" s="30"/>
      <c r="C612" s="30"/>
      <c r="D612" s="31"/>
      <c r="E612" s="30"/>
      <c r="F612" s="30"/>
      <c r="G612" s="30"/>
      <c r="H612" s="30"/>
      <c r="I612" s="30"/>
    </row>
    <row r="613" spans="1:9" ht="18.75">
      <c r="A613" s="29"/>
      <c r="B613" s="30"/>
      <c r="C613" s="30"/>
      <c r="D613" s="31"/>
      <c r="E613" s="30"/>
      <c r="F613" s="30"/>
      <c r="G613" s="30"/>
      <c r="H613" s="30"/>
      <c r="I613" s="30"/>
    </row>
    <row r="614" spans="1:9" ht="18.75">
      <c r="A614" s="29"/>
      <c r="B614" s="30"/>
      <c r="C614" s="30"/>
      <c r="D614" s="31"/>
      <c r="E614" s="30"/>
      <c r="F614" s="30"/>
      <c r="G614" s="30"/>
      <c r="H614" s="30"/>
      <c r="I614" s="30"/>
    </row>
    <row r="615" spans="1:9" ht="18.75">
      <c r="A615" s="29"/>
      <c r="B615" s="30"/>
      <c r="C615" s="30"/>
      <c r="D615" s="31"/>
      <c r="E615" s="30"/>
      <c r="F615" s="30"/>
      <c r="G615" s="30"/>
      <c r="H615" s="30"/>
      <c r="I615" s="30"/>
    </row>
    <row r="616" spans="1:9" ht="18.75">
      <c r="A616" s="29"/>
      <c r="B616" s="30"/>
      <c r="C616" s="30"/>
      <c r="D616" s="31"/>
      <c r="E616" s="30"/>
      <c r="F616" s="30"/>
      <c r="G616" s="30"/>
      <c r="H616" s="30"/>
      <c r="I616" s="30"/>
    </row>
    <row r="617" spans="1:9" ht="18.75">
      <c r="A617" s="29"/>
      <c r="B617" s="30"/>
      <c r="C617" s="30"/>
      <c r="D617" s="31"/>
      <c r="E617" s="30"/>
      <c r="F617" s="30"/>
      <c r="G617" s="30"/>
      <c r="H617" s="30"/>
      <c r="I617" s="30"/>
    </row>
    <row r="618" spans="1:9" ht="18.75">
      <c r="A618" s="29"/>
      <c r="B618" s="30"/>
      <c r="C618" s="30"/>
      <c r="D618" s="31"/>
      <c r="E618" s="30"/>
      <c r="F618" s="30"/>
      <c r="G618" s="30"/>
      <c r="H618" s="30"/>
      <c r="I618" s="30"/>
    </row>
    <row r="619" spans="1:9" ht="18.75">
      <c r="A619" s="29"/>
      <c r="B619" s="30"/>
      <c r="C619" s="30"/>
      <c r="D619" s="31"/>
      <c r="E619" s="30"/>
      <c r="F619" s="30"/>
      <c r="G619" s="30"/>
      <c r="H619" s="30"/>
      <c r="I619" s="30"/>
    </row>
    <row r="620" spans="1:9" ht="18.75">
      <c r="A620" s="29"/>
      <c r="B620" s="30"/>
      <c r="C620" s="30"/>
      <c r="D620" s="31"/>
      <c r="E620" s="30"/>
      <c r="F620" s="30"/>
      <c r="G620" s="30"/>
      <c r="H620" s="30"/>
      <c r="I620" s="30"/>
    </row>
    <row r="621" spans="1:9" ht="18.75">
      <c r="A621" s="29"/>
      <c r="B621" s="30"/>
      <c r="C621" s="30"/>
      <c r="D621" s="31"/>
      <c r="E621" s="30"/>
      <c r="F621" s="30"/>
      <c r="G621" s="30"/>
      <c r="H621" s="30"/>
      <c r="I621" s="30"/>
    </row>
    <row r="622" spans="1:9" ht="18.75">
      <c r="A622" s="29"/>
      <c r="B622" s="30"/>
      <c r="C622" s="30"/>
      <c r="D622" s="31"/>
      <c r="E622" s="30"/>
      <c r="F622" s="30"/>
      <c r="G622" s="30"/>
      <c r="H622" s="30"/>
      <c r="I622" s="30"/>
    </row>
    <row r="623" spans="1:9" ht="18.75">
      <c r="A623" s="29"/>
      <c r="B623" s="30"/>
      <c r="C623" s="30"/>
      <c r="D623" s="31"/>
      <c r="E623" s="30"/>
      <c r="F623" s="30"/>
      <c r="G623" s="30"/>
      <c r="H623" s="30"/>
      <c r="I623" s="30"/>
    </row>
    <row r="624" spans="1:9" ht="18.75">
      <c r="A624" s="29"/>
      <c r="B624" s="30"/>
      <c r="C624" s="30"/>
      <c r="D624" s="31"/>
      <c r="E624" s="30"/>
      <c r="F624" s="30"/>
      <c r="G624" s="30"/>
      <c r="H624" s="30"/>
      <c r="I624" s="30"/>
    </row>
    <row r="625" spans="1:9" ht="18.75">
      <c r="A625" s="29"/>
      <c r="B625" s="30"/>
      <c r="C625" s="30"/>
      <c r="D625" s="31"/>
      <c r="E625" s="30"/>
      <c r="F625" s="30"/>
      <c r="G625" s="30"/>
      <c r="H625" s="30"/>
      <c r="I625" s="30"/>
    </row>
    <row r="626" spans="1:9" ht="18.75">
      <c r="A626" s="29"/>
      <c r="B626" s="30"/>
      <c r="C626" s="30"/>
      <c r="D626" s="31"/>
      <c r="E626" s="30"/>
      <c r="F626" s="30"/>
      <c r="G626" s="30"/>
      <c r="H626" s="30"/>
      <c r="I626" s="30"/>
    </row>
    <row r="627" spans="1:9" ht="18.75">
      <c r="A627" s="29"/>
      <c r="B627" s="30"/>
      <c r="C627" s="30"/>
      <c r="D627" s="31"/>
      <c r="E627" s="30"/>
      <c r="F627" s="30"/>
      <c r="G627" s="30"/>
      <c r="H627" s="30"/>
      <c r="I627" s="30"/>
    </row>
    <row r="628" spans="1:9" ht="18.75">
      <c r="A628" s="29"/>
      <c r="B628" s="30"/>
      <c r="C628" s="30"/>
      <c r="D628" s="31"/>
      <c r="E628" s="30"/>
      <c r="F628" s="30"/>
      <c r="G628" s="30"/>
      <c r="H628" s="30"/>
      <c r="I628" s="30"/>
    </row>
    <row r="629" spans="1:9" ht="18.75">
      <c r="A629" s="29"/>
      <c r="B629" s="30"/>
      <c r="C629" s="30"/>
      <c r="D629" s="31"/>
      <c r="E629" s="30"/>
      <c r="F629" s="30"/>
      <c r="G629" s="30"/>
      <c r="H629" s="30"/>
      <c r="I629" s="30"/>
    </row>
    <row r="630" spans="1:9" ht="18.75">
      <c r="A630" s="29"/>
      <c r="B630" s="30"/>
      <c r="C630" s="30"/>
      <c r="D630" s="31"/>
      <c r="E630" s="30"/>
      <c r="F630" s="30"/>
      <c r="G630" s="30"/>
      <c r="H630" s="30"/>
      <c r="I630" s="30"/>
    </row>
    <row r="631" spans="1:9" ht="18.75">
      <c r="A631" s="29"/>
      <c r="B631" s="30"/>
      <c r="C631" s="30"/>
      <c r="D631" s="31"/>
      <c r="E631" s="30"/>
      <c r="F631" s="30"/>
      <c r="G631" s="30"/>
      <c r="H631" s="30"/>
      <c r="I631" s="30"/>
    </row>
    <row r="632" spans="1:9" ht="18.75">
      <c r="A632" s="29"/>
      <c r="B632" s="30"/>
      <c r="C632" s="30"/>
      <c r="D632" s="31"/>
      <c r="E632" s="30"/>
      <c r="F632" s="30"/>
      <c r="G632" s="30"/>
      <c r="H632" s="30"/>
      <c r="I632" s="30"/>
    </row>
    <row r="633" spans="1:9" ht="18.75">
      <c r="A633" s="29"/>
      <c r="B633" s="30"/>
      <c r="C633" s="30"/>
      <c r="D633" s="31"/>
      <c r="E633" s="30"/>
      <c r="F633" s="30"/>
      <c r="G633" s="30"/>
      <c r="H633" s="30"/>
      <c r="I633" s="30"/>
    </row>
    <row r="634" spans="1:9" ht="18.75">
      <c r="A634" s="29"/>
      <c r="B634" s="30"/>
      <c r="C634" s="30"/>
      <c r="D634" s="31"/>
      <c r="E634" s="30"/>
      <c r="F634" s="30"/>
      <c r="G634" s="30"/>
      <c r="H634" s="30"/>
      <c r="I634" s="30"/>
    </row>
    <row r="635" spans="1:9" ht="18.75">
      <c r="A635" s="29"/>
      <c r="B635" s="30"/>
      <c r="C635" s="30"/>
      <c r="D635" s="31"/>
      <c r="E635" s="30"/>
      <c r="F635" s="30"/>
      <c r="G635" s="30"/>
      <c r="H635" s="30"/>
      <c r="I635" s="30"/>
    </row>
    <row r="636" spans="1:9" ht="18.75">
      <c r="A636" s="29"/>
      <c r="B636" s="30"/>
      <c r="C636" s="30"/>
      <c r="D636" s="31"/>
      <c r="E636" s="30"/>
      <c r="F636" s="30"/>
      <c r="G636" s="30"/>
      <c r="H636" s="30"/>
      <c r="I636" s="30"/>
    </row>
    <row r="637" spans="1:9" ht="18.75">
      <c r="A637" s="29"/>
      <c r="B637" s="30"/>
      <c r="C637" s="30"/>
      <c r="D637" s="31"/>
      <c r="E637" s="30"/>
      <c r="F637" s="30"/>
      <c r="G637" s="30"/>
      <c r="H637" s="30"/>
      <c r="I637" s="30"/>
    </row>
    <row r="638" spans="1:9" ht="18.75">
      <c r="A638" s="29"/>
      <c r="B638" s="30"/>
      <c r="C638" s="30"/>
      <c r="D638" s="31"/>
      <c r="E638" s="30"/>
      <c r="F638" s="30"/>
      <c r="G638" s="30"/>
      <c r="H638" s="30"/>
      <c r="I638" s="30"/>
    </row>
    <row r="639" spans="1:9" ht="18.75">
      <c r="A639" s="29"/>
      <c r="B639" s="30"/>
      <c r="C639" s="30"/>
      <c r="D639" s="31"/>
      <c r="E639" s="30"/>
      <c r="F639" s="30"/>
      <c r="G639" s="30"/>
      <c r="H639" s="30"/>
      <c r="I639" s="30"/>
    </row>
    <row r="640" spans="1:9" ht="18.75">
      <c r="A640" s="29"/>
      <c r="B640" s="30"/>
      <c r="C640" s="30"/>
      <c r="D640" s="31"/>
      <c r="E640" s="30"/>
      <c r="F640" s="30"/>
      <c r="G640" s="30"/>
      <c r="H640" s="30"/>
      <c r="I640" s="30"/>
    </row>
    <row r="641" spans="1:9" ht="18.75">
      <c r="A641" s="29"/>
      <c r="B641" s="30"/>
      <c r="C641" s="30"/>
      <c r="D641" s="31"/>
      <c r="E641" s="30"/>
      <c r="F641" s="30"/>
      <c r="G641" s="30"/>
      <c r="H641" s="30"/>
      <c r="I641" s="30"/>
    </row>
    <row r="642" spans="1:9" ht="18.75">
      <c r="A642" s="29"/>
      <c r="B642" s="30"/>
      <c r="C642" s="30"/>
      <c r="D642" s="31"/>
      <c r="E642" s="30"/>
      <c r="F642" s="30"/>
      <c r="G642" s="30"/>
      <c r="H642" s="30"/>
      <c r="I642" s="30"/>
    </row>
    <row r="643" spans="1:9" ht="18.75">
      <c r="A643" s="29"/>
      <c r="B643" s="30"/>
      <c r="C643" s="30"/>
      <c r="D643" s="31"/>
      <c r="E643" s="30"/>
      <c r="F643" s="30"/>
      <c r="G643" s="30"/>
      <c r="H643" s="30"/>
      <c r="I643" s="30"/>
    </row>
    <row r="644" spans="1:9" ht="18.75">
      <c r="A644" s="29"/>
      <c r="B644" s="30"/>
      <c r="C644" s="30"/>
      <c r="D644" s="31"/>
      <c r="E644" s="30"/>
      <c r="F644" s="30"/>
      <c r="G644" s="30"/>
      <c r="H644" s="30"/>
      <c r="I644" s="30"/>
    </row>
    <row r="645" spans="1:9" ht="18.75">
      <c r="A645" s="29"/>
      <c r="B645" s="30"/>
      <c r="C645" s="30"/>
      <c r="D645" s="31"/>
      <c r="E645" s="30"/>
      <c r="F645" s="30"/>
      <c r="G645" s="30"/>
      <c r="H645" s="30"/>
      <c r="I645" s="30"/>
    </row>
    <row r="646" spans="1:9" ht="18.75">
      <c r="A646" s="29"/>
      <c r="B646" s="30"/>
      <c r="C646" s="30"/>
      <c r="D646" s="31"/>
      <c r="E646" s="30"/>
      <c r="F646" s="30"/>
      <c r="G646" s="30"/>
      <c r="H646" s="30"/>
      <c r="I646" s="30"/>
    </row>
    <row r="647" spans="1:9" ht="18.75">
      <c r="A647" s="29"/>
      <c r="B647" s="30"/>
      <c r="C647" s="30"/>
      <c r="D647" s="31"/>
      <c r="E647" s="30"/>
      <c r="F647" s="30"/>
      <c r="G647" s="30"/>
      <c r="H647" s="30"/>
      <c r="I647" s="30"/>
    </row>
    <row r="648" spans="1:9" ht="18.75">
      <c r="A648" s="29"/>
      <c r="B648" s="30"/>
      <c r="C648" s="30"/>
      <c r="D648" s="31"/>
      <c r="E648" s="30"/>
      <c r="F648" s="30"/>
      <c r="G648" s="30"/>
      <c r="H648" s="30"/>
      <c r="I648" s="30"/>
    </row>
    <row r="649" spans="1:9" ht="18.75">
      <c r="A649" s="29"/>
      <c r="B649" s="30"/>
      <c r="C649" s="30"/>
      <c r="D649" s="31"/>
      <c r="E649" s="30"/>
      <c r="F649" s="30"/>
      <c r="G649" s="30"/>
      <c r="H649" s="30"/>
      <c r="I649" s="30"/>
    </row>
    <row r="650" spans="1:9" ht="18.75">
      <c r="A650" s="29"/>
      <c r="B650" s="30"/>
      <c r="C650" s="30"/>
      <c r="D650" s="31"/>
      <c r="E650" s="30"/>
      <c r="F650" s="30"/>
      <c r="G650" s="30"/>
      <c r="H650" s="30"/>
      <c r="I650" s="30"/>
    </row>
    <row r="651" spans="1:9" ht="18.75">
      <c r="A651" s="29"/>
      <c r="B651" s="30"/>
      <c r="C651" s="30"/>
      <c r="D651" s="31"/>
      <c r="E651" s="30"/>
      <c r="F651" s="30"/>
      <c r="G651" s="30"/>
      <c r="H651" s="30"/>
      <c r="I651" s="30"/>
    </row>
    <row r="652" spans="1:9" ht="18.75">
      <c r="A652" s="29"/>
      <c r="B652" s="30"/>
      <c r="C652" s="30"/>
      <c r="D652" s="31"/>
      <c r="E652" s="30"/>
      <c r="F652" s="30"/>
      <c r="G652" s="30"/>
      <c r="H652" s="30"/>
      <c r="I652" s="30"/>
    </row>
    <row r="653" spans="1:9" ht="18.75">
      <c r="A653" s="29"/>
      <c r="B653" s="30"/>
      <c r="C653" s="30"/>
      <c r="D653" s="31"/>
      <c r="E653" s="30"/>
      <c r="F653" s="30"/>
      <c r="G653" s="30"/>
      <c r="H653" s="30"/>
      <c r="I653" s="30"/>
    </row>
    <row r="654" spans="1:9" ht="18.75">
      <c r="A654" s="29"/>
      <c r="B654" s="30"/>
      <c r="C654" s="30"/>
      <c r="D654" s="31"/>
      <c r="E654" s="30"/>
      <c r="F654" s="30"/>
      <c r="G654" s="30"/>
      <c r="H654" s="30"/>
      <c r="I654" s="30"/>
    </row>
    <row r="655" spans="1:9" ht="18.75">
      <c r="A655" s="29"/>
      <c r="B655" s="30"/>
      <c r="C655" s="30"/>
      <c r="D655" s="31"/>
      <c r="E655" s="30"/>
      <c r="F655" s="30"/>
      <c r="G655" s="30"/>
      <c r="H655" s="30"/>
      <c r="I655" s="30"/>
    </row>
    <row r="656" spans="1:9" ht="18.75">
      <c r="A656" s="29"/>
      <c r="B656" s="30"/>
      <c r="C656" s="30"/>
      <c r="D656" s="31"/>
      <c r="E656" s="30"/>
      <c r="F656" s="30"/>
      <c r="G656" s="30"/>
      <c r="H656" s="30"/>
      <c r="I656" s="30"/>
    </row>
    <row r="657" spans="1:9" ht="18.75">
      <c r="A657" s="29"/>
      <c r="B657" s="30"/>
      <c r="C657" s="30"/>
      <c r="D657" s="31"/>
      <c r="E657" s="30"/>
      <c r="F657" s="30"/>
      <c r="G657" s="30"/>
      <c r="H657" s="30"/>
      <c r="I657" s="30"/>
    </row>
    <row r="658" spans="1:9" ht="18.75">
      <c r="A658" s="29"/>
      <c r="B658" s="30"/>
      <c r="C658" s="30"/>
      <c r="D658" s="31"/>
      <c r="E658" s="30"/>
      <c r="F658" s="30"/>
      <c r="G658" s="30"/>
      <c r="H658" s="30"/>
      <c r="I658" s="30"/>
    </row>
    <row r="659" spans="1:9" ht="18.75">
      <c r="A659" s="29"/>
      <c r="B659" s="30"/>
      <c r="C659" s="30"/>
      <c r="D659" s="31"/>
      <c r="E659" s="30"/>
      <c r="F659" s="30"/>
      <c r="G659" s="30"/>
      <c r="H659" s="30"/>
      <c r="I659" s="30"/>
    </row>
    <row r="660" spans="1:9" ht="18.75">
      <c r="A660" s="29"/>
      <c r="B660" s="30"/>
      <c r="C660" s="30"/>
      <c r="D660" s="31"/>
      <c r="E660" s="30"/>
      <c r="F660" s="30"/>
      <c r="G660" s="30"/>
      <c r="H660" s="30"/>
      <c r="I660" s="30"/>
    </row>
    <row r="661" spans="1:9" ht="18.75">
      <c r="A661" s="29"/>
      <c r="B661" s="30"/>
      <c r="C661" s="30"/>
      <c r="D661" s="31"/>
      <c r="E661" s="30"/>
      <c r="F661" s="30"/>
      <c r="G661" s="30"/>
      <c r="H661" s="30"/>
      <c r="I661" s="30"/>
    </row>
    <row r="662" spans="1:9" ht="18.75">
      <c r="A662" s="29"/>
      <c r="B662" s="30"/>
      <c r="C662" s="30"/>
      <c r="D662" s="31"/>
      <c r="E662" s="30"/>
      <c r="F662" s="30"/>
      <c r="G662" s="30"/>
      <c r="H662" s="30"/>
      <c r="I662" s="30"/>
    </row>
    <row r="663" spans="1:9" ht="18.75">
      <c r="A663" s="29"/>
      <c r="B663" s="30"/>
      <c r="C663" s="30"/>
      <c r="D663" s="31"/>
      <c r="E663" s="30"/>
      <c r="F663" s="30"/>
      <c r="G663" s="30"/>
      <c r="H663" s="30"/>
      <c r="I663" s="30"/>
    </row>
    <row r="664" spans="1:9" ht="18.75">
      <c r="A664" s="29"/>
      <c r="B664" s="30"/>
      <c r="C664" s="30"/>
      <c r="D664" s="31"/>
      <c r="E664" s="30"/>
      <c r="F664" s="30"/>
      <c r="G664" s="30"/>
      <c r="H664" s="30"/>
      <c r="I664" s="30"/>
    </row>
    <row r="665" spans="1:9" ht="18.75">
      <c r="A665" s="29"/>
      <c r="B665" s="30"/>
      <c r="C665" s="30"/>
      <c r="D665" s="31"/>
      <c r="E665" s="30"/>
      <c r="F665" s="30"/>
      <c r="G665" s="30"/>
      <c r="H665" s="30"/>
      <c r="I665" s="30"/>
    </row>
    <row r="666" spans="1:9" ht="18.75">
      <c r="A666" s="29"/>
      <c r="B666" s="30"/>
      <c r="C666" s="30"/>
      <c r="D666" s="31"/>
      <c r="E666" s="30"/>
      <c r="F666" s="30"/>
      <c r="G666" s="30"/>
      <c r="H666" s="30"/>
      <c r="I666" s="30"/>
    </row>
    <row r="667" spans="1:9" ht="18.75">
      <c r="A667" s="29"/>
      <c r="B667" s="30"/>
      <c r="C667" s="30"/>
      <c r="D667" s="31"/>
      <c r="E667" s="30"/>
      <c r="F667" s="30"/>
      <c r="G667" s="30"/>
      <c r="H667" s="30"/>
      <c r="I667" s="30"/>
    </row>
    <row r="668" spans="1:9" ht="18.75">
      <c r="A668" s="29"/>
      <c r="B668" s="30"/>
      <c r="C668" s="30"/>
      <c r="D668" s="31"/>
      <c r="E668" s="30"/>
      <c r="F668" s="30"/>
      <c r="G668" s="30"/>
      <c r="H668" s="30"/>
      <c r="I668" s="30"/>
    </row>
    <row r="669" spans="1:9" ht="18.75">
      <c r="A669" s="29"/>
      <c r="B669" s="30"/>
      <c r="C669" s="30"/>
      <c r="D669" s="31"/>
      <c r="E669" s="30"/>
      <c r="F669" s="30"/>
      <c r="G669" s="30"/>
      <c r="H669" s="30"/>
      <c r="I669" s="30"/>
    </row>
    <row r="670" spans="1:9" ht="18.75">
      <c r="A670" s="29"/>
      <c r="B670" s="30"/>
      <c r="C670" s="30"/>
      <c r="D670" s="31"/>
      <c r="E670" s="30"/>
      <c r="F670" s="30"/>
      <c r="G670" s="30"/>
      <c r="H670" s="30"/>
      <c r="I670" s="30"/>
    </row>
    <row r="671" spans="1:9" ht="18.75">
      <c r="A671" s="29"/>
      <c r="B671" s="30"/>
      <c r="C671" s="30"/>
      <c r="D671" s="31"/>
      <c r="E671" s="30"/>
      <c r="F671" s="30"/>
      <c r="G671" s="30"/>
      <c r="H671" s="30"/>
      <c r="I671" s="30"/>
    </row>
    <row r="672" spans="1:9" ht="18.75">
      <c r="A672" s="29"/>
      <c r="B672" s="30"/>
      <c r="C672" s="30"/>
      <c r="D672" s="31"/>
      <c r="E672" s="30"/>
      <c r="F672" s="30"/>
      <c r="G672" s="30"/>
      <c r="H672" s="30"/>
      <c r="I672" s="30"/>
    </row>
    <row r="673" spans="1:9" ht="18.75">
      <c r="A673" s="29"/>
      <c r="B673" s="30"/>
      <c r="C673" s="30"/>
      <c r="D673" s="31"/>
      <c r="E673" s="30"/>
      <c r="F673" s="30"/>
      <c r="G673" s="30"/>
      <c r="H673" s="30"/>
      <c r="I673" s="30"/>
    </row>
    <row r="674" spans="1:9" ht="18.75">
      <c r="A674" s="29"/>
      <c r="B674" s="30"/>
      <c r="C674" s="30"/>
      <c r="D674" s="31"/>
      <c r="E674" s="30"/>
      <c r="F674" s="30"/>
      <c r="G674" s="30"/>
      <c r="H674" s="30"/>
      <c r="I674" s="30"/>
    </row>
    <row r="675" spans="1:9" ht="18.75">
      <c r="A675" s="29"/>
      <c r="B675" s="30"/>
      <c r="C675" s="30"/>
      <c r="D675" s="31"/>
      <c r="E675" s="30"/>
      <c r="F675" s="30"/>
      <c r="G675" s="30"/>
      <c r="H675" s="30"/>
      <c r="I675" s="30"/>
    </row>
    <row r="676" spans="1:9" ht="18.75">
      <c r="A676" s="29"/>
      <c r="B676" s="30"/>
      <c r="C676" s="30"/>
      <c r="D676" s="31"/>
      <c r="E676" s="30"/>
      <c r="F676" s="30"/>
      <c r="G676" s="30"/>
      <c r="H676" s="30"/>
      <c r="I676" s="30"/>
    </row>
    <row r="677" spans="1:9" ht="18.75">
      <c r="A677" s="29"/>
      <c r="B677" s="30"/>
      <c r="C677" s="30"/>
      <c r="D677" s="31"/>
      <c r="E677" s="30"/>
      <c r="F677" s="30"/>
      <c r="G677" s="30"/>
      <c r="H677" s="30"/>
      <c r="I677" s="30"/>
    </row>
    <row r="678" spans="1:9" ht="18.75">
      <c r="A678" s="29"/>
      <c r="B678" s="30"/>
      <c r="C678" s="30"/>
      <c r="D678" s="31"/>
      <c r="E678" s="30"/>
      <c r="F678" s="30"/>
      <c r="G678" s="30"/>
      <c r="H678" s="30"/>
      <c r="I678" s="30"/>
    </row>
    <row r="679" spans="1:9" ht="18.75">
      <c r="A679" s="29"/>
      <c r="B679" s="30"/>
      <c r="C679" s="30"/>
      <c r="D679" s="31"/>
      <c r="E679" s="30"/>
      <c r="F679" s="30"/>
      <c r="G679" s="30"/>
      <c r="H679" s="30"/>
      <c r="I679" s="30"/>
    </row>
    <row r="680" spans="1:9" ht="18.75">
      <c r="A680" s="29"/>
      <c r="B680" s="30"/>
      <c r="C680" s="30"/>
      <c r="D680" s="31"/>
      <c r="E680" s="30"/>
      <c r="F680" s="30"/>
      <c r="G680" s="30"/>
      <c r="H680" s="30"/>
      <c r="I680" s="30"/>
    </row>
    <row r="681" spans="1:9" ht="18.75">
      <c r="A681" s="29"/>
      <c r="B681" s="30"/>
      <c r="C681" s="30"/>
      <c r="D681" s="31"/>
      <c r="E681" s="30"/>
      <c r="F681" s="30"/>
      <c r="G681" s="30"/>
      <c r="H681" s="30"/>
      <c r="I681" s="30"/>
    </row>
    <row r="682" spans="1:9" ht="18.75">
      <c r="A682" s="29"/>
      <c r="B682" s="30"/>
      <c r="C682" s="30"/>
      <c r="D682" s="31"/>
      <c r="E682" s="30"/>
      <c r="F682" s="30"/>
      <c r="G682" s="30"/>
      <c r="H682" s="30"/>
      <c r="I682" s="30"/>
    </row>
    <row r="683" spans="1:9" ht="18.75">
      <c r="A683" s="29"/>
      <c r="B683" s="30"/>
      <c r="C683" s="30"/>
      <c r="D683" s="31"/>
      <c r="E683" s="30"/>
      <c r="F683" s="30"/>
      <c r="G683" s="30"/>
      <c r="H683" s="30"/>
      <c r="I683" s="30"/>
    </row>
    <row r="684" spans="1:9" ht="18.75">
      <c r="A684" s="29"/>
      <c r="B684" s="30"/>
      <c r="C684" s="30"/>
      <c r="D684" s="31"/>
      <c r="E684" s="30"/>
      <c r="F684" s="30"/>
      <c r="G684" s="30"/>
      <c r="H684" s="30"/>
      <c r="I684" s="30"/>
    </row>
    <row r="685" spans="1:9" ht="18.75">
      <c r="A685" s="29"/>
      <c r="B685" s="30"/>
      <c r="C685" s="30"/>
      <c r="D685" s="31"/>
      <c r="E685" s="30"/>
      <c r="F685" s="30"/>
      <c r="G685" s="30"/>
      <c r="H685" s="30"/>
      <c r="I685" s="30"/>
    </row>
    <row r="686" spans="1:9" ht="18.75">
      <c r="A686" s="29"/>
      <c r="B686" s="30"/>
      <c r="C686" s="30"/>
      <c r="D686" s="31"/>
      <c r="E686" s="30"/>
      <c r="F686" s="30"/>
      <c r="G686" s="30"/>
      <c r="H686" s="30"/>
      <c r="I686" s="30"/>
    </row>
    <row r="687" spans="1:9" ht="18.75">
      <c r="A687" s="29"/>
      <c r="B687" s="30"/>
      <c r="C687" s="30"/>
      <c r="D687" s="31"/>
      <c r="E687" s="30"/>
      <c r="F687" s="30"/>
      <c r="G687" s="30"/>
      <c r="H687" s="30"/>
      <c r="I687" s="30"/>
    </row>
    <row r="688" spans="1:9" ht="18.75">
      <c r="A688" s="29"/>
      <c r="B688" s="30"/>
      <c r="C688" s="30"/>
      <c r="D688" s="31"/>
      <c r="E688" s="30"/>
      <c r="F688" s="30"/>
      <c r="G688" s="30"/>
      <c r="H688" s="30"/>
      <c r="I688" s="30"/>
    </row>
    <row r="689" spans="1:9" ht="18.75">
      <c r="A689" s="29"/>
      <c r="B689" s="30"/>
      <c r="C689" s="30"/>
      <c r="D689" s="31"/>
      <c r="E689" s="30"/>
      <c r="F689" s="30"/>
      <c r="G689" s="30"/>
      <c r="H689" s="30"/>
      <c r="I689" s="30"/>
    </row>
    <row r="690" spans="1:9" ht="18.75">
      <c r="A690" s="29"/>
      <c r="B690" s="30"/>
      <c r="C690" s="30"/>
      <c r="D690" s="31"/>
      <c r="E690" s="30"/>
      <c r="F690" s="30"/>
      <c r="G690" s="30"/>
      <c r="H690" s="30"/>
      <c r="I690" s="30"/>
    </row>
    <row r="691" spans="1:9" ht="18.75">
      <c r="A691" s="29"/>
      <c r="B691" s="30"/>
      <c r="C691" s="30"/>
      <c r="D691" s="31"/>
      <c r="E691" s="30"/>
      <c r="F691" s="30"/>
      <c r="G691" s="30"/>
      <c r="H691" s="30"/>
      <c r="I691" s="30"/>
    </row>
    <row r="692" spans="1:9" ht="18.75">
      <c r="A692" s="29"/>
      <c r="B692" s="30"/>
      <c r="C692" s="30"/>
      <c r="D692" s="31"/>
      <c r="E692" s="30"/>
      <c r="F692" s="30"/>
      <c r="G692" s="30"/>
      <c r="H692" s="30"/>
      <c r="I692" s="30"/>
    </row>
    <row r="693" spans="1:9" ht="18.75">
      <c r="A693" s="29"/>
      <c r="B693" s="30"/>
      <c r="C693" s="30"/>
      <c r="D693" s="31"/>
      <c r="E693" s="30"/>
      <c r="F693" s="30"/>
      <c r="G693" s="30"/>
      <c r="H693" s="30"/>
      <c r="I693" s="30"/>
    </row>
    <row r="694" spans="1:9" ht="18.75">
      <c r="A694" s="29"/>
      <c r="B694" s="30"/>
      <c r="C694" s="30"/>
      <c r="D694" s="31"/>
      <c r="E694" s="30"/>
      <c r="F694" s="30"/>
      <c r="G694" s="30"/>
      <c r="H694" s="30"/>
      <c r="I694" s="30"/>
    </row>
    <row r="695" spans="1:9" ht="18.75">
      <c r="A695" s="29"/>
      <c r="B695" s="30"/>
      <c r="C695" s="30"/>
      <c r="D695" s="31"/>
      <c r="E695" s="30"/>
      <c r="F695" s="30"/>
      <c r="G695" s="30"/>
      <c r="H695" s="30"/>
      <c r="I695" s="30"/>
    </row>
    <row r="696" spans="1:9" ht="18.75">
      <c r="A696" s="29"/>
      <c r="B696" s="30"/>
      <c r="C696" s="30"/>
      <c r="D696" s="31"/>
      <c r="E696" s="30"/>
      <c r="F696" s="30"/>
      <c r="G696" s="30"/>
      <c r="H696" s="30"/>
      <c r="I696" s="30"/>
    </row>
    <row r="697" spans="1:9" ht="18.75">
      <c r="A697" s="29"/>
      <c r="B697" s="30"/>
      <c r="C697" s="30"/>
      <c r="D697" s="31"/>
      <c r="E697" s="30"/>
      <c r="F697" s="30"/>
      <c r="G697" s="30"/>
      <c r="H697" s="30"/>
      <c r="I697" s="30"/>
    </row>
    <row r="698" spans="1:9" ht="18.75">
      <c r="A698" s="29"/>
      <c r="B698" s="30"/>
      <c r="C698" s="30"/>
      <c r="D698" s="31"/>
      <c r="E698" s="30"/>
      <c r="F698" s="30"/>
      <c r="G698" s="30"/>
      <c r="H698" s="30"/>
      <c r="I698" s="30"/>
    </row>
    <row r="699" spans="1:9" ht="18.75">
      <c r="A699" s="29"/>
      <c r="B699" s="30"/>
      <c r="C699" s="30"/>
      <c r="D699" s="31"/>
      <c r="E699" s="30"/>
      <c r="F699" s="30"/>
      <c r="G699" s="30"/>
      <c r="H699" s="30"/>
      <c r="I699" s="30"/>
    </row>
    <row r="700" spans="1:9" ht="18.75">
      <c r="A700" s="29"/>
      <c r="B700" s="30"/>
      <c r="C700" s="30"/>
      <c r="D700" s="31"/>
      <c r="E700" s="30"/>
      <c r="F700" s="30"/>
      <c r="G700" s="30"/>
      <c r="H700" s="30"/>
      <c r="I700" s="30"/>
    </row>
    <row r="701" spans="1:9" ht="18.75">
      <c r="A701" s="29"/>
      <c r="B701" s="30"/>
      <c r="C701" s="30"/>
      <c r="D701" s="31"/>
      <c r="E701" s="30"/>
      <c r="F701" s="30"/>
      <c r="G701" s="30"/>
      <c r="H701" s="30"/>
      <c r="I701" s="30"/>
    </row>
    <row r="702" spans="1:9" ht="18.75">
      <c r="A702" s="29"/>
      <c r="B702" s="30"/>
      <c r="C702" s="30"/>
      <c r="D702" s="31"/>
      <c r="E702" s="30"/>
      <c r="F702" s="30"/>
      <c r="G702" s="30"/>
      <c r="H702" s="30"/>
      <c r="I702" s="30"/>
    </row>
    <row r="703" spans="1:9" ht="18.75">
      <c r="A703" s="29"/>
      <c r="B703" s="30"/>
      <c r="C703" s="30"/>
      <c r="D703" s="31"/>
      <c r="E703" s="30"/>
      <c r="F703" s="30"/>
      <c r="G703" s="30"/>
      <c r="H703" s="30"/>
      <c r="I703" s="30"/>
    </row>
    <row r="704" spans="1:9" ht="18.75">
      <c r="A704" s="29"/>
      <c r="B704" s="30"/>
      <c r="C704" s="30"/>
      <c r="D704" s="31"/>
      <c r="E704" s="30"/>
      <c r="F704" s="30"/>
      <c r="G704" s="30"/>
      <c r="H704" s="30"/>
      <c r="I704" s="30"/>
    </row>
    <row r="705" spans="1:9" ht="18.75">
      <c r="A705" s="29"/>
      <c r="B705" s="30"/>
      <c r="C705" s="30"/>
      <c r="D705" s="31"/>
      <c r="E705" s="30"/>
      <c r="F705" s="30"/>
      <c r="G705" s="30"/>
      <c r="H705" s="30"/>
      <c r="I705" s="30"/>
    </row>
    <row r="706" spans="1:9" ht="18.75">
      <c r="A706" s="29"/>
      <c r="B706" s="30"/>
      <c r="C706" s="30"/>
      <c r="D706" s="31"/>
      <c r="E706" s="30"/>
      <c r="F706" s="30"/>
      <c r="G706" s="30"/>
      <c r="H706" s="30"/>
      <c r="I706" s="30"/>
    </row>
    <row r="707" spans="1:9" ht="18.75">
      <c r="A707" s="29"/>
      <c r="B707" s="30"/>
      <c r="C707" s="30"/>
      <c r="D707" s="31"/>
      <c r="E707" s="30"/>
      <c r="F707" s="30"/>
      <c r="G707" s="30"/>
      <c r="H707" s="30"/>
      <c r="I707" s="30"/>
    </row>
    <row r="708" spans="1:9" ht="18.75">
      <c r="A708" s="29"/>
      <c r="B708" s="30"/>
      <c r="C708" s="30"/>
      <c r="D708" s="31"/>
      <c r="E708" s="30"/>
      <c r="F708" s="30"/>
      <c r="G708" s="30"/>
      <c r="H708" s="30"/>
      <c r="I708" s="30"/>
    </row>
    <row r="709" spans="1:9" ht="18.75">
      <c r="A709" s="29"/>
      <c r="B709" s="30"/>
      <c r="C709" s="30"/>
      <c r="D709" s="31"/>
      <c r="E709" s="30"/>
      <c r="F709" s="30"/>
      <c r="G709" s="30"/>
      <c r="H709" s="30"/>
      <c r="I709" s="30"/>
    </row>
    <row r="710" spans="1:9" ht="18.75">
      <c r="A710" s="29"/>
      <c r="B710" s="30"/>
      <c r="C710" s="30"/>
      <c r="D710" s="31"/>
      <c r="E710" s="30"/>
      <c r="F710" s="30"/>
      <c r="G710" s="30"/>
      <c r="H710" s="30"/>
      <c r="I710" s="30"/>
    </row>
    <row r="711" spans="1:9" ht="18.75">
      <c r="A711" s="29"/>
      <c r="B711" s="30"/>
      <c r="C711" s="30"/>
      <c r="D711" s="31"/>
      <c r="E711" s="30"/>
      <c r="F711" s="30"/>
      <c r="G711" s="30"/>
      <c r="H711" s="30"/>
      <c r="I711" s="30"/>
    </row>
    <row r="712" spans="1:9" ht="18.75">
      <c r="A712" s="29"/>
      <c r="B712" s="30"/>
      <c r="C712" s="30"/>
      <c r="D712" s="31"/>
      <c r="E712" s="30"/>
      <c r="F712" s="30"/>
      <c r="G712" s="30"/>
      <c r="H712" s="30"/>
      <c r="I712" s="30"/>
    </row>
    <row r="713" spans="1:9" ht="18.75">
      <c r="A713" s="29"/>
      <c r="B713" s="30"/>
      <c r="C713" s="30"/>
      <c r="D713" s="31"/>
      <c r="E713" s="30"/>
      <c r="F713" s="30"/>
      <c r="G713" s="30"/>
      <c r="H713" s="30"/>
      <c r="I713" s="30"/>
    </row>
    <row r="714" spans="1:9" ht="18.75">
      <c r="A714" s="29"/>
      <c r="B714" s="30"/>
      <c r="C714" s="30"/>
      <c r="D714" s="31"/>
      <c r="E714" s="30"/>
      <c r="F714" s="30"/>
      <c r="G714" s="30"/>
      <c r="H714" s="30"/>
      <c r="I714" s="30"/>
    </row>
    <row r="715" spans="1:9" ht="18.75">
      <c r="A715" s="29"/>
      <c r="B715" s="30"/>
      <c r="C715" s="30"/>
      <c r="D715" s="31"/>
      <c r="E715" s="30"/>
      <c r="F715" s="30"/>
      <c r="G715" s="30"/>
      <c r="H715" s="30"/>
      <c r="I715" s="30"/>
    </row>
    <row r="716" spans="1:9" ht="18.75">
      <c r="A716" s="29"/>
      <c r="B716" s="30"/>
      <c r="C716" s="30"/>
      <c r="D716" s="31"/>
      <c r="E716" s="30"/>
      <c r="F716" s="30"/>
      <c r="G716" s="30"/>
      <c r="H716" s="30"/>
      <c r="I716" s="30"/>
    </row>
    <row r="717" spans="1:9" ht="18.75">
      <c r="A717" s="29"/>
      <c r="B717" s="30"/>
      <c r="C717" s="30"/>
      <c r="D717" s="31"/>
      <c r="E717" s="30"/>
      <c r="F717" s="30"/>
      <c r="G717" s="30"/>
      <c r="H717" s="30"/>
      <c r="I717" s="30"/>
    </row>
    <row r="718" spans="1:9" ht="18.75">
      <c r="A718" s="29"/>
      <c r="B718" s="30"/>
      <c r="C718" s="30"/>
      <c r="D718" s="31"/>
      <c r="E718" s="30"/>
      <c r="F718" s="30"/>
      <c r="G718" s="30"/>
      <c r="H718" s="30"/>
      <c r="I718" s="30"/>
    </row>
    <row r="719" spans="1:9" ht="18.75">
      <c r="A719" s="29"/>
      <c r="B719" s="30"/>
      <c r="C719" s="30"/>
      <c r="D719" s="31"/>
      <c r="E719" s="30"/>
      <c r="F719" s="30"/>
      <c r="G719" s="30"/>
      <c r="H719" s="30"/>
      <c r="I719" s="30"/>
    </row>
    <row r="720" spans="1:9" ht="18.75">
      <c r="A720" s="29"/>
      <c r="B720" s="30"/>
      <c r="C720" s="30"/>
      <c r="D720" s="31"/>
      <c r="E720" s="30"/>
      <c r="F720" s="30"/>
      <c r="G720" s="30"/>
      <c r="H720" s="30"/>
      <c r="I720" s="30"/>
    </row>
    <row r="721" spans="1:9" ht="18.75">
      <c r="A721" s="29"/>
      <c r="B721" s="30"/>
      <c r="C721" s="30"/>
      <c r="D721" s="31"/>
      <c r="E721" s="30"/>
      <c r="F721" s="30"/>
      <c r="G721" s="30"/>
      <c r="H721" s="30"/>
      <c r="I721" s="30"/>
    </row>
    <row r="722" spans="1:9" ht="18.75">
      <c r="A722" s="29"/>
      <c r="B722" s="30"/>
      <c r="C722" s="30"/>
      <c r="D722" s="31"/>
      <c r="E722" s="30"/>
      <c r="F722" s="30"/>
      <c r="G722" s="30"/>
      <c r="H722" s="30"/>
      <c r="I722" s="30"/>
    </row>
    <row r="723" spans="1:9" ht="18.75">
      <c r="A723" s="29"/>
      <c r="B723" s="30"/>
      <c r="C723" s="30"/>
      <c r="D723" s="31"/>
      <c r="E723" s="30"/>
      <c r="F723" s="30"/>
      <c r="G723" s="30"/>
      <c r="H723" s="30"/>
      <c r="I723" s="30"/>
    </row>
    <row r="724" spans="1:9" ht="18.75">
      <c r="A724" s="29"/>
      <c r="B724" s="30"/>
      <c r="C724" s="30"/>
      <c r="D724" s="31"/>
      <c r="E724" s="30"/>
      <c r="F724" s="30"/>
      <c r="G724" s="30"/>
      <c r="H724" s="30"/>
      <c r="I724" s="30"/>
    </row>
    <row r="725" spans="1:9" ht="18.75">
      <c r="A725" s="29"/>
      <c r="B725" s="30"/>
      <c r="C725" s="30"/>
      <c r="D725" s="31"/>
      <c r="E725" s="30"/>
      <c r="F725" s="30"/>
      <c r="G725" s="30"/>
      <c r="H725" s="30"/>
      <c r="I725" s="30"/>
    </row>
    <row r="726" spans="1:9" ht="18.75">
      <c r="A726" s="29"/>
      <c r="B726" s="30"/>
      <c r="C726" s="30"/>
      <c r="D726" s="31"/>
      <c r="E726" s="30"/>
      <c r="F726" s="30"/>
      <c r="G726" s="30"/>
      <c r="H726" s="30"/>
      <c r="I726" s="30"/>
    </row>
    <row r="727" spans="1:9" ht="18.75">
      <c r="A727" s="29"/>
      <c r="B727" s="30"/>
      <c r="C727" s="30"/>
      <c r="D727" s="31"/>
      <c r="E727" s="30"/>
      <c r="F727" s="30"/>
      <c r="G727" s="30"/>
      <c r="H727" s="30"/>
      <c r="I727" s="30"/>
    </row>
    <row r="728" spans="1:9" ht="18.75">
      <c r="A728" s="29"/>
      <c r="B728" s="30"/>
      <c r="C728" s="30"/>
      <c r="D728" s="31"/>
      <c r="E728" s="30"/>
      <c r="F728" s="30"/>
      <c r="G728" s="30"/>
      <c r="H728" s="30"/>
      <c r="I728" s="30"/>
    </row>
    <row r="729" spans="1:9" ht="18.75">
      <c r="A729" s="29"/>
      <c r="B729" s="30"/>
      <c r="C729" s="30"/>
      <c r="D729" s="31"/>
      <c r="E729" s="30"/>
      <c r="F729" s="30"/>
      <c r="G729" s="30"/>
      <c r="H729" s="30"/>
      <c r="I729" s="30"/>
    </row>
    <row r="730" spans="1:9" ht="18.75">
      <c r="A730" s="29"/>
      <c r="B730" s="30"/>
      <c r="C730" s="30"/>
      <c r="D730" s="31"/>
      <c r="E730" s="30"/>
      <c r="F730" s="30"/>
      <c r="G730" s="30"/>
      <c r="H730" s="30"/>
      <c r="I730" s="30"/>
    </row>
    <row r="731" spans="1:9" ht="18.75">
      <c r="A731" s="29"/>
      <c r="B731" s="30"/>
      <c r="C731" s="30"/>
      <c r="D731" s="31"/>
      <c r="E731" s="30"/>
      <c r="F731" s="30"/>
      <c r="G731" s="30"/>
      <c r="H731" s="30"/>
      <c r="I731" s="30"/>
    </row>
    <row r="732" spans="1:9" ht="18.75">
      <c r="A732" s="29"/>
      <c r="B732" s="30"/>
      <c r="C732" s="30"/>
      <c r="D732" s="31"/>
      <c r="E732" s="30"/>
      <c r="F732" s="30"/>
      <c r="G732" s="30"/>
      <c r="H732" s="30"/>
      <c r="I732" s="30"/>
    </row>
    <row r="733" spans="1:9" ht="18.75">
      <c r="A733" s="29"/>
      <c r="B733" s="30"/>
      <c r="C733" s="30"/>
      <c r="D733" s="31"/>
      <c r="E733" s="30"/>
      <c r="F733" s="30"/>
      <c r="G733" s="30"/>
      <c r="H733" s="30"/>
      <c r="I733" s="30"/>
    </row>
    <row r="734" spans="1:9" ht="18.75">
      <c r="A734" s="29"/>
      <c r="B734" s="30"/>
      <c r="C734" s="30"/>
      <c r="D734" s="31"/>
      <c r="E734" s="30"/>
      <c r="F734" s="30"/>
      <c r="G734" s="30"/>
      <c r="H734" s="30"/>
      <c r="I734" s="30"/>
    </row>
    <row r="735" spans="1:9" ht="18.75">
      <c r="A735" s="29"/>
      <c r="B735" s="30"/>
      <c r="C735" s="30"/>
      <c r="D735" s="31"/>
      <c r="E735" s="30"/>
      <c r="F735" s="30"/>
      <c r="G735" s="30"/>
      <c r="H735" s="30"/>
      <c r="I735" s="30"/>
    </row>
    <row r="736" spans="1:9" ht="18.75">
      <c r="A736" s="29"/>
      <c r="B736" s="30"/>
      <c r="C736" s="30"/>
      <c r="D736" s="31"/>
      <c r="E736" s="30"/>
      <c r="F736" s="30"/>
      <c r="G736" s="30"/>
      <c r="H736" s="30"/>
      <c r="I736" s="30"/>
    </row>
    <row r="737" spans="1:9" ht="18.75">
      <c r="A737" s="29"/>
      <c r="B737" s="30"/>
      <c r="C737" s="30"/>
      <c r="D737" s="31"/>
      <c r="E737" s="30"/>
      <c r="F737" s="30"/>
      <c r="G737" s="30"/>
      <c r="H737" s="30"/>
      <c r="I737" s="30"/>
    </row>
    <row r="738" spans="1:9" ht="18.75">
      <c r="A738" s="29"/>
      <c r="B738" s="30"/>
      <c r="C738" s="30"/>
      <c r="D738" s="31"/>
      <c r="E738" s="30"/>
      <c r="F738" s="30"/>
      <c r="G738" s="30"/>
      <c r="H738" s="30"/>
      <c r="I738" s="30"/>
    </row>
    <row r="739" spans="1:9" ht="18.75">
      <c r="A739" s="29"/>
      <c r="B739" s="30"/>
      <c r="C739" s="30"/>
      <c r="D739" s="31"/>
      <c r="E739" s="30"/>
      <c r="F739" s="30"/>
      <c r="G739" s="30"/>
      <c r="H739" s="30"/>
      <c r="I739" s="30"/>
    </row>
    <row r="740" spans="1:9" ht="18.75">
      <c r="A740" s="29"/>
      <c r="B740" s="30"/>
      <c r="C740" s="30"/>
      <c r="D740" s="31"/>
      <c r="E740" s="30"/>
      <c r="F740" s="30"/>
      <c r="G740" s="30"/>
      <c r="H740" s="30"/>
      <c r="I740" s="30"/>
    </row>
    <row r="741" spans="1:9" ht="18.75">
      <c r="A741" s="29"/>
      <c r="B741" s="30"/>
      <c r="C741" s="30"/>
      <c r="D741" s="31"/>
      <c r="E741" s="30"/>
      <c r="F741" s="30"/>
      <c r="G741" s="30"/>
      <c r="H741" s="30"/>
      <c r="I741" s="30"/>
    </row>
    <row r="742" spans="1:9" ht="18.75">
      <c r="A742" s="29"/>
      <c r="B742" s="30"/>
      <c r="C742" s="30"/>
      <c r="D742" s="31"/>
      <c r="E742" s="30"/>
      <c r="F742" s="30"/>
      <c r="G742" s="30"/>
      <c r="H742" s="30"/>
      <c r="I742" s="30"/>
    </row>
    <row r="743" spans="1:9" ht="18.75">
      <c r="A743" s="29"/>
      <c r="B743" s="30"/>
      <c r="C743" s="30"/>
      <c r="D743" s="31"/>
      <c r="E743" s="30"/>
      <c r="F743" s="30"/>
      <c r="G743" s="30"/>
      <c r="H743" s="30"/>
      <c r="I743" s="30"/>
    </row>
    <row r="744" spans="1:9" ht="18.75">
      <c r="A744" s="29"/>
      <c r="B744" s="30"/>
      <c r="C744" s="30"/>
      <c r="D744" s="31"/>
      <c r="E744" s="30"/>
      <c r="F744" s="30"/>
      <c r="G744" s="30"/>
      <c r="H744" s="30"/>
      <c r="I744" s="30"/>
    </row>
    <row r="745" spans="1:9" ht="18.75">
      <c r="A745" s="29"/>
      <c r="B745" s="30"/>
      <c r="C745" s="30"/>
      <c r="D745" s="31"/>
      <c r="E745" s="30"/>
      <c r="F745" s="30"/>
      <c r="G745" s="30"/>
      <c r="H745" s="30"/>
      <c r="I745" s="30"/>
    </row>
    <row r="746" spans="1:9" ht="18.75">
      <c r="A746" s="29"/>
      <c r="B746" s="30"/>
      <c r="C746" s="30"/>
      <c r="D746" s="31"/>
      <c r="E746" s="30"/>
      <c r="F746" s="30"/>
      <c r="G746" s="30"/>
      <c r="H746" s="30"/>
      <c r="I746" s="30"/>
    </row>
    <row r="747" spans="1:9" ht="18.75">
      <c r="A747" s="29"/>
      <c r="B747" s="30"/>
      <c r="C747" s="30"/>
      <c r="D747" s="31"/>
      <c r="E747" s="30"/>
      <c r="F747" s="30"/>
      <c r="G747" s="30"/>
      <c r="H747" s="30"/>
      <c r="I747" s="30"/>
    </row>
    <row r="748" spans="1:9" ht="18.75">
      <c r="A748" s="29"/>
      <c r="B748" s="30"/>
      <c r="C748" s="30"/>
      <c r="D748" s="31"/>
      <c r="E748" s="30"/>
      <c r="F748" s="30"/>
      <c r="G748" s="30"/>
      <c r="H748" s="30"/>
      <c r="I748" s="30"/>
    </row>
    <row r="749" spans="1:9" ht="18.75">
      <c r="A749" s="29"/>
      <c r="B749" s="30"/>
      <c r="C749" s="30"/>
      <c r="D749" s="31"/>
      <c r="E749" s="30"/>
      <c r="F749" s="30"/>
      <c r="G749" s="30"/>
      <c r="H749" s="30"/>
      <c r="I749" s="30"/>
    </row>
    <row r="750" spans="1:9" ht="18.75">
      <c r="A750" s="29"/>
      <c r="B750" s="30"/>
      <c r="C750" s="30"/>
      <c r="D750" s="31"/>
      <c r="E750" s="30"/>
      <c r="F750" s="30"/>
      <c r="G750" s="30"/>
      <c r="H750" s="30"/>
      <c r="I750" s="30"/>
    </row>
    <row r="751" spans="1:9" ht="18.75">
      <c r="A751" s="29"/>
      <c r="B751" s="30"/>
      <c r="C751" s="30"/>
      <c r="D751" s="31"/>
      <c r="E751" s="30"/>
      <c r="F751" s="30"/>
      <c r="G751" s="30"/>
      <c r="H751" s="30"/>
      <c r="I751" s="30"/>
    </row>
    <row r="752" spans="1:9" ht="18.75">
      <c r="A752" s="29"/>
      <c r="B752" s="30"/>
      <c r="C752" s="30"/>
      <c r="D752" s="31"/>
      <c r="E752" s="30"/>
      <c r="F752" s="30"/>
      <c r="G752" s="30"/>
      <c r="H752" s="30"/>
      <c r="I752" s="30"/>
    </row>
    <row r="753" spans="1:9" ht="18.75">
      <c r="A753" s="29"/>
      <c r="B753" s="30"/>
      <c r="C753" s="30"/>
      <c r="D753" s="31"/>
      <c r="E753" s="30"/>
      <c r="F753" s="30"/>
      <c r="G753" s="30"/>
      <c r="H753" s="30"/>
      <c r="I753" s="30"/>
    </row>
    <row r="754" spans="1:9" ht="18.75">
      <c r="A754" s="29"/>
      <c r="B754" s="30"/>
      <c r="C754" s="30"/>
      <c r="D754" s="31"/>
      <c r="E754" s="30"/>
      <c r="F754" s="30"/>
      <c r="G754" s="30"/>
      <c r="H754" s="30"/>
      <c r="I754" s="30"/>
    </row>
    <row r="755" spans="1:9" ht="18.75">
      <c r="A755" s="29"/>
      <c r="B755" s="30"/>
      <c r="C755" s="30"/>
      <c r="D755" s="31"/>
      <c r="E755" s="30"/>
      <c r="F755" s="30"/>
      <c r="G755" s="30"/>
      <c r="H755" s="30"/>
      <c r="I755" s="30"/>
    </row>
    <row r="756" spans="1:9" ht="18.75">
      <c r="A756" s="29"/>
      <c r="B756" s="30"/>
      <c r="C756" s="30"/>
      <c r="D756" s="31"/>
      <c r="E756" s="30"/>
      <c r="F756" s="30"/>
      <c r="G756" s="30"/>
      <c r="H756" s="30"/>
      <c r="I756" s="30"/>
    </row>
    <row r="757" spans="1:9" ht="18.75">
      <c r="A757" s="29"/>
      <c r="B757" s="30"/>
      <c r="C757" s="30"/>
      <c r="D757" s="31"/>
      <c r="E757" s="30"/>
      <c r="F757" s="30"/>
      <c r="G757" s="30"/>
      <c r="H757" s="30"/>
      <c r="I757" s="30"/>
    </row>
    <row r="758" spans="1:9" ht="18.75">
      <c r="A758" s="29"/>
      <c r="B758" s="30"/>
      <c r="C758" s="30"/>
      <c r="D758" s="31"/>
      <c r="E758" s="30"/>
      <c r="F758" s="30"/>
      <c r="G758" s="30"/>
      <c r="H758" s="30"/>
      <c r="I758" s="30"/>
    </row>
    <row r="759" spans="1:9" ht="18.75">
      <c r="A759" s="29"/>
      <c r="B759" s="30"/>
      <c r="C759" s="30"/>
      <c r="D759" s="31"/>
      <c r="E759" s="30"/>
      <c r="F759" s="30"/>
      <c r="G759" s="30"/>
      <c r="H759" s="30"/>
      <c r="I759" s="30"/>
    </row>
    <row r="760" spans="1:9" ht="18.75">
      <c r="A760" s="29"/>
      <c r="B760" s="30"/>
      <c r="C760" s="30"/>
      <c r="D760" s="31"/>
      <c r="E760" s="30"/>
      <c r="F760" s="30"/>
      <c r="G760" s="30"/>
      <c r="H760" s="30"/>
      <c r="I760" s="30"/>
    </row>
    <row r="761" spans="1:9" ht="18.75">
      <c r="A761" s="29"/>
      <c r="B761" s="30"/>
      <c r="C761" s="30"/>
      <c r="D761" s="31"/>
      <c r="E761" s="30"/>
      <c r="F761" s="30"/>
      <c r="G761" s="30"/>
      <c r="H761" s="30"/>
      <c r="I761" s="30"/>
    </row>
    <row r="762" spans="1:9" ht="18.75">
      <c r="A762" s="29"/>
      <c r="B762" s="30"/>
      <c r="C762" s="30"/>
      <c r="D762" s="31"/>
      <c r="E762" s="30"/>
      <c r="F762" s="30"/>
      <c r="G762" s="30"/>
      <c r="H762" s="30"/>
      <c r="I762" s="30"/>
    </row>
    <row r="763" spans="1:9" ht="18.75">
      <c r="A763" s="29"/>
      <c r="B763" s="30"/>
      <c r="C763" s="30"/>
      <c r="D763" s="31"/>
      <c r="E763" s="30"/>
      <c r="F763" s="30"/>
      <c r="G763" s="30"/>
      <c r="H763" s="30"/>
      <c r="I763" s="30"/>
    </row>
    <row r="764" spans="1:9" ht="18.75">
      <c r="A764" s="29"/>
      <c r="B764" s="30"/>
      <c r="C764" s="30"/>
      <c r="D764" s="31"/>
      <c r="E764" s="30"/>
      <c r="F764" s="30"/>
      <c r="G764" s="30"/>
      <c r="H764" s="30"/>
      <c r="I764" s="30"/>
    </row>
    <row r="765" spans="1:9" ht="18.75">
      <c r="A765" s="29"/>
      <c r="B765" s="30"/>
      <c r="C765" s="30"/>
      <c r="D765" s="31"/>
      <c r="E765" s="30"/>
      <c r="F765" s="30"/>
      <c r="G765" s="30"/>
      <c r="H765" s="30"/>
      <c r="I765" s="30"/>
    </row>
    <row r="766" spans="1:9" ht="18.75">
      <c r="A766" s="29"/>
      <c r="B766" s="30"/>
      <c r="C766" s="30"/>
      <c r="D766" s="31"/>
      <c r="E766" s="30"/>
      <c r="F766" s="30"/>
      <c r="G766" s="30"/>
      <c r="H766" s="30"/>
      <c r="I766" s="30"/>
    </row>
    <row r="767" spans="1:9" ht="18.75">
      <c r="A767" s="29"/>
      <c r="B767" s="30"/>
      <c r="C767" s="30"/>
      <c r="D767" s="31"/>
      <c r="E767" s="30"/>
      <c r="F767" s="30"/>
      <c r="G767" s="30"/>
      <c r="H767" s="30"/>
      <c r="I767" s="30"/>
    </row>
    <row r="768" spans="1:9" ht="18.75">
      <c r="A768" s="29"/>
      <c r="B768" s="30"/>
      <c r="C768" s="30"/>
      <c r="D768" s="31"/>
      <c r="E768" s="30"/>
      <c r="F768" s="30"/>
      <c r="G768" s="30"/>
      <c r="H768" s="30"/>
      <c r="I768" s="30"/>
    </row>
    <row r="769" spans="1:9" ht="18.75">
      <c r="A769" s="29"/>
      <c r="B769" s="30"/>
      <c r="C769" s="30"/>
      <c r="D769" s="31"/>
      <c r="E769" s="30"/>
      <c r="F769" s="30"/>
      <c r="G769" s="30"/>
      <c r="H769" s="30"/>
      <c r="I769" s="30"/>
    </row>
    <row r="770" spans="1:9" ht="18.75">
      <c r="A770" s="29"/>
      <c r="B770" s="30"/>
      <c r="C770" s="30"/>
      <c r="D770" s="31"/>
      <c r="E770" s="30"/>
      <c r="F770" s="30"/>
      <c r="G770" s="30"/>
      <c r="H770" s="30"/>
      <c r="I770" s="30"/>
    </row>
    <row r="771" spans="1:9" ht="18.75">
      <c r="A771" s="29"/>
      <c r="B771" s="30"/>
      <c r="C771" s="30"/>
      <c r="D771" s="31"/>
      <c r="E771" s="30"/>
      <c r="F771" s="30"/>
      <c r="G771" s="30"/>
      <c r="H771" s="30"/>
      <c r="I771" s="30"/>
    </row>
    <row r="772" spans="1:9" ht="18.75">
      <c r="A772" s="29"/>
      <c r="B772" s="30"/>
      <c r="C772" s="30"/>
      <c r="D772" s="31"/>
      <c r="E772" s="30"/>
      <c r="F772" s="30"/>
      <c r="G772" s="30"/>
      <c r="H772" s="30"/>
      <c r="I772" s="30"/>
    </row>
    <row r="773" spans="1:9" ht="18.75">
      <c r="A773" s="29"/>
      <c r="B773" s="30"/>
      <c r="C773" s="30"/>
      <c r="D773" s="31"/>
      <c r="E773" s="30"/>
      <c r="F773" s="30"/>
      <c r="G773" s="30"/>
      <c r="H773" s="30"/>
      <c r="I773" s="30"/>
    </row>
    <row r="774" spans="1:9" ht="18.75">
      <c r="A774" s="29"/>
      <c r="B774" s="30"/>
      <c r="C774" s="30"/>
      <c r="D774" s="31"/>
      <c r="E774" s="30"/>
      <c r="F774" s="30"/>
      <c r="G774" s="30"/>
      <c r="H774" s="30"/>
      <c r="I774" s="30"/>
    </row>
    <row r="775" spans="1:9" ht="18.75">
      <c r="A775" s="29"/>
      <c r="B775" s="30"/>
      <c r="C775" s="30"/>
      <c r="D775" s="31"/>
      <c r="E775" s="30"/>
      <c r="F775" s="30"/>
      <c r="G775" s="30"/>
      <c r="H775" s="30"/>
      <c r="I775" s="30"/>
    </row>
    <row r="776" spans="1:9" ht="18.75">
      <c r="A776" s="29"/>
      <c r="B776" s="30"/>
      <c r="C776" s="30"/>
      <c r="D776" s="31"/>
      <c r="E776" s="30"/>
      <c r="F776" s="30"/>
      <c r="G776" s="30"/>
      <c r="H776" s="30"/>
      <c r="I776" s="30"/>
    </row>
    <row r="777" spans="1:9" ht="18.75">
      <c r="A777" s="29"/>
      <c r="B777" s="30"/>
      <c r="C777" s="30"/>
      <c r="D777" s="31"/>
      <c r="E777" s="30"/>
      <c r="F777" s="30"/>
      <c r="G777" s="30"/>
      <c r="H777" s="30"/>
      <c r="I777" s="30"/>
    </row>
    <row r="778" spans="1:9" ht="18.75">
      <c r="A778" s="29"/>
      <c r="B778" s="30"/>
      <c r="C778" s="30"/>
      <c r="D778" s="31"/>
      <c r="E778" s="30"/>
      <c r="F778" s="30"/>
      <c r="G778" s="30"/>
      <c r="H778" s="30"/>
      <c r="I778" s="30"/>
    </row>
    <row r="779" spans="1:9" ht="18.75">
      <c r="A779" s="29"/>
      <c r="B779" s="30"/>
      <c r="C779" s="30"/>
      <c r="D779" s="31"/>
      <c r="E779" s="30"/>
      <c r="F779" s="30"/>
      <c r="G779" s="30"/>
      <c r="H779" s="30"/>
      <c r="I779" s="30"/>
    </row>
    <row r="780" spans="1:9" ht="18.75">
      <c r="A780" s="29"/>
      <c r="B780" s="30"/>
      <c r="C780" s="30"/>
      <c r="D780" s="31"/>
      <c r="E780" s="30"/>
      <c r="F780" s="30"/>
      <c r="G780" s="30"/>
      <c r="H780" s="30"/>
      <c r="I780" s="30"/>
    </row>
    <row r="781" spans="1:9" ht="18.75">
      <c r="A781" s="29"/>
      <c r="B781" s="30"/>
      <c r="C781" s="30"/>
      <c r="D781" s="31"/>
      <c r="E781" s="30"/>
      <c r="F781" s="30"/>
      <c r="G781" s="30"/>
      <c r="H781" s="30"/>
      <c r="I781" s="30"/>
    </row>
    <row r="782" spans="1:9" ht="18.75">
      <c r="A782" s="29"/>
      <c r="B782" s="30"/>
      <c r="C782" s="30"/>
      <c r="D782" s="31"/>
      <c r="E782" s="30"/>
      <c r="F782" s="30"/>
      <c r="G782" s="30"/>
      <c r="H782" s="30"/>
      <c r="I782" s="30"/>
    </row>
    <row r="783" spans="1:9" ht="18.75">
      <c r="A783" s="29"/>
      <c r="B783" s="30"/>
      <c r="C783" s="30"/>
      <c r="D783" s="31"/>
      <c r="E783" s="30"/>
      <c r="F783" s="30"/>
      <c r="G783" s="30"/>
      <c r="H783" s="30"/>
      <c r="I783" s="30"/>
    </row>
    <row r="784" spans="1:9" ht="18.75">
      <c r="A784" s="29"/>
      <c r="B784" s="30"/>
      <c r="C784" s="30"/>
      <c r="D784" s="31"/>
      <c r="E784" s="30"/>
      <c r="F784" s="30"/>
      <c r="G784" s="30"/>
      <c r="H784" s="30"/>
      <c r="I784" s="30"/>
    </row>
    <row r="785" spans="1:9" ht="18.75">
      <c r="A785" s="29"/>
      <c r="B785" s="30"/>
      <c r="C785" s="30"/>
      <c r="D785" s="31"/>
      <c r="E785" s="30"/>
      <c r="F785" s="30"/>
      <c r="G785" s="30"/>
      <c r="H785" s="30"/>
      <c r="I785" s="30"/>
    </row>
    <row r="786" spans="1:9" ht="18.75">
      <c r="A786" s="29"/>
      <c r="B786" s="30"/>
      <c r="C786" s="30"/>
      <c r="D786" s="31"/>
      <c r="E786" s="30"/>
      <c r="F786" s="30"/>
      <c r="G786" s="30"/>
      <c r="H786" s="30"/>
      <c r="I786" s="30"/>
    </row>
    <row r="787" spans="1:9" ht="18.75">
      <c r="A787" s="29"/>
      <c r="B787" s="30"/>
      <c r="C787" s="30"/>
      <c r="D787" s="31"/>
      <c r="E787" s="30"/>
      <c r="F787" s="30"/>
      <c r="G787" s="30"/>
      <c r="H787" s="30"/>
      <c r="I787" s="30"/>
    </row>
    <row r="788" spans="1:9" ht="18.75">
      <c r="A788" s="29"/>
      <c r="B788" s="30"/>
      <c r="C788" s="30"/>
      <c r="D788" s="31"/>
      <c r="E788" s="30"/>
      <c r="F788" s="30"/>
      <c r="G788" s="30"/>
      <c r="H788" s="30"/>
      <c r="I788" s="30"/>
    </row>
    <row r="789" spans="1:9" ht="18.75">
      <c r="A789" s="29"/>
      <c r="B789" s="30"/>
      <c r="C789" s="30"/>
      <c r="D789" s="31"/>
      <c r="E789" s="30"/>
      <c r="F789" s="30"/>
      <c r="G789" s="30"/>
      <c r="H789" s="30"/>
      <c r="I789" s="30"/>
    </row>
    <row r="790" spans="1:9" ht="18.75">
      <c r="A790" s="29"/>
      <c r="B790" s="30"/>
      <c r="C790" s="30"/>
      <c r="D790" s="31"/>
      <c r="E790" s="30"/>
      <c r="F790" s="30"/>
      <c r="G790" s="30"/>
      <c r="H790" s="30"/>
      <c r="I790" s="30"/>
    </row>
    <row r="791" spans="1:9" ht="18.75">
      <c r="A791" s="29"/>
      <c r="B791" s="30"/>
      <c r="C791" s="30"/>
      <c r="D791" s="31"/>
      <c r="E791" s="30"/>
      <c r="F791" s="30"/>
      <c r="G791" s="30"/>
      <c r="H791" s="30"/>
      <c r="I791" s="30"/>
    </row>
    <row r="792" spans="1:9" ht="18.75">
      <c r="A792" s="29"/>
      <c r="B792" s="30"/>
      <c r="C792" s="30"/>
      <c r="D792" s="31"/>
      <c r="E792" s="30"/>
      <c r="F792" s="30"/>
      <c r="G792" s="30"/>
      <c r="H792" s="30"/>
      <c r="I792" s="30"/>
    </row>
    <row r="793" spans="1:9" ht="18.75">
      <c r="A793" s="29"/>
      <c r="B793" s="30"/>
      <c r="C793" s="30"/>
      <c r="D793" s="31"/>
      <c r="E793" s="30"/>
      <c r="F793" s="30"/>
      <c r="G793" s="30"/>
      <c r="H793" s="30"/>
      <c r="I793" s="30"/>
    </row>
    <row r="794" spans="1:9" ht="18.75">
      <c r="A794" s="29"/>
      <c r="B794" s="30"/>
      <c r="C794" s="30"/>
      <c r="D794" s="31"/>
      <c r="E794" s="30"/>
      <c r="F794" s="30"/>
      <c r="G794" s="30"/>
      <c r="H794" s="30"/>
      <c r="I794" s="30"/>
    </row>
    <row r="795" spans="1:9" ht="18.75">
      <c r="A795" s="29"/>
      <c r="B795" s="30"/>
      <c r="C795" s="30"/>
      <c r="D795" s="31"/>
      <c r="E795" s="30"/>
      <c r="F795" s="30"/>
      <c r="G795" s="30"/>
      <c r="H795" s="30"/>
      <c r="I795" s="30"/>
    </row>
    <row r="796" spans="1:9" ht="18.75">
      <c r="A796" s="29"/>
      <c r="B796" s="30"/>
      <c r="C796" s="30"/>
      <c r="D796" s="31"/>
      <c r="E796" s="30"/>
      <c r="F796" s="30"/>
      <c r="G796" s="30"/>
      <c r="H796" s="30"/>
      <c r="I796" s="30"/>
    </row>
    <row r="797" spans="1:9" ht="18.75">
      <c r="A797" s="29"/>
      <c r="B797" s="30"/>
      <c r="C797" s="30"/>
      <c r="D797" s="31"/>
      <c r="E797" s="30"/>
      <c r="F797" s="30"/>
      <c r="G797" s="30"/>
      <c r="H797" s="30"/>
      <c r="I797" s="30"/>
    </row>
    <row r="798" spans="1:9" ht="18.75">
      <c r="A798" s="29"/>
      <c r="B798" s="30"/>
      <c r="C798" s="30"/>
      <c r="D798" s="31"/>
      <c r="E798" s="30"/>
      <c r="F798" s="30"/>
      <c r="G798" s="30"/>
      <c r="H798" s="30"/>
      <c r="I798" s="30"/>
    </row>
    <row r="799" spans="1:9" ht="18.75">
      <c r="A799" s="29"/>
      <c r="B799" s="30"/>
      <c r="C799" s="30"/>
      <c r="D799" s="31"/>
      <c r="E799" s="30"/>
      <c r="F799" s="30"/>
      <c r="G799" s="30"/>
      <c r="H799" s="30"/>
      <c r="I799" s="30"/>
    </row>
    <row r="800" spans="1:9" ht="18.75">
      <c r="A800" s="29"/>
      <c r="B800" s="30"/>
      <c r="C800" s="30"/>
      <c r="D800" s="31"/>
      <c r="E800" s="30"/>
      <c r="F800" s="30"/>
      <c r="G800" s="30"/>
      <c r="H800" s="30"/>
      <c r="I800" s="30"/>
    </row>
    <row r="801" spans="1:9" ht="18.75">
      <c r="A801" s="29"/>
      <c r="B801" s="30"/>
      <c r="C801" s="30"/>
      <c r="D801" s="31"/>
      <c r="E801" s="30"/>
      <c r="F801" s="30"/>
      <c r="G801" s="30"/>
      <c r="H801" s="30"/>
      <c r="I801" s="30"/>
    </row>
    <row r="802" spans="1:9" ht="18.75">
      <c r="A802" s="29"/>
      <c r="B802" s="30"/>
      <c r="C802" s="30"/>
      <c r="D802" s="31"/>
      <c r="E802" s="30"/>
      <c r="F802" s="30"/>
      <c r="G802" s="30"/>
      <c r="H802" s="30"/>
      <c r="I802" s="30"/>
    </row>
    <row r="803" spans="1:9" ht="18.75">
      <c r="A803" s="29"/>
      <c r="B803" s="30"/>
      <c r="C803" s="30"/>
      <c r="D803" s="31"/>
      <c r="E803" s="30"/>
      <c r="F803" s="30"/>
      <c r="G803" s="30"/>
      <c r="H803" s="30"/>
      <c r="I803" s="30"/>
    </row>
    <row r="804" spans="1:9" ht="18.75">
      <c r="A804" s="29"/>
      <c r="B804" s="30"/>
      <c r="C804" s="30"/>
      <c r="D804" s="31"/>
      <c r="E804" s="30"/>
      <c r="F804" s="30"/>
      <c r="G804" s="30"/>
      <c r="H804" s="30"/>
      <c r="I804" s="30"/>
    </row>
    <row r="805" spans="1:9" ht="18.75">
      <c r="A805" s="29"/>
      <c r="B805" s="30"/>
      <c r="C805" s="30"/>
      <c r="D805" s="31"/>
      <c r="E805" s="30"/>
      <c r="F805" s="30"/>
      <c r="G805" s="30"/>
      <c r="H805" s="30"/>
      <c r="I805" s="30"/>
    </row>
    <row r="806" spans="1:9" ht="18.75">
      <c r="A806" s="29"/>
      <c r="B806" s="30"/>
      <c r="C806" s="30"/>
      <c r="D806" s="31"/>
      <c r="E806" s="30"/>
      <c r="F806" s="30"/>
      <c r="G806" s="30"/>
      <c r="H806" s="30"/>
      <c r="I806" s="30"/>
    </row>
    <row r="807" spans="1:9" ht="18.75">
      <c r="A807" s="29"/>
      <c r="B807" s="30"/>
      <c r="C807" s="30"/>
      <c r="D807" s="31"/>
      <c r="E807" s="30"/>
      <c r="F807" s="30"/>
      <c r="G807" s="30"/>
      <c r="H807" s="30"/>
      <c r="I807" s="30"/>
    </row>
    <row r="808" spans="1:9" ht="18.75">
      <c r="A808" s="29"/>
      <c r="B808" s="30"/>
      <c r="C808" s="30"/>
      <c r="D808" s="31"/>
      <c r="E808" s="30"/>
      <c r="F808" s="30"/>
      <c r="G808" s="30"/>
      <c r="H808" s="30"/>
      <c r="I808" s="30"/>
    </row>
    <row r="809" spans="1:9" ht="18.75">
      <c r="A809" s="29"/>
      <c r="B809" s="30"/>
      <c r="C809" s="30"/>
      <c r="D809" s="31"/>
      <c r="E809" s="30"/>
      <c r="F809" s="30"/>
      <c r="G809" s="30"/>
      <c r="H809" s="30"/>
      <c r="I809" s="30"/>
    </row>
    <row r="810" spans="1:9" ht="18.75">
      <c r="A810" s="29"/>
      <c r="B810" s="30"/>
      <c r="C810" s="30"/>
      <c r="D810" s="31"/>
      <c r="E810" s="30"/>
      <c r="F810" s="30"/>
      <c r="G810" s="30"/>
      <c r="H810" s="30"/>
      <c r="I810" s="30"/>
    </row>
    <row r="811" spans="1:9" ht="18.75">
      <c r="A811" s="29"/>
      <c r="B811" s="30"/>
      <c r="C811" s="30"/>
      <c r="D811" s="31"/>
      <c r="E811" s="30"/>
      <c r="F811" s="30"/>
      <c r="G811" s="30"/>
      <c r="H811" s="30"/>
      <c r="I811" s="30"/>
    </row>
    <row r="812" spans="1:9" ht="18.75">
      <c r="A812" s="29"/>
      <c r="B812" s="30"/>
      <c r="C812" s="30"/>
      <c r="D812" s="31"/>
      <c r="E812" s="30"/>
      <c r="F812" s="30"/>
      <c r="G812" s="30"/>
      <c r="H812" s="30"/>
      <c r="I812" s="30"/>
    </row>
    <row r="813" spans="1:9" ht="18.75">
      <c r="A813" s="29"/>
      <c r="B813" s="30"/>
      <c r="C813" s="30"/>
      <c r="D813" s="31"/>
      <c r="E813" s="30"/>
      <c r="F813" s="30"/>
      <c r="G813" s="30"/>
      <c r="H813" s="30"/>
      <c r="I813" s="30"/>
    </row>
    <row r="814" spans="1:9" ht="18.75">
      <c r="A814" s="29"/>
      <c r="B814" s="30"/>
      <c r="C814" s="30"/>
      <c r="D814" s="31"/>
      <c r="E814" s="30"/>
      <c r="F814" s="30"/>
      <c r="G814" s="30"/>
      <c r="H814" s="30"/>
      <c r="I814" s="30"/>
    </row>
    <row r="815" spans="1:9" ht="18.75">
      <c r="A815" s="29"/>
      <c r="B815" s="30"/>
      <c r="C815" s="30"/>
      <c r="D815" s="31"/>
      <c r="E815" s="30"/>
      <c r="F815" s="30"/>
      <c r="G815" s="30"/>
      <c r="H815" s="30"/>
      <c r="I815" s="30"/>
    </row>
    <row r="816" spans="1:9" ht="18.75">
      <c r="A816" s="29"/>
      <c r="B816" s="30"/>
      <c r="C816" s="30"/>
      <c r="D816" s="31"/>
      <c r="E816" s="30"/>
      <c r="F816" s="30"/>
      <c r="G816" s="30"/>
      <c r="H816" s="30"/>
      <c r="I816" s="30"/>
    </row>
    <row r="817" spans="1:9" ht="18.75">
      <c r="A817" s="29"/>
      <c r="B817" s="30"/>
      <c r="C817" s="30"/>
      <c r="D817" s="31"/>
      <c r="E817" s="30"/>
      <c r="F817" s="30"/>
      <c r="G817" s="30"/>
      <c r="H817" s="30"/>
      <c r="I817" s="30"/>
    </row>
    <row r="818" spans="1:9" ht="18.75">
      <c r="A818" s="29"/>
      <c r="B818" s="30"/>
      <c r="C818" s="30"/>
      <c r="D818" s="31"/>
      <c r="E818" s="30"/>
      <c r="F818" s="30"/>
      <c r="G818" s="30"/>
      <c r="H818" s="30"/>
      <c r="I818" s="30"/>
    </row>
    <row r="819" spans="1:9" ht="18.75">
      <c r="A819" s="29"/>
      <c r="B819" s="30"/>
      <c r="C819" s="30"/>
      <c r="D819" s="31"/>
      <c r="E819" s="30"/>
      <c r="F819" s="30"/>
      <c r="G819" s="30"/>
      <c r="H819" s="30"/>
      <c r="I819" s="30"/>
    </row>
    <row r="820" spans="1:9" ht="18.75">
      <c r="A820" s="29"/>
      <c r="B820" s="30"/>
      <c r="C820" s="30"/>
      <c r="D820" s="31"/>
      <c r="E820" s="30"/>
      <c r="F820" s="30"/>
      <c r="G820" s="30"/>
      <c r="H820" s="30"/>
      <c r="I820" s="30"/>
    </row>
    <row r="821" spans="1:9" ht="18.75">
      <c r="A821" s="29"/>
      <c r="B821" s="30"/>
      <c r="C821" s="30"/>
      <c r="D821" s="31"/>
      <c r="E821" s="30"/>
      <c r="F821" s="30"/>
      <c r="G821" s="30"/>
      <c r="H821" s="30"/>
      <c r="I821" s="30"/>
    </row>
    <row r="822" spans="1:9" ht="18.75">
      <c r="A822" s="29"/>
      <c r="B822" s="30"/>
      <c r="C822" s="30"/>
      <c r="D822" s="31"/>
      <c r="E822" s="30"/>
      <c r="F822" s="30"/>
      <c r="G822" s="30"/>
      <c r="H822" s="30"/>
      <c r="I822" s="30"/>
    </row>
    <row r="823" spans="1:9" ht="18.75">
      <c r="A823" s="29"/>
      <c r="B823" s="30"/>
      <c r="C823" s="30"/>
      <c r="D823" s="31"/>
      <c r="E823" s="30"/>
      <c r="F823" s="30"/>
      <c r="G823" s="30"/>
      <c r="H823" s="30"/>
      <c r="I823" s="30"/>
    </row>
    <row r="824" spans="1:9" ht="18.75">
      <c r="A824" s="29"/>
      <c r="B824" s="30"/>
      <c r="C824" s="30"/>
      <c r="D824" s="31"/>
      <c r="E824" s="30"/>
      <c r="F824" s="30"/>
      <c r="G824" s="30"/>
      <c r="H824" s="30"/>
      <c r="I824" s="30"/>
    </row>
    <row r="825" spans="1:9" ht="18.75">
      <c r="A825" s="29"/>
      <c r="B825" s="30"/>
      <c r="C825" s="30"/>
      <c r="D825" s="31"/>
      <c r="E825" s="30"/>
      <c r="F825" s="30"/>
      <c r="G825" s="30"/>
      <c r="H825" s="30"/>
      <c r="I825" s="30"/>
    </row>
    <row r="826" spans="1:9" ht="18.75">
      <c r="A826" s="29"/>
      <c r="B826" s="30"/>
      <c r="C826" s="30"/>
      <c r="D826" s="31"/>
      <c r="E826" s="30"/>
      <c r="F826" s="30"/>
      <c r="G826" s="30"/>
      <c r="H826" s="30"/>
      <c r="I826" s="30"/>
    </row>
    <row r="827" spans="1:9" ht="18.75">
      <c r="A827" s="29"/>
      <c r="B827" s="30"/>
      <c r="C827" s="30"/>
      <c r="D827" s="31"/>
      <c r="E827" s="30"/>
      <c r="F827" s="30"/>
      <c r="G827" s="30"/>
      <c r="H827" s="30"/>
      <c r="I827" s="30"/>
    </row>
    <row r="828" spans="1:9" ht="18.75">
      <c r="A828" s="29"/>
      <c r="B828" s="30"/>
      <c r="C828" s="30"/>
      <c r="D828" s="31"/>
      <c r="E828" s="30"/>
      <c r="F828" s="30"/>
      <c r="G828" s="30"/>
      <c r="H828" s="30"/>
      <c r="I828" s="30"/>
    </row>
    <row r="829" spans="1:9" ht="18.75">
      <c r="A829" s="29"/>
      <c r="B829" s="30"/>
      <c r="C829" s="30"/>
      <c r="D829" s="31"/>
      <c r="E829" s="30"/>
      <c r="F829" s="30"/>
      <c r="G829" s="30"/>
      <c r="H829" s="30"/>
      <c r="I829" s="30"/>
    </row>
    <row r="830" spans="1:9" ht="18.75">
      <c r="A830" s="29"/>
      <c r="B830" s="30"/>
      <c r="C830" s="30"/>
      <c r="D830" s="31"/>
      <c r="E830" s="30"/>
      <c r="F830" s="30"/>
      <c r="G830" s="30"/>
      <c r="H830" s="30"/>
      <c r="I830" s="30"/>
    </row>
    <row r="831" spans="1:9" ht="18.75">
      <c r="A831" s="29"/>
      <c r="B831" s="30"/>
      <c r="C831" s="30"/>
      <c r="D831" s="31"/>
      <c r="E831" s="30"/>
      <c r="F831" s="30"/>
      <c r="G831" s="30"/>
      <c r="H831" s="30"/>
      <c r="I831" s="30"/>
    </row>
    <row r="832" spans="1:9" ht="18.75">
      <c r="A832" s="29"/>
      <c r="B832" s="30"/>
      <c r="C832" s="30"/>
      <c r="D832" s="31"/>
      <c r="E832" s="30"/>
      <c r="F832" s="30"/>
      <c r="G832" s="30"/>
      <c r="H832" s="30"/>
      <c r="I832" s="30"/>
    </row>
    <row r="833" spans="1:9" ht="18.75">
      <c r="A833" s="29"/>
      <c r="B833" s="30"/>
      <c r="C833" s="30"/>
      <c r="D833" s="31"/>
      <c r="E833" s="30"/>
      <c r="F833" s="30"/>
      <c r="G833" s="30"/>
      <c r="H833" s="30"/>
      <c r="I833" s="30"/>
    </row>
    <row r="834" spans="1:9" ht="18.75">
      <c r="A834" s="29"/>
      <c r="B834" s="30"/>
      <c r="C834" s="30"/>
      <c r="D834" s="31"/>
      <c r="E834" s="30"/>
      <c r="F834" s="30"/>
      <c r="G834" s="30"/>
      <c r="H834" s="30"/>
      <c r="I834" s="30"/>
    </row>
    <row r="835" spans="1:9" ht="18.75">
      <c r="A835" s="29"/>
      <c r="B835" s="30"/>
      <c r="C835" s="30"/>
      <c r="D835" s="31"/>
      <c r="E835" s="30"/>
      <c r="F835" s="30"/>
      <c r="G835" s="30"/>
      <c r="H835" s="30"/>
      <c r="I835" s="30"/>
    </row>
    <row r="836" spans="1:9" ht="18.75">
      <c r="A836" s="29"/>
      <c r="B836" s="30"/>
      <c r="C836" s="30"/>
      <c r="D836" s="31"/>
      <c r="E836" s="30"/>
      <c r="F836" s="30"/>
      <c r="G836" s="30"/>
      <c r="H836" s="30"/>
      <c r="I836" s="30"/>
    </row>
    <row r="837" spans="1:9" ht="18.75">
      <c r="A837" s="29"/>
      <c r="B837" s="30"/>
      <c r="C837" s="30"/>
      <c r="D837" s="31"/>
      <c r="E837" s="30"/>
      <c r="F837" s="30"/>
      <c r="G837" s="30"/>
      <c r="H837" s="30"/>
      <c r="I837" s="30"/>
    </row>
    <row r="838" spans="1:9" ht="18.75">
      <c r="A838" s="29"/>
      <c r="B838" s="30"/>
      <c r="C838" s="30"/>
      <c r="D838" s="31"/>
      <c r="E838" s="30"/>
      <c r="F838" s="30"/>
      <c r="G838" s="30"/>
      <c r="H838" s="30"/>
      <c r="I838" s="30"/>
    </row>
    <row r="839" spans="1:9" ht="18.75">
      <c r="A839" s="29"/>
      <c r="B839" s="30"/>
      <c r="C839" s="30"/>
      <c r="D839" s="31"/>
      <c r="E839" s="30"/>
      <c r="F839" s="30"/>
      <c r="G839" s="30"/>
      <c r="H839" s="30"/>
      <c r="I839" s="30"/>
    </row>
    <row r="840" spans="1:9" ht="18.75">
      <c r="A840" s="29"/>
      <c r="B840" s="30"/>
      <c r="C840" s="30"/>
      <c r="D840" s="31"/>
      <c r="E840" s="30"/>
      <c r="F840" s="30"/>
      <c r="G840" s="30"/>
      <c r="H840" s="30"/>
      <c r="I840" s="30"/>
    </row>
    <row r="841" spans="1:9" ht="18.75">
      <c r="A841" s="29"/>
      <c r="B841" s="30"/>
      <c r="C841" s="30"/>
      <c r="D841" s="31"/>
      <c r="E841" s="30"/>
      <c r="F841" s="30"/>
      <c r="G841" s="30"/>
      <c r="H841" s="30"/>
      <c r="I841" s="30"/>
    </row>
    <row r="842" spans="1:9" ht="18.75">
      <c r="A842" s="29"/>
      <c r="B842" s="30"/>
      <c r="C842" s="30"/>
      <c r="D842" s="31"/>
      <c r="E842" s="30"/>
      <c r="F842" s="30"/>
      <c r="G842" s="30"/>
      <c r="H842" s="30"/>
      <c r="I842" s="30"/>
    </row>
    <row r="843" spans="1:9" ht="18.75">
      <c r="A843" s="29"/>
      <c r="B843" s="30"/>
      <c r="C843" s="30"/>
      <c r="D843" s="31"/>
      <c r="E843" s="30"/>
      <c r="F843" s="30"/>
      <c r="G843" s="30"/>
      <c r="H843" s="30"/>
      <c r="I843" s="30"/>
    </row>
    <row r="844" spans="1:9" ht="18.75">
      <c r="A844" s="29"/>
      <c r="B844" s="30"/>
      <c r="C844" s="30"/>
      <c r="D844" s="31"/>
      <c r="E844" s="30"/>
      <c r="F844" s="30"/>
      <c r="G844" s="30"/>
      <c r="H844" s="30"/>
      <c r="I844" s="30"/>
    </row>
    <row r="845" spans="1:9" ht="18.75">
      <c r="A845" s="29"/>
      <c r="B845" s="30"/>
      <c r="C845" s="30"/>
      <c r="D845" s="31"/>
      <c r="E845" s="30"/>
      <c r="F845" s="30"/>
      <c r="G845" s="30"/>
      <c r="H845" s="30"/>
      <c r="I845" s="30"/>
    </row>
    <row r="846" spans="1:9" ht="18.75">
      <c r="A846" s="29"/>
      <c r="B846" s="30"/>
      <c r="C846" s="30"/>
      <c r="D846" s="31"/>
      <c r="E846" s="30"/>
      <c r="F846" s="30"/>
      <c r="G846" s="30"/>
      <c r="H846" s="30"/>
      <c r="I846" s="30"/>
    </row>
    <row r="847" spans="1:9" ht="18.75">
      <c r="A847" s="29"/>
      <c r="B847" s="30"/>
      <c r="C847" s="30"/>
      <c r="D847" s="31"/>
      <c r="E847" s="30"/>
      <c r="F847" s="30"/>
      <c r="G847" s="30"/>
      <c r="H847" s="30"/>
      <c r="I847" s="30"/>
    </row>
    <row r="848" spans="1:9" ht="18.75">
      <c r="A848" s="29"/>
      <c r="B848" s="30"/>
      <c r="C848" s="30"/>
      <c r="D848" s="31"/>
      <c r="E848" s="30"/>
      <c r="F848" s="30"/>
      <c r="G848" s="30"/>
      <c r="H848" s="30"/>
      <c r="I848" s="30"/>
    </row>
    <row r="849" spans="1:9" ht="18.75">
      <c r="A849" s="29"/>
      <c r="B849" s="30"/>
      <c r="C849" s="30"/>
      <c r="D849" s="31"/>
      <c r="E849" s="30"/>
      <c r="F849" s="30"/>
      <c r="G849" s="30"/>
      <c r="H849" s="30"/>
      <c r="I849" s="30"/>
    </row>
    <row r="850" spans="1:9" ht="18.75">
      <c r="A850" s="29"/>
      <c r="B850" s="30"/>
      <c r="C850" s="30"/>
      <c r="D850" s="31"/>
      <c r="E850" s="30"/>
      <c r="F850" s="30"/>
      <c r="G850" s="30"/>
      <c r="H850" s="30"/>
      <c r="I850" s="30"/>
    </row>
    <row r="851" spans="1:9" ht="18.75">
      <c r="A851" s="29"/>
      <c r="B851" s="30"/>
      <c r="C851" s="30"/>
      <c r="D851" s="31"/>
      <c r="E851" s="30"/>
      <c r="F851" s="30"/>
      <c r="G851" s="30"/>
      <c r="H851" s="30"/>
      <c r="I851" s="30"/>
    </row>
    <row r="852" spans="1:9" ht="18.75">
      <c r="A852" s="29"/>
      <c r="B852" s="30"/>
      <c r="C852" s="30"/>
      <c r="D852" s="31"/>
      <c r="E852" s="30"/>
      <c r="F852" s="30"/>
      <c r="G852" s="30"/>
      <c r="H852" s="30"/>
      <c r="I852" s="30"/>
    </row>
    <row r="853" spans="1:9" ht="18.75">
      <c r="A853" s="29"/>
      <c r="B853" s="30"/>
      <c r="C853" s="30"/>
      <c r="D853" s="31"/>
      <c r="E853" s="30"/>
      <c r="F853" s="30"/>
      <c r="G853" s="30"/>
      <c r="H853" s="30"/>
      <c r="I853" s="30"/>
    </row>
    <row r="854" spans="1:9" ht="18.75">
      <c r="A854" s="29"/>
      <c r="B854" s="30"/>
      <c r="C854" s="30"/>
      <c r="D854" s="31"/>
      <c r="E854" s="30"/>
      <c r="F854" s="30"/>
      <c r="G854" s="30"/>
      <c r="H854" s="30"/>
      <c r="I854" s="30"/>
    </row>
    <row r="855" spans="1:9" ht="18.75">
      <c r="A855" s="29"/>
      <c r="B855" s="30"/>
      <c r="C855" s="30"/>
      <c r="D855" s="31"/>
      <c r="E855" s="30"/>
      <c r="F855" s="30"/>
      <c r="G855" s="30"/>
      <c r="H855" s="30"/>
      <c r="I855" s="30"/>
    </row>
    <row r="856" spans="1:9" ht="18.75">
      <c r="A856" s="29"/>
      <c r="B856" s="30"/>
      <c r="C856" s="30"/>
      <c r="D856" s="31"/>
      <c r="E856" s="30"/>
      <c r="F856" s="30"/>
      <c r="G856" s="30"/>
      <c r="H856" s="30"/>
      <c r="I856" s="30"/>
    </row>
    <row r="857" spans="1:9" ht="18.75">
      <c r="A857" s="29"/>
      <c r="B857" s="30"/>
      <c r="C857" s="30"/>
      <c r="D857" s="31"/>
      <c r="E857" s="30"/>
      <c r="F857" s="30"/>
      <c r="G857" s="30"/>
      <c r="H857" s="30"/>
      <c r="I857" s="30"/>
    </row>
    <row r="858" spans="1:9" ht="18.75">
      <c r="A858" s="29"/>
      <c r="B858" s="30"/>
      <c r="C858" s="30"/>
      <c r="D858" s="31"/>
      <c r="E858" s="30"/>
      <c r="F858" s="30"/>
      <c r="G858" s="30"/>
      <c r="H858" s="30"/>
      <c r="I858" s="30"/>
    </row>
    <row r="859" spans="1:9" ht="18.75">
      <c r="A859" s="29"/>
      <c r="B859" s="30"/>
      <c r="C859" s="30"/>
      <c r="D859" s="31"/>
      <c r="E859" s="30"/>
      <c r="F859" s="30"/>
      <c r="G859" s="30"/>
      <c r="H859" s="30"/>
      <c r="I859" s="30"/>
    </row>
    <row r="860" spans="1:9" ht="18.75">
      <c r="A860" s="29"/>
      <c r="B860" s="30"/>
      <c r="C860" s="30"/>
      <c r="D860" s="31"/>
      <c r="E860" s="30"/>
      <c r="F860" s="30"/>
      <c r="G860" s="30"/>
      <c r="H860" s="30"/>
      <c r="I860" s="30"/>
    </row>
    <row r="861" spans="1:9" ht="18.75">
      <c r="A861" s="29"/>
      <c r="B861" s="30"/>
      <c r="C861" s="30"/>
      <c r="D861" s="31"/>
      <c r="E861" s="30"/>
      <c r="F861" s="30"/>
      <c r="G861" s="30"/>
      <c r="H861" s="30"/>
      <c r="I861" s="30"/>
    </row>
    <row r="862" spans="1:9" ht="18.75">
      <c r="A862" s="29"/>
      <c r="B862" s="30"/>
      <c r="C862" s="30"/>
      <c r="D862" s="31"/>
      <c r="E862" s="30"/>
      <c r="F862" s="30"/>
      <c r="G862" s="30"/>
      <c r="H862" s="30"/>
      <c r="I862" s="30"/>
    </row>
    <row r="863" spans="1:9" ht="18.75">
      <c r="A863" s="29"/>
      <c r="B863" s="30"/>
      <c r="C863" s="30"/>
      <c r="D863" s="31"/>
      <c r="E863" s="30"/>
      <c r="F863" s="30"/>
      <c r="G863" s="30"/>
      <c r="H863" s="30"/>
      <c r="I863" s="30"/>
    </row>
    <row r="864" spans="1:9" ht="18.75">
      <c r="A864" s="29"/>
      <c r="B864" s="30"/>
      <c r="C864" s="30"/>
      <c r="D864" s="31"/>
      <c r="E864" s="30"/>
      <c r="F864" s="30"/>
      <c r="G864" s="30"/>
      <c r="H864" s="30"/>
      <c r="I864" s="30"/>
    </row>
    <row r="865" spans="1:9" ht="18.75">
      <c r="A865" s="29"/>
      <c r="B865" s="30"/>
      <c r="C865" s="30"/>
      <c r="D865" s="31"/>
      <c r="E865" s="30"/>
      <c r="F865" s="30"/>
      <c r="G865" s="30"/>
      <c r="H865" s="30"/>
      <c r="I865" s="30"/>
    </row>
    <row r="866" spans="1:9" ht="18.75">
      <c r="A866" s="29"/>
      <c r="B866" s="30"/>
      <c r="C866" s="30"/>
      <c r="D866" s="31"/>
      <c r="E866" s="30"/>
      <c r="F866" s="30"/>
      <c r="G866" s="30"/>
      <c r="H866" s="30"/>
      <c r="I866" s="30"/>
    </row>
    <row r="867" spans="1:9" ht="18.75">
      <c r="A867" s="29"/>
      <c r="B867" s="30"/>
      <c r="C867" s="30"/>
      <c r="D867" s="31"/>
      <c r="E867" s="30"/>
      <c r="F867" s="30"/>
      <c r="G867" s="30"/>
      <c r="H867" s="30"/>
      <c r="I867" s="30"/>
    </row>
    <row r="868" spans="1:9" ht="18.75">
      <c r="A868" s="29"/>
      <c r="B868" s="30"/>
      <c r="C868" s="30"/>
      <c r="D868" s="31"/>
      <c r="E868" s="30"/>
      <c r="F868" s="30"/>
      <c r="G868" s="30"/>
      <c r="H868" s="30"/>
      <c r="I868" s="30"/>
    </row>
    <row r="869" spans="1:9" ht="18.75">
      <c r="A869" s="29"/>
      <c r="B869" s="30"/>
      <c r="C869" s="30"/>
      <c r="D869" s="31"/>
      <c r="E869" s="30"/>
      <c r="F869" s="30"/>
      <c r="G869" s="30"/>
      <c r="H869" s="30"/>
      <c r="I869" s="30"/>
    </row>
    <row r="870" spans="1:9" ht="18.75">
      <c r="A870" s="29"/>
      <c r="B870" s="30"/>
      <c r="C870" s="30"/>
      <c r="D870" s="31"/>
      <c r="E870" s="30"/>
      <c r="F870" s="30"/>
      <c r="G870" s="30"/>
      <c r="H870" s="30"/>
      <c r="I870" s="30"/>
    </row>
    <row r="871" spans="1:9" ht="18.75">
      <c r="A871" s="29"/>
      <c r="B871" s="30"/>
      <c r="C871" s="30"/>
      <c r="D871" s="31"/>
      <c r="E871" s="30"/>
      <c r="F871" s="30"/>
      <c r="G871" s="30"/>
      <c r="H871" s="30"/>
      <c r="I871" s="30"/>
    </row>
    <row r="872" spans="1:9" ht="18.75">
      <c r="A872" s="29"/>
      <c r="B872" s="30"/>
      <c r="C872" s="30"/>
      <c r="D872" s="31"/>
      <c r="E872" s="30"/>
      <c r="F872" s="30"/>
      <c r="G872" s="30"/>
      <c r="H872" s="30"/>
      <c r="I872" s="30"/>
    </row>
    <row r="873" spans="1:9" ht="18.75">
      <c r="A873" s="29"/>
      <c r="B873" s="30"/>
      <c r="C873" s="30"/>
      <c r="D873" s="31"/>
      <c r="E873" s="30"/>
      <c r="F873" s="30"/>
      <c r="G873" s="30"/>
      <c r="H873" s="30"/>
      <c r="I873" s="30"/>
    </row>
    <row r="874" spans="1:9" ht="18.75">
      <c r="A874" s="29"/>
      <c r="B874" s="30"/>
      <c r="C874" s="30"/>
      <c r="D874" s="31"/>
      <c r="E874" s="30"/>
      <c r="F874" s="30"/>
      <c r="G874" s="30"/>
      <c r="H874" s="30"/>
      <c r="I874" s="30"/>
    </row>
    <row r="875" spans="1:9" ht="18.75">
      <c r="A875" s="29"/>
      <c r="B875" s="30"/>
      <c r="C875" s="30"/>
      <c r="D875" s="31"/>
      <c r="E875" s="30"/>
      <c r="F875" s="30"/>
      <c r="G875" s="30"/>
      <c r="H875" s="30"/>
      <c r="I875" s="30"/>
    </row>
    <row r="876" spans="1:9" ht="18.75">
      <c r="A876" s="29"/>
      <c r="B876" s="30"/>
      <c r="C876" s="30"/>
      <c r="D876" s="31"/>
      <c r="E876" s="30"/>
      <c r="F876" s="30"/>
      <c r="G876" s="30"/>
      <c r="H876" s="30"/>
      <c r="I876" s="30"/>
    </row>
    <row r="877" spans="1:9" ht="18.75">
      <c r="A877" s="29"/>
      <c r="B877" s="30"/>
      <c r="C877" s="30"/>
      <c r="D877" s="31"/>
      <c r="E877" s="30"/>
      <c r="F877" s="30"/>
      <c r="G877" s="30"/>
      <c r="H877" s="30"/>
      <c r="I877" s="30"/>
    </row>
    <row r="878" spans="1:9" ht="18.75">
      <c r="A878" s="29"/>
      <c r="B878" s="30"/>
      <c r="C878" s="30"/>
      <c r="D878" s="31"/>
      <c r="E878" s="30"/>
      <c r="F878" s="30"/>
      <c r="G878" s="30"/>
      <c r="H878" s="30"/>
      <c r="I878" s="30"/>
    </row>
    <row r="879" spans="1:9" ht="18.75">
      <c r="A879" s="29"/>
      <c r="B879" s="30"/>
      <c r="C879" s="30"/>
      <c r="D879" s="31"/>
      <c r="E879" s="30"/>
      <c r="F879" s="30"/>
      <c r="G879" s="30"/>
      <c r="H879" s="30"/>
      <c r="I879" s="30"/>
    </row>
    <row r="880" spans="1:9" ht="18.75">
      <c r="A880" s="29"/>
      <c r="B880" s="30"/>
      <c r="C880" s="30"/>
      <c r="D880" s="31"/>
      <c r="E880" s="30"/>
      <c r="F880" s="30"/>
      <c r="G880" s="30"/>
      <c r="H880" s="30"/>
      <c r="I880" s="30"/>
    </row>
    <row r="881" spans="1:9" ht="18.75">
      <c r="A881" s="29"/>
      <c r="B881" s="30"/>
      <c r="C881" s="30"/>
      <c r="D881" s="31"/>
      <c r="E881" s="30"/>
      <c r="F881" s="30"/>
      <c r="G881" s="30"/>
      <c r="H881" s="30"/>
      <c r="I881" s="30"/>
    </row>
    <row r="882" spans="1:9" ht="18.75">
      <c r="A882" s="29"/>
      <c r="B882" s="30"/>
      <c r="C882" s="30"/>
      <c r="D882" s="31"/>
      <c r="E882" s="30"/>
      <c r="F882" s="30"/>
      <c r="G882" s="30"/>
      <c r="H882" s="30"/>
      <c r="I882" s="30"/>
    </row>
    <row r="883" spans="1:9" ht="18.75">
      <c r="A883" s="29"/>
      <c r="B883" s="30"/>
      <c r="C883" s="30"/>
      <c r="D883" s="31"/>
      <c r="E883" s="30"/>
      <c r="F883" s="30"/>
      <c r="G883" s="30"/>
      <c r="H883" s="30"/>
      <c r="I883" s="30"/>
    </row>
    <row r="884" spans="1:9" ht="18.75">
      <c r="A884" s="29"/>
      <c r="B884" s="30"/>
      <c r="C884" s="30"/>
      <c r="D884" s="31"/>
      <c r="E884" s="30"/>
      <c r="F884" s="30"/>
      <c r="G884" s="30"/>
      <c r="H884" s="30"/>
      <c r="I884" s="30"/>
    </row>
    <row r="885" spans="1:9" ht="18.75">
      <c r="A885" s="29"/>
      <c r="B885" s="30"/>
      <c r="C885" s="30"/>
      <c r="D885" s="31"/>
      <c r="E885" s="30"/>
      <c r="F885" s="30"/>
      <c r="G885" s="30"/>
      <c r="H885" s="30"/>
      <c r="I885" s="30"/>
    </row>
    <row r="886" spans="1:9" ht="18.75">
      <c r="A886" s="29"/>
      <c r="B886" s="30"/>
      <c r="C886" s="30"/>
      <c r="D886" s="31"/>
      <c r="E886" s="30"/>
      <c r="F886" s="30"/>
      <c r="G886" s="30"/>
      <c r="H886" s="30"/>
      <c r="I886" s="30"/>
    </row>
    <row r="887" spans="1:9" ht="18.75">
      <c r="A887" s="29"/>
      <c r="B887" s="30"/>
      <c r="C887" s="30"/>
      <c r="D887" s="31"/>
      <c r="E887" s="30"/>
      <c r="F887" s="30"/>
      <c r="G887" s="30"/>
      <c r="H887" s="30"/>
      <c r="I887" s="30"/>
    </row>
    <row r="888" spans="1:9" ht="18.75">
      <c r="A888" s="29"/>
      <c r="B888" s="30"/>
      <c r="C888" s="30"/>
      <c r="D888" s="31"/>
      <c r="E888" s="30"/>
      <c r="F888" s="30"/>
      <c r="G888" s="30"/>
      <c r="H888" s="30"/>
      <c r="I888" s="30"/>
    </row>
    <row r="889" spans="1:9" ht="18.75">
      <c r="A889" s="29"/>
      <c r="B889" s="30"/>
      <c r="C889" s="30"/>
      <c r="D889" s="31"/>
      <c r="E889" s="30"/>
      <c r="F889" s="30"/>
      <c r="G889" s="30"/>
      <c r="H889" s="30"/>
      <c r="I889" s="30"/>
    </row>
    <row r="890" spans="1:9" ht="18.75">
      <c r="A890" s="29"/>
      <c r="B890" s="30"/>
      <c r="C890" s="30"/>
      <c r="D890" s="31"/>
      <c r="E890" s="30"/>
      <c r="F890" s="30"/>
      <c r="G890" s="30"/>
      <c r="H890" s="30"/>
      <c r="I890" s="30"/>
    </row>
    <row r="891" spans="1:9" ht="18.75">
      <c r="A891" s="29"/>
      <c r="B891" s="30"/>
      <c r="C891" s="30"/>
      <c r="D891" s="31"/>
      <c r="E891" s="30"/>
      <c r="F891" s="30"/>
      <c r="G891" s="30"/>
      <c r="H891" s="30"/>
      <c r="I891" s="30"/>
    </row>
    <row r="892" spans="1:9" ht="18.75">
      <c r="A892" s="29"/>
      <c r="B892" s="30"/>
      <c r="C892" s="30"/>
      <c r="D892" s="31"/>
      <c r="E892" s="30"/>
      <c r="F892" s="30"/>
      <c r="G892" s="30"/>
      <c r="H892" s="30"/>
      <c r="I892" s="30"/>
    </row>
    <row r="893" spans="1:9" ht="18.75">
      <c r="A893" s="29"/>
      <c r="B893" s="30"/>
      <c r="C893" s="30"/>
      <c r="D893" s="31"/>
      <c r="E893" s="30"/>
      <c r="F893" s="30"/>
      <c r="G893" s="30"/>
      <c r="H893" s="30"/>
      <c r="I893" s="30"/>
    </row>
    <row r="894" spans="1:9" ht="18.75">
      <c r="A894" s="29"/>
      <c r="B894" s="30"/>
      <c r="C894" s="30"/>
      <c r="D894" s="31"/>
      <c r="E894" s="30"/>
      <c r="F894" s="30"/>
      <c r="G894" s="30"/>
      <c r="H894" s="30"/>
      <c r="I894" s="30"/>
    </row>
    <row r="895" spans="1:9" ht="18.75">
      <c r="A895" s="29"/>
      <c r="B895" s="30"/>
      <c r="C895" s="30"/>
      <c r="D895" s="31"/>
      <c r="E895" s="30"/>
      <c r="F895" s="30"/>
      <c r="G895" s="30"/>
      <c r="H895" s="30"/>
      <c r="I895" s="30"/>
    </row>
    <row r="896" spans="1:9" ht="18.75">
      <c r="A896" s="29"/>
      <c r="B896" s="30"/>
      <c r="C896" s="30"/>
      <c r="D896" s="31"/>
      <c r="E896" s="30"/>
      <c r="F896" s="30"/>
      <c r="G896" s="30"/>
      <c r="H896" s="30"/>
      <c r="I896" s="30"/>
    </row>
    <row r="897" spans="1:9" ht="18.75">
      <c r="A897" s="29"/>
      <c r="B897" s="30"/>
      <c r="C897" s="30"/>
      <c r="D897" s="31"/>
      <c r="E897" s="30"/>
      <c r="F897" s="30"/>
      <c r="G897" s="30"/>
      <c r="H897" s="30"/>
      <c r="I897" s="30"/>
    </row>
    <row r="898" spans="1:9" ht="18.75">
      <c r="A898" s="29"/>
      <c r="B898" s="30"/>
      <c r="C898" s="30"/>
      <c r="D898" s="31"/>
      <c r="E898" s="30"/>
      <c r="F898" s="30"/>
      <c r="G898" s="30"/>
      <c r="H898" s="30"/>
      <c r="I898" s="30"/>
    </row>
    <row r="899" spans="1:9" ht="18.75">
      <c r="A899" s="29"/>
      <c r="B899" s="30"/>
      <c r="C899" s="30"/>
      <c r="D899" s="31"/>
      <c r="E899" s="30"/>
      <c r="F899" s="30"/>
      <c r="G899" s="30"/>
      <c r="H899" s="30"/>
      <c r="I899" s="30"/>
    </row>
    <row r="900" spans="1:9" ht="18.75">
      <c r="A900" s="29"/>
      <c r="B900" s="30"/>
      <c r="C900" s="30"/>
      <c r="D900" s="31"/>
      <c r="E900" s="30"/>
      <c r="F900" s="30"/>
      <c r="G900" s="30"/>
      <c r="H900" s="30"/>
      <c r="I900" s="30"/>
    </row>
    <row r="901" spans="1:9" ht="18.75">
      <c r="A901" s="29"/>
      <c r="B901" s="30"/>
      <c r="C901" s="30"/>
      <c r="D901" s="31"/>
      <c r="E901" s="30"/>
      <c r="F901" s="30"/>
      <c r="G901" s="30"/>
      <c r="H901" s="30"/>
      <c r="I901" s="30"/>
    </row>
    <row r="902" spans="1:9" ht="18.75">
      <c r="A902" s="29"/>
      <c r="B902" s="30"/>
      <c r="C902" s="30"/>
      <c r="D902" s="31"/>
      <c r="E902" s="30"/>
      <c r="F902" s="30"/>
      <c r="G902" s="30"/>
      <c r="H902" s="30"/>
      <c r="I902" s="30"/>
    </row>
    <row r="903" spans="1:9" ht="18.75">
      <c r="A903" s="29"/>
      <c r="B903" s="30"/>
      <c r="C903" s="30"/>
      <c r="D903" s="31"/>
      <c r="E903" s="30"/>
      <c r="F903" s="30"/>
      <c r="G903" s="30"/>
      <c r="H903" s="30"/>
      <c r="I903" s="30"/>
    </row>
    <row r="904" spans="1:9" ht="18.75">
      <c r="A904" s="29"/>
      <c r="B904" s="30"/>
      <c r="C904" s="30"/>
      <c r="D904" s="31"/>
      <c r="E904" s="30"/>
      <c r="F904" s="30"/>
      <c r="G904" s="30"/>
      <c r="H904" s="30"/>
      <c r="I904" s="30"/>
    </row>
    <row r="905" spans="1:9" ht="18.75">
      <c r="A905" s="29"/>
      <c r="B905" s="30"/>
      <c r="C905" s="30"/>
      <c r="D905" s="31"/>
      <c r="E905" s="30"/>
      <c r="F905" s="30"/>
      <c r="G905" s="30"/>
      <c r="H905" s="30"/>
      <c r="I905" s="30"/>
    </row>
    <row r="906" spans="1:9" ht="18.75">
      <c r="A906" s="29"/>
      <c r="B906" s="30"/>
      <c r="C906" s="30"/>
      <c r="D906" s="31"/>
      <c r="E906" s="30"/>
      <c r="F906" s="30"/>
      <c r="G906" s="30"/>
      <c r="H906" s="30"/>
      <c r="I906" s="30"/>
    </row>
    <row r="907" spans="1:9" ht="18.75">
      <c r="A907" s="29"/>
      <c r="B907" s="30"/>
      <c r="C907" s="30"/>
      <c r="D907" s="31"/>
      <c r="E907" s="30"/>
      <c r="F907" s="30"/>
      <c r="G907" s="30"/>
      <c r="H907" s="30"/>
      <c r="I907" s="30"/>
    </row>
    <row r="908" spans="1:9" ht="18.75">
      <c r="A908" s="29"/>
      <c r="B908" s="30"/>
      <c r="C908" s="30"/>
      <c r="D908" s="31"/>
      <c r="E908" s="30"/>
      <c r="F908" s="30"/>
      <c r="G908" s="30"/>
      <c r="H908" s="30"/>
      <c r="I908" s="30"/>
    </row>
    <row r="909" spans="1:9" ht="18.75">
      <c r="A909" s="29"/>
      <c r="B909" s="30"/>
      <c r="C909" s="30"/>
      <c r="D909" s="31"/>
      <c r="E909" s="30"/>
      <c r="F909" s="30"/>
      <c r="G909" s="30"/>
      <c r="H909" s="30"/>
      <c r="I909" s="30"/>
    </row>
    <row r="910" spans="1:9" ht="18.75">
      <c r="A910" s="29"/>
      <c r="B910" s="30"/>
      <c r="C910" s="30"/>
      <c r="D910" s="31"/>
      <c r="E910" s="30"/>
      <c r="F910" s="30"/>
      <c r="G910" s="30"/>
      <c r="H910" s="30"/>
      <c r="I910" s="30"/>
    </row>
    <row r="911" spans="1:9" ht="18.75">
      <c r="A911" s="29"/>
      <c r="B911" s="30"/>
      <c r="C911" s="30"/>
      <c r="D911" s="31"/>
      <c r="E911" s="30"/>
      <c r="F911" s="30"/>
      <c r="G911" s="30"/>
      <c r="H911" s="30"/>
      <c r="I911" s="30"/>
    </row>
    <row r="912" spans="1:9" ht="18.75">
      <c r="A912" s="29"/>
      <c r="B912" s="30"/>
      <c r="C912" s="30"/>
      <c r="D912" s="31"/>
      <c r="E912" s="30"/>
      <c r="F912" s="30"/>
      <c r="G912" s="30"/>
      <c r="H912" s="30"/>
      <c r="I912" s="30"/>
    </row>
    <row r="913" spans="1:9" ht="18.75">
      <c r="A913" s="29"/>
      <c r="B913" s="30"/>
      <c r="C913" s="30"/>
      <c r="D913" s="31"/>
      <c r="E913" s="30"/>
      <c r="F913" s="30"/>
      <c r="G913" s="30"/>
      <c r="H913" s="30"/>
      <c r="I913" s="30"/>
    </row>
    <row r="914" spans="1:9" ht="18.75">
      <c r="A914" s="29"/>
      <c r="B914" s="30"/>
      <c r="C914" s="30"/>
      <c r="D914" s="31"/>
      <c r="E914" s="30"/>
      <c r="F914" s="30"/>
      <c r="G914" s="30"/>
      <c r="H914" s="30"/>
      <c r="I914" s="30"/>
    </row>
    <row r="915" spans="1:9" ht="18.75">
      <c r="A915" s="29"/>
      <c r="B915" s="30"/>
      <c r="C915" s="30"/>
      <c r="D915" s="31"/>
      <c r="E915" s="30"/>
      <c r="F915" s="30"/>
      <c r="G915" s="30"/>
      <c r="H915" s="30"/>
      <c r="I915" s="30"/>
    </row>
    <row r="916" spans="1:9" ht="18.75">
      <c r="A916" s="29"/>
      <c r="B916" s="30"/>
      <c r="C916" s="30"/>
      <c r="D916" s="31"/>
      <c r="E916" s="30"/>
      <c r="F916" s="30"/>
      <c r="G916" s="30"/>
      <c r="H916" s="30"/>
      <c r="I916" s="30"/>
    </row>
    <row r="917" spans="1:9" ht="18.75">
      <c r="A917" s="29"/>
      <c r="B917" s="30"/>
      <c r="C917" s="30"/>
      <c r="D917" s="31"/>
      <c r="E917" s="30"/>
      <c r="F917" s="30"/>
      <c r="G917" s="30"/>
      <c r="H917" s="30"/>
      <c r="I917" s="30"/>
    </row>
    <row r="918" spans="1:9" ht="18.75">
      <c r="A918" s="29"/>
      <c r="B918" s="30"/>
      <c r="C918" s="30"/>
      <c r="D918" s="31"/>
      <c r="E918" s="30"/>
      <c r="F918" s="30"/>
      <c r="G918" s="30"/>
      <c r="H918" s="30"/>
      <c r="I918" s="30"/>
    </row>
    <row r="919" spans="1:9" ht="18.75">
      <c r="A919" s="29"/>
      <c r="B919" s="30"/>
      <c r="C919" s="30"/>
      <c r="D919" s="31"/>
      <c r="E919" s="30"/>
      <c r="F919" s="30"/>
      <c r="G919" s="30"/>
      <c r="H919" s="30"/>
      <c r="I919" s="30"/>
    </row>
    <row r="920" spans="1:9" ht="18.75">
      <c r="A920" s="29"/>
      <c r="B920" s="30"/>
      <c r="C920" s="30"/>
      <c r="D920" s="31"/>
      <c r="E920" s="30"/>
      <c r="F920" s="30"/>
      <c r="G920" s="30"/>
      <c r="H920" s="30"/>
      <c r="I920" s="30"/>
    </row>
    <row r="921" spans="1:9" ht="18.75">
      <c r="A921" s="29"/>
      <c r="B921" s="30"/>
      <c r="C921" s="30"/>
      <c r="D921" s="31"/>
      <c r="E921" s="30"/>
      <c r="F921" s="30"/>
      <c r="G921" s="30"/>
      <c r="H921" s="30"/>
      <c r="I921" s="30"/>
    </row>
    <row r="922" spans="1:9" ht="18.75">
      <c r="A922" s="29"/>
      <c r="B922" s="30"/>
      <c r="C922" s="30"/>
      <c r="D922" s="31"/>
      <c r="E922" s="30"/>
      <c r="F922" s="30"/>
      <c r="G922" s="30"/>
      <c r="H922" s="30"/>
      <c r="I922" s="30"/>
    </row>
    <row r="923" spans="1:9" ht="18.75">
      <c r="A923" s="29"/>
      <c r="B923" s="30"/>
      <c r="C923" s="30"/>
      <c r="D923" s="31"/>
      <c r="E923" s="30"/>
      <c r="F923" s="30"/>
      <c r="G923" s="30"/>
      <c r="H923" s="30"/>
      <c r="I923" s="30"/>
    </row>
    <row r="924" spans="1:9" ht="18.75">
      <c r="A924" s="29"/>
      <c r="B924" s="30"/>
      <c r="C924" s="30"/>
      <c r="D924" s="31"/>
      <c r="E924" s="30"/>
      <c r="F924" s="30"/>
      <c r="G924" s="30"/>
      <c r="H924" s="30"/>
      <c r="I924" s="30"/>
    </row>
    <row r="925" spans="1:9" ht="18.75">
      <c r="A925" s="29"/>
      <c r="B925" s="30"/>
      <c r="C925" s="30"/>
      <c r="D925" s="31"/>
      <c r="E925" s="30"/>
      <c r="F925" s="30"/>
      <c r="G925" s="30"/>
      <c r="H925" s="30"/>
      <c r="I925" s="30"/>
    </row>
    <row r="926" spans="1:9" ht="18.75">
      <c r="A926" s="29"/>
      <c r="B926" s="30"/>
      <c r="C926" s="30"/>
      <c r="D926" s="31"/>
      <c r="E926" s="30"/>
      <c r="F926" s="30"/>
      <c r="G926" s="30"/>
      <c r="H926" s="30"/>
      <c r="I926" s="30"/>
    </row>
    <row r="927" spans="1:9" ht="18.75">
      <c r="A927" s="29"/>
      <c r="B927" s="30"/>
      <c r="C927" s="30"/>
      <c r="D927" s="31"/>
      <c r="E927" s="30"/>
      <c r="F927" s="30"/>
      <c r="G927" s="30"/>
      <c r="H927" s="30"/>
      <c r="I927" s="30"/>
    </row>
    <row r="928" spans="1:9" ht="18.75">
      <c r="A928" s="29"/>
      <c r="B928" s="30"/>
      <c r="C928" s="30"/>
      <c r="D928" s="31"/>
      <c r="E928" s="30"/>
      <c r="F928" s="30"/>
      <c r="G928" s="30"/>
      <c r="H928" s="30"/>
      <c r="I928" s="30"/>
    </row>
    <row r="929" spans="1:9" ht="18.75">
      <c r="A929" s="29"/>
      <c r="B929" s="30"/>
      <c r="C929" s="30"/>
      <c r="D929" s="31"/>
      <c r="E929" s="30"/>
      <c r="F929" s="30"/>
      <c r="G929" s="30"/>
      <c r="H929" s="30"/>
      <c r="I929" s="30"/>
    </row>
    <row r="930" spans="1:9" ht="18.75">
      <c r="A930" s="29"/>
      <c r="B930" s="30"/>
      <c r="C930" s="30"/>
      <c r="D930" s="31"/>
      <c r="E930" s="30"/>
      <c r="F930" s="30"/>
      <c r="G930" s="30"/>
      <c r="H930" s="30"/>
      <c r="I930" s="30"/>
    </row>
    <row r="931" spans="1:9" ht="18.75">
      <c r="A931" s="29"/>
      <c r="B931" s="30"/>
      <c r="C931" s="30"/>
      <c r="D931" s="31"/>
      <c r="E931" s="30"/>
      <c r="F931" s="30"/>
      <c r="G931" s="30"/>
      <c r="H931" s="30"/>
      <c r="I931" s="30"/>
    </row>
    <row r="932" spans="1:9" ht="18.75">
      <c r="A932" s="29"/>
      <c r="B932" s="30"/>
      <c r="C932" s="30"/>
      <c r="D932" s="31"/>
      <c r="E932" s="30"/>
      <c r="F932" s="30"/>
      <c r="G932" s="30"/>
      <c r="H932" s="30"/>
      <c r="I932" s="30"/>
    </row>
    <row r="933" spans="1:9" ht="18.75">
      <c r="A933" s="29"/>
      <c r="B933" s="30"/>
      <c r="C933" s="30"/>
      <c r="D933" s="31"/>
      <c r="E933" s="30"/>
      <c r="F933" s="30"/>
      <c r="G933" s="30"/>
      <c r="H933" s="30"/>
      <c r="I933" s="30"/>
    </row>
    <row r="934" spans="1:9" ht="18.75">
      <c r="A934" s="29"/>
      <c r="B934" s="30"/>
      <c r="C934" s="30"/>
      <c r="D934" s="31"/>
      <c r="E934" s="30"/>
      <c r="F934" s="30"/>
      <c r="G934" s="30"/>
      <c r="H934" s="30"/>
      <c r="I934" s="30"/>
    </row>
    <row r="935" spans="1:9" ht="18.75">
      <c r="A935" s="29"/>
      <c r="B935" s="30"/>
      <c r="C935" s="30"/>
      <c r="D935" s="31"/>
      <c r="E935" s="30"/>
      <c r="F935" s="30"/>
      <c r="G935" s="30"/>
      <c r="H935" s="30"/>
      <c r="I935" s="30"/>
    </row>
    <row r="936" spans="1:9" ht="18.75">
      <c r="A936" s="29"/>
      <c r="B936" s="30"/>
      <c r="C936" s="30"/>
      <c r="D936" s="31"/>
      <c r="E936" s="30"/>
      <c r="F936" s="30"/>
      <c r="G936" s="30"/>
      <c r="H936" s="30"/>
      <c r="I936" s="30"/>
    </row>
    <row r="937" spans="1:9" ht="18.75">
      <c r="A937" s="29"/>
      <c r="B937" s="30"/>
      <c r="C937" s="30"/>
      <c r="D937" s="31"/>
      <c r="E937" s="30"/>
      <c r="F937" s="30"/>
      <c r="G937" s="30"/>
      <c r="H937" s="30"/>
      <c r="I937" s="30"/>
    </row>
    <row r="938" spans="1:9" ht="18.75">
      <c r="A938" s="29"/>
      <c r="B938" s="30"/>
      <c r="C938" s="30"/>
      <c r="D938" s="31"/>
      <c r="E938" s="30"/>
      <c r="F938" s="30"/>
      <c r="G938" s="30"/>
      <c r="H938" s="30"/>
      <c r="I938" s="30"/>
    </row>
    <row r="939" spans="1:9" ht="18.75">
      <c r="A939" s="29"/>
      <c r="B939" s="30"/>
      <c r="C939" s="30"/>
      <c r="D939" s="31"/>
      <c r="E939" s="30"/>
      <c r="F939" s="30"/>
      <c r="G939" s="30"/>
      <c r="H939" s="30"/>
      <c r="I939" s="30"/>
    </row>
    <row r="940" spans="1:9" ht="18.75">
      <c r="A940" s="29"/>
      <c r="B940" s="30"/>
      <c r="C940" s="30"/>
      <c r="D940" s="31"/>
      <c r="E940" s="30"/>
      <c r="F940" s="30"/>
      <c r="G940" s="30"/>
      <c r="H940" s="30"/>
      <c r="I940" s="30"/>
    </row>
    <row r="941" spans="1:9" ht="18.75">
      <c r="A941" s="29"/>
      <c r="B941" s="30"/>
      <c r="C941" s="30"/>
      <c r="D941" s="31"/>
      <c r="E941" s="30"/>
      <c r="F941" s="30"/>
      <c r="G941" s="30"/>
      <c r="H941" s="30"/>
      <c r="I941" s="30"/>
    </row>
    <row r="942" spans="1:9" ht="18.75">
      <c r="A942" s="29"/>
      <c r="B942" s="30"/>
      <c r="C942" s="30"/>
      <c r="D942" s="31"/>
      <c r="E942" s="30"/>
      <c r="F942" s="30"/>
      <c r="G942" s="30"/>
      <c r="H942" s="30"/>
      <c r="I942" s="30"/>
    </row>
    <row r="943" spans="1:9" ht="18.75">
      <c r="A943" s="29"/>
      <c r="B943" s="30"/>
      <c r="C943" s="30"/>
      <c r="D943" s="31"/>
      <c r="E943" s="30"/>
      <c r="F943" s="30"/>
      <c r="G943" s="30"/>
      <c r="H943" s="30"/>
      <c r="I943" s="30"/>
    </row>
    <row r="944" spans="1:9" ht="18.75">
      <c r="A944" s="29"/>
      <c r="B944" s="30"/>
      <c r="C944" s="30"/>
      <c r="D944" s="31"/>
      <c r="E944" s="30"/>
      <c r="F944" s="30"/>
      <c r="G944" s="30"/>
      <c r="H944" s="30"/>
      <c r="I944" s="30"/>
    </row>
    <row r="945" spans="1:9" ht="18.75">
      <c r="A945" s="29"/>
      <c r="B945" s="30"/>
      <c r="C945" s="30"/>
      <c r="D945" s="31"/>
      <c r="E945" s="30"/>
      <c r="F945" s="30"/>
      <c r="G945" s="30"/>
      <c r="H945" s="30"/>
      <c r="I945" s="30"/>
    </row>
    <row r="946" spans="1:9" ht="18.75">
      <c r="A946" s="29"/>
      <c r="B946" s="30"/>
      <c r="C946" s="30"/>
      <c r="D946" s="31"/>
      <c r="E946" s="30"/>
      <c r="F946" s="30"/>
      <c r="G946" s="30"/>
      <c r="H946" s="30"/>
      <c r="I946" s="30"/>
    </row>
    <row r="947" spans="1:9" ht="18.75">
      <c r="A947" s="29"/>
      <c r="B947" s="30"/>
      <c r="C947" s="30"/>
      <c r="D947" s="31"/>
      <c r="E947" s="30"/>
      <c r="F947" s="30"/>
      <c r="G947" s="30"/>
      <c r="H947" s="30"/>
      <c r="I947" s="30"/>
    </row>
    <row r="948" spans="1:9" ht="18.75">
      <c r="A948" s="29"/>
      <c r="B948" s="30"/>
      <c r="C948" s="30"/>
      <c r="D948" s="31"/>
      <c r="E948" s="30"/>
      <c r="F948" s="30"/>
      <c r="G948" s="30"/>
      <c r="H948" s="30"/>
      <c r="I948" s="30"/>
    </row>
    <row r="949" spans="1:9" ht="18.75">
      <c r="A949" s="29"/>
      <c r="B949" s="30"/>
      <c r="C949" s="30"/>
      <c r="D949" s="31"/>
      <c r="E949" s="30"/>
      <c r="F949" s="30"/>
      <c r="G949" s="30"/>
      <c r="H949" s="30"/>
      <c r="I949" s="30"/>
    </row>
    <row r="950" spans="1:9" ht="18.75">
      <c r="A950" s="29"/>
      <c r="B950" s="30"/>
      <c r="C950" s="30"/>
      <c r="D950" s="31"/>
      <c r="E950" s="30"/>
      <c r="F950" s="30"/>
      <c r="G950" s="30"/>
      <c r="H950" s="30"/>
      <c r="I950" s="30"/>
    </row>
    <row r="951" spans="1:9" ht="18.75">
      <c r="A951" s="29"/>
      <c r="B951" s="30"/>
      <c r="C951" s="30"/>
      <c r="D951" s="31"/>
      <c r="E951" s="30"/>
      <c r="F951" s="30"/>
      <c r="G951" s="30"/>
      <c r="H951" s="30"/>
      <c r="I951" s="30"/>
    </row>
    <row r="952" spans="1:9" ht="18.75">
      <c r="A952" s="29"/>
      <c r="B952" s="30"/>
      <c r="C952" s="30"/>
      <c r="D952" s="31"/>
      <c r="E952" s="30"/>
      <c r="F952" s="30"/>
      <c r="G952" s="30"/>
      <c r="H952" s="30"/>
      <c r="I952" s="30"/>
    </row>
    <row r="953" spans="1:9" ht="18.75">
      <c r="A953" s="29"/>
      <c r="B953" s="30"/>
      <c r="C953" s="30"/>
      <c r="D953" s="31"/>
      <c r="E953" s="30"/>
      <c r="F953" s="30"/>
      <c r="G953" s="30"/>
      <c r="H953" s="30"/>
      <c r="I953" s="30"/>
    </row>
    <row r="954" spans="1:9" ht="18.75">
      <c r="A954" s="29"/>
      <c r="B954" s="30"/>
      <c r="C954" s="30"/>
      <c r="D954" s="31"/>
      <c r="E954" s="30"/>
      <c r="F954" s="30"/>
      <c r="G954" s="30"/>
      <c r="H954" s="30"/>
      <c r="I954" s="30"/>
    </row>
    <row r="955" spans="1:9" ht="18.75">
      <c r="A955" s="29"/>
      <c r="B955" s="30"/>
      <c r="C955" s="30"/>
      <c r="D955" s="31"/>
      <c r="E955" s="30"/>
      <c r="F955" s="30"/>
      <c r="G955" s="30"/>
      <c r="H955" s="30"/>
      <c r="I955" s="30"/>
    </row>
    <row r="956" spans="1:9" ht="18.75">
      <c r="A956" s="29"/>
      <c r="B956" s="30"/>
      <c r="C956" s="30"/>
      <c r="D956" s="31"/>
      <c r="E956" s="30"/>
      <c r="F956" s="30"/>
      <c r="G956" s="30"/>
      <c r="H956" s="30"/>
      <c r="I956" s="30"/>
    </row>
    <row r="957" spans="1:9" ht="18.75">
      <c r="A957" s="29"/>
      <c r="B957" s="30"/>
      <c r="C957" s="30"/>
      <c r="D957" s="31"/>
      <c r="E957" s="30"/>
      <c r="F957" s="30"/>
      <c r="G957" s="30"/>
      <c r="H957" s="30"/>
      <c r="I957" s="30"/>
    </row>
    <row r="958" spans="1:9" ht="18.75">
      <c r="A958" s="29"/>
      <c r="B958" s="30"/>
      <c r="C958" s="30"/>
      <c r="D958" s="31"/>
      <c r="E958" s="30"/>
      <c r="F958" s="30"/>
      <c r="G958" s="30"/>
      <c r="H958" s="30"/>
      <c r="I958" s="30"/>
    </row>
    <row r="959" spans="1:9" ht="18.75">
      <c r="A959" s="29"/>
      <c r="B959" s="30"/>
      <c r="C959" s="30"/>
      <c r="D959" s="31"/>
      <c r="E959" s="30"/>
      <c r="F959" s="30"/>
      <c r="G959" s="30"/>
      <c r="H959" s="30"/>
      <c r="I959" s="30"/>
    </row>
    <row r="960" spans="1:9" ht="18.75">
      <c r="A960" s="29"/>
      <c r="B960" s="30"/>
      <c r="C960" s="30"/>
      <c r="D960" s="31"/>
      <c r="E960" s="30"/>
      <c r="F960" s="30"/>
      <c r="G960" s="30"/>
      <c r="H960" s="30"/>
      <c r="I960" s="30"/>
    </row>
    <row r="961" spans="1:9" ht="18.75">
      <c r="A961" s="29"/>
      <c r="B961" s="30"/>
      <c r="C961" s="30"/>
      <c r="D961" s="31"/>
      <c r="E961" s="30"/>
      <c r="F961" s="30"/>
      <c r="G961" s="30"/>
      <c r="H961" s="30"/>
      <c r="I961" s="30"/>
    </row>
    <row r="962" spans="1:9" ht="18.75">
      <c r="A962" s="29"/>
      <c r="B962" s="30"/>
      <c r="C962" s="30"/>
      <c r="D962" s="31"/>
      <c r="E962" s="30"/>
      <c r="F962" s="30"/>
      <c r="G962" s="30"/>
      <c r="H962" s="30"/>
      <c r="I962" s="30"/>
    </row>
    <row r="963" spans="1:9" ht="18.75">
      <c r="A963" s="29"/>
      <c r="B963" s="30"/>
      <c r="C963" s="30"/>
      <c r="D963" s="31"/>
      <c r="E963" s="30"/>
      <c r="F963" s="30"/>
      <c r="G963" s="30"/>
      <c r="H963" s="30"/>
      <c r="I963" s="30"/>
    </row>
    <row r="964" spans="1:9" ht="18.75">
      <c r="A964" s="29"/>
      <c r="B964" s="30"/>
      <c r="C964" s="30"/>
      <c r="D964" s="31"/>
      <c r="E964" s="30"/>
      <c r="F964" s="30"/>
      <c r="G964" s="30"/>
      <c r="H964" s="30"/>
      <c r="I964" s="30"/>
    </row>
    <row r="965" spans="1:9" ht="18.75">
      <c r="A965" s="29"/>
      <c r="B965" s="30"/>
      <c r="C965" s="30"/>
      <c r="D965" s="31"/>
      <c r="E965" s="30"/>
      <c r="F965" s="30"/>
      <c r="G965" s="30"/>
      <c r="H965" s="30"/>
      <c r="I965" s="30"/>
    </row>
    <row r="966" spans="1:9" ht="18.75">
      <c r="A966" s="29"/>
      <c r="B966" s="30"/>
      <c r="C966" s="30"/>
      <c r="D966" s="31"/>
      <c r="E966" s="30"/>
      <c r="F966" s="30"/>
      <c r="G966" s="30"/>
      <c r="H966" s="30"/>
      <c r="I966" s="30"/>
    </row>
    <row r="967" spans="1:9" ht="18.75">
      <c r="A967" s="29"/>
      <c r="B967" s="30"/>
      <c r="C967" s="30"/>
      <c r="D967" s="31"/>
      <c r="E967" s="30"/>
      <c r="F967" s="30"/>
      <c r="G967" s="30"/>
      <c r="H967" s="30"/>
      <c r="I967" s="30"/>
    </row>
    <row r="968" spans="1:9" ht="18.75">
      <c r="A968" s="29"/>
      <c r="B968" s="30"/>
      <c r="C968" s="30"/>
      <c r="D968" s="31"/>
      <c r="E968" s="30"/>
      <c r="F968" s="30"/>
      <c r="G968" s="30"/>
      <c r="H968" s="30"/>
      <c r="I968" s="30"/>
    </row>
    <row r="969" spans="1:9" ht="18.75">
      <c r="A969" s="29"/>
      <c r="B969" s="30"/>
      <c r="C969" s="30"/>
      <c r="D969" s="31"/>
      <c r="E969" s="30"/>
      <c r="F969" s="30"/>
      <c r="G969" s="30"/>
      <c r="H969" s="30"/>
      <c r="I969" s="30"/>
    </row>
    <row r="970" spans="1:9" ht="18.75">
      <c r="A970" s="29"/>
      <c r="B970" s="30"/>
      <c r="C970" s="30"/>
      <c r="D970" s="31"/>
      <c r="E970" s="30"/>
      <c r="F970" s="30"/>
      <c r="G970" s="30"/>
      <c r="H970" s="30"/>
      <c r="I970" s="30"/>
    </row>
    <row r="971" spans="1:9" ht="18.75">
      <c r="A971" s="29"/>
      <c r="B971" s="30"/>
      <c r="C971" s="30"/>
      <c r="D971" s="31"/>
      <c r="E971" s="30"/>
      <c r="F971" s="30"/>
      <c r="G971" s="30"/>
      <c r="H971" s="30"/>
      <c r="I971" s="30"/>
    </row>
    <row r="972" spans="1:9" ht="18.75">
      <c r="A972" s="29"/>
      <c r="B972" s="30"/>
      <c r="C972" s="30"/>
      <c r="D972" s="31"/>
      <c r="E972" s="30"/>
      <c r="F972" s="30"/>
      <c r="G972" s="30"/>
      <c r="H972" s="30"/>
      <c r="I972" s="30"/>
    </row>
    <row r="973" spans="1:9" ht="18.75">
      <c r="A973" s="29"/>
      <c r="B973" s="30"/>
      <c r="C973" s="30"/>
      <c r="D973" s="31"/>
      <c r="E973" s="30"/>
      <c r="F973" s="30"/>
      <c r="G973" s="30"/>
      <c r="H973" s="30"/>
      <c r="I973" s="30"/>
    </row>
    <row r="974" spans="1:9" ht="18.75">
      <c r="A974" s="29"/>
      <c r="B974" s="30"/>
      <c r="C974" s="30"/>
      <c r="D974" s="31"/>
      <c r="E974" s="30"/>
      <c r="F974" s="30"/>
      <c r="G974" s="30"/>
      <c r="H974" s="30"/>
      <c r="I974" s="30"/>
    </row>
    <row r="975" spans="1:9" ht="18.75">
      <c r="A975" s="29"/>
      <c r="B975" s="30"/>
      <c r="C975" s="30"/>
      <c r="D975" s="31"/>
      <c r="E975" s="30"/>
      <c r="F975" s="30"/>
      <c r="G975" s="30"/>
      <c r="H975" s="30"/>
      <c r="I975" s="30"/>
    </row>
    <row r="976" spans="1:9" ht="18.75">
      <c r="A976" s="29"/>
      <c r="B976" s="30"/>
      <c r="C976" s="30"/>
      <c r="D976" s="31"/>
      <c r="E976" s="30"/>
      <c r="F976" s="30"/>
      <c r="G976" s="30"/>
      <c r="H976" s="30"/>
      <c r="I976" s="30"/>
    </row>
    <row r="977" spans="1:9" ht="18.75">
      <c r="A977" s="29"/>
      <c r="B977" s="30"/>
      <c r="C977" s="30"/>
      <c r="D977" s="31"/>
      <c r="E977" s="30"/>
      <c r="F977" s="30"/>
      <c r="G977" s="30"/>
      <c r="H977" s="30"/>
      <c r="I977" s="30"/>
    </row>
    <row r="978" spans="1:9" ht="18.75">
      <c r="A978" s="29"/>
      <c r="B978" s="30"/>
      <c r="C978" s="30"/>
      <c r="D978" s="31"/>
      <c r="E978" s="30"/>
      <c r="F978" s="30"/>
      <c r="G978" s="30"/>
      <c r="H978" s="30"/>
      <c r="I978" s="30"/>
    </row>
    <row r="979" spans="1:9" ht="18.75">
      <c r="A979" s="29"/>
      <c r="B979" s="30"/>
      <c r="C979" s="30"/>
      <c r="D979" s="31"/>
      <c r="E979" s="30"/>
      <c r="F979" s="30"/>
      <c r="G979" s="30"/>
      <c r="H979" s="30"/>
      <c r="I979" s="30"/>
    </row>
    <row r="980" spans="1:9" ht="18.75">
      <c r="A980" s="29"/>
      <c r="B980" s="30"/>
      <c r="C980" s="30"/>
      <c r="D980" s="31"/>
      <c r="E980" s="30"/>
      <c r="F980" s="30"/>
      <c r="G980" s="30"/>
      <c r="H980" s="30"/>
      <c r="I980" s="30"/>
    </row>
    <row r="981" spans="1:9" ht="18.75">
      <c r="A981" s="29"/>
      <c r="B981" s="30"/>
      <c r="C981" s="30"/>
      <c r="D981" s="31"/>
      <c r="E981" s="30"/>
      <c r="F981" s="30"/>
      <c r="G981" s="30"/>
      <c r="H981" s="30"/>
      <c r="I981" s="30"/>
    </row>
    <row r="982" spans="1:9" ht="18.75">
      <c r="A982" s="29"/>
      <c r="B982" s="30"/>
      <c r="C982" s="30"/>
      <c r="D982" s="31"/>
      <c r="E982" s="30"/>
      <c r="F982" s="30"/>
      <c r="G982" s="30"/>
      <c r="H982" s="30"/>
      <c r="I982" s="30"/>
    </row>
    <row r="983" spans="1:9" ht="18.75">
      <c r="A983" s="29"/>
      <c r="B983" s="30"/>
      <c r="C983" s="30"/>
      <c r="D983" s="31"/>
      <c r="E983" s="30"/>
      <c r="F983" s="30"/>
      <c r="G983" s="30"/>
      <c r="H983" s="30"/>
      <c r="I983" s="30"/>
    </row>
    <row r="984" spans="1:9" ht="18.75">
      <c r="A984" s="29"/>
      <c r="B984" s="30"/>
      <c r="C984" s="30"/>
      <c r="D984" s="31"/>
      <c r="E984" s="30"/>
      <c r="F984" s="30"/>
      <c r="G984" s="30"/>
      <c r="H984" s="30"/>
      <c r="I984" s="30"/>
    </row>
    <row r="985" spans="1:9" ht="18.75">
      <c r="A985" s="29"/>
      <c r="B985" s="30"/>
      <c r="C985" s="30"/>
      <c r="D985" s="31"/>
      <c r="E985" s="30"/>
      <c r="F985" s="30"/>
      <c r="G985" s="30"/>
      <c r="H985" s="30"/>
      <c r="I985" s="30"/>
    </row>
    <row r="986" spans="1:9" ht="18.75">
      <c r="A986" s="29"/>
      <c r="B986" s="30"/>
      <c r="C986" s="30"/>
      <c r="D986" s="31"/>
      <c r="E986" s="30"/>
      <c r="F986" s="30"/>
      <c r="G986" s="30"/>
      <c r="H986" s="30"/>
      <c r="I986" s="30"/>
    </row>
    <row r="987" spans="1:9" ht="18.75">
      <c r="A987" s="29"/>
      <c r="B987" s="30"/>
      <c r="C987" s="30"/>
      <c r="D987" s="31"/>
      <c r="E987" s="30"/>
      <c r="F987" s="30"/>
      <c r="G987" s="30"/>
      <c r="H987" s="30"/>
      <c r="I987" s="30"/>
    </row>
    <row r="988" spans="1:9" ht="18.75">
      <c r="A988" s="29"/>
      <c r="B988" s="30"/>
      <c r="C988" s="30"/>
      <c r="D988" s="31"/>
      <c r="E988" s="30"/>
      <c r="F988" s="30"/>
      <c r="G988" s="30"/>
      <c r="H988" s="30"/>
      <c r="I988" s="30"/>
    </row>
    <row r="989" spans="1:9" ht="18.75">
      <c r="A989" s="29"/>
      <c r="B989" s="30"/>
      <c r="C989" s="30"/>
      <c r="D989" s="31"/>
      <c r="E989" s="30"/>
      <c r="F989" s="30"/>
      <c r="G989" s="30"/>
      <c r="H989" s="30"/>
      <c r="I989" s="30"/>
    </row>
    <row r="990" spans="1:9" ht="18.75">
      <c r="A990" s="29"/>
      <c r="B990" s="30"/>
      <c r="C990" s="30"/>
      <c r="D990" s="31"/>
      <c r="E990" s="30"/>
      <c r="F990" s="30"/>
      <c r="G990" s="30"/>
      <c r="H990" s="30"/>
      <c r="I990" s="30"/>
    </row>
    <row r="991" spans="1:9" ht="18.75">
      <c r="A991" s="29"/>
      <c r="B991" s="30"/>
      <c r="C991" s="30"/>
      <c r="D991" s="31"/>
      <c r="E991" s="30"/>
      <c r="F991" s="30"/>
      <c r="G991" s="30"/>
      <c r="H991" s="30"/>
      <c r="I991" s="30"/>
    </row>
    <row r="992" spans="1:9" ht="18.75">
      <c r="A992" s="29"/>
      <c r="B992" s="30"/>
      <c r="C992" s="30"/>
      <c r="D992" s="31"/>
      <c r="E992" s="30"/>
      <c r="F992" s="30"/>
      <c r="G992" s="30"/>
      <c r="H992" s="30"/>
      <c r="I992" s="30"/>
    </row>
    <row r="993" spans="1:9" ht="18.75">
      <c r="A993" s="29"/>
      <c r="B993" s="30"/>
      <c r="C993" s="30"/>
      <c r="D993" s="31"/>
      <c r="E993" s="30"/>
      <c r="F993" s="30"/>
      <c r="G993" s="30"/>
      <c r="H993" s="30"/>
      <c r="I993" s="30"/>
    </row>
    <row r="994" spans="1:9" ht="18.75">
      <c r="A994" s="29"/>
      <c r="B994" s="30"/>
      <c r="C994" s="30"/>
      <c r="D994" s="31"/>
      <c r="E994" s="30"/>
      <c r="F994" s="30"/>
      <c r="G994" s="30"/>
      <c r="H994" s="30"/>
      <c r="I994" s="30"/>
    </row>
    <row r="995" spans="1:9" ht="18.75">
      <c r="A995" s="29"/>
      <c r="B995" s="30"/>
      <c r="C995" s="30"/>
      <c r="D995" s="31"/>
      <c r="E995" s="30"/>
      <c r="F995" s="30"/>
      <c r="G995" s="30"/>
      <c r="H995" s="30"/>
      <c r="I995" s="30"/>
    </row>
    <row r="996" spans="1:9" ht="18.75">
      <c r="A996" s="29"/>
      <c r="B996" s="30"/>
      <c r="C996" s="30"/>
      <c r="D996" s="31"/>
      <c r="E996" s="30"/>
      <c r="F996" s="30"/>
      <c r="G996" s="30"/>
      <c r="H996" s="30"/>
      <c r="I996" s="30"/>
    </row>
    <row r="997" spans="1:9" ht="18.75">
      <c r="A997" s="29"/>
      <c r="B997" s="30"/>
      <c r="C997" s="30"/>
      <c r="D997" s="31"/>
      <c r="E997" s="30"/>
      <c r="F997" s="30"/>
      <c r="G997" s="30"/>
      <c r="H997" s="30"/>
      <c r="I997" s="30"/>
    </row>
    <row r="998" spans="1:9" ht="18.75">
      <c r="A998" s="29"/>
      <c r="B998" s="30"/>
      <c r="C998" s="30"/>
      <c r="D998" s="31"/>
      <c r="E998" s="30"/>
      <c r="F998" s="30"/>
      <c r="G998" s="30"/>
      <c r="H998" s="30"/>
      <c r="I998" s="30"/>
    </row>
    <row r="999" spans="1:9" ht="18.75">
      <c r="A999" s="29"/>
      <c r="B999" s="30"/>
      <c r="C999" s="30"/>
      <c r="D999" s="31"/>
      <c r="E999" s="30"/>
      <c r="F999" s="30"/>
      <c r="G999" s="30"/>
      <c r="H999" s="30"/>
      <c r="I999" s="30"/>
    </row>
    <row r="1000" spans="1:9" ht="18.75">
      <c r="A1000" s="29"/>
      <c r="B1000" s="30"/>
      <c r="C1000" s="30"/>
      <c r="D1000" s="31"/>
      <c r="E1000" s="30"/>
      <c r="F1000" s="30"/>
      <c r="G1000" s="30"/>
      <c r="H1000" s="30"/>
      <c r="I1000" s="30"/>
    </row>
    <row r="1001" spans="1:9" ht="18.75">
      <c r="A1001" s="29"/>
      <c r="B1001" s="30"/>
      <c r="C1001" s="30"/>
      <c r="D1001" s="31"/>
      <c r="E1001" s="30"/>
      <c r="F1001" s="30"/>
      <c r="G1001" s="30"/>
      <c r="H1001" s="30"/>
      <c r="I1001" s="30"/>
    </row>
    <row r="1002" spans="1:9" ht="18.75">
      <c r="A1002" s="29"/>
      <c r="B1002" s="30"/>
      <c r="C1002" s="30"/>
      <c r="D1002" s="31"/>
      <c r="E1002" s="30"/>
      <c r="F1002" s="30"/>
      <c r="G1002" s="30"/>
      <c r="H1002" s="30"/>
      <c r="I1002" s="30"/>
    </row>
    <row r="1003" spans="1:9" ht="18.75">
      <c r="A1003" s="29"/>
      <c r="B1003" s="30"/>
      <c r="C1003" s="30"/>
      <c r="D1003" s="31"/>
      <c r="E1003" s="30"/>
      <c r="F1003" s="30"/>
      <c r="G1003" s="30"/>
      <c r="H1003" s="30"/>
      <c r="I1003" s="30"/>
    </row>
    <row r="1004" spans="1:9" ht="18.75">
      <c r="A1004" s="29"/>
      <c r="B1004" s="30"/>
      <c r="C1004" s="30"/>
      <c r="D1004" s="31"/>
      <c r="E1004" s="30"/>
      <c r="F1004" s="30"/>
      <c r="G1004" s="30"/>
      <c r="H1004" s="30"/>
      <c r="I1004" s="30"/>
    </row>
    <row r="1005" spans="1:9" ht="18.75">
      <c r="A1005" s="29"/>
      <c r="B1005" s="30"/>
      <c r="C1005" s="30"/>
      <c r="D1005" s="31"/>
      <c r="E1005" s="30"/>
      <c r="F1005" s="30"/>
      <c r="G1005" s="30"/>
      <c r="H1005" s="30"/>
      <c r="I1005" s="30"/>
    </row>
    <row r="1006" spans="1:9" ht="18.75">
      <c r="A1006" s="29"/>
      <c r="B1006" s="30"/>
      <c r="C1006" s="30"/>
      <c r="D1006" s="31"/>
      <c r="E1006" s="30"/>
      <c r="F1006" s="30"/>
      <c r="G1006" s="30"/>
      <c r="H1006" s="30"/>
      <c r="I1006" s="30"/>
    </row>
    <row r="1007" spans="1:9" ht="18.75">
      <c r="A1007" s="29"/>
      <c r="B1007" s="30"/>
      <c r="C1007" s="30"/>
      <c r="D1007" s="31"/>
      <c r="E1007" s="30"/>
      <c r="F1007" s="30"/>
      <c r="G1007" s="30"/>
      <c r="H1007" s="30"/>
      <c r="I1007" s="30"/>
    </row>
    <row r="1008" spans="1:9" ht="18.75">
      <c r="A1008" s="29"/>
      <c r="B1008" s="30"/>
      <c r="C1008" s="30"/>
      <c r="D1008" s="31"/>
      <c r="E1008" s="30"/>
      <c r="F1008" s="30"/>
      <c r="G1008" s="30"/>
      <c r="H1008" s="30"/>
      <c r="I1008" s="30"/>
    </row>
    <row r="1009" spans="1:9" ht="18.75">
      <c r="A1009" s="29"/>
      <c r="B1009" s="30"/>
      <c r="C1009" s="30"/>
      <c r="D1009" s="31"/>
      <c r="E1009" s="30"/>
      <c r="F1009" s="30"/>
      <c r="G1009" s="30"/>
      <c r="H1009" s="30"/>
      <c r="I1009" s="30"/>
    </row>
    <row r="1010" spans="1:9" ht="18.75">
      <c r="A1010" s="29"/>
      <c r="B1010" s="30"/>
      <c r="C1010" s="30"/>
      <c r="D1010" s="31"/>
      <c r="E1010" s="30"/>
      <c r="F1010" s="30"/>
      <c r="G1010" s="30"/>
      <c r="H1010" s="30"/>
      <c r="I1010" s="30"/>
    </row>
    <row r="1011" spans="1:9" ht="18.75">
      <c r="A1011" s="29"/>
      <c r="B1011" s="30"/>
      <c r="C1011" s="30"/>
      <c r="D1011" s="31"/>
      <c r="E1011" s="30"/>
      <c r="F1011" s="30"/>
      <c r="G1011" s="30"/>
      <c r="H1011" s="30"/>
      <c r="I1011" s="30"/>
    </row>
    <row r="1012" spans="1:9" ht="18.75">
      <c r="A1012" s="29"/>
      <c r="B1012" s="30"/>
      <c r="C1012" s="30"/>
      <c r="D1012" s="31"/>
      <c r="E1012" s="30"/>
      <c r="F1012" s="30"/>
      <c r="G1012" s="30"/>
      <c r="H1012" s="30"/>
      <c r="I1012" s="30"/>
    </row>
    <row r="1013" spans="1:9" ht="18.75">
      <c r="A1013" s="29"/>
      <c r="B1013" s="30"/>
      <c r="C1013" s="30"/>
      <c r="D1013" s="31"/>
      <c r="E1013" s="30"/>
      <c r="F1013" s="30"/>
      <c r="G1013" s="30"/>
      <c r="H1013" s="30"/>
      <c r="I1013" s="30"/>
    </row>
    <row r="1014" spans="1:9" ht="18.75">
      <c r="A1014" s="29"/>
      <c r="B1014" s="30"/>
      <c r="C1014" s="30"/>
      <c r="D1014" s="31"/>
      <c r="E1014" s="30"/>
      <c r="F1014" s="30"/>
      <c r="G1014" s="30"/>
      <c r="H1014" s="30"/>
      <c r="I1014" s="30"/>
    </row>
    <row r="1015" spans="1:9" ht="18.75">
      <c r="A1015" s="29"/>
      <c r="B1015" s="30"/>
      <c r="C1015" s="30"/>
      <c r="D1015" s="31"/>
      <c r="E1015" s="30"/>
      <c r="F1015" s="30"/>
      <c r="G1015" s="30"/>
      <c r="H1015" s="30"/>
      <c r="I1015" s="30"/>
    </row>
    <row r="1016" spans="1:9" ht="18.75">
      <c r="A1016" s="29"/>
      <c r="B1016" s="30"/>
      <c r="C1016" s="30"/>
      <c r="D1016" s="31"/>
      <c r="E1016" s="30"/>
      <c r="F1016" s="30"/>
      <c r="G1016" s="30"/>
      <c r="H1016" s="30"/>
      <c r="I1016" s="30"/>
    </row>
    <row r="1017" spans="1:9" ht="18.75">
      <c r="A1017" s="29"/>
      <c r="B1017" s="30"/>
      <c r="C1017" s="30"/>
      <c r="D1017" s="31"/>
      <c r="H1017" s="23"/>
    </row>
    <row r="1018" spans="1:9" ht="18.75">
      <c r="A1018" s="29"/>
      <c r="B1018" s="30"/>
      <c r="C1018" s="30"/>
      <c r="D1018" s="31"/>
      <c r="H1018" s="23"/>
    </row>
    <row r="1019" spans="1:9" ht="18.75">
      <c r="A1019" s="29"/>
      <c r="B1019" s="30"/>
      <c r="C1019" s="30"/>
      <c r="D1019" s="31"/>
      <c r="H1019" s="23"/>
    </row>
    <row r="1020" spans="1:9" ht="18.75">
      <c r="A1020" s="29"/>
      <c r="B1020" s="30"/>
      <c r="C1020" s="30"/>
      <c r="D1020" s="31"/>
      <c r="H1020" s="23"/>
    </row>
    <row r="1021" spans="1:9" ht="18.75">
      <c r="A1021" s="29"/>
      <c r="B1021" s="30"/>
      <c r="C1021" s="30"/>
      <c r="D1021" s="31"/>
      <c r="H1021" s="23"/>
    </row>
    <row r="1022" spans="1:9" ht="18.75">
      <c r="A1022" s="29"/>
      <c r="B1022" s="30"/>
      <c r="C1022" s="30"/>
      <c r="D1022" s="31"/>
      <c r="H1022" s="23"/>
    </row>
    <row r="1023" spans="1:9" ht="18.75">
      <c r="A1023" s="29"/>
      <c r="B1023" s="30"/>
      <c r="C1023" s="30"/>
      <c r="D1023" s="31"/>
      <c r="H1023" s="23"/>
    </row>
    <row r="1024" spans="1:9" ht="18.75">
      <c r="A1024" s="29"/>
      <c r="B1024" s="30"/>
      <c r="C1024" s="30"/>
      <c r="D1024" s="31"/>
      <c r="H1024" s="23"/>
    </row>
    <row r="1025" spans="1:8" ht="18.75">
      <c r="A1025" s="29"/>
      <c r="B1025" s="30"/>
      <c r="C1025" s="30"/>
      <c r="D1025" s="31"/>
      <c r="H1025" s="23"/>
    </row>
    <row r="1026" spans="1:8">
      <c r="H1026" s="23"/>
    </row>
    <row r="1027" spans="1:8">
      <c r="H1027" s="23"/>
    </row>
    <row r="1028" spans="1:8">
      <c r="H1028" s="23"/>
    </row>
    <row r="1029" spans="1:8">
      <c r="H1029" s="23"/>
    </row>
    <row r="1030" spans="1:8">
      <c r="H1030" s="23"/>
    </row>
    <row r="1031" spans="1:8">
      <c r="H1031" s="23"/>
    </row>
    <row r="1032" spans="1:8">
      <c r="H1032" s="23"/>
    </row>
    <row r="1033" spans="1:8">
      <c r="H1033" s="23"/>
    </row>
    <row r="1034" spans="1:8">
      <c r="H1034" s="23"/>
    </row>
    <row r="1035" spans="1:8">
      <c r="H1035" s="23"/>
    </row>
    <row r="1036" spans="1:8">
      <c r="H1036" s="23"/>
    </row>
    <row r="1037" spans="1:8">
      <c r="H1037" s="23"/>
    </row>
    <row r="1038" spans="1:8">
      <c r="H1038" s="23"/>
    </row>
    <row r="1039" spans="1:8">
      <c r="H1039" s="23"/>
    </row>
    <row r="1040" spans="1:8">
      <c r="H1040" s="23"/>
    </row>
    <row r="1041" spans="8:8">
      <c r="H1041" s="23"/>
    </row>
    <row r="1042" spans="8:8">
      <c r="H1042" s="23"/>
    </row>
    <row r="1043" spans="8:8">
      <c r="H1043" s="23"/>
    </row>
    <row r="1044" spans="8:8">
      <c r="H1044" s="23"/>
    </row>
    <row r="1045" spans="8:8">
      <c r="H1045" s="23"/>
    </row>
    <row r="1046" spans="8:8">
      <c r="H1046" s="23"/>
    </row>
    <row r="1047" spans="8:8">
      <c r="H1047" s="23"/>
    </row>
    <row r="1048" spans="8:8">
      <c r="H1048" s="23"/>
    </row>
    <row r="1049" spans="8:8">
      <c r="H1049" s="23"/>
    </row>
    <row r="1050" spans="8:8">
      <c r="H1050" s="23"/>
    </row>
    <row r="1051" spans="8:8">
      <c r="H1051" s="23"/>
    </row>
    <row r="1052" spans="8:8">
      <c r="H1052" s="23"/>
    </row>
    <row r="1053" spans="8:8">
      <c r="H1053" s="23"/>
    </row>
    <row r="1054" spans="8:8">
      <c r="H1054" s="23"/>
    </row>
    <row r="1055" spans="8:8">
      <c r="H1055" s="23"/>
    </row>
    <row r="1056" spans="8:8">
      <c r="H1056" s="23"/>
    </row>
    <row r="1057" spans="8:8">
      <c r="H1057" s="23"/>
    </row>
    <row r="1058" spans="8:8">
      <c r="H1058" s="23"/>
    </row>
    <row r="1059" spans="8:8">
      <c r="H1059" s="23"/>
    </row>
    <row r="1060" spans="8:8">
      <c r="H1060" s="23"/>
    </row>
    <row r="1061" spans="8:8">
      <c r="H1061" s="23"/>
    </row>
    <row r="1062" spans="8:8">
      <c r="H1062" s="23"/>
    </row>
    <row r="1063" spans="8:8">
      <c r="H1063" s="23"/>
    </row>
    <row r="1064" spans="8:8">
      <c r="H1064" s="23"/>
    </row>
    <row r="1065" spans="8:8">
      <c r="H1065" s="23"/>
    </row>
    <row r="1066" spans="8:8">
      <c r="H1066" s="23"/>
    </row>
    <row r="1067" spans="8:8">
      <c r="H1067" s="23"/>
    </row>
    <row r="1068" spans="8:8">
      <c r="H1068" s="23"/>
    </row>
    <row r="1069" spans="8:8">
      <c r="H1069" s="23"/>
    </row>
    <row r="1070" spans="8:8">
      <c r="H1070" s="23"/>
    </row>
    <row r="1071" spans="8:8">
      <c r="H1071" s="23"/>
    </row>
    <row r="1072" spans="8:8">
      <c r="H1072" s="23"/>
    </row>
    <row r="1073" spans="8:8">
      <c r="H1073" s="23"/>
    </row>
    <row r="1074" spans="8:8">
      <c r="H1074" s="23"/>
    </row>
    <row r="1075" spans="8:8">
      <c r="H1075" s="23"/>
    </row>
    <row r="1076" spans="8:8">
      <c r="H1076" s="23"/>
    </row>
    <row r="1077" spans="8:8">
      <c r="H1077" s="23"/>
    </row>
    <row r="1078" spans="8:8">
      <c r="H1078" s="23"/>
    </row>
    <row r="1079" spans="8:8">
      <c r="H1079" s="23"/>
    </row>
    <row r="1080" spans="8:8">
      <c r="H1080" s="23"/>
    </row>
    <row r="1081" spans="8:8">
      <c r="H1081" s="23"/>
    </row>
    <row r="1082" spans="8:8">
      <c r="H1082" s="23"/>
    </row>
    <row r="1083" spans="8:8">
      <c r="H1083" s="23"/>
    </row>
    <row r="1084" spans="8:8">
      <c r="H1084" s="23"/>
    </row>
    <row r="1085" spans="8:8">
      <c r="H1085" s="23"/>
    </row>
    <row r="1086" spans="8:8">
      <c r="H1086" s="23"/>
    </row>
    <row r="1087" spans="8:8">
      <c r="H1087" s="23"/>
    </row>
    <row r="1088" spans="8:8">
      <c r="H1088" s="23"/>
    </row>
    <row r="1089" spans="8:8">
      <c r="H1089" s="23"/>
    </row>
    <row r="1090" spans="8:8">
      <c r="H1090" s="23"/>
    </row>
    <row r="1091" spans="8:8">
      <c r="H1091" s="23"/>
    </row>
    <row r="1092" spans="8:8">
      <c r="H1092" s="23"/>
    </row>
    <row r="1093" spans="8:8">
      <c r="H1093" s="23"/>
    </row>
    <row r="1094" spans="8:8">
      <c r="H1094" s="23"/>
    </row>
    <row r="1095" spans="8:8">
      <c r="H1095" s="23"/>
    </row>
    <row r="1096" spans="8:8">
      <c r="H1096" s="23"/>
    </row>
    <row r="1097" spans="8:8">
      <c r="H1097" s="23"/>
    </row>
    <row r="1098" spans="8:8">
      <c r="H1098" s="23"/>
    </row>
    <row r="1099" spans="8:8">
      <c r="H1099" s="23"/>
    </row>
    <row r="1100" spans="8:8">
      <c r="H1100" s="23"/>
    </row>
    <row r="1101" spans="8:8">
      <c r="H1101" s="23"/>
    </row>
    <row r="1102" spans="8:8">
      <c r="H1102" s="23"/>
    </row>
    <row r="1103" spans="8:8">
      <c r="H1103" s="23"/>
    </row>
    <row r="1104" spans="8:8">
      <c r="H1104" s="23"/>
    </row>
    <row r="1105" spans="8:8">
      <c r="H1105" s="23"/>
    </row>
    <row r="1106" spans="8:8">
      <c r="H1106" s="23"/>
    </row>
    <row r="1107" spans="8:8">
      <c r="H1107" s="23"/>
    </row>
    <row r="1108" spans="8:8">
      <c r="H1108" s="23"/>
    </row>
    <row r="1109" spans="8:8">
      <c r="H1109" s="23"/>
    </row>
    <row r="1110" spans="8:8">
      <c r="H1110" s="23"/>
    </row>
    <row r="1111" spans="8:8">
      <c r="H1111" s="23"/>
    </row>
    <row r="1112" spans="8:8">
      <c r="H1112" s="23"/>
    </row>
    <row r="1113" spans="8:8">
      <c r="H1113" s="23"/>
    </row>
    <row r="1114" spans="8:8">
      <c r="H1114" s="23"/>
    </row>
    <row r="1115" spans="8:8">
      <c r="H1115" s="23"/>
    </row>
    <row r="1116" spans="8:8">
      <c r="H1116" s="23"/>
    </row>
    <row r="1117" spans="8:8">
      <c r="H1117" s="23"/>
    </row>
    <row r="1118" spans="8:8">
      <c r="H1118" s="23"/>
    </row>
    <row r="1119" spans="8:8">
      <c r="H1119" s="23"/>
    </row>
    <row r="1120" spans="8:8">
      <c r="H1120" s="23"/>
    </row>
    <row r="1121" spans="8:8">
      <c r="H1121" s="23"/>
    </row>
    <row r="1122" spans="8:8">
      <c r="H1122" s="23"/>
    </row>
    <row r="1123" spans="8:8">
      <c r="H1123" s="23"/>
    </row>
    <row r="1124" spans="8:8">
      <c r="H1124" s="23"/>
    </row>
    <row r="1125" spans="8:8">
      <c r="H1125" s="23"/>
    </row>
    <row r="1126" spans="8:8">
      <c r="H1126" s="23"/>
    </row>
    <row r="1127" spans="8:8">
      <c r="H1127" s="23"/>
    </row>
    <row r="1128" spans="8:8">
      <c r="H1128" s="23"/>
    </row>
    <row r="1129" spans="8:8">
      <c r="H1129" s="23"/>
    </row>
    <row r="1130" spans="8:8">
      <c r="H1130" s="23"/>
    </row>
    <row r="1131" spans="8:8">
      <c r="H1131" s="23"/>
    </row>
    <row r="1132" spans="8:8">
      <c r="H1132" s="23"/>
    </row>
    <row r="1133" spans="8:8">
      <c r="H1133" s="23"/>
    </row>
    <row r="1134" spans="8:8">
      <c r="H1134" s="23"/>
    </row>
    <row r="1135" spans="8:8">
      <c r="H1135" s="23"/>
    </row>
    <row r="1136" spans="8:8">
      <c r="H1136" s="23"/>
    </row>
    <row r="1137" spans="8:8">
      <c r="H1137" s="23"/>
    </row>
    <row r="1138" spans="8:8">
      <c r="H1138" s="23"/>
    </row>
    <row r="1139" spans="8:8">
      <c r="H1139" s="23"/>
    </row>
    <row r="1140" spans="8:8">
      <c r="H1140" s="23"/>
    </row>
    <row r="1141" spans="8:8">
      <c r="H1141" s="23"/>
    </row>
    <row r="1142" spans="8:8">
      <c r="H1142" s="23"/>
    </row>
    <row r="1143" spans="8:8">
      <c r="H1143" s="23"/>
    </row>
    <row r="1144" spans="8:8">
      <c r="H1144" s="23"/>
    </row>
    <row r="1145" spans="8:8">
      <c r="H1145" s="23"/>
    </row>
    <row r="1146" spans="8:8">
      <c r="H1146" s="23"/>
    </row>
    <row r="1147" spans="8:8">
      <c r="H1147" s="23"/>
    </row>
    <row r="1148" spans="8:8">
      <c r="H1148" s="23"/>
    </row>
    <row r="1149" spans="8:8">
      <c r="H1149" s="23"/>
    </row>
    <row r="1150" spans="8:8">
      <c r="H1150" s="23"/>
    </row>
    <row r="1151" spans="8:8">
      <c r="H1151" s="23"/>
    </row>
    <row r="1152" spans="8:8">
      <c r="H1152" s="23"/>
    </row>
    <row r="1153" spans="8:8">
      <c r="H1153" s="23"/>
    </row>
    <row r="1154" spans="8:8">
      <c r="H1154" s="23"/>
    </row>
    <row r="1155" spans="8:8">
      <c r="H1155" s="23"/>
    </row>
    <row r="1156" spans="8:8">
      <c r="H1156" s="23"/>
    </row>
    <row r="1157" spans="8:8">
      <c r="H1157" s="23"/>
    </row>
    <row r="1158" spans="8:8">
      <c r="H1158" s="23"/>
    </row>
    <row r="1159" spans="8:8">
      <c r="H1159" s="23"/>
    </row>
    <row r="1160" spans="8:8">
      <c r="H1160" s="23"/>
    </row>
    <row r="1161" spans="8:8">
      <c r="H1161" s="23"/>
    </row>
    <row r="1162" spans="8:8">
      <c r="H1162" s="23"/>
    </row>
    <row r="1163" spans="8:8">
      <c r="H1163" s="23"/>
    </row>
    <row r="1164" spans="8:8">
      <c r="H1164" s="23"/>
    </row>
    <row r="1165" spans="8:8">
      <c r="H1165" s="23"/>
    </row>
    <row r="1166" spans="8:8">
      <c r="H1166" s="23"/>
    </row>
    <row r="1167" spans="8:8">
      <c r="H1167" s="23"/>
    </row>
    <row r="1168" spans="8:8">
      <c r="H1168" s="23"/>
    </row>
    <row r="1169" spans="8:8">
      <c r="H1169" s="23"/>
    </row>
    <row r="1170" spans="8:8">
      <c r="H1170" s="23"/>
    </row>
    <row r="1171" spans="8:8">
      <c r="H1171" s="23"/>
    </row>
    <row r="1172" spans="8:8">
      <c r="H1172" s="23"/>
    </row>
    <row r="1173" spans="8:8">
      <c r="H1173" s="23"/>
    </row>
    <row r="1174" spans="8:8">
      <c r="H1174" s="23"/>
    </row>
    <row r="1175" spans="8:8">
      <c r="H1175" s="23"/>
    </row>
    <row r="1176" spans="8:8">
      <c r="H1176" s="23"/>
    </row>
    <row r="1177" spans="8:8">
      <c r="H1177" s="23"/>
    </row>
    <row r="1178" spans="8:8">
      <c r="H1178" s="23"/>
    </row>
    <row r="1179" spans="8:8">
      <c r="H1179" s="23"/>
    </row>
    <row r="1180" spans="8:8">
      <c r="H1180" s="23"/>
    </row>
    <row r="1181" spans="8:8">
      <c r="H1181" s="23"/>
    </row>
    <row r="1182" spans="8:8">
      <c r="H1182" s="23"/>
    </row>
    <row r="1183" spans="8:8">
      <c r="H1183" s="23"/>
    </row>
    <row r="1184" spans="8:8">
      <c r="H1184" s="23"/>
    </row>
    <row r="1185" spans="8:8">
      <c r="H1185" s="23"/>
    </row>
    <row r="1186" spans="8:8">
      <c r="H1186" s="23"/>
    </row>
    <row r="1187" spans="8:8">
      <c r="H1187" s="23"/>
    </row>
    <row r="1188" spans="8:8">
      <c r="H1188" s="23"/>
    </row>
    <row r="1189" spans="8:8">
      <c r="H1189" s="23"/>
    </row>
    <row r="1190" spans="8:8">
      <c r="H1190" s="23"/>
    </row>
    <row r="1191" spans="8:8">
      <c r="H1191" s="23"/>
    </row>
    <row r="1192" spans="8:8">
      <c r="H1192" s="23"/>
    </row>
    <row r="1193" spans="8:8">
      <c r="H1193" s="23"/>
    </row>
    <row r="1194" spans="8:8">
      <c r="H1194" s="23"/>
    </row>
    <row r="1195" spans="8:8">
      <c r="H1195" s="23"/>
    </row>
    <row r="1196" spans="8:8">
      <c r="H1196" s="23"/>
    </row>
    <row r="1197" spans="8:8">
      <c r="H1197" s="23"/>
    </row>
    <row r="1198" spans="8:8">
      <c r="H1198" s="23"/>
    </row>
    <row r="1199" spans="8:8">
      <c r="H1199" s="23"/>
    </row>
    <row r="1200" spans="8:8">
      <c r="H1200" s="23"/>
    </row>
    <row r="1201" spans="8:8">
      <c r="H1201" s="23"/>
    </row>
    <row r="1202" spans="8:8">
      <c r="H1202" s="23"/>
    </row>
    <row r="1203" spans="8:8">
      <c r="H1203" s="23"/>
    </row>
    <row r="1204" spans="8:8">
      <c r="H1204" s="23"/>
    </row>
    <row r="1205" spans="8:8">
      <c r="H1205" s="23"/>
    </row>
    <row r="1206" spans="8:8">
      <c r="H1206" s="23"/>
    </row>
    <row r="1207" spans="8:8">
      <c r="H1207" s="23"/>
    </row>
    <row r="1208" spans="8:8">
      <c r="H1208" s="23"/>
    </row>
    <row r="1209" spans="8:8">
      <c r="H1209" s="23"/>
    </row>
    <row r="1210" spans="8:8">
      <c r="H1210" s="23"/>
    </row>
    <row r="1211" spans="8:8">
      <c r="H1211" s="23"/>
    </row>
    <row r="1212" spans="8:8">
      <c r="H1212" s="23"/>
    </row>
    <row r="1213" spans="8:8">
      <c r="H1213" s="23"/>
    </row>
    <row r="1214" spans="8:8">
      <c r="H1214" s="23"/>
    </row>
    <row r="1215" spans="8:8">
      <c r="H1215" s="23"/>
    </row>
    <row r="1216" spans="8:8">
      <c r="H1216" s="23"/>
    </row>
    <row r="1217" spans="8:8">
      <c r="H1217" s="23"/>
    </row>
    <row r="1218" spans="8:8">
      <c r="H1218" s="23"/>
    </row>
    <row r="1219" spans="8:8">
      <c r="H1219" s="23"/>
    </row>
    <row r="1220" spans="8:8">
      <c r="H1220" s="23"/>
    </row>
    <row r="1221" spans="8:8">
      <c r="H1221" s="23"/>
    </row>
    <row r="1222" spans="8:8">
      <c r="H1222" s="23"/>
    </row>
    <row r="1223" spans="8:8">
      <c r="H1223" s="23"/>
    </row>
    <row r="1224" spans="8:8">
      <c r="H1224" s="23"/>
    </row>
    <row r="1225" spans="8:8">
      <c r="H1225" s="23"/>
    </row>
    <row r="1226" spans="8:8">
      <c r="H1226" s="23"/>
    </row>
    <row r="1227" spans="8:8">
      <c r="H1227" s="23"/>
    </row>
    <row r="1228" spans="8:8">
      <c r="H1228" s="23"/>
    </row>
    <row r="1229" spans="8:8">
      <c r="H1229" s="23"/>
    </row>
    <row r="1230" spans="8:8">
      <c r="H1230" s="23"/>
    </row>
    <row r="1231" spans="8:8">
      <c r="H1231" s="23"/>
    </row>
    <row r="1232" spans="8:8">
      <c r="H1232" s="23"/>
    </row>
    <row r="1233" spans="8:8">
      <c r="H1233" s="23"/>
    </row>
    <row r="1234" spans="8:8">
      <c r="H1234" s="23"/>
    </row>
    <row r="1235" spans="8:8">
      <c r="H1235" s="23"/>
    </row>
    <row r="1236" spans="8:8">
      <c r="H1236" s="23"/>
    </row>
    <row r="1237" spans="8:8">
      <c r="H1237" s="23"/>
    </row>
    <row r="1238" spans="8:8">
      <c r="H1238" s="23"/>
    </row>
    <row r="1239" spans="8:8">
      <c r="H1239" s="23"/>
    </row>
    <row r="1240" spans="8:8">
      <c r="H1240" s="23"/>
    </row>
    <row r="1241" spans="8:8">
      <c r="H1241" s="23"/>
    </row>
    <row r="1242" spans="8:8">
      <c r="H1242" s="23"/>
    </row>
    <row r="1243" spans="8:8">
      <c r="H1243" s="23"/>
    </row>
    <row r="1244" spans="8:8">
      <c r="H1244" s="23"/>
    </row>
    <row r="1245" spans="8:8">
      <c r="H1245" s="23"/>
    </row>
    <row r="1246" spans="8:8">
      <c r="H1246" s="23"/>
    </row>
    <row r="1247" spans="8:8">
      <c r="H1247" s="23"/>
    </row>
    <row r="1248" spans="8:8">
      <c r="H1248" s="23"/>
    </row>
    <row r="1249" spans="8:8">
      <c r="H1249" s="23"/>
    </row>
    <row r="1250" spans="8:8">
      <c r="H1250" s="23"/>
    </row>
    <row r="1251" spans="8:8">
      <c r="H1251" s="23"/>
    </row>
    <row r="1252" spans="8:8">
      <c r="H1252" s="23"/>
    </row>
    <row r="1253" spans="8:8">
      <c r="H1253" s="23"/>
    </row>
    <row r="1254" spans="8:8">
      <c r="H1254" s="23"/>
    </row>
    <row r="1255" spans="8:8">
      <c r="H1255" s="23"/>
    </row>
    <row r="1256" spans="8:8">
      <c r="H1256" s="23"/>
    </row>
    <row r="1257" spans="8:8">
      <c r="H1257" s="23"/>
    </row>
    <row r="1258" spans="8:8">
      <c r="H1258" s="23"/>
    </row>
    <row r="1259" spans="8:8">
      <c r="H1259" s="23"/>
    </row>
    <row r="1260" spans="8:8">
      <c r="H1260" s="23"/>
    </row>
    <row r="1261" spans="8:8">
      <c r="H1261" s="23"/>
    </row>
    <row r="1262" spans="8:8">
      <c r="H1262" s="23"/>
    </row>
    <row r="1263" spans="8:8">
      <c r="H1263" s="23"/>
    </row>
    <row r="1264" spans="8:8">
      <c r="H1264" s="23"/>
    </row>
    <row r="1265" spans="8:8">
      <c r="H1265" s="23"/>
    </row>
    <row r="1266" spans="8:8">
      <c r="H1266" s="23"/>
    </row>
    <row r="1267" spans="8:8">
      <c r="H1267" s="23"/>
    </row>
    <row r="1268" spans="8:8">
      <c r="H1268" s="23"/>
    </row>
    <row r="1269" spans="8:8">
      <c r="H1269" s="23"/>
    </row>
    <row r="1270" spans="8:8">
      <c r="H1270" s="23"/>
    </row>
    <row r="1271" spans="8:8">
      <c r="H1271" s="23"/>
    </row>
    <row r="1272" spans="8:8">
      <c r="H1272" s="23"/>
    </row>
    <row r="1273" spans="8:8">
      <c r="H1273" s="23"/>
    </row>
    <row r="1274" spans="8:8">
      <c r="H1274" s="23"/>
    </row>
    <row r="1275" spans="8:8">
      <c r="H1275" s="23"/>
    </row>
    <row r="1276" spans="8:8">
      <c r="H1276" s="23"/>
    </row>
    <row r="1277" spans="8:8">
      <c r="H1277" s="23"/>
    </row>
    <row r="1278" spans="8:8">
      <c r="H1278" s="23"/>
    </row>
    <row r="1279" spans="8:8">
      <c r="H1279" s="23"/>
    </row>
    <row r="1280" spans="8:8">
      <c r="H1280" s="23"/>
    </row>
    <row r="1281" spans="8:8">
      <c r="H1281" s="23"/>
    </row>
    <row r="1282" spans="8:8">
      <c r="H1282" s="23"/>
    </row>
    <row r="1283" spans="8:8">
      <c r="H1283" s="23"/>
    </row>
    <row r="1284" spans="8:8">
      <c r="H1284" s="23"/>
    </row>
    <row r="1285" spans="8:8">
      <c r="H1285" s="23"/>
    </row>
    <row r="1286" spans="8:8">
      <c r="H1286" s="23"/>
    </row>
    <row r="1287" spans="8:8">
      <c r="H1287" s="23"/>
    </row>
    <row r="1288" spans="8:8">
      <c r="H1288" s="23"/>
    </row>
    <row r="1289" spans="8:8">
      <c r="H1289" s="23"/>
    </row>
    <row r="1290" spans="8:8">
      <c r="H1290" s="23"/>
    </row>
    <row r="1291" spans="8:8">
      <c r="H1291" s="23"/>
    </row>
    <row r="1292" spans="8:8">
      <c r="H1292" s="23"/>
    </row>
    <row r="1293" spans="8:8">
      <c r="H1293" s="23"/>
    </row>
    <row r="1294" spans="8:8">
      <c r="H1294" s="23"/>
    </row>
    <row r="1295" spans="8:8">
      <c r="H1295" s="23"/>
    </row>
    <row r="1296" spans="8:8">
      <c r="H1296" s="23"/>
    </row>
    <row r="1297" spans="8:8">
      <c r="H1297" s="23"/>
    </row>
    <row r="1298" spans="8:8">
      <c r="H1298" s="23"/>
    </row>
    <row r="1299" spans="8:8">
      <c r="H1299" s="23"/>
    </row>
    <row r="1300" spans="8:8">
      <c r="H1300" s="23"/>
    </row>
    <row r="1301" spans="8:8">
      <c r="H1301" s="23"/>
    </row>
    <row r="1302" spans="8:8">
      <c r="H1302" s="23"/>
    </row>
    <row r="1303" spans="8:8">
      <c r="H1303" s="23"/>
    </row>
    <row r="1304" spans="8:8">
      <c r="H1304" s="23"/>
    </row>
    <row r="1305" spans="8:8">
      <c r="H1305" s="23"/>
    </row>
    <row r="1306" spans="8:8">
      <c r="H1306" s="23"/>
    </row>
    <row r="1307" spans="8:8">
      <c r="H1307" s="23"/>
    </row>
    <row r="1308" spans="8:8">
      <c r="H1308" s="23"/>
    </row>
    <row r="1309" spans="8:8">
      <c r="H1309" s="23"/>
    </row>
    <row r="1310" spans="8:8">
      <c r="H1310" s="23"/>
    </row>
    <row r="1311" spans="8:8">
      <c r="H1311" s="23"/>
    </row>
    <row r="1312" spans="8:8">
      <c r="H1312" s="23"/>
    </row>
    <row r="1313" spans="8:8">
      <c r="H1313" s="23"/>
    </row>
    <row r="1314" spans="8:8">
      <c r="H1314" s="23"/>
    </row>
    <row r="1315" spans="8:8">
      <c r="H1315" s="23"/>
    </row>
    <row r="1316" spans="8:8">
      <c r="H1316" s="23"/>
    </row>
    <row r="1317" spans="8:8">
      <c r="H1317" s="23"/>
    </row>
    <row r="1318" spans="8:8">
      <c r="H1318" s="23"/>
    </row>
    <row r="1319" spans="8:8">
      <c r="H1319" s="23"/>
    </row>
    <row r="1320" spans="8:8">
      <c r="H1320" s="23"/>
    </row>
    <row r="1321" spans="8:8">
      <c r="H1321" s="23"/>
    </row>
    <row r="1322" spans="8:8">
      <c r="H1322" s="23"/>
    </row>
    <row r="1323" spans="8:8">
      <c r="H1323" s="23"/>
    </row>
    <row r="1324" spans="8:8">
      <c r="H1324" s="23"/>
    </row>
    <row r="1325" spans="8:8">
      <c r="H1325" s="23"/>
    </row>
    <row r="1326" spans="8:8">
      <c r="H1326" s="23"/>
    </row>
    <row r="1327" spans="8:8">
      <c r="H1327" s="23"/>
    </row>
    <row r="1328" spans="8:8">
      <c r="H1328" s="23"/>
    </row>
    <row r="1329" spans="8:8">
      <c r="H1329" s="23"/>
    </row>
    <row r="1330" spans="8:8">
      <c r="H1330" s="23"/>
    </row>
    <row r="1331" spans="8:8">
      <c r="H1331" s="23"/>
    </row>
    <row r="1332" spans="8:8">
      <c r="H1332" s="23"/>
    </row>
    <row r="1333" spans="8:8">
      <c r="H1333" s="23"/>
    </row>
  </sheetData>
  <autoFilter ref="A1:BA76" xr:uid="{00000000-0009-0000-0000-000000000000}"/>
  <phoneticPr fontId="4"/>
  <dataValidations count="27">
    <dataValidation allowBlank="1" showInputMessage="1" showErrorMessage="1" sqref="B2" xr:uid="{00000000-0002-0000-0000-000000000000}"/>
    <dataValidation type="list" allowBlank="1" showInputMessage="1" showErrorMessage="1" sqref="J129:J1016" xr:uid="{00000000-0002-0000-0000-000001000000}">
      <formula1>$AP$2:$AP$23</formula1>
    </dataValidation>
    <dataValidation type="list" allowBlank="1" showInputMessage="1" showErrorMessage="1" sqref="J65551:J65629 J983055:J983133 J917519:J917597 J851983:J852061 J786447:J786525 J720911:J720989 J655375:J655453 J589839:J589917 J524303:J524381 J458767:J458845 J393231:J393309 J327695:J327773 J262159:J262237 J196623:J196701 J131087:J131165" xr:uid="{00000000-0002-0000-0000-000002000000}">
      <formula1>$AP$2:$AP$12</formula1>
    </dataValidation>
    <dataValidation type="list" allowBlank="1" showInputMessage="1" showErrorMessage="1" sqref="H129:H1016" xr:uid="{00000000-0002-0000-0000-000003000000}">
      <formula1>$AL$2:$AL$12</formula1>
    </dataValidation>
    <dataValidation type="list" allowBlank="1" showInputMessage="1" showErrorMessage="1" sqref="H1017:H1333 H2:H128" xr:uid="{00000000-0002-0000-0000-000004000000}">
      <formula1>$AL$2:$AL$9</formula1>
    </dataValidation>
    <dataValidation type="list" allowBlank="1" showInputMessage="1" showErrorMessage="1" sqref="I1017:I64258" xr:uid="{00000000-0002-0000-0000-000005000000}">
      <formula1>$AN$2:$AN$6</formula1>
    </dataValidation>
    <dataValidation type="list" allowBlank="1" showInputMessage="1" showErrorMessage="1" sqref="Y508:AA64258" xr:uid="{00000000-0002-0000-0000-000006000000}">
      <formula1>$AV$2:$AV$23</formula1>
    </dataValidation>
    <dataValidation type="list" allowBlank="1" showInputMessage="1" showErrorMessage="1" sqref="H1334:H64258" xr:uid="{00000000-0002-0000-0000-000007000000}">
      <formula1>$AL$2:$AL$10</formula1>
    </dataValidation>
    <dataValidation type="list" allowBlank="1" showInputMessage="1" showErrorMessage="1" sqref="E1017:E64258" xr:uid="{00000000-0002-0000-0000-000008000000}">
      <formula1>$AG$2:$AG$9</formula1>
    </dataValidation>
    <dataValidation type="list" allowBlank="1" showInputMessage="1" showErrorMessage="1" sqref="F1017:F64258" xr:uid="{00000000-0002-0000-0000-000009000000}">
      <formula1>$AH$2:$AH$8</formula1>
    </dataValidation>
    <dataValidation operator="equal" allowBlank="1" showInputMessage="1" showErrorMessage="1" sqref="B138:B1025" xr:uid="{00000000-0002-0000-0000-00000A000000}"/>
    <dataValidation type="list" allowBlank="1" showInputMessage="1" showErrorMessage="1" sqref="AA139:AA507 Z82:Z507 Y97:Y507" xr:uid="{00000000-0002-0000-0000-00000B000000}">
      <formula1>$AV$2:$AV$21</formula1>
    </dataValidation>
    <dataValidation type="list" allowBlank="1" showInputMessage="1" showErrorMessage="1" sqref="K129:K1016" xr:uid="{00000000-0002-0000-0000-00000E000000}">
      <formula1>$AR$2:$AR$20</formula1>
    </dataValidation>
    <dataValidation type="list" allowBlank="1" showInputMessage="1" showErrorMessage="1" sqref="K65551:K65629 K131087:K131165 K196623:K196701 K262159:K262237 K327695:K327773 K393231:K393309 K458767:K458845 K524303:K524381 K589839:K589917 K655375:K655453 K720911:K720989 K786447:K786525 K851983:K852061 K917519:K917597 K983055:K983133" xr:uid="{00000000-0002-0000-0000-00000F000000}">
      <formula1>$AR$2:$AR$25</formula1>
    </dataValidation>
    <dataValidation type="list" allowBlank="1" showInputMessage="1" showErrorMessage="1" sqref="Z2:AA51 Z52:Z81 AA52:AA138 Y2:Y96" xr:uid="{00000000-0002-0000-0000-00000C000000}">
      <formula1>$AV$2:$AV$25</formula1>
    </dataValidation>
    <dataValidation type="list" allowBlank="1" showInputMessage="1" showErrorMessage="1" sqref="J2:J37" xr:uid="{07077F4F-6ABC-486D-ABDF-24695EA5E3F9}">
      <formula1>$AP$2:$AP$50</formula1>
    </dataValidation>
    <dataValidation type="list" allowBlank="1" showInputMessage="1" showErrorMessage="1" sqref="K2:K64" xr:uid="{00000000-0002-0000-0000-000011000000}">
      <formula1>$AR$2:$AR$24</formula1>
    </dataValidation>
    <dataValidation type="list" allowBlank="1" showInputMessage="1" showErrorMessage="1" sqref="J38:J64" xr:uid="{00000000-0002-0000-0000-000012000000}">
      <formula1>$AP$2:$AP$36</formula1>
    </dataValidation>
    <dataValidation type="list" allowBlank="1" showInputMessage="1" showErrorMessage="1" sqref="K65:K128" xr:uid="{00000000-0002-0000-0000-00000D000000}">
      <formula1>$AR$2:$AR$23</formula1>
    </dataValidation>
    <dataValidation type="list" allowBlank="1" showInputMessage="1" showErrorMessage="1" sqref="J65:J128" xr:uid="{00000000-0002-0000-0000-000010000000}">
      <formula1>$AP$2:$AP$27</formula1>
    </dataValidation>
    <dataValidation type="list" allowBlank="1" showInputMessage="1" showErrorMessage="1" sqref="A2:A1025" xr:uid="{00000000-0002-0000-0000-000013000000}">
      <formula1>$AE$2:$AE$19</formula1>
    </dataValidation>
    <dataValidation type="list" allowBlank="1" showInputMessage="1" showErrorMessage="1" sqref="G2:G1016" xr:uid="{00000000-0002-0000-0000-000014000000}">
      <formula1>$AJ$2:$AJ$4</formula1>
    </dataValidation>
    <dataValidation type="list" allowBlank="1" showInputMessage="1" showErrorMessage="1" sqref="X2:X507" xr:uid="{00000000-0002-0000-0000-000015000000}">
      <formula1>$AT$2:$AT$3</formula1>
    </dataValidation>
    <dataValidation type="list" allowBlank="1" showInputMessage="1" showErrorMessage="1" sqref="I2:I1016" xr:uid="{00000000-0002-0000-0000-000016000000}">
      <formula1>$AN$5:$AN$6</formula1>
    </dataValidation>
    <dataValidation type="decimal" allowBlank="1" showInputMessage="1" showErrorMessage="1" error="硬度を正しく入力して下さい。" sqref="O2:P507" xr:uid="{00000000-0002-0000-0000-000017000000}">
      <formula1>0</formula1>
      <formula2>7</formula2>
    </dataValidation>
    <dataValidation type="list" allowBlank="1" showInputMessage="1" showErrorMessage="1" sqref="E2:E1016" xr:uid="{00000000-0002-0000-0000-000018000000}">
      <formula1>$AG$2:$AG$10</formula1>
    </dataValidation>
    <dataValidation type="list" allowBlank="1" showInputMessage="1" showErrorMessage="1" sqref="F2:F1016" xr:uid="{00000000-0002-0000-0000-000019000000}">
      <formula1>$AH$2:$AH$10</formula1>
    </dataValidation>
  </dataValidations>
  <pageMargins left="0.7" right="0.7" top="0.75" bottom="0.75" header="0.3" footer="0.3"/>
  <pageSetup paperSize="8" scale="77" orientation="landscape" r:id="rId1"/>
  <headerFooter alignWithMargins="0"/>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9AA3-C5FD-4F2E-819A-71911D12FC9B}">
  <dimension ref="A1:BA263"/>
  <sheetViews>
    <sheetView zoomScale="85" zoomScaleNormal="85" workbookViewId="0">
      <pane ySplit="1" topLeftCell="A2" activePane="bottomLeft" state="frozen"/>
      <selection activeCell="H14" sqref="H14"/>
      <selection pane="bottomLeft" activeCell="A2" sqref="A2"/>
    </sheetView>
  </sheetViews>
  <sheetFormatPr defaultColWidth="9" defaultRowHeight="13.5"/>
  <cols>
    <col min="1" max="1" width="8.5" style="10" bestFit="1" customWidth="1"/>
    <col min="2" max="2" width="7" style="10" bestFit="1" customWidth="1"/>
    <col min="3" max="3" width="8.375" style="10" bestFit="1" customWidth="1"/>
    <col min="4" max="4" width="10.25" style="10" bestFit="1" customWidth="1"/>
    <col min="5" max="6" width="10.625" style="10" customWidth="1"/>
    <col min="7" max="16" width="8.875" style="10" customWidth="1"/>
    <col min="17" max="17" width="8.875" style="24" customWidth="1"/>
    <col min="18" max="19" width="8.875" style="10" customWidth="1"/>
    <col min="20" max="20" width="8.875" style="24" customWidth="1"/>
    <col min="21" max="21" width="8.875" style="10" customWidth="1"/>
    <col min="22" max="22" width="8.875" style="24" customWidth="1"/>
    <col min="23" max="23" width="8.875" style="10" customWidth="1"/>
    <col min="24" max="24" width="12.25" style="10" bestFit="1" customWidth="1"/>
    <col min="25" max="26" width="11" style="10" bestFit="1" customWidth="1"/>
    <col min="27" max="27" width="13.625" style="10" bestFit="1" customWidth="1"/>
    <col min="28" max="28" width="10.75" style="10" bestFit="1" customWidth="1"/>
    <col min="29" max="32" width="9" style="10"/>
    <col min="33" max="33" width="15.125" style="10" bestFit="1" customWidth="1"/>
    <col min="34" max="34" width="19.625" style="10" bestFit="1" customWidth="1"/>
    <col min="35" max="16384" width="9" style="10"/>
  </cols>
  <sheetData>
    <row r="1" spans="1:53" ht="45">
      <c r="A1" s="1" t="s">
        <v>0</v>
      </c>
      <c r="B1" s="2" t="s">
        <v>1</v>
      </c>
      <c r="C1" s="2" t="s">
        <v>2</v>
      </c>
      <c r="D1" s="3" t="s">
        <v>3</v>
      </c>
      <c r="E1" s="4" t="s">
        <v>241</v>
      </c>
      <c r="F1" s="4" t="s">
        <v>5</v>
      </c>
      <c r="G1" s="4" t="s">
        <v>242</v>
      </c>
      <c r="H1" s="4" t="s">
        <v>7</v>
      </c>
      <c r="I1" s="4" t="s">
        <v>8</v>
      </c>
      <c r="J1" s="4" t="s">
        <v>9</v>
      </c>
      <c r="K1" s="4" t="s">
        <v>10</v>
      </c>
      <c r="L1" s="3" t="s">
        <v>11</v>
      </c>
      <c r="M1" s="3" t="s">
        <v>12</v>
      </c>
      <c r="N1" s="3" t="s">
        <v>13</v>
      </c>
      <c r="O1" s="3" t="s">
        <v>243</v>
      </c>
      <c r="P1" s="3" t="s">
        <v>15</v>
      </c>
      <c r="Q1" s="5" t="s">
        <v>16</v>
      </c>
      <c r="R1" s="3" t="s">
        <v>17</v>
      </c>
      <c r="S1" s="3" t="s">
        <v>18</v>
      </c>
      <c r="T1" s="5" t="s">
        <v>19</v>
      </c>
      <c r="U1" s="52" t="s">
        <v>244</v>
      </c>
      <c r="V1" s="7" t="s">
        <v>245</v>
      </c>
      <c r="W1" s="3" t="s">
        <v>22</v>
      </c>
      <c r="X1" s="4" t="s">
        <v>23</v>
      </c>
      <c r="Y1" s="4" t="s">
        <v>24</v>
      </c>
      <c r="Z1" s="4" t="s">
        <v>246</v>
      </c>
      <c r="AA1" s="8" t="s">
        <v>26</v>
      </c>
      <c r="AB1" s="9" t="s">
        <v>27</v>
      </c>
      <c r="AE1" s="11" t="s">
        <v>0</v>
      </c>
      <c r="AF1" s="12"/>
      <c r="AG1" s="53" t="s">
        <v>4</v>
      </c>
      <c r="AH1" s="11" t="s">
        <v>5</v>
      </c>
      <c r="AI1" s="12"/>
      <c r="AJ1" s="11" t="s">
        <v>6</v>
      </c>
      <c r="AK1" s="12"/>
      <c r="AL1" s="16" t="s">
        <v>7</v>
      </c>
      <c r="AM1" s="12"/>
      <c r="AN1" s="16" t="s">
        <v>8</v>
      </c>
      <c r="AO1" s="12"/>
      <c r="AP1" s="16" t="s">
        <v>28</v>
      </c>
      <c r="AQ1" s="12"/>
      <c r="AR1" s="16" t="s">
        <v>10</v>
      </c>
      <c r="AS1" s="12"/>
      <c r="AT1" s="17" t="s">
        <v>29</v>
      </c>
      <c r="AU1" s="12"/>
      <c r="AV1" s="16" t="s">
        <v>30</v>
      </c>
      <c r="AX1" s="18" t="s">
        <v>31</v>
      </c>
      <c r="AY1" s="19" t="s">
        <v>32</v>
      </c>
      <c r="AZ1" s="19" t="s">
        <v>33</v>
      </c>
      <c r="BA1" s="20" t="s">
        <v>34</v>
      </c>
    </row>
    <row r="2" spans="1:53" s="172" customFormat="1" ht="13.5" customHeight="1">
      <c r="A2" s="172" t="s">
        <v>35</v>
      </c>
      <c r="B2" s="172" t="s">
        <v>36</v>
      </c>
      <c r="C2" s="172">
        <v>2021</v>
      </c>
      <c r="D2" s="214" t="s">
        <v>247</v>
      </c>
      <c r="E2" s="172" t="s">
        <v>248</v>
      </c>
      <c r="F2" s="172" t="s">
        <v>249</v>
      </c>
      <c r="G2" s="172" t="s">
        <v>58</v>
      </c>
      <c r="H2" s="172" t="s">
        <v>40</v>
      </c>
      <c r="I2" s="172" t="s">
        <v>41</v>
      </c>
      <c r="J2" s="172" t="s">
        <v>42</v>
      </c>
      <c r="K2" s="172" t="s">
        <v>43</v>
      </c>
      <c r="L2" s="172">
        <v>1</v>
      </c>
      <c r="N2" s="172">
        <v>1</v>
      </c>
      <c r="O2" s="172">
        <v>0.45</v>
      </c>
      <c r="P2" s="172">
        <v>0.2</v>
      </c>
      <c r="Q2" s="173">
        <f t="shared" ref="Q2:Q65" si="0">IF(OR(O2="",P2=""),"",AVERAGE(O2,P2))</f>
        <v>0.32500000000000001</v>
      </c>
      <c r="R2" s="172">
        <v>16.100000000000001</v>
      </c>
      <c r="S2" s="172">
        <v>114.5</v>
      </c>
      <c r="T2" s="175">
        <f t="shared" ref="T2:T65" si="1">IF(H2="","",IF(OR(H2="GREEN",H2="GK"),IF(S2&gt;=$AX$2,VLOOKUP(S2,$AX$2:$AY$9,2,1),""),IF(S2&gt;=$AZ$2,VLOOKUP(S2,$AZ$2:$BA$9,2,1),"")))</f>
        <v>30</v>
      </c>
      <c r="U2" s="172">
        <v>86</v>
      </c>
      <c r="V2" s="175">
        <f t="shared" ref="V2:V118" si="2">IF(OR(N2="",U2="",T2=""),"",U2/N2*T2)</f>
        <v>2580</v>
      </c>
      <c r="W2" s="172">
        <v>2</v>
      </c>
      <c r="X2" s="172" t="s">
        <v>63</v>
      </c>
      <c r="Y2" s="172" t="s">
        <v>46</v>
      </c>
      <c r="Z2" s="172" t="s">
        <v>161</v>
      </c>
      <c r="AA2" s="172" t="s">
        <v>79</v>
      </c>
      <c r="AB2" s="172" t="s">
        <v>48</v>
      </c>
      <c r="AE2" s="181" t="s">
        <v>49</v>
      </c>
      <c r="AG2" s="215" t="s">
        <v>250</v>
      </c>
      <c r="AH2" s="185" t="s">
        <v>249</v>
      </c>
      <c r="AJ2" s="185" t="s">
        <v>39</v>
      </c>
      <c r="AL2" s="181" t="s">
        <v>51</v>
      </c>
      <c r="AN2" s="185" t="s">
        <v>52</v>
      </c>
      <c r="AP2" s="185" t="s">
        <v>42</v>
      </c>
      <c r="AR2" s="185" t="s">
        <v>53</v>
      </c>
      <c r="AT2" s="185" t="s">
        <v>44</v>
      </c>
      <c r="AV2" s="185" t="s">
        <v>54</v>
      </c>
      <c r="AX2" s="186">
        <v>1</v>
      </c>
      <c r="AY2" s="187">
        <v>50</v>
      </c>
      <c r="AZ2" s="187">
        <v>1</v>
      </c>
      <c r="BA2" s="188">
        <v>50</v>
      </c>
    </row>
    <row r="3" spans="1:53" s="172" customFormat="1" ht="13.5" customHeight="1">
      <c r="A3" s="172" t="s">
        <v>35</v>
      </c>
      <c r="B3" s="172" t="s">
        <v>36</v>
      </c>
      <c r="C3" s="172">
        <v>2021</v>
      </c>
      <c r="D3" s="214" t="s">
        <v>247</v>
      </c>
      <c r="E3" s="172" t="s">
        <v>248</v>
      </c>
      <c r="F3" s="172" t="s">
        <v>249</v>
      </c>
      <c r="G3" s="172" t="s">
        <v>58</v>
      </c>
      <c r="H3" s="172" t="s">
        <v>40</v>
      </c>
      <c r="I3" s="172" t="s">
        <v>41</v>
      </c>
      <c r="J3" s="172" t="s">
        <v>42</v>
      </c>
      <c r="K3" s="172" t="s">
        <v>43</v>
      </c>
      <c r="L3" s="172">
        <v>2</v>
      </c>
      <c r="N3" s="172">
        <v>1</v>
      </c>
      <c r="O3" s="172">
        <v>0.2</v>
      </c>
      <c r="P3" s="172">
        <v>0.2</v>
      </c>
      <c r="Q3" s="173">
        <f t="shared" si="0"/>
        <v>0.2</v>
      </c>
      <c r="R3" s="172">
        <v>15.1</v>
      </c>
      <c r="S3" s="172">
        <v>113.5</v>
      </c>
      <c r="T3" s="175">
        <f t="shared" si="1"/>
        <v>30</v>
      </c>
      <c r="U3" s="172">
        <v>86</v>
      </c>
      <c r="V3" s="175">
        <f t="shared" si="2"/>
        <v>2580</v>
      </c>
      <c r="W3" s="172">
        <v>2</v>
      </c>
      <c r="X3" s="172" t="s">
        <v>63</v>
      </c>
      <c r="Y3" s="172" t="s">
        <v>46</v>
      </c>
      <c r="Z3" s="172" t="s">
        <v>161</v>
      </c>
      <c r="AA3" s="172" t="s">
        <v>79</v>
      </c>
      <c r="AB3" s="172" t="s">
        <v>48</v>
      </c>
      <c r="AE3" s="190" t="s">
        <v>55</v>
      </c>
      <c r="AG3" s="216" t="s">
        <v>251</v>
      </c>
      <c r="AH3" s="185" t="s">
        <v>252</v>
      </c>
      <c r="AJ3" s="190" t="s">
        <v>58</v>
      </c>
      <c r="AL3" s="190" t="s">
        <v>59</v>
      </c>
      <c r="AN3" s="190" t="s">
        <v>60</v>
      </c>
      <c r="AP3" s="190" t="s">
        <v>61</v>
      </c>
      <c r="AR3" s="190" t="s">
        <v>62</v>
      </c>
      <c r="AT3" s="190" t="s">
        <v>63</v>
      </c>
      <c r="AV3" s="190" t="s">
        <v>64</v>
      </c>
      <c r="AX3" s="193">
        <v>72</v>
      </c>
      <c r="AY3" s="194">
        <v>46</v>
      </c>
      <c r="AZ3" s="194">
        <v>71</v>
      </c>
      <c r="BA3" s="195">
        <v>42</v>
      </c>
    </row>
    <row r="4" spans="1:53" s="172" customFormat="1" ht="13.5" customHeight="1">
      <c r="A4" s="172" t="s">
        <v>35</v>
      </c>
      <c r="B4" s="172" t="s">
        <v>36</v>
      </c>
      <c r="C4" s="172">
        <v>2021</v>
      </c>
      <c r="D4" s="214" t="s">
        <v>247</v>
      </c>
      <c r="E4" s="172" t="s">
        <v>248</v>
      </c>
      <c r="F4" s="172" t="s">
        <v>249</v>
      </c>
      <c r="G4" s="172" t="s">
        <v>58</v>
      </c>
      <c r="H4" s="172" t="s">
        <v>40</v>
      </c>
      <c r="I4" s="172" t="s">
        <v>41</v>
      </c>
      <c r="J4" s="172" t="s">
        <v>42</v>
      </c>
      <c r="K4" s="172" t="s">
        <v>43</v>
      </c>
      <c r="L4" s="172">
        <v>3</v>
      </c>
      <c r="N4" s="172">
        <v>1</v>
      </c>
      <c r="O4" s="172">
        <v>0.45</v>
      </c>
      <c r="P4" s="172">
        <v>0.5</v>
      </c>
      <c r="Q4" s="173">
        <f t="shared" si="0"/>
        <v>0.47499999999999998</v>
      </c>
      <c r="R4" s="172">
        <v>15.9</v>
      </c>
      <c r="S4" s="172">
        <v>111</v>
      </c>
      <c r="T4" s="175">
        <f t="shared" si="1"/>
        <v>33</v>
      </c>
      <c r="U4" s="172">
        <v>86</v>
      </c>
      <c r="V4" s="175">
        <f t="shared" si="2"/>
        <v>2838</v>
      </c>
      <c r="W4" s="172">
        <v>2</v>
      </c>
      <c r="X4" s="172" t="s">
        <v>63</v>
      </c>
      <c r="Y4" s="172" t="s">
        <v>46</v>
      </c>
      <c r="Z4" s="172" t="s">
        <v>161</v>
      </c>
      <c r="AA4" s="172" t="s">
        <v>79</v>
      </c>
      <c r="AB4" s="172" t="s">
        <v>48</v>
      </c>
      <c r="AE4" s="190" t="s">
        <v>35</v>
      </c>
      <c r="AG4" s="216" t="s">
        <v>253</v>
      </c>
      <c r="AH4" s="185" t="s">
        <v>254</v>
      </c>
      <c r="AJ4" s="209" t="s">
        <v>67</v>
      </c>
      <c r="AL4" s="190" t="s">
        <v>68</v>
      </c>
      <c r="AN4" s="197" t="s">
        <v>69</v>
      </c>
      <c r="AP4" s="190" t="s">
        <v>70</v>
      </c>
      <c r="AR4" s="190" t="s">
        <v>71</v>
      </c>
      <c r="AT4" s="197"/>
      <c r="AV4" s="190" t="s">
        <v>47</v>
      </c>
      <c r="AX4" s="193">
        <v>75</v>
      </c>
      <c r="AY4" s="194">
        <v>42</v>
      </c>
      <c r="AZ4" s="194">
        <v>76</v>
      </c>
      <c r="BA4" s="195">
        <v>39</v>
      </c>
    </row>
    <row r="5" spans="1:53" s="172" customFormat="1" ht="13.5" customHeight="1">
      <c r="A5" s="172" t="s">
        <v>35</v>
      </c>
      <c r="B5" s="172" t="s">
        <v>36</v>
      </c>
      <c r="C5" s="172">
        <v>2021</v>
      </c>
      <c r="D5" s="214" t="s">
        <v>247</v>
      </c>
      <c r="E5" s="172" t="s">
        <v>255</v>
      </c>
      <c r="F5" s="172" t="s">
        <v>256</v>
      </c>
      <c r="G5" s="172" t="s">
        <v>39</v>
      </c>
      <c r="H5" s="172" t="s">
        <v>51</v>
      </c>
      <c r="I5" s="172" t="s">
        <v>41</v>
      </c>
      <c r="J5" s="172" t="s">
        <v>121</v>
      </c>
      <c r="K5" s="172" t="s">
        <v>147</v>
      </c>
      <c r="L5" s="172">
        <v>1</v>
      </c>
      <c r="N5" s="172">
        <v>5</v>
      </c>
      <c r="O5" s="172">
        <v>0.9</v>
      </c>
      <c r="P5" s="172">
        <v>0.8</v>
      </c>
      <c r="Q5" s="173">
        <f t="shared" si="0"/>
        <v>0.85000000000000009</v>
      </c>
      <c r="R5" s="172">
        <v>15.9</v>
      </c>
      <c r="S5" s="172">
        <v>73</v>
      </c>
      <c r="T5" s="175">
        <f t="shared" si="1"/>
        <v>42</v>
      </c>
      <c r="U5" s="172">
        <v>298</v>
      </c>
      <c r="V5" s="175">
        <f t="shared" si="2"/>
        <v>2503.2000000000003</v>
      </c>
      <c r="W5" s="206">
        <v>0</v>
      </c>
      <c r="X5" s="172" t="s">
        <v>63</v>
      </c>
      <c r="Y5" s="172" t="s">
        <v>46</v>
      </c>
      <c r="Z5" s="172" t="s">
        <v>54</v>
      </c>
      <c r="AA5" s="172" t="s">
        <v>161</v>
      </c>
      <c r="AB5" s="172" t="s">
        <v>48</v>
      </c>
      <c r="AE5" s="190" t="s">
        <v>72</v>
      </c>
      <c r="AG5" s="216" t="s">
        <v>257</v>
      </c>
      <c r="AH5" s="185" t="s">
        <v>258</v>
      </c>
      <c r="AJ5" s="197"/>
      <c r="AL5" s="190" t="s">
        <v>75</v>
      </c>
      <c r="AN5" s="199" t="s">
        <v>76</v>
      </c>
      <c r="AP5" s="190" t="s">
        <v>77</v>
      </c>
      <c r="AR5" s="190" t="s">
        <v>78</v>
      </c>
      <c r="AV5" s="190" t="s">
        <v>79</v>
      </c>
      <c r="AX5" s="193">
        <v>84</v>
      </c>
      <c r="AY5" s="194">
        <v>39</v>
      </c>
      <c r="AZ5" s="194">
        <v>84</v>
      </c>
      <c r="BA5" s="195">
        <v>36</v>
      </c>
    </row>
    <row r="6" spans="1:53" s="172" customFormat="1" ht="13.5" customHeight="1">
      <c r="A6" s="172" t="s">
        <v>35</v>
      </c>
      <c r="B6" s="172" t="s">
        <v>36</v>
      </c>
      <c r="C6" s="172">
        <v>2021</v>
      </c>
      <c r="D6" s="214" t="s">
        <v>247</v>
      </c>
      <c r="E6" s="172" t="s">
        <v>255</v>
      </c>
      <c r="F6" s="172" t="s">
        <v>256</v>
      </c>
      <c r="G6" s="172" t="s">
        <v>39</v>
      </c>
      <c r="H6" s="172" t="s">
        <v>51</v>
      </c>
      <c r="I6" s="172" t="s">
        <v>41</v>
      </c>
      <c r="J6" s="172" t="s">
        <v>121</v>
      </c>
      <c r="K6" s="172" t="s">
        <v>147</v>
      </c>
      <c r="L6" s="172">
        <v>2</v>
      </c>
      <c r="N6" s="172">
        <v>5</v>
      </c>
      <c r="O6" s="172">
        <v>1.25</v>
      </c>
      <c r="P6" s="172">
        <v>0.85</v>
      </c>
      <c r="Q6" s="173">
        <f t="shared" si="0"/>
        <v>1.05</v>
      </c>
      <c r="R6" s="172">
        <v>15.7</v>
      </c>
      <c r="S6" s="172">
        <v>72.5</v>
      </c>
      <c r="T6" s="175">
        <f t="shared" si="1"/>
        <v>42</v>
      </c>
      <c r="U6" s="172">
        <v>298</v>
      </c>
      <c r="V6" s="175">
        <f t="shared" si="2"/>
        <v>2503.2000000000003</v>
      </c>
      <c r="W6" s="206">
        <v>0</v>
      </c>
      <c r="X6" s="172" t="s">
        <v>63</v>
      </c>
      <c r="Y6" s="172" t="s">
        <v>46</v>
      </c>
      <c r="Z6" s="172" t="s">
        <v>54</v>
      </c>
      <c r="AA6" s="172" t="s">
        <v>161</v>
      </c>
      <c r="AB6" s="172" t="s">
        <v>48</v>
      </c>
      <c r="AE6" s="190" t="s">
        <v>80</v>
      </c>
      <c r="AG6" s="216" t="s">
        <v>259</v>
      </c>
      <c r="AH6" s="185" t="s">
        <v>260</v>
      </c>
      <c r="AL6" s="190" t="s">
        <v>83</v>
      </c>
      <c r="AN6" s="199" t="s">
        <v>84</v>
      </c>
      <c r="AP6" s="190" t="s">
        <v>85</v>
      </c>
      <c r="AR6" s="190" t="s">
        <v>86</v>
      </c>
      <c r="AV6" s="190" t="s">
        <v>87</v>
      </c>
      <c r="AX6" s="193">
        <v>97</v>
      </c>
      <c r="AY6" s="194">
        <v>36</v>
      </c>
      <c r="AZ6" s="194">
        <v>99</v>
      </c>
      <c r="BA6" s="195">
        <v>33</v>
      </c>
    </row>
    <row r="7" spans="1:53" s="172" customFormat="1" ht="13.5" customHeight="1">
      <c r="A7" s="172" t="s">
        <v>35</v>
      </c>
      <c r="B7" s="172" t="s">
        <v>36</v>
      </c>
      <c r="C7" s="172">
        <v>2021</v>
      </c>
      <c r="D7" s="214" t="s">
        <v>247</v>
      </c>
      <c r="E7" s="172" t="s">
        <v>255</v>
      </c>
      <c r="F7" s="172" t="s">
        <v>256</v>
      </c>
      <c r="G7" s="172" t="s">
        <v>39</v>
      </c>
      <c r="H7" s="172" t="s">
        <v>51</v>
      </c>
      <c r="I7" s="172" t="s">
        <v>41</v>
      </c>
      <c r="J7" s="172" t="s">
        <v>121</v>
      </c>
      <c r="K7" s="172" t="s">
        <v>147</v>
      </c>
      <c r="L7" s="172">
        <v>3</v>
      </c>
      <c r="N7" s="172">
        <v>5</v>
      </c>
      <c r="O7" s="172">
        <v>1.2</v>
      </c>
      <c r="P7" s="172">
        <v>1.3</v>
      </c>
      <c r="Q7" s="173">
        <f t="shared" si="0"/>
        <v>1.25</v>
      </c>
      <c r="R7" s="172">
        <v>15.8</v>
      </c>
      <c r="S7" s="172">
        <v>73</v>
      </c>
      <c r="T7" s="175">
        <f t="shared" si="1"/>
        <v>42</v>
      </c>
      <c r="U7" s="172">
        <v>298</v>
      </c>
      <c r="V7" s="175">
        <f t="shared" si="2"/>
        <v>2503.2000000000003</v>
      </c>
      <c r="W7" s="206">
        <v>0</v>
      </c>
      <c r="X7" s="172" t="s">
        <v>63</v>
      </c>
      <c r="Y7" s="172" t="s">
        <v>46</v>
      </c>
      <c r="Z7" s="172" t="s">
        <v>54</v>
      </c>
      <c r="AA7" s="172" t="s">
        <v>161</v>
      </c>
      <c r="AB7" s="172" t="s">
        <v>48</v>
      </c>
      <c r="AE7" s="190" t="s">
        <v>88</v>
      </c>
      <c r="AG7" s="216" t="s">
        <v>261</v>
      </c>
      <c r="AH7" s="185" t="s">
        <v>262</v>
      </c>
      <c r="AL7" s="217" t="s">
        <v>90</v>
      </c>
      <c r="AP7" s="190" t="s">
        <v>91</v>
      </c>
      <c r="AR7" s="190" t="s">
        <v>92</v>
      </c>
      <c r="AV7" s="190" t="s">
        <v>93</v>
      </c>
      <c r="AX7" s="193">
        <v>109</v>
      </c>
      <c r="AY7" s="194">
        <v>33</v>
      </c>
      <c r="AZ7" s="194">
        <v>113</v>
      </c>
      <c r="BA7" s="195">
        <v>30</v>
      </c>
    </row>
    <row r="8" spans="1:53" s="172" customFormat="1" ht="13.5" customHeight="1">
      <c r="A8" s="172" t="s">
        <v>35</v>
      </c>
      <c r="B8" s="172" t="s">
        <v>36</v>
      </c>
      <c r="C8" s="172">
        <v>2021</v>
      </c>
      <c r="D8" s="214" t="s">
        <v>247</v>
      </c>
      <c r="E8" s="172" t="s">
        <v>255</v>
      </c>
      <c r="F8" s="172" t="s">
        <v>256</v>
      </c>
      <c r="G8" s="172" t="s">
        <v>39</v>
      </c>
      <c r="H8" s="172" t="s">
        <v>157</v>
      </c>
      <c r="I8" s="172" t="s">
        <v>41</v>
      </c>
      <c r="J8" s="172" t="s">
        <v>42</v>
      </c>
      <c r="K8" s="172" t="s">
        <v>78</v>
      </c>
      <c r="L8" s="172">
        <v>1</v>
      </c>
      <c r="N8" s="172">
        <v>1</v>
      </c>
      <c r="O8" s="172">
        <v>1.25</v>
      </c>
      <c r="P8" s="172">
        <v>1.25</v>
      </c>
      <c r="Q8" s="173">
        <f t="shared" si="0"/>
        <v>1.25</v>
      </c>
      <c r="R8" s="172">
        <v>15.4</v>
      </c>
      <c r="S8" s="172">
        <v>126.5</v>
      </c>
      <c r="T8" s="175">
        <f t="shared" si="1"/>
        <v>33</v>
      </c>
      <c r="U8" s="172">
        <v>98</v>
      </c>
      <c r="V8" s="175">
        <f t="shared" si="2"/>
        <v>3234</v>
      </c>
      <c r="W8" s="206">
        <v>0</v>
      </c>
      <c r="X8" s="172" t="s">
        <v>63</v>
      </c>
      <c r="Y8" s="172" t="s">
        <v>46</v>
      </c>
      <c r="Z8" s="172" t="s">
        <v>54</v>
      </c>
      <c r="AA8" s="172" t="s">
        <v>161</v>
      </c>
      <c r="AB8" s="172" t="s">
        <v>48</v>
      </c>
      <c r="AE8" s="190" t="s">
        <v>86</v>
      </c>
      <c r="AG8" s="216" t="s">
        <v>263</v>
      </c>
      <c r="AH8" s="185" t="s">
        <v>264</v>
      </c>
      <c r="AL8" s="217" t="s">
        <v>96</v>
      </c>
      <c r="AP8" s="190" t="s">
        <v>97</v>
      </c>
      <c r="AR8" s="190" t="s">
        <v>98</v>
      </c>
      <c r="AV8" s="190" t="s">
        <v>99</v>
      </c>
      <c r="AX8" s="193">
        <v>151</v>
      </c>
      <c r="AY8" s="194">
        <v>22</v>
      </c>
      <c r="AZ8" s="194">
        <v>152</v>
      </c>
      <c r="BA8" s="195">
        <v>18</v>
      </c>
    </row>
    <row r="9" spans="1:53" s="172" customFormat="1" ht="13.5" customHeight="1">
      <c r="A9" s="172" t="s">
        <v>35</v>
      </c>
      <c r="B9" s="172" t="s">
        <v>36</v>
      </c>
      <c r="C9" s="172">
        <v>2021</v>
      </c>
      <c r="D9" s="214" t="s">
        <v>247</v>
      </c>
      <c r="E9" s="172" t="s">
        <v>255</v>
      </c>
      <c r="F9" s="172" t="s">
        <v>256</v>
      </c>
      <c r="G9" s="172" t="s">
        <v>39</v>
      </c>
      <c r="H9" s="172" t="s">
        <v>157</v>
      </c>
      <c r="I9" s="172" t="s">
        <v>41</v>
      </c>
      <c r="J9" s="172" t="s">
        <v>42</v>
      </c>
      <c r="K9" s="172" t="s">
        <v>78</v>
      </c>
      <c r="L9" s="172">
        <v>2</v>
      </c>
      <c r="N9" s="172">
        <v>1</v>
      </c>
      <c r="O9" s="172">
        <v>0.2</v>
      </c>
      <c r="P9" s="172">
        <v>0.2</v>
      </c>
      <c r="Q9" s="173">
        <f t="shared" si="0"/>
        <v>0.2</v>
      </c>
      <c r="R9" s="172">
        <v>16.100000000000001</v>
      </c>
      <c r="S9" s="172">
        <v>134</v>
      </c>
      <c r="T9" s="175">
        <f t="shared" si="1"/>
        <v>33</v>
      </c>
      <c r="U9" s="172">
        <v>98</v>
      </c>
      <c r="V9" s="175">
        <f t="shared" si="2"/>
        <v>3234</v>
      </c>
      <c r="W9" s="206">
        <v>0</v>
      </c>
      <c r="X9" s="172" t="s">
        <v>63</v>
      </c>
      <c r="Y9" s="172" t="s">
        <v>46</v>
      </c>
      <c r="Z9" s="172" t="s">
        <v>54</v>
      </c>
      <c r="AA9" s="172" t="s">
        <v>161</v>
      </c>
      <c r="AB9" s="172" t="s">
        <v>48</v>
      </c>
      <c r="AE9" s="190" t="s">
        <v>100</v>
      </c>
      <c r="AG9" s="216" t="s">
        <v>265</v>
      </c>
      <c r="AH9" s="185" t="s">
        <v>266</v>
      </c>
      <c r="AL9" s="190" t="s">
        <v>102</v>
      </c>
      <c r="AP9" s="190" t="s">
        <v>103</v>
      </c>
      <c r="AR9" s="190" t="s">
        <v>104</v>
      </c>
      <c r="AV9" s="190" t="s">
        <v>105</v>
      </c>
      <c r="AX9" s="201">
        <v>180</v>
      </c>
      <c r="AY9" s="202">
        <v>18</v>
      </c>
      <c r="AZ9" s="202">
        <v>181</v>
      </c>
      <c r="BA9" s="203">
        <v>16</v>
      </c>
    </row>
    <row r="10" spans="1:53" s="172" customFormat="1" ht="13.5" customHeight="1">
      <c r="A10" s="172" t="s">
        <v>35</v>
      </c>
      <c r="B10" s="172" t="s">
        <v>36</v>
      </c>
      <c r="C10" s="172">
        <v>2021</v>
      </c>
      <c r="D10" s="214" t="s">
        <v>247</v>
      </c>
      <c r="E10" s="172" t="s">
        <v>255</v>
      </c>
      <c r="F10" s="172" t="s">
        <v>256</v>
      </c>
      <c r="G10" s="172" t="s">
        <v>39</v>
      </c>
      <c r="H10" s="172" t="s">
        <v>157</v>
      </c>
      <c r="I10" s="172" t="s">
        <v>41</v>
      </c>
      <c r="J10" s="172" t="s">
        <v>42</v>
      </c>
      <c r="K10" s="172" t="s">
        <v>78</v>
      </c>
      <c r="L10" s="172">
        <v>3</v>
      </c>
      <c r="N10" s="172">
        <v>1</v>
      </c>
      <c r="O10" s="172">
        <v>0.7</v>
      </c>
      <c r="P10" s="172">
        <v>0.5</v>
      </c>
      <c r="Q10" s="173">
        <f t="shared" si="0"/>
        <v>0.6</v>
      </c>
      <c r="R10" s="172">
        <v>16.2</v>
      </c>
      <c r="S10" s="172">
        <v>135</v>
      </c>
      <c r="T10" s="175">
        <f t="shared" si="1"/>
        <v>33</v>
      </c>
      <c r="U10" s="172">
        <v>98</v>
      </c>
      <c r="V10" s="175">
        <f t="shared" si="2"/>
        <v>3234</v>
      </c>
      <c r="W10" s="206">
        <v>0</v>
      </c>
      <c r="X10" s="172" t="s">
        <v>63</v>
      </c>
      <c r="Y10" s="172" t="s">
        <v>46</v>
      </c>
      <c r="Z10" s="172" t="s">
        <v>54</v>
      </c>
      <c r="AA10" s="172" t="s">
        <v>161</v>
      </c>
      <c r="AB10" s="172" t="s">
        <v>48</v>
      </c>
      <c r="AE10" s="190" t="s">
        <v>106</v>
      </c>
      <c r="AG10" s="216" t="s">
        <v>267</v>
      </c>
      <c r="AH10" s="185" t="s">
        <v>268</v>
      </c>
      <c r="AL10" s="218"/>
      <c r="AP10" s="190" t="s">
        <v>109</v>
      </c>
      <c r="AR10" s="190" t="s">
        <v>110</v>
      </c>
      <c r="AV10" s="190" t="s">
        <v>111</v>
      </c>
    </row>
    <row r="11" spans="1:53" s="172" customFormat="1" ht="13.5" customHeight="1">
      <c r="A11" s="172" t="s">
        <v>35</v>
      </c>
      <c r="B11" s="172" t="s">
        <v>36</v>
      </c>
      <c r="C11" s="172">
        <v>2021</v>
      </c>
      <c r="D11" s="214" t="s">
        <v>247</v>
      </c>
      <c r="E11" s="172" t="s">
        <v>143</v>
      </c>
      <c r="F11" s="172" t="s">
        <v>254</v>
      </c>
      <c r="G11" s="172" t="s">
        <v>39</v>
      </c>
      <c r="H11" s="172" t="s">
        <v>40</v>
      </c>
      <c r="I11" s="172" t="s">
        <v>41</v>
      </c>
      <c r="J11" s="172" t="s">
        <v>42</v>
      </c>
      <c r="K11" s="172" t="s">
        <v>43</v>
      </c>
      <c r="L11" s="172">
        <v>1</v>
      </c>
      <c r="N11" s="172">
        <v>1</v>
      </c>
      <c r="O11" s="172">
        <v>0.2</v>
      </c>
      <c r="P11" s="172">
        <v>0.2</v>
      </c>
      <c r="Q11" s="173">
        <f t="shared" si="0"/>
        <v>0.2</v>
      </c>
      <c r="R11" s="172">
        <v>15.5</v>
      </c>
      <c r="S11" s="172">
        <v>123</v>
      </c>
      <c r="T11" s="175">
        <f t="shared" si="1"/>
        <v>30</v>
      </c>
      <c r="U11" s="172">
        <v>98</v>
      </c>
      <c r="V11" s="175">
        <f t="shared" si="2"/>
        <v>2940</v>
      </c>
      <c r="W11" s="172">
        <v>3</v>
      </c>
      <c r="X11" s="172" t="s">
        <v>63</v>
      </c>
      <c r="Y11" s="172" t="s">
        <v>46</v>
      </c>
      <c r="Z11" s="172" t="s">
        <v>54</v>
      </c>
      <c r="AA11" s="172" t="s">
        <v>45</v>
      </c>
      <c r="AB11" s="172" t="s">
        <v>48</v>
      </c>
      <c r="AE11" s="190" t="s">
        <v>269</v>
      </c>
      <c r="AG11" s="216" t="s">
        <v>270</v>
      </c>
      <c r="AH11" s="185" t="s">
        <v>271</v>
      </c>
      <c r="AL11" s="218"/>
      <c r="AP11" s="190" t="s">
        <v>212</v>
      </c>
      <c r="AR11" s="190" t="s">
        <v>128</v>
      </c>
      <c r="AV11" s="190" t="s">
        <v>161</v>
      </c>
    </row>
    <row r="12" spans="1:53" s="172" customFormat="1" ht="13.5" customHeight="1">
      <c r="A12" s="172" t="s">
        <v>35</v>
      </c>
      <c r="B12" s="172" t="s">
        <v>36</v>
      </c>
      <c r="C12" s="172">
        <v>2021</v>
      </c>
      <c r="D12" s="214" t="s">
        <v>247</v>
      </c>
      <c r="E12" s="172" t="s">
        <v>143</v>
      </c>
      <c r="F12" s="172" t="s">
        <v>254</v>
      </c>
      <c r="G12" s="172" t="s">
        <v>39</v>
      </c>
      <c r="H12" s="172" t="s">
        <v>40</v>
      </c>
      <c r="I12" s="172" t="s">
        <v>41</v>
      </c>
      <c r="J12" s="172" t="s">
        <v>42</v>
      </c>
      <c r="K12" s="172" t="s">
        <v>43</v>
      </c>
      <c r="L12" s="172">
        <v>2</v>
      </c>
      <c r="N12" s="172">
        <v>1</v>
      </c>
      <c r="O12" s="172">
        <v>0.55000000000000004</v>
      </c>
      <c r="P12" s="172">
        <v>0.45</v>
      </c>
      <c r="Q12" s="173">
        <f t="shared" si="0"/>
        <v>0.5</v>
      </c>
      <c r="R12" s="172">
        <v>15.5</v>
      </c>
      <c r="S12" s="172">
        <v>114.5</v>
      </c>
      <c r="T12" s="175">
        <f t="shared" si="1"/>
        <v>30</v>
      </c>
      <c r="U12" s="172">
        <v>98</v>
      </c>
      <c r="V12" s="175">
        <f t="shared" si="2"/>
        <v>2940</v>
      </c>
      <c r="W12" s="172">
        <v>3</v>
      </c>
      <c r="X12" s="172" t="s">
        <v>63</v>
      </c>
      <c r="Y12" s="172" t="s">
        <v>46</v>
      </c>
      <c r="Z12" s="172" t="s">
        <v>54</v>
      </c>
      <c r="AA12" s="172" t="s">
        <v>45</v>
      </c>
      <c r="AB12" s="172" t="s">
        <v>48</v>
      </c>
      <c r="AE12" s="190" t="s">
        <v>272</v>
      </c>
      <c r="AG12" s="197"/>
      <c r="AH12" s="190"/>
      <c r="AL12" s="218"/>
      <c r="AP12" s="190" t="s">
        <v>215</v>
      </c>
      <c r="AR12" s="190" t="s">
        <v>273</v>
      </c>
      <c r="AV12" s="190" t="s">
        <v>217</v>
      </c>
    </row>
    <row r="13" spans="1:53" s="172" customFormat="1" ht="13.5" customHeight="1">
      <c r="A13" s="172" t="s">
        <v>35</v>
      </c>
      <c r="B13" s="172" t="s">
        <v>36</v>
      </c>
      <c r="C13" s="172">
        <v>2021</v>
      </c>
      <c r="D13" s="214" t="s">
        <v>247</v>
      </c>
      <c r="E13" s="172" t="s">
        <v>143</v>
      </c>
      <c r="F13" s="172" t="s">
        <v>254</v>
      </c>
      <c r="G13" s="172" t="s">
        <v>39</v>
      </c>
      <c r="H13" s="172" t="s">
        <v>40</v>
      </c>
      <c r="I13" s="172" t="s">
        <v>41</v>
      </c>
      <c r="J13" s="172" t="s">
        <v>42</v>
      </c>
      <c r="K13" s="172" t="s">
        <v>43</v>
      </c>
      <c r="L13" s="172">
        <v>3</v>
      </c>
      <c r="N13" s="172">
        <v>1</v>
      </c>
      <c r="O13" s="172">
        <v>0.45</v>
      </c>
      <c r="P13" s="172">
        <v>0.6</v>
      </c>
      <c r="Q13" s="173">
        <f t="shared" si="0"/>
        <v>0.52500000000000002</v>
      </c>
      <c r="R13" s="172">
        <v>15.5</v>
      </c>
      <c r="S13" s="172">
        <v>118</v>
      </c>
      <c r="T13" s="175">
        <f t="shared" si="1"/>
        <v>30</v>
      </c>
      <c r="U13" s="172">
        <v>98</v>
      </c>
      <c r="V13" s="175">
        <f t="shared" si="2"/>
        <v>2940</v>
      </c>
      <c r="W13" s="172">
        <v>3</v>
      </c>
      <c r="X13" s="172" t="s">
        <v>63</v>
      </c>
      <c r="Y13" s="172" t="s">
        <v>46</v>
      </c>
      <c r="Z13" s="172" t="s">
        <v>54</v>
      </c>
      <c r="AA13" s="172" t="s">
        <v>45</v>
      </c>
      <c r="AB13" s="172" t="s">
        <v>48</v>
      </c>
      <c r="AE13" s="190" t="s">
        <v>274</v>
      </c>
      <c r="AH13" s="197"/>
      <c r="AP13" s="190" t="s">
        <v>219</v>
      </c>
      <c r="AR13" s="190" t="s">
        <v>106</v>
      </c>
      <c r="AV13" s="190" t="s">
        <v>220</v>
      </c>
    </row>
    <row r="14" spans="1:53" s="172" customFormat="1" ht="13.5" customHeight="1">
      <c r="A14" s="172" t="s">
        <v>35</v>
      </c>
      <c r="B14" s="172" t="s">
        <v>36</v>
      </c>
      <c r="C14" s="172">
        <v>2021</v>
      </c>
      <c r="D14" s="214" t="s">
        <v>247</v>
      </c>
      <c r="E14" s="172" t="s">
        <v>143</v>
      </c>
      <c r="F14" s="172" t="s">
        <v>254</v>
      </c>
      <c r="G14" s="172" t="s">
        <v>39</v>
      </c>
      <c r="H14" s="172" t="s">
        <v>40</v>
      </c>
      <c r="I14" s="172" t="s">
        <v>41</v>
      </c>
      <c r="J14" s="172" t="s">
        <v>42</v>
      </c>
      <c r="K14" s="172" t="s">
        <v>43</v>
      </c>
      <c r="L14" s="172">
        <v>1</v>
      </c>
      <c r="N14" s="172">
        <v>5</v>
      </c>
      <c r="O14" s="172">
        <v>0.2</v>
      </c>
      <c r="P14" s="172">
        <v>0.2</v>
      </c>
      <c r="Q14" s="173">
        <f t="shared" si="0"/>
        <v>0.2</v>
      </c>
      <c r="R14" s="172">
        <v>14.5</v>
      </c>
      <c r="S14" s="172">
        <v>77.5</v>
      </c>
      <c r="T14" s="175">
        <f t="shared" si="1"/>
        <v>39</v>
      </c>
      <c r="U14" s="172">
        <v>298</v>
      </c>
      <c r="V14" s="175">
        <f t="shared" si="2"/>
        <v>2324.4</v>
      </c>
      <c r="W14" s="172">
        <v>3</v>
      </c>
      <c r="X14" s="172" t="s">
        <v>63</v>
      </c>
      <c r="Y14" s="172" t="s">
        <v>46</v>
      </c>
      <c r="Z14" s="172" t="s">
        <v>54</v>
      </c>
      <c r="AA14" s="172" t="s">
        <v>45</v>
      </c>
      <c r="AB14" s="172" t="s">
        <v>48</v>
      </c>
      <c r="AE14" s="190" t="s">
        <v>112</v>
      </c>
      <c r="AG14" s="219"/>
      <c r="AP14" s="190" t="s">
        <v>113</v>
      </c>
      <c r="AR14" s="190" t="s">
        <v>114</v>
      </c>
      <c r="AV14" s="190" t="s">
        <v>115</v>
      </c>
    </row>
    <row r="15" spans="1:53" s="172" customFormat="1" ht="13.5" customHeight="1">
      <c r="A15" s="172" t="s">
        <v>35</v>
      </c>
      <c r="B15" s="172" t="s">
        <v>36</v>
      </c>
      <c r="C15" s="172">
        <v>2021</v>
      </c>
      <c r="D15" s="214" t="s">
        <v>247</v>
      </c>
      <c r="E15" s="172" t="s">
        <v>143</v>
      </c>
      <c r="F15" s="172" t="s">
        <v>254</v>
      </c>
      <c r="G15" s="172" t="s">
        <v>39</v>
      </c>
      <c r="H15" s="172" t="s">
        <v>40</v>
      </c>
      <c r="I15" s="172" t="s">
        <v>41</v>
      </c>
      <c r="J15" s="172" t="s">
        <v>42</v>
      </c>
      <c r="K15" s="172" t="s">
        <v>43</v>
      </c>
      <c r="L15" s="172">
        <v>2</v>
      </c>
      <c r="N15" s="172">
        <v>5</v>
      </c>
      <c r="O15" s="172">
        <v>0.2</v>
      </c>
      <c r="P15" s="172">
        <v>0.2</v>
      </c>
      <c r="Q15" s="173">
        <f t="shared" si="0"/>
        <v>0.2</v>
      </c>
      <c r="R15" s="172">
        <v>15.5</v>
      </c>
      <c r="S15" s="172">
        <v>74</v>
      </c>
      <c r="T15" s="175">
        <f t="shared" si="1"/>
        <v>42</v>
      </c>
      <c r="U15" s="172">
        <v>298</v>
      </c>
      <c r="V15" s="175">
        <f t="shared" si="2"/>
        <v>2503.2000000000003</v>
      </c>
      <c r="W15" s="172">
        <v>3</v>
      </c>
      <c r="X15" s="172" t="s">
        <v>63</v>
      </c>
      <c r="Y15" s="172" t="s">
        <v>46</v>
      </c>
      <c r="Z15" s="172" t="s">
        <v>54</v>
      </c>
      <c r="AA15" s="172" t="s">
        <v>45</v>
      </c>
      <c r="AB15" s="172" t="s">
        <v>48</v>
      </c>
      <c r="AE15" s="190" t="s">
        <v>116</v>
      </c>
      <c r="AP15" s="190" t="s">
        <v>117</v>
      </c>
      <c r="AR15" s="190" t="s">
        <v>118</v>
      </c>
      <c r="AV15" s="190" t="s">
        <v>119</v>
      </c>
    </row>
    <row r="16" spans="1:53" s="172" customFormat="1" ht="13.5" customHeight="1">
      <c r="A16" s="172" t="s">
        <v>35</v>
      </c>
      <c r="B16" s="172" t="s">
        <v>36</v>
      </c>
      <c r="C16" s="172">
        <v>2021</v>
      </c>
      <c r="D16" s="214" t="s">
        <v>247</v>
      </c>
      <c r="E16" s="172" t="s">
        <v>143</v>
      </c>
      <c r="F16" s="172" t="s">
        <v>254</v>
      </c>
      <c r="G16" s="172" t="s">
        <v>39</v>
      </c>
      <c r="H16" s="172" t="s">
        <v>40</v>
      </c>
      <c r="I16" s="172" t="s">
        <v>41</v>
      </c>
      <c r="J16" s="172" t="s">
        <v>42</v>
      </c>
      <c r="K16" s="172" t="s">
        <v>43</v>
      </c>
      <c r="L16" s="172">
        <v>3</v>
      </c>
      <c r="N16" s="172">
        <v>5</v>
      </c>
      <c r="O16" s="172">
        <v>0.5</v>
      </c>
      <c r="P16" s="172">
        <v>0.6</v>
      </c>
      <c r="Q16" s="173">
        <f t="shared" si="0"/>
        <v>0.55000000000000004</v>
      </c>
      <c r="R16" s="172">
        <v>13.2</v>
      </c>
      <c r="S16" s="172">
        <v>74</v>
      </c>
      <c r="T16" s="175">
        <f t="shared" si="1"/>
        <v>42</v>
      </c>
      <c r="U16" s="172">
        <v>298</v>
      </c>
      <c r="V16" s="175">
        <f t="shared" si="2"/>
        <v>2503.2000000000003</v>
      </c>
      <c r="W16" s="172">
        <v>3</v>
      </c>
      <c r="X16" s="172" t="s">
        <v>63</v>
      </c>
      <c r="Y16" s="172" t="s">
        <v>46</v>
      </c>
      <c r="Z16" s="172" t="s">
        <v>54</v>
      </c>
      <c r="AA16" s="172" t="s">
        <v>45</v>
      </c>
      <c r="AB16" s="172" t="s">
        <v>48</v>
      </c>
      <c r="AE16" s="190" t="s">
        <v>120</v>
      </c>
      <c r="AP16" s="190" t="s">
        <v>121</v>
      </c>
      <c r="AR16" s="190" t="s">
        <v>122</v>
      </c>
      <c r="AV16" s="190" t="s">
        <v>46</v>
      </c>
    </row>
    <row r="17" spans="1:48" s="172" customFormat="1" ht="13.5" customHeight="1">
      <c r="A17" s="172" t="s">
        <v>35</v>
      </c>
      <c r="B17" s="172" t="s">
        <v>36</v>
      </c>
      <c r="C17" s="172">
        <v>2021</v>
      </c>
      <c r="D17" s="214" t="s">
        <v>247</v>
      </c>
      <c r="E17" s="172" t="s">
        <v>143</v>
      </c>
      <c r="F17" s="172" t="s">
        <v>254</v>
      </c>
      <c r="G17" s="172" t="s">
        <v>39</v>
      </c>
      <c r="H17" s="172" t="s">
        <v>59</v>
      </c>
      <c r="I17" s="172" t="s">
        <v>41</v>
      </c>
      <c r="J17" s="172" t="s">
        <v>121</v>
      </c>
      <c r="K17" s="172" t="s">
        <v>122</v>
      </c>
      <c r="L17" s="172">
        <v>1</v>
      </c>
      <c r="N17" s="172">
        <v>6</v>
      </c>
      <c r="O17" s="172">
        <v>0.2</v>
      </c>
      <c r="P17" s="172">
        <v>0.2</v>
      </c>
      <c r="Q17" s="173">
        <f t="shared" si="0"/>
        <v>0.2</v>
      </c>
      <c r="R17" s="172">
        <v>15.4</v>
      </c>
      <c r="S17" s="172">
        <v>59.5</v>
      </c>
      <c r="T17" s="175">
        <f t="shared" si="1"/>
        <v>50</v>
      </c>
      <c r="U17" s="172">
        <v>398</v>
      </c>
      <c r="V17" s="175">
        <f t="shared" si="2"/>
        <v>3316.6666666666665</v>
      </c>
      <c r="W17" s="172">
        <v>3</v>
      </c>
      <c r="X17" s="172" t="s">
        <v>63</v>
      </c>
      <c r="Y17" s="172" t="s">
        <v>46</v>
      </c>
      <c r="Z17" s="172" t="s">
        <v>54</v>
      </c>
      <c r="AA17" s="172" t="s">
        <v>45</v>
      </c>
      <c r="AB17" s="172" t="s">
        <v>48</v>
      </c>
      <c r="AE17" s="190" t="s">
        <v>124</v>
      </c>
      <c r="AP17" s="209" t="s">
        <v>125</v>
      </c>
      <c r="AR17" s="190" t="s">
        <v>126</v>
      </c>
      <c r="AV17" s="190" t="s">
        <v>127</v>
      </c>
    </row>
    <row r="18" spans="1:48" s="172" customFormat="1" ht="13.5" customHeight="1">
      <c r="A18" s="172" t="s">
        <v>35</v>
      </c>
      <c r="B18" s="172" t="s">
        <v>36</v>
      </c>
      <c r="C18" s="172">
        <v>2021</v>
      </c>
      <c r="D18" s="214" t="s">
        <v>247</v>
      </c>
      <c r="E18" s="172" t="s">
        <v>143</v>
      </c>
      <c r="F18" s="172" t="s">
        <v>254</v>
      </c>
      <c r="G18" s="172" t="s">
        <v>39</v>
      </c>
      <c r="H18" s="172" t="s">
        <v>59</v>
      </c>
      <c r="I18" s="172" t="s">
        <v>41</v>
      </c>
      <c r="J18" s="172" t="s">
        <v>121</v>
      </c>
      <c r="K18" s="172" t="s">
        <v>122</v>
      </c>
      <c r="L18" s="172">
        <v>2</v>
      </c>
      <c r="N18" s="172">
        <v>6</v>
      </c>
      <c r="O18" s="172">
        <v>0.2</v>
      </c>
      <c r="P18" s="172">
        <v>0.2</v>
      </c>
      <c r="Q18" s="173">
        <f t="shared" si="0"/>
        <v>0.2</v>
      </c>
      <c r="R18" s="172">
        <v>15.5</v>
      </c>
      <c r="S18" s="172">
        <v>62.5</v>
      </c>
      <c r="T18" s="175">
        <f t="shared" si="1"/>
        <v>50</v>
      </c>
      <c r="U18" s="172">
        <v>398</v>
      </c>
      <c r="V18" s="175">
        <f t="shared" si="2"/>
        <v>3316.6666666666665</v>
      </c>
      <c r="W18" s="172">
        <v>3</v>
      </c>
      <c r="X18" s="172" t="s">
        <v>63</v>
      </c>
      <c r="Y18" s="172" t="s">
        <v>46</v>
      </c>
      <c r="Z18" s="172" t="s">
        <v>54</v>
      </c>
      <c r="AA18" s="172" t="s">
        <v>45</v>
      </c>
      <c r="AB18" s="172" t="s">
        <v>48</v>
      </c>
      <c r="AE18" s="190" t="s">
        <v>128</v>
      </c>
      <c r="AP18" s="209" t="s">
        <v>129</v>
      </c>
      <c r="AR18" s="190" t="s">
        <v>130</v>
      </c>
      <c r="AV18" s="190" t="s">
        <v>131</v>
      </c>
    </row>
    <row r="19" spans="1:48" s="172" customFormat="1" ht="13.5" customHeight="1">
      <c r="A19" s="172" t="s">
        <v>35</v>
      </c>
      <c r="B19" s="172" t="s">
        <v>36</v>
      </c>
      <c r="C19" s="172">
        <v>2021</v>
      </c>
      <c r="D19" s="214" t="s">
        <v>247</v>
      </c>
      <c r="E19" s="172" t="s">
        <v>143</v>
      </c>
      <c r="F19" s="172" t="s">
        <v>254</v>
      </c>
      <c r="G19" s="172" t="s">
        <v>39</v>
      </c>
      <c r="H19" s="172" t="s">
        <v>59</v>
      </c>
      <c r="I19" s="172" t="s">
        <v>41</v>
      </c>
      <c r="J19" s="172" t="s">
        <v>121</v>
      </c>
      <c r="K19" s="172" t="s">
        <v>122</v>
      </c>
      <c r="L19" s="172">
        <v>3</v>
      </c>
      <c r="N19" s="172">
        <v>6</v>
      </c>
      <c r="O19" s="172">
        <v>0.2</v>
      </c>
      <c r="P19" s="172">
        <v>0.2</v>
      </c>
      <c r="Q19" s="173">
        <f t="shared" si="0"/>
        <v>0.2</v>
      </c>
      <c r="R19" s="172">
        <v>16.899999999999999</v>
      </c>
      <c r="S19" s="172">
        <v>63.5</v>
      </c>
      <c r="T19" s="175">
        <f t="shared" si="1"/>
        <v>50</v>
      </c>
      <c r="U19" s="172">
        <v>398</v>
      </c>
      <c r="V19" s="175">
        <f t="shared" si="2"/>
        <v>3316.6666666666665</v>
      </c>
      <c r="W19" s="172">
        <v>3</v>
      </c>
      <c r="X19" s="172" t="s">
        <v>63</v>
      </c>
      <c r="Y19" s="172" t="s">
        <v>46</v>
      </c>
      <c r="Z19" s="172" t="s">
        <v>54</v>
      </c>
      <c r="AA19" s="172" t="s">
        <v>45</v>
      </c>
      <c r="AB19" s="172" t="s">
        <v>48</v>
      </c>
      <c r="AE19" s="209" t="s">
        <v>104</v>
      </c>
      <c r="AP19" s="209" t="s">
        <v>132</v>
      </c>
      <c r="AR19" s="190" t="s">
        <v>133</v>
      </c>
      <c r="AV19" s="190" t="s">
        <v>45</v>
      </c>
    </row>
    <row r="20" spans="1:48" s="172" customFormat="1" ht="13.5" customHeight="1">
      <c r="A20" s="172" t="s">
        <v>35</v>
      </c>
      <c r="B20" s="172" t="s">
        <v>36</v>
      </c>
      <c r="C20" s="172">
        <v>2021</v>
      </c>
      <c r="D20" s="214" t="s">
        <v>247</v>
      </c>
      <c r="E20" s="172" t="s">
        <v>275</v>
      </c>
      <c r="F20" s="172" t="s">
        <v>258</v>
      </c>
      <c r="G20" s="172" t="s">
        <v>58</v>
      </c>
      <c r="H20" s="172" t="s">
        <v>51</v>
      </c>
      <c r="I20" s="172" t="s">
        <v>41</v>
      </c>
      <c r="J20" s="172" t="s">
        <v>121</v>
      </c>
      <c r="K20" s="172" t="s">
        <v>273</v>
      </c>
      <c r="L20" s="172">
        <v>1</v>
      </c>
      <c r="N20" s="172">
        <v>3</v>
      </c>
      <c r="O20" s="172">
        <v>0.2</v>
      </c>
      <c r="P20" s="172">
        <v>0.2</v>
      </c>
      <c r="Q20" s="173">
        <f>IF(OR(O20="",P20=""),"",AVERAGE(O20,P20))</f>
        <v>0.2</v>
      </c>
      <c r="R20" s="172">
        <v>13.2</v>
      </c>
      <c r="S20" s="172">
        <v>90.5</v>
      </c>
      <c r="T20" s="175">
        <f t="shared" si="1"/>
        <v>36</v>
      </c>
      <c r="U20" s="172">
        <v>398</v>
      </c>
      <c r="V20" s="175">
        <f t="shared" si="2"/>
        <v>4776</v>
      </c>
      <c r="W20" s="206">
        <v>0</v>
      </c>
      <c r="X20" s="172" t="s">
        <v>63</v>
      </c>
      <c r="Y20" s="172" t="s">
        <v>46</v>
      </c>
      <c r="Z20" s="172" t="s">
        <v>54</v>
      </c>
      <c r="AA20" s="172" t="s">
        <v>45</v>
      </c>
      <c r="AB20" s="172" t="s">
        <v>48</v>
      </c>
      <c r="AP20" s="209" t="s">
        <v>135</v>
      </c>
      <c r="AR20" s="190" t="s">
        <v>136</v>
      </c>
      <c r="AV20" s="209" t="s">
        <v>137</v>
      </c>
    </row>
    <row r="21" spans="1:48" s="172" customFormat="1" ht="13.5" customHeight="1">
      <c r="A21" s="172" t="s">
        <v>35</v>
      </c>
      <c r="B21" s="172" t="s">
        <v>36</v>
      </c>
      <c r="C21" s="172">
        <v>2021</v>
      </c>
      <c r="D21" s="214" t="s">
        <v>247</v>
      </c>
      <c r="E21" s="172" t="s">
        <v>275</v>
      </c>
      <c r="F21" s="172" t="s">
        <v>258</v>
      </c>
      <c r="G21" s="172" t="s">
        <v>58</v>
      </c>
      <c r="H21" s="172" t="s">
        <v>51</v>
      </c>
      <c r="I21" s="172" t="s">
        <v>41</v>
      </c>
      <c r="J21" s="172" t="s">
        <v>121</v>
      </c>
      <c r="K21" s="172" t="s">
        <v>273</v>
      </c>
      <c r="L21" s="172">
        <v>2</v>
      </c>
      <c r="N21" s="172">
        <v>3</v>
      </c>
      <c r="O21" s="172">
        <v>0.2</v>
      </c>
      <c r="P21" s="172">
        <v>0.2</v>
      </c>
      <c r="Q21" s="173">
        <f>IF(OR(O21="",P21=""),"",AVERAGE(O21,P21))</f>
        <v>0.2</v>
      </c>
      <c r="R21" s="172">
        <v>12.7</v>
      </c>
      <c r="S21" s="172">
        <v>98</v>
      </c>
      <c r="T21" s="175">
        <f t="shared" si="1"/>
        <v>36</v>
      </c>
      <c r="U21" s="172">
        <v>398</v>
      </c>
      <c r="V21" s="175">
        <f t="shared" si="2"/>
        <v>4776</v>
      </c>
      <c r="W21" s="206">
        <v>0</v>
      </c>
      <c r="X21" s="172" t="s">
        <v>63</v>
      </c>
      <c r="Y21" s="172" t="s">
        <v>46</v>
      </c>
      <c r="Z21" s="172" t="s">
        <v>54</v>
      </c>
      <c r="AA21" s="172" t="s">
        <v>45</v>
      </c>
      <c r="AB21" s="172" t="s">
        <v>48</v>
      </c>
      <c r="AP21" s="209" t="s">
        <v>138</v>
      </c>
      <c r="AR21" s="190" t="s">
        <v>139</v>
      </c>
      <c r="AV21" s="209" t="s">
        <v>140</v>
      </c>
    </row>
    <row r="22" spans="1:48" s="172" customFormat="1" ht="13.5" customHeight="1">
      <c r="A22" s="172" t="s">
        <v>35</v>
      </c>
      <c r="B22" s="172" t="s">
        <v>36</v>
      </c>
      <c r="C22" s="172">
        <v>2021</v>
      </c>
      <c r="D22" s="214" t="s">
        <v>247</v>
      </c>
      <c r="E22" s="172" t="s">
        <v>275</v>
      </c>
      <c r="F22" s="172" t="s">
        <v>258</v>
      </c>
      <c r="G22" s="172" t="s">
        <v>58</v>
      </c>
      <c r="H22" s="172" t="s">
        <v>51</v>
      </c>
      <c r="I22" s="172" t="s">
        <v>41</v>
      </c>
      <c r="J22" s="172" t="s">
        <v>121</v>
      </c>
      <c r="K22" s="172" t="s">
        <v>273</v>
      </c>
      <c r="L22" s="172">
        <v>3</v>
      </c>
      <c r="N22" s="172">
        <v>3</v>
      </c>
      <c r="O22" s="172">
        <v>0.2</v>
      </c>
      <c r="P22" s="172">
        <v>0.2</v>
      </c>
      <c r="Q22" s="173">
        <f>IF(OR(O22="",P22=""),"",AVERAGE(O22,P22))</f>
        <v>0.2</v>
      </c>
      <c r="R22" s="172">
        <v>12.6</v>
      </c>
      <c r="S22" s="172">
        <v>91</v>
      </c>
      <c r="T22" s="175">
        <f t="shared" si="1"/>
        <v>36</v>
      </c>
      <c r="U22" s="172">
        <v>398</v>
      </c>
      <c r="V22" s="175">
        <f t="shared" si="2"/>
        <v>4776</v>
      </c>
      <c r="W22" s="206">
        <v>0</v>
      </c>
      <c r="X22" s="172" t="s">
        <v>63</v>
      </c>
      <c r="Y22" s="172" t="s">
        <v>46</v>
      </c>
      <c r="Z22" s="172" t="s">
        <v>54</v>
      </c>
      <c r="AA22" s="172" t="s">
        <v>45</v>
      </c>
      <c r="AB22" s="172" t="s">
        <v>48</v>
      </c>
      <c r="AP22" s="209" t="s">
        <v>141</v>
      </c>
      <c r="AR22" s="190" t="s">
        <v>142</v>
      </c>
      <c r="AV22" s="209"/>
    </row>
    <row r="23" spans="1:48" s="172" customFormat="1" ht="13.5" customHeight="1">
      <c r="A23" s="172" t="s">
        <v>35</v>
      </c>
      <c r="B23" s="172" t="s">
        <v>36</v>
      </c>
      <c r="C23" s="172">
        <v>2021</v>
      </c>
      <c r="D23" s="214" t="s">
        <v>247</v>
      </c>
      <c r="E23" s="172" t="s">
        <v>275</v>
      </c>
      <c r="F23" s="172" t="s">
        <v>258</v>
      </c>
      <c r="G23" s="172" t="s">
        <v>58</v>
      </c>
      <c r="H23" s="172" t="s">
        <v>59</v>
      </c>
      <c r="I23" s="172" t="s">
        <v>41</v>
      </c>
      <c r="J23" s="172" t="s">
        <v>121</v>
      </c>
      <c r="K23" s="172" t="s">
        <v>122</v>
      </c>
      <c r="L23" s="172">
        <v>1</v>
      </c>
      <c r="N23" s="172">
        <v>5</v>
      </c>
      <c r="O23" s="172">
        <v>0.2</v>
      </c>
      <c r="P23" s="172">
        <v>0.2</v>
      </c>
      <c r="Q23" s="173">
        <f t="shared" si="0"/>
        <v>0.2</v>
      </c>
      <c r="R23" s="172">
        <v>16.3</v>
      </c>
      <c r="S23" s="172">
        <v>70.5</v>
      </c>
      <c r="T23" s="175">
        <f t="shared" si="1"/>
        <v>50</v>
      </c>
      <c r="U23" s="172">
        <v>398</v>
      </c>
      <c r="V23" s="175">
        <f t="shared" si="2"/>
        <v>3979.9999999999995</v>
      </c>
      <c r="W23" s="206">
        <v>0</v>
      </c>
      <c r="X23" s="172" t="s">
        <v>63</v>
      </c>
      <c r="Y23" s="172" t="s">
        <v>46</v>
      </c>
      <c r="Z23" s="172" t="s">
        <v>54</v>
      </c>
      <c r="AA23" s="172" t="s">
        <v>45</v>
      </c>
      <c r="AB23" s="172" t="s">
        <v>48</v>
      </c>
      <c r="AP23" s="209" t="s">
        <v>145</v>
      </c>
      <c r="AR23" s="190" t="s">
        <v>123</v>
      </c>
    </row>
    <row r="24" spans="1:48" s="172" customFormat="1" ht="13.5" customHeight="1">
      <c r="A24" s="172" t="s">
        <v>35</v>
      </c>
      <c r="B24" s="172" t="s">
        <v>36</v>
      </c>
      <c r="C24" s="172">
        <v>2021</v>
      </c>
      <c r="D24" s="214" t="s">
        <v>247</v>
      </c>
      <c r="E24" s="172" t="s">
        <v>275</v>
      </c>
      <c r="F24" s="172" t="s">
        <v>258</v>
      </c>
      <c r="G24" s="172" t="s">
        <v>58</v>
      </c>
      <c r="H24" s="172" t="s">
        <v>59</v>
      </c>
      <c r="I24" s="172" t="s">
        <v>41</v>
      </c>
      <c r="J24" s="172" t="s">
        <v>121</v>
      </c>
      <c r="K24" s="172" t="s">
        <v>122</v>
      </c>
      <c r="L24" s="172">
        <v>2</v>
      </c>
      <c r="N24" s="172">
        <v>5</v>
      </c>
      <c r="O24" s="172">
        <v>0.2</v>
      </c>
      <c r="P24" s="172">
        <v>0.2</v>
      </c>
      <c r="Q24" s="173">
        <f t="shared" si="0"/>
        <v>0.2</v>
      </c>
      <c r="R24" s="172">
        <v>15.5</v>
      </c>
      <c r="S24" s="172">
        <v>75.5</v>
      </c>
      <c r="T24" s="175">
        <f t="shared" si="1"/>
        <v>42</v>
      </c>
      <c r="U24" s="172">
        <v>398</v>
      </c>
      <c r="V24" s="175">
        <f t="shared" si="2"/>
        <v>3343.2</v>
      </c>
      <c r="W24" s="206">
        <v>0</v>
      </c>
      <c r="X24" s="172" t="s">
        <v>63</v>
      </c>
      <c r="Y24" s="172" t="s">
        <v>46</v>
      </c>
      <c r="Z24" s="172" t="s">
        <v>54</v>
      </c>
      <c r="AA24" s="172" t="s">
        <v>45</v>
      </c>
      <c r="AB24" s="172" t="s">
        <v>48</v>
      </c>
      <c r="AP24" s="209" t="s">
        <v>146</v>
      </c>
      <c r="AR24" s="190" t="s">
        <v>147</v>
      </c>
    </row>
    <row r="25" spans="1:48" s="172" customFormat="1" ht="13.5" customHeight="1">
      <c r="A25" s="172" t="s">
        <v>35</v>
      </c>
      <c r="B25" s="172" t="s">
        <v>36</v>
      </c>
      <c r="C25" s="172">
        <v>2021</v>
      </c>
      <c r="D25" s="214" t="s">
        <v>247</v>
      </c>
      <c r="E25" s="172" t="s">
        <v>275</v>
      </c>
      <c r="F25" s="172" t="s">
        <v>258</v>
      </c>
      <c r="G25" s="172" t="s">
        <v>58</v>
      </c>
      <c r="H25" s="172" t="s">
        <v>59</v>
      </c>
      <c r="I25" s="172" t="s">
        <v>41</v>
      </c>
      <c r="J25" s="172" t="s">
        <v>121</v>
      </c>
      <c r="K25" s="172" t="s">
        <v>122</v>
      </c>
      <c r="L25" s="172">
        <v>3</v>
      </c>
      <c r="N25" s="172">
        <v>5</v>
      </c>
      <c r="O25" s="172">
        <v>0.2</v>
      </c>
      <c r="P25" s="172">
        <v>0.2</v>
      </c>
      <c r="Q25" s="173">
        <f t="shared" si="0"/>
        <v>0.2</v>
      </c>
      <c r="R25" s="172">
        <v>15.9</v>
      </c>
      <c r="S25" s="172">
        <v>69</v>
      </c>
      <c r="T25" s="175">
        <f t="shared" si="1"/>
        <v>50</v>
      </c>
      <c r="U25" s="172">
        <v>398</v>
      </c>
      <c r="V25" s="175">
        <f t="shared" si="2"/>
        <v>3979.9999999999995</v>
      </c>
      <c r="W25" s="206">
        <v>0</v>
      </c>
      <c r="X25" s="172" t="s">
        <v>63</v>
      </c>
      <c r="Y25" s="172" t="s">
        <v>46</v>
      </c>
      <c r="Z25" s="172" t="s">
        <v>54</v>
      </c>
      <c r="AA25" s="172" t="s">
        <v>45</v>
      </c>
      <c r="AB25" s="172" t="s">
        <v>48</v>
      </c>
      <c r="AP25" s="209" t="s">
        <v>148</v>
      </c>
      <c r="AR25" s="190" t="s">
        <v>149</v>
      </c>
    </row>
    <row r="26" spans="1:48" s="172" customFormat="1" ht="13.5" customHeight="1">
      <c r="A26" s="172" t="s">
        <v>35</v>
      </c>
      <c r="B26" s="172" t="s">
        <v>36</v>
      </c>
      <c r="C26" s="172">
        <v>2021</v>
      </c>
      <c r="D26" s="214" t="s">
        <v>247</v>
      </c>
      <c r="E26" s="172" t="s">
        <v>276</v>
      </c>
      <c r="F26" s="172" t="s">
        <v>260</v>
      </c>
      <c r="G26" s="172" t="s">
        <v>39</v>
      </c>
      <c r="H26" s="172" t="s">
        <v>40</v>
      </c>
      <c r="I26" s="172" t="s">
        <v>41</v>
      </c>
      <c r="J26" s="172" t="s">
        <v>42</v>
      </c>
      <c r="K26" s="172" t="s">
        <v>43</v>
      </c>
      <c r="L26" s="172">
        <v>1</v>
      </c>
      <c r="N26" s="172">
        <v>1</v>
      </c>
      <c r="O26" s="172">
        <v>0.6</v>
      </c>
      <c r="P26" s="172">
        <v>0.65</v>
      </c>
      <c r="Q26" s="173">
        <f t="shared" si="0"/>
        <v>0.625</v>
      </c>
      <c r="R26" s="172">
        <v>15.4</v>
      </c>
      <c r="S26" s="172">
        <v>126.5</v>
      </c>
      <c r="T26" s="175">
        <f t="shared" si="1"/>
        <v>30</v>
      </c>
      <c r="U26" s="172">
        <v>128</v>
      </c>
      <c r="V26" s="175">
        <f t="shared" si="2"/>
        <v>3840</v>
      </c>
      <c r="W26" s="172">
        <v>4</v>
      </c>
      <c r="X26" s="172" t="s">
        <v>63</v>
      </c>
      <c r="Y26" s="172" t="s">
        <v>54</v>
      </c>
      <c r="Z26" s="172" t="s">
        <v>46</v>
      </c>
      <c r="AA26" s="172" t="s">
        <v>161</v>
      </c>
      <c r="AB26" s="172" t="s">
        <v>48</v>
      </c>
      <c r="AP26" s="209" t="s">
        <v>150</v>
      </c>
      <c r="AR26" s="197" t="s">
        <v>134</v>
      </c>
    </row>
    <row r="27" spans="1:48" s="172" customFormat="1" ht="13.5" customHeight="1">
      <c r="A27" s="172" t="s">
        <v>35</v>
      </c>
      <c r="B27" s="172" t="s">
        <v>36</v>
      </c>
      <c r="C27" s="172">
        <v>2021</v>
      </c>
      <c r="D27" s="214" t="s">
        <v>247</v>
      </c>
      <c r="E27" s="172" t="s">
        <v>276</v>
      </c>
      <c r="F27" s="172" t="s">
        <v>260</v>
      </c>
      <c r="G27" s="172" t="s">
        <v>39</v>
      </c>
      <c r="H27" s="172" t="s">
        <v>40</v>
      </c>
      <c r="I27" s="172" t="s">
        <v>41</v>
      </c>
      <c r="J27" s="172" t="s">
        <v>42</v>
      </c>
      <c r="K27" s="172" t="s">
        <v>43</v>
      </c>
      <c r="L27" s="172">
        <v>2</v>
      </c>
      <c r="N27" s="172">
        <v>1</v>
      </c>
      <c r="O27" s="172">
        <v>0.2</v>
      </c>
      <c r="P27" s="172">
        <v>0.2</v>
      </c>
      <c r="Q27" s="173">
        <f t="shared" si="0"/>
        <v>0.2</v>
      </c>
      <c r="R27" s="172">
        <v>16.399999999999999</v>
      </c>
      <c r="S27" s="172">
        <v>118</v>
      </c>
      <c r="T27" s="175">
        <f t="shared" si="1"/>
        <v>30</v>
      </c>
      <c r="U27" s="172">
        <v>128</v>
      </c>
      <c r="V27" s="175">
        <f t="shared" si="2"/>
        <v>3840</v>
      </c>
      <c r="W27" s="172">
        <v>4</v>
      </c>
      <c r="X27" s="172" t="s">
        <v>63</v>
      </c>
      <c r="Y27" s="172" t="s">
        <v>54</v>
      </c>
      <c r="Z27" s="172" t="s">
        <v>46</v>
      </c>
      <c r="AA27" s="172" t="s">
        <v>161</v>
      </c>
      <c r="AB27" s="172" t="s">
        <v>48</v>
      </c>
      <c r="AP27" s="213" t="s">
        <v>277</v>
      </c>
    </row>
    <row r="28" spans="1:48" s="172" customFormat="1" ht="13.5" customHeight="1">
      <c r="A28" s="172" t="s">
        <v>35</v>
      </c>
      <c r="B28" s="172" t="s">
        <v>36</v>
      </c>
      <c r="C28" s="172">
        <v>2021</v>
      </c>
      <c r="D28" s="214" t="s">
        <v>247</v>
      </c>
      <c r="E28" s="172" t="s">
        <v>276</v>
      </c>
      <c r="F28" s="172" t="s">
        <v>260</v>
      </c>
      <c r="G28" s="172" t="s">
        <v>39</v>
      </c>
      <c r="H28" s="172" t="s">
        <v>40</v>
      </c>
      <c r="I28" s="172" t="s">
        <v>41</v>
      </c>
      <c r="J28" s="172" t="s">
        <v>42</v>
      </c>
      <c r="K28" s="172" t="s">
        <v>43</v>
      </c>
      <c r="L28" s="172">
        <v>3</v>
      </c>
      <c r="N28" s="172">
        <v>1</v>
      </c>
      <c r="O28" s="172">
        <v>0.2</v>
      </c>
      <c r="P28" s="172">
        <v>0.2</v>
      </c>
      <c r="Q28" s="173">
        <f t="shared" si="0"/>
        <v>0.2</v>
      </c>
      <c r="R28" s="172">
        <v>15.5</v>
      </c>
      <c r="S28" s="172">
        <v>119</v>
      </c>
      <c r="T28" s="175">
        <f t="shared" si="1"/>
        <v>30</v>
      </c>
      <c r="U28" s="172">
        <v>128</v>
      </c>
      <c r="V28" s="175">
        <f t="shared" si="2"/>
        <v>3840</v>
      </c>
      <c r="W28" s="172">
        <v>4</v>
      </c>
      <c r="X28" s="172" t="s">
        <v>63</v>
      </c>
      <c r="Y28" s="172" t="s">
        <v>54</v>
      </c>
      <c r="Z28" s="172" t="s">
        <v>46</v>
      </c>
      <c r="AA28" s="172" t="s">
        <v>161</v>
      </c>
      <c r="AB28" s="172" t="s">
        <v>48</v>
      </c>
    </row>
    <row r="29" spans="1:48" s="172" customFormat="1" ht="13.5" customHeight="1">
      <c r="A29" s="172" t="s">
        <v>35</v>
      </c>
      <c r="B29" s="172" t="s">
        <v>36</v>
      </c>
      <c r="C29" s="172">
        <v>2021</v>
      </c>
      <c r="D29" s="214" t="s">
        <v>247</v>
      </c>
      <c r="E29" s="172" t="s">
        <v>276</v>
      </c>
      <c r="F29" s="172" t="s">
        <v>260</v>
      </c>
      <c r="G29" s="172" t="s">
        <v>39</v>
      </c>
      <c r="H29" s="172" t="s">
        <v>40</v>
      </c>
      <c r="I29" s="172" t="s">
        <v>41</v>
      </c>
      <c r="J29" s="172" t="s">
        <v>42</v>
      </c>
      <c r="K29" s="172" t="s">
        <v>43</v>
      </c>
      <c r="L29" s="172">
        <v>1</v>
      </c>
      <c r="N29" s="172">
        <v>4</v>
      </c>
      <c r="O29" s="172">
        <v>0.2</v>
      </c>
      <c r="P29" s="172">
        <v>0.2</v>
      </c>
      <c r="Q29" s="173">
        <f t="shared" si="0"/>
        <v>0.2</v>
      </c>
      <c r="R29" s="172">
        <v>15.4</v>
      </c>
      <c r="S29" s="172">
        <v>83.5</v>
      </c>
      <c r="T29" s="175">
        <f t="shared" si="1"/>
        <v>39</v>
      </c>
      <c r="U29" s="172">
        <v>298</v>
      </c>
      <c r="V29" s="175">
        <f t="shared" si="2"/>
        <v>2905.5</v>
      </c>
      <c r="W29" s="172">
        <v>4</v>
      </c>
      <c r="X29" s="172" t="s">
        <v>63</v>
      </c>
      <c r="Y29" s="172" t="s">
        <v>54</v>
      </c>
      <c r="Z29" s="172" t="s">
        <v>46</v>
      </c>
      <c r="AA29" s="172" t="s">
        <v>161</v>
      </c>
      <c r="AB29" s="172" t="s">
        <v>48</v>
      </c>
    </row>
    <row r="30" spans="1:48" s="172" customFormat="1" ht="13.5" customHeight="1">
      <c r="A30" s="172" t="s">
        <v>35</v>
      </c>
      <c r="B30" s="172" t="s">
        <v>36</v>
      </c>
      <c r="C30" s="172">
        <v>2021</v>
      </c>
      <c r="D30" s="214" t="s">
        <v>247</v>
      </c>
      <c r="E30" s="172" t="s">
        <v>276</v>
      </c>
      <c r="F30" s="172" t="s">
        <v>260</v>
      </c>
      <c r="G30" s="172" t="s">
        <v>39</v>
      </c>
      <c r="H30" s="172" t="s">
        <v>40</v>
      </c>
      <c r="I30" s="172" t="s">
        <v>41</v>
      </c>
      <c r="J30" s="172" t="s">
        <v>42</v>
      </c>
      <c r="K30" s="172" t="s">
        <v>43</v>
      </c>
      <c r="L30" s="172">
        <v>2</v>
      </c>
      <c r="N30" s="172">
        <v>4</v>
      </c>
      <c r="O30" s="172">
        <v>0.45</v>
      </c>
      <c r="P30" s="172">
        <v>0.2</v>
      </c>
      <c r="Q30" s="173">
        <f t="shared" si="0"/>
        <v>0.32500000000000001</v>
      </c>
      <c r="R30" s="172">
        <v>15.5</v>
      </c>
      <c r="S30" s="172">
        <v>84</v>
      </c>
      <c r="T30" s="175">
        <f t="shared" si="1"/>
        <v>36</v>
      </c>
      <c r="U30" s="172">
        <v>298</v>
      </c>
      <c r="V30" s="175">
        <f t="shared" si="2"/>
        <v>2682</v>
      </c>
      <c r="W30" s="172">
        <v>4</v>
      </c>
      <c r="X30" s="172" t="s">
        <v>278</v>
      </c>
      <c r="Y30" s="172" t="s">
        <v>54</v>
      </c>
      <c r="Z30" s="172" t="s">
        <v>46</v>
      </c>
      <c r="AA30" s="172" t="s">
        <v>161</v>
      </c>
      <c r="AB30" s="172" t="s">
        <v>48</v>
      </c>
    </row>
    <row r="31" spans="1:48" s="172" customFormat="1" ht="13.5" customHeight="1">
      <c r="A31" s="172" t="s">
        <v>35</v>
      </c>
      <c r="B31" s="172" t="s">
        <v>36</v>
      </c>
      <c r="C31" s="172">
        <v>2021</v>
      </c>
      <c r="D31" s="214" t="s">
        <v>247</v>
      </c>
      <c r="E31" s="172" t="s">
        <v>276</v>
      </c>
      <c r="F31" s="172" t="s">
        <v>260</v>
      </c>
      <c r="G31" s="172" t="s">
        <v>39</v>
      </c>
      <c r="H31" s="172" t="s">
        <v>40</v>
      </c>
      <c r="I31" s="172" t="s">
        <v>41</v>
      </c>
      <c r="J31" s="172" t="s">
        <v>42</v>
      </c>
      <c r="K31" s="172" t="s">
        <v>43</v>
      </c>
      <c r="L31" s="172">
        <v>3</v>
      </c>
      <c r="N31" s="172">
        <v>4</v>
      </c>
      <c r="O31" s="172">
        <v>0.45</v>
      </c>
      <c r="P31" s="172">
        <v>0.5</v>
      </c>
      <c r="Q31" s="173">
        <f t="shared" si="0"/>
        <v>0.47499999999999998</v>
      </c>
      <c r="R31" s="172">
        <v>15.3</v>
      </c>
      <c r="S31" s="172">
        <v>83</v>
      </c>
      <c r="T31" s="175">
        <f t="shared" si="1"/>
        <v>39</v>
      </c>
      <c r="U31" s="172">
        <v>298</v>
      </c>
      <c r="V31" s="175">
        <f t="shared" si="2"/>
        <v>2905.5</v>
      </c>
      <c r="W31" s="172">
        <v>4</v>
      </c>
      <c r="X31" s="172" t="s">
        <v>63</v>
      </c>
      <c r="Y31" s="172" t="s">
        <v>54</v>
      </c>
      <c r="Z31" s="172" t="s">
        <v>46</v>
      </c>
      <c r="AA31" s="172" t="s">
        <v>161</v>
      </c>
      <c r="AB31" s="172" t="s">
        <v>48</v>
      </c>
    </row>
    <row r="32" spans="1:48" s="172" customFormat="1" ht="13.5" customHeight="1">
      <c r="A32" s="172" t="s">
        <v>35</v>
      </c>
      <c r="B32" s="172" t="s">
        <v>36</v>
      </c>
      <c r="C32" s="172">
        <v>2021</v>
      </c>
      <c r="D32" s="214" t="s">
        <v>247</v>
      </c>
      <c r="E32" s="172" t="s">
        <v>276</v>
      </c>
      <c r="F32" s="172" t="s">
        <v>260</v>
      </c>
      <c r="G32" s="172" t="s">
        <v>39</v>
      </c>
      <c r="H32" s="172" t="s">
        <v>40</v>
      </c>
      <c r="I32" s="172" t="s">
        <v>41</v>
      </c>
      <c r="J32" s="172" t="s">
        <v>42</v>
      </c>
      <c r="K32" s="172" t="s">
        <v>43</v>
      </c>
      <c r="L32" s="172">
        <v>1</v>
      </c>
      <c r="N32" s="172">
        <v>8</v>
      </c>
      <c r="O32" s="172">
        <v>0.5</v>
      </c>
      <c r="P32" s="172">
        <v>0.55000000000000004</v>
      </c>
      <c r="Q32" s="173">
        <f t="shared" si="0"/>
        <v>0.52500000000000002</v>
      </c>
      <c r="R32" s="172">
        <v>15.3</v>
      </c>
      <c r="S32" s="172">
        <v>89.5</v>
      </c>
      <c r="T32" s="175">
        <f t="shared" si="1"/>
        <v>36</v>
      </c>
      <c r="U32" s="172">
        <v>698</v>
      </c>
      <c r="V32" s="175">
        <f t="shared" si="2"/>
        <v>3141</v>
      </c>
      <c r="W32" s="172">
        <v>4</v>
      </c>
      <c r="X32" s="172" t="s">
        <v>63</v>
      </c>
      <c r="Y32" s="172" t="s">
        <v>54</v>
      </c>
      <c r="Z32" s="172" t="s">
        <v>46</v>
      </c>
      <c r="AA32" s="172" t="s">
        <v>161</v>
      </c>
      <c r="AB32" s="172" t="s">
        <v>48</v>
      </c>
    </row>
    <row r="33" spans="1:28" s="172" customFormat="1" ht="13.5" customHeight="1">
      <c r="A33" s="172" t="s">
        <v>35</v>
      </c>
      <c r="B33" s="172" t="s">
        <v>36</v>
      </c>
      <c r="C33" s="172">
        <v>2021</v>
      </c>
      <c r="D33" s="214" t="s">
        <v>247</v>
      </c>
      <c r="E33" s="172" t="s">
        <v>276</v>
      </c>
      <c r="F33" s="172" t="s">
        <v>260</v>
      </c>
      <c r="G33" s="172" t="s">
        <v>39</v>
      </c>
      <c r="H33" s="172" t="s">
        <v>40</v>
      </c>
      <c r="I33" s="172" t="s">
        <v>41</v>
      </c>
      <c r="J33" s="172" t="s">
        <v>42</v>
      </c>
      <c r="K33" s="172" t="s">
        <v>43</v>
      </c>
      <c r="L33" s="172">
        <v>2</v>
      </c>
      <c r="N33" s="172">
        <v>8</v>
      </c>
      <c r="O33" s="172">
        <v>0.2</v>
      </c>
      <c r="P33" s="172">
        <v>0.2</v>
      </c>
      <c r="Q33" s="173">
        <f t="shared" si="0"/>
        <v>0.2</v>
      </c>
      <c r="R33" s="172">
        <v>15.5</v>
      </c>
      <c r="S33" s="172">
        <v>81.5</v>
      </c>
      <c r="T33" s="175">
        <f t="shared" si="1"/>
        <v>39</v>
      </c>
      <c r="U33" s="172">
        <v>698</v>
      </c>
      <c r="V33" s="175">
        <f t="shared" si="2"/>
        <v>3402.75</v>
      </c>
      <c r="W33" s="172">
        <v>4</v>
      </c>
      <c r="X33" s="172" t="s">
        <v>63</v>
      </c>
      <c r="Y33" s="172" t="s">
        <v>54</v>
      </c>
      <c r="Z33" s="172" t="s">
        <v>46</v>
      </c>
      <c r="AA33" s="172" t="s">
        <v>161</v>
      </c>
      <c r="AB33" s="172" t="s">
        <v>48</v>
      </c>
    </row>
    <row r="34" spans="1:28" s="172" customFormat="1" ht="13.5" customHeight="1">
      <c r="A34" s="172" t="s">
        <v>35</v>
      </c>
      <c r="B34" s="172" t="s">
        <v>36</v>
      </c>
      <c r="C34" s="172">
        <v>2021</v>
      </c>
      <c r="D34" s="214" t="s">
        <v>247</v>
      </c>
      <c r="E34" s="172" t="s">
        <v>276</v>
      </c>
      <c r="F34" s="172" t="s">
        <v>260</v>
      </c>
      <c r="G34" s="172" t="s">
        <v>39</v>
      </c>
      <c r="H34" s="172" t="s">
        <v>40</v>
      </c>
      <c r="I34" s="172" t="s">
        <v>41</v>
      </c>
      <c r="J34" s="172" t="s">
        <v>42</v>
      </c>
      <c r="K34" s="172" t="s">
        <v>43</v>
      </c>
      <c r="L34" s="172">
        <v>3</v>
      </c>
      <c r="N34" s="172">
        <v>8</v>
      </c>
      <c r="O34" s="172">
        <v>0.6</v>
      </c>
      <c r="P34" s="172">
        <v>0.45</v>
      </c>
      <c r="Q34" s="173">
        <f t="shared" si="0"/>
        <v>0.52500000000000002</v>
      </c>
      <c r="R34" s="172">
        <v>15.8</v>
      </c>
      <c r="S34" s="172">
        <v>83.5</v>
      </c>
      <c r="T34" s="175">
        <f t="shared" si="1"/>
        <v>39</v>
      </c>
      <c r="U34" s="172">
        <v>698</v>
      </c>
      <c r="V34" s="175">
        <f t="shared" si="2"/>
        <v>3402.75</v>
      </c>
      <c r="W34" s="172">
        <v>4</v>
      </c>
      <c r="X34" s="172" t="s">
        <v>63</v>
      </c>
      <c r="Y34" s="172" t="s">
        <v>54</v>
      </c>
      <c r="Z34" s="172" t="s">
        <v>46</v>
      </c>
      <c r="AA34" s="172" t="s">
        <v>161</v>
      </c>
      <c r="AB34" s="172" t="s">
        <v>48</v>
      </c>
    </row>
    <row r="35" spans="1:28" s="172" customFormat="1" ht="13.5" customHeight="1">
      <c r="A35" s="172" t="s">
        <v>35</v>
      </c>
      <c r="B35" s="172" t="s">
        <v>36</v>
      </c>
      <c r="C35" s="172">
        <v>2021</v>
      </c>
      <c r="D35" s="214" t="s">
        <v>247</v>
      </c>
      <c r="E35" s="172" t="s">
        <v>276</v>
      </c>
      <c r="F35" s="172" t="s">
        <v>260</v>
      </c>
      <c r="G35" s="172" t="s">
        <v>39</v>
      </c>
      <c r="H35" s="172" t="s">
        <v>157</v>
      </c>
      <c r="I35" s="172" t="s">
        <v>41</v>
      </c>
      <c r="J35" s="172" t="s">
        <v>42</v>
      </c>
      <c r="K35" s="172" t="s">
        <v>78</v>
      </c>
      <c r="L35" s="172">
        <v>1</v>
      </c>
      <c r="N35" s="172">
        <v>3</v>
      </c>
      <c r="O35" s="172">
        <v>0.45</v>
      </c>
      <c r="P35" s="172">
        <v>0.2</v>
      </c>
      <c r="Q35" s="173">
        <f t="shared" si="0"/>
        <v>0.32500000000000001</v>
      </c>
      <c r="R35" s="172">
        <v>15.9</v>
      </c>
      <c r="S35" s="172">
        <v>84.5</v>
      </c>
      <c r="T35" s="175">
        <f t="shared" si="1"/>
        <v>39</v>
      </c>
      <c r="U35" s="172">
        <v>398</v>
      </c>
      <c r="V35" s="175">
        <f t="shared" si="2"/>
        <v>5174</v>
      </c>
      <c r="W35" s="172">
        <v>4</v>
      </c>
      <c r="X35" s="172" t="s">
        <v>63</v>
      </c>
      <c r="Y35" s="172" t="s">
        <v>54</v>
      </c>
      <c r="Z35" s="172" t="s">
        <v>46</v>
      </c>
      <c r="AA35" s="172" t="s">
        <v>161</v>
      </c>
      <c r="AB35" s="172" t="s">
        <v>48</v>
      </c>
    </row>
    <row r="36" spans="1:28" s="172" customFormat="1" ht="13.5" customHeight="1">
      <c r="A36" s="172" t="s">
        <v>35</v>
      </c>
      <c r="B36" s="172" t="s">
        <v>36</v>
      </c>
      <c r="C36" s="172">
        <v>2021</v>
      </c>
      <c r="D36" s="214" t="s">
        <v>247</v>
      </c>
      <c r="E36" s="172" t="s">
        <v>276</v>
      </c>
      <c r="F36" s="172" t="s">
        <v>260</v>
      </c>
      <c r="G36" s="172" t="s">
        <v>39</v>
      </c>
      <c r="H36" s="172" t="s">
        <v>157</v>
      </c>
      <c r="I36" s="172" t="s">
        <v>41</v>
      </c>
      <c r="J36" s="172" t="s">
        <v>42</v>
      </c>
      <c r="K36" s="172" t="s">
        <v>78</v>
      </c>
      <c r="L36" s="172">
        <v>2</v>
      </c>
      <c r="N36" s="172">
        <v>3</v>
      </c>
      <c r="O36" s="172">
        <v>0.2</v>
      </c>
      <c r="P36" s="172">
        <v>0.2</v>
      </c>
      <c r="Q36" s="173">
        <f t="shared" si="0"/>
        <v>0.2</v>
      </c>
      <c r="R36" s="172">
        <v>17.5</v>
      </c>
      <c r="S36" s="172">
        <v>83.5</v>
      </c>
      <c r="T36" s="175">
        <f t="shared" si="1"/>
        <v>42</v>
      </c>
      <c r="U36" s="172">
        <v>398</v>
      </c>
      <c r="V36" s="175">
        <f t="shared" si="2"/>
        <v>5572</v>
      </c>
      <c r="W36" s="172">
        <v>4</v>
      </c>
      <c r="X36" s="172" t="s">
        <v>63</v>
      </c>
      <c r="Y36" s="172" t="s">
        <v>54</v>
      </c>
      <c r="Z36" s="172" t="s">
        <v>46</v>
      </c>
      <c r="AA36" s="172" t="s">
        <v>161</v>
      </c>
      <c r="AB36" s="172" t="s">
        <v>48</v>
      </c>
    </row>
    <row r="37" spans="1:28" s="172" customFormat="1" ht="13.5" customHeight="1">
      <c r="A37" s="172" t="s">
        <v>35</v>
      </c>
      <c r="B37" s="172" t="s">
        <v>36</v>
      </c>
      <c r="C37" s="172">
        <v>2021</v>
      </c>
      <c r="D37" s="214" t="s">
        <v>247</v>
      </c>
      <c r="E37" s="172" t="s">
        <v>276</v>
      </c>
      <c r="F37" s="172" t="s">
        <v>260</v>
      </c>
      <c r="G37" s="172" t="s">
        <v>39</v>
      </c>
      <c r="H37" s="172" t="s">
        <v>157</v>
      </c>
      <c r="I37" s="172" t="s">
        <v>41</v>
      </c>
      <c r="J37" s="172" t="s">
        <v>42</v>
      </c>
      <c r="K37" s="172" t="s">
        <v>78</v>
      </c>
      <c r="L37" s="172">
        <v>3</v>
      </c>
      <c r="N37" s="172">
        <v>3</v>
      </c>
      <c r="O37" s="172">
        <v>0.5</v>
      </c>
      <c r="P37" s="172">
        <v>0.2</v>
      </c>
      <c r="Q37" s="173">
        <f t="shared" si="0"/>
        <v>0.35</v>
      </c>
      <c r="R37" s="172">
        <v>16.399999999999999</v>
      </c>
      <c r="S37" s="172">
        <v>95.5</v>
      </c>
      <c r="T37" s="175">
        <f t="shared" si="1"/>
        <v>39</v>
      </c>
      <c r="U37" s="172">
        <v>398</v>
      </c>
      <c r="V37" s="175">
        <f t="shared" si="2"/>
        <v>5174</v>
      </c>
      <c r="W37" s="172">
        <v>4</v>
      </c>
      <c r="X37" s="172" t="s">
        <v>63</v>
      </c>
      <c r="Y37" s="172" t="s">
        <v>54</v>
      </c>
      <c r="Z37" s="172" t="s">
        <v>46</v>
      </c>
      <c r="AA37" s="172" t="s">
        <v>161</v>
      </c>
      <c r="AB37" s="172" t="s">
        <v>48</v>
      </c>
    </row>
    <row r="38" spans="1:28" s="172" customFormat="1" ht="13.5" customHeight="1">
      <c r="A38" s="172" t="s">
        <v>35</v>
      </c>
      <c r="B38" s="172" t="s">
        <v>36</v>
      </c>
      <c r="C38" s="172">
        <v>2021</v>
      </c>
      <c r="D38" s="214" t="s">
        <v>247</v>
      </c>
      <c r="E38" s="172" t="s">
        <v>261</v>
      </c>
      <c r="F38" s="172" t="s">
        <v>262</v>
      </c>
      <c r="G38" s="172" t="s">
        <v>39</v>
      </c>
      <c r="H38" s="172" t="s">
        <v>40</v>
      </c>
      <c r="I38" s="172" t="s">
        <v>41</v>
      </c>
      <c r="J38" s="172" t="s">
        <v>42</v>
      </c>
      <c r="K38" s="172" t="s">
        <v>43</v>
      </c>
      <c r="L38" s="172">
        <v>1</v>
      </c>
      <c r="N38" s="172">
        <v>8</v>
      </c>
      <c r="O38" s="172">
        <v>0.6</v>
      </c>
      <c r="P38" s="172">
        <v>0.95</v>
      </c>
      <c r="Q38" s="173">
        <f t="shared" si="0"/>
        <v>0.77499999999999991</v>
      </c>
      <c r="R38" s="172">
        <v>15</v>
      </c>
      <c r="S38" s="172">
        <v>78.5</v>
      </c>
      <c r="T38" s="175">
        <f t="shared" si="1"/>
        <v>39</v>
      </c>
      <c r="U38" s="172">
        <v>297</v>
      </c>
      <c r="V38" s="175">
        <f t="shared" si="2"/>
        <v>1447.875</v>
      </c>
      <c r="W38" s="172">
        <v>2</v>
      </c>
      <c r="X38" s="172" t="s">
        <v>63</v>
      </c>
      <c r="Y38" s="172" t="s">
        <v>54</v>
      </c>
      <c r="Z38" s="172" t="s">
        <v>46</v>
      </c>
      <c r="AA38" s="172" t="s">
        <v>45</v>
      </c>
      <c r="AB38" s="172" t="s">
        <v>48</v>
      </c>
    </row>
    <row r="39" spans="1:28" s="172" customFormat="1" ht="13.5" customHeight="1">
      <c r="A39" s="172" t="s">
        <v>35</v>
      </c>
      <c r="B39" s="172" t="s">
        <v>36</v>
      </c>
      <c r="C39" s="172">
        <v>2021</v>
      </c>
      <c r="D39" s="214" t="s">
        <v>247</v>
      </c>
      <c r="E39" s="172" t="s">
        <v>261</v>
      </c>
      <c r="F39" s="172" t="s">
        <v>262</v>
      </c>
      <c r="G39" s="172" t="s">
        <v>39</v>
      </c>
      <c r="H39" s="172" t="s">
        <v>40</v>
      </c>
      <c r="I39" s="172" t="s">
        <v>41</v>
      </c>
      <c r="J39" s="172" t="s">
        <v>42</v>
      </c>
      <c r="K39" s="172" t="s">
        <v>43</v>
      </c>
      <c r="L39" s="172">
        <v>2</v>
      </c>
      <c r="N39" s="172">
        <v>8</v>
      </c>
      <c r="O39" s="172">
        <v>0.55000000000000004</v>
      </c>
      <c r="P39" s="172">
        <v>0.6</v>
      </c>
      <c r="Q39" s="173">
        <f t="shared" si="0"/>
        <v>0.57499999999999996</v>
      </c>
      <c r="R39" s="172">
        <v>14.1</v>
      </c>
      <c r="S39" s="172">
        <v>80.5</v>
      </c>
      <c r="T39" s="175">
        <f t="shared" si="1"/>
        <v>39</v>
      </c>
      <c r="U39" s="172">
        <v>297</v>
      </c>
      <c r="V39" s="175">
        <f t="shared" si="2"/>
        <v>1447.875</v>
      </c>
      <c r="W39" s="172">
        <v>2</v>
      </c>
      <c r="X39" s="172" t="s">
        <v>63</v>
      </c>
      <c r="Y39" s="172" t="s">
        <v>54</v>
      </c>
      <c r="Z39" s="172" t="s">
        <v>46</v>
      </c>
      <c r="AA39" s="172" t="s">
        <v>45</v>
      </c>
      <c r="AB39" s="172" t="s">
        <v>48</v>
      </c>
    </row>
    <row r="40" spans="1:28" s="172" customFormat="1" ht="13.5" customHeight="1">
      <c r="A40" s="172" t="s">
        <v>35</v>
      </c>
      <c r="B40" s="172" t="s">
        <v>36</v>
      </c>
      <c r="C40" s="172">
        <v>2021</v>
      </c>
      <c r="D40" s="214" t="s">
        <v>247</v>
      </c>
      <c r="E40" s="172" t="s">
        <v>261</v>
      </c>
      <c r="F40" s="172" t="s">
        <v>262</v>
      </c>
      <c r="G40" s="172" t="s">
        <v>39</v>
      </c>
      <c r="H40" s="172" t="s">
        <v>40</v>
      </c>
      <c r="I40" s="172" t="s">
        <v>41</v>
      </c>
      <c r="J40" s="172" t="s">
        <v>42</v>
      </c>
      <c r="K40" s="172" t="s">
        <v>43</v>
      </c>
      <c r="L40" s="172">
        <v>3</v>
      </c>
      <c r="N40" s="172">
        <v>8</v>
      </c>
      <c r="O40" s="172">
        <v>0.7</v>
      </c>
      <c r="P40" s="172">
        <v>0.55000000000000004</v>
      </c>
      <c r="Q40" s="173">
        <f t="shared" si="0"/>
        <v>0.625</v>
      </c>
      <c r="R40" s="183">
        <v>15.3</v>
      </c>
      <c r="S40" s="183">
        <v>79.5</v>
      </c>
      <c r="T40" s="175">
        <f t="shared" si="1"/>
        <v>39</v>
      </c>
      <c r="U40" s="183">
        <v>297</v>
      </c>
      <c r="V40" s="175">
        <f t="shared" si="2"/>
        <v>1447.875</v>
      </c>
      <c r="W40" s="172">
        <v>2</v>
      </c>
      <c r="X40" s="172" t="s">
        <v>63</v>
      </c>
      <c r="Y40" s="172" t="s">
        <v>54</v>
      </c>
      <c r="Z40" s="172" t="s">
        <v>46</v>
      </c>
      <c r="AA40" s="172" t="s">
        <v>45</v>
      </c>
      <c r="AB40" s="172" t="s">
        <v>48</v>
      </c>
    </row>
    <row r="41" spans="1:28" s="172" customFormat="1" ht="13.5" customHeight="1">
      <c r="A41" s="172" t="s">
        <v>35</v>
      </c>
      <c r="B41" s="172" t="s">
        <v>36</v>
      </c>
      <c r="C41" s="172">
        <v>2021</v>
      </c>
      <c r="D41" s="214" t="s">
        <v>247</v>
      </c>
      <c r="E41" s="172" t="s">
        <v>279</v>
      </c>
      <c r="F41" s="172" t="s">
        <v>264</v>
      </c>
      <c r="G41" s="172" t="s">
        <v>39</v>
      </c>
      <c r="H41" s="172" t="s">
        <v>40</v>
      </c>
      <c r="I41" s="172" t="s">
        <v>41</v>
      </c>
      <c r="J41" s="172" t="s">
        <v>42</v>
      </c>
      <c r="K41" s="172" t="s">
        <v>43</v>
      </c>
      <c r="L41" s="172">
        <v>1</v>
      </c>
      <c r="N41" s="172">
        <v>1</v>
      </c>
      <c r="O41" s="172">
        <v>0.2</v>
      </c>
      <c r="P41" s="172">
        <v>0.2</v>
      </c>
      <c r="Q41" s="173">
        <f t="shared" si="0"/>
        <v>0.2</v>
      </c>
      <c r="R41" s="172">
        <v>15.4</v>
      </c>
      <c r="S41" s="172">
        <v>111.5</v>
      </c>
      <c r="T41" s="175">
        <f t="shared" si="1"/>
        <v>33</v>
      </c>
      <c r="U41" s="172">
        <v>98</v>
      </c>
      <c r="V41" s="175">
        <f t="shared" si="2"/>
        <v>3234</v>
      </c>
      <c r="W41" s="172">
        <v>3</v>
      </c>
      <c r="X41" s="172" t="s">
        <v>63</v>
      </c>
      <c r="Y41" s="172" t="s">
        <v>46</v>
      </c>
      <c r="Z41" s="172" t="s">
        <v>45</v>
      </c>
      <c r="AA41" s="172" t="s">
        <v>54</v>
      </c>
      <c r="AB41" s="172" t="s">
        <v>48</v>
      </c>
    </row>
    <row r="42" spans="1:28" s="172" customFormat="1" ht="13.5" customHeight="1">
      <c r="A42" s="172" t="s">
        <v>35</v>
      </c>
      <c r="B42" s="172" t="s">
        <v>36</v>
      </c>
      <c r="C42" s="172">
        <v>2021</v>
      </c>
      <c r="D42" s="214" t="s">
        <v>247</v>
      </c>
      <c r="E42" s="172" t="s">
        <v>279</v>
      </c>
      <c r="F42" s="172" t="s">
        <v>264</v>
      </c>
      <c r="G42" s="172" t="s">
        <v>39</v>
      </c>
      <c r="H42" s="172" t="s">
        <v>40</v>
      </c>
      <c r="I42" s="172" t="s">
        <v>41</v>
      </c>
      <c r="J42" s="172" t="s">
        <v>42</v>
      </c>
      <c r="K42" s="172" t="s">
        <v>43</v>
      </c>
      <c r="L42" s="172">
        <v>2</v>
      </c>
      <c r="N42" s="172">
        <v>1</v>
      </c>
      <c r="O42" s="172">
        <v>0.75</v>
      </c>
      <c r="P42" s="172">
        <v>0.75</v>
      </c>
      <c r="Q42" s="173">
        <f t="shared" si="0"/>
        <v>0.75</v>
      </c>
      <c r="R42" s="172">
        <v>14.5</v>
      </c>
      <c r="S42" s="172">
        <v>109</v>
      </c>
      <c r="T42" s="175">
        <f t="shared" si="1"/>
        <v>33</v>
      </c>
      <c r="U42" s="172">
        <v>98</v>
      </c>
      <c r="V42" s="175">
        <f t="shared" si="2"/>
        <v>3234</v>
      </c>
      <c r="W42" s="172">
        <v>3</v>
      </c>
      <c r="X42" s="172" t="s">
        <v>63</v>
      </c>
      <c r="Y42" s="172" t="s">
        <v>46</v>
      </c>
      <c r="Z42" s="172" t="s">
        <v>45</v>
      </c>
      <c r="AA42" s="172" t="s">
        <v>54</v>
      </c>
      <c r="AB42" s="172" t="s">
        <v>48</v>
      </c>
    </row>
    <row r="43" spans="1:28" s="172" customFormat="1" ht="13.5" customHeight="1">
      <c r="A43" s="172" t="s">
        <v>35</v>
      </c>
      <c r="B43" s="172" t="s">
        <v>36</v>
      </c>
      <c r="C43" s="172">
        <v>2021</v>
      </c>
      <c r="D43" s="214" t="s">
        <v>247</v>
      </c>
      <c r="E43" s="172" t="s">
        <v>279</v>
      </c>
      <c r="F43" s="172" t="s">
        <v>264</v>
      </c>
      <c r="G43" s="172" t="s">
        <v>39</v>
      </c>
      <c r="H43" s="172" t="s">
        <v>40</v>
      </c>
      <c r="I43" s="172" t="s">
        <v>41</v>
      </c>
      <c r="J43" s="172" t="s">
        <v>42</v>
      </c>
      <c r="K43" s="172" t="s">
        <v>43</v>
      </c>
      <c r="L43" s="172">
        <v>3</v>
      </c>
      <c r="N43" s="172">
        <v>1</v>
      </c>
      <c r="O43" s="172">
        <v>1.25</v>
      </c>
      <c r="P43" s="172">
        <v>1</v>
      </c>
      <c r="Q43" s="173">
        <f t="shared" si="0"/>
        <v>1.125</v>
      </c>
      <c r="R43" s="172">
        <v>14.5</v>
      </c>
      <c r="S43" s="172">
        <v>115.5</v>
      </c>
      <c r="T43" s="175">
        <f t="shared" si="1"/>
        <v>30</v>
      </c>
      <c r="U43" s="172">
        <v>98</v>
      </c>
      <c r="V43" s="175">
        <f t="shared" si="2"/>
        <v>2940</v>
      </c>
      <c r="W43" s="172">
        <v>3</v>
      </c>
      <c r="X43" s="172" t="s">
        <v>63</v>
      </c>
      <c r="Y43" s="172" t="s">
        <v>46</v>
      </c>
      <c r="Z43" s="172" t="s">
        <v>45</v>
      </c>
      <c r="AA43" s="172" t="s">
        <v>54</v>
      </c>
      <c r="AB43" s="172" t="s">
        <v>48</v>
      </c>
    </row>
    <row r="44" spans="1:28" s="172" customFormat="1" ht="13.5" customHeight="1">
      <c r="A44" s="172" t="s">
        <v>35</v>
      </c>
      <c r="B44" s="172" t="s">
        <v>36</v>
      </c>
      <c r="C44" s="172">
        <v>2021</v>
      </c>
      <c r="D44" s="214" t="s">
        <v>247</v>
      </c>
      <c r="E44" s="172" t="s">
        <v>279</v>
      </c>
      <c r="F44" s="172" t="s">
        <v>264</v>
      </c>
      <c r="G44" s="172" t="s">
        <v>39</v>
      </c>
      <c r="H44" s="172" t="s">
        <v>40</v>
      </c>
      <c r="I44" s="172" t="s">
        <v>41</v>
      </c>
      <c r="J44" s="172" t="s">
        <v>42</v>
      </c>
      <c r="K44" s="172" t="s">
        <v>43</v>
      </c>
      <c r="L44" s="172">
        <v>1</v>
      </c>
      <c r="N44" s="172">
        <v>4</v>
      </c>
      <c r="O44" s="172">
        <v>0.2</v>
      </c>
      <c r="P44" s="172">
        <v>0.2</v>
      </c>
      <c r="Q44" s="173">
        <f t="shared" si="0"/>
        <v>0.2</v>
      </c>
      <c r="R44" s="172">
        <v>15</v>
      </c>
      <c r="S44" s="172">
        <v>90</v>
      </c>
      <c r="T44" s="175">
        <f t="shared" si="1"/>
        <v>36</v>
      </c>
      <c r="U44" s="172">
        <v>298</v>
      </c>
      <c r="V44" s="175">
        <f t="shared" si="2"/>
        <v>2682</v>
      </c>
      <c r="W44" s="172">
        <v>3</v>
      </c>
      <c r="X44" s="172" t="s">
        <v>63</v>
      </c>
      <c r="Y44" s="172" t="s">
        <v>46</v>
      </c>
      <c r="Z44" s="172" t="s">
        <v>45</v>
      </c>
      <c r="AA44" s="172" t="s">
        <v>54</v>
      </c>
      <c r="AB44" s="172" t="s">
        <v>48</v>
      </c>
    </row>
    <row r="45" spans="1:28" s="172" customFormat="1" ht="13.5" customHeight="1">
      <c r="A45" s="172" t="s">
        <v>35</v>
      </c>
      <c r="B45" s="172" t="s">
        <v>36</v>
      </c>
      <c r="C45" s="172">
        <v>2021</v>
      </c>
      <c r="D45" s="214" t="s">
        <v>247</v>
      </c>
      <c r="E45" s="172" t="s">
        <v>279</v>
      </c>
      <c r="F45" s="172" t="s">
        <v>264</v>
      </c>
      <c r="G45" s="172" t="s">
        <v>39</v>
      </c>
      <c r="H45" s="172" t="s">
        <v>40</v>
      </c>
      <c r="I45" s="172" t="s">
        <v>41</v>
      </c>
      <c r="J45" s="172" t="s">
        <v>42</v>
      </c>
      <c r="K45" s="172" t="s">
        <v>43</v>
      </c>
      <c r="L45" s="172">
        <v>2</v>
      </c>
      <c r="N45" s="172">
        <v>4</v>
      </c>
      <c r="O45" s="172">
        <v>0.45</v>
      </c>
      <c r="P45" s="172">
        <v>0.5</v>
      </c>
      <c r="Q45" s="173">
        <f t="shared" si="0"/>
        <v>0.47499999999999998</v>
      </c>
      <c r="R45" s="172">
        <v>15.4</v>
      </c>
      <c r="S45" s="172">
        <v>96</v>
      </c>
      <c r="T45" s="175">
        <f t="shared" si="1"/>
        <v>36</v>
      </c>
      <c r="U45" s="172">
        <v>298</v>
      </c>
      <c r="V45" s="175">
        <f t="shared" si="2"/>
        <v>2682</v>
      </c>
      <c r="W45" s="172">
        <v>3</v>
      </c>
      <c r="X45" s="172" t="s">
        <v>63</v>
      </c>
      <c r="Y45" s="172" t="s">
        <v>46</v>
      </c>
      <c r="Z45" s="172" t="s">
        <v>45</v>
      </c>
      <c r="AA45" s="172" t="s">
        <v>54</v>
      </c>
      <c r="AB45" s="172" t="s">
        <v>48</v>
      </c>
    </row>
    <row r="46" spans="1:28" s="172" customFormat="1" ht="13.5" customHeight="1">
      <c r="A46" s="172" t="s">
        <v>35</v>
      </c>
      <c r="B46" s="172" t="s">
        <v>36</v>
      </c>
      <c r="C46" s="172">
        <v>2021</v>
      </c>
      <c r="D46" s="214" t="s">
        <v>247</v>
      </c>
      <c r="E46" s="172" t="s">
        <v>279</v>
      </c>
      <c r="F46" s="172" t="s">
        <v>264</v>
      </c>
      <c r="G46" s="172" t="s">
        <v>39</v>
      </c>
      <c r="H46" s="172" t="s">
        <v>40</v>
      </c>
      <c r="I46" s="172" t="s">
        <v>41</v>
      </c>
      <c r="J46" s="172" t="s">
        <v>42</v>
      </c>
      <c r="K46" s="172" t="s">
        <v>43</v>
      </c>
      <c r="L46" s="172">
        <v>3</v>
      </c>
      <c r="N46" s="172">
        <v>4</v>
      </c>
      <c r="O46" s="172">
        <v>0.2</v>
      </c>
      <c r="P46" s="172">
        <v>0.2</v>
      </c>
      <c r="Q46" s="173">
        <f t="shared" si="0"/>
        <v>0.2</v>
      </c>
      <c r="R46" s="172">
        <v>15.2</v>
      </c>
      <c r="S46" s="172">
        <v>98</v>
      </c>
      <c r="T46" s="175">
        <f t="shared" si="1"/>
        <v>36</v>
      </c>
      <c r="U46" s="172">
        <v>298</v>
      </c>
      <c r="V46" s="175">
        <f t="shared" si="2"/>
        <v>2682</v>
      </c>
      <c r="W46" s="172">
        <v>3</v>
      </c>
      <c r="X46" s="172" t="s">
        <v>63</v>
      </c>
      <c r="Y46" s="172" t="s">
        <v>46</v>
      </c>
      <c r="Z46" s="172" t="s">
        <v>45</v>
      </c>
      <c r="AA46" s="172" t="s">
        <v>54</v>
      </c>
      <c r="AB46" s="172" t="s">
        <v>48</v>
      </c>
    </row>
    <row r="47" spans="1:28" s="172" customFormat="1" ht="13.5" customHeight="1">
      <c r="A47" s="172" t="s">
        <v>35</v>
      </c>
      <c r="B47" s="172" t="s">
        <v>36</v>
      </c>
      <c r="C47" s="172">
        <v>2021</v>
      </c>
      <c r="D47" s="214" t="s">
        <v>247</v>
      </c>
      <c r="E47" s="172" t="s">
        <v>37</v>
      </c>
      <c r="F47" s="172" t="s">
        <v>280</v>
      </c>
      <c r="G47" s="172" t="s">
        <v>39</v>
      </c>
      <c r="H47" s="172" t="s">
        <v>40</v>
      </c>
      <c r="I47" s="172" t="s">
        <v>41</v>
      </c>
      <c r="J47" s="172" t="s">
        <v>42</v>
      </c>
      <c r="K47" s="172" t="s">
        <v>43</v>
      </c>
      <c r="L47" s="172">
        <v>1</v>
      </c>
      <c r="N47" s="172">
        <v>1</v>
      </c>
      <c r="O47" s="172">
        <v>0.45</v>
      </c>
      <c r="P47" s="172">
        <v>0.45</v>
      </c>
      <c r="Q47" s="173">
        <f t="shared" si="0"/>
        <v>0.45</v>
      </c>
      <c r="R47" s="172">
        <v>15.7</v>
      </c>
      <c r="S47" s="172">
        <v>109</v>
      </c>
      <c r="T47" s="175">
        <f t="shared" si="1"/>
        <v>33</v>
      </c>
      <c r="U47" s="172">
        <v>98</v>
      </c>
      <c r="V47" s="175">
        <f t="shared" si="2"/>
        <v>3234</v>
      </c>
      <c r="W47" s="172">
        <v>4</v>
      </c>
      <c r="X47" s="172" t="s">
        <v>63</v>
      </c>
      <c r="Y47" s="172" t="s">
        <v>46</v>
      </c>
      <c r="Z47" s="172" t="s">
        <v>54</v>
      </c>
      <c r="AA47" s="172" t="s">
        <v>161</v>
      </c>
      <c r="AB47" s="172" t="s">
        <v>48</v>
      </c>
    </row>
    <row r="48" spans="1:28" s="172" customFormat="1" ht="13.5" customHeight="1">
      <c r="A48" s="172" t="s">
        <v>35</v>
      </c>
      <c r="B48" s="172" t="s">
        <v>36</v>
      </c>
      <c r="C48" s="172">
        <v>2021</v>
      </c>
      <c r="D48" s="214" t="s">
        <v>247</v>
      </c>
      <c r="E48" s="172" t="s">
        <v>37</v>
      </c>
      <c r="F48" s="172" t="s">
        <v>280</v>
      </c>
      <c r="G48" s="172" t="s">
        <v>39</v>
      </c>
      <c r="H48" s="172" t="s">
        <v>40</v>
      </c>
      <c r="I48" s="172" t="s">
        <v>41</v>
      </c>
      <c r="J48" s="172" t="s">
        <v>42</v>
      </c>
      <c r="K48" s="172" t="s">
        <v>43</v>
      </c>
      <c r="L48" s="172">
        <v>2</v>
      </c>
      <c r="N48" s="172">
        <v>1</v>
      </c>
      <c r="O48" s="172">
        <v>0.75</v>
      </c>
      <c r="P48" s="172">
        <v>0.6</v>
      </c>
      <c r="Q48" s="173">
        <f t="shared" si="0"/>
        <v>0.67500000000000004</v>
      </c>
      <c r="R48" s="172">
        <v>15</v>
      </c>
      <c r="S48" s="172">
        <v>110</v>
      </c>
      <c r="T48" s="175">
        <f t="shared" si="1"/>
        <v>33</v>
      </c>
      <c r="U48" s="172">
        <v>98</v>
      </c>
      <c r="V48" s="175">
        <f t="shared" si="2"/>
        <v>3234</v>
      </c>
      <c r="W48" s="172">
        <v>4</v>
      </c>
      <c r="X48" s="172" t="s">
        <v>63</v>
      </c>
      <c r="Y48" s="172" t="s">
        <v>46</v>
      </c>
      <c r="Z48" s="172" t="s">
        <v>54</v>
      </c>
      <c r="AA48" s="172" t="s">
        <v>161</v>
      </c>
      <c r="AB48" s="172" t="s">
        <v>48</v>
      </c>
    </row>
    <row r="49" spans="1:28" s="172" customFormat="1" ht="13.5" customHeight="1">
      <c r="A49" s="172" t="s">
        <v>35</v>
      </c>
      <c r="B49" s="172" t="s">
        <v>36</v>
      </c>
      <c r="C49" s="172">
        <v>2021</v>
      </c>
      <c r="D49" s="214" t="s">
        <v>247</v>
      </c>
      <c r="E49" s="172" t="s">
        <v>37</v>
      </c>
      <c r="F49" s="172" t="s">
        <v>280</v>
      </c>
      <c r="G49" s="172" t="s">
        <v>39</v>
      </c>
      <c r="H49" s="172" t="s">
        <v>40</v>
      </c>
      <c r="I49" s="172" t="s">
        <v>41</v>
      </c>
      <c r="J49" s="172" t="s">
        <v>42</v>
      </c>
      <c r="K49" s="172" t="s">
        <v>43</v>
      </c>
      <c r="L49" s="172">
        <v>3</v>
      </c>
      <c r="N49" s="172">
        <v>1</v>
      </c>
      <c r="O49" s="172">
        <v>0.45</v>
      </c>
      <c r="P49" s="172">
        <v>0.45</v>
      </c>
      <c r="Q49" s="173">
        <f t="shared" si="0"/>
        <v>0.45</v>
      </c>
      <c r="R49" s="172">
        <v>14.5</v>
      </c>
      <c r="S49" s="172">
        <v>106</v>
      </c>
      <c r="T49" s="175">
        <f t="shared" si="1"/>
        <v>33</v>
      </c>
      <c r="U49" s="172">
        <v>98</v>
      </c>
      <c r="V49" s="175">
        <f t="shared" si="2"/>
        <v>3234</v>
      </c>
      <c r="W49" s="172">
        <v>4</v>
      </c>
      <c r="X49" s="172" t="s">
        <v>63</v>
      </c>
      <c r="Y49" s="172" t="s">
        <v>46</v>
      </c>
      <c r="Z49" s="172" t="s">
        <v>54</v>
      </c>
      <c r="AA49" s="172" t="s">
        <v>161</v>
      </c>
      <c r="AB49" s="172" t="s">
        <v>48</v>
      </c>
    </row>
    <row r="50" spans="1:28" s="172" customFormat="1" ht="13.5" customHeight="1">
      <c r="A50" s="172" t="s">
        <v>35</v>
      </c>
      <c r="B50" s="172" t="s">
        <v>36</v>
      </c>
      <c r="C50" s="172">
        <v>2021</v>
      </c>
      <c r="D50" s="214" t="s">
        <v>247</v>
      </c>
      <c r="E50" s="172" t="s">
        <v>37</v>
      </c>
      <c r="F50" s="172" t="s">
        <v>280</v>
      </c>
      <c r="G50" s="172" t="s">
        <v>39</v>
      </c>
      <c r="H50" s="172" t="s">
        <v>40</v>
      </c>
      <c r="I50" s="172" t="s">
        <v>41</v>
      </c>
      <c r="J50" s="172" t="s">
        <v>42</v>
      </c>
      <c r="K50" s="172" t="s">
        <v>43</v>
      </c>
      <c r="L50" s="172">
        <v>1</v>
      </c>
      <c r="N50" s="172">
        <v>6</v>
      </c>
      <c r="O50" s="172">
        <v>0.2</v>
      </c>
      <c r="P50" s="172">
        <v>0.2</v>
      </c>
      <c r="Q50" s="173">
        <f t="shared" si="0"/>
        <v>0.2</v>
      </c>
      <c r="R50" s="172">
        <v>14.8</v>
      </c>
      <c r="S50" s="172">
        <v>97.5</v>
      </c>
      <c r="T50" s="175">
        <f t="shared" si="1"/>
        <v>36</v>
      </c>
      <c r="U50" s="172">
        <v>248</v>
      </c>
      <c r="V50" s="175">
        <f t="shared" si="2"/>
        <v>1488</v>
      </c>
      <c r="W50" s="172">
        <v>4</v>
      </c>
      <c r="X50" s="172" t="s">
        <v>63</v>
      </c>
      <c r="Y50" s="172" t="s">
        <v>46</v>
      </c>
      <c r="Z50" s="172" t="s">
        <v>54</v>
      </c>
      <c r="AA50" s="172" t="s">
        <v>161</v>
      </c>
      <c r="AB50" s="172" t="s">
        <v>48</v>
      </c>
    </row>
    <row r="51" spans="1:28" s="172" customFormat="1" ht="13.5" customHeight="1">
      <c r="A51" s="172" t="s">
        <v>35</v>
      </c>
      <c r="B51" s="172" t="s">
        <v>36</v>
      </c>
      <c r="C51" s="172">
        <v>2021</v>
      </c>
      <c r="D51" s="214" t="s">
        <v>247</v>
      </c>
      <c r="E51" s="172" t="s">
        <v>37</v>
      </c>
      <c r="F51" s="172" t="s">
        <v>280</v>
      </c>
      <c r="G51" s="172" t="s">
        <v>39</v>
      </c>
      <c r="H51" s="172" t="s">
        <v>40</v>
      </c>
      <c r="I51" s="172" t="s">
        <v>41</v>
      </c>
      <c r="J51" s="172" t="s">
        <v>42</v>
      </c>
      <c r="K51" s="172" t="s">
        <v>43</v>
      </c>
      <c r="L51" s="172">
        <v>2</v>
      </c>
      <c r="N51" s="172">
        <v>6</v>
      </c>
      <c r="O51" s="172">
        <v>0.2</v>
      </c>
      <c r="P51" s="172">
        <v>0.2</v>
      </c>
      <c r="Q51" s="173">
        <f t="shared" si="0"/>
        <v>0.2</v>
      </c>
      <c r="R51" s="172">
        <v>14.9</v>
      </c>
      <c r="S51" s="172">
        <v>100</v>
      </c>
      <c r="T51" s="175">
        <f t="shared" si="1"/>
        <v>33</v>
      </c>
      <c r="U51" s="172">
        <v>248</v>
      </c>
      <c r="V51" s="175">
        <f t="shared" si="2"/>
        <v>1364</v>
      </c>
      <c r="W51" s="172">
        <v>4</v>
      </c>
      <c r="X51" s="172" t="s">
        <v>63</v>
      </c>
      <c r="Y51" s="172" t="s">
        <v>46</v>
      </c>
      <c r="Z51" s="172" t="s">
        <v>54</v>
      </c>
      <c r="AA51" s="172" t="s">
        <v>161</v>
      </c>
      <c r="AB51" s="172" t="s">
        <v>48</v>
      </c>
    </row>
    <row r="52" spans="1:28" s="172" customFormat="1" ht="13.5" customHeight="1">
      <c r="A52" s="172" t="s">
        <v>35</v>
      </c>
      <c r="B52" s="172" t="s">
        <v>36</v>
      </c>
      <c r="C52" s="172">
        <v>2021</v>
      </c>
      <c r="D52" s="214" t="s">
        <v>247</v>
      </c>
      <c r="E52" s="172" t="s">
        <v>37</v>
      </c>
      <c r="F52" s="172" t="s">
        <v>280</v>
      </c>
      <c r="G52" s="172" t="s">
        <v>39</v>
      </c>
      <c r="H52" s="172" t="s">
        <v>40</v>
      </c>
      <c r="I52" s="172" t="s">
        <v>41</v>
      </c>
      <c r="J52" s="172" t="s">
        <v>42</v>
      </c>
      <c r="K52" s="172" t="s">
        <v>43</v>
      </c>
      <c r="L52" s="172">
        <v>3</v>
      </c>
      <c r="N52" s="172">
        <v>6</v>
      </c>
      <c r="O52" s="172">
        <v>0.2</v>
      </c>
      <c r="P52" s="172">
        <v>0.2</v>
      </c>
      <c r="Q52" s="173">
        <f t="shared" si="0"/>
        <v>0.2</v>
      </c>
      <c r="R52" s="172">
        <v>16.100000000000001</v>
      </c>
      <c r="S52" s="172">
        <v>100</v>
      </c>
      <c r="T52" s="175">
        <f t="shared" si="1"/>
        <v>33</v>
      </c>
      <c r="U52" s="172">
        <v>248</v>
      </c>
      <c r="V52" s="175">
        <f t="shared" si="2"/>
        <v>1364</v>
      </c>
      <c r="W52" s="172">
        <v>4</v>
      </c>
      <c r="X52" s="172" t="s">
        <v>63</v>
      </c>
      <c r="Y52" s="172" t="s">
        <v>46</v>
      </c>
      <c r="Z52" s="172" t="s">
        <v>54</v>
      </c>
      <c r="AA52" s="172" t="s">
        <v>161</v>
      </c>
      <c r="AB52" s="172" t="s">
        <v>48</v>
      </c>
    </row>
    <row r="53" spans="1:28" s="172" customFormat="1" ht="13.5" customHeight="1">
      <c r="A53" s="172" t="s">
        <v>35</v>
      </c>
      <c r="B53" s="172" t="s">
        <v>36</v>
      </c>
      <c r="C53" s="172">
        <v>2021</v>
      </c>
      <c r="D53" s="214" t="s">
        <v>247</v>
      </c>
      <c r="E53" s="172" t="s">
        <v>37</v>
      </c>
      <c r="F53" s="172" t="s">
        <v>280</v>
      </c>
      <c r="G53" s="172" t="s">
        <v>39</v>
      </c>
      <c r="H53" s="172" t="s">
        <v>40</v>
      </c>
      <c r="I53" s="172" t="s">
        <v>41</v>
      </c>
      <c r="J53" s="172" t="s">
        <v>42</v>
      </c>
      <c r="K53" s="172" t="s">
        <v>43</v>
      </c>
      <c r="L53" s="172">
        <v>1</v>
      </c>
      <c r="N53" s="172">
        <v>10</v>
      </c>
      <c r="O53" s="172">
        <v>0.6</v>
      </c>
      <c r="P53" s="172">
        <v>0.55000000000000004</v>
      </c>
      <c r="Q53" s="173">
        <f t="shared" si="0"/>
        <v>0.57499999999999996</v>
      </c>
      <c r="R53" s="172">
        <v>15.3</v>
      </c>
      <c r="S53" s="172">
        <v>102</v>
      </c>
      <c r="T53" s="175">
        <f t="shared" si="1"/>
        <v>33</v>
      </c>
      <c r="U53" s="172">
        <v>298</v>
      </c>
      <c r="V53" s="175">
        <f t="shared" si="2"/>
        <v>983.4</v>
      </c>
      <c r="W53" s="172">
        <v>4</v>
      </c>
      <c r="X53" s="172" t="s">
        <v>63</v>
      </c>
      <c r="Y53" s="172" t="s">
        <v>46</v>
      </c>
      <c r="Z53" s="172" t="s">
        <v>54</v>
      </c>
      <c r="AA53" s="172" t="s">
        <v>161</v>
      </c>
      <c r="AB53" s="172" t="s">
        <v>48</v>
      </c>
    </row>
    <row r="54" spans="1:28" s="172" customFormat="1" ht="13.5" customHeight="1">
      <c r="A54" s="172" t="s">
        <v>35</v>
      </c>
      <c r="B54" s="172" t="s">
        <v>36</v>
      </c>
      <c r="C54" s="172">
        <v>2021</v>
      </c>
      <c r="D54" s="214" t="s">
        <v>247</v>
      </c>
      <c r="E54" s="172" t="s">
        <v>37</v>
      </c>
      <c r="F54" s="172" t="s">
        <v>280</v>
      </c>
      <c r="G54" s="172" t="s">
        <v>39</v>
      </c>
      <c r="H54" s="172" t="s">
        <v>40</v>
      </c>
      <c r="I54" s="172" t="s">
        <v>41</v>
      </c>
      <c r="J54" s="172" t="s">
        <v>42</v>
      </c>
      <c r="K54" s="172" t="s">
        <v>43</v>
      </c>
      <c r="L54" s="172">
        <v>2</v>
      </c>
      <c r="N54" s="172">
        <v>10</v>
      </c>
      <c r="O54" s="172">
        <v>0.7</v>
      </c>
      <c r="P54" s="172">
        <v>0.75</v>
      </c>
      <c r="Q54" s="173">
        <f t="shared" si="0"/>
        <v>0.72499999999999998</v>
      </c>
      <c r="R54" s="172">
        <v>14.4</v>
      </c>
      <c r="S54" s="172">
        <v>104</v>
      </c>
      <c r="T54" s="175">
        <f t="shared" si="1"/>
        <v>33</v>
      </c>
      <c r="U54" s="172">
        <v>298</v>
      </c>
      <c r="V54" s="175">
        <f t="shared" si="2"/>
        <v>983.4</v>
      </c>
      <c r="W54" s="172">
        <v>4</v>
      </c>
      <c r="X54" s="172" t="s">
        <v>63</v>
      </c>
      <c r="Y54" s="172" t="s">
        <v>46</v>
      </c>
      <c r="Z54" s="172" t="s">
        <v>54</v>
      </c>
      <c r="AA54" s="172" t="s">
        <v>161</v>
      </c>
      <c r="AB54" s="172" t="s">
        <v>48</v>
      </c>
    </row>
    <row r="55" spans="1:28" s="172" customFormat="1" ht="13.5" customHeight="1">
      <c r="A55" s="172" t="s">
        <v>35</v>
      </c>
      <c r="B55" s="172" t="s">
        <v>36</v>
      </c>
      <c r="C55" s="172">
        <v>2021</v>
      </c>
      <c r="D55" s="214" t="s">
        <v>247</v>
      </c>
      <c r="E55" s="172" t="s">
        <v>37</v>
      </c>
      <c r="F55" s="172" t="s">
        <v>280</v>
      </c>
      <c r="G55" s="172" t="s">
        <v>39</v>
      </c>
      <c r="H55" s="172" t="s">
        <v>40</v>
      </c>
      <c r="I55" s="172" t="s">
        <v>41</v>
      </c>
      <c r="J55" s="172" t="s">
        <v>42</v>
      </c>
      <c r="K55" s="172" t="s">
        <v>43</v>
      </c>
      <c r="L55" s="172">
        <v>3</v>
      </c>
      <c r="N55" s="172">
        <v>10</v>
      </c>
      <c r="O55" s="172">
        <v>0.5</v>
      </c>
      <c r="P55" s="172">
        <v>0.45</v>
      </c>
      <c r="Q55" s="173">
        <f t="shared" si="0"/>
        <v>0.47499999999999998</v>
      </c>
      <c r="R55" s="172">
        <v>13.5</v>
      </c>
      <c r="S55" s="172">
        <v>102.5</v>
      </c>
      <c r="T55" s="175">
        <f t="shared" si="1"/>
        <v>33</v>
      </c>
      <c r="U55" s="172">
        <v>298</v>
      </c>
      <c r="V55" s="175">
        <f t="shared" si="2"/>
        <v>983.4</v>
      </c>
      <c r="W55" s="172">
        <v>4</v>
      </c>
      <c r="X55" s="172" t="s">
        <v>63</v>
      </c>
      <c r="Y55" s="172" t="s">
        <v>46</v>
      </c>
      <c r="Z55" s="172" t="s">
        <v>54</v>
      </c>
      <c r="AA55" s="172" t="s">
        <v>161</v>
      </c>
      <c r="AB55" s="172" t="s">
        <v>48</v>
      </c>
    </row>
    <row r="56" spans="1:28" s="172" customFormat="1" ht="13.5" customHeight="1">
      <c r="A56" s="172" t="s">
        <v>35</v>
      </c>
      <c r="B56" s="172" t="s">
        <v>36</v>
      </c>
      <c r="C56" s="172">
        <v>2021</v>
      </c>
      <c r="D56" s="214" t="s">
        <v>247</v>
      </c>
      <c r="E56" s="172" t="s">
        <v>281</v>
      </c>
      <c r="F56" s="172" t="s">
        <v>268</v>
      </c>
      <c r="G56" s="172" t="s">
        <v>58</v>
      </c>
      <c r="H56" s="172" t="s">
        <v>40</v>
      </c>
      <c r="I56" s="172" t="s">
        <v>41</v>
      </c>
      <c r="J56" s="172" t="s">
        <v>42</v>
      </c>
      <c r="K56" s="172" t="s">
        <v>43</v>
      </c>
      <c r="L56" s="172">
        <v>1</v>
      </c>
      <c r="N56" s="172">
        <v>14</v>
      </c>
      <c r="O56" s="172">
        <v>0.2</v>
      </c>
      <c r="P56" s="172">
        <v>0.2</v>
      </c>
      <c r="Q56" s="173">
        <f t="shared" si="0"/>
        <v>0.2</v>
      </c>
      <c r="R56" s="172">
        <v>17.3</v>
      </c>
      <c r="S56" s="172">
        <v>79.5</v>
      </c>
      <c r="T56" s="175">
        <f t="shared" si="1"/>
        <v>39</v>
      </c>
      <c r="U56" s="172">
        <v>780</v>
      </c>
      <c r="V56" s="175">
        <f t="shared" si="2"/>
        <v>2172.8571428571431</v>
      </c>
      <c r="W56" s="172">
        <v>2</v>
      </c>
      <c r="X56" s="172" t="s">
        <v>63</v>
      </c>
      <c r="Y56" s="172" t="s">
        <v>46</v>
      </c>
      <c r="Z56" s="172" t="s">
        <v>54</v>
      </c>
      <c r="AA56" s="172" t="s">
        <v>45</v>
      </c>
      <c r="AB56" s="172" t="s">
        <v>48</v>
      </c>
    </row>
    <row r="57" spans="1:28" s="172" customFormat="1" ht="13.5" customHeight="1">
      <c r="A57" s="172" t="s">
        <v>35</v>
      </c>
      <c r="B57" s="172" t="s">
        <v>36</v>
      </c>
      <c r="C57" s="172">
        <v>2021</v>
      </c>
      <c r="D57" s="214" t="s">
        <v>247</v>
      </c>
      <c r="E57" s="172" t="s">
        <v>281</v>
      </c>
      <c r="F57" s="172" t="s">
        <v>268</v>
      </c>
      <c r="G57" s="172" t="s">
        <v>58</v>
      </c>
      <c r="H57" s="172" t="s">
        <v>40</v>
      </c>
      <c r="I57" s="172" t="s">
        <v>41</v>
      </c>
      <c r="J57" s="172" t="s">
        <v>42</v>
      </c>
      <c r="K57" s="172" t="s">
        <v>43</v>
      </c>
      <c r="L57" s="172">
        <v>2</v>
      </c>
      <c r="N57" s="172">
        <v>14</v>
      </c>
      <c r="O57" s="172">
        <v>0.2</v>
      </c>
      <c r="P57" s="172">
        <v>0.2</v>
      </c>
      <c r="Q57" s="173">
        <f t="shared" si="0"/>
        <v>0.2</v>
      </c>
      <c r="R57" s="172">
        <v>15.8</v>
      </c>
      <c r="S57" s="172">
        <v>79.5</v>
      </c>
      <c r="T57" s="175">
        <f t="shared" si="1"/>
        <v>39</v>
      </c>
      <c r="U57" s="172">
        <v>780</v>
      </c>
      <c r="V57" s="175">
        <f t="shared" si="2"/>
        <v>2172.8571428571431</v>
      </c>
      <c r="W57" s="172">
        <v>2</v>
      </c>
      <c r="X57" s="172" t="s">
        <v>63</v>
      </c>
      <c r="Y57" s="172" t="s">
        <v>46</v>
      </c>
      <c r="Z57" s="172" t="s">
        <v>54</v>
      </c>
      <c r="AA57" s="172" t="s">
        <v>45</v>
      </c>
      <c r="AB57" s="172" t="s">
        <v>48</v>
      </c>
    </row>
    <row r="58" spans="1:28" s="172" customFormat="1" ht="13.5" customHeight="1">
      <c r="A58" s="172" t="s">
        <v>35</v>
      </c>
      <c r="B58" s="172" t="s">
        <v>36</v>
      </c>
      <c r="C58" s="172">
        <v>2021</v>
      </c>
      <c r="D58" s="214" t="s">
        <v>247</v>
      </c>
      <c r="E58" s="172" t="s">
        <v>281</v>
      </c>
      <c r="F58" s="172" t="s">
        <v>268</v>
      </c>
      <c r="G58" s="172" t="s">
        <v>58</v>
      </c>
      <c r="H58" s="172" t="s">
        <v>40</v>
      </c>
      <c r="I58" s="172" t="s">
        <v>41</v>
      </c>
      <c r="J58" s="172" t="s">
        <v>42</v>
      </c>
      <c r="K58" s="172" t="s">
        <v>43</v>
      </c>
      <c r="L58" s="172">
        <v>3</v>
      </c>
      <c r="N58" s="172">
        <v>14</v>
      </c>
      <c r="O58" s="172">
        <v>0.2</v>
      </c>
      <c r="P58" s="172">
        <v>0.2</v>
      </c>
      <c r="Q58" s="173">
        <f t="shared" si="0"/>
        <v>0.2</v>
      </c>
      <c r="R58" s="172">
        <v>16.600000000000001</v>
      </c>
      <c r="S58" s="172">
        <v>75.5</v>
      </c>
      <c r="T58" s="175">
        <f t="shared" si="1"/>
        <v>42</v>
      </c>
      <c r="U58" s="172">
        <v>780</v>
      </c>
      <c r="V58" s="175">
        <f t="shared" si="2"/>
        <v>2340</v>
      </c>
      <c r="W58" s="172">
        <v>2</v>
      </c>
      <c r="X58" s="172" t="s">
        <v>63</v>
      </c>
      <c r="Y58" s="172" t="s">
        <v>46</v>
      </c>
      <c r="Z58" s="172" t="s">
        <v>54</v>
      </c>
      <c r="AA58" s="172" t="s">
        <v>45</v>
      </c>
      <c r="AB58" s="172" t="s">
        <v>48</v>
      </c>
    </row>
    <row r="59" spans="1:28" s="172" customFormat="1" ht="13.5" customHeight="1">
      <c r="A59" s="172" t="s">
        <v>35</v>
      </c>
      <c r="B59" s="172" t="s">
        <v>36</v>
      </c>
      <c r="C59" s="172">
        <v>2021</v>
      </c>
      <c r="D59" s="214" t="s">
        <v>247</v>
      </c>
      <c r="E59" s="172" t="s">
        <v>281</v>
      </c>
      <c r="F59" s="172" t="s">
        <v>268</v>
      </c>
      <c r="G59" s="172" t="s">
        <v>58</v>
      </c>
      <c r="H59" s="172" t="s">
        <v>157</v>
      </c>
      <c r="I59" s="172" t="s">
        <v>41</v>
      </c>
      <c r="J59" s="172" t="s">
        <v>42</v>
      </c>
      <c r="K59" s="172" t="s">
        <v>123</v>
      </c>
      <c r="L59" s="172">
        <v>1</v>
      </c>
      <c r="N59" s="172">
        <v>1</v>
      </c>
      <c r="O59" s="172">
        <v>0.2</v>
      </c>
      <c r="P59" s="172">
        <v>0.2</v>
      </c>
      <c r="Q59" s="173">
        <f t="shared" si="0"/>
        <v>0.2</v>
      </c>
      <c r="R59" s="172">
        <v>16.3</v>
      </c>
      <c r="S59" s="172">
        <v>112.5</v>
      </c>
      <c r="T59" s="175">
        <f t="shared" si="1"/>
        <v>33</v>
      </c>
      <c r="U59" s="172">
        <v>198</v>
      </c>
      <c r="V59" s="175">
        <f t="shared" si="2"/>
        <v>6534</v>
      </c>
      <c r="W59" s="172">
        <v>2</v>
      </c>
      <c r="X59" s="172" t="s">
        <v>63</v>
      </c>
      <c r="Y59" s="172" t="s">
        <v>46</v>
      </c>
      <c r="Z59" s="172" t="s">
        <v>54</v>
      </c>
      <c r="AA59" s="172" t="s">
        <v>45</v>
      </c>
      <c r="AB59" s="172" t="s">
        <v>48</v>
      </c>
    </row>
    <row r="60" spans="1:28" s="172" customFormat="1" ht="13.5" customHeight="1">
      <c r="A60" s="172" t="s">
        <v>35</v>
      </c>
      <c r="B60" s="172" t="s">
        <v>36</v>
      </c>
      <c r="C60" s="172">
        <v>2021</v>
      </c>
      <c r="D60" s="214" t="s">
        <v>247</v>
      </c>
      <c r="E60" s="172" t="s">
        <v>281</v>
      </c>
      <c r="F60" s="172" t="s">
        <v>268</v>
      </c>
      <c r="G60" s="172" t="s">
        <v>58</v>
      </c>
      <c r="H60" s="172" t="s">
        <v>157</v>
      </c>
      <c r="I60" s="172" t="s">
        <v>41</v>
      </c>
      <c r="J60" s="172" t="s">
        <v>42</v>
      </c>
      <c r="K60" s="172" t="s">
        <v>123</v>
      </c>
      <c r="L60" s="172">
        <v>2</v>
      </c>
      <c r="N60" s="172">
        <v>1</v>
      </c>
      <c r="O60" s="172">
        <v>0.2</v>
      </c>
      <c r="P60" s="172">
        <v>0.2</v>
      </c>
      <c r="Q60" s="173">
        <f t="shared" si="0"/>
        <v>0.2</v>
      </c>
      <c r="R60" s="172">
        <v>16.100000000000001</v>
      </c>
      <c r="S60" s="172">
        <v>114</v>
      </c>
      <c r="T60" s="175">
        <f t="shared" si="1"/>
        <v>33</v>
      </c>
      <c r="U60" s="172">
        <v>198</v>
      </c>
      <c r="V60" s="175">
        <f t="shared" si="2"/>
        <v>6534</v>
      </c>
      <c r="W60" s="172">
        <v>2</v>
      </c>
      <c r="X60" s="172" t="s">
        <v>63</v>
      </c>
      <c r="Y60" s="172" t="s">
        <v>46</v>
      </c>
      <c r="Z60" s="172" t="s">
        <v>54</v>
      </c>
      <c r="AA60" s="172" t="s">
        <v>45</v>
      </c>
      <c r="AB60" s="172" t="s">
        <v>48</v>
      </c>
    </row>
    <row r="61" spans="1:28" s="172" customFormat="1" ht="13.5" customHeight="1">
      <c r="A61" s="172" t="s">
        <v>35</v>
      </c>
      <c r="B61" s="172" t="s">
        <v>36</v>
      </c>
      <c r="C61" s="172">
        <v>2021</v>
      </c>
      <c r="D61" s="214" t="s">
        <v>247</v>
      </c>
      <c r="E61" s="172" t="s">
        <v>281</v>
      </c>
      <c r="F61" s="172" t="s">
        <v>268</v>
      </c>
      <c r="G61" s="172" t="s">
        <v>58</v>
      </c>
      <c r="H61" s="172" t="s">
        <v>157</v>
      </c>
      <c r="I61" s="172" t="s">
        <v>41</v>
      </c>
      <c r="J61" s="172" t="s">
        <v>42</v>
      </c>
      <c r="K61" s="172" t="s">
        <v>123</v>
      </c>
      <c r="L61" s="172">
        <v>3</v>
      </c>
      <c r="N61" s="172">
        <v>1</v>
      </c>
      <c r="O61" s="172">
        <v>0.2</v>
      </c>
      <c r="P61" s="172">
        <v>0.2</v>
      </c>
      <c r="Q61" s="173">
        <f t="shared" si="0"/>
        <v>0.2</v>
      </c>
      <c r="R61" s="172">
        <v>17.5</v>
      </c>
      <c r="S61" s="172">
        <v>120</v>
      </c>
      <c r="T61" s="175">
        <f t="shared" si="1"/>
        <v>33</v>
      </c>
      <c r="U61" s="172">
        <v>198</v>
      </c>
      <c r="V61" s="175">
        <f t="shared" si="2"/>
        <v>6534</v>
      </c>
      <c r="W61" s="172">
        <v>2</v>
      </c>
      <c r="X61" s="172" t="s">
        <v>63</v>
      </c>
      <c r="Y61" s="172" t="s">
        <v>46</v>
      </c>
      <c r="Z61" s="172" t="s">
        <v>54</v>
      </c>
      <c r="AA61" s="172" t="s">
        <v>45</v>
      </c>
      <c r="AB61" s="172" t="s">
        <v>48</v>
      </c>
    </row>
    <row r="62" spans="1:28" s="172" customFormat="1" ht="13.5" customHeight="1">
      <c r="A62" s="172" t="s">
        <v>35</v>
      </c>
      <c r="B62" s="172" t="s">
        <v>36</v>
      </c>
      <c r="C62" s="172">
        <v>2021</v>
      </c>
      <c r="D62" s="214" t="s">
        <v>247</v>
      </c>
      <c r="E62" s="172" t="s">
        <v>282</v>
      </c>
      <c r="F62" s="172" t="s">
        <v>271</v>
      </c>
      <c r="G62" s="172" t="s">
        <v>39</v>
      </c>
      <c r="H62" s="172" t="s">
        <v>40</v>
      </c>
      <c r="I62" s="172" t="s">
        <v>41</v>
      </c>
      <c r="J62" s="172" t="s">
        <v>42</v>
      </c>
      <c r="K62" s="172" t="s">
        <v>43</v>
      </c>
      <c r="L62" s="172">
        <v>1</v>
      </c>
      <c r="N62" s="172">
        <v>1</v>
      </c>
      <c r="O62" s="172">
        <v>0.85</v>
      </c>
      <c r="P62" s="172">
        <v>0.9</v>
      </c>
      <c r="Q62" s="173">
        <f t="shared" si="0"/>
        <v>0.875</v>
      </c>
      <c r="R62" s="172">
        <v>15.7</v>
      </c>
      <c r="S62" s="172">
        <v>113.5</v>
      </c>
      <c r="T62" s="175">
        <f t="shared" si="1"/>
        <v>30</v>
      </c>
      <c r="U62" s="172">
        <v>98</v>
      </c>
      <c r="V62" s="175">
        <f t="shared" si="2"/>
        <v>2940</v>
      </c>
      <c r="W62" s="172">
        <v>2</v>
      </c>
      <c r="X62" s="172" t="s">
        <v>63</v>
      </c>
      <c r="Y62" s="172" t="s">
        <v>46</v>
      </c>
      <c r="Z62" s="172" t="s">
        <v>54</v>
      </c>
      <c r="AA62" s="172" t="s">
        <v>45</v>
      </c>
      <c r="AB62" s="172" t="s">
        <v>48</v>
      </c>
    </row>
    <row r="63" spans="1:28" s="172" customFormat="1" ht="13.5" customHeight="1">
      <c r="A63" s="172" t="s">
        <v>35</v>
      </c>
      <c r="B63" s="172" t="s">
        <v>36</v>
      </c>
      <c r="C63" s="172">
        <v>2021</v>
      </c>
      <c r="D63" s="214" t="s">
        <v>247</v>
      </c>
      <c r="E63" s="172" t="s">
        <v>282</v>
      </c>
      <c r="F63" s="172" t="s">
        <v>271</v>
      </c>
      <c r="G63" s="172" t="s">
        <v>39</v>
      </c>
      <c r="H63" s="172" t="s">
        <v>40</v>
      </c>
      <c r="I63" s="172" t="s">
        <v>41</v>
      </c>
      <c r="J63" s="172" t="s">
        <v>42</v>
      </c>
      <c r="K63" s="172" t="s">
        <v>43</v>
      </c>
      <c r="L63" s="172">
        <v>2</v>
      </c>
      <c r="N63" s="172">
        <v>1</v>
      </c>
      <c r="O63" s="172">
        <v>0.75</v>
      </c>
      <c r="P63" s="172">
        <v>0.6</v>
      </c>
      <c r="Q63" s="173">
        <f t="shared" si="0"/>
        <v>0.67500000000000004</v>
      </c>
      <c r="R63" s="172">
        <v>14.4</v>
      </c>
      <c r="S63" s="172">
        <v>106.5</v>
      </c>
      <c r="T63" s="175">
        <f t="shared" si="1"/>
        <v>33</v>
      </c>
      <c r="U63" s="172">
        <v>98</v>
      </c>
      <c r="V63" s="175">
        <f t="shared" si="2"/>
        <v>3234</v>
      </c>
      <c r="W63" s="172">
        <v>2</v>
      </c>
      <c r="X63" s="172" t="s">
        <v>63</v>
      </c>
      <c r="Y63" s="172" t="s">
        <v>46</v>
      </c>
      <c r="Z63" s="172" t="s">
        <v>54</v>
      </c>
      <c r="AA63" s="172" t="s">
        <v>45</v>
      </c>
      <c r="AB63" s="172" t="s">
        <v>48</v>
      </c>
    </row>
    <row r="64" spans="1:28" s="172" customFormat="1" ht="13.5" customHeight="1">
      <c r="A64" s="172" t="s">
        <v>35</v>
      </c>
      <c r="B64" s="172" t="s">
        <v>36</v>
      </c>
      <c r="C64" s="172">
        <v>2021</v>
      </c>
      <c r="D64" s="214" t="s">
        <v>247</v>
      </c>
      <c r="E64" s="172" t="s">
        <v>282</v>
      </c>
      <c r="F64" s="172" t="s">
        <v>271</v>
      </c>
      <c r="G64" s="172" t="s">
        <v>39</v>
      </c>
      <c r="H64" s="172" t="s">
        <v>40</v>
      </c>
      <c r="I64" s="172" t="s">
        <v>41</v>
      </c>
      <c r="J64" s="172" t="s">
        <v>42</v>
      </c>
      <c r="K64" s="172" t="s">
        <v>43</v>
      </c>
      <c r="L64" s="172">
        <v>3</v>
      </c>
      <c r="N64" s="172">
        <v>1</v>
      </c>
      <c r="O64" s="172">
        <v>0.5</v>
      </c>
      <c r="P64" s="172">
        <v>0.45</v>
      </c>
      <c r="Q64" s="173">
        <f t="shared" si="0"/>
        <v>0.47499999999999998</v>
      </c>
      <c r="R64" s="172">
        <v>14.1</v>
      </c>
      <c r="S64" s="172">
        <v>100</v>
      </c>
      <c r="T64" s="175">
        <f t="shared" si="1"/>
        <v>33</v>
      </c>
      <c r="U64" s="172">
        <v>98</v>
      </c>
      <c r="V64" s="175">
        <f t="shared" si="2"/>
        <v>3234</v>
      </c>
      <c r="W64" s="172">
        <v>2</v>
      </c>
      <c r="X64" s="172" t="s">
        <v>63</v>
      </c>
      <c r="Y64" s="172" t="s">
        <v>46</v>
      </c>
      <c r="Z64" s="172" t="s">
        <v>54</v>
      </c>
      <c r="AA64" s="172" t="s">
        <v>45</v>
      </c>
      <c r="AB64" s="172" t="s">
        <v>48</v>
      </c>
    </row>
    <row r="65" spans="1:28" s="172" customFormat="1" ht="13.5" customHeight="1">
      <c r="A65" s="172" t="s">
        <v>35</v>
      </c>
      <c r="B65" s="172" t="s">
        <v>36</v>
      </c>
      <c r="C65" s="172">
        <v>2021</v>
      </c>
      <c r="D65" s="214" t="s">
        <v>247</v>
      </c>
      <c r="E65" s="172" t="s">
        <v>282</v>
      </c>
      <c r="F65" s="172" t="s">
        <v>271</v>
      </c>
      <c r="G65" s="172" t="s">
        <v>39</v>
      </c>
      <c r="H65" s="172" t="s">
        <v>40</v>
      </c>
      <c r="I65" s="172" t="s">
        <v>153</v>
      </c>
      <c r="J65" s="172" t="s">
        <v>42</v>
      </c>
      <c r="K65" s="172" t="s">
        <v>43</v>
      </c>
      <c r="L65" s="172">
        <v>1</v>
      </c>
      <c r="N65" s="172">
        <v>4</v>
      </c>
      <c r="O65" s="172">
        <v>0.45</v>
      </c>
      <c r="P65" s="172">
        <v>0.45</v>
      </c>
      <c r="Q65" s="173">
        <f t="shared" si="0"/>
        <v>0.45</v>
      </c>
      <c r="R65" s="172">
        <v>14.6</v>
      </c>
      <c r="S65" s="172">
        <v>99.5</v>
      </c>
      <c r="T65" s="175">
        <f t="shared" si="1"/>
        <v>33</v>
      </c>
      <c r="U65" s="172">
        <v>398</v>
      </c>
      <c r="V65" s="175">
        <f t="shared" si="2"/>
        <v>3283.5</v>
      </c>
      <c r="W65" s="172">
        <v>2</v>
      </c>
      <c r="X65" s="172" t="s">
        <v>63</v>
      </c>
      <c r="Y65" s="172" t="s">
        <v>46</v>
      </c>
      <c r="Z65" s="172" t="s">
        <v>54</v>
      </c>
      <c r="AA65" s="172" t="s">
        <v>45</v>
      </c>
      <c r="AB65" s="172" t="s">
        <v>48</v>
      </c>
    </row>
    <row r="66" spans="1:28" s="172" customFormat="1" ht="13.5" customHeight="1">
      <c r="A66" s="172" t="s">
        <v>35</v>
      </c>
      <c r="B66" s="172" t="s">
        <v>36</v>
      </c>
      <c r="C66" s="172">
        <v>2021</v>
      </c>
      <c r="D66" s="214" t="s">
        <v>247</v>
      </c>
      <c r="E66" s="172" t="s">
        <v>282</v>
      </c>
      <c r="F66" s="172" t="s">
        <v>271</v>
      </c>
      <c r="G66" s="172" t="s">
        <v>39</v>
      </c>
      <c r="H66" s="172" t="s">
        <v>40</v>
      </c>
      <c r="I66" s="172" t="s">
        <v>153</v>
      </c>
      <c r="J66" s="172" t="s">
        <v>42</v>
      </c>
      <c r="K66" s="172" t="s">
        <v>43</v>
      </c>
      <c r="L66" s="172">
        <v>2</v>
      </c>
      <c r="N66" s="172">
        <v>4</v>
      </c>
      <c r="O66" s="172">
        <v>0.2</v>
      </c>
      <c r="P66" s="172">
        <v>0.45</v>
      </c>
      <c r="Q66" s="173">
        <f t="shared" ref="Q66:Q131" si="3">IF(OR(O66="",P66=""),"",AVERAGE(O66,P66))</f>
        <v>0.32500000000000001</v>
      </c>
      <c r="R66" s="172">
        <v>14.8</v>
      </c>
      <c r="S66" s="172">
        <v>103.5</v>
      </c>
      <c r="T66" s="175">
        <f t="shared" ref="T66:T129" si="4">IF(H66="","",IF(OR(H66="GREEN",H66="GK"),IF(S66&gt;=$AX$2,VLOOKUP(S66,$AX$2:$AY$9,2,1),""),IF(S66&gt;=$AZ$2,VLOOKUP(S66,$AZ$2:$BA$9,2,1),"")))</f>
        <v>33</v>
      </c>
      <c r="U66" s="172">
        <v>398</v>
      </c>
      <c r="V66" s="175">
        <f t="shared" si="2"/>
        <v>3283.5</v>
      </c>
      <c r="W66" s="172">
        <v>2</v>
      </c>
      <c r="X66" s="172" t="s">
        <v>63</v>
      </c>
      <c r="Y66" s="172" t="s">
        <v>46</v>
      </c>
      <c r="Z66" s="172" t="s">
        <v>54</v>
      </c>
      <c r="AA66" s="172" t="s">
        <v>45</v>
      </c>
      <c r="AB66" s="172" t="s">
        <v>48</v>
      </c>
    </row>
    <row r="67" spans="1:28" s="172" customFormat="1" ht="13.5" customHeight="1">
      <c r="A67" s="172" t="s">
        <v>35</v>
      </c>
      <c r="B67" s="172" t="s">
        <v>36</v>
      </c>
      <c r="C67" s="172">
        <v>2021</v>
      </c>
      <c r="D67" s="214" t="s">
        <v>247</v>
      </c>
      <c r="E67" s="172" t="s">
        <v>282</v>
      </c>
      <c r="F67" s="172" t="s">
        <v>271</v>
      </c>
      <c r="G67" s="172" t="s">
        <v>39</v>
      </c>
      <c r="H67" s="172" t="s">
        <v>40</v>
      </c>
      <c r="I67" s="172" t="s">
        <v>153</v>
      </c>
      <c r="J67" s="172" t="s">
        <v>42</v>
      </c>
      <c r="K67" s="172" t="s">
        <v>43</v>
      </c>
      <c r="L67" s="172">
        <v>3</v>
      </c>
      <c r="N67" s="172">
        <v>4</v>
      </c>
      <c r="O67" s="172">
        <v>0.2</v>
      </c>
      <c r="P67" s="172">
        <v>0.2</v>
      </c>
      <c r="Q67" s="173">
        <f t="shared" si="3"/>
        <v>0.2</v>
      </c>
      <c r="R67" s="172">
        <v>15.6</v>
      </c>
      <c r="S67" s="172">
        <v>93</v>
      </c>
      <c r="T67" s="175">
        <f t="shared" si="4"/>
        <v>36</v>
      </c>
      <c r="U67" s="172">
        <v>398</v>
      </c>
      <c r="V67" s="175">
        <f t="shared" si="2"/>
        <v>3582</v>
      </c>
      <c r="W67" s="172">
        <v>2</v>
      </c>
      <c r="X67" s="172" t="s">
        <v>63</v>
      </c>
      <c r="Y67" s="172" t="s">
        <v>46</v>
      </c>
      <c r="Z67" s="172" t="s">
        <v>54</v>
      </c>
      <c r="AA67" s="172" t="s">
        <v>45</v>
      </c>
      <c r="AB67" s="172" t="s">
        <v>48</v>
      </c>
    </row>
    <row r="68" spans="1:28">
      <c r="D68" s="54"/>
      <c r="Q68" s="26" t="str">
        <f t="shared" si="3"/>
        <v/>
      </c>
      <c r="T68" s="24" t="str">
        <f t="shared" si="4"/>
        <v/>
      </c>
      <c r="V68" s="24" t="str">
        <f t="shared" si="2"/>
        <v/>
      </c>
    </row>
    <row r="69" spans="1:28">
      <c r="D69" s="54"/>
      <c r="Q69" s="26" t="str">
        <f t="shared" si="3"/>
        <v/>
      </c>
      <c r="T69" s="24" t="str">
        <f t="shared" si="4"/>
        <v/>
      </c>
      <c r="V69" s="24" t="str">
        <f t="shared" si="2"/>
        <v/>
      </c>
    </row>
    <row r="70" spans="1:28">
      <c r="D70" s="54"/>
      <c r="Q70" s="26" t="str">
        <f t="shared" si="3"/>
        <v/>
      </c>
      <c r="T70" s="24" t="str">
        <f t="shared" si="4"/>
        <v/>
      </c>
      <c r="V70" s="24" t="str">
        <f t="shared" si="2"/>
        <v/>
      </c>
    </row>
    <row r="71" spans="1:28">
      <c r="D71" s="54"/>
      <c r="Q71" s="26" t="str">
        <f t="shared" si="3"/>
        <v/>
      </c>
      <c r="T71" s="24" t="str">
        <f t="shared" si="4"/>
        <v/>
      </c>
      <c r="V71" s="24" t="str">
        <f t="shared" si="2"/>
        <v/>
      </c>
    </row>
    <row r="72" spans="1:28">
      <c r="D72" s="54"/>
      <c r="Q72" s="26" t="str">
        <f t="shared" si="3"/>
        <v/>
      </c>
      <c r="T72" s="24" t="str">
        <f t="shared" si="4"/>
        <v/>
      </c>
      <c r="V72" s="24" t="str">
        <f t="shared" si="2"/>
        <v/>
      </c>
    </row>
    <row r="73" spans="1:28">
      <c r="D73" s="54"/>
      <c r="Q73" s="26" t="str">
        <f t="shared" si="3"/>
        <v/>
      </c>
      <c r="T73" s="24" t="str">
        <f t="shared" si="4"/>
        <v/>
      </c>
      <c r="V73" s="24" t="str">
        <f t="shared" si="2"/>
        <v/>
      </c>
    </row>
    <row r="74" spans="1:28">
      <c r="D74" s="54"/>
      <c r="Q74" s="26" t="str">
        <f t="shared" si="3"/>
        <v/>
      </c>
      <c r="T74" s="24" t="str">
        <f t="shared" si="4"/>
        <v/>
      </c>
      <c r="V74" s="24" t="str">
        <f t="shared" si="2"/>
        <v/>
      </c>
    </row>
    <row r="75" spans="1:28">
      <c r="D75" s="54"/>
      <c r="Q75" s="26" t="str">
        <f t="shared" si="3"/>
        <v/>
      </c>
      <c r="T75" s="24" t="str">
        <f t="shared" si="4"/>
        <v/>
      </c>
      <c r="V75" s="24" t="str">
        <f t="shared" si="2"/>
        <v/>
      </c>
    </row>
    <row r="76" spans="1:28">
      <c r="D76" s="54"/>
      <c r="Q76" s="26" t="str">
        <f t="shared" si="3"/>
        <v/>
      </c>
      <c r="T76" s="24" t="str">
        <f t="shared" si="4"/>
        <v/>
      </c>
      <c r="V76" s="24" t="str">
        <f t="shared" si="2"/>
        <v/>
      </c>
    </row>
    <row r="77" spans="1:28">
      <c r="D77" s="54"/>
      <c r="Q77" s="26" t="str">
        <f t="shared" si="3"/>
        <v/>
      </c>
      <c r="T77" s="24" t="str">
        <f t="shared" si="4"/>
        <v/>
      </c>
      <c r="V77" s="24" t="str">
        <f t="shared" si="2"/>
        <v/>
      </c>
    </row>
    <row r="78" spans="1:28">
      <c r="D78" s="54"/>
      <c r="Q78" s="26" t="str">
        <f t="shared" si="3"/>
        <v/>
      </c>
      <c r="T78" s="24" t="str">
        <f t="shared" si="4"/>
        <v/>
      </c>
      <c r="V78" s="24" t="str">
        <f t="shared" si="2"/>
        <v/>
      </c>
    </row>
    <row r="79" spans="1:28">
      <c r="D79" s="54"/>
      <c r="Q79" s="26" t="str">
        <f t="shared" si="3"/>
        <v/>
      </c>
      <c r="T79" s="24" t="str">
        <f t="shared" si="4"/>
        <v/>
      </c>
      <c r="V79" s="24" t="str">
        <f t="shared" si="2"/>
        <v/>
      </c>
    </row>
    <row r="80" spans="1:28">
      <c r="D80" s="54"/>
      <c r="Q80" s="26" t="str">
        <f t="shared" si="3"/>
        <v/>
      </c>
      <c r="T80" s="24" t="str">
        <f t="shared" si="4"/>
        <v/>
      </c>
      <c r="V80" s="24" t="str">
        <f t="shared" si="2"/>
        <v/>
      </c>
    </row>
    <row r="81" spans="4:22">
      <c r="D81" s="54"/>
      <c r="Q81" s="26" t="str">
        <f t="shared" si="3"/>
        <v/>
      </c>
      <c r="T81" s="24" t="str">
        <f t="shared" si="4"/>
        <v/>
      </c>
      <c r="V81" s="24" t="str">
        <f t="shared" si="2"/>
        <v/>
      </c>
    </row>
    <row r="82" spans="4:22">
      <c r="D82" s="54"/>
      <c r="Q82" s="26" t="str">
        <f t="shared" si="3"/>
        <v/>
      </c>
      <c r="T82" s="24" t="str">
        <f t="shared" si="4"/>
        <v/>
      </c>
      <c r="V82" s="24" t="str">
        <f t="shared" si="2"/>
        <v/>
      </c>
    </row>
    <row r="83" spans="4:22">
      <c r="D83" s="54"/>
      <c r="Q83" s="26" t="str">
        <f t="shared" si="3"/>
        <v/>
      </c>
      <c r="T83" s="24" t="str">
        <f t="shared" si="4"/>
        <v/>
      </c>
      <c r="V83" s="24" t="str">
        <f t="shared" si="2"/>
        <v/>
      </c>
    </row>
    <row r="84" spans="4:22">
      <c r="D84" s="54"/>
      <c r="Q84" s="26" t="str">
        <f t="shared" si="3"/>
        <v/>
      </c>
      <c r="T84" s="24" t="str">
        <f t="shared" si="4"/>
        <v/>
      </c>
      <c r="V84" s="24" t="str">
        <f t="shared" si="2"/>
        <v/>
      </c>
    </row>
    <row r="85" spans="4:22">
      <c r="D85" s="54"/>
      <c r="Q85" s="26" t="str">
        <f t="shared" si="3"/>
        <v/>
      </c>
      <c r="T85" s="24" t="str">
        <f t="shared" si="4"/>
        <v/>
      </c>
      <c r="V85" s="24" t="str">
        <f t="shared" si="2"/>
        <v/>
      </c>
    </row>
    <row r="86" spans="4:22">
      <c r="D86" s="54"/>
      <c r="Q86" s="26" t="str">
        <f t="shared" si="3"/>
        <v/>
      </c>
      <c r="T86" s="24" t="str">
        <f t="shared" si="4"/>
        <v/>
      </c>
      <c r="V86" s="24" t="str">
        <f t="shared" si="2"/>
        <v/>
      </c>
    </row>
    <row r="87" spans="4:22">
      <c r="D87" s="54"/>
      <c r="Q87" s="26" t="str">
        <f t="shared" si="3"/>
        <v/>
      </c>
      <c r="T87" s="24" t="str">
        <f t="shared" si="4"/>
        <v/>
      </c>
      <c r="V87" s="24" t="str">
        <f t="shared" si="2"/>
        <v/>
      </c>
    </row>
    <row r="88" spans="4:22">
      <c r="D88" s="54"/>
      <c r="Q88" s="24" t="str">
        <f t="shared" si="3"/>
        <v/>
      </c>
      <c r="T88" s="24" t="str">
        <f t="shared" si="4"/>
        <v/>
      </c>
      <c r="V88" s="24" t="str">
        <f t="shared" si="2"/>
        <v/>
      </c>
    </row>
    <row r="89" spans="4:22">
      <c r="D89" s="54"/>
      <c r="Q89" s="24" t="str">
        <f t="shared" si="3"/>
        <v/>
      </c>
      <c r="T89" s="24" t="str">
        <f t="shared" si="4"/>
        <v/>
      </c>
      <c r="V89" s="24" t="str">
        <f t="shared" si="2"/>
        <v/>
      </c>
    </row>
    <row r="90" spans="4:22">
      <c r="D90" s="54"/>
      <c r="Q90" s="24" t="str">
        <f t="shared" si="3"/>
        <v/>
      </c>
      <c r="T90" s="24" t="str">
        <f t="shared" si="4"/>
        <v/>
      </c>
      <c r="V90" s="24" t="str">
        <f t="shared" si="2"/>
        <v/>
      </c>
    </row>
    <row r="91" spans="4:22">
      <c r="D91" s="54"/>
      <c r="Q91" s="24" t="str">
        <f t="shared" si="3"/>
        <v/>
      </c>
      <c r="T91" s="24" t="str">
        <f t="shared" si="4"/>
        <v/>
      </c>
      <c r="V91" s="24" t="str">
        <f t="shared" si="2"/>
        <v/>
      </c>
    </row>
    <row r="92" spans="4:22">
      <c r="D92" s="54"/>
      <c r="Q92" s="24" t="str">
        <f t="shared" si="3"/>
        <v/>
      </c>
      <c r="T92" s="24" t="str">
        <f t="shared" si="4"/>
        <v/>
      </c>
      <c r="V92" s="24" t="str">
        <f t="shared" si="2"/>
        <v/>
      </c>
    </row>
    <row r="93" spans="4:22">
      <c r="D93" s="54"/>
      <c r="Q93" s="24" t="str">
        <f t="shared" si="3"/>
        <v/>
      </c>
      <c r="T93" s="24" t="str">
        <f t="shared" si="4"/>
        <v/>
      </c>
      <c r="V93" s="24" t="str">
        <f t="shared" si="2"/>
        <v/>
      </c>
    </row>
    <row r="94" spans="4:22">
      <c r="D94" s="54"/>
      <c r="Q94" s="24" t="str">
        <f t="shared" si="3"/>
        <v/>
      </c>
      <c r="T94" s="24" t="str">
        <f t="shared" si="4"/>
        <v/>
      </c>
      <c r="V94" s="24" t="str">
        <f t="shared" si="2"/>
        <v/>
      </c>
    </row>
    <row r="95" spans="4:22">
      <c r="D95" s="54"/>
      <c r="T95" s="24" t="str">
        <f t="shared" si="4"/>
        <v/>
      </c>
      <c r="V95" s="24" t="str">
        <f t="shared" si="2"/>
        <v/>
      </c>
    </row>
    <row r="96" spans="4:22">
      <c r="D96" s="54"/>
      <c r="T96" s="24" t="str">
        <f t="shared" si="4"/>
        <v/>
      </c>
      <c r="V96" s="24" t="str">
        <f t="shared" si="2"/>
        <v/>
      </c>
    </row>
    <row r="97" spans="4:22">
      <c r="D97" s="54"/>
      <c r="T97" s="24" t="str">
        <f t="shared" si="4"/>
        <v/>
      </c>
      <c r="V97" s="24" t="str">
        <f t="shared" si="2"/>
        <v/>
      </c>
    </row>
    <row r="98" spans="4:22">
      <c r="D98" s="54"/>
      <c r="T98" s="24" t="str">
        <f t="shared" si="4"/>
        <v/>
      </c>
      <c r="V98" s="24" t="str">
        <f t="shared" si="2"/>
        <v/>
      </c>
    </row>
    <row r="99" spans="4:22">
      <c r="D99" s="54"/>
      <c r="T99" s="24" t="str">
        <f t="shared" si="4"/>
        <v/>
      </c>
      <c r="V99" s="24" t="str">
        <f t="shared" si="2"/>
        <v/>
      </c>
    </row>
    <row r="100" spans="4:22">
      <c r="D100" s="54"/>
      <c r="T100" s="24" t="str">
        <f t="shared" si="4"/>
        <v/>
      </c>
      <c r="V100" s="24" t="str">
        <f t="shared" si="2"/>
        <v/>
      </c>
    </row>
    <row r="101" spans="4:22">
      <c r="D101" s="54"/>
      <c r="T101" s="24" t="str">
        <f t="shared" si="4"/>
        <v/>
      </c>
      <c r="V101" s="24" t="str">
        <f t="shared" si="2"/>
        <v/>
      </c>
    </row>
    <row r="102" spans="4:22">
      <c r="D102" s="54"/>
      <c r="T102" s="24" t="str">
        <f t="shared" si="4"/>
        <v/>
      </c>
      <c r="V102" s="24" t="str">
        <f t="shared" si="2"/>
        <v/>
      </c>
    </row>
    <row r="103" spans="4:22">
      <c r="D103" s="54"/>
      <c r="T103" s="24" t="str">
        <f t="shared" si="4"/>
        <v/>
      </c>
      <c r="V103" s="24" t="str">
        <f t="shared" si="2"/>
        <v/>
      </c>
    </row>
    <row r="104" spans="4:22">
      <c r="D104" s="54"/>
      <c r="T104" s="24" t="str">
        <f t="shared" si="4"/>
        <v/>
      </c>
      <c r="V104" s="24" t="str">
        <f t="shared" si="2"/>
        <v/>
      </c>
    </row>
    <row r="105" spans="4:22">
      <c r="D105" s="54"/>
      <c r="T105" s="24" t="str">
        <f t="shared" si="4"/>
        <v/>
      </c>
      <c r="V105" s="24" t="str">
        <f t="shared" si="2"/>
        <v/>
      </c>
    </row>
    <row r="106" spans="4:22">
      <c r="D106" s="54"/>
      <c r="T106" s="24" t="str">
        <f t="shared" si="4"/>
        <v/>
      </c>
      <c r="V106" s="24" t="str">
        <f t="shared" si="2"/>
        <v/>
      </c>
    </row>
    <row r="107" spans="4:22">
      <c r="D107" s="54"/>
      <c r="T107" s="24" t="str">
        <f t="shared" si="4"/>
        <v/>
      </c>
      <c r="V107" s="24" t="str">
        <f t="shared" si="2"/>
        <v/>
      </c>
    </row>
    <row r="108" spans="4:22">
      <c r="D108" s="54"/>
      <c r="T108" s="24" t="str">
        <f t="shared" si="4"/>
        <v/>
      </c>
      <c r="V108" s="24" t="str">
        <f t="shared" si="2"/>
        <v/>
      </c>
    </row>
    <row r="109" spans="4:22">
      <c r="D109" s="54"/>
      <c r="T109" s="24" t="str">
        <f t="shared" si="4"/>
        <v/>
      </c>
      <c r="V109" s="24" t="str">
        <f t="shared" si="2"/>
        <v/>
      </c>
    </row>
    <row r="110" spans="4:22">
      <c r="D110" s="54"/>
      <c r="T110" s="24" t="str">
        <f t="shared" si="4"/>
        <v/>
      </c>
      <c r="V110" s="24" t="str">
        <f t="shared" si="2"/>
        <v/>
      </c>
    </row>
    <row r="111" spans="4:22">
      <c r="D111" s="54"/>
      <c r="T111" s="24" t="str">
        <f t="shared" si="4"/>
        <v/>
      </c>
      <c r="V111" s="24" t="str">
        <f t="shared" si="2"/>
        <v/>
      </c>
    </row>
    <row r="112" spans="4:22">
      <c r="D112" s="54"/>
      <c r="T112" s="24" t="str">
        <f t="shared" si="4"/>
        <v/>
      </c>
      <c r="V112" s="24" t="str">
        <f t="shared" si="2"/>
        <v/>
      </c>
    </row>
    <row r="113" spans="4:22">
      <c r="D113" s="54"/>
      <c r="T113" s="24" t="str">
        <f t="shared" si="4"/>
        <v/>
      </c>
      <c r="V113" s="24" t="str">
        <f t="shared" si="2"/>
        <v/>
      </c>
    </row>
    <row r="114" spans="4:22">
      <c r="D114" s="54"/>
      <c r="T114" s="24" t="str">
        <f t="shared" si="4"/>
        <v/>
      </c>
      <c r="V114" s="24" t="str">
        <f t="shared" si="2"/>
        <v/>
      </c>
    </row>
    <row r="115" spans="4:22">
      <c r="D115" s="54"/>
      <c r="T115" s="24" t="str">
        <f t="shared" si="4"/>
        <v/>
      </c>
      <c r="V115" s="24" t="str">
        <f t="shared" si="2"/>
        <v/>
      </c>
    </row>
    <row r="116" spans="4:22">
      <c r="D116" s="54"/>
      <c r="T116" s="24" t="str">
        <f t="shared" si="4"/>
        <v/>
      </c>
      <c r="V116" s="24" t="str">
        <f t="shared" si="2"/>
        <v/>
      </c>
    </row>
    <row r="117" spans="4:22">
      <c r="D117" s="54"/>
      <c r="T117" s="24" t="str">
        <f t="shared" si="4"/>
        <v/>
      </c>
      <c r="V117" s="24" t="str">
        <f t="shared" si="2"/>
        <v/>
      </c>
    </row>
    <row r="118" spans="4:22" ht="14.25" customHeight="1">
      <c r="D118" s="54"/>
      <c r="T118" s="24" t="str">
        <f t="shared" si="4"/>
        <v/>
      </c>
      <c r="V118" s="24" t="str">
        <f t="shared" si="2"/>
        <v/>
      </c>
    </row>
    <row r="119" spans="4:22" ht="14.25" customHeight="1">
      <c r="D119" s="54"/>
      <c r="T119" s="24" t="str">
        <f t="shared" si="4"/>
        <v/>
      </c>
      <c r="V119" s="24" t="str">
        <f t="shared" ref="V119:V182" si="5">IF(OR(N119="",U119="",T119=""),"",U119/N119*T119)</f>
        <v/>
      </c>
    </row>
    <row r="120" spans="4:22" ht="14.25" customHeight="1">
      <c r="D120" s="54"/>
      <c r="T120" s="24" t="str">
        <f t="shared" si="4"/>
        <v/>
      </c>
      <c r="V120" s="24" t="str">
        <f t="shared" si="5"/>
        <v/>
      </c>
    </row>
    <row r="121" spans="4:22" ht="14.25" customHeight="1">
      <c r="D121" s="54"/>
      <c r="T121" s="24" t="str">
        <f t="shared" si="4"/>
        <v/>
      </c>
      <c r="V121" s="24" t="str">
        <f t="shared" si="5"/>
        <v/>
      </c>
    </row>
    <row r="122" spans="4:22" ht="14.25" customHeight="1">
      <c r="D122" s="54"/>
      <c r="T122" s="24" t="str">
        <f t="shared" si="4"/>
        <v/>
      </c>
      <c r="V122" s="24" t="str">
        <f t="shared" si="5"/>
        <v/>
      </c>
    </row>
    <row r="123" spans="4:22" ht="14.25" customHeight="1">
      <c r="D123" s="54"/>
      <c r="T123" s="24" t="str">
        <f t="shared" si="4"/>
        <v/>
      </c>
      <c r="V123" s="24" t="str">
        <f t="shared" si="5"/>
        <v/>
      </c>
    </row>
    <row r="124" spans="4:22" ht="14.25" customHeight="1">
      <c r="D124" s="54"/>
      <c r="T124" s="24" t="str">
        <f t="shared" si="4"/>
        <v/>
      </c>
      <c r="V124" s="24" t="str">
        <f t="shared" si="5"/>
        <v/>
      </c>
    </row>
    <row r="125" spans="4:22" ht="14.25" customHeight="1">
      <c r="D125" s="54"/>
      <c r="T125" s="24" t="str">
        <f t="shared" si="4"/>
        <v/>
      </c>
      <c r="V125" s="24" t="str">
        <f t="shared" si="5"/>
        <v/>
      </c>
    </row>
    <row r="126" spans="4:22" ht="14.25" customHeight="1">
      <c r="D126" s="54"/>
      <c r="T126" s="24" t="str">
        <f t="shared" si="4"/>
        <v/>
      </c>
      <c r="V126" s="24" t="str">
        <f t="shared" si="5"/>
        <v/>
      </c>
    </row>
    <row r="127" spans="4:22" ht="14.25" customHeight="1">
      <c r="D127" s="54"/>
      <c r="T127" s="24" t="str">
        <f t="shared" si="4"/>
        <v/>
      </c>
      <c r="V127" s="24" t="str">
        <f t="shared" si="5"/>
        <v/>
      </c>
    </row>
    <row r="128" spans="4:22" ht="14.25" customHeight="1">
      <c r="D128" s="54"/>
      <c r="T128" s="24" t="str">
        <f t="shared" si="4"/>
        <v/>
      </c>
      <c r="V128" s="24" t="str">
        <f t="shared" si="5"/>
        <v/>
      </c>
    </row>
    <row r="129" spans="4:22" ht="14.25" customHeight="1">
      <c r="D129" s="54"/>
      <c r="T129" s="24" t="str">
        <f t="shared" si="4"/>
        <v/>
      </c>
      <c r="V129" s="24" t="str">
        <f t="shared" si="5"/>
        <v/>
      </c>
    </row>
    <row r="130" spans="4:22" ht="14.25" customHeight="1">
      <c r="D130" s="54"/>
      <c r="T130" s="24" t="str">
        <f t="shared" ref="T130:T193" si="6">IF(H130="","",IF(OR(H130="GREEN",H130="GK"),IF(S130&gt;=$AX$2,VLOOKUP(S130,$AX$2:$AY$9,2,1),""),IF(S130&gt;=$AZ$2,VLOOKUP(S130,$AZ$2:$BA$9,2,1),"")))</f>
        <v/>
      </c>
      <c r="V130" s="24" t="str">
        <f t="shared" si="5"/>
        <v/>
      </c>
    </row>
    <row r="131" spans="4:22" ht="14.25" customHeight="1">
      <c r="D131" s="54"/>
      <c r="T131" s="24" t="str">
        <f t="shared" si="6"/>
        <v/>
      </c>
      <c r="V131" s="24" t="str">
        <f t="shared" si="5"/>
        <v/>
      </c>
    </row>
    <row r="132" spans="4:22" ht="14.25" customHeight="1">
      <c r="D132" s="54"/>
      <c r="T132" s="24" t="str">
        <f t="shared" si="6"/>
        <v/>
      </c>
      <c r="V132" s="24" t="str">
        <f t="shared" si="5"/>
        <v/>
      </c>
    </row>
    <row r="133" spans="4:22" ht="14.25" customHeight="1">
      <c r="D133" s="54"/>
      <c r="T133" s="24" t="str">
        <f t="shared" si="6"/>
        <v/>
      </c>
      <c r="V133" s="24" t="str">
        <f t="shared" si="5"/>
        <v/>
      </c>
    </row>
    <row r="134" spans="4:22" ht="14.25" customHeight="1">
      <c r="D134" s="54"/>
      <c r="T134" s="24" t="str">
        <f t="shared" si="6"/>
        <v/>
      </c>
      <c r="V134" s="24" t="str">
        <f t="shared" si="5"/>
        <v/>
      </c>
    </row>
    <row r="135" spans="4:22" ht="14.25" customHeight="1">
      <c r="D135" s="54"/>
      <c r="T135" s="24" t="str">
        <f t="shared" si="6"/>
        <v/>
      </c>
      <c r="V135" s="24" t="str">
        <f t="shared" si="5"/>
        <v/>
      </c>
    </row>
    <row r="136" spans="4:22" ht="14.25" customHeight="1">
      <c r="D136" s="54"/>
      <c r="T136" s="24" t="str">
        <f t="shared" si="6"/>
        <v/>
      </c>
      <c r="V136" s="24" t="str">
        <f t="shared" si="5"/>
        <v/>
      </c>
    </row>
    <row r="137" spans="4:22" ht="14.25" customHeight="1">
      <c r="D137" s="54"/>
      <c r="T137" s="24" t="str">
        <f t="shared" si="6"/>
        <v/>
      </c>
      <c r="V137" s="24" t="str">
        <f t="shared" si="5"/>
        <v/>
      </c>
    </row>
    <row r="138" spans="4:22" ht="14.25" customHeight="1">
      <c r="D138" s="54"/>
      <c r="T138" s="24" t="str">
        <f t="shared" si="6"/>
        <v/>
      </c>
      <c r="V138" s="24" t="str">
        <f t="shared" si="5"/>
        <v/>
      </c>
    </row>
    <row r="139" spans="4:22" ht="14.25" customHeight="1">
      <c r="D139" s="54"/>
      <c r="T139" s="24" t="str">
        <f t="shared" si="6"/>
        <v/>
      </c>
      <c r="V139" s="24" t="str">
        <f t="shared" si="5"/>
        <v/>
      </c>
    </row>
    <row r="140" spans="4:22" ht="14.25" customHeight="1">
      <c r="D140" s="54"/>
      <c r="T140" s="24" t="str">
        <f t="shared" si="6"/>
        <v/>
      </c>
      <c r="V140" s="24" t="str">
        <f t="shared" si="5"/>
        <v/>
      </c>
    </row>
    <row r="141" spans="4:22" ht="14.25" customHeight="1">
      <c r="D141" s="54"/>
      <c r="T141" s="24" t="str">
        <f t="shared" si="6"/>
        <v/>
      </c>
      <c r="V141" s="24" t="str">
        <f t="shared" si="5"/>
        <v/>
      </c>
    </row>
    <row r="142" spans="4:22" ht="14.25" customHeight="1">
      <c r="D142" s="54"/>
      <c r="T142" s="24" t="str">
        <f t="shared" si="6"/>
        <v/>
      </c>
      <c r="V142" s="24" t="str">
        <f t="shared" si="5"/>
        <v/>
      </c>
    </row>
    <row r="143" spans="4:22" ht="14.25" customHeight="1">
      <c r="D143" s="54"/>
      <c r="T143" s="24" t="str">
        <f t="shared" si="6"/>
        <v/>
      </c>
      <c r="V143" s="24" t="str">
        <f t="shared" si="5"/>
        <v/>
      </c>
    </row>
    <row r="144" spans="4:22" ht="14.25" customHeight="1">
      <c r="D144" s="54"/>
      <c r="T144" s="24" t="str">
        <f t="shared" si="6"/>
        <v/>
      </c>
      <c r="V144" s="24" t="str">
        <f t="shared" si="5"/>
        <v/>
      </c>
    </row>
    <row r="145" spans="4:22" ht="14.25" customHeight="1">
      <c r="D145" s="54"/>
      <c r="T145" s="24" t="str">
        <f t="shared" si="6"/>
        <v/>
      </c>
      <c r="V145" s="24" t="str">
        <f t="shared" si="5"/>
        <v/>
      </c>
    </row>
    <row r="146" spans="4:22" ht="14.25" customHeight="1">
      <c r="D146" s="54"/>
      <c r="T146" s="24" t="str">
        <f t="shared" si="6"/>
        <v/>
      </c>
      <c r="V146" s="24" t="str">
        <f t="shared" si="5"/>
        <v/>
      </c>
    </row>
    <row r="147" spans="4:22" ht="14.25" customHeight="1">
      <c r="D147" s="54"/>
      <c r="T147" s="24" t="str">
        <f t="shared" si="6"/>
        <v/>
      </c>
      <c r="V147" s="24" t="str">
        <f t="shared" si="5"/>
        <v/>
      </c>
    </row>
    <row r="148" spans="4:22" ht="14.25" customHeight="1">
      <c r="D148" s="54"/>
      <c r="T148" s="24" t="str">
        <f t="shared" si="6"/>
        <v/>
      </c>
      <c r="V148" s="24" t="str">
        <f t="shared" si="5"/>
        <v/>
      </c>
    </row>
    <row r="149" spans="4:22" ht="14.25" customHeight="1">
      <c r="D149" s="54"/>
      <c r="T149" s="24" t="str">
        <f t="shared" si="6"/>
        <v/>
      </c>
      <c r="V149" s="24" t="str">
        <f t="shared" si="5"/>
        <v/>
      </c>
    </row>
    <row r="150" spans="4:22" ht="14.25" customHeight="1">
      <c r="D150" s="54"/>
      <c r="T150" s="24" t="str">
        <f t="shared" si="6"/>
        <v/>
      </c>
      <c r="V150" s="24" t="str">
        <f t="shared" si="5"/>
        <v/>
      </c>
    </row>
    <row r="151" spans="4:22" ht="14.25" customHeight="1">
      <c r="D151" s="54"/>
      <c r="T151" s="24" t="str">
        <f t="shared" si="6"/>
        <v/>
      </c>
      <c r="V151" s="24" t="str">
        <f t="shared" si="5"/>
        <v/>
      </c>
    </row>
    <row r="152" spans="4:22" ht="14.25" customHeight="1">
      <c r="D152" s="54"/>
      <c r="T152" s="24" t="str">
        <f t="shared" si="6"/>
        <v/>
      </c>
      <c r="V152" s="24" t="str">
        <f t="shared" si="5"/>
        <v/>
      </c>
    </row>
    <row r="153" spans="4:22" ht="14.25" customHeight="1">
      <c r="D153" s="54"/>
      <c r="T153" s="24" t="str">
        <f t="shared" si="6"/>
        <v/>
      </c>
      <c r="V153" s="24" t="str">
        <f t="shared" si="5"/>
        <v/>
      </c>
    </row>
    <row r="154" spans="4:22" ht="14.25" customHeight="1">
      <c r="D154" s="54"/>
      <c r="T154" s="24" t="str">
        <f t="shared" si="6"/>
        <v/>
      </c>
      <c r="V154" s="24" t="str">
        <f t="shared" si="5"/>
        <v/>
      </c>
    </row>
    <row r="155" spans="4:22" ht="14.25" customHeight="1">
      <c r="D155" s="54"/>
      <c r="T155" s="24" t="str">
        <f t="shared" si="6"/>
        <v/>
      </c>
      <c r="V155" s="24" t="str">
        <f t="shared" si="5"/>
        <v/>
      </c>
    </row>
    <row r="156" spans="4:22" ht="14.25" customHeight="1">
      <c r="D156" s="54"/>
      <c r="T156" s="24" t="str">
        <f t="shared" si="6"/>
        <v/>
      </c>
      <c r="V156" s="24" t="str">
        <f t="shared" si="5"/>
        <v/>
      </c>
    </row>
    <row r="157" spans="4:22" ht="14.25" customHeight="1">
      <c r="D157" s="54"/>
      <c r="T157" s="24" t="str">
        <f t="shared" si="6"/>
        <v/>
      </c>
      <c r="V157" s="24" t="str">
        <f t="shared" si="5"/>
        <v/>
      </c>
    </row>
    <row r="158" spans="4:22" ht="14.25" customHeight="1">
      <c r="D158" s="54"/>
      <c r="T158" s="24" t="str">
        <f t="shared" si="6"/>
        <v/>
      </c>
      <c r="V158" s="24" t="str">
        <f t="shared" si="5"/>
        <v/>
      </c>
    </row>
    <row r="159" spans="4:22" ht="14.25" customHeight="1">
      <c r="D159" s="54"/>
      <c r="T159" s="24" t="str">
        <f t="shared" si="6"/>
        <v/>
      </c>
      <c r="V159" s="24" t="str">
        <f t="shared" si="5"/>
        <v/>
      </c>
    </row>
    <row r="160" spans="4:22" ht="14.25" customHeight="1">
      <c r="D160" s="54"/>
      <c r="T160" s="24" t="str">
        <f t="shared" si="6"/>
        <v/>
      </c>
      <c r="V160" s="24" t="str">
        <f t="shared" si="5"/>
        <v/>
      </c>
    </row>
    <row r="161" spans="4:22" ht="14.25" customHeight="1">
      <c r="D161" s="54"/>
      <c r="T161" s="24" t="str">
        <f t="shared" si="6"/>
        <v/>
      </c>
      <c r="V161" s="24" t="str">
        <f t="shared" si="5"/>
        <v/>
      </c>
    </row>
    <row r="162" spans="4:22" ht="14.25" customHeight="1">
      <c r="D162" s="54"/>
      <c r="T162" s="24" t="str">
        <f t="shared" si="6"/>
        <v/>
      </c>
      <c r="V162" s="24" t="str">
        <f t="shared" si="5"/>
        <v/>
      </c>
    </row>
    <row r="163" spans="4:22" ht="14.25" customHeight="1">
      <c r="D163" s="54"/>
      <c r="T163" s="24" t="str">
        <f t="shared" si="6"/>
        <v/>
      </c>
      <c r="V163" s="24" t="str">
        <f t="shared" si="5"/>
        <v/>
      </c>
    </row>
    <row r="164" spans="4:22" ht="14.25" customHeight="1">
      <c r="D164" s="54"/>
      <c r="T164" s="24" t="str">
        <f t="shared" si="6"/>
        <v/>
      </c>
      <c r="V164" s="24" t="str">
        <f t="shared" si="5"/>
        <v/>
      </c>
    </row>
    <row r="165" spans="4:22" ht="14.25" customHeight="1">
      <c r="D165" s="54"/>
      <c r="T165" s="24" t="str">
        <f t="shared" si="6"/>
        <v/>
      </c>
      <c r="V165" s="24" t="str">
        <f t="shared" si="5"/>
        <v/>
      </c>
    </row>
    <row r="166" spans="4:22" ht="14.25" customHeight="1">
      <c r="D166" s="54"/>
      <c r="T166" s="24" t="str">
        <f t="shared" si="6"/>
        <v/>
      </c>
      <c r="V166" s="24" t="str">
        <f t="shared" si="5"/>
        <v/>
      </c>
    </row>
    <row r="167" spans="4:22" ht="14.25" customHeight="1">
      <c r="D167" s="54"/>
      <c r="T167" s="24" t="str">
        <f t="shared" si="6"/>
        <v/>
      </c>
      <c r="V167" s="24" t="str">
        <f t="shared" si="5"/>
        <v/>
      </c>
    </row>
    <row r="168" spans="4:22" ht="14.25" customHeight="1">
      <c r="D168" s="54"/>
      <c r="T168" s="24" t="str">
        <f t="shared" si="6"/>
        <v/>
      </c>
      <c r="V168" s="24" t="str">
        <f t="shared" si="5"/>
        <v/>
      </c>
    </row>
    <row r="169" spans="4:22" ht="14.25" customHeight="1">
      <c r="D169" s="54"/>
      <c r="T169" s="24" t="str">
        <f t="shared" si="6"/>
        <v/>
      </c>
      <c r="V169" s="24" t="str">
        <f t="shared" si="5"/>
        <v/>
      </c>
    </row>
    <row r="170" spans="4:22" ht="14.25" customHeight="1">
      <c r="D170" s="54"/>
      <c r="T170" s="24" t="str">
        <f t="shared" si="6"/>
        <v/>
      </c>
      <c r="V170" s="24" t="str">
        <f t="shared" si="5"/>
        <v/>
      </c>
    </row>
    <row r="171" spans="4:22" ht="14.25" customHeight="1">
      <c r="D171" s="54"/>
      <c r="T171" s="24" t="str">
        <f t="shared" si="6"/>
        <v/>
      </c>
      <c r="V171" s="24" t="str">
        <f t="shared" si="5"/>
        <v/>
      </c>
    </row>
    <row r="172" spans="4:22" ht="14.25" customHeight="1">
      <c r="D172" s="54"/>
      <c r="T172" s="24" t="str">
        <f t="shared" si="6"/>
        <v/>
      </c>
      <c r="V172" s="24" t="str">
        <f t="shared" si="5"/>
        <v/>
      </c>
    </row>
    <row r="173" spans="4:22" ht="14.25" customHeight="1">
      <c r="D173" s="54"/>
      <c r="T173" s="24" t="str">
        <f t="shared" si="6"/>
        <v/>
      </c>
      <c r="V173" s="24" t="str">
        <f t="shared" si="5"/>
        <v/>
      </c>
    </row>
    <row r="174" spans="4:22" ht="14.25" customHeight="1">
      <c r="D174" s="54"/>
      <c r="T174" s="24" t="str">
        <f t="shared" si="6"/>
        <v/>
      </c>
      <c r="V174" s="24" t="str">
        <f t="shared" si="5"/>
        <v/>
      </c>
    </row>
    <row r="175" spans="4:22" ht="14.25" customHeight="1">
      <c r="D175" s="54"/>
      <c r="T175" s="24" t="str">
        <f t="shared" si="6"/>
        <v/>
      </c>
      <c r="V175" s="24" t="str">
        <f t="shared" si="5"/>
        <v/>
      </c>
    </row>
    <row r="176" spans="4:22" ht="14.25" customHeight="1">
      <c r="D176" s="54"/>
      <c r="T176" s="24" t="str">
        <f t="shared" si="6"/>
        <v/>
      </c>
      <c r="V176" s="24" t="str">
        <f t="shared" si="5"/>
        <v/>
      </c>
    </row>
    <row r="177" spans="4:22" ht="14.25" customHeight="1">
      <c r="D177" s="54"/>
      <c r="T177" s="24" t="str">
        <f t="shared" si="6"/>
        <v/>
      </c>
      <c r="V177" s="24" t="str">
        <f t="shared" si="5"/>
        <v/>
      </c>
    </row>
    <row r="178" spans="4:22" ht="14.25" customHeight="1">
      <c r="D178" s="54"/>
      <c r="T178" s="24" t="str">
        <f t="shared" si="6"/>
        <v/>
      </c>
      <c r="V178" s="24" t="str">
        <f t="shared" si="5"/>
        <v/>
      </c>
    </row>
    <row r="179" spans="4:22" ht="14.25" customHeight="1">
      <c r="D179" s="54"/>
      <c r="T179" s="24" t="str">
        <f t="shared" si="6"/>
        <v/>
      </c>
      <c r="V179" s="24" t="str">
        <f t="shared" si="5"/>
        <v/>
      </c>
    </row>
    <row r="180" spans="4:22" ht="14.25" customHeight="1">
      <c r="D180" s="54"/>
      <c r="T180" s="24" t="str">
        <f t="shared" si="6"/>
        <v/>
      </c>
      <c r="V180" s="24" t="str">
        <f t="shared" si="5"/>
        <v/>
      </c>
    </row>
    <row r="181" spans="4:22" ht="14.25" customHeight="1">
      <c r="D181" s="54"/>
      <c r="E181" s="10" ph="1"/>
      <c r="T181" s="24" t="str">
        <f t="shared" si="6"/>
        <v/>
      </c>
      <c r="V181" s="24" t="str">
        <f t="shared" si="5"/>
        <v/>
      </c>
    </row>
    <row r="182" spans="4:22" ht="14.25" customHeight="1">
      <c r="D182" s="54"/>
      <c r="T182" s="24" t="str">
        <f t="shared" si="6"/>
        <v/>
      </c>
      <c r="V182" s="24" t="str">
        <f t="shared" si="5"/>
        <v/>
      </c>
    </row>
    <row r="183" spans="4:22" ht="14.25" customHeight="1">
      <c r="D183" s="54"/>
      <c r="T183" s="24" t="str">
        <f t="shared" si="6"/>
        <v/>
      </c>
      <c r="V183" s="24" t="str">
        <f t="shared" ref="V183:V246" si="7">IF(OR(N183="",U183="",T183=""),"",U183/N183*T183)</f>
        <v/>
      </c>
    </row>
    <row r="184" spans="4:22" ht="14.25" customHeight="1">
      <c r="D184" s="54"/>
      <c r="T184" s="24" t="str">
        <f t="shared" si="6"/>
        <v/>
      </c>
      <c r="V184" s="24" t="str">
        <f t="shared" si="7"/>
        <v/>
      </c>
    </row>
    <row r="185" spans="4:22" ht="14.25" customHeight="1">
      <c r="D185" s="54"/>
      <c r="T185" s="24" t="str">
        <f t="shared" si="6"/>
        <v/>
      </c>
      <c r="V185" s="24" t="str">
        <f t="shared" si="7"/>
        <v/>
      </c>
    </row>
    <row r="186" spans="4:22" ht="14.25" customHeight="1">
      <c r="D186" s="54"/>
      <c r="T186" s="24" t="str">
        <f t="shared" si="6"/>
        <v/>
      </c>
      <c r="V186" s="24" t="str">
        <f t="shared" si="7"/>
        <v/>
      </c>
    </row>
    <row r="187" spans="4:22" ht="14.25" customHeight="1">
      <c r="D187" s="54"/>
      <c r="T187" s="24" t="str">
        <f t="shared" si="6"/>
        <v/>
      </c>
      <c r="V187" s="24" t="str">
        <f t="shared" si="7"/>
        <v/>
      </c>
    </row>
    <row r="188" spans="4:22" ht="14.25" customHeight="1">
      <c r="D188" s="54"/>
      <c r="T188" s="24" t="str">
        <f t="shared" si="6"/>
        <v/>
      </c>
      <c r="V188" s="24" t="str">
        <f t="shared" si="7"/>
        <v/>
      </c>
    </row>
    <row r="189" spans="4:22" ht="14.25" customHeight="1">
      <c r="D189" s="54"/>
      <c r="T189" s="24" t="str">
        <f t="shared" si="6"/>
        <v/>
      </c>
      <c r="V189" s="24" t="str">
        <f t="shared" si="7"/>
        <v/>
      </c>
    </row>
    <row r="190" spans="4:22" ht="14.25" customHeight="1">
      <c r="D190" s="54"/>
      <c r="T190" s="24" t="str">
        <f t="shared" si="6"/>
        <v/>
      </c>
      <c r="V190" s="24" t="str">
        <f t="shared" si="7"/>
        <v/>
      </c>
    </row>
    <row r="191" spans="4:22" ht="14.25" customHeight="1">
      <c r="D191" s="54"/>
      <c r="T191" s="24" t="str">
        <f t="shared" si="6"/>
        <v/>
      </c>
      <c r="V191" s="24" t="str">
        <f t="shared" si="7"/>
        <v/>
      </c>
    </row>
    <row r="192" spans="4:22" ht="14.25" customHeight="1">
      <c r="D192" s="54"/>
      <c r="T192" s="24" t="str">
        <f t="shared" si="6"/>
        <v/>
      </c>
      <c r="V192" s="24" t="str">
        <f t="shared" si="7"/>
        <v/>
      </c>
    </row>
    <row r="193" spans="4:22" ht="14.25" customHeight="1">
      <c r="D193" s="54"/>
      <c r="T193" s="24" t="str">
        <f t="shared" si="6"/>
        <v/>
      </c>
      <c r="V193" s="24" t="str">
        <f t="shared" si="7"/>
        <v/>
      </c>
    </row>
    <row r="194" spans="4:22" ht="14.25" customHeight="1">
      <c r="D194" s="54"/>
      <c r="T194" s="24" t="str">
        <f t="shared" ref="T194:T257" si="8">IF(H194="","",IF(OR(H194="GREEN",H194="GK"),IF(S194&gt;=$AX$2,VLOOKUP(S194,$AX$2:$AY$9,2,1),""),IF(S194&gt;=$AZ$2,VLOOKUP(S194,$AZ$2:$BA$9,2,1),"")))</f>
        <v/>
      </c>
      <c r="V194" s="24" t="str">
        <f t="shared" si="7"/>
        <v/>
      </c>
    </row>
    <row r="195" spans="4:22" ht="14.25" customHeight="1">
      <c r="D195" s="54"/>
      <c r="T195" s="24" t="str">
        <f t="shared" si="8"/>
        <v/>
      </c>
      <c r="V195" s="24" t="str">
        <f t="shared" si="7"/>
        <v/>
      </c>
    </row>
    <row r="196" spans="4:22" ht="14.25" customHeight="1">
      <c r="D196" s="54"/>
      <c r="T196" s="24" t="str">
        <f t="shared" si="8"/>
        <v/>
      </c>
      <c r="V196" s="24" t="str">
        <f t="shared" si="7"/>
        <v/>
      </c>
    </row>
    <row r="197" spans="4:22" ht="14.25" customHeight="1">
      <c r="D197" s="54"/>
      <c r="T197" s="24" t="str">
        <f t="shared" si="8"/>
        <v/>
      </c>
      <c r="V197" s="24" t="str">
        <f t="shared" si="7"/>
        <v/>
      </c>
    </row>
    <row r="198" spans="4:22" ht="14.25" customHeight="1">
      <c r="D198" s="54"/>
      <c r="T198" s="24" t="str">
        <f t="shared" si="8"/>
        <v/>
      </c>
      <c r="V198" s="24" t="str">
        <f t="shared" si="7"/>
        <v/>
      </c>
    </row>
    <row r="199" spans="4:22" ht="14.25" customHeight="1">
      <c r="D199" s="54"/>
      <c r="T199" s="24" t="str">
        <f t="shared" si="8"/>
        <v/>
      </c>
      <c r="V199" s="24" t="str">
        <f t="shared" si="7"/>
        <v/>
      </c>
    </row>
    <row r="200" spans="4:22" ht="14.25" customHeight="1">
      <c r="D200" s="54"/>
      <c r="T200" s="24" t="str">
        <f t="shared" si="8"/>
        <v/>
      </c>
      <c r="V200" s="24" t="str">
        <f t="shared" si="7"/>
        <v/>
      </c>
    </row>
    <row r="201" spans="4:22" ht="14.25" customHeight="1">
      <c r="D201" s="54"/>
      <c r="T201" s="24" t="str">
        <f t="shared" si="8"/>
        <v/>
      </c>
      <c r="V201" s="24" t="str">
        <f t="shared" si="7"/>
        <v/>
      </c>
    </row>
    <row r="202" spans="4:22" ht="14.25" customHeight="1">
      <c r="D202" s="54"/>
      <c r="T202" s="24" t="str">
        <f t="shared" si="8"/>
        <v/>
      </c>
      <c r="V202" s="24" t="str">
        <f t="shared" si="7"/>
        <v/>
      </c>
    </row>
    <row r="203" spans="4:22" ht="14.25" customHeight="1">
      <c r="D203" s="54"/>
      <c r="T203" s="24" t="str">
        <f t="shared" si="8"/>
        <v/>
      </c>
      <c r="V203" s="24" t="str">
        <f t="shared" si="7"/>
        <v/>
      </c>
    </row>
    <row r="204" spans="4:22" ht="14.25" customHeight="1">
      <c r="D204" s="54"/>
      <c r="T204" s="24" t="str">
        <f t="shared" si="8"/>
        <v/>
      </c>
      <c r="V204" s="24" t="str">
        <f t="shared" si="7"/>
        <v/>
      </c>
    </row>
    <row r="205" spans="4:22" ht="14.25" customHeight="1">
      <c r="D205" s="54"/>
      <c r="T205" s="24" t="str">
        <f t="shared" si="8"/>
        <v/>
      </c>
      <c r="V205" s="24" t="str">
        <f t="shared" si="7"/>
        <v/>
      </c>
    </row>
    <row r="206" spans="4:22" ht="14.25" customHeight="1">
      <c r="D206" s="54"/>
      <c r="T206" s="24" t="str">
        <f t="shared" si="8"/>
        <v/>
      </c>
      <c r="V206" s="24" t="str">
        <f t="shared" si="7"/>
        <v/>
      </c>
    </row>
    <row r="207" spans="4:22" ht="14.25" customHeight="1">
      <c r="D207" s="54"/>
      <c r="T207" s="24" t="str">
        <f t="shared" si="8"/>
        <v/>
      </c>
      <c r="V207" s="24" t="str">
        <f t="shared" si="7"/>
        <v/>
      </c>
    </row>
    <row r="208" spans="4:22" ht="14.25" customHeight="1">
      <c r="D208" s="54"/>
      <c r="T208" s="24" t="str">
        <f t="shared" si="8"/>
        <v/>
      </c>
      <c r="V208" s="24" t="str">
        <f t="shared" si="7"/>
        <v/>
      </c>
    </row>
    <row r="209" spans="4:22" ht="14.25" customHeight="1">
      <c r="D209" s="54"/>
      <c r="T209" s="24" t="str">
        <f t="shared" si="8"/>
        <v/>
      </c>
      <c r="V209" s="24" t="str">
        <f t="shared" si="7"/>
        <v/>
      </c>
    </row>
    <row r="210" spans="4:22" ht="14.25" customHeight="1">
      <c r="D210" s="54"/>
      <c r="T210" s="24" t="str">
        <f t="shared" si="8"/>
        <v/>
      </c>
      <c r="V210" s="24" t="str">
        <f t="shared" si="7"/>
        <v/>
      </c>
    </row>
    <row r="211" spans="4:22" ht="14.25" customHeight="1">
      <c r="D211" s="54"/>
      <c r="T211" s="24" t="str">
        <f t="shared" si="8"/>
        <v/>
      </c>
      <c r="V211" s="24" t="str">
        <f t="shared" si="7"/>
        <v/>
      </c>
    </row>
    <row r="212" spans="4:22" ht="14.25" customHeight="1">
      <c r="D212" s="54"/>
      <c r="T212" s="24" t="str">
        <f t="shared" si="8"/>
        <v/>
      </c>
      <c r="V212" s="24" t="str">
        <f t="shared" si="7"/>
        <v/>
      </c>
    </row>
    <row r="213" spans="4:22" ht="14.25" customHeight="1">
      <c r="D213" s="54"/>
      <c r="T213" s="24" t="str">
        <f t="shared" si="8"/>
        <v/>
      </c>
      <c r="V213" s="24" t="str">
        <f t="shared" si="7"/>
        <v/>
      </c>
    </row>
    <row r="214" spans="4:22" ht="14.25" customHeight="1">
      <c r="D214" s="54"/>
      <c r="T214" s="24" t="str">
        <f t="shared" si="8"/>
        <v/>
      </c>
      <c r="V214" s="24" t="str">
        <f t="shared" si="7"/>
        <v/>
      </c>
    </row>
    <row r="215" spans="4:22" ht="14.25" customHeight="1">
      <c r="D215" s="54"/>
      <c r="T215" s="24" t="str">
        <f t="shared" si="8"/>
        <v/>
      </c>
      <c r="V215" s="24" t="str">
        <f t="shared" si="7"/>
        <v/>
      </c>
    </row>
    <row r="216" spans="4:22" ht="14.25" customHeight="1">
      <c r="D216" s="54"/>
      <c r="T216" s="24" t="str">
        <f t="shared" si="8"/>
        <v/>
      </c>
      <c r="V216" s="24" t="str">
        <f t="shared" si="7"/>
        <v/>
      </c>
    </row>
    <row r="217" spans="4:22" ht="14.25" customHeight="1">
      <c r="D217" s="54"/>
      <c r="T217" s="24" t="str">
        <f t="shared" si="8"/>
        <v/>
      </c>
      <c r="V217" s="24" t="str">
        <f t="shared" si="7"/>
        <v/>
      </c>
    </row>
    <row r="218" spans="4:22" ht="14.25" customHeight="1">
      <c r="D218" s="54"/>
      <c r="T218" s="24" t="str">
        <f t="shared" si="8"/>
        <v/>
      </c>
      <c r="V218" s="24" t="str">
        <f t="shared" si="7"/>
        <v/>
      </c>
    </row>
    <row r="219" spans="4:22" ht="14.25" customHeight="1">
      <c r="D219" s="54"/>
      <c r="T219" s="24" t="str">
        <f t="shared" si="8"/>
        <v/>
      </c>
      <c r="V219" s="24" t="str">
        <f t="shared" si="7"/>
        <v/>
      </c>
    </row>
    <row r="220" spans="4:22" ht="14.25" customHeight="1">
      <c r="D220" s="54"/>
      <c r="T220" s="24" t="str">
        <f t="shared" si="8"/>
        <v/>
      </c>
      <c r="V220" s="24" t="str">
        <f t="shared" si="7"/>
        <v/>
      </c>
    </row>
    <row r="221" spans="4:22" ht="14.25" customHeight="1">
      <c r="D221" s="54"/>
      <c r="T221" s="24" t="str">
        <f t="shared" si="8"/>
        <v/>
      </c>
      <c r="V221" s="24" t="str">
        <f t="shared" si="7"/>
        <v/>
      </c>
    </row>
    <row r="222" spans="4:22" ht="14.25" customHeight="1">
      <c r="D222" s="54"/>
      <c r="T222" s="24" t="str">
        <f t="shared" si="8"/>
        <v/>
      </c>
      <c r="V222" s="24" t="str">
        <f t="shared" si="7"/>
        <v/>
      </c>
    </row>
    <row r="223" spans="4:22" ht="14.25" customHeight="1">
      <c r="D223" s="54"/>
      <c r="T223" s="24" t="str">
        <f t="shared" si="8"/>
        <v/>
      </c>
      <c r="V223" s="24" t="str">
        <f t="shared" si="7"/>
        <v/>
      </c>
    </row>
    <row r="224" spans="4:22" ht="14.25" customHeight="1">
      <c r="D224" s="54"/>
      <c r="T224" s="24" t="str">
        <f t="shared" si="8"/>
        <v/>
      </c>
      <c r="V224" s="24" t="str">
        <f t="shared" si="7"/>
        <v/>
      </c>
    </row>
    <row r="225" spans="4:22" ht="14.25" customHeight="1">
      <c r="D225" s="54"/>
      <c r="T225" s="24" t="str">
        <f t="shared" si="8"/>
        <v/>
      </c>
      <c r="V225" s="24" t="str">
        <f t="shared" si="7"/>
        <v/>
      </c>
    </row>
    <row r="226" spans="4:22" ht="14.25" customHeight="1">
      <c r="D226" s="54"/>
      <c r="T226" s="24" t="str">
        <f t="shared" si="8"/>
        <v/>
      </c>
      <c r="V226" s="24" t="str">
        <f t="shared" si="7"/>
        <v/>
      </c>
    </row>
    <row r="227" spans="4:22" ht="14.25" customHeight="1">
      <c r="D227" s="54"/>
      <c r="T227" s="24" t="str">
        <f t="shared" si="8"/>
        <v/>
      </c>
      <c r="V227" s="24" t="str">
        <f t="shared" si="7"/>
        <v/>
      </c>
    </row>
    <row r="228" spans="4:22" ht="14.25" customHeight="1">
      <c r="D228" s="54"/>
      <c r="T228" s="24" t="str">
        <f t="shared" si="8"/>
        <v/>
      </c>
      <c r="V228" s="24" t="str">
        <f t="shared" si="7"/>
        <v/>
      </c>
    </row>
    <row r="229" spans="4:22" ht="14.25" customHeight="1">
      <c r="D229" s="54"/>
      <c r="T229" s="24" t="str">
        <f t="shared" si="8"/>
        <v/>
      </c>
      <c r="V229" s="24" t="str">
        <f t="shared" si="7"/>
        <v/>
      </c>
    </row>
    <row r="230" spans="4:22" ht="14.25" customHeight="1">
      <c r="D230" s="54"/>
      <c r="T230" s="24" t="str">
        <f t="shared" si="8"/>
        <v/>
      </c>
      <c r="V230" s="24" t="str">
        <f t="shared" si="7"/>
        <v/>
      </c>
    </row>
    <row r="231" spans="4:22" ht="14.25" customHeight="1">
      <c r="D231" s="54"/>
      <c r="T231" s="24" t="str">
        <f t="shared" si="8"/>
        <v/>
      </c>
      <c r="V231" s="24" t="str">
        <f t="shared" si="7"/>
        <v/>
      </c>
    </row>
    <row r="232" spans="4:22" ht="14.25" customHeight="1">
      <c r="D232" s="54"/>
      <c r="T232" s="24" t="str">
        <f t="shared" si="8"/>
        <v/>
      </c>
      <c r="V232" s="24" t="str">
        <f t="shared" si="7"/>
        <v/>
      </c>
    </row>
    <row r="233" spans="4:22" ht="14.25" customHeight="1">
      <c r="D233" s="54"/>
      <c r="T233" s="24" t="str">
        <f t="shared" si="8"/>
        <v/>
      </c>
      <c r="V233" s="24" t="str">
        <f t="shared" si="7"/>
        <v/>
      </c>
    </row>
    <row r="234" spans="4:22" ht="14.25" customHeight="1">
      <c r="D234" s="54"/>
      <c r="T234" s="24" t="str">
        <f t="shared" si="8"/>
        <v/>
      </c>
      <c r="V234" s="24" t="str">
        <f t="shared" si="7"/>
        <v/>
      </c>
    </row>
    <row r="235" spans="4:22" ht="14.25" customHeight="1">
      <c r="D235" s="54"/>
      <c r="T235" s="24" t="str">
        <f t="shared" si="8"/>
        <v/>
      </c>
      <c r="V235" s="24" t="str">
        <f t="shared" si="7"/>
        <v/>
      </c>
    </row>
    <row r="236" spans="4:22" ht="14.25" customHeight="1">
      <c r="D236" s="54"/>
      <c r="T236" s="24" t="str">
        <f t="shared" si="8"/>
        <v/>
      </c>
      <c r="V236" s="24" t="str">
        <f t="shared" si="7"/>
        <v/>
      </c>
    </row>
    <row r="237" spans="4:22" ht="14.25" customHeight="1">
      <c r="D237" s="54"/>
      <c r="T237" s="24" t="str">
        <f t="shared" si="8"/>
        <v/>
      </c>
      <c r="V237" s="24" t="str">
        <f t="shared" si="7"/>
        <v/>
      </c>
    </row>
    <row r="238" spans="4:22" ht="14.25" customHeight="1">
      <c r="D238" s="54"/>
      <c r="T238" s="24" t="str">
        <f t="shared" si="8"/>
        <v/>
      </c>
      <c r="V238" s="24" t="str">
        <f t="shared" si="7"/>
        <v/>
      </c>
    </row>
    <row r="239" spans="4:22" ht="14.25" customHeight="1">
      <c r="D239" s="54"/>
      <c r="T239" s="24" t="str">
        <f t="shared" si="8"/>
        <v/>
      </c>
      <c r="V239" s="24" t="str">
        <f t="shared" si="7"/>
        <v/>
      </c>
    </row>
    <row r="240" spans="4:22" ht="14.25" customHeight="1">
      <c r="D240" s="54"/>
      <c r="T240" s="24" t="str">
        <f t="shared" si="8"/>
        <v/>
      </c>
      <c r="V240" s="24" t="str">
        <f t="shared" si="7"/>
        <v/>
      </c>
    </row>
    <row r="241" spans="4:22" ht="14.25" customHeight="1">
      <c r="D241" s="54"/>
      <c r="T241" s="24" t="str">
        <f t="shared" si="8"/>
        <v/>
      </c>
      <c r="V241" s="24" t="str">
        <f t="shared" si="7"/>
        <v/>
      </c>
    </row>
    <row r="242" spans="4:22" ht="14.25" customHeight="1">
      <c r="D242" s="54"/>
      <c r="T242" s="24" t="str">
        <f t="shared" si="8"/>
        <v/>
      </c>
      <c r="V242" s="24" t="str">
        <f t="shared" si="7"/>
        <v/>
      </c>
    </row>
    <row r="243" spans="4:22" ht="14.25" customHeight="1">
      <c r="D243" s="54"/>
      <c r="T243" s="24" t="str">
        <f t="shared" si="8"/>
        <v/>
      </c>
      <c r="V243" s="24" t="str">
        <f t="shared" si="7"/>
        <v/>
      </c>
    </row>
    <row r="244" spans="4:22" ht="14.25" customHeight="1">
      <c r="D244" s="54"/>
      <c r="T244" s="24" t="str">
        <f t="shared" si="8"/>
        <v/>
      </c>
      <c r="V244" s="24" t="str">
        <f t="shared" si="7"/>
        <v/>
      </c>
    </row>
    <row r="245" spans="4:22" ht="14.25" customHeight="1">
      <c r="D245" s="54"/>
      <c r="T245" s="24" t="str">
        <f t="shared" si="8"/>
        <v/>
      </c>
      <c r="V245" s="24" t="str">
        <f t="shared" si="7"/>
        <v/>
      </c>
    </row>
    <row r="246" spans="4:22" ht="14.25" customHeight="1">
      <c r="D246" s="54"/>
      <c r="T246" s="24" t="str">
        <f t="shared" si="8"/>
        <v/>
      </c>
      <c r="V246" s="24" t="str">
        <f t="shared" si="7"/>
        <v/>
      </c>
    </row>
    <row r="247" spans="4:22" ht="14.25" customHeight="1">
      <c r="D247" s="54"/>
      <c r="T247" s="24" t="str">
        <f t="shared" si="8"/>
        <v/>
      </c>
      <c r="V247" s="24" t="str">
        <f t="shared" ref="V247:V263" si="9">IF(OR(N247="",U247="",T247=""),"",U247/N247*T247)</f>
        <v/>
      </c>
    </row>
    <row r="248" spans="4:22" ht="14.25" customHeight="1">
      <c r="D248" s="54"/>
      <c r="T248" s="24" t="str">
        <f t="shared" si="8"/>
        <v/>
      </c>
      <c r="V248" s="24" t="str">
        <f t="shared" si="9"/>
        <v/>
      </c>
    </row>
    <row r="249" spans="4:22" ht="14.25" customHeight="1">
      <c r="D249" s="54"/>
      <c r="T249" s="24" t="str">
        <f t="shared" si="8"/>
        <v/>
      </c>
      <c r="V249" s="24" t="str">
        <f t="shared" si="9"/>
        <v/>
      </c>
    </row>
    <row r="250" spans="4:22" ht="14.25" customHeight="1">
      <c r="D250" s="54"/>
      <c r="T250" s="24" t="str">
        <f t="shared" si="8"/>
        <v/>
      </c>
      <c r="V250" s="24" t="str">
        <f t="shared" si="9"/>
        <v/>
      </c>
    </row>
    <row r="251" spans="4:22" ht="14.25" customHeight="1">
      <c r="D251" s="54"/>
      <c r="T251" s="24" t="str">
        <f t="shared" si="8"/>
        <v/>
      </c>
      <c r="V251" s="24" t="str">
        <f t="shared" si="9"/>
        <v/>
      </c>
    </row>
    <row r="252" spans="4:22" ht="14.25" customHeight="1">
      <c r="D252" s="54"/>
      <c r="T252" s="24" t="str">
        <f t="shared" si="8"/>
        <v/>
      </c>
      <c r="V252" s="24" t="str">
        <f t="shared" si="9"/>
        <v/>
      </c>
    </row>
    <row r="253" spans="4:22" ht="14.25" customHeight="1">
      <c r="D253" s="54"/>
      <c r="T253" s="24" t="str">
        <f t="shared" si="8"/>
        <v/>
      </c>
      <c r="V253" s="24" t="str">
        <f t="shared" si="9"/>
        <v/>
      </c>
    </row>
    <row r="254" spans="4:22" ht="14.25" customHeight="1">
      <c r="D254" s="54"/>
      <c r="T254" s="24" t="str">
        <f t="shared" si="8"/>
        <v/>
      </c>
      <c r="V254" s="24" t="str">
        <f t="shared" si="9"/>
        <v/>
      </c>
    </row>
    <row r="255" spans="4:22" ht="14.25" customHeight="1">
      <c r="D255" s="54"/>
      <c r="T255" s="24" t="str">
        <f t="shared" si="8"/>
        <v/>
      </c>
      <c r="V255" s="24" t="str">
        <f t="shared" si="9"/>
        <v/>
      </c>
    </row>
    <row r="256" spans="4:22" ht="14.25" customHeight="1">
      <c r="D256" s="54"/>
      <c r="T256" s="24" t="str">
        <f t="shared" si="8"/>
        <v/>
      </c>
      <c r="V256" s="24" t="str">
        <f t="shared" si="9"/>
        <v/>
      </c>
    </row>
    <row r="257" spans="4:22" ht="14.25" customHeight="1">
      <c r="D257" s="54"/>
      <c r="T257" s="24" t="str">
        <f t="shared" si="8"/>
        <v/>
      </c>
      <c r="V257" s="24" t="str">
        <f t="shared" si="9"/>
        <v/>
      </c>
    </row>
    <row r="258" spans="4:22" ht="14.25" customHeight="1">
      <c r="D258" s="54"/>
      <c r="T258" s="24" t="str">
        <f t="shared" ref="T258:T274" si="10">IF(H258="","",IF(OR(H258="GREEN",H258="GK"),IF(S258&gt;=$AX$2,VLOOKUP(S258,$AX$2:$AY$9,2,1),""),IF(S258&gt;=$AZ$2,VLOOKUP(S258,$AZ$2:$BA$9,2,1),"")))</f>
        <v/>
      </c>
      <c r="V258" s="24" t="str">
        <f t="shared" si="9"/>
        <v/>
      </c>
    </row>
    <row r="259" spans="4:22" ht="14.25" customHeight="1">
      <c r="D259" s="54"/>
      <c r="T259" s="24" t="str">
        <f t="shared" si="10"/>
        <v/>
      </c>
      <c r="V259" s="24" t="str">
        <f t="shared" si="9"/>
        <v/>
      </c>
    </row>
    <row r="260" spans="4:22" ht="14.25" customHeight="1">
      <c r="D260" s="54"/>
      <c r="T260" s="24" t="str">
        <f t="shared" si="10"/>
        <v/>
      </c>
      <c r="V260" s="24" t="str">
        <f t="shared" si="9"/>
        <v/>
      </c>
    </row>
    <row r="261" spans="4:22" ht="14.25" customHeight="1">
      <c r="D261" s="54"/>
      <c r="T261" s="24" t="str">
        <f t="shared" si="10"/>
        <v/>
      </c>
      <c r="V261" s="24" t="str">
        <f t="shared" si="9"/>
        <v/>
      </c>
    </row>
    <row r="262" spans="4:22" ht="14.25" customHeight="1">
      <c r="D262" s="54"/>
      <c r="T262" s="24" t="str">
        <f t="shared" si="10"/>
        <v/>
      </c>
      <c r="V262" s="24" t="str">
        <f t="shared" si="9"/>
        <v/>
      </c>
    </row>
    <row r="263" spans="4:22" ht="14.25" customHeight="1">
      <c r="D263" s="54"/>
      <c r="T263" s="24" t="str">
        <f t="shared" si="10"/>
        <v/>
      </c>
      <c r="V263" s="24" t="str">
        <f t="shared" si="9"/>
        <v/>
      </c>
    </row>
  </sheetData>
  <autoFilter ref="A1:BA175" xr:uid="{00000000-0009-0000-0000-000000000000}"/>
  <phoneticPr fontId="3"/>
  <dataValidations count="16">
    <dataValidation type="list" allowBlank="1" showInputMessage="1" showErrorMessage="1" sqref="J2:J136" xr:uid="{68B5E914-5ED6-4757-942E-AE95CC95EE1E}">
      <formula1>$AP$2:$AP$27</formula1>
    </dataValidation>
    <dataValidation type="list" allowBlank="1" showInputMessage="1" showErrorMessage="1" sqref="K2:K1003" xr:uid="{5128D4FA-98B6-41EB-A7CE-DE68C7E57646}">
      <formula1>$AR$2:$AR$26</formula1>
    </dataValidation>
    <dataValidation type="list" allowBlank="1" showInputMessage="1" showErrorMessage="1" sqref="J137:J1003" xr:uid="{7663EDFE-E37E-44E7-80C9-D64EB4503B91}">
      <formula1>$AP$2:$AP$26</formula1>
    </dataValidation>
    <dataValidation type="list" allowBlank="1" showInputMessage="1" showErrorMessage="1" sqref="J65538:J65616 J131074:J131152 J196610:J196688 J262146:J262224 J327682:J327760 J393218:J393296 J458754:J458832 J524290:J524368 J589826:J589904 J655362:J655440 J720898:J720976 J786434:J786512 J851970:J852048 J917506:J917584 J983042:J983120" xr:uid="{B88E9B7C-03CD-4407-BDED-4A679BB79461}">
      <formula1>$AP$2:$AP$15</formula1>
    </dataValidation>
    <dataValidation type="list" allowBlank="1" showInputMessage="1" showErrorMessage="1" sqref="K65538:K65616 K983042:K983120 K917506:K917584 K851970:K852048 K786434:K786512 K720898:K720976 K655362:K655440 K589826:K589904 K524290:K524368 K458754:K458832 K393218:K393296 K327682:K327760 K262146:K262224 K196610:K196688 K131074:K131152" xr:uid="{A08F4357-339C-405E-88E3-47DAD2801415}">
      <formula1>$AR$2:$AR$33</formula1>
    </dataValidation>
    <dataValidation type="list" allowBlank="1" showInputMessage="1" showErrorMessage="1" sqref="H2:H10" xr:uid="{01AA724D-F10D-4D65-B1C8-1863DFF80D97}">
      <formula1>$AL$2:$AL$20</formula1>
    </dataValidation>
    <dataValidation type="list" allowBlank="1" showInputMessage="1" showErrorMessage="1" sqref="H11:H1096" xr:uid="{928C2CEF-9734-46D4-9696-D3872170E8EC}">
      <formula1>$AL$2:$AL$9</formula1>
    </dataValidation>
    <dataValidation type="list" allowBlank="1" showInputMessage="1" showErrorMessage="1" sqref="E2:E473" xr:uid="{2833D7FE-0885-431D-A59B-7584198CC7C0}">
      <formula1>$AG$2:$AG$11</formula1>
    </dataValidation>
    <dataValidation type="list" allowBlank="1" showInputMessage="1" showErrorMessage="1" sqref="F2:F473" xr:uid="{574BDCEE-2C22-4A30-9C5A-81E7D75A8E24}">
      <formula1>$AH$2:$AH$11</formula1>
    </dataValidation>
    <dataValidation type="list" allowBlank="1" showInputMessage="1" showErrorMessage="1" sqref="I2:I473" xr:uid="{53FD2167-6163-47FE-B275-1271437D7379}">
      <formula1>$AN$5:$AN$6</formula1>
    </dataValidation>
    <dataValidation type="list" allowBlank="1" showInputMessage="1" showErrorMessage="1" sqref="G2:G473" xr:uid="{4FA676C3-4A45-4EB7-A09E-5FC8EF09A63D}">
      <formula1>$AJ$2:$AJ$4</formula1>
    </dataValidation>
    <dataValidation type="list" allowBlank="1" showInputMessage="1" showErrorMessage="1" sqref="X2:X473" xr:uid="{D2296ABC-2F82-4047-89C0-D458FD4AF25C}">
      <formula1>$AT$2:$AT$3</formula1>
    </dataValidation>
    <dataValidation type="list" allowBlank="1" showInputMessage="1" showErrorMessage="1" sqref="Y2:AA473" xr:uid="{53873723-05CE-4B3B-9543-B6EAF6623780}">
      <formula1>$AV$2:$AV$21</formula1>
    </dataValidation>
    <dataValidation type="list" allowBlank="1" showInputMessage="1" showErrorMessage="1" sqref="A2:A472" xr:uid="{960B143E-42C7-4D12-AADE-761E4A15D2BC}">
      <formula1>$AE$2:$AE$19</formula1>
    </dataValidation>
    <dataValidation operator="equal" allowBlank="1" showInputMessage="1" showErrorMessage="1" sqref="B2:B263" xr:uid="{8CF49CAF-C4F2-4DA7-A36E-DE9B8C19D6F1}"/>
    <dataValidation type="decimal" allowBlank="1" showInputMessage="1" showErrorMessage="1" error="硬度を正しく入力して下さい。" sqref="O2:O16 O264:P473 P2:P263 O18:O263" xr:uid="{11ABE3CB-D6F3-477A-94F5-35D273BAD229}">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B81EFC-8530-47F7-9CE0-2623E27578DF}"/>
</file>

<file path=customXml/itemProps2.xml><?xml version="1.0" encoding="utf-8"?>
<ds:datastoreItem xmlns:ds="http://schemas.openxmlformats.org/officeDocument/2006/customXml" ds:itemID="{125988FA-03DD-4302-9CE3-E1879E8660B8}"/>
</file>

<file path=customXml/itemProps3.xml><?xml version="1.0" encoding="utf-8"?>
<ds:datastoreItem xmlns:ds="http://schemas.openxmlformats.org/officeDocument/2006/customXml" ds:itemID="{875BFC10-5911-44DF-9F51-0F9ECC5A886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tokyo-west(ota)</vt:lpstr>
      <vt:lpstr>tokyo-east(konishi)</vt:lpstr>
      <vt:lpstr>hiroshima!Print_Area</vt:lpstr>
      <vt:lpstr>'tokyo-west(ota)'!Print_Area</vt:lpstr>
      <vt:lpstr>nagoya!栽培方法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aspeuser</dc:creator>
  <cp:lastModifiedBy>aspeuser</cp:lastModifiedBy>
  <dcterms:created xsi:type="dcterms:W3CDTF">2020-12-07T01:33:22Z</dcterms:created>
  <dcterms:modified xsi:type="dcterms:W3CDTF">2021-01-14T07:18:19Z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