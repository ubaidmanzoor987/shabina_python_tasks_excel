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624"/>
  <workbookPr defaultThemeVersion="124226"/>
  <mc:AlternateContent xmlns:mc="http://schemas.openxmlformats.org/markup-compatibility/2006">
    <mc:Choice Requires="x15">
      <x15ac:absPath xmlns:x15ac="http://schemas.microsoft.com/office/spreadsheetml/2010/11/ac" url="\\192.168.11.200\000_全国共有\2-Zespri\品質調査\2020品質調査\17週\"/>
    </mc:Choice>
  </mc:AlternateContent>
  <xr:revisionPtr revIDLastSave="0" documentId="13_ncr:1_{83739B6F-B06D-4843-9AF7-9F48960532FC}" xr6:coauthVersionLast="45" xr6:coauthVersionMax="45" xr10:uidLastSave="{00000000-0000-0000-0000-000000000000}"/>
  <bookViews>
    <workbookView xWindow="-120" yWindow="-120" windowWidth="29040" windowHeight="15840" tabRatio="688" activeTab="7" xr2:uid="{00000000-000D-0000-FFFF-FFFF00000000}"/>
  </bookViews>
  <sheets>
    <sheet name="sapporo" sheetId="26" r:id="rId1"/>
    <sheet name="miyagi" sheetId="27" r:id="rId2"/>
    <sheet name="nagoya" sheetId="35" r:id="rId3"/>
    <sheet name="osaka" sheetId="36" r:id="rId4"/>
    <sheet name="hiroshima " sheetId="37" r:id="rId5"/>
    <sheet name="fukuoka" sheetId="38" r:id="rId6"/>
    <sheet name="tokyo-west(ota)" sheetId="28" r:id="rId7"/>
    <sheet name="tokyo-east(konishi)" sheetId="34" r:id="rId8"/>
  </sheets>
  <definedNames>
    <definedName name="_xlnm._FilterDatabase" localSheetId="5" hidden="1">fukuoka!$A$1:$BA$152</definedName>
    <definedName name="_xlnm._FilterDatabase" localSheetId="4" hidden="1">'hiroshima '!$A$1:$BA$104</definedName>
    <definedName name="_xlnm._FilterDatabase" localSheetId="1" hidden="1">miyagi!$A$1:$BA$105</definedName>
    <definedName name="_xlnm._FilterDatabase" localSheetId="2" hidden="1">nagoya!$A$1:$BA$114</definedName>
    <definedName name="_xlnm._FilterDatabase" localSheetId="3" hidden="1">osaka!$A$1:$BA$91</definedName>
    <definedName name="_xlnm._FilterDatabase" localSheetId="0" hidden="1">sapporo!$A$1:$BA$184</definedName>
    <definedName name="_xlnm._FilterDatabase" localSheetId="7" hidden="1">'tokyo-east(konishi)'!$A$1:$BA$112</definedName>
    <definedName name="_xlnm._FilterDatabase" localSheetId="6" hidden="1">'tokyo-west(ota)'!$A$1:$BA$211</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3">#REF!</definedName>
    <definedName name="hiroshima" localSheetId="7">#REF!</definedName>
    <definedName name="hiroshima">#REF!</definedName>
    <definedName name="kk" localSheetId="1">#REF!</definedName>
    <definedName name="kk" localSheetId="2">#REF!</definedName>
    <definedName name="kk" localSheetId="3">#REF!</definedName>
    <definedName name="kk" localSheetId="7">#REF!</definedName>
    <definedName name="kk" localSheetId="6">#REF!</definedName>
    <definedName name="kk">#REF!</definedName>
    <definedName name="ｌｌｌｌｌ" localSheetId="3">#REF!</definedName>
    <definedName name="ｌｌｌｌｌ" localSheetId="7">#REF!</definedName>
    <definedName name="ｌｌｌｌｌ">#REF!</definedName>
    <definedName name="miyagi" localSheetId="3">#REF!</definedName>
    <definedName name="miyagi" localSheetId="7">#REF!</definedName>
    <definedName name="miyagi">#REF!</definedName>
    <definedName name="miyagi2" localSheetId="3">#REF!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 '!$E$1:$S$75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3">#REF!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152" i="38" l="1"/>
  <c r="T152" i="38"/>
  <c r="Q152" i="38"/>
  <c r="V151" i="38"/>
  <c r="T151" i="38"/>
  <c r="Q151" i="38"/>
  <c r="V150" i="38"/>
  <c r="T150" i="38"/>
  <c r="Q150" i="38"/>
  <c r="V149" i="38"/>
  <c r="T149" i="38"/>
  <c r="Q149" i="38"/>
  <c r="V148" i="38"/>
  <c r="T148" i="38"/>
  <c r="Q148" i="38"/>
  <c r="V147" i="38"/>
  <c r="T147" i="38"/>
  <c r="Q147" i="38"/>
  <c r="V146" i="38"/>
  <c r="T146" i="38"/>
  <c r="Q146" i="38"/>
  <c r="V145" i="38"/>
  <c r="T145" i="38"/>
  <c r="Q145" i="38"/>
  <c r="V144" i="38"/>
  <c r="T144" i="38"/>
  <c r="Q144" i="38"/>
  <c r="V143" i="38"/>
  <c r="T143" i="38"/>
  <c r="Q143" i="38"/>
  <c r="V142" i="38"/>
  <c r="T142" i="38"/>
  <c r="Q142" i="38"/>
  <c r="V141" i="38"/>
  <c r="T141" i="38"/>
  <c r="Q141" i="38"/>
  <c r="V140" i="38"/>
  <c r="T140" i="38"/>
  <c r="Q140" i="38"/>
  <c r="V139" i="38"/>
  <c r="T139" i="38"/>
  <c r="Q139" i="38"/>
  <c r="V138" i="38"/>
  <c r="T138" i="38"/>
  <c r="Q138" i="38"/>
  <c r="V137" i="38"/>
  <c r="T137" i="38"/>
  <c r="Q137" i="38"/>
  <c r="V136" i="38"/>
  <c r="T136" i="38"/>
  <c r="Q136" i="38"/>
  <c r="V135" i="38"/>
  <c r="T135" i="38"/>
  <c r="Q135" i="38"/>
  <c r="V134" i="38"/>
  <c r="T134" i="38"/>
  <c r="Q134" i="38"/>
  <c r="V133" i="38"/>
  <c r="T133" i="38"/>
  <c r="Q133" i="38"/>
  <c r="V132" i="38"/>
  <c r="T132" i="38"/>
  <c r="Q132" i="38"/>
  <c r="V131" i="38"/>
  <c r="T131" i="38"/>
  <c r="Q131" i="38"/>
  <c r="V130" i="38"/>
  <c r="T130" i="38"/>
  <c r="Q130" i="38"/>
  <c r="V129" i="38"/>
  <c r="T129" i="38"/>
  <c r="Q129" i="38"/>
  <c r="V128" i="38"/>
  <c r="T128" i="38"/>
  <c r="Q128" i="38"/>
  <c r="V127" i="38"/>
  <c r="T127" i="38"/>
  <c r="Q127" i="38"/>
  <c r="V126" i="38"/>
  <c r="T126" i="38"/>
  <c r="Q126" i="38"/>
  <c r="V125" i="38"/>
  <c r="T125" i="38"/>
  <c r="Q125" i="38"/>
  <c r="V124" i="38"/>
  <c r="T124" i="38"/>
  <c r="Q124" i="38"/>
  <c r="V123" i="38"/>
  <c r="T123" i="38"/>
  <c r="Q123" i="38"/>
  <c r="V122" i="38"/>
  <c r="T122" i="38"/>
  <c r="Q122" i="38"/>
  <c r="V121" i="38"/>
  <c r="T121" i="38"/>
  <c r="Q121" i="38"/>
  <c r="V120" i="38"/>
  <c r="T120" i="38"/>
  <c r="Q120" i="38"/>
  <c r="V119" i="38"/>
  <c r="T119" i="38"/>
  <c r="Q119" i="38"/>
  <c r="V118" i="38"/>
  <c r="T118" i="38"/>
  <c r="Q118" i="38"/>
  <c r="V117" i="38"/>
  <c r="T117" i="38"/>
  <c r="Q117" i="38"/>
  <c r="V116" i="38"/>
  <c r="T116" i="38"/>
  <c r="Q116" i="38"/>
  <c r="V115" i="38"/>
  <c r="T115" i="38"/>
  <c r="Q115" i="38"/>
  <c r="V114" i="38"/>
  <c r="T114" i="38"/>
  <c r="Q114" i="38"/>
  <c r="V113" i="38"/>
  <c r="T113" i="38"/>
  <c r="Q113" i="38"/>
  <c r="V112" i="38"/>
  <c r="T112" i="38"/>
  <c r="Q112" i="38"/>
  <c r="V111" i="38"/>
  <c r="T111" i="38"/>
  <c r="Q111" i="38"/>
  <c r="V110" i="38"/>
  <c r="T110" i="38"/>
  <c r="Q110" i="38"/>
  <c r="V109" i="38"/>
  <c r="T109" i="38"/>
  <c r="Q109" i="38"/>
  <c r="V108" i="38"/>
  <c r="T108" i="38"/>
  <c r="Q108" i="38"/>
  <c r="V107" i="38"/>
  <c r="T107" i="38"/>
  <c r="Q107" i="38"/>
  <c r="V106" i="38"/>
  <c r="T106" i="38"/>
  <c r="Q106" i="38"/>
  <c r="V105" i="38"/>
  <c r="T105" i="38"/>
  <c r="Q105" i="38"/>
  <c r="V104" i="38"/>
  <c r="T104" i="38"/>
  <c r="Q104" i="38"/>
  <c r="V103" i="38"/>
  <c r="T103" i="38"/>
  <c r="Q103" i="38"/>
  <c r="V102" i="38"/>
  <c r="T102" i="38"/>
  <c r="Q102" i="38"/>
  <c r="V101" i="38"/>
  <c r="T101" i="38"/>
  <c r="Q101" i="38"/>
  <c r="V100" i="38"/>
  <c r="T100" i="38"/>
  <c r="Q100" i="38"/>
  <c r="V99" i="38"/>
  <c r="T99" i="38"/>
  <c r="Q99" i="38"/>
  <c r="V98" i="38"/>
  <c r="T98" i="38"/>
  <c r="Q98" i="38"/>
  <c r="V97" i="38"/>
  <c r="T97" i="38"/>
  <c r="Q97" i="38"/>
  <c r="V96" i="38"/>
  <c r="T96" i="38"/>
  <c r="Q96" i="38"/>
  <c r="V95" i="38"/>
  <c r="T95" i="38"/>
  <c r="Q95" i="38"/>
  <c r="V94" i="38"/>
  <c r="T94" i="38"/>
  <c r="Q94" i="38"/>
  <c r="V93" i="38"/>
  <c r="T93" i="38"/>
  <c r="Q93" i="38"/>
  <c r="V92" i="38"/>
  <c r="T92" i="38"/>
  <c r="Q92" i="38"/>
  <c r="V91" i="38"/>
  <c r="T91" i="38"/>
  <c r="Q91" i="38"/>
  <c r="V90" i="38"/>
  <c r="T90" i="38"/>
  <c r="Q90" i="38"/>
  <c r="V89" i="38"/>
  <c r="T89" i="38"/>
  <c r="Q89" i="38"/>
  <c r="V88" i="38"/>
  <c r="T88" i="38"/>
  <c r="Q88" i="38"/>
  <c r="V87" i="38"/>
  <c r="T87" i="38"/>
  <c r="Q87" i="38"/>
  <c r="V86" i="38"/>
  <c r="T86" i="38"/>
  <c r="Q86" i="38"/>
  <c r="V85" i="38"/>
  <c r="T85" i="38"/>
  <c r="Q85" i="38"/>
  <c r="V84" i="38"/>
  <c r="T84" i="38"/>
  <c r="Q84" i="38"/>
  <c r="V83" i="38"/>
  <c r="T83" i="38"/>
  <c r="Q83" i="38"/>
  <c r="V82" i="38"/>
  <c r="T82" i="38"/>
  <c r="Q82" i="38"/>
  <c r="V81" i="38"/>
  <c r="T81" i="38"/>
  <c r="Q81" i="38"/>
  <c r="V80" i="38"/>
  <c r="T80" i="38"/>
  <c r="Q80" i="38"/>
  <c r="V79" i="38"/>
  <c r="T79" i="38"/>
  <c r="Q79" i="38"/>
  <c r="V78" i="38"/>
  <c r="T78" i="38"/>
  <c r="Q78" i="38"/>
  <c r="V77" i="38"/>
  <c r="T77" i="38"/>
  <c r="Q77" i="38"/>
  <c r="V76" i="38"/>
  <c r="T76" i="38"/>
  <c r="Q76" i="38"/>
  <c r="V75" i="38"/>
  <c r="T75" i="38"/>
  <c r="Q75" i="38"/>
  <c r="V74" i="38"/>
  <c r="T74" i="38"/>
  <c r="Q74" i="38"/>
  <c r="V73" i="38"/>
  <c r="T73" i="38"/>
  <c r="Q73" i="38"/>
  <c r="V72" i="38"/>
  <c r="T72" i="38"/>
  <c r="Q72" i="38"/>
  <c r="V71" i="38"/>
  <c r="T71" i="38"/>
  <c r="Q71" i="38"/>
  <c r="V70" i="38"/>
  <c r="T70" i="38"/>
  <c r="Q70" i="38"/>
  <c r="V69" i="38"/>
  <c r="T69" i="38"/>
  <c r="Q69" i="38"/>
  <c r="V68" i="38"/>
  <c r="T68" i="38"/>
  <c r="Q68" i="38"/>
  <c r="V67" i="38"/>
  <c r="T67" i="38"/>
  <c r="Q67" i="38"/>
  <c r="V66" i="38"/>
  <c r="T66" i="38"/>
  <c r="Q66" i="38"/>
  <c r="V65" i="38"/>
  <c r="T65" i="38"/>
  <c r="Q65" i="38"/>
  <c r="V64" i="38"/>
  <c r="T64" i="38"/>
  <c r="Q64" i="38"/>
  <c r="V63" i="38"/>
  <c r="T63" i="38"/>
  <c r="Q63" i="38"/>
  <c r="V62" i="38"/>
  <c r="T62" i="38"/>
  <c r="Q62" i="38"/>
  <c r="V61" i="38"/>
  <c r="T61" i="38"/>
  <c r="Q61" i="38"/>
  <c r="V60" i="38"/>
  <c r="T60" i="38"/>
  <c r="Q60" i="38"/>
  <c r="V59" i="38"/>
  <c r="T59" i="38"/>
  <c r="Q59" i="38"/>
  <c r="V58" i="38"/>
  <c r="T58" i="38"/>
  <c r="Q58" i="38"/>
  <c r="V57" i="38"/>
  <c r="T57" i="38"/>
  <c r="Q57" i="38"/>
  <c r="V56" i="38"/>
  <c r="T56" i="38"/>
  <c r="Q56" i="38"/>
  <c r="V55" i="38"/>
  <c r="T55" i="38"/>
  <c r="Q55" i="38"/>
  <c r="V54" i="38"/>
  <c r="T54" i="38"/>
  <c r="Q54" i="38"/>
  <c r="V53" i="38"/>
  <c r="T53" i="38"/>
  <c r="Q53" i="38"/>
  <c r="V52" i="38"/>
  <c r="T52" i="38"/>
  <c r="Q52" i="38"/>
  <c r="V51" i="38"/>
  <c r="T51" i="38"/>
  <c r="Q51" i="38"/>
  <c r="V50" i="38"/>
  <c r="T50" i="38"/>
  <c r="Q50" i="38"/>
  <c r="V49" i="38"/>
  <c r="T49" i="38"/>
  <c r="Q49" i="38"/>
  <c r="V48" i="38"/>
  <c r="T48" i="38"/>
  <c r="Q48" i="38"/>
  <c r="V47" i="38"/>
  <c r="T47" i="38"/>
  <c r="Q47" i="38"/>
  <c r="V46" i="38"/>
  <c r="T46" i="38"/>
  <c r="Q46" i="38"/>
  <c r="V45" i="38"/>
  <c r="T45" i="38"/>
  <c r="Q45" i="38"/>
  <c r="V44" i="38"/>
  <c r="T44" i="38"/>
  <c r="Q44" i="38"/>
  <c r="V43" i="38"/>
  <c r="T43" i="38"/>
  <c r="Q43" i="38"/>
  <c r="V42" i="38"/>
  <c r="T42" i="38"/>
  <c r="Q42" i="38"/>
  <c r="V41" i="38"/>
  <c r="T41" i="38"/>
  <c r="Q41" i="38"/>
  <c r="V40" i="38"/>
  <c r="T40" i="38"/>
  <c r="Q40" i="38"/>
  <c r="V39" i="38"/>
  <c r="T39" i="38"/>
  <c r="Q39" i="38"/>
  <c r="V38" i="38"/>
  <c r="T38" i="38"/>
  <c r="Q38" i="38"/>
  <c r="V37" i="38"/>
  <c r="T37" i="38"/>
  <c r="Q37" i="38"/>
  <c r="V36" i="38"/>
  <c r="T36" i="38"/>
  <c r="Q36" i="38"/>
  <c r="V35" i="38"/>
  <c r="T35" i="38"/>
  <c r="Q35" i="38"/>
  <c r="V34" i="38"/>
  <c r="T34" i="38"/>
  <c r="Q34" i="38"/>
  <c r="V33" i="38"/>
  <c r="T33" i="38"/>
  <c r="Q33" i="38"/>
  <c r="V32" i="38"/>
  <c r="T32" i="38"/>
  <c r="Q32" i="38"/>
  <c r="V31" i="38"/>
  <c r="T31" i="38"/>
  <c r="Q31" i="38"/>
  <c r="V30" i="38"/>
  <c r="T30" i="38"/>
  <c r="Q30" i="38"/>
  <c r="V29" i="38"/>
  <c r="T29" i="38"/>
  <c r="Q29" i="38"/>
  <c r="V28" i="38"/>
  <c r="T28" i="38"/>
  <c r="Q28" i="38"/>
  <c r="V27" i="38"/>
  <c r="T27" i="38"/>
  <c r="Q27" i="38"/>
  <c r="V26" i="38"/>
  <c r="T26" i="38"/>
  <c r="Q26" i="38"/>
  <c r="V25" i="38"/>
  <c r="T25" i="38"/>
  <c r="Q25" i="38"/>
  <c r="V24" i="38"/>
  <c r="T24" i="38"/>
  <c r="Q24" i="38"/>
  <c r="V23" i="38"/>
  <c r="T23" i="38"/>
  <c r="Q23" i="38"/>
  <c r="V22" i="38"/>
  <c r="T22" i="38"/>
  <c r="Q22" i="38"/>
  <c r="V21" i="38"/>
  <c r="T21" i="38"/>
  <c r="Q21" i="38"/>
  <c r="V20" i="38"/>
  <c r="T20" i="38"/>
  <c r="Q20" i="38"/>
  <c r="V19" i="38"/>
  <c r="T19" i="38"/>
  <c r="Q19" i="38"/>
  <c r="V18" i="38"/>
  <c r="T18" i="38"/>
  <c r="Q18" i="38"/>
  <c r="V17" i="38"/>
  <c r="T17" i="38"/>
  <c r="Q17" i="38"/>
  <c r="V16" i="38"/>
  <c r="T16" i="38"/>
  <c r="Q16" i="38"/>
  <c r="V15" i="38"/>
  <c r="T15" i="38"/>
  <c r="Q15" i="38"/>
  <c r="V14" i="38"/>
  <c r="T14" i="38"/>
  <c r="Q14" i="38"/>
  <c r="V13" i="38"/>
  <c r="T13" i="38"/>
  <c r="Q13" i="38"/>
  <c r="V12" i="38"/>
  <c r="T12" i="38"/>
  <c r="Q12" i="38"/>
  <c r="V11" i="38"/>
  <c r="T11" i="38"/>
  <c r="Q11" i="38"/>
  <c r="V10" i="38"/>
  <c r="T10" i="38"/>
  <c r="Q10" i="38"/>
  <c r="V9" i="38"/>
  <c r="T9" i="38"/>
  <c r="Q9" i="38"/>
  <c r="V8" i="38"/>
  <c r="T8" i="38"/>
  <c r="Q8" i="38"/>
  <c r="V7" i="38"/>
  <c r="T7" i="38"/>
  <c r="Q7" i="38"/>
  <c r="V6" i="38"/>
  <c r="T6" i="38"/>
  <c r="Q6" i="38"/>
  <c r="V5" i="38"/>
  <c r="T5" i="38"/>
  <c r="Q5" i="38"/>
  <c r="V4" i="38"/>
  <c r="T4" i="38"/>
  <c r="Q4" i="38"/>
  <c r="V3" i="38"/>
  <c r="T3" i="38"/>
  <c r="Q3" i="38"/>
  <c r="V2" i="38"/>
  <c r="T2" i="38"/>
  <c r="Q2" i="38"/>
  <c r="T104" i="37" l="1"/>
  <c r="V104" i="37" s="1"/>
  <c r="Q104" i="37"/>
  <c r="T103" i="37"/>
  <c r="V103" i="37" s="1"/>
  <c r="Q103" i="37"/>
  <c r="T102" i="37"/>
  <c r="V102" i="37" s="1"/>
  <c r="Q102" i="37"/>
  <c r="T101" i="37"/>
  <c r="V101" i="37" s="1"/>
  <c r="Q101" i="37"/>
  <c r="T100" i="37"/>
  <c r="V100" i="37" s="1"/>
  <c r="Q100" i="37"/>
  <c r="T99" i="37"/>
  <c r="V99" i="37" s="1"/>
  <c r="Q99" i="37"/>
  <c r="T98" i="37"/>
  <c r="V98" i="37" s="1"/>
  <c r="Q98" i="37"/>
  <c r="T97" i="37"/>
  <c r="V97" i="37" s="1"/>
  <c r="Q97" i="37"/>
  <c r="T96" i="37"/>
  <c r="V96" i="37" s="1"/>
  <c r="Q96" i="37"/>
  <c r="T95" i="37"/>
  <c r="V95" i="37" s="1"/>
  <c r="Q95" i="37"/>
  <c r="T94" i="37"/>
  <c r="V94" i="37" s="1"/>
  <c r="Q94" i="37"/>
  <c r="T93" i="37"/>
  <c r="V93" i="37" s="1"/>
  <c r="Q93" i="37"/>
  <c r="T92" i="37"/>
  <c r="V92" i="37" s="1"/>
  <c r="Q92" i="37"/>
  <c r="T91" i="37"/>
  <c r="V91" i="37" s="1"/>
  <c r="Q91" i="37"/>
  <c r="T90" i="37"/>
  <c r="V90" i="37" s="1"/>
  <c r="Q90" i="37"/>
  <c r="T89" i="37"/>
  <c r="V89" i="37" s="1"/>
  <c r="Q89" i="37"/>
  <c r="T88" i="37"/>
  <c r="V88" i="37" s="1"/>
  <c r="Q88" i="37"/>
  <c r="T87" i="37"/>
  <c r="V87" i="37" s="1"/>
  <c r="Q87" i="37"/>
  <c r="T86" i="37"/>
  <c r="V86" i="37" s="1"/>
  <c r="Q86" i="37"/>
  <c r="T85" i="37"/>
  <c r="V85" i="37" s="1"/>
  <c r="Q85" i="37"/>
  <c r="T84" i="37"/>
  <c r="V84" i="37" s="1"/>
  <c r="Q84" i="37"/>
  <c r="T83" i="37"/>
  <c r="V83" i="37" s="1"/>
  <c r="Q83" i="37"/>
  <c r="T82" i="37"/>
  <c r="V82" i="37" s="1"/>
  <c r="Q82" i="37"/>
  <c r="T81" i="37"/>
  <c r="V81" i="37" s="1"/>
  <c r="Q81" i="37"/>
  <c r="T80" i="37"/>
  <c r="V80" i="37" s="1"/>
  <c r="Q80" i="37"/>
  <c r="T79" i="37"/>
  <c r="V79" i="37" s="1"/>
  <c r="Q79" i="37"/>
  <c r="T78" i="37"/>
  <c r="V78" i="37" s="1"/>
  <c r="Q78" i="37"/>
  <c r="T77" i="37"/>
  <c r="V77" i="37" s="1"/>
  <c r="Q77" i="37"/>
  <c r="T76" i="37"/>
  <c r="V76" i="37" s="1"/>
  <c r="Q76" i="37"/>
  <c r="T75" i="37"/>
  <c r="V75" i="37" s="1"/>
  <c r="Q75" i="37"/>
  <c r="T74" i="37"/>
  <c r="V74" i="37" s="1"/>
  <c r="Q74" i="37"/>
  <c r="T73" i="37"/>
  <c r="V73" i="37" s="1"/>
  <c r="Q73" i="37"/>
  <c r="T72" i="37"/>
  <c r="V72" i="37" s="1"/>
  <c r="Q72" i="37"/>
  <c r="T71" i="37"/>
  <c r="V71" i="37" s="1"/>
  <c r="Q71" i="37"/>
  <c r="T70" i="37"/>
  <c r="V70" i="37" s="1"/>
  <c r="Q70" i="37"/>
  <c r="T69" i="37"/>
  <c r="V69" i="37" s="1"/>
  <c r="Q69" i="37"/>
  <c r="T68" i="37"/>
  <c r="V68" i="37" s="1"/>
  <c r="Q68" i="37"/>
  <c r="T67" i="37"/>
  <c r="V67" i="37" s="1"/>
  <c r="Q67" i="37"/>
  <c r="T66" i="37"/>
  <c r="V66" i="37" s="1"/>
  <c r="Q66" i="37"/>
  <c r="T65" i="37"/>
  <c r="V65" i="37" s="1"/>
  <c r="Q65" i="37"/>
  <c r="T64" i="37"/>
  <c r="V64" i="37" s="1"/>
  <c r="Q64" i="37"/>
  <c r="T63" i="37"/>
  <c r="V63" i="37" s="1"/>
  <c r="Q63" i="37"/>
  <c r="T62" i="37"/>
  <c r="V62" i="37" s="1"/>
  <c r="Q62" i="37"/>
  <c r="T61" i="37"/>
  <c r="V61" i="37" s="1"/>
  <c r="Q61" i="37"/>
  <c r="T60" i="37"/>
  <c r="V60" i="37" s="1"/>
  <c r="Q60" i="37"/>
  <c r="T59" i="37"/>
  <c r="V59" i="37" s="1"/>
  <c r="Q59" i="37"/>
  <c r="T58" i="37"/>
  <c r="V58" i="37" s="1"/>
  <c r="Q58" i="37"/>
  <c r="T57" i="37"/>
  <c r="V57" i="37" s="1"/>
  <c r="Q57" i="37"/>
  <c r="T56" i="37"/>
  <c r="V56" i="37" s="1"/>
  <c r="Q56" i="37"/>
  <c r="T55" i="37"/>
  <c r="V55" i="37" s="1"/>
  <c r="Q55" i="37"/>
  <c r="T54" i="37"/>
  <c r="V54" i="37" s="1"/>
  <c r="Q54" i="37"/>
  <c r="T53" i="37"/>
  <c r="V53" i="37" s="1"/>
  <c r="Q53" i="37"/>
  <c r="T52" i="37"/>
  <c r="V52" i="37" s="1"/>
  <c r="Q52" i="37"/>
  <c r="T51" i="37"/>
  <c r="V51" i="37" s="1"/>
  <c r="Q51" i="37"/>
  <c r="T50" i="37"/>
  <c r="V50" i="37" s="1"/>
  <c r="Q50" i="37"/>
  <c r="T49" i="37"/>
  <c r="V49" i="37" s="1"/>
  <c r="Q49" i="37"/>
  <c r="T48" i="37"/>
  <c r="V48" i="37" s="1"/>
  <c r="Q48" i="37"/>
  <c r="T47" i="37"/>
  <c r="V47" i="37" s="1"/>
  <c r="Q47" i="37"/>
  <c r="T46" i="37"/>
  <c r="V46" i="37" s="1"/>
  <c r="Q46" i="37"/>
  <c r="T45" i="37"/>
  <c r="V45" i="37" s="1"/>
  <c r="Q45" i="37"/>
  <c r="T44" i="37"/>
  <c r="V44" i="37" s="1"/>
  <c r="Q44" i="37"/>
  <c r="T43" i="37"/>
  <c r="V43" i="37" s="1"/>
  <c r="Q43" i="37"/>
  <c r="T42" i="37"/>
  <c r="V42" i="37" s="1"/>
  <c r="Q42" i="37"/>
  <c r="T41" i="37"/>
  <c r="V41" i="37" s="1"/>
  <c r="Q41" i="37"/>
  <c r="T40" i="37"/>
  <c r="V40" i="37" s="1"/>
  <c r="Q40" i="37"/>
  <c r="T39" i="37"/>
  <c r="V39" i="37" s="1"/>
  <c r="Q39" i="37"/>
  <c r="T38" i="37"/>
  <c r="V38" i="37" s="1"/>
  <c r="Q38" i="37"/>
  <c r="T37" i="37"/>
  <c r="V37" i="37" s="1"/>
  <c r="Q37" i="37"/>
  <c r="T36" i="37"/>
  <c r="V36" i="37" s="1"/>
  <c r="Q36" i="37"/>
  <c r="T35" i="37"/>
  <c r="V35" i="37" s="1"/>
  <c r="Q35" i="37"/>
  <c r="T34" i="37"/>
  <c r="V34" i="37" s="1"/>
  <c r="Q34" i="37"/>
  <c r="T33" i="37"/>
  <c r="V33" i="37" s="1"/>
  <c r="Q33" i="37"/>
  <c r="T32" i="37"/>
  <c r="V32" i="37" s="1"/>
  <c r="Q32" i="37"/>
  <c r="T31" i="37"/>
  <c r="V31" i="37" s="1"/>
  <c r="Q31" i="37"/>
  <c r="T30" i="37"/>
  <c r="V30" i="37" s="1"/>
  <c r="Q30" i="37"/>
  <c r="T29" i="37"/>
  <c r="V29" i="37" s="1"/>
  <c r="Q29" i="37"/>
  <c r="T28" i="37"/>
  <c r="V28" i="37" s="1"/>
  <c r="Q28" i="37"/>
  <c r="T27" i="37"/>
  <c r="V27" i="37" s="1"/>
  <c r="Q27" i="37"/>
  <c r="T26" i="37"/>
  <c r="V26" i="37" s="1"/>
  <c r="Q26" i="37"/>
  <c r="T25" i="37"/>
  <c r="V25" i="37" s="1"/>
  <c r="Q25" i="37"/>
  <c r="T24" i="37"/>
  <c r="V24" i="37" s="1"/>
  <c r="Q24" i="37"/>
  <c r="T23" i="37"/>
  <c r="V23" i="37" s="1"/>
  <c r="Q23" i="37"/>
  <c r="T22" i="37"/>
  <c r="V22" i="37" s="1"/>
  <c r="Q22" i="37"/>
  <c r="T21" i="37"/>
  <c r="V21" i="37" s="1"/>
  <c r="Q21" i="37"/>
  <c r="T20" i="37"/>
  <c r="V20" i="37" s="1"/>
  <c r="Q20" i="37"/>
  <c r="T19" i="37"/>
  <c r="V19" i="37" s="1"/>
  <c r="Q19" i="37"/>
  <c r="T18" i="37"/>
  <c r="V18" i="37" s="1"/>
  <c r="Q18" i="37"/>
  <c r="T17" i="37"/>
  <c r="V17" i="37" s="1"/>
  <c r="Q17" i="37"/>
  <c r="T16" i="37"/>
  <c r="V16" i="37" s="1"/>
  <c r="Q16" i="37"/>
  <c r="T15" i="37"/>
  <c r="V15" i="37" s="1"/>
  <c r="Q15" i="37"/>
  <c r="T14" i="37"/>
  <c r="V14" i="37" s="1"/>
  <c r="Q14" i="37"/>
  <c r="T13" i="37"/>
  <c r="V13" i="37" s="1"/>
  <c r="Q13" i="37"/>
  <c r="T12" i="37"/>
  <c r="V12" i="37" s="1"/>
  <c r="Q12" i="37"/>
  <c r="T11" i="37"/>
  <c r="V11" i="37" s="1"/>
  <c r="Q11" i="37"/>
  <c r="T10" i="37"/>
  <c r="V10" i="37" s="1"/>
  <c r="Q10" i="37"/>
  <c r="T9" i="37"/>
  <c r="V9" i="37" s="1"/>
  <c r="Q9" i="37"/>
  <c r="T8" i="37"/>
  <c r="V8" i="37" s="1"/>
  <c r="Q8" i="37"/>
  <c r="T7" i="37"/>
  <c r="V7" i="37" s="1"/>
  <c r="Q7" i="37"/>
  <c r="T6" i="37"/>
  <c r="V6" i="37" s="1"/>
  <c r="Q6" i="37"/>
  <c r="T5" i="37"/>
  <c r="V5" i="37" s="1"/>
  <c r="Q5" i="37"/>
  <c r="T4" i="37"/>
  <c r="V4" i="37" s="1"/>
  <c r="Q4" i="37"/>
  <c r="T3" i="37"/>
  <c r="V3" i="37" s="1"/>
  <c r="Q3" i="37"/>
  <c r="T2" i="37"/>
  <c r="V2" i="37" s="1"/>
  <c r="Q2" i="37"/>
  <c r="T85" i="36" l="1"/>
  <c r="V85" i="36" s="1"/>
  <c r="Q85" i="36"/>
  <c r="T84" i="36"/>
  <c r="V84" i="36" s="1"/>
  <c r="Q84" i="36"/>
  <c r="T83" i="36"/>
  <c r="V83" i="36" s="1"/>
  <c r="Q83" i="36"/>
  <c r="T82" i="36"/>
  <c r="V82" i="36" s="1"/>
  <c r="Q82" i="36"/>
  <c r="T81" i="36"/>
  <c r="V81" i="36" s="1"/>
  <c r="Q81" i="36"/>
  <c r="T80" i="36"/>
  <c r="V80" i="36" s="1"/>
  <c r="Q80" i="36"/>
  <c r="T79" i="36"/>
  <c r="V79" i="36" s="1"/>
  <c r="Q79" i="36"/>
  <c r="T78" i="36"/>
  <c r="V78" i="36" s="1"/>
  <c r="Q78" i="36"/>
  <c r="T77" i="36"/>
  <c r="V77" i="36" s="1"/>
  <c r="Q77" i="36"/>
  <c r="T76" i="36"/>
  <c r="V76" i="36" s="1"/>
  <c r="Q76" i="36"/>
  <c r="T75" i="36"/>
  <c r="V75" i="36" s="1"/>
  <c r="Q75" i="36"/>
  <c r="T74" i="36"/>
  <c r="V74" i="36" s="1"/>
  <c r="Q74" i="36"/>
  <c r="T73" i="36"/>
  <c r="V73" i="36" s="1"/>
  <c r="Q73" i="36"/>
  <c r="T72" i="36"/>
  <c r="V72" i="36" s="1"/>
  <c r="Q72" i="36"/>
  <c r="T71" i="36"/>
  <c r="V71" i="36" s="1"/>
  <c r="Q71" i="36"/>
  <c r="T70" i="36"/>
  <c r="V70" i="36" s="1"/>
  <c r="Q70" i="36"/>
  <c r="T69" i="36"/>
  <c r="V69" i="36" s="1"/>
  <c r="Q69" i="36"/>
  <c r="T68" i="36"/>
  <c r="V68" i="36" s="1"/>
  <c r="Q68" i="36"/>
  <c r="T67" i="36"/>
  <c r="V67" i="36" s="1"/>
  <c r="Q67" i="36"/>
  <c r="T66" i="36"/>
  <c r="V66" i="36" s="1"/>
  <c r="Q66" i="36"/>
  <c r="T65" i="36"/>
  <c r="V65" i="36" s="1"/>
  <c r="Q65" i="36"/>
  <c r="T64" i="36"/>
  <c r="V64" i="36" s="1"/>
  <c r="Q64" i="36"/>
  <c r="T63" i="36"/>
  <c r="V63" i="36" s="1"/>
  <c r="Q63" i="36"/>
  <c r="T62" i="36"/>
  <c r="V62" i="36" s="1"/>
  <c r="Q62" i="36"/>
  <c r="T61" i="36"/>
  <c r="V61" i="36" s="1"/>
  <c r="Q61" i="36"/>
  <c r="T60" i="36"/>
  <c r="V60" i="36" s="1"/>
  <c r="Q60" i="36"/>
  <c r="T59" i="36"/>
  <c r="V59" i="36" s="1"/>
  <c r="Q59" i="36"/>
  <c r="T58" i="36"/>
  <c r="V58" i="36" s="1"/>
  <c r="Q58" i="36"/>
  <c r="T57" i="36"/>
  <c r="V57" i="36" s="1"/>
  <c r="Q57" i="36"/>
  <c r="T56" i="36"/>
  <c r="V56" i="36" s="1"/>
  <c r="Q56" i="36"/>
  <c r="T55" i="36"/>
  <c r="V55" i="36" s="1"/>
  <c r="Q55" i="36"/>
  <c r="T54" i="36"/>
  <c r="V54" i="36" s="1"/>
  <c r="Q54" i="36"/>
  <c r="T53" i="36"/>
  <c r="V53" i="36" s="1"/>
  <c r="Q53" i="36"/>
  <c r="T52" i="36"/>
  <c r="V52" i="36" s="1"/>
  <c r="Q52" i="36"/>
  <c r="T51" i="36"/>
  <c r="V51" i="36" s="1"/>
  <c r="Q51" i="36"/>
  <c r="T50" i="36"/>
  <c r="V50" i="36" s="1"/>
  <c r="Q50" i="36"/>
  <c r="T49" i="36"/>
  <c r="V49" i="36" s="1"/>
  <c r="Q49" i="36"/>
  <c r="T48" i="36"/>
  <c r="V48" i="36" s="1"/>
  <c r="Q48" i="36"/>
  <c r="T47" i="36"/>
  <c r="V47" i="36" s="1"/>
  <c r="Q47" i="36"/>
  <c r="T46" i="36"/>
  <c r="V46" i="36" s="1"/>
  <c r="Q46" i="36"/>
  <c r="T45" i="36"/>
  <c r="V45" i="36" s="1"/>
  <c r="Q45" i="36"/>
  <c r="T44" i="36"/>
  <c r="V44" i="36" s="1"/>
  <c r="Q44" i="36"/>
  <c r="T43" i="36"/>
  <c r="V43" i="36" s="1"/>
  <c r="Q43" i="36"/>
  <c r="T42" i="36"/>
  <c r="V42" i="36" s="1"/>
  <c r="Q42" i="36"/>
  <c r="T41" i="36"/>
  <c r="V41" i="36" s="1"/>
  <c r="Q41" i="36"/>
  <c r="T40" i="36"/>
  <c r="V40" i="36" s="1"/>
  <c r="Q40" i="36"/>
  <c r="T39" i="36"/>
  <c r="V39" i="36" s="1"/>
  <c r="Q39" i="36"/>
  <c r="T38" i="36"/>
  <c r="V38" i="36" s="1"/>
  <c r="Q38" i="36"/>
  <c r="T37" i="36"/>
  <c r="V37" i="36" s="1"/>
  <c r="Q37" i="36"/>
  <c r="T36" i="36"/>
  <c r="V36" i="36" s="1"/>
  <c r="Q36" i="36"/>
  <c r="T35" i="36"/>
  <c r="V35" i="36" s="1"/>
  <c r="Q35" i="36"/>
  <c r="T34" i="36"/>
  <c r="V34" i="36" s="1"/>
  <c r="Q34" i="36"/>
  <c r="T33" i="36"/>
  <c r="V33" i="36" s="1"/>
  <c r="Q33" i="36"/>
  <c r="T32" i="36"/>
  <c r="V32" i="36" s="1"/>
  <c r="Q32" i="36"/>
  <c r="T31" i="36"/>
  <c r="V31" i="36" s="1"/>
  <c r="Q31" i="36"/>
  <c r="T30" i="36"/>
  <c r="V30" i="36" s="1"/>
  <c r="Q30" i="36"/>
  <c r="T29" i="36"/>
  <c r="V29" i="36" s="1"/>
  <c r="Q29" i="36"/>
  <c r="T28" i="36"/>
  <c r="V28" i="36" s="1"/>
  <c r="Q28" i="36"/>
  <c r="T27" i="36"/>
  <c r="V27" i="36" s="1"/>
  <c r="Q27" i="36"/>
  <c r="T26" i="36"/>
  <c r="V26" i="36" s="1"/>
  <c r="Q26" i="36"/>
  <c r="T25" i="36"/>
  <c r="V25" i="36" s="1"/>
  <c r="Q25" i="36"/>
  <c r="T24" i="36"/>
  <c r="V24" i="36" s="1"/>
  <c r="Q24" i="36"/>
  <c r="T23" i="36"/>
  <c r="V23" i="36" s="1"/>
  <c r="Q23" i="36"/>
  <c r="T22" i="36"/>
  <c r="V22" i="36" s="1"/>
  <c r="Q22" i="36"/>
  <c r="T21" i="36"/>
  <c r="V21" i="36" s="1"/>
  <c r="Q21" i="36"/>
  <c r="T20" i="36"/>
  <c r="V20" i="36" s="1"/>
  <c r="Q20" i="36"/>
  <c r="T19" i="36"/>
  <c r="V19" i="36" s="1"/>
  <c r="Q19" i="36"/>
  <c r="T18" i="36"/>
  <c r="V18" i="36" s="1"/>
  <c r="Q18" i="36"/>
  <c r="T17" i="36"/>
  <c r="V17" i="36" s="1"/>
  <c r="Q17" i="36"/>
  <c r="T16" i="36"/>
  <c r="V16" i="36" s="1"/>
  <c r="Q16" i="36"/>
  <c r="T15" i="36"/>
  <c r="V15" i="36" s="1"/>
  <c r="Q15" i="36"/>
  <c r="T14" i="36"/>
  <c r="V14" i="36" s="1"/>
  <c r="Q14" i="36"/>
  <c r="T13" i="36"/>
  <c r="V13" i="36" s="1"/>
  <c r="Q13" i="36"/>
  <c r="T12" i="36"/>
  <c r="V12" i="36" s="1"/>
  <c r="Q12" i="36"/>
  <c r="T11" i="36"/>
  <c r="V11" i="36" s="1"/>
  <c r="Q11" i="36"/>
  <c r="T10" i="36"/>
  <c r="V10" i="36" s="1"/>
  <c r="Q10" i="36"/>
  <c r="T9" i="36"/>
  <c r="V9" i="36" s="1"/>
  <c r="Q9" i="36"/>
  <c r="T8" i="36"/>
  <c r="V8" i="36" s="1"/>
  <c r="Q8" i="36"/>
  <c r="T7" i="36"/>
  <c r="V7" i="36" s="1"/>
  <c r="Q7" i="36"/>
  <c r="T6" i="36"/>
  <c r="V6" i="36" s="1"/>
  <c r="Q6" i="36"/>
  <c r="T5" i="36"/>
  <c r="V5" i="36" s="1"/>
  <c r="Q5" i="36"/>
  <c r="T4" i="36"/>
  <c r="V4" i="36" s="1"/>
  <c r="Q4" i="36"/>
  <c r="T3" i="36"/>
  <c r="V3" i="36" s="1"/>
  <c r="Q3" i="36"/>
  <c r="T2" i="36"/>
  <c r="V2" i="36" s="1"/>
  <c r="Q2" i="36"/>
  <c r="V114" i="35" l="1"/>
  <c r="V113" i="35"/>
  <c r="V112" i="35"/>
  <c r="V111" i="35"/>
  <c r="V110" i="35"/>
  <c r="V109" i="35"/>
  <c r="V108" i="35"/>
  <c r="V107" i="35"/>
  <c r="V106" i="35"/>
  <c r="V105" i="35"/>
  <c r="V104" i="35"/>
  <c r="Q104" i="35"/>
  <c r="V103" i="35"/>
  <c r="Q103" i="35"/>
  <c r="T102" i="35"/>
  <c r="V102" i="35" s="1"/>
  <c r="Q102" i="35"/>
  <c r="T101" i="35"/>
  <c r="V101" i="35" s="1"/>
  <c r="Q101" i="35"/>
  <c r="T100" i="35"/>
  <c r="V100" i="35" s="1"/>
  <c r="Q100" i="35"/>
  <c r="T99" i="35"/>
  <c r="V99" i="35" s="1"/>
  <c r="Q99" i="35"/>
  <c r="T98" i="35"/>
  <c r="V98" i="35" s="1"/>
  <c r="Q98" i="35"/>
  <c r="T97" i="35"/>
  <c r="V97" i="35" s="1"/>
  <c r="Q97" i="35"/>
  <c r="T96" i="35"/>
  <c r="V96" i="35" s="1"/>
  <c r="Q96" i="35"/>
  <c r="T95" i="35"/>
  <c r="V95" i="35" s="1"/>
  <c r="Q95" i="35"/>
  <c r="T94" i="35"/>
  <c r="V94" i="35" s="1"/>
  <c r="Q94" i="35"/>
  <c r="T93" i="35"/>
  <c r="V93" i="35" s="1"/>
  <c r="Q93" i="35"/>
  <c r="T92" i="35"/>
  <c r="V92" i="35" s="1"/>
  <c r="Q92" i="35"/>
  <c r="T91" i="35"/>
  <c r="V91" i="35" s="1"/>
  <c r="Q91" i="35"/>
  <c r="T90" i="35"/>
  <c r="V90" i="35" s="1"/>
  <c r="Q90" i="35"/>
  <c r="T89" i="35"/>
  <c r="V89" i="35" s="1"/>
  <c r="Q89" i="35"/>
  <c r="T88" i="35"/>
  <c r="V88" i="35" s="1"/>
  <c r="Q88" i="35"/>
  <c r="T87" i="35"/>
  <c r="V87" i="35" s="1"/>
  <c r="Q87" i="35"/>
  <c r="T86" i="35"/>
  <c r="V86" i="35" s="1"/>
  <c r="Q86" i="35"/>
  <c r="T85" i="35"/>
  <c r="V85" i="35" s="1"/>
  <c r="Q85" i="35"/>
  <c r="T84" i="35"/>
  <c r="V84" i="35" s="1"/>
  <c r="Q84" i="35"/>
  <c r="T83" i="35"/>
  <c r="V83" i="35" s="1"/>
  <c r="Q83" i="35"/>
  <c r="T82" i="35"/>
  <c r="V82" i="35" s="1"/>
  <c r="Q82" i="35"/>
  <c r="T81" i="35"/>
  <c r="V81" i="35" s="1"/>
  <c r="Q81" i="35"/>
  <c r="T80" i="35"/>
  <c r="V80" i="35" s="1"/>
  <c r="Q80" i="35"/>
  <c r="T79" i="35"/>
  <c r="V79" i="35" s="1"/>
  <c r="Q79" i="35"/>
  <c r="T78" i="35"/>
  <c r="V78" i="35" s="1"/>
  <c r="Q78" i="35"/>
  <c r="T77" i="35"/>
  <c r="V77" i="35" s="1"/>
  <c r="Q77" i="35"/>
  <c r="T76" i="35"/>
  <c r="V76" i="35" s="1"/>
  <c r="Q76" i="35"/>
  <c r="T75" i="35"/>
  <c r="V75" i="35" s="1"/>
  <c r="Q75" i="35"/>
  <c r="T74" i="35"/>
  <c r="V74" i="35" s="1"/>
  <c r="Q74" i="35"/>
  <c r="T73" i="35"/>
  <c r="V73" i="35" s="1"/>
  <c r="Q73" i="35"/>
  <c r="T72" i="35"/>
  <c r="V72" i="35" s="1"/>
  <c r="Q72" i="35"/>
  <c r="T71" i="35"/>
  <c r="V71" i="35" s="1"/>
  <c r="Q71" i="35"/>
  <c r="T70" i="35"/>
  <c r="V70" i="35" s="1"/>
  <c r="Q70" i="35"/>
  <c r="T69" i="35"/>
  <c r="V69" i="35" s="1"/>
  <c r="Q69" i="35"/>
  <c r="T68" i="35"/>
  <c r="V68" i="35" s="1"/>
  <c r="Q68" i="35"/>
  <c r="T67" i="35"/>
  <c r="V67" i="35" s="1"/>
  <c r="Q67" i="35"/>
  <c r="T66" i="35"/>
  <c r="V66" i="35" s="1"/>
  <c r="Q66" i="35"/>
  <c r="T65" i="35"/>
  <c r="V65" i="35" s="1"/>
  <c r="Q65" i="35"/>
  <c r="T64" i="35"/>
  <c r="V64" i="35" s="1"/>
  <c r="Q64" i="35"/>
  <c r="T63" i="35"/>
  <c r="V63" i="35" s="1"/>
  <c r="Q63" i="35"/>
  <c r="T62" i="35"/>
  <c r="V62" i="35" s="1"/>
  <c r="Q62" i="35"/>
  <c r="T61" i="35"/>
  <c r="V61" i="35" s="1"/>
  <c r="Q61" i="35"/>
  <c r="T60" i="35"/>
  <c r="V60" i="35" s="1"/>
  <c r="Q60" i="35"/>
  <c r="T59" i="35"/>
  <c r="V59" i="35" s="1"/>
  <c r="Q59" i="35"/>
  <c r="T58" i="35"/>
  <c r="V58" i="35" s="1"/>
  <c r="Q58" i="35"/>
  <c r="T57" i="35"/>
  <c r="V57" i="35" s="1"/>
  <c r="Q57" i="35"/>
  <c r="T56" i="35"/>
  <c r="V56" i="35" s="1"/>
  <c r="Q56" i="35"/>
  <c r="T55" i="35"/>
  <c r="V55" i="35" s="1"/>
  <c r="Q55" i="35"/>
  <c r="T54" i="35"/>
  <c r="V54" i="35" s="1"/>
  <c r="Q54" i="35"/>
  <c r="T53" i="35"/>
  <c r="V53" i="35" s="1"/>
  <c r="Q53" i="35"/>
  <c r="T52" i="35"/>
  <c r="V52" i="35" s="1"/>
  <c r="Q52" i="35"/>
  <c r="T51" i="35"/>
  <c r="V51" i="35" s="1"/>
  <c r="Q51" i="35"/>
  <c r="T50" i="35"/>
  <c r="V50" i="35" s="1"/>
  <c r="Q50" i="35"/>
  <c r="T49" i="35"/>
  <c r="V49" i="35" s="1"/>
  <c r="Q49" i="35"/>
  <c r="T48" i="35"/>
  <c r="V48" i="35" s="1"/>
  <c r="Q48" i="35"/>
  <c r="T47" i="35"/>
  <c r="V47" i="35" s="1"/>
  <c r="Q47" i="35"/>
  <c r="T46" i="35"/>
  <c r="V46" i="35" s="1"/>
  <c r="Q46" i="35"/>
  <c r="T45" i="35"/>
  <c r="V45" i="35" s="1"/>
  <c r="Q45" i="35"/>
  <c r="T44" i="35"/>
  <c r="V44" i="35" s="1"/>
  <c r="Q44" i="35"/>
  <c r="T43" i="35"/>
  <c r="V43" i="35" s="1"/>
  <c r="Q43" i="35"/>
  <c r="T42" i="35"/>
  <c r="V42" i="35" s="1"/>
  <c r="Q42" i="35"/>
  <c r="T41" i="35"/>
  <c r="V41" i="35" s="1"/>
  <c r="Q41" i="35"/>
  <c r="T40" i="35"/>
  <c r="V40" i="35" s="1"/>
  <c r="Q40" i="35"/>
  <c r="T39" i="35"/>
  <c r="V39" i="35" s="1"/>
  <c r="Q39" i="35"/>
  <c r="T38" i="35"/>
  <c r="V38" i="35" s="1"/>
  <c r="Q38" i="35"/>
  <c r="T37" i="35"/>
  <c r="V37" i="35" s="1"/>
  <c r="Q37" i="35"/>
  <c r="T36" i="35"/>
  <c r="V36" i="35" s="1"/>
  <c r="Q36" i="35"/>
  <c r="T35" i="35"/>
  <c r="V35" i="35" s="1"/>
  <c r="Q35" i="35"/>
  <c r="T34" i="35"/>
  <c r="V34" i="35" s="1"/>
  <c r="Q34" i="35"/>
  <c r="T33" i="35"/>
  <c r="V33" i="35" s="1"/>
  <c r="Q33" i="35"/>
  <c r="T32" i="35"/>
  <c r="V32" i="35" s="1"/>
  <c r="Q32" i="35"/>
  <c r="T31" i="35"/>
  <c r="V31" i="35" s="1"/>
  <c r="Q31" i="35"/>
  <c r="T30" i="35"/>
  <c r="V30" i="35" s="1"/>
  <c r="Q30" i="35"/>
  <c r="T29" i="35"/>
  <c r="V29" i="35" s="1"/>
  <c r="Q29" i="35"/>
  <c r="T28" i="35"/>
  <c r="V28" i="35" s="1"/>
  <c r="Q28" i="35"/>
  <c r="T27" i="35"/>
  <c r="V27" i="35" s="1"/>
  <c r="Q27" i="35"/>
  <c r="T26" i="35"/>
  <c r="V26" i="35" s="1"/>
  <c r="Q26" i="35"/>
  <c r="T25" i="35"/>
  <c r="V25" i="35" s="1"/>
  <c r="Q25" i="35"/>
  <c r="T24" i="35"/>
  <c r="V24" i="35" s="1"/>
  <c r="Q24" i="35"/>
  <c r="T23" i="35"/>
  <c r="V23" i="35" s="1"/>
  <c r="Q23" i="35"/>
  <c r="T22" i="35"/>
  <c r="V22" i="35" s="1"/>
  <c r="Q22" i="35"/>
  <c r="T21" i="35"/>
  <c r="V21" i="35" s="1"/>
  <c r="Q21" i="35"/>
  <c r="T20" i="35"/>
  <c r="V20" i="35" s="1"/>
  <c r="Q20" i="35"/>
  <c r="T19" i="35"/>
  <c r="V19" i="35" s="1"/>
  <c r="Q19" i="35"/>
  <c r="T18" i="35"/>
  <c r="V18" i="35" s="1"/>
  <c r="Q18" i="35"/>
  <c r="T17" i="35"/>
  <c r="V17" i="35" s="1"/>
  <c r="Q17" i="35"/>
  <c r="T16" i="35"/>
  <c r="V16" i="35" s="1"/>
  <c r="Q16" i="35"/>
  <c r="T15" i="35"/>
  <c r="V15" i="35" s="1"/>
  <c r="Q15" i="35"/>
  <c r="T14" i="35"/>
  <c r="V14" i="35" s="1"/>
  <c r="Q14" i="35"/>
  <c r="T13" i="35"/>
  <c r="V13" i="35" s="1"/>
  <c r="Q13" i="35"/>
  <c r="T12" i="35"/>
  <c r="V12" i="35" s="1"/>
  <c r="Q12" i="35"/>
  <c r="T11" i="35"/>
  <c r="V11" i="35" s="1"/>
  <c r="Q11" i="35"/>
  <c r="T10" i="35"/>
  <c r="V10" i="35" s="1"/>
  <c r="Q10" i="35"/>
  <c r="T9" i="35"/>
  <c r="V9" i="35" s="1"/>
  <c r="Q9" i="35"/>
  <c r="T8" i="35"/>
  <c r="V8" i="35" s="1"/>
  <c r="Q8" i="35"/>
  <c r="T7" i="35"/>
  <c r="V7" i="35" s="1"/>
  <c r="Q7" i="35"/>
  <c r="T6" i="35"/>
  <c r="V6" i="35" s="1"/>
  <c r="Q6" i="35"/>
  <c r="T5" i="35"/>
  <c r="V5" i="35" s="1"/>
  <c r="Q5" i="35"/>
  <c r="T4" i="35"/>
  <c r="V4" i="35" s="1"/>
  <c r="Q4" i="35"/>
  <c r="T3" i="35"/>
  <c r="V3" i="35" s="1"/>
  <c r="Q3" i="35"/>
  <c r="T2" i="35"/>
  <c r="V2" i="35" s="1"/>
  <c r="Q2" i="35"/>
  <c r="T112" i="34" l="1"/>
  <c r="V112" i="34" s="1"/>
  <c r="Q112" i="34"/>
  <c r="T111" i="34"/>
  <c r="V111" i="34" s="1"/>
  <c r="Q111" i="34"/>
  <c r="T110" i="34"/>
  <c r="V110" i="34" s="1"/>
  <c r="Q110" i="34"/>
  <c r="T109" i="34"/>
  <c r="V109" i="34" s="1"/>
  <c r="Q109" i="34"/>
  <c r="T108" i="34"/>
  <c r="V108" i="34" s="1"/>
  <c r="Q108" i="34"/>
  <c r="T107" i="34"/>
  <c r="V107" i="34" s="1"/>
  <c r="Q107" i="34"/>
  <c r="T106" i="34"/>
  <c r="V106" i="34" s="1"/>
  <c r="Q106" i="34"/>
  <c r="T105" i="34"/>
  <c r="V105" i="34" s="1"/>
  <c r="Q105" i="34"/>
  <c r="T104" i="34"/>
  <c r="V104" i="34" s="1"/>
  <c r="Q104" i="34"/>
  <c r="T103" i="34"/>
  <c r="V103" i="34" s="1"/>
  <c r="Q103" i="34"/>
  <c r="T102" i="34"/>
  <c r="V102" i="34" s="1"/>
  <c r="Q102" i="34"/>
  <c r="T101" i="34"/>
  <c r="V101" i="34" s="1"/>
  <c r="Q101" i="34"/>
  <c r="T100" i="34"/>
  <c r="V100" i="34" s="1"/>
  <c r="Q100" i="34"/>
  <c r="T99" i="34"/>
  <c r="V99" i="34" s="1"/>
  <c r="Q99" i="34"/>
  <c r="T98" i="34"/>
  <c r="V98" i="34" s="1"/>
  <c r="Q98" i="34"/>
  <c r="T97" i="34"/>
  <c r="V97" i="34" s="1"/>
  <c r="Q97" i="34"/>
  <c r="T96" i="34"/>
  <c r="V96" i="34" s="1"/>
  <c r="Q96" i="34"/>
  <c r="T95" i="34"/>
  <c r="V95" i="34" s="1"/>
  <c r="Q95" i="34"/>
  <c r="T94" i="34"/>
  <c r="V94" i="34" s="1"/>
  <c r="Q94" i="34"/>
  <c r="T93" i="34"/>
  <c r="V93" i="34" s="1"/>
  <c r="Q93" i="34"/>
  <c r="T92" i="34"/>
  <c r="V92" i="34" s="1"/>
  <c r="Q92" i="34"/>
  <c r="T91" i="34"/>
  <c r="V91" i="34" s="1"/>
  <c r="Q91" i="34"/>
  <c r="T90" i="34"/>
  <c r="V90" i="34" s="1"/>
  <c r="Q90" i="34"/>
  <c r="T89" i="34"/>
  <c r="V89" i="34" s="1"/>
  <c r="Q89" i="34"/>
  <c r="T88" i="34"/>
  <c r="V88" i="34" s="1"/>
  <c r="Q88" i="34"/>
  <c r="T87" i="34"/>
  <c r="V87" i="34" s="1"/>
  <c r="Q87" i="34"/>
  <c r="T86" i="34"/>
  <c r="V86" i="34" s="1"/>
  <c r="Q86" i="34"/>
  <c r="T85" i="34"/>
  <c r="V85" i="34" s="1"/>
  <c r="Q85" i="34"/>
  <c r="T84" i="34"/>
  <c r="V84" i="34" s="1"/>
  <c r="Q84" i="34"/>
  <c r="T83" i="34"/>
  <c r="V83" i="34" s="1"/>
  <c r="Q83" i="34"/>
  <c r="T82" i="34"/>
  <c r="V82" i="34" s="1"/>
  <c r="Q82" i="34"/>
  <c r="T81" i="34"/>
  <c r="V81" i="34" s="1"/>
  <c r="Q81" i="34"/>
  <c r="T80" i="34"/>
  <c r="V80" i="34" s="1"/>
  <c r="Q80" i="34"/>
  <c r="T79" i="34"/>
  <c r="V79" i="34" s="1"/>
  <c r="Q79" i="34"/>
  <c r="T78" i="34"/>
  <c r="V78" i="34" s="1"/>
  <c r="Q78" i="34"/>
  <c r="T77" i="34"/>
  <c r="V77" i="34" s="1"/>
  <c r="Q77" i="34"/>
  <c r="T76" i="34"/>
  <c r="V76" i="34" s="1"/>
  <c r="Q76" i="34"/>
  <c r="T75" i="34"/>
  <c r="V75" i="34" s="1"/>
  <c r="Q75" i="34"/>
  <c r="T74" i="34"/>
  <c r="V74" i="34" s="1"/>
  <c r="Q74" i="34"/>
  <c r="T73" i="34"/>
  <c r="V73" i="34" s="1"/>
  <c r="Q73" i="34"/>
  <c r="T72" i="34"/>
  <c r="V72" i="34" s="1"/>
  <c r="Q72" i="34"/>
  <c r="T71" i="34"/>
  <c r="V71" i="34" s="1"/>
  <c r="Q71" i="34"/>
  <c r="T70" i="34"/>
  <c r="V70" i="34" s="1"/>
  <c r="Q70" i="34"/>
  <c r="T69" i="34"/>
  <c r="V69" i="34" s="1"/>
  <c r="Q69" i="34"/>
  <c r="T68" i="34"/>
  <c r="V68" i="34" s="1"/>
  <c r="Q68" i="34"/>
  <c r="T67" i="34"/>
  <c r="V67" i="34" s="1"/>
  <c r="Q67" i="34"/>
  <c r="T66" i="34"/>
  <c r="V66" i="34" s="1"/>
  <c r="Q66" i="34"/>
  <c r="T65" i="34"/>
  <c r="V65" i="34" s="1"/>
  <c r="Q65" i="34"/>
  <c r="T64" i="34"/>
  <c r="V64" i="34" s="1"/>
  <c r="Q64" i="34"/>
  <c r="T63" i="34"/>
  <c r="V63" i="34" s="1"/>
  <c r="Q63" i="34"/>
  <c r="T62" i="34"/>
  <c r="V62" i="34" s="1"/>
  <c r="Q62" i="34"/>
  <c r="T61" i="34"/>
  <c r="V61" i="34" s="1"/>
  <c r="Q61" i="34"/>
  <c r="T60" i="34"/>
  <c r="V60" i="34" s="1"/>
  <c r="Q60" i="34"/>
  <c r="T59" i="34"/>
  <c r="V59" i="34" s="1"/>
  <c r="Q59" i="34"/>
  <c r="T58" i="34"/>
  <c r="V58" i="34" s="1"/>
  <c r="Q58" i="34"/>
  <c r="T57" i="34"/>
  <c r="V57" i="34" s="1"/>
  <c r="Q57" i="34"/>
  <c r="T56" i="34"/>
  <c r="V56" i="34" s="1"/>
  <c r="Q56" i="34"/>
  <c r="T55" i="34"/>
  <c r="V55" i="34" s="1"/>
  <c r="Q55" i="34"/>
  <c r="T54" i="34"/>
  <c r="V54" i="34" s="1"/>
  <c r="Q54" i="34"/>
  <c r="T53" i="34"/>
  <c r="V53" i="34" s="1"/>
  <c r="Q53" i="34"/>
  <c r="T52" i="34"/>
  <c r="V52" i="34" s="1"/>
  <c r="Q52" i="34"/>
  <c r="T51" i="34"/>
  <c r="V51" i="34" s="1"/>
  <c r="Q51" i="34"/>
  <c r="T50" i="34"/>
  <c r="V50" i="34" s="1"/>
  <c r="Q50" i="34"/>
  <c r="T49" i="34"/>
  <c r="V49" i="34" s="1"/>
  <c r="Q49" i="34"/>
  <c r="T48" i="34"/>
  <c r="V48" i="34" s="1"/>
  <c r="Q48" i="34"/>
  <c r="T47" i="34"/>
  <c r="V47" i="34" s="1"/>
  <c r="Q47" i="34"/>
  <c r="T46" i="34"/>
  <c r="V46" i="34" s="1"/>
  <c r="Q46" i="34"/>
  <c r="T45" i="34"/>
  <c r="V45" i="34" s="1"/>
  <c r="Q45" i="34"/>
  <c r="T44" i="34"/>
  <c r="V44" i="34" s="1"/>
  <c r="Q44" i="34"/>
  <c r="T43" i="34"/>
  <c r="V43" i="34" s="1"/>
  <c r="Q43" i="34"/>
  <c r="T42" i="34"/>
  <c r="V42" i="34" s="1"/>
  <c r="Q42" i="34"/>
  <c r="T41" i="34"/>
  <c r="V41" i="34" s="1"/>
  <c r="Q41" i="34"/>
  <c r="T40" i="34"/>
  <c r="V40" i="34" s="1"/>
  <c r="Q40" i="34"/>
  <c r="T39" i="34"/>
  <c r="V39" i="34" s="1"/>
  <c r="Q39" i="34"/>
  <c r="T38" i="34"/>
  <c r="V38" i="34" s="1"/>
  <c r="Q38" i="34"/>
  <c r="T37" i="34"/>
  <c r="V37" i="34" s="1"/>
  <c r="Q37" i="34"/>
  <c r="T36" i="34"/>
  <c r="V36" i="34" s="1"/>
  <c r="Q36" i="34"/>
  <c r="T35" i="34"/>
  <c r="V35" i="34" s="1"/>
  <c r="Q35" i="34"/>
  <c r="T34" i="34"/>
  <c r="V34" i="34" s="1"/>
  <c r="Q34" i="34"/>
  <c r="T33" i="34"/>
  <c r="V33" i="34" s="1"/>
  <c r="Q33" i="34"/>
  <c r="T32" i="34"/>
  <c r="V32" i="34" s="1"/>
  <c r="Q32" i="34"/>
  <c r="T31" i="34"/>
  <c r="V31" i="34" s="1"/>
  <c r="Q31" i="34"/>
  <c r="T30" i="34"/>
  <c r="V30" i="34" s="1"/>
  <c r="Q30" i="34"/>
  <c r="T29" i="34"/>
  <c r="V29" i="34" s="1"/>
  <c r="Q29" i="34"/>
  <c r="T28" i="34"/>
  <c r="V28" i="34" s="1"/>
  <c r="Q28" i="34"/>
  <c r="T27" i="34"/>
  <c r="V27" i="34" s="1"/>
  <c r="Q27" i="34"/>
  <c r="T26" i="34"/>
  <c r="V26" i="34" s="1"/>
  <c r="Q26" i="34"/>
  <c r="T25" i="34"/>
  <c r="V25" i="34" s="1"/>
  <c r="Q25" i="34"/>
  <c r="T24" i="34"/>
  <c r="V24" i="34" s="1"/>
  <c r="Q24" i="34"/>
  <c r="T23" i="34"/>
  <c r="V23" i="34" s="1"/>
  <c r="Q23" i="34"/>
  <c r="T22" i="34"/>
  <c r="V22" i="34" s="1"/>
  <c r="Q22" i="34"/>
  <c r="T21" i="34"/>
  <c r="V21" i="34" s="1"/>
  <c r="Q21" i="34"/>
  <c r="T20" i="34"/>
  <c r="V20" i="34" s="1"/>
  <c r="Q20" i="34"/>
  <c r="T19" i="34"/>
  <c r="V19" i="34" s="1"/>
  <c r="Q19" i="34"/>
  <c r="T18" i="34"/>
  <c r="V18" i="34" s="1"/>
  <c r="Q18" i="34"/>
  <c r="T17" i="34"/>
  <c r="V17" i="34" s="1"/>
  <c r="Q17" i="34"/>
  <c r="T16" i="34"/>
  <c r="V16" i="34" s="1"/>
  <c r="Q16" i="34"/>
  <c r="T15" i="34"/>
  <c r="V15" i="34" s="1"/>
  <c r="Q15" i="34"/>
  <c r="T14" i="34"/>
  <c r="V14" i="34" s="1"/>
  <c r="Q14" i="34"/>
  <c r="T13" i="34"/>
  <c r="V13" i="34" s="1"/>
  <c r="Q13" i="34"/>
  <c r="T12" i="34"/>
  <c r="V12" i="34" s="1"/>
  <c r="Q12" i="34"/>
  <c r="T11" i="34"/>
  <c r="V11" i="34" s="1"/>
  <c r="Q11" i="34"/>
  <c r="T10" i="34"/>
  <c r="V10" i="34" s="1"/>
  <c r="Q10" i="34"/>
  <c r="T9" i="34"/>
  <c r="V9" i="34" s="1"/>
  <c r="Q9" i="34"/>
  <c r="T8" i="34"/>
  <c r="V8" i="34" s="1"/>
  <c r="Q8" i="34"/>
  <c r="T7" i="34"/>
  <c r="V7" i="34" s="1"/>
  <c r="Q7" i="34"/>
  <c r="T6" i="34"/>
  <c r="V6" i="34" s="1"/>
  <c r="Q6" i="34"/>
  <c r="T5" i="34"/>
  <c r="V5" i="34" s="1"/>
  <c r="Q5" i="34"/>
  <c r="T4" i="34"/>
  <c r="V4" i="34" s="1"/>
  <c r="Q4" i="34"/>
  <c r="T3" i="34"/>
  <c r="V3" i="34" s="1"/>
  <c r="Q3" i="34"/>
  <c r="T2" i="34"/>
  <c r="V2" i="34" s="1"/>
  <c r="Q2" i="34"/>
  <c r="T211" i="28" l="1"/>
  <c r="V211" i="28" s="1"/>
  <c r="Q211" i="28"/>
  <c r="T210" i="28"/>
  <c r="V210" i="28" s="1"/>
  <c r="Q210" i="28"/>
  <c r="T209" i="28"/>
  <c r="V209" i="28" s="1"/>
  <c r="Q209" i="28"/>
  <c r="T208" i="28"/>
  <c r="V208" i="28" s="1"/>
  <c r="Q208" i="28"/>
  <c r="T207" i="28"/>
  <c r="V207" i="28" s="1"/>
  <c r="Q207" i="28"/>
  <c r="T206" i="28"/>
  <c r="V206" i="28" s="1"/>
  <c r="Q206" i="28"/>
  <c r="T205" i="28"/>
  <c r="V205" i="28" s="1"/>
  <c r="Q205" i="28"/>
  <c r="T204" i="28"/>
  <c r="V204" i="28" s="1"/>
  <c r="Q204" i="28"/>
  <c r="T203" i="28"/>
  <c r="V203" i="28" s="1"/>
  <c r="Q203" i="28"/>
  <c r="T202" i="28"/>
  <c r="V202" i="28" s="1"/>
  <c r="Q202" i="28"/>
  <c r="T201" i="28"/>
  <c r="V201" i="28" s="1"/>
  <c r="Q201" i="28"/>
  <c r="T200" i="28"/>
  <c r="V200" i="28" s="1"/>
  <c r="Q200" i="28"/>
  <c r="T199" i="28"/>
  <c r="V199" i="28" s="1"/>
  <c r="Q199" i="28"/>
  <c r="T198" i="28"/>
  <c r="V198" i="28" s="1"/>
  <c r="Q198" i="28"/>
  <c r="T197" i="28"/>
  <c r="V197" i="28" s="1"/>
  <c r="Q197" i="28"/>
  <c r="T196" i="28"/>
  <c r="V196" i="28" s="1"/>
  <c r="Q196" i="28"/>
  <c r="T195" i="28"/>
  <c r="V195" i="28" s="1"/>
  <c r="Q195" i="28"/>
  <c r="T194" i="28"/>
  <c r="V194" i="28" s="1"/>
  <c r="Q194" i="28"/>
  <c r="T193" i="28"/>
  <c r="V193" i="28" s="1"/>
  <c r="Q193" i="28"/>
  <c r="T192" i="28"/>
  <c r="V192" i="28" s="1"/>
  <c r="Q192" i="28"/>
  <c r="T191" i="28"/>
  <c r="V191" i="28" s="1"/>
  <c r="Q191" i="28"/>
  <c r="T190" i="28"/>
  <c r="V190" i="28" s="1"/>
  <c r="Q190" i="28"/>
  <c r="T189" i="28"/>
  <c r="V189" i="28" s="1"/>
  <c r="Q189" i="28"/>
  <c r="T188" i="28"/>
  <c r="V188" i="28" s="1"/>
  <c r="Q188" i="28"/>
  <c r="T187" i="28"/>
  <c r="V187" i="28" s="1"/>
  <c r="Q187" i="28"/>
  <c r="T186" i="28"/>
  <c r="V186" i="28" s="1"/>
  <c r="Q186" i="28"/>
  <c r="T185" i="28"/>
  <c r="V185" i="28" s="1"/>
  <c r="Q185" i="28"/>
  <c r="T184" i="28"/>
  <c r="V184" i="28" s="1"/>
  <c r="Q184" i="28"/>
  <c r="T183" i="28"/>
  <c r="V183" i="28" s="1"/>
  <c r="Q183" i="28"/>
  <c r="T182" i="28"/>
  <c r="V182" i="28" s="1"/>
  <c r="Q182" i="28"/>
  <c r="T181" i="28"/>
  <c r="V181" i="28" s="1"/>
  <c r="Q181" i="28"/>
  <c r="T180" i="28"/>
  <c r="V180" i="28" s="1"/>
  <c r="Q180" i="28"/>
  <c r="T179" i="28"/>
  <c r="V179" i="28" s="1"/>
  <c r="Q179" i="28"/>
  <c r="T178" i="28"/>
  <c r="V178" i="28" s="1"/>
  <c r="Q178" i="28"/>
  <c r="T177" i="28"/>
  <c r="V177" i="28" s="1"/>
  <c r="Q177" i="28"/>
  <c r="T176" i="28"/>
  <c r="V176" i="28" s="1"/>
  <c r="Q176" i="28"/>
  <c r="T175" i="28"/>
  <c r="V175" i="28" s="1"/>
  <c r="Q175" i="28"/>
  <c r="T174" i="28"/>
  <c r="V174" i="28" s="1"/>
  <c r="Q174" i="28"/>
  <c r="T173" i="28"/>
  <c r="V173" i="28" s="1"/>
  <c r="Q173" i="28"/>
  <c r="T172" i="28"/>
  <c r="V172" i="28" s="1"/>
  <c r="Q172" i="28"/>
  <c r="T171" i="28"/>
  <c r="V171" i="28" s="1"/>
  <c r="Q171" i="28"/>
  <c r="T170" i="28"/>
  <c r="V170" i="28" s="1"/>
  <c r="Q170" i="28"/>
  <c r="T169" i="28"/>
  <c r="V169" i="28" s="1"/>
  <c r="Q169" i="28"/>
  <c r="T168" i="28"/>
  <c r="V168" i="28" s="1"/>
  <c r="Q168" i="28"/>
  <c r="T167" i="28"/>
  <c r="V167" i="28" s="1"/>
  <c r="Q167" i="28"/>
  <c r="T166" i="28"/>
  <c r="V166" i="28" s="1"/>
  <c r="Q166" i="28"/>
  <c r="T165" i="28"/>
  <c r="V165" i="28" s="1"/>
  <c r="Q165" i="28"/>
  <c r="T164" i="28"/>
  <c r="V164" i="28" s="1"/>
  <c r="Q164" i="28"/>
  <c r="T163" i="28"/>
  <c r="V163" i="28" s="1"/>
  <c r="Q163" i="28"/>
  <c r="T162" i="28"/>
  <c r="V162" i="28" s="1"/>
  <c r="Q162" i="28"/>
  <c r="T161" i="28"/>
  <c r="V161" i="28" s="1"/>
  <c r="Q161" i="28"/>
  <c r="T160" i="28"/>
  <c r="V160" i="28" s="1"/>
  <c r="Q160" i="28"/>
  <c r="T159" i="28"/>
  <c r="V159" i="28" s="1"/>
  <c r="Q159" i="28"/>
  <c r="T158" i="28"/>
  <c r="V158" i="28" s="1"/>
  <c r="Q158" i="28"/>
  <c r="T157" i="28"/>
  <c r="V157" i="28" s="1"/>
  <c r="Q157" i="28"/>
  <c r="T156" i="28"/>
  <c r="V156" i="28" s="1"/>
  <c r="Q156" i="28"/>
  <c r="T155" i="28"/>
  <c r="V155" i="28" s="1"/>
  <c r="Q155" i="28"/>
  <c r="T154" i="28"/>
  <c r="V154" i="28" s="1"/>
  <c r="Q154" i="28"/>
  <c r="T153" i="28"/>
  <c r="V153" i="28" s="1"/>
  <c r="Q153" i="28"/>
  <c r="T152" i="28"/>
  <c r="V152" i="28" s="1"/>
  <c r="Q152" i="28"/>
  <c r="T151" i="28"/>
  <c r="V151" i="28" s="1"/>
  <c r="Q151" i="28"/>
  <c r="T150" i="28"/>
  <c r="V150" i="28" s="1"/>
  <c r="Q150" i="28"/>
  <c r="T149" i="28"/>
  <c r="V149" i="28" s="1"/>
  <c r="Q149" i="28"/>
  <c r="T148" i="28"/>
  <c r="V148" i="28" s="1"/>
  <c r="Q148" i="28"/>
  <c r="T147" i="28"/>
  <c r="V147" i="28" s="1"/>
  <c r="Q147" i="28"/>
  <c r="T146" i="28"/>
  <c r="V146" i="28" s="1"/>
  <c r="Q146" i="28"/>
  <c r="T145" i="28"/>
  <c r="V145" i="28" s="1"/>
  <c r="Q145" i="28"/>
  <c r="T144" i="28"/>
  <c r="V144" i="28" s="1"/>
  <c r="Q144" i="28"/>
  <c r="T143" i="28"/>
  <c r="V143" i="28" s="1"/>
  <c r="Q143" i="28"/>
  <c r="T142" i="28"/>
  <c r="V142" i="28" s="1"/>
  <c r="Q142" i="28"/>
  <c r="T141" i="28"/>
  <c r="V141" i="28" s="1"/>
  <c r="Q141" i="28"/>
  <c r="T140" i="28"/>
  <c r="V140" i="28" s="1"/>
  <c r="Q140" i="28"/>
  <c r="T139" i="28"/>
  <c r="V139" i="28" s="1"/>
  <c r="Q139" i="28"/>
  <c r="T138" i="28"/>
  <c r="V138" i="28" s="1"/>
  <c r="Q138" i="28"/>
  <c r="T137" i="28"/>
  <c r="V137" i="28" s="1"/>
  <c r="Q137" i="28"/>
  <c r="T136" i="28"/>
  <c r="V136" i="28" s="1"/>
  <c r="Q136" i="28"/>
  <c r="T135" i="28"/>
  <c r="V135" i="28" s="1"/>
  <c r="Q135" i="28"/>
  <c r="T134" i="28"/>
  <c r="V134" i="28" s="1"/>
  <c r="Q134" i="28"/>
  <c r="T133" i="28"/>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05" i="27" l="1"/>
  <c r="T104" i="27"/>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T61" i="27"/>
  <c r="V61" i="27" s="1"/>
  <c r="T60" i="27"/>
  <c r="V60" i="27" s="1"/>
  <c r="T59" i="27"/>
  <c r="V59" i="27" s="1"/>
  <c r="T58" i="27"/>
  <c r="V58" i="27" s="1"/>
  <c r="T57" i="27"/>
  <c r="V57" i="27" s="1"/>
  <c r="T56" i="27"/>
  <c r="V56" i="27" s="1"/>
  <c r="T55" i="27"/>
  <c r="V55" i="27" s="1"/>
  <c r="T54" i="27"/>
  <c r="V54" i="27" s="1"/>
  <c r="T53" i="27"/>
  <c r="V53" i="27" s="1"/>
  <c r="T52" i="27"/>
  <c r="V52" i="27" s="1"/>
  <c r="T51" i="27"/>
  <c r="V51" i="27" s="1"/>
  <c r="T50" i="27"/>
  <c r="V50" i="27" s="1"/>
  <c r="T49" i="27"/>
  <c r="V49" i="27" s="1"/>
  <c r="T48" i="27"/>
  <c r="V48" i="27" s="1"/>
  <c r="T47" i="27"/>
  <c r="V47" i="27" s="1"/>
  <c r="T46" i="27"/>
  <c r="V46" i="27" s="1"/>
  <c r="T45" i="27"/>
  <c r="V45" i="27" s="1"/>
  <c r="T44" i="27"/>
  <c r="V44" i="27" s="1"/>
  <c r="T43" i="27"/>
  <c r="V43" i="27" s="1"/>
  <c r="T42" i="27"/>
  <c r="V42" i="27" s="1"/>
  <c r="T41" i="27"/>
  <c r="V41" i="27" s="1"/>
  <c r="T40" i="27"/>
  <c r="V40" i="27" s="1"/>
  <c r="T39" i="27"/>
  <c r="V39" i="27" s="1"/>
  <c r="T38" i="27"/>
  <c r="V38" i="27" s="1"/>
  <c r="T37" i="27"/>
  <c r="V37" i="27" s="1"/>
  <c r="T36" i="27"/>
  <c r="V36" i="27" s="1"/>
  <c r="T35" i="27"/>
  <c r="V35" i="27" s="1"/>
  <c r="T34" i="27"/>
  <c r="V34" i="27" s="1"/>
  <c r="T33" i="27"/>
  <c r="V33" i="27" s="1"/>
  <c r="T32" i="27"/>
  <c r="V32" i="27" s="1"/>
  <c r="T31" i="27"/>
  <c r="V31" i="27" s="1"/>
  <c r="T30" i="27"/>
  <c r="V30" i="27" s="1"/>
  <c r="T29" i="27"/>
  <c r="V29" i="27" s="1"/>
  <c r="T28" i="27"/>
  <c r="V28" i="27" s="1"/>
  <c r="T27" i="27"/>
  <c r="V27" i="27" s="1"/>
  <c r="T26" i="27"/>
  <c r="V26" i="27" s="1"/>
  <c r="T25" i="27"/>
  <c r="V25" i="27" s="1"/>
  <c r="T24" i="27"/>
  <c r="V24" i="27" s="1"/>
  <c r="T23" i="27"/>
  <c r="V23" i="27" s="1"/>
  <c r="T22" i="27"/>
  <c r="V22" i="27" s="1"/>
  <c r="T21" i="27"/>
  <c r="V21" i="27" s="1"/>
  <c r="T20" i="27"/>
  <c r="V20" i="27" s="1"/>
  <c r="T19" i="27"/>
  <c r="V19" i="27" s="1"/>
  <c r="T18" i="27"/>
  <c r="V18" i="27" s="1"/>
  <c r="T17" i="27"/>
  <c r="V17" i="27" s="1"/>
  <c r="T16" i="27"/>
  <c r="V16" i="27" s="1"/>
  <c r="T15" i="27"/>
  <c r="V15" i="27" s="1"/>
  <c r="T14" i="27"/>
  <c r="V14" i="27" s="1"/>
  <c r="T13" i="27"/>
  <c r="V13" i="27" s="1"/>
  <c r="T12" i="27"/>
  <c r="V12" i="27" s="1"/>
  <c r="T11" i="27"/>
  <c r="V11" i="27" s="1"/>
  <c r="T10" i="27"/>
  <c r="V10" i="27" s="1"/>
  <c r="T9" i="27"/>
  <c r="V9" i="27" s="1"/>
  <c r="T8" i="27"/>
  <c r="V8" i="27" s="1"/>
  <c r="T7" i="27"/>
  <c r="V7" i="27" s="1"/>
  <c r="T6" i="27"/>
  <c r="V6" i="27" s="1"/>
  <c r="T5" i="27"/>
  <c r="V5" i="27" s="1"/>
  <c r="T4" i="27"/>
  <c r="V4" i="27" s="1"/>
  <c r="T3" i="27"/>
  <c r="V3" i="27" s="1"/>
  <c r="T2" i="27"/>
  <c r="V2" i="27" s="1"/>
  <c r="Q2" i="26" l="1"/>
  <c r="T2" i="26"/>
  <c r="V2" i="26" s="1"/>
  <c r="Q3" i="26"/>
  <c r="T3" i="26"/>
  <c r="V3" i="26" s="1"/>
  <c r="Q4" i="26"/>
  <c r="T4" i="26"/>
  <c r="V4" i="26" s="1"/>
  <c r="Q5" i="26"/>
  <c r="T5" i="26"/>
  <c r="V5" i="26" s="1"/>
  <c r="Q6" i="26"/>
  <c r="T6" i="26"/>
  <c r="V6" i="26" s="1"/>
  <c r="Q7" i="26"/>
  <c r="T7" i="26"/>
  <c r="V7" i="26" s="1"/>
  <c r="Q8" i="26"/>
  <c r="T8" i="26"/>
  <c r="V8" i="26" s="1"/>
  <c r="Q9" i="26"/>
  <c r="T9" i="26"/>
  <c r="V9" i="26" s="1"/>
  <c r="Q10" i="26"/>
  <c r="T10" i="26"/>
  <c r="V10" i="26" s="1"/>
  <c r="Q11" i="26"/>
  <c r="T11" i="26"/>
  <c r="V11" i="26" s="1"/>
  <c r="Q12" i="26"/>
  <c r="T12" i="26"/>
  <c r="V12" i="26" s="1"/>
  <c r="Q13" i="26"/>
  <c r="T13" i="26"/>
  <c r="V13" i="26" s="1"/>
  <c r="Q14" i="26"/>
  <c r="T14" i="26"/>
  <c r="V14" i="26" s="1"/>
  <c r="Q15" i="26"/>
  <c r="T15" i="26"/>
  <c r="V15" i="26" s="1"/>
  <c r="Q16" i="26"/>
  <c r="T16" i="26"/>
  <c r="V16" i="26" s="1"/>
  <c r="Q17" i="26"/>
  <c r="T17" i="26"/>
  <c r="V17" i="26" s="1"/>
  <c r="Q18" i="26"/>
  <c r="T18" i="26"/>
  <c r="V18" i="26" s="1"/>
  <c r="Q19" i="26"/>
  <c r="T19" i="26"/>
  <c r="V19" i="26" s="1"/>
  <c r="Q20" i="26"/>
  <c r="T20" i="26"/>
  <c r="V20" i="26" s="1"/>
  <c r="Q21" i="26"/>
  <c r="T21" i="26"/>
  <c r="V21" i="26" s="1"/>
  <c r="Q22" i="26"/>
  <c r="T22" i="26"/>
  <c r="V22" i="26" s="1"/>
  <c r="Q23" i="26"/>
  <c r="T23" i="26"/>
  <c r="V23" i="26" s="1"/>
  <c r="Q24" i="26"/>
  <c r="T24" i="26"/>
  <c r="V24" i="26" s="1"/>
  <c r="Q25" i="26"/>
  <c r="T25" i="26"/>
  <c r="V25" i="26" s="1"/>
  <c r="Q26" i="26"/>
  <c r="T26" i="26"/>
  <c r="V26" i="26" s="1"/>
  <c r="Q27" i="26"/>
  <c r="T27" i="26"/>
  <c r="V27" i="26" s="1"/>
  <c r="Q28" i="26"/>
  <c r="T28" i="26"/>
  <c r="V28" i="26" s="1"/>
  <c r="Q29" i="26"/>
  <c r="T29" i="26"/>
  <c r="V29" i="26" s="1"/>
  <c r="Q30" i="26"/>
  <c r="T30" i="26"/>
  <c r="V30" i="26" s="1"/>
  <c r="Q31" i="26"/>
  <c r="T31" i="26"/>
  <c r="V31" i="26" s="1"/>
  <c r="Q32" i="26"/>
  <c r="T32" i="26"/>
  <c r="V32" i="26" s="1"/>
  <c r="Q33" i="26"/>
  <c r="T33" i="26"/>
  <c r="V33" i="26" s="1"/>
  <c r="Q34" i="26"/>
  <c r="T34" i="26"/>
  <c r="V34" i="26" s="1"/>
  <c r="Q35" i="26"/>
  <c r="T35" i="26"/>
  <c r="V35" i="26" s="1"/>
  <c r="Q36" i="26"/>
  <c r="T36" i="26"/>
  <c r="V36" i="26" s="1"/>
  <c r="Q37" i="26"/>
  <c r="T37" i="26"/>
  <c r="V37" i="26" s="1"/>
  <c r="Q38" i="26"/>
  <c r="T38" i="26"/>
  <c r="V38" i="26" s="1"/>
  <c r="Q39" i="26"/>
  <c r="T39" i="26"/>
  <c r="V39" i="26" s="1"/>
  <c r="Q40" i="26"/>
  <c r="T40" i="26"/>
  <c r="V40" i="26" s="1"/>
  <c r="Q41" i="26"/>
  <c r="T41" i="26"/>
  <c r="V41" i="26" s="1"/>
  <c r="Q42" i="26"/>
  <c r="T42" i="26"/>
  <c r="V42" i="26" s="1"/>
  <c r="Q43" i="26"/>
  <c r="T43" i="26"/>
  <c r="V43" i="26" s="1"/>
  <c r="Q44" i="26"/>
  <c r="T44" i="26"/>
  <c r="V44" i="26" s="1"/>
  <c r="Q45" i="26"/>
  <c r="T45" i="26"/>
  <c r="V45" i="26" s="1"/>
  <c r="Q46" i="26"/>
  <c r="T46" i="26"/>
  <c r="V46" i="26" s="1"/>
  <c r="Q47" i="26"/>
  <c r="T47" i="26"/>
  <c r="V47" i="26" s="1"/>
  <c r="Q48" i="26"/>
  <c r="T48" i="26"/>
  <c r="V48" i="26" s="1"/>
  <c r="Q49" i="26"/>
  <c r="T49" i="26"/>
  <c r="V49" i="26" s="1"/>
  <c r="Q50" i="26"/>
  <c r="T50" i="26"/>
  <c r="V50" i="26" s="1"/>
  <c r="Q51" i="26"/>
  <c r="T51" i="26"/>
  <c r="V51" i="26" s="1"/>
  <c r="Q52" i="26"/>
  <c r="T52" i="26"/>
  <c r="V52" i="26" s="1"/>
  <c r="Q53" i="26"/>
  <c r="T53" i="26"/>
  <c r="V53" i="26" s="1"/>
  <c r="Q54" i="26"/>
  <c r="T54" i="26"/>
  <c r="V54" i="26" s="1"/>
  <c r="Q55" i="26"/>
  <c r="T55" i="26"/>
  <c r="V55" i="26" s="1"/>
  <c r="Q56" i="26"/>
  <c r="T56" i="26"/>
  <c r="V56" i="26" s="1"/>
  <c r="Q57" i="26"/>
  <c r="T57" i="26"/>
  <c r="V57" i="26" s="1"/>
  <c r="Q58" i="26"/>
  <c r="T58" i="26"/>
  <c r="V58" i="26" s="1"/>
  <c r="Q59" i="26"/>
  <c r="T59" i="26"/>
  <c r="V59" i="26" s="1"/>
  <c r="Q60" i="26"/>
  <c r="T60" i="26"/>
  <c r="V60" i="26" s="1"/>
  <c r="Q61" i="26"/>
  <c r="T61" i="26"/>
  <c r="V61" i="26" s="1"/>
  <c r="Q62" i="26"/>
  <c r="T62" i="26"/>
  <c r="V62" i="26" s="1"/>
  <c r="Q63" i="26"/>
  <c r="T63" i="26"/>
  <c r="V63" i="26" s="1"/>
  <c r="Q64" i="26"/>
  <c r="T64" i="26"/>
  <c r="V64" i="26" s="1"/>
  <c r="Q65" i="26"/>
  <c r="T65" i="26"/>
  <c r="V65" i="26" s="1"/>
  <c r="Q66" i="26"/>
  <c r="T66" i="26"/>
  <c r="V66" i="26" s="1"/>
  <c r="Q67" i="26"/>
  <c r="T67" i="26"/>
  <c r="V67" i="26" s="1"/>
  <c r="Q68" i="26"/>
  <c r="T68" i="26"/>
  <c r="V68" i="26" s="1"/>
  <c r="Q69" i="26"/>
  <c r="T69" i="26"/>
  <c r="V69" i="26" s="1"/>
  <c r="Q70" i="26"/>
  <c r="T70" i="26"/>
  <c r="V70" i="26" s="1"/>
  <c r="Q71" i="26"/>
  <c r="T71" i="26"/>
  <c r="V71" i="26" s="1"/>
  <c r="Q72" i="26"/>
  <c r="T72" i="26"/>
  <c r="V72" i="26" s="1"/>
  <c r="Q73" i="26"/>
  <c r="T73" i="26"/>
  <c r="V73" i="26" s="1"/>
  <c r="Q74" i="26"/>
  <c r="T74" i="26"/>
  <c r="V74" i="26" s="1"/>
  <c r="Q75" i="26"/>
  <c r="T75" i="26"/>
  <c r="V75" i="26" s="1"/>
  <c r="Q76" i="26"/>
  <c r="T76" i="26"/>
  <c r="V76" i="26" s="1"/>
  <c r="Q77" i="26"/>
  <c r="T77" i="26"/>
  <c r="V77" i="26" s="1"/>
  <c r="Q78" i="26"/>
  <c r="T78" i="26"/>
  <c r="V78" i="26" s="1"/>
  <c r="Q79" i="26"/>
  <c r="T79" i="26"/>
  <c r="V79" i="26" s="1"/>
  <c r="Q80" i="26"/>
  <c r="T80" i="26"/>
  <c r="V80" i="26" s="1"/>
  <c r="Q81" i="26"/>
  <c r="T81" i="26"/>
  <c r="V81" i="26" s="1"/>
  <c r="Q82" i="26"/>
  <c r="T82" i="26"/>
  <c r="V82" i="26" s="1"/>
  <c r="Q83" i="26"/>
  <c r="T83" i="26"/>
  <c r="V83" i="26" s="1"/>
  <c r="Q84" i="26"/>
  <c r="T84" i="26"/>
  <c r="V84" i="26" s="1"/>
  <c r="Q85" i="26"/>
  <c r="T85" i="26"/>
  <c r="V85" i="26" s="1"/>
  <c r="Q86" i="26"/>
  <c r="T86" i="26"/>
  <c r="V86" i="26" s="1"/>
  <c r="Q87" i="26"/>
  <c r="T87" i="26"/>
  <c r="V87" i="26" s="1"/>
  <c r="Q88" i="26"/>
  <c r="T88" i="26"/>
  <c r="V88" i="26" s="1"/>
  <c r="Q89" i="26"/>
  <c r="T89" i="26"/>
  <c r="V89" i="26" s="1"/>
  <c r="Q90" i="26"/>
  <c r="T90" i="26"/>
  <c r="V90" i="26" s="1"/>
  <c r="Q91" i="26"/>
  <c r="T91" i="26"/>
  <c r="V91" i="26" s="1"/>
  <c r="Q92" i="26"/>
  <c r="T92" i="26"/>
  <c r="V92" i="26" s="1"/>
  <c r="Q93" i="26"/>
  <c r="T93" i="26"/>
  <c r="V93" i="26" s="1"/>
  <c r="Q94" i="26"/>
  <c r="T94" i="26"/>
  <c r="V94" i="26" s="1"/>
  <c r="Q95" i="26"/>
  <c r="T95" i="26"/>
  <c r="V95" i="26" s="1"/>
  <c r="Q96" i="26"/>
  <c r="T96" i="26"/>
  <c r="V96" i="26" s="1"/>
  <c r="Q97" i="26"/>
  <c r="T97" i="26"/>
  <c r="V97" i="26" s="1"/>
  <c r="Q98" i="26"/>
  <c r="T98" i="26"/>
  <c r="V98" i="26" s="1"/>
  <c r="Q99" i="26"/>
  <c r="T99" i="26"/>
  <c r="V99" i="26" s="1"/>
  <c r="Q100" i="26"/>
  <c r="T100" i="26"/>
  <c r="V100" i="26" s="1"/>
  <c r="Q101" i="26"/>
  <c r="T101" i="26"/>
  <c r="V101" i="26" s="1"/>
  <c r="Q102" i="26"/>
  <c r="T102" i="26"/>
  <c r="V102" i="26" s="1"/>
  <c r="Q103" i="26"/>
  <c r="T103" i="26"/>
  <c r="V103" i="26" s="1"/>
  <c r="Q104" i="26"/>
  <c r="T104" i="26"/>
  <c r="V104" i="26" s="1"/>
  <c r="Q105" i="26"/>
  <c r="T105" i="26"/>
  <c r="V105" i="26" s="1"/>
  <c r="Q106" i="26"/>
  <c r="T106" i="26"/>
  <c r="V106" i="26" s="1"/>
  <c r="Q107" i="26"/>
  <c r="T107" i="26"/>
  <c r="V107" i="26" s="1"/>
  <c r="Q108" i="26"/>
  <c r="T108" i="26"/>
  <c r="V108" i="26" s="1"/>
  <c r="Q109" i="26"/>
  <c r="T109" i="26"/>
  <c r="V109" i="26" s="1"/>
  <c r="Q110" i="26"/>
  <c r="T110" i="26"/>
  <c r="V110" i="26" s="1"/>
  <c r="Q111" i="26"/>
  <c r="T111" i="26"/>
  <c r="V111" i="26" s="1"/>
  <c r="Q112" i="26"/>
  <c r="T112" i="26"/>
  <c r="V112" i="26" s="1"/>
  <c r="Q113" i="26"/>
  <c r="T113" i="26"/>
  <c r="V113" i="26" s="1"/>
  <c r="Q114" i="26"/>
  <c r="T114" i="26"/>
  <c r="V114" i="26" s="1"/>
  <c r="Q115" i="26"/>
  <c r="T115" i="26"/>
  <c r="V115" i="26" s="1"/>
  <c r="Q116" i="26"/>
  <c r="T116" i="26"/>
  <c r="V116" i="26" s="1"/>
  <c r="Q117" i="26"/>
  <c r="T117" i="26"/>
  <c r="V117" i="26" s="1"/>
  <c r="Q118" i="26"/>
  <c r="T118" i="26"/>
  <c r="V118" i="26" s="1"/>
  <c r="Q119" i="26"/>
  <c r="T119" i="26"/>
  <c r="V119" i="26" s="1"/>
  <c r="Q120" i="26"/>
  <c r="T120" i="26"/>
  <c r="V120" i="26" s="1"/>
  <c r="Q121" i="26"/>
  <c r="T121" i="26"/>
  <c r="V121" i="26" s="1"/>
  <c r="Q122" i="26"/>
  <c r="T122" i="26"/>
  <c r="V122" i="26" s="1"/>
  <c r="Q123" i="26"/>
  <c r="T123" i="26"/>
  <c r="V123" i="26" s="1"/>
  <c r="Q124" i="26"/>
  <c r="T124" i="26"/>
  <c r="V124" i="26" s="1"/>
  <c r="Q125" i="26"/>
  <c r="T125" i="26"/>
  <c r="V125" i="26" s="1"/>
  <c r="Q126" i="26"/>
  <c r="T126" i="26"/>
  <c r="V126" i="26" s="1"/>
  <c r="Q127" i="26"/>
  <c r="T127" i="26"/>
  <c r="V127" i="26" s="1"/>
  <c r="Q128" i="26"/>
  <c r="T128" i="26"/>
  <c r="V128" i="26" s="1"/>
  <c r="Q129" i="26"/>
  <c r="T129" i="26"/>
  <c r="V129" i="26" s="1"/>
  <c r="Q130" i="26"/>
  <c r="T130" i="26"/>
  <c r="V130" i="26" s="1"/>
  <c r="Q131" i="26"/>
  <c r="T131" i="26"/>
  <c r="V131" i="26" s="1"/>
  <c r="Q132" i="26"/>
  <c r="T132" i="26"/>
  <c r="V132" i="26" s="1"/>
  <c r="Q133" i="26"/>
  <c r="T133" i="26"/>
  <c r="V133" i="26" s="1"/>
  <c r="Q134" i="26"/>
  <c r="T134" i="26"/>
  <c r="V134" i="26" s="1"/>
  <c r="Q135" i="26"/>
  <c r="T135" i="26"/>
  <c r="V135" i="26" s="1"/>
  <c r="Q136" i="26"/>
  <c r="T136" i="26"/>
  <c r="V136" i="26" s="1"/>
  <c r="Q137" i="26"/>
  <c r="T137" i="26"/>
  <c r="V137" i="26" s="1"/>
  <c r="Q138" i="26"/>
  <c r="T138" i="26"/>
  <c r="V138" i="26" s="1"/>
  <c r="Q139" i="26"/>
  <c r="T139" i="26"/>
  <c r="V139" i="26" s="1"/>
  <c r="Q140" i="26"/>
  <c r="T140" i="26"/>
  <c r="V140" i="26" s="1"/>
  <c r="Q141" i="26"/>
  <c r="T141" i="26"/>
  <c r="V141" i="26" s="1"/>
  <c r="Q142" i="26"/>
  <c r="T142" i="26"/>
  <c r="V142" i="26" s="1"/>
  <c r="Q143" i="26"/>
  <c r="T143" i="26"/>
  <c r="V143" i="26" s="1"/>
  <c r="Q144" i="26"/>
  <c r="T144" i="26"/>
  <c r="V144" i="26" s="1"/>
  <c r="Q145" i="26"/>
  <c r="T145" i="26"/>
  <c r="V145" i="26" s="1"/>
  <c r="Q146" i="26"/>
  <c r="T146" i="26"/>
  <c r="V146" i="26" s="1"/>
  <c r="Q147" i="26"/>
  <c r="T147" i="26"/>
  <c r="V147" i="26" s="1"/>
  <c r="Q148" i="26"/>
  <c r="T148" i="26"/>
  <c r="V148" i="26" s="1"/>
  <c r="Q149" i="26"/>
  <c r="T149" i="26"/>
  <c r="V149" i="26" s="1"/>
  <c r="Q150" i="26"/>
  <c r="T150" i="26"/>
  <c r="V150" i="26" s="1"/>
  <c r="Q151" i="26"/>
  <c r="T151" i="26"/>
  <c r="V151" i="26" s="1"/>
  <c r="Q152" i="26"/>
  <c r="T152" i="26"/>
  <c r="V152" i="26" s="1"/>
  <c r="Q153" i="26"/>
  <c r="T153" i="26"/>
  <c r="V153" i="26" s="1"/>
  <c r="Q154" i="26"/>
  <c r="T154" i="26"/>
  <c r="V154" i="26" s="1"/>
  <c r="Q155" i="26"/>
  <c r="T155" i="26"/>
  <c r="V155" i="26" s="1"/>
  <c r="Q156" i="26"/>
  <c r="T156" i="26"/>
  <c r="V156" i="26" s="1"/>
  <c r="Q157" i="26"/>
  <c r="T157" i="26"/>
  <c r="V157" i="26" s="1"/>
  <c r="Q158" i="26"/>
  <c r="T158" i="26"/>
  <c r="V158" i="26" s="1"/>
  <c r="Q159" i="26"/>
  <c r="T159" i="26"/>
  <c r="V159" i="26" s="1"/>
  <c r="Q160" i="26"/>
  <c r="T160" i="26"/>
  <c r="V160" i="26" s="1"/>
  <c r="Q161" i="26"/>
  <c r="T161" i="26"/>
  <c r="V161" i="26" s="1"/>
  <c r="Q162" i="26"/>
  <c r="T162" i="26"/>
  <c r="V162" i="26" s="1"/>
  <c r="Q163" i="26"/>
  <c r="T163" i="26"/>
  <c r="V163" i="26" s="1"/>
  <c r="Q164" i="26"/>
  <c r="T164" i="26"/>
  <c r="V164" i="26" s="1"/>
  <c r="Q165" i="26"/>
  <c r="T165" i="26"/>
  <c r="V165" i="26" s="1"/>
  <c r="Q166" i="26"/>
  <c r="T166" i="26"/>
  <c r="V166" i="26" s="1"/>
  <c r="Q167" i="26"/>
  <c r="T167" i="26"/>
  <c r="V167" i="26" s="1"/>
  <c r="Q168" i="26"/>
  <c r="T168" i="26"/>
  <c r="V168" i="26" s="1"/>
  <c r="Q169" i="26"/>
  <c r="T169" i="26"/>
  <c r="V169" i="26" s="1"/>
  <c r="Q170" i="26"/>
  <c r="T170" i="26"/>
  <c r="V170" i="26" s="1"/>
  <c r="Q171" i="26"/>
  <c r="T171" i="26"/>
  <c r="V171" i="26" s="1"/>
  <c r="Q172" i="26"/>
  <c r="T172" i="26"/>
  <c r="V172" i="26" s="1"/>
  <c r="Q173" i="26"/>
  <c r="T173" i="26"/>
  <c r="V173" i="26" s="1"/>
  <c r="Q174" i="26"/>
  <c r="T174" i="26"/>
  <c r="V174" i="26" s="1"/>
  <c r="Q175" i="26"/>
  <c r="T175" i="26"/>
  <c r="V175" i="26" s="1"/>
  <c r="Q176" i="26"/>
  <c r="T176" i="26"/>
  <c r="V176" i="26" s="1"/>
  <c r="Q177" i="26"/>
  <c r="T177" i="26"/>
  <c r="V177" i="26" s="1"/>
  <c r="Q178" i="26"/>
  <c r="T178" i="26"/>
  <c r="V178" i="26" s="1"/>
  <c r="Q179" i="26"/>
  <c r="T179" i="26"/>
  <c r="V179" i="26" s="1"/>
  <c r="Q180" i="26"/>
  <c r="T180" i="26"/>
  <c r="V180" i="26" s="1"/>
  <c r="Q181" i="26"/>
  <c r="T181" i="26"/>
  <c r="V181" i="26" s="1"/>
  <c r="Q182" i="26"/>
  <c r="T182" i="26"/>
  <c r="V182" i="26" s="1"/>
  <c r="Q183" i="26"/>
  <c r="T183" i="26"/>
  <c r="V183" i="26" s="1"/>
  <c r="Q184" i="26"/>
  <c r="T184" i="26"/>
  <c r="V184" i="26" s="1"/>
</calcChain>
</file>

<file path=xl/sharedStrings.xml><?xml version="1.0" encoding="utf-8"?>
<sst xmlns="http://schemas.openxmlformats.org/spreadsheetml/2006/main" count="13952" uniqueCount="412">
  <si>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</si>
  <si>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</si>
  <si>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</si>
  <si>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</si>
  <si>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</si>
  <si>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</si>
  <si>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</si>
  <si>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</si>
  <si>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</si>
  <si>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</si>
  <si>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</si>
  <si>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</si>
  <si>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</si>
  <si>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</si>
  <si>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</si>
  <si>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</si>
  <si>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</si>
  <si>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</si>
  <si>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</si>
  <si>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</si>
  <si>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</si>
  <si>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</si>
  <si>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</si>
  <si>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</si>
  <si>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</si>
  <si>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</si>
  <si>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</si>
  <si>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</si>
  <si>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</si>
  <si>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</si>
  <si>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</si>
  <si>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</si>
  <si>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</si>
  <si>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</si>
  <si>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</si>
  <si>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</si>
  <si>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</si>
  <si>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</si>
  <si>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</si>
  <si>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</si>
  <si>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</si>
  <si>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</si>
  <si>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</si>
  <si>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</si>
  <si>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</si>
  <si>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</si>
  <si>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</si>
  <si>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</si>
  <si>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</si>
  <si>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</si>
  <si>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</si>
  <si>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</si>
  <si>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</si>
  <si>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</si>
  <si>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</si>
  <si>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</si>
  <si>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</si>
  <si>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</si>
  <si>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</si>
  <si>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</si>
  <si>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</si>
  <si>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</si>
  <si>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</si>
  <si>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</si>
  <si>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</si>
  <si>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</si>
  <si>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</si>
  <si>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</si>
  <si>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</si>
  <si>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</si>
  <si>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</si>
  <si>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</si>
  <si>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</si>
  <si>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</si>
  <si>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</si>
  <si>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</si>
  <si>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</si>
  <si>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</si>
  <si>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</si>
  <si>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</si>
  <si>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</si>
  <si>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</si>
  <si>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</si>
  <si>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</si>
  <si>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</si>
  <si>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</si>
  <si>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</si>
  <si>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</si>
  <si>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</si>
  <si>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</si>
  <si>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</si>
  <si>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</si>
  <si>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</si>
  <si>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</si>
  <si>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</si>
  <si>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</si>
  <si>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</si>
  <si>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</si>
  <si>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</si>
  <si>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</si>
  <si>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</si>
  <si>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</si>
  <si>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</si>
  <si>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</si>
  <si>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</si>
  <si>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</si>
  <si>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</si>
  <si>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</si>
  <si>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</si>
  <si>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</si>
  <si>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</si>
  <si>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</si>
  <si>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</si>
  <si>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</si>
  <si>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</si>
  <si>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</si>
  <si>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</si>
  <si>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</si>
  <si>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</si>
  <si>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</si>
  <si>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</si>
  <si>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</si>
  <si>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</si>
  <si>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</si>
  <si>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</si>
  <si>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</si>
  <si>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</si>
  <si>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</si>
  <si>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</si>
  <si>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</si>
  <si>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</si>
  <si>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</si>
  <si>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</si>
  <si>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</si>
  <si>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</si>
  <si>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</si>
  <si>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</si>
  <si>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</si>
  <si>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</si>
  <si>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</si>
  <si>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</si>
  <si>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ラルズマート</t>
  </si>
  <si>
    <t>CK</t>
  </si>
  <si>
    <t>ﾆｭｰｼﾞｰﾗﾝﾄﾞ</t>
  </si>
  <si>
    <t>HW</t>
  </si>
  <si>
    <t>OB</t>
  </si>
  <si>
    <t>GA</t>
  </si>
  <si>
    <t>佐賀</t>
    <rPh sb="0" eb="2">
      <t>サガ</t>
    </rPh>
    <phoneticPr fontId="3"/>
  </si>
  <si>
    <t>ラフランス</t>
  </si>
  <si>
    <t>西友</t>
  </si>
  <si>
    <t>その他レッド</t>
    <rPh sb="2" eb="3">
      <t>タ</t>
    </rPh>
    <phoneticPr fontId="4"/>
  </si>
  <si>
    <t>Del Monte</t>
    <phoneticPr fontId="4"/>
  </si>
  <si>
    <t>ラフランス</t>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</si>
  <si>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</si>
  <si>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</si>
  <si>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</si>
  <si>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</si>
  <si>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</si>
  <si>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</si>
  <si>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</si>
  <si>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</si>
  <si>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</si>
  <si>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</si>
  <si>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</si>
  <si>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</si>
  <si>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</si>
  <si>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</si>
  <si>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</si>
  <si>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</si>
  <si>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</si>
  <si>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</si>
  <si>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</si>
  <si>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</si>
  <si>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</si>
  <si>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</si>
  <si>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</si>
  <si>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</si>
  <si>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</si>
  <si>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</si>
  <si>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</si>
  <si>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</si>
  <si>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</si>
  <si>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</si>
  <si>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</si>
  <si>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</si>
  <si>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</si>
  <si>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</si>
  <si>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</si>
  <si>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</si>
  <si>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</si>
  <si>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</si>
  <si>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</si>
  <si>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</si>
  <si>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</si>
  <si>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</si>
  <si>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</si>
  <si>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</si>
  <si>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</si>
  <si>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</si>
  <si>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</si>
  <si>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</si>
  <si>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</si>
  <si>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</si>
  <si>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</si>
  <si>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</si>
  <si>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</si>
  <si>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</si>
  <si>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</si>
  <si>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</si>
  <si>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</si>
  <si>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</si>
  <si>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</si>
  <si>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</si>
  <si>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</si>
  <si>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</si>
  <si>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</si>
  <si>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県名</t>
    <phoneticPr fontId="3"/>
  </si>
  <si>
    <t>チェーン名</t>
    <phoneticPr fontId="3"/>
  </si>
  <si>
    <t>品種</t>
    <phoneticPr fontId="3"/>
  </si>
  <si>
    <t>十日市店</t>
    <rPh sb="3" eb="4">
      <t>テン</t>
    </rPh>
    <phoneticPr fontId="3"/>
  </si>
  <si>
    <t>アルク</t>
  </si>
  <si>
    <t>東千田店</t>
    <rPh sb="3" eb="4">
      <t>テン</t>
    </rPh>
    <phoneticPr fontId="3"/>
  </si>
  <si>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</si>
  <si>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</si>
  <si>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</si>
  <si>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</si>
  <si>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</si>
  <si>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</si>
  <si>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</si>
  <si>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</si>
  <si>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</si>
  <si>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</si>
  <si>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</si>
  <si>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一般栽培</t>
    <phoneticPr fontId="4"/>
  </si>
  <si>
    <t>バナナ</t>
    <phoneticPr fontId="3"/>
  </si>
  <si>
    <t>福岡</t>
    <rPh sb="0" eb="2">
      <t>フクオカ</t>
    </rPh>
    <phoneticPr fontId="4"/>
  </si>
  <si>
    <t>りんご</t>
    <phoneticPr fontId="3"/>
  </si>
  <si>
    <t>西鉄ストア</t>
    <rPh sb="0" eb="2">
      <t>ニシテツ</t>
    </rPh>
    <phoneticPr fontId="3"/>
  </si>
  <si>
    <t>いちご</t>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</si>
  <si>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</si>
  <si>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</si>
  <si>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</si>
  <si>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</si>
  <si>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</si>
  <si>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</si>
  <si>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</si>
  <si>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</si>
  <si>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</si>
  <si>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</si>
  <si>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</si>
  <si>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</si>
  <si>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</si>
  <si>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</si>
  <si>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</si>
  <si>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</si>
  <si>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マルエツ</t>
  </si>
  <si>
    <t>サミットストア</t>
  </si>
  <si>
    <t>宮崎</t>
    <rPh sb="0" eb="2">
      <t>ミヤザキ</t>
    </rPh>
    <phoneticPr fontId="3"/>
  </si>
  <si>
    <t>みやぎ生協</t>
  </si>
  <si>
    <t>ウジエ</t>
  </si>
  <si>
    <t>ザ・ビッグ</t>
  </si>
  <si>
    <t>ヨークベニマル</t>
  </si>
  <si>
    <t>ヤマザワ</t>
  </si>
  <si>
    <t>利府店</t>
  </si>
  <si>
    <t>杉の入店</t>
  </si>
  <si>
    <t>塩釜店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</si>
  <si>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</si>
  <si>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</si>
  <si>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</si>
  <si>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</si>
  <si>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</si>
  <si>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</si>
  <si>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</si>
  <si>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</si>
  <si>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</si>
  <si>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</si>
  <si>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</si>
  <si>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</si>
  <si>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</si>
  <si>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</si>
  <si>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</si>
  <si>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</si>
  <si>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</si>
  <si>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</si>
  <si>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</si>
  <si>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</si>
  <si>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２番人気
果実</t>
    <phoneticPr fontId="3"/>
  </si>
  <si>
    <t>松江店</t>
  </si>
  <si>
    <t>ヤマイチ</t>
  </si>
  <si>
    <t>コモディイイダ</t>
  </si>
  <si>
    <t>西瑞江店</t>
  </si>
  <si>
    <t>いなげや</t>
  </si>
  <si>
    <t>江戸川春江店</t>
  </si>
  <si>
    <t>東武ストア</t>
  </si>
  <si>
    <t>新小岩店</t>
  </si>
  <si>
    <t>ビッグ・エー</t>
  </si>
  <si>
    <t>江戸川本一色店</t>
  </si>
  <si>
    <t>江戸川中央店</t>
  </si>
  <si>
    <t>マックスバリュ</t>
    <phoneticPr fontId="3"/>
  </si>
  <si>
    <t>中央店</t>
    <rPh sb="0" eb="2">
      <t>チュウオウ</t>
    </rPh>
    <phoneticPr fontId="3"/>
  </si>
  <si>
    <t>江戸川区役所前店</t>
    <rPh sb="0" eb="6">
      <t>エドガワクヤクショ</t>
    </rPh>
    <rPh sb="6" eb="7">
      <t>マエ</t>
    </rPh>
    <rPh sb="7" eb="8">
      <t>ミセ</t>
    </rPh>
    <phoneticPr fontId="3"/>
  </si>
  <si>
    <t>マックスバリュエクスプレス</t>
  </si>
  <si>
    <t>西宮の沢店</t>
    <rPh sb="0" eb="2">
      <t>ニシミヤ</t>
    </rPh>
    <rPh sb="3" eb="4">
      <t>サワ</t>
    </rPh>
    <rPh sb="4" eb="5">
      <t>テン</t>
    </rPh>
    <phoneticPr fontId="3"/>
  </si>
  <si>
    <t>琴似店</t>
    <rPh sb="0" eb="2">
      <t>コトニ</t>
    </rPh>
    <rPh sb="2" eb="3">
      <t>テン</t>
    </rPh>
    <phoneticPr fontId="3"/>
  </si>
  <si>
    <t>新発寒店</t>
    <rPh sb="0" eb="1">
      <t>シン</t>
    </rPh>
    <rPh sb="1" eb="3">
      <t>ハッサム</t>
    </rPh>
    <rPh sb="3" eb="4">
      <t>テン</t>
    </rPh>
    <phoneticPr fontId="3"/>
  </si>
  <si>
    <t>ウエスト店</t>
    <rPh sb="4" eb="5">
      <t>テン</t>
    </rPh>
    <phoneticPr fontId="3"/>
  </si>
  <si>
    <t>発寒店</t>
    <rPh sb="0" eb="2">
      <t>ハッサム</t>
    </rPh>
    <rPh sb="2" eb="3">
      <t>テン</t>
    </rPh>
    <phoneticPr fontId="3"/>
  </si>
  <si>
    <t>Foodfarm新発寒店</t>
    <rPh sb="8" eb="9">
      <t>シン</t>
    </rPh>
    <rPh sb="9" eb="11">
      <t>ハッサム</t>
    </rPh>
    <rPh sb="11" eb="12">
      <t>テン</t>
    </rPh>
    <phoneticPr fontId="3"/>
  </si>
  <si>
    <t>宮の沢店</t>
    <rPh sb="0" eb="1">
      <t>ミヤ</t>
    </rPh>
    <rPh sb="2" eb="3">
      <t>サワ</t>
    </rPh>
    <rPh sb="3" eb="4">
      <t>テン</t>
    </rPh>
    <phoneticPr fontId="3"/>
  </si>
  <si>
    <t>札幌発寒店</t>
    <rPh sb="2" eb="4">
      <t>ハッサム</t>
    </rPh>
    <rPh sb="4" eb="5">
      <t>テン</t>
    </rPh>
    <phoneticPr fontId="3"/>
  </si>
  <si>
    <t>発寒中央駅前店</t>
    <rPh sb="0" eb="2">
      <t>ハッサム</t>
    </rPh>
    <rPh sb="2" eb="4">
      <t>チュウオウ</t>
    </rPh>
    <rPh sb="4" eb="5">
      <t>エキ</t>
    </rPh>
    <rPh sb="5" eb="6">
      <t>マエ</t>
    </rPh>
    <rPh sb="6" eb="7">
      <t>テン</t>
    </rPh>
    <phoneticPr fontId="3"/>
  </si>
  <si>
    <t>西友</t>
    <rPh sb="0" eb="2">
      <t>セイユウ</t>
    </rPh>
    <phoneticPr fontId="3"/>
  </si>
  <si>
    <t>ダイイチ</t>
    <phoneticPr fontId="3"/>
  </si>
  <si>
    <t>本一色店</t>
    <rPh sb="0" eb="1">
      <t>ホン</t>
    </rPh>
    <rPh sb="2" eb="3">
      <t>イロ</t>
    </rPh>
    <rPh sb="3" eb="4">
      <t>テン</t>
    </rPh>
    <phoneticPr fontId="3"/>
  </si>
  <si>
    <t>イズミ</t>
    <phoneticPr fontId="3"/>
  </si>
  <si>
    <t>エブリィ</t>
    <phoneticPr fontId="3"/>
  </si>
  <si>
    <t>楠木</t>
    <rPh sb="0" eb="1">
      <t>クスノキ</t>
    </rPh>
    <rPh sb="1" eb="2">
      <t>キ</t>
    </rPh>
    <phoneticPr fontId="3"/>
  </si>
  <si>
    <t>山陽マルナカ</t>
    <phoneticPr fontId="3"/>
  </si>
  <si>
    <t>福屋</t>
    <rPh sb="0" eb="2">
      <t>フクヤ</t>
    </rPh>
    <phoneticPr fontId="3"/>
  </si>
  <si>
    <t>フジグラン</t>
    <phoneticPr fontId="3"/>
  </si>
  <si>
    <t>フレスタ</t>
    <phoneticPr fontId="3"/>
  </si>
  <si>
    <t>ユアーズ</t>
    <phoneticPr fontId="3"/>
  </si>
  <si>
    <t>スパーク</t>
    <phoneticPr fontId="3"/>
  </si>
  <si>
    <t>上天満店</t>
    <rPh sb="0" eb="1">
      <t>ウエ</t>
    </rPh>
    <rPh sb="1" eb="3">
      <t>テンマン</t>
    </rPh>
    <rPh sb="3" eb="4">
      <t>テン</t>
    </rPh>
    <phoneticPr fontId="3"/>
  </si>
  <si>
    <t>ゆめタウン広島店</t>
    <rPh sb="5" eb="7">
      <t>ヒロシマ</t>
    </rPh>
    <rPh sb="7" eb="8">
      <t>テン</t>
    </rPh>
    <phoneticPr fontId="3"/>
  </si>
  <si>
    <t>広島店</t>
    <rPh sb="0" eb="2">
      <t>ヒロシマ</t>
    </rPh>
    <rPh sb="2" eb="3">
      <t>テン</t>
    </rPh>
    <phoneticPr fontId="3"/>
  </si>
  <si>
    <t>白島店</t>
    <rPh sb="0" eb="1">
      <t>シロ</t>
    </rPh>
    <rPh sb="1" eb="2">
      <t>シマ</t>
    </rPh>
    <rPh sb="2" eb="3">
      <t>テン</t>
    </rPh>
    <phoneticPr fontId="3"/>
  </si>
  <si>
    <t>食品館ＦＲＥＤ店</t>
    <rPh sb="0" eb="2">
      <t>ショクヒン</t>
    </rPh>
    <rPh sb="2" eb="3">
      <t>カン</t>
    </rPh>
    <rPh sb="7" eb="8">
      <t>テン</t>
    </rPh>
    <phoneticPr fontId="3"/>
  </si>
  <si>
    <t>松島店</t>
    <rPh sb="1" eb="2">
      <t>シマ</t>
    </rPh>
    <phoneticPr fontId="3"/>
  </si>
  <si>
    <t>RD</t>
    <phoneticPr fontId="3"/>
  </si>
  <si>
    <t>大森西</t>
    <rPh sb="0" eb="3">
      <t>オオモリニシ</t>
    </rPh>
    <phoneticPr fontId="18"/>
  </si>
  <si>
    <t>JPY</t>
  </si>
  <si>
    <t>JP</t>
  </si>
  <si>
    <t>ダイイチ</t>
  </si>
  <si>
    <t>RD</t>
  </si>
  <si>
    <t>JPY</t>
    <phoneticPr fontId="3"/>
  </si>
  <si>
    <t>20.04.2020</t>
    <phoneticPr fontId="3"/>
  </si>
  <si>
    <t>JP</t>
    <phoneticPr fontId="3"/>
  </si>
  <si>
    <r>
      <t xml:space="preserve">Green
Other
</t>
    </r>
    <r>
      <rPr>
        <b/>
        <sz val="8"/>
        <rFont val="ＭＳ Ｐゴシック"/>
        <family val="3"/>
        <charset val="128"/>
      </rPr>
      <t>最低重量</t>
    </r>
  </si>
  <si>
    <r>
      <t xml:space="preserve">Gold
</t>
    </r>
    <r>
      <rPr>
        <b/>
        <sz val="8"/>
        <rFont val="ＭＳ Ｐゴシック"/>
        <family val="3"/>
        <charset val="128"/>
      </rPr>
      <t>最低重量</t>
    </r>
  </si>
  <si>
    <t>多賀城店</t>
  </si>
  <si>
    <t>宮崎</t>
  </si>
  <si>
    <t>ＪＡ石川</t>
  </si>
  <si>
    <t>21.04.2020</t>
    <phoneticPr fontId="3"/>
  </si>
  <si>
    <t>店舗名</t>
    <phoneticPr fontId="4"/>
  </si>
  <si>
    <t>24.04.2020</t>
    <phoneticPr fontId="3"/>
  </si>
  <si>
    <t>サミット</t>
    <phoneticPr fontId="3"/>
  </si>
  <si>
    <t>CK</t>
    <phoneticPr fontId="3"/>
  </si>
  <si>
    <t>マルエツ</t>
    <phoneticPr fontId="4"/>
  </si>
  <si>
    <t>大森町</t>
    <rPh sb="0" eb="2">
      <t>オオモリ</t>
    </rPh>
    <rPh sb="2" eb="3">
      <t>マチ</t>
    </rPh>
    <phoneticPr fontId="4"/>
  </si>
  <si>
    <t>サミット</t>
    <phoneticPr fontId="4"/>
  </si>
  <si>
    <t>大森西</t>
    <rPh sb="0" eb="3">
      <t>オオモリニシ</t>
    </rPh>
    <phoneticPr fontId="4"/>
  </si>
  <si>
    <t>ライフ</t>
    <phoneticPr fontId="4"/>
  </si>
  <si>
    <t>マチノマ大森</t>
    <rPh sb="4" eb="6">
      <t>オオモリ</t>
    </rPh>
    <phoneticPr fontId="4"/>
  </si>
  <si>
    <t>東武ストア</t>
    <rPh sb="0" eb="2">
      <t>トウブ</t>
    </rPh>
    <phoneticPr fontId="4"/>
  </si>
  <si>
    <t>大森</t>
    <rPh sb="0" eb="2">
      <t>オオモリ</t>
    </rPh>
    <phoneticPr fontId="4"/>
  </si>
  <si>
    <t>オオゼキ</t>
    <phoneticPr fontId="4"/>
  </si>
  <si>
    <t>大森北</t>
    <rPh sb="0" eb="3">
      <t>オオモリキタ</t>
    </rPh>
    <phoneticPr fontId="4"/>
  </si>
  <si>
    <t>ＩＹ</t>
    <phoneticPr fontId="4"/>
  </si>
  <si>
    <t>西友</t>
    <rPh sb="0" eb="2">
      <t>セイユウ</t>
    </rPh>
    <phoneticPr fontId="4"/>
  </si>
  <si>
    <t>東急ストア</t>
    <rPh sb="0" eb="2">
      <t>トウキュウ</t>
    </rPh>
    <phoneticPr fontId="4"/>
  </si>
  <si>
    <t>成城石井</t>
    <rPh sb="0" eb="4">
      <t>セイジョウイシイ</t>
    </rPh>
    <phoneticPr fontId="4"/>
  </si>
  <si>
    <t>アトレ大森</t>
    <rPh sb="3" eb="5">
      <t>オオモリ</t>
    </rPh>
    <phoneticPr fontId="4"/>
  </si>
  <si>
    <t>アメリカ</t>
    <phoneticPr fontId="4"/>
  </si>
  <si>
    <t>大森駅前</t>
    <rPh sb="0" eb="2">
      <t>オオモリ</t>
    </rPh>
    <rPh sb="2" eb="3">
      <t>エキ</t>
    </rPh>
    <rPh sb="3" eb="4">
      <t>マエ</t>
    </rPh>
    <phoneticPr fontId="4"/>
  </si>
  <si>
    <t>ＩＹ</t>
  </si>
  <si>
    <t>Zespri</t>
    <phoneticPr fontId="4"/>
  </si>
  <si>
    <t>福岡</t>
    <phoneticPr fontId="4"/>
  </si>
  <si>
    <t>オオゼキ</t>
  </si>
  <si>
    <t>旬楽膳</t>
  </si>
  <si>
    <t>長久手店</t>
  </si>
  <si>
    <t>フェルナ</t>
  </si>
  <si>
    <t>段の上店</t>
  </si>
  <si>
    <t>アオキスーパー</t>
  </si>
  <si>
    <t>日進店</t>
  </si>
  <si>
    <t>ピアゴ</t>
  </si>
  <si>
    <t>長久手南店</t>
  </si>
  <si>
    <t>カネスエ</t>
  </si>
  <si>
    <t>アピタ</t>
  </si>
  <si>
    <t>藤が丘店</t>
  </si>
  <si>
    <t>カネトク</t>
  </si>
  <si>
    <t>深井店</t>
  </si>
  <si>
    <t>石津店</t>
  </si>
  <si>
    <t>津久野店</t>
  </si>
  <si>
    <t>JP</t>
    <phoneticPr fontId="4"/>
  </si>
  <si>
    <t>22.04.2020</t>
    <phoneticPr fontId="4"/>
  </si>
  <si>
    <t>エブリィ</t>
  </si>
  <si>
    <t>山陽マルナカ</t>
  </si>
  <si>
    <t>フジグラン</t>
  </si>
  <si>
    <t>22.04.2020</t>
  </si>
  <si>
    <t>イズミ</t>
  </si>
  <si>
    <t>フレスタ</t>
  </si>
  <si>
    <t>ユアーズ</t>
  </si>
  <si>
    <t>スパーク</t>
  </si>
  <si>
    <t>22.04.2020</t>
    <phoneticPr fontId="3"/>
  </si>
  <si>
    <t>ﾆｭｰｼﾞｰﾗﾝﾄﾞ</t>
    <phoneticPr fontId="3"/>
  </si>
  <si>
    <t>アメリカ</t>
    <phoneticPr fontId="3"/>
  </si>
  <si>
    <t>サミットストア</t>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</si>
  <si>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</si>
  <si>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</si>
  <si>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23.04.2020</t>
  </si>
  <si>
    <t>旬楽膳</t>
    <phoneticPr fontId="18"/>
  </si>
  <si>
    <t>フェルナ</t>
    <phoneticPr fontId="18"/>
  </si>
  <si>
    <t>24.04.2020</t>
  </si>
  <si>
    <t>JPY</t>
    <phoneticPr fontId="18"/>
  </si>
  <si>
    <t>ＪＡ栃木</t>
    <rPh sb="2" eb="4">
      <t>トチギ</t>
    </rPh>
    <phoneticPr fontId="3"/>
  </si>
  <si>
    <t>栃木</t>
  </si>
  <si>
    <t>栃木</t>
    <phoneticPr fontId="3"/>
  </si>
  <si>
    <t>ＪＡ愛知</t>
    <rPh sb="2" eb="4">
      <t>アイチ</t>
    </rPh>
    <phoneticPr fontId="3"/>
  </si>
  <si>
    <t>愛知</t>
    <rPh sb="0" eb="2">
      <t>アイチ</t>
    </rPh>
    <phoneticPr fontId="3"/>
  </si>
  <si>
    <t>ﾆｭｰｼﾞｰﾗﾝﾄﾞ</t>
    <phoneticPr fontId="3"/>
  </si>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</sst>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5"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
      <sz val="6"/>
      <name val="ＭＳ Ｐゴシック"/>
      <family val="3"/>
      <charset val="128"/>
      <scheme val="minor"/>
    </font>
    <font>
      <sz val="11"/>
      <name val="ＭＳ Ｐゴシック"/>
      <family val="3"/>
      <charset val="128"/>
    </font>
    <font>
      <sz val="9"/>
      <name val="ＭＳ Ｐゴシック"/>
      <family val="3"/>
      <charset val="128"/>
    </font>
    <font>
      <sz val="9"/>
      <color indexed="8"/>
      <name val="ＭＳ Ｐゴシック"/>
      <family val="3"/>
      <charset val="128"/>
    </font>
    <font>
      <b/>
      <sz val="8"/>
      <name val="ＭＳ Ｐゴシック"/>
      <family val="3"/>
      <charset val="128"/>
    </font>
    <font>
      <sz val="11"/>
      <color indexed="8"/>
      <name val="ＭＳ Ｐゴシック"/>
      <family val="3"/>
      <charset val="128"/>
    </font>
    <font>
      <sz val="10"/>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2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9" fillId="0" borderId="0"/>
  </cellStyleXfs>
  <cellXfs count="165">
    <xf numFmtId="0" fontId="0" fillId="0" borderId="0" xfId="0">
      <alignment vertical="center"/>
    </xf>
    <xf numFmtId="0" fontId="1" fillId="3" borderId="0" xfId="1" applyFill="1"/>
    <xf numFmtId="0" fontId="1" fillId="2" borderId="0" xfId="1" applyFill="1" applyAlignment="1">
      <alignment horizontal="right"/>
    </xf>
    <xf numFmtId="0" fontId="0" fillId="0" borderId="12" xfId="0" applyBorder="1" applyAlignment="1">
      <alignment horizontal="center"/>
    </xf>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17" fillId="0" borderId="0" xfId="1" applyFont="1"/>
    <xf numFmtId="49" fontId="2" fillId="6" borderId="1"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0" fontId="1" fillId="0" borderId="0" xfId="5" applyAlignment="1"/>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0" fillId="0" borderId="12" xfId="5" applyFont="1" applyBorder="1" applyAlignment="1"/>
    <xf numFmtId="0" fontId="10" fillId="0" borderId="16" xfId="5" applyFont="1" applyBorder="1" applyAlignment="1"/>
    <xf numFmtId="0" fontId="1" fillId="2" borderId="0" xfId="5" applyFill="1" applyAlignment="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7" xfId="1" applyFont="1" applyBorder="1"/>
    <xf numFmtId="14" fontId="17" fillId="0" borderId="0" xfId="1" applyNumberFormat="1" applyFont="1" applyAlignment="1">
      <alignment horizontal="center"/>
    </xf>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12" xfId="1" applyFill="1" applyBorder="1"/>
    <xf numFmtId="49" fontId="2" fillId="2"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0" fontId="1" fillId="0" borderId="0" xfId="1"/>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2" borderId="0" xfId="1" applyFill="1"/>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178" fontId="1" fillId="2" borderId="0" xfId="1" applyNumberFormat="1" applyFill="1"/>
    <xf numFmtId="0" fontId="1" fillId="0" borderId="8" xfId="1" applyBorder="1"/>
    <xf numFmtId="0" fontId="11" fillId="0" borderId="0" xfId="7">
      <alignment vertical="center"/>
    </xf>
    <xf numFmtId="0" fontId="0" fillId="0" borderId="12" xfId="1" applyFont="1" applyBorder="1"/>
    <xf numFmtId="0" fontId="17" fillId="0" borderId="12" xfId="1" applyFont="1" applyBorder="1"/>
    <xf numFmtId="14" fontId="1" fillId="0" borderId="0" xfId="1" applyNumberFormat="1"/>
    <xf numFmtId="14" fontId="0" fillId="0" borderId="0" xfId="1" applyNumberFormat="1" applyFont="1"/>
    <xf numFmtId="0" fontId="10" fillId="0" borderId="7" xfId="1" applyFont="1" applyBorder="1"/>
    <xf numFmtId="49" fontId="7" fillId="0" borderId="0" xfId="1" applyNumberFormat="1" applyFont="1" applyAlignment="1">
      <alignment horizontal="center" vertical="center" wrapText="1"/>
    </xf>
    <xf numFmtId="49" fontId="8" fillId="0" borderId="6"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2" fillId="0" borderId="2"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56" fontId="1" fillId="0" borderId="0" xfId="1" applyNumberFormat="1"/>
    <xf numFmtId="0" fontId="14" fillId="0" borderId="0" xfId="1" applyFont="1"/>
    <xf numFmtId="0" fontId="15" fillId="0" borderId="22" xfId="2" applyFont="1" applyBorder="1" applyAlignment="1">
      <alignment horizontal="center" vertical="center"/>
    </xf>
    <xf numFmtId="0" fontId="15" fillId="0" borderId="23" xfId="2" applyFont="1" applyBorder="1" applyAlignment="1">
      <alignment horizontal="center" vertical="center"/>
    </xf>
    <xf numFmtId="0" fontId="1" fillId="0" borderId="7" xfId="1" applyBorder="1"/>
    <xf numFmtId="0" fontId="15" fillId="0" borderId="12" xfId="2" applyFont="1" applyBorder="1" applyAlignment="1">
      <alignment horizontal="center" vertical="center"/>
    </xf>
    <xf numFmtId="0" fontId="14" fillId="0" borderId="12" xfId="1" applyFont="1" applyBorder="1"/>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14" fontId="17" fillId="0" borderId="0" xfId="1" applyNumberFormat="1" applyFont="1"/>
    <xf numFmtId="0" fontId="1" fillId="0" borderId="12" xfId="1" applyBorder="1" applyAlignment="1">
      <alignment shrinkToFi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5" fillId="0" borderId="3" xfId="5" applyNumberFormat="1" applyFont="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14" fontId="1" fillId="0" borderId="0" xfId="5" applyNumberFormat="1" applyAlignment="1"/>
    <xf numFmtId="177" fontId="1" fillId="2" borderId="0" xfId="5" applyNumberFormat="1"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14" fontId="1" fillId="4" borderId="0" xfId="1" applyNumberFormat="1" applyFill="1"/>
    <xf numFmtId="1" fontId="1" fillId="2" borderId="0" xfId="1" applyNumberFormat="1" applyFill="1"/>
    <xf numFmtId="0" fontId="1" fillId="0" borderId="0" xfId="1" applyAlignment="1">
      <alignment horizontal="center"/>
    </xf>
    <xf numFmtId="0" fontId="16" fillId="0" borderId="1" xfId="0" applyFont="1" applyBorder="1">
      <alignment vertical="center"/>
    </xf>
    <xf numFmtId="0" fontId="14" fillId="0" borderId="4" xfId="0" applyFont="1" applyBorder="1">
      <alignment vertical="center"/>
    </xf>
    <xf numFmtId="0" fontId="14" fillId="0" borderId="1" xfId="0" applyFont="1" applyBorder="1">
      <alignment vertical="center"/>
    </xf>
    <xf numFmtId="0" fontId="14" fillId="0" borderId="6" xfId="0" applyFont="1" applyBorder="1">
      <alignment vertical="center"/>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49" fontId="20" fillId="6" borderId="1" xfId="8" applyNumberFormat="1" applyFont="1" applyFill="1" applyBorder="1" applyAlignment="1">
      <alignment horizontal="center" vertical="center" wrapText="1"/>
    </xf>
    <xf numFmtId="49" fontId="20" fillId="0" borderId="2" xfId="8" applyNumberFormat="1" applyFont="1" applyBorder="1" applyAlignment="1">
      <alignment horizontal="center" vertical="center" wrapText="1"/>
    </xf>
    <xf numFmtId="49" fontId="20" fillId="0" borderId="3" xfId="8" applyNumberFormat="1" applyFont="1" applyBorder="1" applyAlignment="1">
      <alignment horizontal="center" vertical="center" wrapText="1"/>
    </xf>
    <xf numFmtId="49" fontId="20" fillId="6" borderId="3" xfId="8" applyNumberFormat="1" applyFont="1" applyFill="1" applyBorder="1" applyAlignment="1">
      <alignment horizontal="center" vertical="center" wrapText="1"/>
    </xf>
    <xf numFmtId="49" fontId="20" fillId="2" borderId="3" xfId="8" applyNumberFormat="1" applyFont="1" applyFill="1" applyBorder="1" applyAlignment="1">
      <alignment horizontal="center" vertical="center" wrapText="1"/>
    </xf>
    <xf numFmtId="49" fontId="5" fillId="0" borderId="3" xfId="8" applyNumberFormat="1" applyFont="1" applyBorder="1" applyAlignment="1">
      <alignment horizontal="center" vertical="center" wrapText="1"/>
    </xf>
    <xf numFmtId="49" fontId="21" fillId="2" borderId="3" xfId="8" applyNumberFormat="1" applyFont="1" applyFill="1" applyBorder="1" applyAlignment="1">
      <alignment horizontal="center" vertical="center" wrapText="1"/>
    </xf>
    <xf numFmtId="49" fontId="20" fillId="6" borderId="4" xfId="8" applyNumberFormat="1" applyFont="1" applyFill="1" applyBorder="1" applyAlignment="1">
      <alignment horizontal="center" vertical="center" wrapText="1"/>
    </xf>
    <xf numFmtId="49" fontId="7" fillId="0" borderId="5" xfId="8" applyNumberFormat="1" applyFont="1" applyBorder="1" applyAlignment="1">
      <alignment horizontal="center" vertical="center" wrapText="1"/>
    </xf>
    <xf numFmtId="0" fontId="19" fillId="0" borderId="0" xfId="8"/>
    <xf numFmtId="49" fontId="22" fillId="0" borderId="6" xfId="8" applyNumberFormat="1" applyFont="1" applyBorder="1" applyAlignment="1">
      <alignment horizontal="center" vertical="center" wrapText="1"/>
    </xf>
    <xf numFmtId="49" fontId="7" fillId="0" borderId="0" xfId="8" applyNumberFormat="1" applyFont="1" applyAlignment="1">
      <alignment horizontal="center" vertical="center" wrapText="1"/>
    </xf>
    <xf numFmtId="0" fontId="22" fillId="0" borderId="6" xfId="8" applyFont="1" applyBorder="1" applyAlignment="1">
      <alignment horizontal="center" vertical="center"/>
    </xf>
    <xf numFmtId="0" fontId="22" fillId="0" borderId="6" xfId="8" applyFont="1" applyBorder="1" applyAlignment="1">
      <alignment horizontal="center" vertical="center" wrapText="1"/>
    </xf>
    <xf numFmtId="0" fontId="9" fillId="0" borderId="1" xfId="8" applyFont="1" applyBorder="1" applyAlignment="1">
      <alignment horizontal="center" vertical="center" wrapText="1"/>
    </xf>
    <xf numFmtId="0" fontId="9" fillId="0" borderId="3" xfId="8" applyFont="1" applyBorder="1" applyAlignment="1">
      <alignment horizontal="center" vertical="center" wrapText="1"/>
    </xf>
    <xf numFmtId="0" fontId="9" fillId="0" borderId="4" xfId="8" applyFont="1" applyBorder="1" applyAlignment="1">
      <alignment horizontal="center" vertical="center" wrapText="1"/>
    </xf>
    <xf numFmtId="14" fontId="23" fillId="0" borderId="0" xfId="8" applyNumberFormat="1" applyFont="1"/>
    <xf numFmtId="178" fontId="19" fillId="2" borderId="0" xfId="8" applyNumberFormat="1" applyFill="1"/>
    <xf numFmtId="0" fontId="19" fillId="2" borderId="0" xfId="8" applyFill="1"/>
    <xf numFmtId="0" fontId="24" fillId="0" borderId="7" xfId="8" applyFont="1" applyBorder="1"/>
    <xf numFmtId="0" fontId="19" fillId="0" borderId="12" xfId="8" applyBorder="1"/>
    <xf numFmtId="0" fontId="19" fillId="0" borderId="12" xfId="8" applyBorder="1" applyAlignment="1">
      <alignment shrinkToFit="1"/>
    </xf>
    <xf numFmtId="0" fontId="19" fillId="0" borderId="8" xfId="8" applyBorder="1"/>
    <xf numFmtId="0" fontId="19" fillId="0" borderId="9" xfId="8" applyBorder="1" applyAlignment="1">
      <alignment wrapText="1"/>
    </xf>
    <xf numFmtId="0" fontId="19" fillId="0" borderId="10" xfId="8" applyBorder="1" applyAlignment="1">
      <alignment wrapText="1"/>
    </xf>
    <xf numFmtId="0" fontId="19" fillId="0" borderId="11" xfId="8" applyBorder="1" applyAlignment="1">
      <alignment wrapText="1"/>
    </xf>
    <xf numFmtId="0" fontId="24" fillId="0" borderId="12" xfId="8" applyFont="1" applyBorder="1"/>
    <xf numFmtId="0" fontId="19" fillId="0" borderId="13" xfId="8" applyBorder="1" applyAlignment="1">
      <alignment wrapText="1"/>
    </xf>
    <xf numFmtId="0" fontId="19" fillId="0" borderId="14" xfId="8" applyBorder="1" applyAlignment="1">
      <alignment wrapText="1"/>
    </xf>
    <xf numFmtId="0" fontId="19" fillId="0" borderId="15" xfId="8" applyBorder="1" applyAlignment="1">
      <alignment wrapText="1"/>
    </xf>
    <xf numFmtId="0" fontId="1" fillId="0" borderId="0" xfId="8" applyFont="1"/>
    <xf numFmtId="0" fontId="19" fillId="0" borderId="16" xfId="8" applyBorder="1"/>
    <xf numFmtId="0" fontId="19" fillId="0" borderId="17" xfId="8" applyBorder="1"/>
    <xf numFmtId="0" fontId="19" fillId="0" borderId="18" xfId="8" applyBorder="1"/>
    <xf numFmtId="0" fontId="23" fillId="0" borderId="0" xfId="8" applyFont="1"/>
    <xf numFmtId="0" fontId="24" fillId="0" borderId="16" xfId="8" applyFont="1" applyBorder="1"/>
    <xf numFmtId="0" fontId="1" fillId="0" borderId="16" xfId="8" applyFont="1" applyBorder="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2 3" xfId="8" xr:uid="{8735E776-EE3C-455E-8CB0-9D4D421B7995}"/>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542B-DDE4-41BE-83F1-E99C5333FB66}">
  <dimension ref="A1:BA184"/>
  <sheetViews>
    <sheetView zoomScale="70" zoomScaleNormal="70" workbookViewId="0"/>
  </sheetViews>
  <sheetFormatPr defaultRowHeight="13.5" x14ac:dyDescent="0.15"/>
  <cols>
    <col min="1" max="3" width="9" style="39"/>
    <col min="4" max="4" width="10.5" style="39" bestFit="1" customWidth="1"/>
    <col min="5" max="5" width="10.875" style="39" bestFit="1" customWidth="1"/>
    <col min="6" max="13" width="9" style="39"/>
    <col min="14" max="14" width="9.5" style="39" bestFit="1" customWidth="1"/>
    <col min="15" max="16" width="9" style="39"/>
    <col min="17" max="17" width="9" style="2"/>
    <col min="18" max="18" width="9" style="39"/>
    <col min="19" max="19" width="12.75" style="39" bestFit="1" customWidth="1"/>
    <col min="20" max="20" width="9" style="45"/>
    <col min="21" max="21" width="9.5" style="39" bestFit="1" customWidth="1"/>
    <col min="22" max="22" width="9" style="45"/>
    <col min="23" max="32" width="9" style="39"/>
    <col min="33" max="33" width="13.875" style="39" bestFit="1" customWidth="1"/>
    <col min="34" max="259" width="9" style="39"/>
    <col min="260" max="260" width="10.5" style="39" bestFit="1" customWidth="1"/>
    <col min="261" max="261" width="10.875" style="39" bestFit="1" customWidth="1"/>
    <col min="262" max="276" width="9" style="39"/>
    <col min="277" max="277" width="9.5" style="39" bestFit="1" customWidth="1"/>
    <col min="278" max="288" width="9" style="39"/>
    <col min="289" max="289" width="12.375" style="39" bestFit="1" customWidth="1"/>
    <col min="290" max="515" width="9" style="39"/>
    <col min="516" max="516" width="10.5" style="39" bestFit="1" customWidth="1"/>
    <col min="517" max="517" width="10.875" style="39" bestFit="1" customWidth="1"/>
    <col min="518" max="532" width="9" style="39"/>
    <col min="533" max="533" width="9.5" style="39" bestFit="1" customWidth="1"/>
    <col min="534" max="544" width="9" style="39"/>
    <col min="545" max="545" width="12.375" style="39" bestFit="1" customWidth="1"/>
    <col min="546" max="771" width="9" style="39"/>
    <col min="772" max="772" width="10.5" style="39" bestFit="1" customWidth="1"/>
    <col min="773" max="773" width="10.875" style="39" bestFit="1" customWidth="1"/>
    <col min="774" max="788" width="9" style="39"/>
    <col min="789" max="789" width="9.5" style="39" bestFit="1" customWidth="1"/>
    <col min="790" max="800" width="9" style="39"/>
    <col min="801" max="801" width="12.375" style="39" bestFit="1" customWidth="1"/>
    <col min="802" max="1027" width="9" style="39"/>
    <col min="1028" max="1028" width="10.5" style="39" bestFit="1" customWidth="1"/>
    <col min="1029" max="1029" width="10.875" style="39" bestFit="1" customWidth="1"/>
    <col min="1030" max="1044" width="9" style="39"/>
    <col min="1045" max="1045" width="9.5" style="39" bestFit="1" customWidth="1"/>
    <col min="1046" max="1056" width="9" style="39"/>
    <col min="1057" max="1057" width="12.375" style="39" bestFit="1" customWidth="1"/>
    <col min="1058" max="1283" width="9" style="39"/>
    <col min="1284" max="1284" width="10.5" style="39" bestFit="1" customWidth="1"/>
    <col min="1285" max="1285" width="10.875" style="39" bestFit="1" customWidth="1"/>
    <col min="1286" max="1300" width="9" style="39"/>
    <col min="1301" max="1301" width="9.5" style="39" bestFit="1" customWidth="1"/>
    <col min="1302" max="1312" width="9" style="39"/>
    <col min="1313" max="1313" width="12.375" style="39" bestFit="1" customWidth="1"/>
    <col min="1314" max="1539" width="9" style="39"/>
    <col min="1540" max="1540" width="10.5" style="39" bestFit="1" customWidth="1"/>
    <col min="1541" max="1541" width="10.875" style="39" bestFit="1" customWidth="1"/>
    <col min="1542" max="1556" width="9" style="39"/>
    <col min="1557" max="1557" width="9.5" style="39" bestFit="1" customWidth="1"/>
    <col min="1558" max="1568" width="9" style="39"/>
    <col min="1569" max="1569" width="12.375" style="39" bestFit="1" customWidth="1"/>
    <col min="1570" max="1795" width="9" style="39"/>
    <col min="1796" max="1796" width="10.5" style="39" bestFit="1" customWidth="1"/>
    <col min="1797" max="1797" width="10.875" style="39" bestFit="1" customWidth="1"/>
    <col min="1798" max="1812" width="9" style="39"/>
    <col min="1813" max="1813" width="9.5" style="39" bestFit="1" customWidth="1"/>
    <col min="1814" max="1824" width="9" style="39"/>
    <col min="1825" max="1825" width="12.375" style="39" bestFit="1" customWidth="1"/>
    <col min="1826" max="2051" width="9" style="39"/>
    <col min="2052" max="2052" width="10.5" style="39" bestFit="1" customWidth="1"/>
    <col min="2053" max="2053" width="10.875" style="39" bestFit="1" customWidth="1"/>
    <col min="2054" max="2068" width="9" style="39"/>
    <col min="2069" max="2069" width="9.5" style="39" bestFit="1" customWidth="1"/>
    <col min="2070" max="2080" width="9" style="39"/>
    <col min="2081" max="2081" width="12.375" style="39" bestFit="1" customWidth="1"/>
    <col min="2082" max="2307" width="9" style="39"/>
    <col min="2308" max="2308" width="10.5" style="39" bestFit="1" customWidth="1"/>
    <col min="2309" max="2309" width="10.875" style="39" bestFit="1" customWidth="1"/>
    <col min="2310" max="2324" width="9" style="39"/>
    <col min="2325" max="2325" width="9.5" style="39" bestFit="1" customWidth="1"/>
    <col min="2326" max="2336" width="9" style="39"/>
    <col min="2337" max="2337" width="12.375" style="39" bestFit="1" customWidth="1"/>
    <col min="2338" max="2563" width="9" style="39"/>
    <col min="2564" max="2564" width="10.5" style="39" bestFit="1" customWidth="1"/>
    <col min="2565" max="2565" width="10.875" style="39" bestFit="1" customWidth="1"/>
    <col min="2566" max="2580" width="9" style="39"/>
    <col min="2581" max="2581" width="9.5" style="39" bestFit="1" customWidth="1"/>
    <col min="2582" max="2592" width="9" style="39"/>
    <col min="2593" max="2593" width="12.375" style="39" bestFit="1" customWidth="1"/>
    <col min="2594" max="2819" width="9" style="39"/>
    <col min="2820" max="2820" width="10.5" style="39" bestFit="1" customWidth="1"/>
    <col min="2821" max="2821" width="10.875" style="39" bestFit="1" customWidth="1"/>
    <col min="2822" max="2836" width="9" style="39"/>
    <col min="2837" max="2837" width="9.5" style="39" bestFit="1" customWidth="1"/>
    <col min="2838" max="2848" width="9" style="39"/>
    <col min="2849" max="2849" width="12.375" style="39" bestFit="1" customWidth="1"/>
    <col min="2850" max="3075" width="9" style="39"/>
    <col min="3076" max="3076" width="10.5" style="39" bestFit="1" customWidth="1"/>
    <col min="3077" max="3077" width="10.875" style="39" bestFit="1" customWidth="1"/>
    <col min="3078" max="3092" width="9" style="39"/>
    <col min="3093" max="3093" width="9.5" style="39" bestFit="1" customWidth="1"/>
    <col min="3094" max="3104" width="9" style="39"/>
    <col min="3105" max="3105" width="12.375" style="39" bestFit="1" customWidth="1"/>
    <col min="3106" max="3331" width="9" style="39"/>
    <col min="3332" max="3332" width="10.5" style="39" bestFit="1" customWidth="1"/>
    <col min="3333" max="3333" width="10.875" style="39" bestFit="1" customWidth="1"/>
    <col min="3334" max="3348" width="9" style="39"/>
    <col min="3349" max="3349" width="9.5" style="39" bestFit="1" customWidth="1"/>
    <col min="3350" max="3360" width="9" style="39"/>
    <col min="3361" max="3361" width="12.375" style="39" bestFit="1" customWidth="1"/>
    <col min="3362" max="3587" width="9" style="39"/>
    <col min="3588" max="3588" width="10.5" style="39" bestFit="1" customWidth="1"/>
    <col min="3589" max="3589" width="10.875" style="39" bestFit="1" customWidth="1"/>
    <col min="3590" max="3604" width="9" style="39"/>
    <col min="3605" max="3605" width="9.5" style="39" bestFit="1" customWidth="1"/>
    <col min="3606" max="3616" width="9" style="39"/>
    <col min="3617" max="3617" width="12.375" style="39" bestFit="1" customWidth="1"/>
    <col min="3618" max="3843" width="9" style="39"/>
    <col min="3844" max="3844" width="10.5" style="39" bestFit="1" customWidth="1"/>
    <col min="3845" max="3845" width="10.875" style="39" bestFit="1" customWidth="1"/>
    <col min="3846" max="3860" width="9" style="39"/>
    <col min="3861" max="3861" width="9.5" style="39" bestFit="1" customWidth="1"/>
    <col min="3862" max="3872" width="9" style="39"/>
    <col min="3873" max="3873" width="12.375" style="39" bestFit="1" customWidth="1"/>
    <col min="3874" max="4099" width="9" style="39"/>
    <col min="4100" max="4100" width="10.5" style="39" bestFit="1" customWidth="1"/>
    <col min="4101" max="4101" width="10.875" style="39" bestFit="1" customWidth="1"/>
    <col min="4102" max="4116" width="9" style="39"/>
    <col min="4117" max="4117" width="9.5" style="39" bestFit="1" customWidth="1"/>
    <col min="4118" max="4128" width="9" style="39"/>
    <col min="4129" max="4129" width="12.375" style="39" bestFit="1" customWidth="1"/>
    <col min="4130" max="4355" width="9" style="39"/>
    <col min="4356" max="4356" width="10.5" style="39" bestFit="1" customWidth="1"/>
    <col min="4357" max="4357" width="10.875" style="39" bestFit="1" customWidth="1"/>
    <col min="4358" max="4372" width="9" style="39"/>
    <col min="4373" max="4373" width="9.5" style="39" bestFit="1" customWidth="1"/>
    <col min="4374" max="4384" width="9" style="39"/>
    <col min="4385" max="4385" width="12.375" style="39" bestFit="1" customWidth="1"/>
    <col min="4386" max="4611" width="9" style="39"/>
    <col min="4612" max="4612" width="10.5" style="39" bestFit="1" customWidth="1"/>
    <col min="4613" max="4613" width="10.875" style="39" bestFit="1" customWidth="1"/>
    <col min="4614" max="4628" width="9" style="39"/>
    <col min="4629" max="4629" width="9.5" style="39" bestFit="1" customWidth="1"/>
    <col min="4630" max="4640" width="9" style="39"/>
    <col min="4641" max="4641" width="12.375" style="39" bestFit="1" customWidth="1"/>
    <col min="4642" max="4867" width="9" style="39"/>
    <col min="4868" max="4868" width="10.5" style="39" bestFit="1" customWidth="1"/>
    <col min="4869" max="4869" width="10.875" style="39" bestFit="1" customWidth="1"/>
    <col min="4870" max="4884" width="9" style="39"/>
    <col min="4885" max="4885" width="9.5" style="39" bestFit="1" customWidth="1"/>
    <col min="4886" max="4896" width="9" style="39"/>
    <col min="4897" max="4897" width="12.375" style="39" bestFit="1" customWidth="1"/>
    <col min="4898" max="5123" width="9" style="39"/>
    <col min="5124" max="5124" width="10.5" style="39" bestFit="1" customWidth="1"/>
    <col min="5125" max="5125" width="10.875" style="39" bestFit="1" customWidth="1"/>
    <col min="5126" max="5140" width="9" style="39"/>
    <col min="5141" max="5141" width="9.5" style="39" bestFit="1" customWidth="1"/>
    <col min="5142" max="5152" width="9" style="39"/>
    <col min="5153" max="5153" width="12.375" style="39" bestFit="1" customWidth="1"/>
    <col min="5154" max="5379" width="9" style="39"/>
    <col min="5380" max="5380" width="10.5" style="39" bestFit="1" customWidth="1"/>
    <col min="5381" max="5381" width="10.875" style="39" bestFit="1" customWidth="1"/>
    <col min="5382" max="5396" width="9" style="39"/>
    <col min="5397" max="5397" width="9.5" style="39" bestFit="1" customWidth="1"/>
    <col min="5398" max="5408" width="9" style="39"/>
    <col min="5409" max="5409" width="12.375" style="39" bestFit="1" customWidth="1"/>
    <col min="5410" max="5635" width="9" style="39"/>
    <col min="5636" max="5636" width="10.5" style="39" bestFit="1" customWidth="1"/>
    <col min="5637" max="5637" width="10.875" style="39" bestFit="1" customWidth="1"/>
    <col min="5638" max="5652" width="9" style="39"/>
    <col min="5653" max="5653" width="9.5" style="39" bestFit="1" customWidth="1"/>
    <col min="5654" max="5664" width="9" style="39"/>
    <col min="5665" max="5665" width="12.375" style="39" bestFit="1" customWidth="1"/>
    <col min="5666" max="5891" width="9" style="39"/>
    <col min="5892" max="5892" width="10.5" style="39" bestFit="1" customWidth="1"/>
    <col min="5893" max="5893" width="10.875" style="39" bestFit="1" customWidth="1"/>
    <col min="5894" max="5908" width="9" style="39"/>
    <col min="5909" max="5909" width="9.5" style="39" bestFit="1" customWidth="1"/>
    <col min="5910" max="5920" width="9" style="39"/>
    <col min="5921" max="5921" width="12.375" style="39" bestFit="1" customWidth="1"/>
    <col min="5922" max="6147" width="9" style="39"/>
    <col min="6148" max="6148" width="10.5" style="39" bestFit="1" customWidth="1"/>
    <col min="6149" max="6149" width="10.875" style="39" bestFit="1" customWidth="1"/>
    <col min="6150" max="6164" width="9" style="39"/>
    <col min="6165" max="6165" width="9.5" style="39" bestFit="1" customWidth="1"/>
    <col min="6166" max="6176" width="9" style="39"/>
    <col min="6177" max="6177" width="12.375" style="39" bestFit="1" customWidth="1"/>
    <col min="6178" max="6403" width="9" style="39"/>
    <col min="6404" max="6404" width="10.5" style="39" bestFit="1" customWidth="1"/>
    <col min="6405" max="6405" width="10.875" style="39" bestFit="1" customWidth="1"/>
    <col min="6406" max="6420" width="9" style="39"/>
    <col min="6421" max="6421" width="9.5" style="39" bestFit="1" customWidth="1"/>
    <col min="6422" max="6432" width="9" style="39"/>
    <col min="6433" max="6433" width="12.375" style="39" bestFit="1" customWidth="1"/>
    <col min="6434" max="6659" width="9" style="39"/>
    <col min="6660" max="6660" width="10.5" style="39" bestFit="1" customWidth="1"/>
    <col min="6661" max="6661" width="10.875" style="39" bestFit="1" customWidth="1"/>
    <col min="6662" max="6676" width="9" style="39"/>
    <col min="6677" max="6677" width="9.5" style="39" bestFit="1" customWidth="1"/>
    <col min="6678" max="6688" width="9" style="39"/>
    <col min="6689" max="6689" width="12.375" style="39" bestFit="1" customWidth="1"/>
    <col min="6690" max="6915" width="9" style="39"/>
    <col min="6916" max="6916" width="10.5" style="39" bestFit="1" customWidth="1"/>
    <col min="6917" max="6917" width="10.875" style="39" bestFit="1" customWidth="1"/>
    <col min="6918" max="6932" width="9" style="39"/>
    <col min="6933" max="6933" width="9.5" style="39" bestFit="1" customWidth="1"/>
    <col min="6934" max="6944" width="9" style="39"/>
    <col min="6945" max="6945" width="12.375" style="39" bestFit="1" customWidth="1"/>
    <col min="6946" max="7171" width="9" style="39"/>
    <col min="7172" max="7172" width="10.5" style="39" bestFit="1" customWidth="1"/>
    <col min="7173" max="7173" width="10.875" style="39" bestFit="1" customWidth="1"/>
    <col min="7174" max="7188" width="9" style="39"/>
    <col min="7189" max="7189" width="9.5" style="39" bestFit="1" customWidth="1"/>
    <col min="7190" max="7200" width="9" style="39"/>
    <col min="7201" max="7201" width="12.375" style="39" bestFit="1" customWidth="1"/>
    <col min="7202" max="7427" width="9" style="39"/>
    <col min="7428" max="7428" width="10.5" style="39" bestFit="1" customWidth="1"/>
    <col min="7429" max="7429" width="10.875" style="39" bestFit="1" customWidth="1"/>
    <col min="7430" max="7444" width="9" style="39"/>
    <col min="7445" max="7445" width="9.5" style="39" bestFit="1" customWidth="1"/>
    <col min="7446" max="7456" width="9" style="39"/>
    <col min="7457" max="7457" width="12.375" style="39" bestFit="1" customWidth="1"/>
    <col min="7458" max="7683" width="9" style="39"/>
    <col min="7684" max="7684" width="10.5" style="39" bestFit="1" customWidth="1"/>
    <col min="7685" max="7685" width="10.875" style="39" bestFit="1" customWidth="1"/>
    <col min="7686" max="7700" width="9" style="39"/>
    <col min="7701" max="7701" width="9.5" style="39" bestFit="1" customWidth="1"/>
    <col min="7702" max="7712" width="9" style="39"/>
    <col min="7713" max="7713" width="12.375" style="39" bestFit="1" customWidth="1"/>
    <col min="7714" max="7939" width="9" style="39"/>
    <col min="7940" max="7940" width="10.5" style="39" bestFit="1" customWidth="1"/>
    <col min="7941" max="7941" width="10.875" style="39" bestFit="1" customWidth="1"/>
    <col min="7942" max="7956" width="9" style="39"/>
    <col min="7957" max="7957" width="9.5" style="39" bestFit="1" customWidth="1"/>
    <col min="7958" max="7968" width="9" style="39"/>
    <col min="7969" max="7969" width="12.375" style="39" bestFit="1" customWidth="1"/>
    <col min="7970" max="8195" width="9" style="39"/>
    <col min="8196" max="8196" width="10.5" style="39" bestFit="1" customWidth="1"/>
    <col min="8197" max="8197" width="10.875" style="39" bestFit="1" customWidth="1"/>
    <col min="8198" max="8212" width="9" style="39"/>
    <col min="8213" max="8213" width="9.5" style="39" bestFit="1" customWidth="1"/>
    <col min="8214" max="8224" width="9" style="39"/>
    <col min="8225" max="8225" width="12.375" style="39" bestFit="1" customWidth="1"/>
    <col min="8226" max="8451" width="9" style="39"/>
    <col min="8452" max="8452" width="10.5" style="39" bestFit="1" customWidth="1"/>
    <col min="8453" max="8453" width="10.875" style="39" bestFit="1" customWidth="1"/>
    <col min="8454" max="8468" width="9" style="39"/>
    <col min="8469" max="8469" width="9.5" style="39" bestFit="1" customWidth="1"/>
    <col min="8470" max="8480" width="9" style="39"/>
    <col min="8481" max="8481" width="12.375" style="39" bestFit="1" customWidth="1"/>
    <col min="8482" max="8707" width="9" style="39"/>
    <col min="8708" max="8708" width="10.5" style="39" bestFit="1" customWidth="1"/>
    <col min="8709" max="8709" width="10.875" style="39" bestFit="1" customWidth="1"/>
    <col min="8710" max="8724" width="9" style="39"/>
    <col min="8725" max="8725" width="9.5" style="39" bestFit="1" customWidth="1"/>
    <col min="8726" max="8736" width="9" style="39"/>
    <col min="8737" max="8737" width="12.375" style="39" bestFit="1" customWidth="1"/>
    <col min="8738" max="8963" width="9" style="39"/>
    <col min="8964" max="8964" width="10.5" style="39" bestFit="1" customWidth="1"/>
    <col min="8965" max="8965" width="10.875" style="39" bestFit="1" customWidth="1"/>
    <col min="8966" max="8980" width="9" style="39"/>
    <col min="8981" max="8981" width="9.5" style="39" bestFit="1" customWidth="1"/>
    <col min="8982" max="8992" width="9" style="39"/>
    <col min="8993" max="8993" width="12.375" style="39" bestFit="1" customWidth="1"/>
    <col min="8994" max="9219" width="9" style="39"/>
    <col min="9220" max="9220" width="10.5" style="39" bestFit="1" customWidth="1"/>
    <col min="9221" max="9221" width="10.875" style="39" bestFit="1" customWidth="1"/>
    <col min="9222" max="9236" width="9" style="39"/>
    <col min="9237" max="9237" width="9.5" style="39" bestFit="1" customWidth="1"/>
    <col min="9238" max="9248" width="9" style="39"/>
    <col min="9249" max="9249" width="12.375" style="39" bestFit="1" customWidth="1"/>
    <col min="9250" max="9475" width="9" style="39"/>
    <col min="9476" max="9476" width="10.5" style="39" bestFit="1" customWidth="1"/>
    <col min="9477" max="9477" width="10.875" style="39" bestFit="1" customWidth="1"/>
    <col min="9478" max="9492" width="9" style="39"/>
    <col min="9493" max="9493" width="9.5" style="39" bestFit="1" customWidth="1"/>
    <col min="9494" max="9504" width="9" style="39"/>
    <col min="9505" max="9505" width="12.375" style="39" bestFit="1" customWidth="1"/>
    <col min="9506" max="9731" width="9" style="39"/>
    <col min="9732" max="9732" width="10.5" style="39" bestFit="1" customWidth="1"/>
    <col min="9733" max="9733" width="10.875" style="39" bestFit="1" customWidth="1"/>
    <col min="9734" max="9748" width="9" style="39"/>
    <col min="9749" max="9749" width="9.5" style="39" bestFit="1" customWidth="1"/>
    <col min="9750" max="9760" width="9" style="39"/>
    <col min="9761" max="9761" width="12.375" style="39" bestFit="1" customWidth="1"/>
    <col min="9762" max="9987" width="9" style="39"/>
    <col min="9988" max="9988" width="10.5" style="39" bestFit="1" customWidth="1"/>
    <col min="9989" max="9989" width="10.875" style="39" bestFit="1" customWidth="1"/>
    <col min="9990" max="10004" width="9" style="39"/>
    <col min="10005" max="10005" width="9.5" style="39" bestFit="1" customWidth="1"/>
    <col min="10006" max="10016" width="9" style="39"/>
    <col min="10017" max="10017" width="12.375" style="39" bestFit="1" customWidth="1"/>
    <col min="10018" max="10243" width="9" style="39"/>
    <col min="10244" max="10244" width="10.5" style="39" bestFit="1" customWidth="1"/>
    <col min="10245" max="10245" width="10.875" style="39" bestFit="1" customWidth="1"/>
    <col min="10246" max="10260" width="9" style="39"/>
    <col min="10261" max="10261" width="9.5" style="39" bestFit="1" customWidth="1"/>
    <col min="10262" max="10272" width="9" style="39"/>
    <col min="10273" max="10273" width="12.375" style="39" bestFit="1" customWidth="1"/>
    <col min="10274" max="10499" width="9" style="39"/>
    <col min="10500" max="10500" width="10.5" style="39" bestFit="1" customWidth="1"/>
    <col min="10501" max="10501" width="10.875" style="39" bestFit="1" customWidth="1"/>
    <col min="10502" max="10516" width="9" style="39"/>
    <col min="10517" max="10517" width="9.5" style="39" bestFit="1" customWidth="1"/>
    <col min="10518" max="10528" width="9" style="39"/>
    <col min="10529" max="10529" width="12.375" style="39" bestFit="1" customWidth="1"/>
    <col min="10530" max="10755" width="9" style="39"/>
    <col min="10756" max="10756" width="10.5" style="39" bestFit="1" customWidth="1"/>
    <col min="10757" max="10757" width="10.875" style="39" bestFit="1" customWidth="1"/>
    <col min="10758" max="10772" width="9" style="39"/>
    <col min="10773" max="10773" width="9.5" style="39" bestFit="1" customWidth="1"/>
    <col min="10774" max="10784" width="9" style="39"/>
    <col min="10785" max="10785" width="12.375" style="39" bestFit="1" customWidth="1"/>
    <col min="10786" max="11011" width="9" style="39"/>
    <col min="11012" max="11012" width="10.5" style="39" bestFit="1" customWidth="1"/>
    <col min="11013" max="11013" width="10.875" style="39" bestFit="1" customWidth="1"/>
    <col min="11014" max="11028" width="9" style="39"/>
    <col min="11029" max="11029" width="9.5" style="39" bestFit="1" customWidth="1"/>
    <col min="11030" max="11040" width="9" style="39"/>
    <col min="11041" max="11041" width="12.375" style="39" bestFit="1" customWidth="1"/>
    <col min="11042" max="11267" width="9" style="39"/>
    <col min="11268" max="11268" width="10.5" style="39" bestFit="1" customWidth="1"/>
    <col min="11269" max="11269" width="10.875" style="39" bestFit="1" customWidth="1"/>
    <col min="11270" max="11284" width="9" style="39"/>
    <col min="11285" max="11285" width="9.5" style="39" bestFit="1" customWidth="1"/>
    <col min="11286" max="11296" width="9" style="39"/>
    <col min="11297" max="11297" width="12.375" style="39" bestFit="1" customWidth="1"/>
    <col min="11298" max="11523" width="9" style="39"/>
    <col min="11524" max="11524" width="10.5" style="39" bestFit="1" customWidth="1"/>
    <col min="11525" max="11525" width="10.875" style="39" bestFit="1" customWidth="1"/>
    <col min="11526" max="11540" width="9" style="39"/>
    <col min="11541" max="11541" width="9.5" style="39" bestFit="1" customWidth="1"/>
    <col min="11542" max="11552" width="9" style="39"/>
    <col min="11553" max="11553" width="12.375" style="39" bestFit="1" customWidth="1"/>
    <col min="11554" max="11779" width="9" style="39"/>
    <col min="11780" max="11780" width="10.5" style="39" bestFit="1" customWidth="1"/>
    <col min="11781" max="11781" width="10.875" style="39" bestFit="1" customWidth="1"/>
    <col min="11782" max="11796" width="9" style="39"/>
    <col min="11797" max="11797" width="9.5" style="39" bestFit="1" customWidth="1"/>
    <col min="11798" max="11808" width="9" style="39"/>
    <col min="11809" max="11809" width="12.375" style="39" bestFit="1" customWidth="1"/>
    <col min="11810" max="12035" width="9" style="39"/>
    <col min="12036" max="12036" width="10.5" style="39" bestFit="1" customWidth="1"/>
    <col min="12037" max="12037" width="10.875" style="39" bestFit="1" customWidth="1"/>
    <col min="12038" max="12052" width="9" style="39"/>
    <col min="12053" max="12053" width="9.5" style="39" bestFit="1" customWidth="1"/>
    <col min="12054" max="12064" width="9" style="39"/>
    <col min="12065" max="12065" width="12.375" style="39" bestFit="1" customWidth="1"/>
    <col min="12066" max="12291" width="9" style="39"/>
    <col min="12292" max="12292" width="10.5" style="39" bestFit="1" customWidth="1"/>
    <col min="12293" max="12293" width="10.875" style="39" bestFit="1" customWidth="1"/>
    <col min="12294" max="12308" width="9" style="39"/>
    <col min="12309" max="12309" width="9.5" style="39" bestFit="1" customWidth="1"/>
    <col min="12310" max="12320" width="9" style="39"/>
    <col min="12321" max="12321" width="12.375" style="39" bestFit="1" customWidth="1"/>
    <col min="12322" max="12547" width="9" style="39"/>
    <col min="12548" max="12548" width="10.5" style="39" bestFit="1" customWidth="1"/>
    <col min="12549" max="12549" width="10.875" style="39" bestFit="1" customWidth="1"/>
    <col min="12550" max="12564" width="9" style="39"/>
    <col min="12565" max="12565" width="9.5" style="39" bestFit="1" customWidth="1"/>
    <col min="12566" max="12576" width="9" style="39"/>
    <col min="12577" max="12577" width="12.375" style="39" bestFit="1" customWidth="1"/>
    <col min="12578" max="12803" width="9" style="39"/>
    <col min="12804" max="12804" width="10.5" style="39" bestFit="1" customWidth="1"/>
    <col min="12805" max="12805" width="10.875" style="39" bestFit="1" customWidth="1"/>
    <col min="12806" max="12820" width="9" style="39"/>
    <col min="12821" max="12821" width="9.5" style="39" bestFit="1" customWidth="1"/>
    <col min="12822" max="12832" width="9" style="39"/>
    <col min="12833" max="12833" width="12.375" style="39" bestFit="1" customWidth="1"/>
    <col min="12834" max="13059" width="9" style="39"/>
    <col min="13060" max="13060" width="10.5" style="39" bestFit="1" customWidth="1"/>
    <col min="13061" max="13061" width="10.875" style="39" bestFit="1" customWidth="1"/>
    <col min="13062" max="13076" width="9" style="39"/>
    <col min="13077" max="13077" width="9.5" style="39" bestFit="1" customWidth="1"/>
    <col min="13078" max="13088" width="9" style="39"/>
    <col min="13089" max="13089" width="12.375" style="39" bestFit="1" customWidth="1"/>
    <col min="13090" max="13315" width="9" style="39"/>
    <col min="13316" max="13316" width="10.5" style="39" bestFit="1" customWidth="1"/>
    <col min="13317" max="13317" width="10.875" style="39" bestFit="1" customWidth="1"/>
    <col min="13318" max="13332" width="9" style="39"/>
    <col min="13333" max="13333" width="9.5" style="39" bestFit="1" customWidth="1"/>
    <col min="13334" max="13344" width="9" style="39"/>
    <col min="13345" max="13345" width="12.375" style="39" bestFit="1" customWidth="1"/>
    <col min="13346" max="13571" width="9" style="39"/>
    <col min="13572" max="13572" width="10.5" style="39" bestFit="1" customWidth="1"/>
    <col min="13573" max="13573" width="10.875" style="39" bestFit="1" customWidth="1"/>
    <col min="13574" max="13588" width="9" style="39"/>
    <col min="13589" max="13589" width="9.5" style="39" bestFit="1" customWidth="1"/>
    <col min="13590" max="13600" width="9" style="39"/>
    <col min="13601" max="13601" width="12.375" style="39" bestFit="1" customWidth="1"/>
    <col min="13602" max="13827" width="9" style="39"/>
    <col min="13828" max="13828" width="10.5" style="39" bestFit="1" customWidth="1"/>
    <col min="13829" max="13829" width="10.875" style="39" bestFit="1" customWidth="1"/>
    <col min="13830" max="13844" width="9" style="39"/>
    <col min="13845" max="13845" width="9.5" style="39" bestFit="1" customWidth="1"/>
    <col min="13846" max="13856" width="9" style="39"/>
    <col min="13857" max="13857" width="12.375" style="39" bestFit="1" customWidth="1"/>
    <col min="13858" max="14083" width="9" style="39"/>
    <col min="14084" max="14084" width="10.5" style="39" bestFit="1" customWidth="1"/>
    <col min="14085" max="14085" width="10.875" style="39" bestFit="1" customWidth="1"/>
    <col min="14086" max="14100" width="9" style="39"/>
    <col min="14101" max="14101" width="9.5" style="39" bestFit="1" customWidth="1"/>
    <col min="14102" max="14112" width="9" style="39"/>
    <col min="14113" max="14113" width="12.375" style="39" bestFit="1" customWidth="1"/>
    <col min="14114" max="14339" width="9" style="39"/>
    <col min="14340" max="14340" width="10.5" style="39" bestFit="1" customWidth="1"/>
    <col min="14341" max="14341" width="10.875" style="39" bestFit="1" customWidth="1"/>
    <col min="14342" max="14356" width="9" style="39"/>
    <col min="14357" max="14357" width="9.5" style="39" bestFit="1" customWidth="1"/>
    <col min="14358" max="14368" width="9" style="39"/>
    <col min="14369" max="14369" width="12.375" style="39" bestFit="1" customWidth="1"/>
    <col min="14370" max="14595" width="9" style="39"/>
    <col min="14596" max="14596" width="10.5" style="39" bestFit="1" customWidth="1"/>
    <col min="14597" max="14597" width="10.875" style="39" bestFit="1" customWidth="1"/>
    <col min="14598" max="14612" width="9" style="39"/>
    <col min="14613" max="14613" width="9.5" style="39" bestFit="1" customWidth="1"/>
    <col min="14614" max="14624" width="9" style="39"/>
    <col min="14625" max="14625" width="12.375" style="39" bestFit="1" customWidth="1"/>
    <col min="14626" max="14851" width="9" style="39"/>
    <col min="14852" max="14852" width="10.5" style="39" bestFit="1" customWidth="1"/>
    <col min="14853" max="14853" width="10.875" style="39" bestFit="1" customWidth="1"/>
    <col min="14854" max="14868" width="9" style="39"/>
    <col min="14869" max="14869" width="9.5" style="39" bestFit="1" customWidth="1"/>
    <col min="14870" max="14880" width="9" style="39"/>
    <col min="14881" max="14881" width="12.375" style="39" bestFit="1" customWidth="1"/>
    <col min="14882" max="15107" width="9" style="39"/>
    <col min="15108" max="15108" width="10.5" style="39" bestFit="1" customWidth="1"/>
    <col min="15109" max="15109" width="10.875" style="39" bestFit="1" customWidth="1"/>
    <col min="15110" max="15124" width="9" style="39"/>
    <col min="15125" max="15125" width="9.5" style="39" bestFit="1" customWidth="1"/>
    <col min="15126" max="15136" width="9" style="39"/>
    <col min="15137" max="15137" width="12.375" style="39" bestFit="1" customWidth="1"/>
    <col min="15138" max="15363" width="9" style="39"/>
    <col min="15364" max="15364" width="10.5" style="39" bestFit="1" customWidth="1"/>
    <col min="15365" max="15365" width="10.875" style="39" bestFit="1" customWidth="1"/>
    <col min="15366" max="15380" width="9" style="39"/>
    <col min="15381" max="15381" width="9.5" style="39" bestFit="1" customWidth="1"/>
    <col min="15382" max="15392" width="9" style="39"/>
    <col min="15393" max="15393" width="12.375" style="39" bestFit="1" customWidth="1"/>
    <col min="15394" max="15619" width="9" style="39"/>
    <col min="15620" max="15620" width="10.5" style="39" bestFit="1" customWidth="1"/>
    <col min="15621" max="15621" width="10.875" style="39" bestFit="1" customWidth="1"/>
    <col min="15622" max="15636" width="9" style="39"/>
    <col min="15637" max="15637" width="9.5" style="39" bestFit="1" customWidth="1"/>
    <col min="15638" max="15648" width="9" style="39"/>
    <col min="15649" max="15649" width="12.375" style="39" bestFit="1" customWidth="1"/>
    <col min="15650" max="15875" width="9" style="39"/>
    <col min="15876" max="15876" width="10.5" style="39" bestFit="1" customWidth="1"/>
    <col min="15877" max="15877" width="10.875" style="39" bestFit="1" customWidth="1"/>
    <col min="15878" max="15892" width="9" style="39"/>
    <col min="15893" max="15893" width="9.5" style="39" bestFit="1" customWidth="1"/>
    <col min="15894" max="15904" width="9" style="39"/>
    <col min="15905" max="15905" width="12.375" style="39" bestFit="1" customWidth="1"/>
    <col min="15906" max="16131" width="9" style="39"/>
    <col min="16132" max="16132" width="10.5" style="39" bestFit="1" customWidth="1"/>
    <col min="16133" max="16133" width="10.875" style="39" bestFit="1" customWidth="1"/>
    <col min="16134" max="16148" width="9" style="39"/>
    <col min="16149" max="16149" width="9.5" style="39" bestFit="1" customWidth="1"/>
    <col min="16150" max="16160" width="9" style="39"/>
    <col min="16161" max="16161" width="12.375" style="39" bestFit="1" customWidth="1"/>
    <col min="16162" max="16384" width="9" style="39"/>
  </cols>
  <sheetData>
    <row r="1" spans="1:53" ht="45" x14ac:dyDescent="0.15">
      <c r="A1" s="58" t="s">
        <v>0</v>
      </c>
      <c r="B1" s="74" t="s">
        <v>1</v>
      </c>
      <c r="C1" s="74" t="s">
        <v>2</v>
      </c>
      <c r="D1" s="72" t="s">
        <v>3</v>
      </c>
      <c r="E1" s="59" t="s">
        <v>4</v>
      </c>
      <c r="F1" s="59" t="s">
        <v>5</v>
      </c>
      <c r="G1" s="59" t="s">
        <v>6</v>
      </c>
      <c r="H1" s="59" t="s">
        <v>7</v>
      </c>
      <c r="I1" s="59" t="s">
        <v>8</v>
      </c>
      <c r="J1" s="59" t="s">
        <v>9</v>
      </c>
      <c r="K1" s="59" t="s">
        <v>10</v>
      </c>
      <c r="L1" s="72" t="s">
        <v>11</v>
      </c>
      <c r="M1" s="72" t="s">
        <v>12</v>
      </c>
      <c r="N1" s="72" t="s">
        <v>13</v>
      </c>
      <c r="O1" s="72" t="s">
        <v>14</v>
      </c>
      <c r="P1" s="72" t="s">
        <v>15</v>
      </c>
      <c r="Q1" s="37" t="s">
        <v>16</v>
      </c>
      <c r="R1" s="72" t="s">
        <v>17</v>
      </c>
      <c r="S1" s="72" t="s">
        <v>18</v>
      </c>
      <c r="T1" s="37" t="s">
        <v>19</v>
      </c>
      <c r="U1" s="73" t="s">
        <v>108</v>
      </c>
      <c r="V1" s="38" t="s">
        <v>20</v>
      </c>
      <c r="W1" s="72" t="s">
        <v>21</v>
      </c>
      <c r="X1" s="59" t="s">
        <v>22</v>
      </c>
      <c r="Y1" s="59" t="s">
        <v>23</v>
      </c>
      <c r="Z1" s="59" t="s">
        <v>24</v>
      </c>
      <c r="AA1" s="60" t="s">
        <v>25</v>
      </c>
      <c r="AB1" s="71" t="s">
        <v>26</v>
      </c>
      <c r="AE1" s="70" t="s">
        <v>0</v>
      </c>
      <c r="AF1" s="69"/>
      <c r="AG1" s="70" t="s">
        <v>4</v>
      </c>
      <c r="AH1" s="70" t="s">
        <v>5</v>
      </c>
      <c r="AI1" s="69"/>
      <c r="AJ1" s="70" t="s">
        <v>6</v>
      </c>
      <c r="AK1" s="69"/>
      <c r="AL1" s="40" t="s">
        <v>7</v>
      </c>
      <c r="AM1" s="69"/>
      <c r="AN1" s="40" t="s">
        <v>8</v>
      </c>
      <c r="AO1" s="69"/>
      <c r="AP1" s="40" t="s">
        <v>27</v>
      </c>
      <c r="AQ1" s="69"/>
      <c r="AR1" s="40" t="s">
        <v>10</v>
      </c>
      <c r="AS1" s="69"/>
      <c r="AT1" s="41" t="s">
        <v>28</v>
      </c>
      <c r="AU1" s="69"/>
      <c r="AV1" s="40" t="s">
        <v>29</v>
      </c>
      <c r="AX1" s="42" t="s">
        <v>30</v>
      </c>
      <c r="AY1" s="43" t="s">
        <v>31</v>
      </c>
      <c r="AZ1" s="43" t="s">
        <v>32</v>
      </c>
      <c r="BA1" s="44" t="s">
        <v>33</v>
      </c>
    </row>
    <row r="2" spans="1:53" x14ac:dyDescent="0.15">
      <c r="A2" s="39" t="s">
        <v>35</v>
      </c>
      <c r="B2" s="39" t="s">
        <v>337</v>
      </c>
      <c r="C2" s="39">
        <v>2020</v>
      </c>
      <c r="D2" s="66" t="s">
        <v>336</v>
      </c>
      <c r="E2" s="39" t="s">
        <v>311</v>
      </c>
      <c r="F2" s="39" t="s">
        <v>308</v>
      </c>
      <c r="G2" s="39" t="s">
        <v>36</v>
      </c>
      <c r="H2" s="39" t="s">
        <v>127</v>
      </c>
      <c r="I2" s="39" t="s">
        <v>142</v>
      </c>
      <c r="J2" s="39" t="s">
        <v>53</v>
      </c>
      <c r="K2" s="39" t="s">
        <v>54</v>
      </c>
      <c r="L2" s="39">
        <v>1</v>
      </c>
      <c r="N2" s="56">
        <v>1</v>
      </c>
      <c r="O2" s="39">
        <v>0.75</v>
      </c>
      <c r="P2" s="39">
        <v>0.8</v>
      </c>
      <c r="Q2" s="4">
        <f t="shared" ref="Q2:Q33" si="0">IF(OR(O2="",P2=""),"",AVERAGE(O2,P2))</f>
        <v>0.77500000000000002</v>
      </c>
      <c r="R2" s="39">
        <v>13.9</v>
      </c>
      <c r="S2" s="39">
        <v>104</v>
      </c>
      <c r="T2" s="1">
        <f t="shared" ref="T2:T33" si="1">IF(H2="","",IF(OR(H2="GREEN",H2="GK"),IF(S2&gt;=$AX$2,VLOOKUP(S2,$AX$2:$AY$12,2,1),""),IF(S2&gt;=$AZ$2,VLOOKUP(S2,$AZ$2:$BA$12,2,1),"")))</f>
        <v>33</v>
      </c>
      <c r="U2" s="39">
        <v>127</v>
      </c>
      <c r="V2" s="1">
        <f t="shared" ref="V2:V33" si="2">IF(OR(N2="",U2="",T2=""),"",U2/N2*T2)</f>
        <v>4191</v>
      </c>
      <c r="W2" s="39">
        <v>4</v>
      </c>
      <c r="X2" s="39" t="s">
        <v>46</v>
      </c>
      <c r="Y2" s="39" t="s">
        <v>47</v>
      </c>
      <c r="Z2" s="39" t="s">
        <v>90</v>
      </c>
      <c r="AA2" s="39" t="s">
        <v>69</v>
      </c>
      <c r="AB2" s="56" t="s">
        <v>335</v>
      </c>
      <c r="AE2" s="68" t="s">
        <v>35</v>
      </c>
      <c r="AG2" s="3" t="s">
        <v>131</v>
      </c>
      <c r="AH2" s="3" t="s">
        <v>302</v>
      </c>
      <c r="AJ2" s="62" t="s">
        <v>36</v>
      </c>
      <c r="AL2" s="62" t="s">
        <v>127</v>
      </c>
      <c r="AN2" s="62" t="s">
        <v>37</v>
      </c>
      <c r="AP2" s="62" t="s">
        <v>38</v>
      </c>
      <c r="AR2" s="62" t="s">
        <v>120</v>
      </c>
      <c r="AT2" s="62" t="s">
        <v>39</v>
      </c>
      <c r="AV2" s="62" t="s">
        <v>40</v>
      </c>
      <c r="AX2" s="31">
        <v>1</v>
      </c>
      <c r="AY2" s="32">
        <v>50</v>
      </c>
      <c r="AZ2" s="32">
        <v>1</v>
      </c>
      <c r="BA2" s="33">
        <v>50</v>
      </c>
    </row>
    <row r="3" spans="1:53" x14ac:dyDescent="0.15">
      <c r="A3" s="39" t="s">
        <v>35</v>
      </c>
      <c r="B3" s="39" t="s">
        <v>332</v>
      </c>
      <c r="C3" s="39">
        <v>2020</v>
      </c>
      <c r="D3" s="67" t="s">
        <v>336</v>
      </c>
      <c r="E3" s="39" t="s">
        <v>311</v>
      </c>
      <c r="F3" s="39" t="s">
        <v>308</v>
      </c>
      <c r="G3" s="39" t="s">
        <v>36</v>
      </c>
      <c r="H3" s="39" t="s">
        <v>127</v>
      </c>
      <c r="I3" s="39" t="s">
        <v>142</v>
      </c>
      <c r="J3" s="39" t="s">
        <v>53</v>
      </c>
      <c r="K3" s="39" t="s">
        <v>54</v>
      </c>
      <c r="L3" s="39">
        <v>2</v>
      </c>
      <c r="N3" s="39">
        <v>1</v>
      </c>
      <c r="O3" s="56">
        <v>1.05</v>
      </c>
      <c r="P3" s="39">
        <v>0.8</v>
      </c>
      <c r="Q3" s="5">
        <f t="shared" si="0"/>
        <v>0.92500000000000004</v>
      </c>
      <c r="R3" s="39">
        <v>15</v>
      </c>
      <c r="S3" s="39">
        <v>102</v>
      </c>
      <c r="T3" s="45">
        <f t="shared" si="1"/>
        <v>33</v>
      </c>
      <c r="U3" s="39">
        <v>127</v>
      </c>
      <c r="V3" s="45">
        <f t="shared" si="2"/>
        <v>4191</v>
      </c>
      <c r="W3" s="39">
        <v>4</v>
      </c>
      <c r="X3" s="39" t="s">
        <v>46</v>
      </c>
      <c r="Y3" s="39" t="s">
        <v>47</v>
      </c>
      <c r="Z3" s="39" t="s">
        <v>90</v>
      </c>
      <c r="AA3" s="39" t="s">
        <v>69</v>
      </c>
      <c r="AB3" s="56" t="s">
        <v>331</v>
      </c>
      <c r="AE3" s="46" t="s">
        <v>41</v>
      </c>
      <c r="AG3" s="3" t="s">
        <v>139</v>
      </c>
      <c r="AH3" s="3" t="s">
        <v>303</v>
      </c>
      <c r="AJ3" s="47" t="s">
        <v>42</v>
      </c>
      <c r="AL3" s="47" t="s">
        <v>128</v>
      </c>
      <c r="AN3" s="47" t="s">
        <v>43</v>
      </c>
      <c r="AP3" s="47" t="s">
        <v>44</v>
      </c>
      <c r="AR3" s="47" t="s">
        <v>45</v>
      </c>
      <c r="AT3" s="47" t="s">
        <v>46</v>
      </c>
      <c r="AV3" s="47" t="s">
        <v>47</v>
      </c>
      <c r="AX3" s="48">
        <v>72</v>
      </c>
      <c r="AY3" s="49">
        <v>46</v>
      </c>
      <c r="AZ3" s="49">
        <v>71</v>
      </c>
      <c r="BA3" s="50">
        <v>42</v>
      </c>
    </row>
    <row r="4" spans="1:53" x14ac:dyDescent="0.15">
      <c r="A4" s="39" t="s">
        <v>35</v>
      </c>
      <c r="B4" s="39" t="s">
        <v>332</v>
      </c>
      <c r="C4" s="39">
        <v>2020</v>
      </c>
      <c r="D4" s="67" t="s">
        <v>336</v>
      </c>
      <c r="E4" s="39" t="s">
        <v>311</v>
      </c>
      <c r="F4" s="39" t="s">
        <v>308</v>
      </c>
      <c r="G4" s="39" t="s">
        <v>36</v>
      </c>
      <c r="H4" s="39" t="s">
        <v>127</v>
      </c>
      <c r="I4" s="39" t="s">
        <v>142</v>
      </c>
      <c r="J4" s="39" t="s">
        <v>53</v>
      </c>
      <c r="K4" s="39" t="s">
        <v>54</v>
      </c>
      <c r="L4" s="39">
        <v>3</v>
      </c>
      <c r="N4" s="39">
        <v>1</v>
      </c>
      <c r="O4" s="39">
        <v>1</v>
      </c>
      <c r="P4" s="39">
        <v>1.05</v>
      </c>
      <c r="Q4" s="5">
        <f t="shared" si="0"/>
        <v>1.0249999999999999</v>
      </c>
      <c r="R4" s="39">
        <v>12</v>
      </c>
      <c r="S4" s="39">
        <v>97</v>
      </c>
      <c r="T4" s="45">
        <f t="shared" si="1"/>
        <v>36</v>
      </c>
      <c r="U4" s="39">
        <v>127</v>
      </c>
      <c r="V4" s="45">
        <f t="shared" si="2"/>
        <v>4572</v>
      </c>
      <c r="W4" s="39">
        <v>4</v>
      </c>
      <c r="X4" s="39" t="s">
        <v>46</v>
      </c>
      <c r="Y4" s="39" t="s">
        <v>47</v>
      </c>
      <c r="Z4" s="39" t="s">
        <v>90</v>
      </c>
      <c r="AA4" s="39" t="s">
        <v>69</v>
      </c>
      <c r="AB4" s="56" t="s">
        <v>331</v>
      </c>
      <c r="AE4" s="46" t="s">
        <v>34</v>
      </c>
      <c r="AG4" s="3" t="s">
        <v>298</v>
      </c>
      <c r="AH4" s="3" t="s">
        <v>304</v>
      </c>
      <c r="AJ4" s="51" t="s">
        <v>48</v>
      </c>
      <c r="AL4" s="51" t="s">
        <v>129</v>
      </c>
      <c r="AN4" s="52" t="s">
        <v>49</v>
      </c>
      <c r="AP4" s="47" t="s">
        <v>93</v>
      </c>
      <c r="AR4" s="47" t="s">
        <v>121</v>
      </c>
      <c r="AT4" s="52"/>
      <c r="AV4" s="47" t="s">
        <v>50</v>
      </c>
      <c r="AX4" s="48">
        <v>75</v>
      </c>
      <c r="AY4" s="49">
        <v>42</v>
      </c>
      <c r="AZ4" s="49">
        <v>76</v>
      </c>
      <c r="BA4" s="50">
        <v>39</v>
      </c>
    </row>
    <row r="5" spans="1:53" x14ac:dyDescent="0.15">
      <c r="A5" s="39" t="s">
        <v>35</v>
      </c>
      <c r="B5" s="39" t="s">
        <v>332</v>
      </c>
      <c r="C5" s="39">
        <v>2020</v>
      </c>
      <c r="D5" s="67" t="s">
        <v>336</v>
      </c>
      <c r="E5" s="39" t="s">
        <v>311</v>
      </c>
      <c r="F5" s="39" t="s">
        <v>308</v>
      </c>
      <c r="G5" s="39" t="s">
        <v>36</v>
      </c>
      <c r="H5" s="39" t="s">
        <v>127</v>
      </c>
      <c r="I5" s="39" t="s">
        <v>142</v>
      </c>
      <c r="J5" s="39" t="s">
        <v>53</v>
      </c>
      <c r="K5" s="39" t="s">
        <v>54</v>
      </c>
      <c r="L5" s="39">
        <v>1</v>
      </c>
      <c r="N5" s="39">
        <v>4</v>
      </c>
      <c r="O5" s="39">
        <v>1.4</v>
      </c>
      <c r="P5" s="39">
        <v>1</v>
      </c>
      <c r="Q5" s="5">
        <f t="shared" si="0"/>
        <v>1.2</v>
      </c>
      <c r="R5" s="39">
        <v>14.2</v>
      </c>
      <c r="S5" s="39">
        <v>73</v>
      </c>
      <c r="T5" s="45">
        <f t="shared" si="1"/>
        <v>42</v>
      </c>
      <c r="U5" s="39">
        <v>377</v>
      </c>
      <c r="V5" s="45">
        <f t="shared" si="2"/>
        <v>3958.5</v>
      </c>
      <c r="W5" s="39">
        <v>2</v>
      </c>
      <c r="X5" s="39" t="s">
        <v>46</v>
      </c>
      <c r="Y5" s="39" t="s">
        <v>47</v>
      </c>
      <c r="Z5" s="39" t="s">
        <v>90</v>
      </c>
      <c r="AA5" s="39" t="s">
        <v>69</v>
      </c>
      <c r="AB5" s="56" t="s">
        <v>331</v>
      </c>
      <c r="AE5" s="46" t="s">
        <v>51</v>
      </c>
      <c r="AG5" s="3" t="s">
        <v>130</v>
      </c>
      <c r="AH5" s="3" t="s">
        <v>305</v>
      </c>
      <c r="AJ5" s="52"/>
      <c r="AL5" s="27" t="s">
        <v>66</v>
      </c>
      <c r="AN5" s="27" t="s">
        <v>52</v>
      </c>
      <c r="AP5" s="47" t="s">
        <v>119</v>
      </c>
      <c r="AR5" s="47" t="s">
        <v>54</v>
      </c>
      <c r="AV5" s="47" t="s">
        <v>55</v>
      </c>
      <c r="AX5" s="48">
        <v>84</v>
      </c>
      <c r="AY5" s="49">
        <v>39</v>
      </c>
      <c r="AZ5" s="49">
        <v>84</v>
      </c>
      <c r="BA5" s="50">
        <v>36</v>
      </c>
    </row>
    <row r="6" spans="1:53" x14ac:dyDescent="0.15">
      <c r="A6" s="39" t="s">
        <v>35</v>
      </c>
      <c r="B6" s="39" t="s">
        <v>332</v>
      </c>
      <c r="C6" s="39">
        <v>2020</v>
      </c>
      <c r="D6" s="67" t="s">
        <v>336</v>
      </c>
      <c r="E6" s="39" t="s">
        <v>311</v>
      </c>
      <c r="F6" s="39" t="s">
        <v>308</v>
      </c>
      <c r="G6" s="39" t="s">
        <v>36</v>
      </c>
      <c r="H6" s="39" t="s">
        <v>127</v>
      </c>
      <c r="I6" s="39" t="s">
        <v>142</v>
      </c>
      <c r="J6" s="39" t="s">
        <v>53</v>
      </c>
      <c r="K6" s="39" t="s">
        <v>54</v>
      </c>
      <c r="L6" s="39">
        <v>2</v>
      </c>
      <c r="N6" s="39">
        <v>4</v>
      </c>
      <c r="O6" s="39">
        <v>1.3</v>
      </c>
      <c r="P6" s="39">
        <v>1.5</v>
      </c>
      <c r="Q6" s="5">
        <f t="shared" si="0"/>
        <v>1.4</v>
      </c>
      <c r="R6" s="39">
        <v>13.6</v>
      </c>
      <c r="S6" s="39">
        <v>73</v>
      </c>
      <c r="T6" s="45">
        <f t="shared" si="1"/>
        <v>42</v>
      </c>
      <c r="U6" s="39">
        <v>377</v>
      </c>
      <c r="V6" s="45">
        <f t="shared" si="2"/>
        <v>3958.5</v>
      </c>
      <c r="W6" s="39">
        <v>2</v>
      </c>
      <c r="X6" s="39" t="s">
        <v>46</v>
      </c>
      <c r="Y6" s="39" t="s">
        <v>47</v>
      </c>
      <c r="Z6" s="39" t="s">
        <v>90</v>
      </c>
      <c r="AA6" s="39" t="s">
        <v>69</v>
      </c>
      <c r="AB6" s="56" t="s">
        <v>331</v>
      </c>
      <c r="AE6" s="46" t="s">
        <v>56</v>
      </c>
      <c r="AG6" s="3" t="s">
        <v>132</v>
      </c>
      <c r="AH6" s="3" t="s">
        <v>306</v>
      </c>
      <c r="AL6" s="27" t="s">
        <v>99</v>
      </c>
      <c r="AN6" s="27" t="s">
        <v>57</v>
      </c>
      <c r="AP6" s="47" t="s">
        <v>53</v>
      </c>
      <c r="AR6" s="47" t="s">
        <v>59</v>
      </c>
      <c r="AV6" s="47" t="s">
        <v>60</v>
      </c>
      <c r="AX6" s="48">
        <v>97</v>
      </c>
      <c r="AY6" s="49">
        <v>36</v>
      </c>
      <c r="AZ6" s="49">
        <v>99</v>
      </c>
      <c r="BA6" s="50">
        <v>33</v>
      </c>
    </row>
    <row r="7" spans="1:53" ht="12" customHeight="1" x14ac:dyDescent="0.15">
      <c r="A7" s="39" t="s">
        <v>35</v>
      </c>
      <c r="B7" s="39" t="s">
        <v>332</v>
      </c>
      <c r="C7" s="39">
        <v>2020</v>
      </c>
      <c r="D7" s="67" t="s">
        <v>336</v>
      </c>
      <c r="E7" s="39" t="s">
        <v>311</v>
      </c>
      <c r="F7" s="39" t="s">
        <v>308</v>
      </c>
      <c r="G7" s="39" t="s">
        <v>36</v>
      </c>
      <c r="H7" s="39" t="s">
        <v>127</v>
      </c>
      <c r="I7" s="39" t="s">
        <v>142</v>
      </c>
      <c r="J7" s="39" t="s">
        <v>53</v>
      </c>
      <c r="K7" s="39" t="s">
        <v>54</v>
      </c>
      <c r="L7" s="39">
        <v>3</v>
      </c>
      <c r="N7" s="39">
        <v>4</v>
      </c>
      <c r="O7" s="39">
        <v>1.3</v>
      </c>
      <c r="P7" s="39">
        <v>1</v>
      </c>
      <c r="Q7" s="5">
        <f t="shared" si="0"/>
        <v>1.1499999999999999</v>
      </c>
      <c r="R7" s="56">
        <v>14.4</v>
      </c>
      <c r="S7" s="39">
        <v>82</v>
      </c>
      <c r="T7" s="45">
        <f t="shared" si="1"/>
        <v>39</v>
      </c>
      <c r="U7" s="39">
        <v>377</v>
      </c>
      <c r="V7" s="45">
        <f t="shared" si="2"/>
        <v>3675.75</v>
      </c>
      <c r="W7" s="39">
        <v>2</v>
      </c>
      <c r="X7" s="39" t="s">
        <v>46</v>
      </c>
      <c r="Y7" s="39" t="s">
        <v>47</v>
      </c>
      <c r="Z7" s="39" t="s">
        <v>90</v>
      </c>
      <c r="AA7" s="39" t="s">
        <v>69</v>
      </c>
      <c r="AB7" s="56" t="s">
        <v>331</v>
      </c>
      <c r="AE7" s="46" t="s">
        <v>61</v>
      </c>
      <c r="AG7" s="3" t="s">
        <v>140</v>
      </c>
      <c r="AH7" s="3" t="s">
        <v>307</v>
      </c>
      <c r="AL7" s="56" t="s">
        <v>109</v>
      </c>
      <c r="AP7" s="47" t="s">
        <v>58</v>
      </c>
      <c r="AR7" s="47" t="s">
        <v>122</v>
      </c>
      <c r="AV7" s="47" t="s">
        <v>64</v>
      </c>
      <c r="AX7" s="48">
        <v>109</v>
      </c>
      <c r="AY7" s="49">
        <v>33</v>
      </c>
      <c r="AZ7" s="49">
        <v>113</v>
      </c>
      <c r="BA7" s="50">
        <v>30</v>
      </c>
    </row>
    <row r="8" spans="1:53" ht="12.75" customHeight="1" x14ac:dyDescent="0.15">
      <c r="A8" s="39" t="s">
        <v>35</v>
      </c>
      <c r="B8" s="39" t="s">
        <v>332</v>
      </c>
      <c r="C8" s="39">
        <v>2020</v>
      </c>
      <c r="D8" s="67" t="s">
        <v>336</v>
      </c>
      <c r="E8" s="39" t="s">
        <v>311</v>
      </c>
      <c r="F8" s="39" t="s">
        <v>308</v>
      </c>
      <c r="G8" s="39" t="s">
        <v>36</v>
      </c>
      <c r="H8" s="39" t="s">
        <v>146</v>
      </c>
      <c r="I8" s="39" t="s">
        <v>142</v>
      </c>
      <c r="J8" s="39" t="s">
        <v>38</v>
      </c>
      <c r="K8" s="39" t="s">
        <v>143</v>
      </c>
      <c r="L8" s="39">
        <v>1</v>
      </c>
      <c r="N8" s="39">
        <v>1</v>
      </c>
      <c r="O8" s="39">
        <v>0.75</v>
      </c>
      <c r="P8" s="39">
        <v>0.85</v>
      </c>
      <c r="Q8" s="5">
        <f t="shared" si="0"/>
        <v>0.8</v>
      </c>
      <c r="R8" s="56">
        <v>19.100000000000001</v>
      </c>
      <c r="S8" s="39">
        <v>146</v>
      </c>
      <c r="T8" s="45">
        <f t="shared" si="1"/>
        <v>22</v>
      </c>
      <c r="U8" s="39">
        <v>127</v>
      </c>
      <c r="V8" s="45">
        <f t="shared" si="2"/>
        <v>2794</v>
      </c>
      <c r="W8" s="39">
        <v>3</v>
      </c>
      <c r="X8" s="39" t="s">
        <v>46</v>
      </c>
      <c r="Y8" s="39" t="s">
        <v>47</v>
      </c>
      <c r="Z8" s="39" t="s">
        <v>90</v>
      </c>
      <c r="AA8" s="39" t="s">
        <v>69</v>
      </c>
      <c r="AB8" s="56" t="s">
        <v>331</v>
      </c>
      <c r="AE8" s="46" t="s">
        <v>59</v>
      </c>
      <c r="AG8" s="3" t="s">
        <v>311</v>
      </c>
      <c r="AH8" s="3" t="s">
        <v>308</v>
      </c>
      <c r="AL8" s="56" t="s">
        <v>134</v>
      </c>
      <c r="AP8" s="47" t="s">
        <v>62</v>
      </c>
      <c r="AR8" s="47" t="s">
        <v>81</v>
      </c>
      <c r="AV8" s="47" t="s">
        <v>97</v>
      </c>
      <c r="AX8" s="48">
        <v>119</v>
      </c>
      <c r="AY8" s="49">
        <v>30</v>
      </c>
      <c r="AZ8" s="49">
        <v>121</v>
      </c>
      <c r="BA8" s="50">
        <v>27</v>
      </c>
    </row>
    <row r="9" spans="1:53" x14ac:dyDescent="0.15">
      <c r="A9" s="39" t="s">
        <v>35</v>
      </c>
      <c r="B9" s="39" t="s">
        <v>332</v>
      </c>
      <c r="C9" s="39">
        <v>2020</v>
      </c>
      <c r="D9" s="67" t="s">
        <v>336</v>
      </c>
      <c r="E9" s="39" t="s">
        <v>311</v>
      </c>
      <c r="F9" s="39" t="s">
        <v>308</v>
      </c>
      <c r="G9" s="39" t="s">
        <v>36</v>
      </c>
      <c r="H9" s="39" t="s">
        <v>146</v>
      </c>
      <c r="I9" s="39" t="s">
        <v>142</v>
      </c>
      <c r="J9" s="39" t="s">
        <v>38</v>
      </c>
      <c r="K9" s="39" t="s">
        <v>143</v>
      </c>
      <c r="L9" s="39">
        <v>2</v>
      </c>
      <c r="N9" s="39">
        <v>1</v>
      </c>
      <c r="O9" s="39">
        <v>0.7</v>
      </c>
      <c r="P9" s="39">
        <v>0.9</v>
      </c>
      <c r="Q9" s="5">
        <f t="shared" si="0"/>
        <v>0.8</v>
      </c>
      <c r="R9" s="39">
        <v>16.7</v>
      </c>
      <c r="S9" s="39">
        <v>143</v>
      </c>
      <c r="T9" s="45">
        <f t="shared" si="1"/>
        <v>22</v>
      </c>
      <c r="U9" s="39">
        <v>127</v>
      </c>
      <c r="V9" s="45">
        <f t="shared" si="2"/>
        <v>2794</v>
      </c>
      <c r="W9" s="39">
        <v>3</v>
      </c>
      <c r="X9" s="39" t="s">
        <v>46</v>
      </c>
      <c r="Y9" s="39" t="s">
        <v>47</v>
      </c>
      <c r="Z9" s="39" t="s">
        <v>90</v>
      </c>
      <c r="AA9" s="39" t="s">
        <v>69</v>
      </c>
      <c r="AB9" s="56" t="s">
        <v>331</v>
      </c>
      <c r="AE9" s="46" t="s">
        <v>98</v>
      </c>
      <c r="AG9" s="3" t="s">
        <v>133</v>
      </c>
      <c r="AH9" s="3" t="s">
        <v>309</v>
      </c>
      <c r="AL9" s="27" t="s">
        <v>329</v>
      </c>
      <c r="AP9" s="47" t="s">
        <v>95</v>
      </c>
      <c r="AR9" s="47" t="s">
        <v>89</v>
      </c>
      <c r="AV9" s="47" t="s">
        <v>102</v>
      </c>
      <c r="AX9" s="48">
        <v>128</v>
      </c>
      <c r="AY9" s="49">
        <v>27</v>
      </c>
      <c r="AZ9" s="49">
        <v>129</v>
      </c>
      <c r="BA9" s="50">
        <v>25</v>
      </c>
    </row>
    <row r="10" spans="1:53" x14ac:dyDescent="0.15">
      <c r="A10" s="39" t="s">
        <v>35</v>
      </c>
      <c r="B10" s="39" t="s">
        <v>332</v>
      </c>
      <c r="C10" s="39">
        <v>2020</v>
      </c>
      <c r="D10" s="67" t="s">
        <v>336</v>
      </c>
      <c r="E10" s="39" t="s">
        <v>311</v>
      </c>
      <c r="F10" s="39" t="s">
        <v>308</v>
      </c>
      <c r="G10" s="39" t="s">
        <v>36</v>
      </c>
      <c r="H10" s="39" t="s">
        <v>146</v>
      </c>
      <c r="I10" s="39" t="s">
        <v>142</v>
      </c>
      <c r="J10" s="39" t="s">
        <v>38</v>
      </c>
      <c r="K10" s="39" t="s">
        <v>143</v>
      </c>
      <c r="L10" s="39">
        <v>3</v>
      </c>
      <c r="N10" s="39">
        <v>1</v>
      </c>
      <c r="O10" s="39">
        <v>0.85</v>
      </c>
      <c r="P10" s="39">
        <v>0.9</v>
      </c>
      <c r="Q10" s="5">
        <f t="shared" si="0"/>
        <v>0.875</v>
      </c>
      <c r="R10" s="39">
        <v>16.5</v>
      </c>
      <c r="S10" s="39">
        <v>144</v>
      </c>
      <c r="T10" s="45">
        <f t="shared" si="1"/>
        <v>22</v>
      </c>
      <c r="U10" s="39">
        <v>127</v>
      </c>
      <c r="V10" s="45">
        <f t="shared" si="2"/>
        <v>2794</v>
      </c>
      <c r="W10" s="39">
        <v>3</v>
      </c>
      <c r="X10" s="39" t="s">
        <v>46</v>
      </c>
      <c r="Y10" s="39" t="s">
        <v>47</v>
      </c>
      <c r="Z10" s="39" t="s">
        <v>90</v>
      </c>
      <c r="AA10" s="39" t="s">
        <v>69</v>
      </c>
      <c r="AB10" s="56" t="s">
        <v>331</v>
      </c>
      <c r="AE10" s="46" t="s">
        <v>103</v>
      </c>
      <c r="AG10" s="3" t="s">
        <v>312</v>
      </c>
      <c r="AH10" s="3" t="s">
        <v>310</v>
      </c>
      <c r="AP10" s="47" t="s">
        <v>100</v>
      </c>
      <c r="AR10" s="47" t="s">
        <v>123</v>
      </c>
      <c r="AV10" s="47" t="s">
        <v>106</v>
      </c>
      <c r="AX10" s="48">
        <v>138</v>
      </c>
      <c r="AY10" s="49">
        <v>25</v>
      </c>
      <c r="AZ10" s="49">
        <v>138</v>
      </c>
      <c r="BA10" s="50">
        <v>22</v>
      </c>
    </row>
    <row r="11" spans="1:53" x14ac:dyDescent="0.15">
      <c r="A11" s="39" t="s">
        <v>35</v>
      </c>
      <c r="B11" s="39" t="s">
        <v>332</v>
      </c>
      <c r="C11" s="39">
        <v>2020</v>
      </c>
      <c r="D11" s="67" t="s">
        <v>336</v>
      </c>
      <c r="E11" s="39" t="s">
        <v>311</v>
      </c>
      <c r="F11" s="39" t="s">
        <v>308</v>
      </c>
      <c r="G11" s="39" t="s">
        <v>36</v>
      </c>
      <c r="H11" s="39" t="s">
        <v>146</v>
      </c>
      <c r="I11" s="39" t="s">
        <v>142</v>
      </c>
      <c r="J11" s="39" t="s">
        <v>38</v>
      </c>
      <c r="K11" s="39" t="s">
        <v>143</v>
      </c>
      <c r="L11" s="39">
        <v>1</v>
      </c>
      <c r="N11" s="39">
        <v>4</v>
      </c>
      <c r="O11" s="39">
        <v>1.05</v>
      </c>
      <c r="P11" s="39">
        <v>1.05</v>
      </c>
      <c r="Q11" s="5">
        <f t="shared" si="0"/>
        <v>1.05</v>
      </c>
      <c r="R11" s="39">
        <v>17.2</v>
      </c>
      <c r="S11" s="39">
        <v>87</v>
      </c>
      <c r="T11" s="45">
        <f t="shared" si="1"/>
        <v>36</v>
      </c>
      <c r="U11" s="39">
        <v>397</v>
      </c>
      <c r="V11" s="45">
        <f t="shared" si="2"/>
        <v>3573</v>
      </c>
      <c r="W11" s="39">
        <v>3</v>
      </c>
      <c r="X11" s="39" t="s">
        <v>46</v>
      </c>
      <c r="Y11" s="39" t="s">
        <v>47</v>
      </c>
      <c r="Z11" s="39" t="s">
        <v>90</v>
      </c>
      <c r="AA11" s="39" t="s">
        <v>69</v>
      </c>
      <c r="AB11" s="56" t="s">
        <v>331</v>
      </c>
      <c r="AE11" s="46" t="s">
        <v>65</v>
      </c>
      <c r="AG11" s="3" t="s">
        <v>141</v>
      </c>
      <c r="AH11" s="3" t="s">
        <v>306</v>
      </c>
      <c r="AP11" s="47" t="s">
        <v>104</v>
      </c>
      <c r="AR11" s="47" t="s">
        <v>87</v>
      </c>
      <c r="AV11" s="47" t="s">
        <v>69</v>
      </c>
      <c r="AX11" s="48">
        <v>151</v>
      </c>
      <c r="AY11" s="49">
        <v>22</v>
      </c>
      <c r="AZ11" s="49">
        <v>152</v>
      </c>
      <c r="BA11" s="50">
        <v>18</v>
      </c>
    </row>
    <row r="12" spans="1:53" x14ac:dyDescent="0.15">
      <c r="A12" s="39" t="s">
        <v>35</v>
      </c>
      <c r="B12" s="39" t="s">
        <v>332</v>
      </c>
      <c r="C12" s="39">
        <v>2020</v>
      </c>
      <c r="D12" s="67" t="s">
        <v>336</v>
      </c>
      <c r="E12" s="39" t="s">
        <v>311</v>
      </c>
      <c r="F12" s="39" t="s">
        <v>308</v>
      </c>
      <c r="G12" s="39" t="s">
        <v>36</v>
      </c>
      <c r="H12" s="39" t="s">
        <v>146</v>
      </c>
      <c r="I12" s="39" t="s">
        <v>142</v>
      </c>
      <c r="J12" s="39" t="s">
        <v>38</v>
      </c>
      <c r="K12" s="39" t="s">
        <v>143</v>
      </c>
      <c r="L12" s="39">
        <v>2</v>
      </c>
      <c r="N12" s="39">
        <v>4</v>
      </c>
      <c r="O12" s="39">
        <v>0.85</v>
      </c>
      <c r="P12" s="39">
        <v>0.85</v>
      </c>
      <c r="Q12" s="5">
        <f t="shared" si="0"/>
        <v>0.85</v>
      </c>
      <c r="R12" s="56">
        <v>11.9</v>
      </c>
      <c r="S12" s="39">
        <v>88</v>
      </c>
      <c r="T12" s="45">
        <f t="shared" si="1"/>
        <v>36</v>
      </c>
      <c r="U12" s="39">
        <v>397</v>
      </c>
      <c r="V12" s="45">
        <f t="shared" si="2"/>
        <v>3573</v>
      </c>
      <c r="W12" s="39">
        <v>3</v>
      </c>
      <c r="X12" s="39" t="s">
        <v>46</v>
      </c>
      <c r="Y12" s="39" t="s">
        <v>47</v>
      </c>
      <c r="Z12" s="39" t="s">
        <v>90</v>
      </c>
      <c r="AA12" s="39" t="s">
        <v>69</v>
      </c>
      <c r="AB12" s="56" t="s">
        <v>331</v>
      </c>
      <c r="AE12" s="46" t="s">
        <v>70</v>
      </c>
      <c r="AG12" s="36"/>
      <c r="AH12" s="36"/>
      <c r="AP12" s="47" t="s">
        <v>67</v>
      </c>
      <c r="AR12" s="47" t="s">
        <v>124</v>
      </c>
      <c r="AV12" s="47" t="s">
        <v>72</v>
      </c>
      <c r="AX12" s="53">
        <v>180</v>
      </c>
      <c r="AY12" s="54">
        <v>18</v>
      </c>
      <c r="AZ12" s="54">
        <v>181</v>
      </c>
      <c r="BA12" s="55">
        <v>16</v>
      </c>
    </row>
    <row r="13" spans="1:53" x14ac:dyDescent="0.15">
      <c r="A13" s="39" t="s">
        <v>35</v>
      </c>
      <c r="B13" s="39" t="s">
        <v>332</v>
      </c>
      <c r="C13" s="39">
        <v>2020</v>
      </c>
      <c r="D13" s="67" t="s">
        <v>336</v>
      </c>
      <c r="E13" s="39" t="s">
        <v>311</v>
      </c>
      <c r="F13" s="39" t="s">
        <v>308</v>
      </c>
      <c r="G13" s="39" t="s">
        <v>36</v>
      </c>
      <c r="H13" s="39" t="s">
        <v>146</v>
      </c>
      <c r="I13" s="39" t="s">
        <v>142</v>
      </c>
      <c r="J13" s="39" t="s">
        <v>38</v>
      </c>
      <c r="K13" s="39" t="s">
        <v>143</v>
      </c>
      <c r="L13" s="39">
        <v>3</v>
      </c>
      <c r="N13" s="39">
        <v>4</v>
      </c>
      <c r="O13" s="39">
        <v>0.8</v>
      </c>
      <c r="P13" s="39">
        <v>1.05</v>
      </c>
      <c r="Q13" s="5">
        <f t="shared" si="0"/>
        <v>0.92500000000000004</v>
      </c>
      <c r="R13" s="39">
        <v>16.600000000000001</v>
      </c>
      <c r="S13" s="39">
        <v>85</v>
      </c>
      <c r="T13" s="45">
        <f t="shared" si="1"/>
        <v>36</v>
      </c>
      <c r="U13" s="39">
        <v>397</v>
      </c>
      <c r="V13" s="45">
        <f t="shared" si="2"/>
        <v>3573</v>
      </c>
      <c r="W13" s="39">
        <v>3</v>
      </c>
      <c r="X13" s="39" t="s">
        <v>46</v>
      </c>
      <c r="Y13" s="39" t="s">
        <v>47</v>
      </c>
      <c r="Z13" s="39" t="s">
        <v>90</v>
      </c>
      <c r="AA13" s="39" t="s">
        <v>69</v>
      </c>
      <c r="AB13" s="56" t="s">
        <v>331</v>
      </c>
      <c r="AE13" s="46" t="s">
        <v>73</v>
      </c>
      <c r="AG13" s="47"/>
      <c r="AH13" s="47"/>
      <c r="AP13" s="47" t="s">
        <v>71</v>
      </c>
      <c r="AR13" s="47" t="s">
        <v>103</v>
      </c>
      <c r="AV13" s="47" t="s">
        <v>75</v>
      </c>
    </row>
    <row r="14" spans="1:53" x14ac:dyDescent="0.15">
      <c r="A14" s="39" t="s">
        <v>35</v>
      </c>
      <c r="B14" s="39" t="s">
        <v>332</v>
      </c>
      <c r="C14" s="39">
        <v>2020</v>
      </c>
      <c r="D14" s="67" t="s">
        <v>336</v>
      </c>
      <c r="E14" s="39" t="s">
        <v>130</v>
      </c>
      <c r="F14" s="39" t="s">
        <v>305</v>
      </c>
      <c r="G14" s="39" t="s">
        <v>36</v>
      </c>
      <c r="H14" s="39" t="s">
        <v>127</v>
      </c>
      <c r="I14" s="39" t="s">
        <v>142</v>
      </c>
      <c r="J14" s="39" t="s">
        <v>53</v>
      </c>
      <c r="K14" s="39" t="s">
        <v>54</v>
      </c>
      <c r="L14" s="39">
        <v>1</v>
      </c>
      <c r="N14" s="39">
        <v>1</v>
      </c>
      <c r="O14" s="39">
        <v>1.2</v>
      </c>
      <c r="P14" s="39">
        <v>0.85</v>
      </c>
      <c r="Q14" s="5">
        <f t="shared" si="0"/>
        <v>1.0249999999999999</v>
      </c>
      <c r="R14" s="39">
        <v>14.4</v>
      </c>
      <c r="S14" s="39">
        <v>109</v>
      </c>
      <c r="T14" s="45">
        <f t="shared" si="1"/>
        <v>33</v>
      </c>
      <c r="U14" s="39">
        <v>98</v>
      </c>
      <c r="V14" s="45">
        <f t="shared" si="2"/>
        <v>3234</v>
      </c>
      <c r="W14" s="39">
        <v>1</v>
      </c>
      <c r="X14" s="39" t="s">
        <v>46</v>
      </c>
      <c r="Y14" s="39" t="s">
        <v>69</v>
      </c>
      <c r="Z14" s="39" t="s">
        <v>47</v>
      </c>
      <c r="AA14" s="39" t="s">
        <v>55</v>
      </c>
      <c r="AB14" s="56" t="s">
        <v>331</v>
      </c>
      <c r="AE14" s="46" t="s">
        <v>76</v>
      </c>
      <c r="AG14" s="47"/>
      <c r="AH14" s="47"/>
      <c r="AP14" s="47" t="s">
        <v>74</v>
      </c>
      <c r="AR14" s="47" t="s">
        <v>125</v>
      </c>
      <c r="AV14" s="47" t="s">
        <v>78</v>
      </c>
    </row>
    <row r="15" spans="1:53" x14ac:dyDescent="0.15">
      <c r="A15" s="39" t="s">
        <v>35</v>
      </c>
      <c r="B15" s="39" t="s">
        <v>332</v>
      </c>
      <c r="C15" s="39">
        <v>2020</v>
      </c>
      <c r="D15" s="67" t="s">
        <v>336</v>
      </c>
      <c r="E15" s="39" t="s">
        <v>130</v>
      </c>
      <c r="F15" s="39" t="s">
        <v>305</v>
      </c>
      <c r="G15" s="39" t="s">
        <v>36</v>
      </c>
      <c r="H15" s="39" t="s">
        <v>127</v>
      </c>
      <c r="I15" s="39" t="s">
        <v>142</v>
      </c>
      <c r="J15" s="39" t="s">
        <v>53</v>
      </c>
      <c r="K15" s="39" t="s">
        <v>54</v>
      </c>
      <c r="L15" s="39">
        <v>2</v>
      </c>
      <c r="N15" s="39">
        <v>1</v>
      </c>
      <c r="O15" s="39">
        <v>1.8</v>
      </c>
      <c r="P15" s="39">
        <v>1.6</v>
      </c>
      <c r="Q15" s="5">
        <f t="shared" si="0"/>
        <v>1.7000000000000002</v>
      </c>
      <c r="R15" s="39">
        <v>11.7</v>
      </c>
      <c r="S15" s="39">
        <v>102</v>
      </c>
      <c r="T15" s="45">
        <f t="shared" si="1"/>
        <v>33</v>
      </c>
      <c r="U15" s="39">
        <v>98</v>
      </c>
      <c r="V15" s="45">
        <f t="shared" si="2"/>
        <v>3234</v>
      </c>
      <c r="W15" s="39">
        <v>1</v>
      </c>
      <c r="X15" s="39" t="s">
        <v>46</v>
      </c>
      <c r="Y15" s="39" t="s">
        <v>69</v>
      </c>
      <c r="Z15" s="39" t="s">
        <v>47</v>
      </c>
      <c r="AA15" s="39" t="s">
        <v>55</v>
      </c>
      <c r="AB15" s="56" t="s">
        <v>331</v>
      </c>
      <c r="AE15" s="46" t="s">
        <v>79</v>
      </c>
      <c r="AG15" s="47"/>
      <c r="AH15" s="47"/>
      <c r="AP15" s="47" t="s">
        <v>77</v>
      </c>
      <c r="AR15" s="47" t="s">
        <v>94</v>
      </c>
      <c r="AV15" s="47" t="s">
        <v>107</v>
      </c>
    </row>
    <row r="16" spans="1:53" x14ac:dyDescent="0.15">
      <c r="A16" s="39" t="s">
        <v>35</v>
      </c>
      <c r="B16" s="39" t="s">
        <v>332</v>
      </c>
      <c r="C16" s="39">
        <v>2020</v>
      </c>
      <c r="D16" s="67" t="s">
        <v>336</v>
      </c>
      <c r="E16" s="39" t="s">
        <v>130</v>
      </c>
      <c r="F16" s="39" t="s">
        <v>305</v>
      </c>
      <c r="G16" s="39" t="s">
        <v>36</v>
      </c>
      <c r="H16" s="39" t="s">
        <v>127</v>
      </c>
      <c r="I16" s="39" t="s">
        <v>142</v>
      </c>
      <c r="J16" s="39" t="s">
        <v>53</v>
      </c>
      <c r="K16" s="39" t="s">
        <v>54</v>
      </c>
      <c r="L16" s="39">
        <v>3</v>
      </c>
      <c r="N16" s="39">
        <v>1</v>
      </c>
      <c r="O16" s="39">
        <v>1.75</v>
      </c>
      <c r="P16" s="39">
        <v>1.65</v>
      </c>
      <c r="Q16" s="5">
        <f t="shared" si="0"/>
        <v>1.7</v>
      </c>
      <c r="R16" s="39">
        <v>13.6</v>
      </c>
      <c r="S16" s="39">
        <v>101</v>
      </c>
      <c r="T16" s="45">
        <f t="shared" si="1"/>
        <v>33</v>
      </c>
      <c r="U16" s="39">
        <v>98</v>
      </c>
      <c r="V16" s="45">
        <f t="shared" si="2"/>
        <v>3234</v>
      </c>
      <c r="W16" s="39">
        <v>1</v>
      </c>
      <c r="X16" s="39" t="s">
        <v>46</v>
      </c>
      <c r="Y16" s="39" t="s">
        <v>69</v>
      </c>
      <c r="Z16" s="39" t="s">
        <v>47</v>
      </c>
      <c r="AA16" s="39" t="s">
        <v>55</v>
      </c>
      <c r="AB16" s="56" t="s">
        <v>331</v>
      </c>
      <c r="AE16" s="46" t="s">
        <v>82</v>
      </c>
      <c r="AG16" s="52"/>
      <c r="AH16" s="52"/>
      <c r="AP16" s="47" t="s">
        <v>80</v>
      </c>
      <c r="AR16" s="47" t="s">
        <v>63</v>
      </c>
      <c r="AV16" s="47" t="s">
        <v>84</v>
      </c>
    </row>
    <row r="17" spans="1:48" x14ac:dyDescent="0.15">
      <c r="A17" s="39" t="s">
        <v>35</v>
      </c>
      <c r="B17" s="39" t="s">
        <v>332</v>
      </c>
      <c r="C17" s="39">
        <v>2020</v>
      </c>
      <c r="D17" s="67" t="s">
        <v>336</v>
      </c>
      <c r="E17" s="39" t="s">
        <v>130</v>
      </c>
      <c r="F17" s="39" t="s">
        <v>305</v>
      </c>
      <c r="G17" s="39" t="s">
        <v>36</v>
      </c>
      <c r="H17" s="39" t="s">
        <v>127</v>
      </c>
      <c r="I17" s="39" t="s">
        <v>142</v>
      </c>
      <c r="J17" s="39" t="s">
        <v>53</v>
      </c>
      <c r="K17" s="39" t="s">
        <v>54</v>
      </c>
      <c r="L17" s="39">
        <v>1</v>
      </c>
      <c r="N17" s="39">
        <v>5</v>
      </c>
      <c r="O17" s="39">
        <v>1</v>
      </c>
      <c r="P17" s="39">
        <v>0.95</v>
      </c>
      <c r="Q17" s="5">
        <f t="shared" si="0"/>
        <v>0.97499999999999998</v>
      </c>
      <c r="R17" s="39">
        <v>12</v>
      </c>
      <c r="S17" s="39">
        <v>79</v>
      </c>
      <c r="T17" s="45">
        <f t="shared" si="1"/>
        <v>39</v>
      </c>
      <c r="U17" s="39">
        <v>395</v>
      </c>
      <c r="V17" s="45">
        <f t="shared" si="2"/>
        <v>3081</v>
      </c>
      <c r="W17" s="39">
        <v>3</v>
      </c>
      <c r="X17" s="39" t="s">
        <v>46</v>
      </c>
      <c r="Y17" s="39" t="s">
        <v>69</v>
      </c>
      <c r="Z17" s="39" t="s">
        <v>47</v>
      </c>
      <c r="AA17" s="39" t="s">
        <v>55</v>
      </c>
      <c r="AB17" s="56" t="s">
        <v>331</v>
      </c>
      <c r="AE17" s="46" t="s">
        <v>85</v>
      </c>
      <c r="AP17" s="51" t="s">
        <v>110</v>
      </c>
      <c r="AR17" s="47" t="s">
        <v>96</v>
      </c>
      <c r="AV17" s="47" t="s">
        <v>86</v>
      </c>
    </row>
    <row r="18" spans="1:48" x14ac:dyDescent="0.15">
      <c r="A18" s="39" t="s">
        <v>35</v>
      </c>
      <c r="B18" s="39" t="s">
        <v>332</v>
      </c>
      <c r="C18" s="39">
        <v>2020</v>
      </c>
      <c r="D18" s="67" t="s">
        <v>336</v>
      </c>
      <c r="E18" s="39" t="s">
        <v>130</v>
      </c>
      <c r="F18" s="39" t="s">
        <v>305</v>
      </c>
      <c r="G18" s="39" t="s">
        <v>36</v>
      </c>
      <c r="H18" s="39" t="s">
        <v>127</v>
      </c>
      <c r="I18" s="39" t="s">
        <v>142</v>
      </c>
      <c r="J18" s="39" t="s">
        <v>53</v>
      </c>
      <c r="K18" s="39" t="s">
        <v>54</v>
      </c>
      <c r="L18" s="39">
        <v>2</v>
      </c>
      <c r="N18" s="39">
        <v>5</v>
      </c>
      <c r="O18" s="39">
        <v>1.6</v>
      </c>
      <c r="P18" s="39">
        <v>1.5</v>
      </c>
      <c r="Q18" s="5">
        <f t="shared" si="0"/>
        <v>1.55</v>
      </c>
      <c r="R18" s="39">
        <v>13.8</v>
      </c>
      <c r="S18" s="39">
        <v>77</v>
      </c>
      <c r="T18" s="45">
        <f t="shared" si="1"/>
        <v>39</v>
      </c>
      <c r="U18" s="39">
        <v>395</v>
      </c>
      <c r="V18" s="45">
        <f t="shared" si="2"/>
        <v>3081</v>
      </c>
      <c r="W18" s="39">
        <v>3</v>
      </c>
      <c r="X18" s="39" t="s">
        <v>46</v>
      </c>
      <c r="Y18" s="39" t="s">
        <v>69</v>
      </c>
      <c r="Z18" s="39" t="s">
        <v>47</v>
      </c>
      <c r="AA18" s="39" t="s">
        <v>55</v>
      </c>
      <c r="AB18" s="56" t="s">
        <v>331</v>
      </c>
      <c r="AE18" s="46" t="s">
        <v>87</v>
      </c>
      <c r="AP18" s="51" t="s">
        <v>111</v>
      </c>
      <c r="AR18" s="47" t="s">
        <v>101</v>
      </c>
      <c r="AV18" s="47" t="s">
        <v>88</v>
      </c>
    </row>
    <row r="19" spans="1:48" x14ac:dyDescent="0.15">
      <c r="A19" s="39" t="s">
        <v>35</v>
      </c>
      <c r="B19" s="39" t="s">
        <v>332</v>
      </c>
      <c r="C19" s="39">
        <v>2020</v>
      </c>
      <c r="D19" s="67" t="s">
        <v>336</v>
      </c>
      <c r="E19" s="39" t="s">
        <v>130</v>
      </c>
      <c r="F19" s="39" t="s">
        <v>305</v>
      </c>
      <c r="G19" s="39" t="s">
        <v>36</v>
      </c>
      <c r="H19" s="39" t="s">
        <v>127</v>
      </c>
      <c r="I19" s="39" t="s">
        <v>142</v>
      </c>
      <c r="J19" s="39" t="s">
        <v>53</v>
      </c>
      <c r="K19" s="39" t="s">
        <v>54</v>
      </c>
      <c r="L19" s="39">
        <v>3</v>
      </c>
      <c r="N19" s="39">
        <v>5</v>
      </c>
      <c r="O19" s="39">
        <v>1.3</v>
      </c>
      <c r="P19" s="39">
        <v>1.2</v>
      </c>
      <c r="Q19" s="5">
        <f t="shared" si="0"/>
        <v>1.25</v>
      </c>
      <c r="R19" s="39">
        <v>11.8</v>
      </c>
      <c r="S19" s="39">
        <v>78</v>
      </c>
      <c r="T19" s="45">
        <f t="shared" si="1"/>
        <v>39</v>
      </c>
      <c r="U19" s="39">
        <v>395</v>
      </c>
      <c r="V19" s="45">
        <f t="shared" si="2"/>
        <v>3081</v>
      </c>
      <c r="W19" s="39">
        <v>3</v>
      </c>
      <c r="X19" s="39" t="s">
        <v>46</v>
      </c>
      <c r="Y19" s="39" t="s">
        <v>69</v>
      </c>
      <c r="Z19" s="39" t="s">
        <v>47</v>
      </c>
      <c r="AA19" s="39" t="s">
        <v>55</v>
      </c>
      <c r="AB19" s="56" t="s">
        <v>331</v>
      </c>
      <c r="AE19" s="57" t="s">
        <v>89</v>
      </c>
      <c r="AP19" s="51" t="s">
        <v>112</v>
      </c>
      <c r="AR19" s="47" t="s">
        <v>126</v>
      </c>
      <c r="AV19" s="47" t="s">
        <v>90</v>
      </c>
    </row>
    <row r="20" spans="1:48" x14ac:dyDescent="0.15">
      <c r="A20" s="39" t="s">
        <v>35</v>
      </c>
      <c r="B20" s="39" t="s">
        <v>332</v>
      </c>
      <c r="C20" s="39">
        <v>2020</v>
      </c>
      <c r="D20" s="67" t="s">
        <v>336</v>
      </c>
      <c r="E20" s="39" t="s">
        <v>130</v>
      </c>
      <c r="F20" s="39" t="s">
        <v>305</v>
      </c>
      <c r="G20" s="39" t="s">
        <v>36</v>
      </c>
      <c r="H20" s="39" t="s">
        <v>146</v>
      </c>
      <c r="I20" s="39" t="s">
        <v>142</v>
      </c>
      <c r="J20" s="39" t="s">
        <v>38</v>
      </c>
      <c r="K20" s="39" t="s">
        <v>143</v>
      </c>
      <c r="L20" s="39">
        <v>1</v>
      </c>
      <c r="N20" s="39">
        <v>1</v>
      </c>
      <c r="O20" s="39">
        <v>0.5</v>
      </c>
      <c r="P20" s="56">
        <v>0.5</v>
      </c>
      <c r="Q20" s="5">
        <f t="shared" si="0"/>
        <v>0.5</v>
      </c>
      <c r="R20" s="39">
        <v>19.7</v>
      </c>
      <c r="S20" s="39">
        <v>116</v>
      </c>
      <c r="T20" s="45">
        <f t="shared" si="1"/>
        <v>30</v>
      </c>
      <c r="U20" s="39">
        <v>125</v>
      </c>
      <c r="V20" s="45">
        <f t="shared" si="2"/>
        <v>3750</v>
      </c>
      <c r="W20" s="39">
        <v>6</v>
      </c>
      <c r="X20" s="39" t="s">
        <v>46</v>
      </c>
      <c r="Y20" s="39" t="s">
        <v>69</v>
      </c>
      <c r="Z20" s="39" t="s">
        <v>47</v>
      </c>
      <c r="AA20" s="39" t="s">
        <v>55</v>
      </c>
      <c r="AB20" s="56" t="s">
        <v>331</v>
      </c>
      <c r="AE20" s="46"/>
      <c r="AP20" s="51" t="s">
        <v>113</v>
      </c>
      <c r="AR20" s="47" t="s">
        <v>105</v>
      </c>
      <c r="AV20" s="51" t="s">
        <v>135</v>
      </c>
    </row>
    <row r="21" spans="1:48" x14ac:dyDescent="0.15">
      <c r="A21" s="39" t="s">
        <v>35</v>
      </c>
      <c r="B21" s="39" t="s">
        <v>332</v>
      </c>
      <c r="C21" s="39">
        <v>2020</v>
      </c>
      <c r="D21" s="67" t="s">
        <v>336</v>
      </c>
      <c r="E21" s="39" t="s">
        <v>130</v>
      </c>
      <c r="F21" s="39" t="s">
        <v>305</v>
      </c>
      <c r="G21" s="39" t="s">
        <v>36</v>
      </c>
      <c r="H21" s="39" t="s">
        <v>146</v>
      </c>
      <c r="I21" s="39" t="s">
        <v>142</v>
      </c>
      <c r="J21" s="39" t="s">
        <v>38</v>
      </c>
      <c r="K21" s="39" t="s">
        <v>143</v>
      </c>
      <c r="L21" s="39">
        <v>2</v>
      </c>
      <c r="N21" s="39">
        <v>1</v>
      </c>
      <c r="O21" s="39">
        <v>1.75</v>
      </c>
      <c r="P21" s="39">
        <v>1.65</v>
      </c>
      <c r="Q21" s="5">
        <f t="shared" si="0"/>
        <v>1.7</v>
      </c>
      <c r="R21" s="39">
        <v>14.9</v>
      </c>
      <c r="S21" s="39">
        <v>118</v>
      </c>
      <c r="T21" s="45">
        <f t="shared" si="1"/>
        <v>30</v>
      </c>
      <c r="U21" s="39">
        <v>125</v>
      </c>
      <c r="V21" s="45">
        <f t="shared" si="2"/>
        <v>3750</v>
      </c>
      <c r="W21" s="39">
        <v>6</v>
      </c>
      <c r="X21" s="39" t="s">
        <v>46</v>
      </c>
      <c r="Y21" s="39" t="s">
        <v>69</v>
      </c>
      <c r="Z21" s="39" t="s">
        <v>47</v>
      </c>
      <c r="AA21" s="39" t="s">
        <v>55</v>
      </c>
      <c r="AB21" s="56" t="s">
        <v>331</v>
      </c>
      <c r="AE21" s="46"/>
      <c r="AP21" s="51" t="s">
        <v>114</v>
      </c>
      <c r="AR21" s="47" t="s">
        <v>68</v>
      </c>
      <c r="AV21" s="51" t="s">
        <v>136</v>
      </c>
    </row>
    <row r="22" spans="1:48" x14ac:dyDescent="0.15">
      <c r="A22" s="39" t="s">
        <v>35</v>
      </c>
      <c r="B22" s="39" t="s">
        <v>332</v>
      </c>
      <c r="C22" s="39">
        <v>2020</v>
      </c>
      <c r="D22" s="67" t="s">
        <v>336</v>
      </c>
      <c r="E22" s="39" t="s">
        <v>130</v>
      </c>
      <c r="F22" s="39" t="s">
        <v>305</v>
      </c>
      <c r="G22" s="39" t="s">
        <v>36</v>
      </c>
      <c r="H22" s="39" t="s">
        <v>146</v>
      </c>
      <c r="I22" s="39" t="s">
        <v>142</v>
      </c>
      <c r="J22" s="39" t="s">
        <v>38</v>
      </c>
      <c r="K22" s="39" t="s">
        <v>143</v>
      </c>
      <c r="L22" s="39">
        <v>3</v>
      </c>
      <c r="N22" s="39">
        <v>1</v>
      </c>
      <c r="O22" s="56">
        <v>0.85</v>
      </c>
      <c r="P22" s="39">
        <v>0.5</v>
      </c>
      <c r="Q22" s="5">
        <f t="shared" si="0"/>
        <v>0.67500000000000004</v>
      </c>
      <c r="R22" s="39">
        <v>20.5</v>
      </c>
      <c r="S22" s="39">
        <v>118</v>
      </c>
      <c r="T22" s="45">
        <f t="shared" si="1"/>
        <v>30</v>
      </c>
      <c r="U22" s="39">
        <v>125</v>
      </c>
      <c r="V22" s="45">
        <f t="shared" si="2"/>
        <v>3750</v>
      </c>
      <c r="W22" s="39">
        <v>6</v>
      </c>
      <c r="X22" s="39" t="s">
        <v>46</v>
      </c>
      <c r="Y22" s="39" t="s">
        <v>69</v>
      </c>
      <c r="Z22" s="39" t="s">
        <v>47</v>
      </c>
      <c r="AA22" s="39" t="s">
        <v>55</v>
      </c>
      <c r="AB22" s="56" t="s">
        <v>331</v>
      </c>
      <c r="AE22" s="57"/>
      <c r="AP22" s="51" t="s">
        <v>115</v>
      </c>
      <c r="AR22" s="47" t="s">
        <v>83</v>
      </c>
      <c r="AV22" s="51"/>
    </row>
    <row r="23" spans="1:48" x14ac:dyDescent="0.15">
      <c r="A23" s="39" t="s">
        <v>35</v>
      </c>
      <c r="B23" s="39" t="s">
        <v>332</v>
      </c>
      <c r="C23" s="39">
        <v>2020</v>
      </c>
      <c r="D23" s="67" t="s">
        <v>336</v>
      </c>
      <c r="E23" s="39" t="s">
        <v>130</v>
      </c>
      <c r="F23" s="39" t="s">
        <v>305</v>
      </c>
      <c r="G23" s="39" t="s">
        <v>36</v>
      </c>
      <c r="H23" s="39" t="s">
        <v>146</v>
      </c>
      <c r="I23" s="39" t="s">
        <v>142</v>
      </c>
      <c r="J23" s="39" t="s">
        <v>38</v>
      </c>
      <c r="K23" s="39" t="s">
        <v>143</v>
      </c>
      <c r="L23" s="39">
        <v>1</v>
      </c>
      <c r="N23" s="39">
        <v>4</v>
      </c>
      <c r="O23" s="56">
        <v>0.5</v>
      </c>
      <c r="P23" s="39">
        <v>0.5</v>
      </c>
      <c r="Q23" s="5">
        <f t="shared" si="0"/>
        <v>0.5</v>
      </c>
      <c r="R23" s="39">
        <v>18.899999999999999</v>
      </c>
      <c r="S23" s="39">
        <v>95</v>
      </c>
      <c r="T23" s="45">
        <f t="shared" si="1"/>
        <v>36</v>
      </c>
      <c r="U23" s="39">
        <v>480</v>
      </c>
      <c r="V23" s="45">
        <f t="shared" si="2"/>
        <v>4320</v>
      </c>
      <c r="W23" s="39">
        <v>2</v>
      </c>
      <c r="X23" s="39" t="s">
        <v>46</v>
      </c>
      <c r="Y23" s="39" t="s">
        <v>69</v>
      </c>
      <c r="Z23" s="39" t="s">
        <v>47</v>
      </c>
      <c r="AA23" s="39" t="s">
        <v>55</v>
      </c>
      <c r="AB23" s="56" t="s">
        <v>331</v>
      </c>
      <c r="AE23" s="46"/>
      <c r="AP23" s="51" t="s">
        <v>137</v>
      </c>
      <c r="AR23" s="47" t="s">
        <v>61</v>
      </c>
      <c r="AV23" s="51"/>
    </row>
    <row r="24" spans="1:48" x14ac:dyDescent="0.15">
      <c r="A24" s="39" t="s">
        <v>35</v>
      </c>
      <c r="B24" s="39" t="s">
        <v>332</v>
      </c>
      <c r="C24" s="39">
        <v>2020</v>
      </c>
      <c r="D24" s="67" t="s">
        <v>336</v>
      </c>
      <c r="E24" s="39" t="s">
        <v>130</v>
      </c>
      <c r="F24" s="39" t="s">
        <v>305</v>
      </c>
      <c r="G24" s="39" t="s">
        <v>36</v>
      </c>
      <c r="H24" s="39" t="s">
        <v>146</v>
      </c>
      <c r="I24" s="39" t="s">
        <v>142</v>
      </c>
      <c r="J24" s="39" t="s">
        <v>38</v>
      </c>
      <c r="K24" s="39" t="s">
        <v>143</v>
      </c>
      <c r="L24" s="39">
        <v>2</v>
      </c>
      <c r="N24" s="39">
        <v>4</v>
      </c>
      <c r="O24" s="39">
        <v>1</v>
      </c>
      <c r="P24" s="39">
        <v>1</v>
      </c>
      <c r="Q24" s="5">
        <f t="shared" si="0"/>
        <v>1</v>
      </c>
      <c r="R24" s="39">
        <v>17</v>
      </c>
      <c r="S24" s="39">
        <v>101</v>
      </c>
      <c r="T24" s="45">
        <f t="shared" si="1"/>
        <v>33</v>
      </c>
      <c r="U24" s="39">
        <v>480</v>
      </c>
      <c r="V24" s="45">
        <f t="shared" si="2"/>
        <v>3960</v>
      </c>
      <c r="W24" s="39">
        <v>2</v>
      </c>
      <c r="X24" s="39" t="s">
        <v>46</v>
      </c>
      <c r="Y24" s="39" t="s">
        <v>69</v>
      </c>
      <c r="Z24" s="39" t="s">
        <v>47</v>
      </c>
      <c r="AA24" s="39" t="s">
        <v>55</v>
      </c>
      <c r="AB24" s="56" t="s">
        <v>331</v>
      </c>
      <c r="AE24" s="46"/>
      <c r="AP24" s="51" t="s">
        <v>138</v>
      </c>
      <c r="AR24" s="47" t="s">
        <v>91</v>
      </c>
      <c r="AV24" s="51"/>
    </row>
    <row r="25" spans="1:48" x14ac:dyDescent="0.15">
      <c r="A25" s="39" t="s">
        <v>35</v>
      </c>
      <c r="B25" s="39" t="s">
        <v>332</v>
      </c>
      <c r="C25" s="39">
        <v>2020</v>
      </c>
      <c r="D25" s="67" t="s">
        <v>336</v>
      </c>
      <c r="E25" s="39" t="s">
        <v>130</v>
      </c>
      <c r="F25" s="39" t="s">
        <v>305</v>
      </c>
      <c r="G25" s="39" t="s">
        <v>36</v>
      </c>
      <c r="H25" s="39" t="s">
        <v>146</v>
      </c>
      <c r="I25" s="39" t="s">
        <v>142</v>
      </c>
      <c r="J25" s="39" t="s">
        <v>38</v>
      </c>
      <c r="K25" s="39" t="s">
        <v>143</v>
      </c>
      <c r="L25" s="39">
        <v>3</v>
      </c>
      <c r="N25" s="39">
        <v>4</v>
      </c>
      <c r="O25" s="39">
        <v>0.85</v>
      </c>
      <c r="P25" s="39">
        <v>0.75</v>
      </c>
      <c r="Q25" s="5">
        <f t="shared" si="0"/>
        <v>0.8</v>
      </c>
      <c r="R25" s="39">
        <v>15.6</v>
      </c>
      <c r="S25" s="39">
        <v>80</v>
      </c>
      <c r="T25" s="45">
        <f t="shared" si="1"/>
        <v>39</v>
      </c>
      <c r="U25" s="39">
        <v>480</v>
      </c>
      <c r="V25" s="45">
        <f t="shared" si="2"/>
        <v>4680</v>
      </c>
      <c r="W25" s="39">
        <v>2</v>
      </c>
      <c r="X25" s="39" t="s">
        <v>46</v>
      </c>
      <c r="Y25" s="39" t="s">
        <v>69</v>
      </c>
      <c r="Z25" s="39" t="s">
        <v>47</v>
      </c>
      <c r="AA25" s="39" t="s">
        <v>55</v>
      </c>
      <c r="AB25" s="56" t="s">
        <v>331</v>
      </c>
      <c r="AE25" s="57"/>
      <c r="AP25" s="51" t="s">
        <v>116</v>
      </c>
      <c r="AR25" s="51" t="s">
        <v>92</v>
      </c>
      <c r="AV25" s="51"/>
    </row>
    <row r="26" spans="1:48" x14ac:dyDescent="0.15">
      <c r="A26" s="39" t="s">
        <v>35</v>
      </c>
      <c r="B26" s="39" t="s">
        <v>332</v>
      </c>
      <c r="C26" s="39">
        <v>2020</v>
      </c>
      <c r="D26" s="67" t="s">
        <v>336</v>
      </c>
      <c r="E26" s="39" t="s">
        <v>130</v>
      </c>
      <c r="F26" s="39" t="s">
        <v>305</v>
      </c>
      <c r="G26" s="39" t="s">
        <v>36</v>
      </c>
      <c r="H26" s="39" t="s">
        <v>146</v>
      </c>
      <c r="I26" s="39" t="s">
        <v>142</v>
      </c>
      <c r="J26" s="39" t="s">
        <v>38</v>
      </c>
      <c r="K26" s="39" t="s">
        <v>143</v>
      </c>
      <c r="L26" s="39">
        <v>1</v>
      </c>
      <c r="N26" s="39">
        <v>6</v>
      </c>
      <c r="O26" s="39">
        <v>0.75</v>
      </c>
      <c r="P26" s="39">
        <v>1</v>
      </c>
      <c r="Q26" s="5">
        <f t="shared" si="0"/>
        <v>0.875</v>
      </c>
      <c r="R26" s="39">
        <v>19.5</v>
      </c>
      <c r="S26" s="39">
        <v>116</v>
      </c>
      <c r="T26" s="45">
        <f t="shared" si="1"/>
        <v>30</v>
      </c>
      <c r="U26" s="39">
        <v>695</v>
      </c>
      <c r="V26" s="45">
        <f t="shared" si="2"/>
        <v>3475</v>
      </c>
      <c r="W26" s="39">
        <v>1</v>
      </c>
      <c r="X26" s="39" t="s">
        <v>46</v>
      </c>
      <c r="Y26" s="39" t="s">
        <v>69</v>
      </c>
      <c r="Z26" s="39" t="s">
        <v>47</v>
      </c>
      <c r="AA26" s="39" t="s">
        <v>55</v>
      </c>
      <c r="AB26" s="56" t="s">
        <v>331</v>
      </c>
      <c r="AE26" s="57"/>
      <c r="AP26" s="51" t="s">
        <v>117</v>
      </c>
      <c r="AR26" s="47" t="s">
        <v>257</v>
      </c>
      <c r="AV26" s="52"/>
    </row>
    <row r="27" spans="1:48" x14ac:dyDescent="0.15">
      <c r="A27" s="39" t="s">
        <v>35</v>
      </c>
      <c r="B27" s="39" t="s">
        <v>332</v>
      </c>
      <c r="C27" s="39">
        <v>2020</v>
      </c>
      <c r="D27" s="67" t="s">
        <v>336</v>
      </c>
      <c r="E27" s="39" t="s">
        <v>130</v>
      </c>
      <c r="F27" s="39" t="s">
        <v>305</v>
      </c>
      <c r="G27" s="39" t="s">
        <v>36</v>
      </c>
      <c r="H27" s="39" t="s">
        <v>146</v>
      </c>
      <c r="I27" s="39" t="s">
        <v>142</v>
      </c>
      <c r="J27" s="39" t="s">
        <v>38</v>
      </c>
      <c r="K27" s="39" t="s">
        <v>143</v>
      </c>
      <c r="L27" s="39">
        <v>2</v>
      </c>
      <c r="N27" s="39">
        <v>6</v>
      </c>
      <c r="O27" s="39">
        <v>0.95</v>
      </c>
      <c r="P27" s="39">
        <v>0.9</v>
      </c>
      <c r="Q27" s="5">
        <f t="shared" si="0"/>
        <v>0.92500000000000004</v>
      </c>
      <c r="R27" s="39">
        <v>17.3</v>
      </c>
      <c r="S27" s="39">
        <v>120</v>
      </c>
      <c r="T27" s="45">
        <f t="shared" si="1"/>
        <v>30</v>
      </c>
      <c r="U27" s="39">
        <v>695</v>
      </c>
      <c r="V27" s="45">
        <f t="shared" si="2"/>
        <v>3475</v>
      </c>
      <c r="W27" s="39">
        <v>1</v>
      </c>
      <c r="X27" s="39" t="s">
        <v>46</v>
      </c>
      <c r="Y27" s="39" t="s">
        <v>69</v>
      </c>
      <c r="Z27" s="39" t="s">
        <v>47</v>
      </c>
      <c r="AA27" s="39" t="s">
        <v>55</v>
      </c>
      <c r="AB27" s="56" t="s">
        <v>331</v>
      </c>
      <c r="AE27" s="52"/>
      <c r="AP27" s="51" t="s">
        <v>118</v>
      </c>
      <c r="AR27" s="47"/>
    </row>
    <row r="28" spans="1:48" x14ac:dyDescent="0.15">
      <c r="A28" s="39" t="s">
        <v>35</v>
      </c>
      <c r="B28" s="39" t="s">
        <v>332</v>
      </c>
      <c r="C28" s="39">
        <v>2020</v>
      </c>
      <c r="D28" s="67" t="s">
        <v>336</v>
      </c>
      <c r="E28" s="39" t="s">
        <v>130</v>
      </c>
      <c r="F28" s="39" t="s">
        <v>305</v>
      </c>
      <c r="G28" s="39" t="s">
        <v>36</v>
      </c>
      <c r="H28" s="39" t="s">
        <v>146</v>
      </c>
      <c r="I28" s="39" t="s">
        <v>142</v>
      </c>
      <c r="J28" s="39" t="s">
        <v>38</v>
      </c>
      <c r="K28" s="39" t="s">
        <v>143</v>
      </c>
      <c r="L28" s="39">
        <v>3</v>
      </c>
      <c r="N28" s="39">
        <v>6</v>
      </c>
      <c r="O28" s="39">
        <v>0.8</v>
      </c>
      <c r="P28" s="39">
        <v>1.05</v>
      </c>
      <c r="Q28" s="5">
        <f t="shared" si="0"/>
        <v>0.92500000000000004</v>
      </c>
      <c r="R28" s="39">
        <v>19.399999999999999</v>
      </c>
      <c r="S28" s="39">
        <v>125</v>
      </c>
      <c r="T28" s="45">
        <f t="shared" si="1"/>
        <v>27</v>
      </c>
      <c r="U28" s="39">
        <v>695</v>
      </c>
      <c r="V28" s="45">
        <f t="shared" si="2"/>
        <v>3127.5</v>
      </c>
      <c r="W28" s="39">
        <v>1</v>
      </c>
      <c r="X28" s="39" t="s">
        <v>46</v>
      </c>
      <c r="Y28" s="39" t="s">
        <v>69</v>
      </c>
      <c r="Z28" s="39" t="s">
        <v>47</v>
      </c>
      <c r="AA28" s="39" t="s">
        <v>55</v>
      </c>
      <c r="AB28" s="56" t="s">
        <v>331</v>
      </c>
      <c r="AP28" s="51"/>
      <c r="AR28" s="47"/>
    </row>
    <row r="29" spans="1:48" x14ac:dyDescent="0.15">
      <c r="A29" s="39" t="s">
        <v>35</v>
      </c>
      <c r="B29" s="39" t="s">
        <v>332</v>
      </c>
      <c r="C29" s="39">
        <v>2020</v>
      </c>
      <c r="D29" s="67" t="s">
        <v>336</v>
      </c>
      <c r="E29" s="39" t="s">
        <v>131</v>
      </c>
      <c r="F29" s="39" t="s">
        <v>302</v>
      </c>
      <c r="G29" s="39" t="s">
        <v>36</v>
      </c>
      <c r="H29" s="39" t="s">
        <v>127</v>
      </c>
      <c r="I29" s="39" t="s">
        <v>142</v>
      </c>
      <c r="J29" s="39" t="s">
        <v>53</v>
      </c>
      <c r="K29" s="39" t="s">
        <v>54</v>
      </c>
      <c r="L29" s="39">
        <v>1</v>
      </c>
      <c r="N29" s="39">
        <v>1</v>
      </c>
      <c r="O29" s="39">
        <v>1.4</v>
      </c>
      <c r="P29" s="39">
        <v>1.6</v>
      </c>
      <c r="Q29" s="5">
        <f t="shared" si="0"/>
        <v>1.5</v>
      </c>
      <c r="R29" s="39">
        <v>12.8</v>
      </c>
      <c r="S29" s="39">
        <v>127</v>
      </c>
      <c r="T29" s="45">
        <f t="shared" si="1"/>
        <v>27</v>
      </c>
      <c r="U29" s="39">
        <v>138</v>
      </c>
      <c r="V29" s="45">
        <f t="shared" si="2"/>
        <v>3726</v>
      </c>
      <c r="W29" s="39">
        <v>2</v>
      </c>
      <c r="X29" s="39" t="s">
        <v>46</v>
      </c>
      <c r="Y29" s="39" t="s">
        <v>55</v>
      </c>
      <c r="Z29" s="39" t="s">
        <v>47</v>
      </c>
      <c r="AA29" s="39" t="s">
        <v>90</v>
      </c>
      <c r="AB29" s="56" t="s">
        <v>331</v>
      </c>
      <c r="AP29" s="51"/>
      <c r="AR29" s="51"/>
      <c r="AV29" s="52"/>
    </row>
    <row r="30" spans="1:48" x14ac:dyDescent="0.15">
      <c r="A30" s="39" t="s">
        <v>35</v>
      </c>
      <c r="B30" s="39" t="s">
        <v>332</v>
      </c>
      <c r="C30" s="39">
        <v>2020</v>
      </c>
      <c r="D30" s="67" t="s">
        <v>336</v>
      </c>
      <c r="E30" s="39" t="s">
        <v>131</v>
      </c>
      <c r="F30" s="39" t="s">
        <v>302</v>
      </c>
      <c r="G30" s="39" t="s">
        <v>36</v>
      </c>
      <c r="H30" s="39" t="s">
        <v>127</v>
      </c>
      <c r="I30" s="39" t="s">
        <v>142</v>
      </c>
      <c r="J30" s="39" t="s">
        <v>53</v>
      </c>
      <c r="K30" s="39" t="s">
        <v>54</v>
      </c>
      <c r="L30" s="39">
        <v>2</v>
      </c>
      <c r="N30" s="39">
        <v>1</v>
      </c>
      <c r="O30" s="39">
        <v>1.5</v>
      </c>
      <c r="P30" s="39">
        <v>1.6</v>
      </c>
      <c r="Q30" s="5">
        <f t="shared" si="0"/>
        <v>1.55</v>
      </c>
      <c r="R30" s="39">
        <v>13.2</v>
      </c>
      <c r="S30" s="39">
        <v>118</v>
      </c>
      <c r="T30" s="45">
        <f t="shared" si="1"/>
        <v>30</v>
      </c>
      <c r="U30" s="39">
        <v>138</v>
      </c>
      <c r="V30" s="45">
        <f t="shared" si="2"/>
        <v>4140</v>
      </c>
      <c r="W30" s="39">
        <v>2</v>
      </c>
      <c r="X30" s="39" t="s">
        <v>46</v>
      </c>
      <c r="Y30" s="39" t="s">
        <v>55</v>
      </c>
      <c r="Z30" s="39" t="s">
        <v>47</v>
      </c>
      <c r="AA30" s="39" t="s">
        <v>90</v>
      </c>
      <c r="AB30" s="56" t="s">
        <v>331</v>
      </c>
      <c r="AP30" s="51"/>
      <c r="AR30" s="51"/>
    </row>
    <row r="31" spans="1:48" x14ac:dyDescent="0.15">
      <c r="A31" s="39" t="s">
        <v>35</v>
      </c>
      <c r="B31" s="39" t="s">
        <v>332</v>
      </c>
      <c r="C31" s="39">
        <v>2020</v>
      </c>
      <c r="D31" s="67" t="s">
        <v>336</v>
      </c>
      <c r="E31" s="39" t="s">
        <v>131</v>
      </c>
      <c r="F31" s="39" t="s">
        <v>302</v>
      </c>
      <c r="G31" s="39" t="s">
        <v>36</v>
      </c>
      <c r="H31" s="39" t="s">
        <v>127</v>
      </c>
      <c r="I31" s="39" t="s">
        <v>142</v>
      </c>
      <c r="J31" s="39" t="s">
        <v>53</v>
      </c>
      <c r="K31" s="39" t="s">
        <v>54</v>
      </c>
      <c r="L31" s="39">
        <v>3</v>
      </c>
      <c r="N31" s="39">
        <v>1</v>
      </c>
      <c r="O31" s="39">
        <v>1.25</v>
      </c>
      <c r="P31" s="39">
        <v>1.05</v>
      </c>
      <c r="Q31" s="5">
        <f t="shared" si="0"/>
        <v>1.1499999999999999</v>
      </c>
      <c r="R31" s="39">
        <v>13.3</v>
      </c>
      <c r="S31" s="39">
        <v>120</v>
      </c>
      <c r="T31" s="45">
        <f t="shared" si="1"/>
        <v>30</v>
      </c>
      <c r="U31" s="39">
        <v>138</v>
      </c>
      <c r="V31" s="45">
        <f t="shared" si="2"/>
        <v>4140</v>
      </c>
      <c r="W31" s="39">
        <v>2</v>
      </c>
      <c r="X31" s="39" t="s">
        <v>46</v>
      </c>
      <c r="Y31" s="39" t="s">
        <v>55</v>
      </c>
      <c r="Z31" s="39" t="s">
        <v>47</v>
      </c>
      <c r="AA31" s="39" t="s">
        <v>90</v>
      </c>
      <c r="AB31" s="56" t="s">
        <v>331</v>
      </c>
      <c r="AP31" s="51"/>
      <c r="AR31" s="51"/>
    </row>
    <row r="32" spans="1:48" x14ac:dyDescent="0.15">
      <c r="A32" s="39" t="s">
        <v>35</v>
      </c>
      <c r="B32" s="39" t="s">
        <v>332</v>
      </c>
      <c r="C32" s="39">
        <v>2020</v>
      </c>
      <c r="D32" s="67" t="s">
        <v>336</v>
      </c>
      <c r="E32" s="39" t="s">
        <v>131</v>
      </c>
      <c r="F32" s="39" t="s">
        <v>302</v>
      </c>
      <c r="G32" s="39" t="s">
        <v>36</v>
      </c>
      <c r="H32" s="39" t="s">
        <v>146</v>
      </c>
      <c r="I32" s="39" t="s">
        <v>142</v>
      </c>
      <c r="J32" s="39" t="s">
        <v>38</v>
      </c>
      <c r="K32" s="39" t="s">
        <v>143</v>
      </c>
      <c r="L32" s="39">
        <v>1</v>
      </c>
      <c r="N32" s="39">
        <v>1</v>
      </c>
      <c r="O32" s="39">
        <v>0.9</v>
      </c>
      <c r="P32" s="39">
        <v>0.85</v>
      </c>
      <c r="Q32" s="5">
        <f t="shared" si="0"/>
        <v>0.875</v>
      </c>
      <c r="R32" s="39">
        <v>18.7</v>
      </c>
      <c r="S32" s="39">
        <v>118</v>
      </c>
      <c r="T32" s="45">
        <f t="shared" si="1"/>
        <v>30</v>
      </c>
      <c r="U32" s="39">
        <v>138</v>
      </c>
      <c r="V32" s="45">
        <f t="shared" si="2"/>
        <v>4140</v>
      </c>
      <c r="W32" s="39">
        <v>6</v>
      </c>
      <c r="X32" s="39" t="s">
        <v>46</v>
      </c>
      <c r="Y32" s="39" t="s">
        <v>55</v>
      </c>
      <c r="Z32" s="39" t="s">
        <v>47</v>
      </c>
      <c r="AA32" s="39" t="s">
        <v>90</v>
      </c>
      <c r="AB32" s="56" t="s">
        <v>331</v>
      </c>
      <c r="AP32" s="52"/>
      <c r="AR32" s="52"/>
    </row>
    <row r="33" spans="1:44" x14ac:dyDescent="0.15">
      <c r="A33" s="39" t="s">
        <v>35</v>
      </c>
      <c r="B33" s="39" t="s">
        <v>332</v>
      </c>
      <c r="C33" s="39">
        <v>2020</v>
      </c>
      <c r="D33" s="67" t="s">
        <v>336</v>
      </c>
      <c r="E33" s="39" t="s">
        <v>131</v>
      </c>
      <c r="F33" s="39" t="s">
        <v>302</v>
      </c>
      <c r="G33" s="39" t="s">
        <v>36</v>
      </c>
      <c r="H33" s="39" t="s">
        <v>146</v>
      </c>
      <c r="I33" s="39" t="s">
        <v>142</v>
      </c>
      <c r="J33" s="39" t="s">
        <v>38</v>
      </c>
      <c r="K33" s="39" t="s">
        <v>143</v>
      </c>
      <c r="L33" s="39">
        <v>2</v>
      </c>
      <c r="N33" s="39">
        <v>1</v>
      </c>
      <c r="O33" s="39">
        <v>1.3</v>
      </c>
      <c r="P33" s="39">
        <v>1.2</v>
      </c>
      <c r="Q33" s="5">
        <f t="shared" si="0"/>
        <v>1.25</v>
      </c>
      <c r="R33" s="39">
        <v>19.8</v>
      </c>
      <c r="S33" s="39">
        <v>111</v>
      </c>
      <c r="T33" s="45">
        <f t="shared" si="1"/>
        <v>33</v>
      </c>
      <c r="U33" s="39">
        <v>138</v>
      </c>
      <c r="V33" s="45">
        <f t="shared" si="2"/>
        <v>4554</v>
      </c>
      <c r="W33" s="39">
        <v>6</v>
      </c>
      <c r="X33" s="39" t="s">
        <v>46</v>
      </c>
      <c r="Y33" s="39" t="s">
        <v>55</v>
      </c>
      <c r="Z33" s="39" t="s">
        <v>47</v>
      </c>
      <c r="AA33" s="39" t="s">
        <v>90</v>
      </c>
      <c r="AB33" s="56" t="s">
        <v>331</v>
      </c>
    </row>
    <row r="34" spans="1:44" x14ac:dyDescent="0.15">
      <c r="A34" s="39" t="s">
        <v>35</v>
      </c>
      <c r="B34" s="39" t="s">
        <v>332</v>
      </c>
      <c r="C34" s="39">
        <v>2020</v>
      </c>
      <c r="D34" s="67" t="s">
        <v>336</v>
      </c>
      <c r="E34" s="39" t="s">
        <v>131</v>
      </c>
      <c r="F34" s="39" t="s">
        <v>302</v>
      </c>
      <c r="G34" s="39" t="s">
        <v>36</v>
      </c>
      <c r="H34" s="39" t="s">
        <v>146</v>
      </c>
      <c r="I34" s="39" t="s">
        <v>142</v>
      </c>
      <c r="J34" s="39" t="s">
        <v>38</v>
      </c>
      <c r="K34" s="39" t="s">
        <v>143</v>
      </c>
      <c r="L34" s="39">
        <v>3</v>
      </c>
      <c r="N34" s="39">
        <v>1</v>
      </c>
      <c r="O34" s="39">
        <v>1.4</v>
      </c>
      <c r="P34" s="39">
        <v>1.4</v>
      </c>
      <c r="Q34" s="5">
        <f t="shared" ref="Q34:Q65" si="3">IF(OR(O34="",P34=""),"",AVERAGE(O34,P34))</f>
        <v>1.4</v>
      </c>
      <c r="R34" s="39">
        <v>18.600000000000001</v>
      </c>
      <c r="S34" s="39">
        <v>126</v>
      </c>
      <c r="T34" s="45">
        <f t="shared" ref="T34:T65" si="4">IF(H34="","",IF(OR(H34="GREEN",H34="GK"),IF(S34&gt;=$AX$2,VLOOKUP(S34,$AX$2:$AY$12,2,1),""),IF(S34&gt;=$AZ$2,VLOOKUP(S34,$AZ$2:$BA$12,2,1),"")))</f>
        <v>27</v>
      </c>
      <c r="U34" s="39">
        <v>138</v>
      </c>
      <c r="V34" s="45">
        <f t="shared" ref="V34:V65" si="5">IF(OR(N34="",U34="",T34=""),"",U34/N34*T34)</f>
        <v>3726</v>
      </c>
      <c r="W34" s="39">
        <v>6</v>
      </c>
      <c r="X34" s="39" t="s">
        <v>46</v>
      </c>
      <c r="Y34" s="39" t="s">
        <v>55</v>
      </c>
      <c r="Z34" s="39" t="s">
        <v>47</v>
      </c>
      <c r="AA34" s="39" t="s">
        <v>90</v>
      </c>
      <c r="AB34" s="56" t="s">
        <v>331</v>
      </c>
    </row>
    <row r="35" spans="1:44" x14ac:dyDescent="0.15">
      <c r="A35" s="39" t="s">
        <v>35</v>
      </c>
      <c r="B35" s="39" t="s">
        <v>332</v>
      </c>
      <c r="C35" s="39">
        <v>2020</v>
      </c>
      <c r="D35" s="67" t="s">
        <v>336</v>
      </c>
      <c r="E35" s="39" t="s">
        <v>131</v>
      </c>
      <c r="F35" s="39" t="s">
        <v>302</v>
      </c>
      <c r="G35" s="39" t="s">
        <v>36</v>
      </c>
      <c r="H35" s="39" t="s">
        <v>146</v>
      </c>
      <c r="I35" s="39" t="s">
        <v>142</v>
      </c>
      <c r="J35" s="39" t="s">
        <v>38</v>
      </c>
      <c r="K35" s="39" t="s">
        <v>143</v>
      </c>
      <c r="L35" s="39">
        <v>1</v>
      </c>
      <c r="N35" s="39">
        <v>4</v>
      </c>
      <c r="O35" s="39">
        <v>1.6</v>
      </c>
      <c r="P35" s="39">
        <v>1.7</v>
      </c>
      <c r="Q35" s="5">
        <f t="shared" si="3"/>
        <v>1.65</v>
      </c>
      <c r="R35" s="39">
        <v>11.9</v>
      </c>
      <c r="S35" s="39">
        <v>115</v>
      </c>
      <c r="T35" s="45">
        <f t="shared" si="4"/>
        <v>30</v>
      </c>
      <c r="U35" s="39">
        <v>538</v>
      </c>
      <c r="V35" s="45">
        <f t="shared" si="5"/>
        <v>4035</v>
      </c>
      <c r="W35" s="39">
        <v>6</v>
      </c>
      <c r="X35" s="39" t="s">
        <v>46</v>
      </c>
      <c r="Y35" s="39" t="s">
        <v>55</v>
      </c>
      <c r="Z35" s="39" t="s">
        <v>47</v>
      </c>
      <c r="AA35" s="39" t="s">
        <v>90</v>
      </c>
      <c r="AB35" s="56" t="s">
        <v>331</v>
      </c>
      <c r="AP35" s="52"/>
      <c r="AR35" s="52"/>
    </row>
    <row r="36" spans="1:44" x14ac:dyDescent="0.15">
      <c r="A36" s="39" t="s">
        <v>35</v>
      </c>
      <c r="B36" s="39" t="s">
        <v>332</v>
      </c>
      <c r="C36" s="39">
        <v>2020</v>
      </c>
      <c r="D36" s="67" t="s">
        <v>336</v>
      </c>
      <c r="E36" s="39" t="s">
        <v>131</v>
      </c>
      <c r="F36" s="39" t="s">
        <v>302</v>
      </c>
      <c r="G36" s="39" t="s">
        <v>36</v>
      </c>
      <c r="H36" s="39" t="s">
        <v>146</v>
      </c>
      <c r="I36" s="39" t="s">
        <v>142</v>
      </c>
      <c r="J36" s="39" t="s">
        <v>38</v>
      </c>
      <c r="K36" s="39" t="s">
        <v>143</v>
      </c>
      <c r="L36" s="39">
        <v>2</v>
      </c>
      <c r="N36" s="39">
        <v>4</v>
      </c>
      <c r="O36" s="39">
        <v>1.6</v>
      </c>
      <c r="P36" s="39">
        <v>1.2</v>
      </c>
      <c r="Q36" s="5">
        <f t="shared" si="3"/>
        <v>1.4</v>
      </c>
      <c r="R36" s="39">
        <v>18.3</v>
      </c>
      <c r="S36" s="39">
        <v>117</v>
      </c>
      <c r="T36" s="45">
        <f t="shared" si="4"/>
        <v>30</v>
      </c>
      <c r="U36" s="39">
        <v>538</v>
      </c>
      <c r="V36" s="45">
        <f t="shared" si="5"/>
        <v>4035</v>
      </c>
      <c r="W36" s="39">
        <v>6</v>
      </c>
      <c r="X36" s="39" t="s">
        <v>46</v>
      </c>
      <c r="Y36" s="39" t="s">
        <v>55</v>
      </c>
      <c r="Z36" s="39" t="s">
        <v>47</v>
      </c>
      <c r="AA36" s="39" t="s">
        <v>90</v>
      </c>
      <c r="AB36" s="56" t="s">
        <v>331</v>
      </c>
    </row>
    <row r="37" spans="1:44" x14ac:dyDescent="0.15">
      <c r="A37" s="39" t="s">
        <v>35</v>
      </c>
      <c r="B37" s="39" t="s">
        <v>332</v>
      </c>
      <c r="C37" s="39">
        <v>2020</v>
      </c>
      <c r="D37" s="67" t="s">
        <v>336</v>
      </c>
      <c r="E37" s="39" t="s">
        <v>131</v>
      </c>
      <c r="F37" s="39" t="s">
        <v>302</v>
      </c>
      <c r="G37" s="39" t="s">
        <v>36</v>
      </c>
      <c r="H37" s="39" t="s">
        <v>146</v>
      </c>
      <c r="I37" s="39" t="s">
        <v>142</v>
      </c>
      <c r="J37" s="39" t="s">
        <v>38</v>
      </c>
      <c r="K37" s="39" t="s">
        <v>143</v>
      </c>
      <c r="L37" s="39">
        <v>3</v>
      </c>
      <c r="N37" s="39">
        <v>4</v>
      </c>
      <c r="O37" s="56">
        <v>1.1000000000000001</v>
      </c>
      <c r="P37" s="56">
        <v>1.1000000000000001</v>
      </c>
      <c r="Q37" s="5">
        <f t="shared" si="3"/>
        <v>1.1000000000000001</v>
      </c>
      <c r="R37" s="39">
        <v>15.9</v>
      </c>
      <c r="S37" s="39">
        <v>116</v>
      </c>
      <c r="T37" s="45">
        <f t="shared" si="4"/>
        <v>30</v>
      </c>
      <c r="U37" s="39">
        <v>538</v>
      </c>
      <c r="V37" s="45">
        <f t="shared" si="5"/>
        <v>4035</v>
      </c>
      <c r="W37" s="39">
        <v>6</v>
      </c>
      <c r="X37" s="39" t="s">
        <v>46</v>
      </c>
      <c r="Y37" s="39" t="s">
        <v>55</v>
      </c>
      <c r="Z37" s="39" t="s">
        <v>47</v>
      </c>
      <c r="AA37" s="39" t="s">
        <v>90</v>
      </c>
      <c r="AB37" s="56" t="s">
        <v>331</v>
      </c>
    </row>
    <row r="38" spans="1:44" x14ac:dyDescent="0.15">
      <c r="A38" s="39" t="s">
        <v>35</v>
      </c>
      <c r="B38" s="39" t="s">
        <v>332</v>
      </c>
      <c r="C38" s="39">
        <v>2020</v>
      </c>
      <c r="D38" s="67" t="s">
        <v>336</v>
      </c>
      <c r="E38" s="39" t="s">
        <v>131</v>
      </c>
      <c r="F38" s="39" t="s">
        <v>302</v>
      </c>
      <c r="G38" s="39" t="s">
        <v>36</v>
      </c>
      <c r="H38" s="39" t="s">
        <v>146</v>
      </c>
      <c r="I38" s="39" t="s">
        <v>142</v>
      </c>
      <c r="J38" s="39" t="s">
        <v>38</v>
      </c>
      <c r="K38" s="39" t="s">
        <v>143</v>
      </c>
      <c r="L38" s="39">
        <v>1</v>
      </c>
      <c r="N38" s="39">
        <v>8</v>
      </c>
      <c r="O38" s="56">
        <v>0.8</v>
      </c>
      <c r="P38" s="56">
        <v>0.9</v>
      </c>
      <c r="Q38" s="5">
        <f t="shared" si="3"/>
        <v>0.85000000000000009</v>
      </c>
      <c r="R38" s="39">
        <v>15.8</v>
      </c>
      <c r="S38" s="39">
        <v>90</v>
      </c>
      <c r="T38" s="45">
        <f t="shared" si="4"/>
        <v>36</v>
      </c>
      <c r="U38" s="39">
        <v>862</v>
      </c>
      <c r="V38" s="45">
        <f t="shared" si="5"/>
        <v>3879</v>
      </c>
      <c r="W38" s="39">
        <v>2</v>
      </c>
      <c r="X38" s="39" t="s">
        <v>46</v>
      </c>
      <c r="Y38" s="39" t="s">
        <v>55</v>
      </c>
      <c r="Z38" s="39" t="s">
        <v>47</v>
      </c>
      <c r="AA38" s="39" t="s">
        <v>90</v>
      </c>
      <c r="AB38" s="56" t="s">
        <v>331</v>
      </c>
    </row>
    <row r="39" spans="1:44" x14ac:dyDescent="0.15">
      <c r="A39" s="39" t="s">
        <v>35</v>
      </c>
      <c r="B39" s="39" t="s">
        <v>332</v>
      </c>
      <c r="C39" s="39">
        <v>2020</v>
      </c>
      <c r="D39" s="67" t="s">
        <v>336</v>
      </c>
      <c r="E39" s="39" t="s">
        <v>131</v>
      </c>
      <c r="F39" s="39" t="s">
        <v>302</v>
      </c>
      <c r="G39" s="39" t="s">
        <v>36</v>
      </c>
      <c r="H39" s="39" t="s">
        <v>146</v>
      </c>
      <c r="I39" s="39" t="s">
        <v>142</v>
      </c>
      <c r="J39" s="39" t="s">
        <v>38</v>
      </c>
      <c r="K39" s="39" t="s">
        <v>143</v>
      </c>
      <c r="L39" s="39">
        <v>2</v>
      </c>
      <c r="N39" s="39">
        <v>8</v>
      </c>
      <c r="O39" s="39">
        <v>0.8</v>
      </c>
      <c r="P39" s="39">
        <v>0.9</v>
      </c>
      <c r="Q39" s="5">
        <f t="shared" si="3"/>
        <v>0.85000000000000009</v>
      </c>
      <c r="R39" s="56">
        <v>17</v>
      </c>
      <c r="S39" s="39">
        <v>88</v>
      </c>
      <c r="T39" s="45">
        <f t="shared" si="4"/>
        <v>36</v>
      </c>
      <c r="U39" s="39">
        <v>862</v>
      </c>
      <c r="V39" s="45">
        <f t="shared" si="5"/>
        <v>3879</v>
      </c>
      <c r="W39" s="39">
        <v>2</v>
      </c>
      <c r="X39" s="39" t="s">
        <v>46</v>
      </c>
      <c r="Y39" s="39" t="s">
        <v>55</v>
      </c>
      <c r="Z39" s="39" t="s">
        <v>47</v>
      </c>
      <c r="AA39" s="39" t="s">
        <v>90</v>
      </c>
      <c r="AB39" s="56" t="s">
        <v>331</v>
      </c>
    </row>
    <row r="40" spans="1:44" x14ac:dyDescent="0.15">
      <c r="A40" s="39" t="s">
        <v>35</v>
      </c>
      <c r="B40" s="39" t="s">
        <v>332</v>
      </c>
      <c r="C40" s="39">
        <v>2020</v>
      </c>
      <c r="D40" s="67" t="s">
        <v>336</v>
      </c>
      <c r="E40" s="39" t="s">
        <v>131</v>
      </c>
      <c r="F40" s="39" t="s">
        <v>302</v>
      </c>
      <c r="G40" s="39" t="s">
        <v>36</v>
      </c>
      <c r="H40" s="39" t="s">
        <v>146</v>
      </c>
      <c r="I40" s="39" t="s">
        <v>142</v>
      </c>
      <c r="J40" s="39" t="s">
        <v>38</v>
      </c>
      <c r="K40" s="39" t="s">
        <v>143</v>
      </c>
      <c r="L40" s="39">
        <v>3</v>
      </c>
      <c r="N40" s="39">
        <v>8</v>
      </c>
      <c r="O40" s="39">
        <v>1.1499999999999999</v>
      </c>
      <c r="P40" s="39">
        <v>1.1000000000000001</v>
      </c>
      <c r="Q40" s="5">
        <f t="shared" si="3"/>
        <v>1.125</v>
      </c>
      <c r="R40" s="39">
        <v>15.8</v>
      </c>
      <c r="S40" s="39">
        <v>85</v>
      </c>
      <c r="T40" s="45">
        <f t="shared" si="4"/>
        <v>36</v>
      </c>
      <c r="U40" s="39">
        <v>862</v>
      </c>
      <c r="V40" s="45">
        <f t="shared" si="5"/>
        <v>3879</v>
      </c>
      <c r="W40" s="39">
        <v>2</v>
      </c>
      <c r="X40" s="39" t="s">
        <v>46</v>
      </c>
      <c r="Y40" s="39" t="s">
        <v>55</v>
      </c>
      <c r="Z40" s="39" t="s">
        <v>47</v>
      </c>
      <c r="AA40" s="39" t="s">
        <v>90</v>
      </c>
      <c r="AB40" s="56" t="s">
        <v>331</v>
      </c>
    </row>
    <row r="41" spans="1:44" ht="12.75" customHeight="1" x14ac:dyDescent="0.15">
      <c r="A41" s="39" t="s">
        <v>35</v>
      </c>
      <c r="B41" s="39" t="s">
        <v>332</v>
      </c>
      <c r="C41" s="39">
        <v>2020</v>
      </c>
      <c r="D41" s="67" t="s">
        <v>336</v>
      </c>
      <c r="E41" s="39" t="s">
        <v>133</v>
      </c>
      <c r="F41" s="39" t="s">
        <v>309</v>
      </c>
      <c r="G41" s="39" t="s">
        <v>36</v>
      </c>
      <c r="H41" s="39" t="s">
        <v>127</v>
      </c>
      <c r="I41" s="39" t="s">
        <v>142</v>
      </c>
      <c r="J41" s="39" t="s">
        <v>53</v>
      </c>
      <c r="K41" s="39" t="s">
        <v>54</v>
      </c>
      <c r="L41" s="39">
        <v>1</v>
      </c>
      <c r="N41" s="39">
        <v>1</v>
      </c>
      <c r="O41" s="39">
        <v>0.6</v>
      </c>
      <c r="P41" s="39">
        <v>0.5</v>
      </c>
      <c r="Q41" s="5">
        <f t="shared" si="3"/>
        <v>0.55000000000000004</v>
      </c>
      <c r="R41" s="39">
        <v>11.6</v>
      </c>
      <c r="S41" s="39">
        <v>107</v>
      </c>
      <c r="T41" s="45">
        <f t="shared" si="4"/>
        <v>33</v>
      </c>
      <c r="U41" s="39">
        <v>78</v>
      </c>
      <c r="V41" s="45">
        <f t="shared" si="5"/>
        <v>2574</v>
      </c>
      <c r="W41" s="39">
        <v>4</v>
      </c>
      <c r="X41" s="39" t="s">
        <v>46</v>
      </c>
      <c r="Y41" s="39" t="s">
        <v>55</v>
      </c>
      <c r="Z41" s="39" t="s">
        <v>40</v>
      </c>
      <c r="AA41" s="39" t="s">
        <v>47</v>
      </c>
      <c r="AB41" s="56" t="s">
        <v>331</v>
      </c>
    </row>
    <row r="42" spans="1:44" x14ac:dyDescent="0.15">
      <c r="A42" s="39" t="s">
        <v>35</v>
      </c>
      <c r="B42" s="39" t="s">
        <v>332</v>
      </c>
      <c r="C42" s="39">
        <v>2020</v>
      </c>
      <c r="D42" s="67" t="s">
        <v>336</v>
      </c>
      <c r="E42" s="39" t="s">
        <v>133</v>
      </c>
      <c r="F42" s="39" t="s">
        <v>309</v>
      </c>
      <c r="G42" s="39" t="s">
        <v>36</v>
      </c>
      <c r="H42" s="39" t="s">
        <v>127</v>
      </c>
      <c r="I42" s="39" t="s">
        <v>142</v>
      </c>
      <c r="J42" s="39" t="s">
        <v>53</v>
      </c>
      <c r="K42" s="39" t="s">
        <v>54</v>
      </c>
      <c r="L42" s="39">
        <v>2</v>
      </c>
      <c r="N42" s="39">
        <v>1</v>
      </c>
      <c r="O42" s="39">
        <v>1.65</v>
      </c>
      <c r="P42" s="39">
        <v>1.7</v>
      </c>
      <c r="Q42" s="5">
        <f t="shared" si="3"/>
        <v>1.6749999999999998</v>
      </c>
      <c r="R42" s="39">
        <v>13.9</v>
      </c>
      <c r="S42" s="39">
        <v>98</v>
      </c>
      <c r="T42" s="45">
        <f t="shared" si="4"/>
        <v>36</v>
      </c>
      <c r="U42" s="39">
        <v>78</v>
      </c>
      <c r="V42" s="45">
        <f t="shared" si="5"/>
        <v>2808</v>
      </c>
      <c r="W42" s="39">
        <v>4</v>
      </c>
      <c r="X42" s="39" t="s">
        <v>46</v>
      </c>
      <c r="Y42" s="39" t="s">
        <v>55</v>
      </c>
      <c r="Z42" s="39" t="s">
        <v>40</v>
      </c>
      <c r="AA42" s="39" t="s">
        <v>47</v>
      </c>
      <c r="AB42" s="56" t="s">
        <v>331</v>
      </c>
    </row>
    <row r="43" spans="1:44" x14ac:dyDescent="0.15">
      <c r="A43" s="39" t="s">
        <v>35</v>
      </c>
      <c r="B43" s="39" t="s">
        <v>332</v>
      </c>
      <c r="C43" s="39">
        <v>2020</v>
      </c>
      <c r="D43" s="67" t="s">
        <v>336</v>
      </c>
      <c r="E43" s="39" t="s">
        <v>133</v>
      </c>
      <c r="F43" s="39" t="s">
        <v>309</v>
      </c>
      <c r="G43" s="39" t="s">
        <v>36</v>
      </c>
      <c r="H43" s="39" t="s">
        <v>127</v>
      </c>
      <c r="I43" s="39" t="s">
        <v>142</v>
      </c>
      <c r="J43" s="39" t="s">
        <v>53</v>
      </c>
      <c r="K43" s="39" t="s">
        <v>54</v>
      </c>
      <c r="L43" s="39">
        <v>3</v>
      </c>
      <c r="N43" s="39">
        <v>1</v>
      </c>
      <c r="O43" s="39">
        <v>1.4</v>
      </c>
      <c r="P43" s="39">
        <v>1.5</v>
      </c>
      <c r="Q43" s="5">
        <f t="shared" si="3"/>
        <v>1.45</v>
      </c>
      <c r="R43" s="39">
        <v>11.9</v>
      </c>
      <c r="S43" s="39">
        <v>98</v>
      </c>
      <c r="T43" s="45">
        <f t="shared" si="4"/>
        <v>36</v>
      </c>
      <c r="U43" s="39">
        <v>78</v>
      </c>
      <c r="V43" s="45">
        <f t="shared" si="5"/>
        <v>2808</v>
      </c>
      <c r="W43" s="39">
        <v>4</v>
      </c>
      <c r="X43" s="39" t="s">
        <v>46</v>
      </c>
      <c r="Y43" s="39" t="s">
        <v>55</v>
      </c>
      <c r="Z43" s="39" t="s">
        <v>40</v>
      </c>
      <c r="AA43" s="39" t="s">
        <v>47</v>
      </c>
      <c r="AB43" s="56" t="s">
        <v>331</v>
      </c>
    </row>
    <row r="44" spans="1:44" x14ac:dyDescent="0.15">
      <c r="A44" s="39" t="s">
        <v>35</v>
      </c>
      <c r="B44" s="39" t="s">
        <v>332</v>
      </c>
      <c r="C44" s="39">
        <v>2020</v>
      </c>
      <c r="D44" s="67" t="s">
        <v>336</v>
      </c>
      <c r="E44" s="39" t="s">
        <v>133</v>
      </c>
      <c r="F44" s="39" t="s">
        <v>309</v>
      </c>
      <c r="G44" s="39" t="s">
        <v>36</v>
      </c>
      <c r="H44" s="39" t="s">
        <v>127</v>
      </c>
      <c r="I44" s="39" t="s">
        <v>145</v>
      </c>
      <c r="J44" s="39" t="s">
        <v>80</v>
      </c>
      <c r="K44" s="39" t="s">
        <v>63</v>
      </c>
      <c r="L44" s="39">
        <v>1</v>
      </c>
      <c r="N44" s="39">
        <v>5</v>
      </c>
      <c r="O44" s="39">
        <v>1</v>
      </c>
      <c r="P44" s="39">
        <v>0.9</v>
      </c>
      <c r="Q44" s="5">
        <f t="shared" si="3"/>
        <v>0.95</v>
      </c>
      <c r="R44" s="39">
        <v>11.9</v>
      </c>
      <c r="S44" s="39">
        <v>73</v>
      </c>
      <c r="T44" s="45">
        <f t="shared" si="4"/>
        <v>42</v>
      </c>
      <c r="U44" s="39">
        <v>298</v>
      </c>
      <c r="V44" s="45">
        <f t="shared" si="5"/>
        <v>2503.2000000000003</v>
      </c>
      <c r="W44" s="39">
        <v>3</v>
      </c>
      <c r="X44" s="39" t="s">
        <v>46</v>
      </c>
      <c r="Y44" s="39" t="s">
        <v>55</v>
      </c>
      <c r="Z44" s="39" t="s">
        <v>40</v>
      </c>
      <c r="AA44" s="39" t="s">
        <v>47</v>
      </c>
      <c r="AB44" s="56" t="s">
        <v>331</v>
      </c>
    </row>
    <row r="45" spans="1:44" x14ac:dyDescent="0.15">
      <c r="A45" s="39" t="s">
        <v>35</v>
      </c>
      <c r="B45" s="39" t="s">
        <v>332</v>
      </c>
      <c r="C45" s="39">
        <v>2020</v>
      </c>
      <c r="D45" s="67" t="s">
        <v>336</v>
      </c>
      <c r="E45" s="39" t="s">
        <v>133</v>
      </c>
      <c r="F45" s="39" t="s">
        <v>309</v>
      </c>
      <c r="G45" s="39" t="s">
        <v>36</v>
      </c>
      <c r="H45" s="39" t="s">
        <v>127</v>
      </c>
      <c r="I45" s="39" t="s">
        <v>145</v>
      </c>
      <c r="J45" s="39" t="s">
        <v>80</v>
      </c>
      <c r="K45" s="39" t="s">
        <v>63</v>
      </c>
      <c r="L45" s="39">
        <v>2</v>
      </c>
      <c r="N45" s="39">
        <v>5</v>
      </c>
      <c r="O45" s="39">
        <v>0.65</v>
      </c>
      <c r="P45" s="39">
        <v>0.75</v>
      </c>
      <c r="Q45" s="5">
        <f t="shared" si="3"/>
        <v>0.7</v>
      </c>
      <c r="R45" s="39">
        <v>11.5</v>
      </c>
      <c r="S45" s="39">
        <v>70</v>
      </c>
      <c r="T45" s="45">
        <f t="shared" si="4"/>
        <v>50</v>
      </c>
      <c r="U45" s="39">
        <v>298</v>
      </c>
      <c r="V45" s="45">
        <f t="shared" si="5"/>
        <v>2980</v>
      </c>
      <c r="W45" s="39">
        <v>3</v>
      </c>
      <c r="X45" s="39" t="s">
        <v>46</v>
      </c>
      <c r="Y45" s="39" t="s">
        <v>55</v>
      </c>
      <c r="Z45" s="39" t="s">
        <v>40</v>
      </c>
      <c r="AA45" s="39" t="s">
        <v>47</v>
      </c>
      <c r="AB45" s="56" t="s">
        <v>331</v>
      </c>
    </row>
    <row r="46" spans="1:44" x14ac:dyDescent="0.15">
      <c r="A46" s="39" t="s">
        <v>35</v>
      </c>
      <c r="B46" s="39" t="s">
        <v>332</v>
      </c>
      <c r="C46" s="39">
        <v>2020</v>
      </c>
      <c r="D46" s="67" t="s">
        <v>336</v>
      </c>
      <c r="E46" s="39" t="s">
        <v>133</v>
      </c>
      <c r="F46" s="39" t="s">
        <v>309</v>
      </c>
      <c r="G46" s="39" t="s">
        <v>36</v>
      </c>
      <c r="H46" s="39" t="s">
        <v>127</v>
      </c>
      <c r="I46" s="39" t="s">
        <v>145</v>
      </c>
      <c r="J46" s="39" t="s">
        <v>80</v>
      </c>
      <c r="K46" s="39" t="s">
        <v>63</v>
      </c>
      <c r="L46" s="39">
        <v>3</v>
      </c>
      <c r="N46" s="39">
        <v>5</v>
      </c>
      <c r="O46" s="39">
        <v>0.8</v>
      </c>
      <c r="P46" s="56">
        <v>0.8</v>
      </c>
      <c r="Q46" s="5">
        <f t="shared" si="3"/>
        <v>0.8</v>
      </c>
      <c r="R46" s="39">
        <v>12.4</v>
      </c>
      <c r="S46" s="39">
        <v>69</v>
      </c>
      <c r="T46" s="45">
        <f t="shared" si="4"/>
        <v>50</v>
      </c>
      <c r="U46" s="39">
        <v>298</v>
      </c>
      <c r="V46" s="45">
        <f t="shared" si="5"/>
        <v>2980</v>
      </c>
      <c r="W46" s="39">
        <v>3</v>
      </c>
      <c r="X46" s="39" t="s">
        <v>46</v>
      </c>
      <c r="Y46" s="39" t="s">
        <v>55</v>
      </c>
      <c r="Z46" s="39" t="s">
        <v>40</v>
      </c>
      <c r="AA46" s="39" t="s">
        <v>47</v>
      </c>
      <c r="AB46" s="56" t="s">
        <v>331</v>
      </c>
    </row>
    <row r="47" spans="1:44" x14ac:dyDescent="0.15">
      <c r="A47" s="39" t="s">
        <v>35</v>
      </c>
      <c r="B47" s="39" t="s">
        <v>332</v>
      </c>
      <c r="C47" s="39">
        <v>2020</v>
      </c>
      <c r="D47" s="67" t="s">
        <v>336</v>
      </c>
      <c r="E47" s="39" t="s">
        <v>133</v>
      </c>
      <c r="F47" s="39" t="s">
        <v>309</v>
      </c>
      <c r="G47" s="39" t="s">
        <v>36</v>
      </c>
      <c r="H47" s="39" t="s">
        <v>146</v>
      </c>
      <c r="I47" s="39" t="s">
        <v>142</v>
      </c>
      <c r="J47" s="39" t="s">
        <v>38</v>
      </c>
      <c r="K47" s="39" t="s">
        <v>143</v>
      </c>
      <c r="L47" s="39">
        <v>1</v>
      </c>
      <c r="N47" s="39">
        <v>1</v>
      </c>
      <c r="O47" s="39">
        <v>1.4</v>
      </c>
      <c r="P47" s="39">
        <v>1.5</v>
      </c>
      <c r="Q47" s="5">
        <f t="shared" si="3"/>
        <v>1.45</v>
      </c>
      <c r="R47" s="39">
        <v>17.100000000000001</v>
      </c>
      <c r="S47" s="39">
        <v>126</v>
      </c>
      <c r="T47" s="45">
        <f t="shared" si="4"/>
        <v>27</v>
      </c>
      <c r="U47" s="39">
        <v>98</v>
      </c>
      <c r="V47" s="45">
        <f t="shared" si="5"/>
        <v>2646</v>
      </c>
      <c r="W47" s="39">
        <v>16</v>
      </c>
      <c r="X47" s="39" t="s">
        <v>46</v>
      </c>
      <c r="Y47" s="39" t="s">
        <v>55</v>
      </c>
      <c r="Z47" s="39" t="s">
        <v>40</v>
      </c>
      <c r="AA47" s="39" t="s">
        <v>47</v>
      </c>
      <c r="AB47" s="56" t="s">
        <v>331</v>
      </c>
    </row>
    <row r="48" spans="1:44" x14ac:dyDescent="0.15">
      <c r="A48" s="39" t="s">
        <v>35</v>
      </c>
      <c r="B48" s="39" t="s">
        <v>332</v>
      </c>
      <c r="C48" s="39">
        <v>2020</v>
      </c>
      <c r="D48" s="67" t="s">
        <v>336</v>
      </c>
      <c r="E48" s="39" t="s">
        <v>133</v>
      </c>
      <c r="F48" s="39" t="s">
        <v>309</v>
      </c>
      <c r="G48" s="39" t="s">
        <v>36</v>
      </c>
      <c r="H48" s="39" t="s">
        <v>146</v>
      </c>
      <c r="I48" s="39" t="s">
        <v>142</v>
      </c>
      <c r="J48" s="39" t="s">
        <v>38</v>
      </c>
      <c r="K48" s="39" t="s">
        <v>143</v>
      </c>
      <c r="L48" s="39">
        <v>2</v>
      </c>
      <c r="N48" s="39">
        <v>1</v>
      </c>
      <c r="O48" s="39">
        <v>1.4</v>
      </c>
      <c r="P48" s="39">
        <v>1.5</v>
      </c>
      <c r="Q48" s="5">
        <f t="shared" si="3"/>
        <v>1.45</v>
      </c>
      <c r="R48" s="39">
        <v>17.8</v>
      </c>
      <c r="S48" s="39">
        <v>117</v>
      </c>
      <c r="T48" s="45">
        <f t="shared" si="4"/>
        <v>30</v>
      </c>
      <c r="U48" s="39">
        <v>98</v>
      </c>
      <c r="V48" s="45">
        <f t="shared" si="5"/>
        <v>2940</v>
      </c>
      <c r="W48" s="39">
        <v>16</v>
      </c>
      <c r="X48" s="39" t="s">
        <v>46</v>
      </c>
      <c r="Y48" s="39" t="s">
        <v>55</v>
      </c>
      <c r="Z48" s="39" t="s">
        <v>40</v>
      </c>
      <c r="AA48" s="39" t="s">
        <v>47</v>
      </c>
      <c r="AB48" s="56" t="s">
        <v>331</v>
      </c>
    </row>
    <row r="49" spans="1:28" x14ac:dyDescent="0.15">
      <c r="A49" s="39" t="s">
        <v>35</v>
      </c>
      <c r="B49" s="39" t="s">
        <v>332</v>
      </c>
      <c r="C49" s="39">
        <v>2020</v>
      </c>
      <c r="D49" s="67" t="s">
        <v>336</v>
      </c>
      <c r="E49" s="39" t="s">
        <v>133</v>
      </c>
      <c r="F49" s="39" t="s">
        <v>309</v>
      </c>
      <c r="G49" s="39" t="s">
        <v>36</v>
      </c>
      <c r="H49" s="39" t="s">
        <v>146</v>
      </c>
      <c r="I49" s="39" t="s">
        <v>142</v>
      </c>
      <c r="J49" s="39" t="s">
        <v>38</v>
      </c>
      <c r="K49" s="39" t="s">
        <v>143</v>
      </c>
      <c r="L49" s="39">
        <v>3</v>
      </c>
      <c r="N49" s="39">
        <v>1</v>
      </c>
      <c r="O49" s="39">
        <v>1.4</v>
      </c>
      <c r="P49" s="56">
        <v>1.3</v>
      </c>
      <c r="Q49" s="5">
        <f t="shared" si="3"/>
        <v>1.35</v>
      </c>
      <c r="R49" s="39">
        <v>19.600000000000001</v>
      </c>
      <c r="S49" s="39">
        <v>112</v>
      </c>
      <c r="T49" s="45">
        <f t="shared" si="4"/>
        <v>33</v>
      </c>
      <c r="U49" s="39">
        <v>98</v>
      </c>
      <c r="V49" s="45">
        <f t="shared" si="5"/>
        <v>3234</v>
      </c>
      <c r="W49" s="39">
        <v>16</v>
      </c>
      <c r="X49" s="39" t="s">
        <v>46</v>
      </c>
      <c r="Y49" s="39" t="s">
        <v>55</v>
      </c>
      <c r="Z49" s="39" t="s">
        <v>40</v>
      </c>
      <c r="AA49" s="39" t="s">
        <v>47</v>
      </c>
      <c r="AB49" s="56" t="s">
        <v>331</v>
      </c>
    </row>
    <row r="50" spans="1:28" x14ac:dyDescent="0.15">
      <c r="A50" s="39" t="s">
        <v>35</v>
      </c>
      <c r="B50" s="39" t="s">
        <v>332</v>
      </c>
      <c r="C50" s="39">
        <v>2020</v>
      </c>
      <c r="D50" s="67" t="s">
        <v>336</v>
      </c>
      <c r="E50" s="39" t="s">
        <v>133</v>
      </c>
      <c r="F50" s="39" t="s">
        <v>309</v>
      </c>
      <c r="G50" s="39" t="s">
        <v>36</v>
      </c>
      <c r="H50" s="39" t="s">
        <v>146</v>
      </c>
      <c r="I50" s="39" t="s">
        <v>142</v>
      </c>
      <c r="J50" s="39" t="s">
        <v>38</v>
      </c>
      <c r="K50" s="39" t="s">
        <v>143</v>
      </c>
      <c r="L50" s="39">
        <v>1</v>
      </c>
      <c r="N50" s="39">
        <v>1</v>
      </c>
      <c r="O50" s="39">
        <v>0.8</v>
      </c>
      <c r="P50" s="39">
        <v>0.6</v>
      </c>
      <c r="Q50" s="5">
        <f t="shared" si="3"/>
        <v>0.7</v>
      </c>
      <c r="R50" s="39">
        <v>18.600000000000001</v>
      </c>
      <c r="S50" s="39">
        <v>147</v>
      </c>
      <c r="T50" s="45">
        <f t="shared" si="4"/>
        <v>22</v>
      </c>
      <c r="U50" s="39">
        <v>178</v>
      </c>
      <c r="V50" s="45">
        <f t="shared" si="5"/>
        <v>3916</v>
      </c>
      <c r="W50" s="39">
        <v>2</v>
      </c>
      <c r="X50" s="39" t="s">
        <v>46</v>
      </c>
      <c r="Y50" s="39" t="s">
        <v>55</v>
      </c>
      <c r="Z50" s="39" t="s">
        <v>40</v>
      </c>
      <c r="AA50" s="39" t="s">
        <v>47</v>
      </c>
      <c r="AB50" s="56" t="s">
        <v>331</v>
      </c>
    </row>
    <row r="51" spans="1:28" x14ac:dyDescent="0.15">
      <c r="A51" s="39" t="s">
        <v>35</v>
      </c>
      <c r="B51" s="39" t="s">
        <v>332</v>
      </c>
      <c r="C51" s="39">
        <v>2020</v>
      </c>
      <c r="D51" s="67" t="s">
        <v>336</v>
      </c>
      <c r="E51" s="39" t="s">
        <v>133</v>
      </c>
      <c r="F51" s="39" t="s">
        <v>309</v>
      </c>
      <c r="G51" s="39" t="s">
        <v>36</v>
      </c>
      <c r="H51" s="39" t="s">
        <v>146</v>
      </c>
      <c r="I51" s="39" t="s">
        <v>142</v>
      </c>
      <c r="J51" s="39" t="s">
        <v>38</v>
      </c>
      <c r="K51" s="39" t="s">
        <v>143</v>
      </c>
      <c r="L51" s="39">
        <v>2</v>
      </c>
      <c r="N51" s="39">
        <v>1</v>
      </c>
      <c r="O51" s="39">
        <v>0.9</v>
      </c>
      <c r="P51" s="39">
        <v>1</v>
      </c>
      <c r="Q51" s="5">
        <f t="shared" si="3"/>
        <v>0.95</v>
      </c>
      <c r="R51" s="39">
        <v>19.600000000000001</v>
      </c>
      <c r="S51" s="39">
        <v>159</v>
      </c>
      <c r="T51" s="45">
        <f t="shared" si="4"/>
        <v>18</v>
      </c>
      <c r="U51" s="39">
        <v>178</v>
      </c>
      <c r="V51" s="45">
        <f t="shared" si="5"/>
        <v>3204</v>
      </c>
      <c r="W51" s="39">
        <v>2</v>
      </c>
      <c r="X51" s="39" t="s">
        <v>46</v>
      </c>
      <c r="Y51" s="39" t="s">
        <v>55</v>
      </c>
      <c r="Z51" s="39" t="s">
        <v>40</v>
      </c>
      <c r="AA51" s="39" t="s">
        <v>47</v>
      </c>
      <c r="AB51" s="56" t="s">
        <v>331</v>
      </c>
    </row>
    <row r="52" spans="1:28" x14ac:dyDescent="0.15">
      <c r="A52" s="39" t="s">
        <v>35</v>
      </c>
      <c r="B52" s="39" t="s">
        <v>332</v>
      </c>
      <c r="C52" s="39">
        <v>2020</v>
      </c>
      <c r="D52" s="67" t="s">
        <v>336</v>
      </c>
      <c r="E52" s="39" t="s">
        <v>133</v>
      </c>
      <c r="F52" s="39" t="s">
        <v>309</v>
      </c>
      <c r="G52" s="39" t="s">
        <v>36</v>
      </c>
      <c r="H52" s="39" t="s">
        <v>146</v>
      </c>
      <c r="I52" s="39" t="s">
        <v>142</v>
      </c>
      <c r="J52" s="39" t="s">
        <v>38</v>
      </c>
      <c r="K52" s="39" t="s">
        <v>143</v>
      </c>
      <c r="L52" s="39">
        <v>3</v>
      </c>
      <c r="N52" s="39">
        <v>1</v>
      </c>
      <c r="O52" s="39">
        <v>0.5</v>
      </c>
      <c r="P52" s="39">
        <v>0.5</v>
      </c>
      <c r="Q52" s="5">
        <f t="shared" si="3"/>
        <v>0.5</v>
      </c>
      <c r="R52" s="39">
        <v>20.5</v>
      </c>
      <c r="S52" s="39">
        <v>159</v>
      </c>
      <c r="T52" s="45">
        <f t="shared" si="4"/>
        <v>18</v>
      </c>
      <c r="U52" s="39">
        <v>178</v>
      </c>
      <c r="V52" s="45">
        <f t="shared" si="5"/>
        <v>3204</v>
      </c>
      <c r="W52" s="39">
        <v>2</v>
      </c>
      <c r="X52" s="39" t="s">
        <v>46</v>
      </c>
      <c r="Y52" s="39" t="s">
        <v>55</v>
      </c>
      <c r="Z52" s="39" t="s">
        <v>40</v>
      </c>
      <c r="AA52" s="39" t="s">
        <v>47</v>
      </c>
      <c r="AB52" s="56" t="s">
        <v>331</v>
      </c>
    </row>
    <row r="53" spans="1:28" x14ac:dyDescent="0.15">
      <c r="A53" s="39" t="s">
        <v>35</v>
      </c>
      <c r="B53" s="39" t="s">
        <v>332</v>
      </c>
      <c r="C53" s="39">
        <v>2020</v>
      </c>
      <c r="D53" s="67" t="s">
        <v>336</v>
      </c>
      <c r="E53" s="39" t="s">
        <v>133</v>
      </c>
      <c r="F53" s="39" t="s">
        <v>309</v>
      </c>
      <c r="G53" s="39" t="s">
        <v>36</v>
      </c>
      <c r="H53" s="39" t="s">
        <v>146</v>
      </c>
      <c r="I53" s="39" t="s">
        <v>142</v>
      </c>
      <c r="J53" s="39" t="s">
        <v>38</v>
      </c>
      <c r="K53" s="39" t="s">
        <v>143</v>
      </c>
      <c r="L53" s="39">
        <v>1</v>
      </c>
      <c r="N53" s="39">
        <v>3</v>
      </c>
      <c r="O53" s="39">
        <v>0.8</v>
      </c>
      <c r="P53" s="39">
        <v>0.7</v>
      </c>
      <c r="Q53" s="5">
        <f t="shared" si="3"/>
        <v>0.75</v>
      </c>
      <c r="R53" s="39">
        <v>19</v>
      </c>
      <c r="S53" s="39">
        <v>142</v>
      </c>
      <c r="T53" s="45">
        <f t="shared" si="4"/>
        <v>22</v>
      </c>
      <c r="U53" s="39">
        <v>498</v>
      </c>
      <c r="V53" s="45">
        <f t="shared" si="5"/>
        <v>3652</v>
      </c>
      <c r="W53" s="39">
        <v>1</v>
      </c>
      <c r="X53" s="39" t="s">
        <v>46</v>
      </c>
      <c r="Y53" s="39" t="s">
        <v>55</v>
      </c>
      <c r="Z53" s="39" t="s">
        <v>40</v>
      </c>
      <c r="AA53" s="39" t="s">
        <v>47</v>
      </c>
      <c r="AB53" s="56" t="s">
        <v>331</v>
      </c>
    </row>
    <row r="54" spans="1:28" x14ac:dyDescent="0.15">
      <c r="A54" s="39" t="s">
        <v>35</v>
      </c>
      <c r="B54" s="39" t="s">
        <v>332</v>
      </c>
      <c r="C54" s="39">
        <v>2020</v>
      </c>
      <c r="D54" s="67" t="s">
        <v>336</v>
      </c>
      <c r="E54" s="39" t="s">
        <v>133</v>
      </c>
      <c r="F54" s="39" t="s">
        <v>309</v>
      </c>
      <c r="G54" s="39" t="s">
        <v>36</v>
      </c>
      <c r="H54" s="39" t="s">
        <v>146</v>
      </c>
      <c r="I54" s="39" t="s">
        <v>142</v>
      </c>
      <c r="J54" s="39" t="s">
        <v>38</v>
      </c>
      <c r="K54" s="39" t="s">
        <v>143</v>
      </c>
      <c r="L54" s="39">
        <v>2</v>
      </c>
      <c r="N54" s="39">
        <v>3</v>
      </c>
      <c r="O54" s="39">
        <v>1.1000000000000001</v>
      </c>
      <c r="P54" s="39">
        <v>0.8</v>
      </c>
      <c r="Q54" s="5">
        <f t="shared" si="3"/>
        <v>0.95000000000000007</v>
      </c>
      <c r="R54" s="39">
        <v>17.3</v>
      </c>
      <c r="S54" s="39">
        <v>138</v>
      </c>
      <c r="T54" s="45">
        <f t="shared" si="4"/>
        <v>22</v>
      </c>
      <c r="U54" s="39">
        <v>498</v>
      </c>
      <c r="V54" s="45">
        <f t="shared" si="5"/>
        <v>3652</v>
      </c>
      <c r="W54" s="39">
        <v>1</v>
      </c>
      <c r="X54" s="39" t="s">
        <v>46</v>
      </c>
      <c r="Y54" s="39" t="s">
        <v>55</v>
      </c>
      <c r="Z54" s="39" t="s">
        <v>40</v>
      </c>
      <c r="AA54" s="39" t="s">
        <v>47</v>
      </c>
      <c r="AB54" s="56" t="s">
        <v>331</v>
      </c>
    </row>
    <row r="55" spans="1:28" x14ac:dyDescent="0.15">
      <c r="A55" s="39" t="s">
        <v>35</v>
      </c>
      <c r="B55" s="39" t="s">
        <v>332</v>
      </c>
      <c r="C55" s="39">
        <v>2020</v>
      </c>
      <c r="D55" s="67" t="s">
        <v>336</v>
      </c>
      <c r="E55" s="39" t="s">
        <v>133</v>
      </c>
      <c r="F55" s="39" t="s">
        <v>309</v>
      </c>
      <c r="G55" s="39" t="s">
        <v>36</v>
      </c>
      <c r="H55" s="39" t="s">
        <v>146</v>
      </c>
      <c r="I55" s="39" t="s">
        <v>142</v>
      </c>
      <c r="J55" s="39" t="s">
        <v>38</v>
      </c>
      <c r="K55" s="39" t="s">
        <v>143</v>
      </c>
      <c r="L55" s="39">
        <v>3</v>
      </c>
      <c r="N55" s="39">
        <v>3</v>
      </c>
      <c r="O55" s="39">
        <v>1.2</v>
      </c>
      <c r="P55" s="39">
        <v>1.1000000000000001</v>
      </c>
      <c r="Q55" s="5">
        <f t="shared" si="3"/>
        <v>1.1499999999999999</v>
      </c>
      <c r="R55" s="39">
        <v>15.6</v>
      </c>
      <c r="S55" s="39">
        <v>144</v>
      </c>
      <c r="T55" s="45">
        <f t="shared" si="4"/>
        <v>22</v>
      </c>
      <c r="U55" s="39">
        <v>498</v>
      </c>
      <c r="V55" s="45">
        <f t="shared" si="5"/>
        <v>3652</v>
      </c>
      <c r="W55" s="39">
        <v>1</v>
      </c>
      <c r="X55" s="39" t="s">
        <v>46</v>
      </c>
      <c r="Y55" s="39" t="s">
        <v>55</v>
      </c>
      <c r="Z55" s="39" t="s">
        <v>40</v>
      </c>
      <c r="AA55" s="39" t="s">
        <v>47</v>
      </c>
      <c r="AB55" s="56" t="s">
        <v>331</v>
      </c>
    </row>
    <row r="56" spans="1:28" x14ac:dyDescent="0.15">
      <c r="A56" s="39" t="s">
        <v>35</v>
      </c>
      <c r="B56" s="39" t="s">
        <v>332</v>
      </c>
      <c r="C56" s="39">
        <v>2020</v>
      </c>
      <c r="D56" s="67" t="s">
        <v>336</v>
      </c>
      <c r="E56" s="39" t="s">
        <v>133</v>
      </c>
      <c r="F56" s="39" t="s">
        <v>309</v>
      </c>
      <c r="G56" s="39" t="s">
        <v>36</v>
      </c>
      <c r="H56" s="39" t="s">
        <v>146</v>
      </c>
      <c r="I56" s="39" t="s">
        <v>142</v>
      </c>
      <c r="J56" s="39" t="s">
        <v>38</v>
      </c>
      <c r="K56" s="39" t="s">
        <v>143</v>
      </c>
      <c r="L56" s="39">
        <v>1</v>
      </c>
      <c r="N56" s="39">
        <v>4</v>
      </c>
      <c r="O56" s="39">
        <v>0.9</v>
      </c>
      <c r="P56" s="39">
        <v>0.8</v>
      </c>
      <c r="Q56" s="5">
        <f t="shared" si="3"/>
        <v>0.85000000000000009</v>
      </c>
      <c r="R56" s="39">
        <v>18.899999999999999</v>
      </c>
      <c r="S56" s="39">
        <v>109</v>
      </c>
      <c r="T56" s="45">
        <f t="shared" si="4"/>
        <v>33</v>
      </c>
      <c r="U56" s="39">
        <v>498</v>
      </c>
      <c r="V56" s="45">
        <f t="shared" si="5"/>
        <v>4108.5</v>
      </c>
      <c r="W56" s="39">
        <v>3</v>
      </c>
      <c r="X56" s="39" t="s">
        <v>46</v>
      </c>
      <c r="Y56" s="39" t="s">
        <v>55</v>
      </c>
      <c r="Z56" s="39" t="s">
        <v>40</v>
      </c>
      <c r="AA56" s="39" t="s">
        <v>47</v>
      </c>
      <c r="AB56" s="56" t="s">
        <v>331</v>
      </c>
    </row>
    <row r="57" spans="1:28" x14ac:dyDescent="0.15">
      <c r="A57" s="39" t="s">
        <v>35</v>
      </c>
      <c r="B57" s="39" t="s">
        <v>332</v>
      </c>
      <c r="C57" s="39">
        <v>2020</v>
      </c>
      <c r="D57" s="67" t="s">
        <v>336</v>
      </c>
      <c r="E57" s="39" t="s">
        <v>133</v>
      </c>
      <c r="F57" s="39" t="s">
        <v>309</v>
      </c>
      <c r="G57" s="39" t="s">
        <v>36</v>
      </c>
      <c r="H57" s="39" t="s">
        <v>146</v>
      </c>
      <c r="I57" s="39" t="s">
        <v>142</v>
      </c>
      <c r="J57" s="39" t="s">
        <v>38</v>
      </c>
      <c r="K57" s="39" t="s">
        <v>143</v>
      </c>
      <c r="L57" s="39">
        <v>2</v>
      </c>
      <c r="N57" s="39">
        <v>4</v>
      </c>
      <c r="O57" s="39">
        <v>0.8</v>
      </c>
      <c r="P57" s="39">
        <v>0.6</v>
      </c>
      <c r="Q57" s="5">
        <f t="shared" si="3"/>
        <v>0.7</v>
      </c>
      <c r="R57" s="39">
        <v>19.399999999999999</v>
      </c>
      <c r="S57" s="39">
        <v>115</v>
      </c>
      <c r="T57" s="45">
        <f t="shared" si="4"/>
        <v>30</v>
      </c>
      <c r="U57" s="39">
        <v>498</v>
      </c>
      <c r="V57" s="45">
        <f t="shared" si="5"/>
        <v>3735</v>
      </c>
      <c r="W57" s="39">
        <v>3</v>
      </c>
      <c r="X57" s="39" t="s">
        <v>46</v>
      </c>
      <c r="Y57" s="39" t="s">
        <v>55</v>
      </c>
      <c r="Z57" s="39" t="s">
        <v>40</v>
      </c>
      <c r="AA57" s="39" t="s">
        <v>47</v>
      </c>
      <c r="AB57" s="56" t="s">
        <v>331</v>
      </c>
    </row>
    <row r="58" spans="1:28" x14ac:dyDescent="0.15">
      <c r="A58" s="39" t="s">
        <v>35</v>
      </c>
      <c r="B58" s="39" t="s">
        <v>332</v>
      </c>
      <c r="C58" s="39">
        <v>2020</v>
      </c>
      <c r="D58" s="67" t="s">
        <v>336</v>
      </c>
      <c r="E58" s="39" t="s">
        <v>133</v>
      </c>
      <c r="F58" s="39" t="s">
        <v>309</v>
      </c>
      <c r="G58" s="39" t="s">
        <v>36</v>
      </c>
      <c r="H58" s="39" t="s">
        <v>146</v>
      </c>
      <c r="I58" s="39" t="s">
        <v>142</v>
      </c>
      <c r="J58" s="39" t="s">
        <v>38</v>
      </c>
      <c r="K58" s="39" t="s">
        <v>143</v>
      </c>
      <c r="L58" s="39">
        <v>3</v>
      </c>
      <c r="N58" s="39">
        <v>4</v>
      </c>
      <c r="O58" s="39">
        <v>0.9</v>
      </c>
      <c r="P58" s="39">
        <v>0.8</v>
      </c>
      <c r="Q58" s="5">
        <f t="shared" si="3"/>
        <v>0.85000000000000009</v>
      </c>
      <c r="R58" s="39">
        <v>18.8</v>
      </c>
      <c r="S58" s="39">
        <v>115</v>
      </c>
      <c r="T58" s="45">
        <f t="shared" si="4"/>
        <v>30</v>
      </c>
      <c r="U58" s="39">
        <v>498</v>
      </c>
      <c r="V58" s="45">
        <f t="shared" si="5"/>
        <v>3735</v>
      </c>
      <c r="W58" s="39">
        <v>3</v>
      </c>
      <c r="X58" s="39" t="s">
        <v>46</v>
      </c>
      <c r="Y58" s="39" t="s">
        <v>55</v>
      </c>
      <c r="Z58" s="39" t="s">
        <v>40</v>
      </c>
      <c r="AA58" s="39" t="s">
        <v>47</v>
      </c>
      <c r="AB58" s="56" t="s">
        <v>331</v>
      </c>
    </row>
    <row r="59" spans="1:28" x14ac:dyDescent="0.15">
      <c r="A59" s="39" t="s">
        <v>35</v>
      </c>
      <c r="B59" s="39" t="s">
        <v>332</v>
      </c>
      <c r="C59" s="39">
        <v>2020</v>
      </c>
      <c r="D59" s="67" t="s">
        <v>336</v>
      </c>
      <c r="E59" s="39" t="s">
        <v>133</v>
      </c>
      <c r="F59" s="39" t="s">
        <v>309</v>
      </c>
      <c r="G59" s="39" t="s">
        <v>36</v>
      </c>
      <c r="H59" s="39" t="s">
        <v>334</v>
      </c>
      <c r="I59" s="39" t="s">
        <v>142</v>
      </c>
      <c r="J59" s="39" t="s">
        <v>38</v>
      </c>
      <c r="K59" s="39" t="s">
        <v>143</v>
      </c>
      <c r="L59" s="39">
        <v>1</v>
      </c>
      <c r="N59" s="39">
        <v>4</v>
      </c>
      <c r="O59" s="39">
        <v>0.9</v>
      </c>
      <c r="P59" s="39">
        <v>0.9</v>
      </c>
      <c r="Q59" s="5">
        <f t="shared" si="3"/>
        <v>0.9</v>
      </c>
      <c r="R59" s="39">
        <v>19.399999999999999</v>
      </c>
      <c r="S59" s="39">
        <v>78</v>
      </c>
      <c r="T59" s="45">
        <f t="shared" si="4"/>
        <v>39</v>
      </c>
      <c r="U59" s="39">
        <v>498</v>
      </c>
      <c r="V59" s="45">
        <f t="shared" si="5"/>
        <v>4855.5</v>
      </c>
      <c r="W59" s="39">
        <v>1</v>
      </c>
      <c r="X59" s="39" t="s">
        <v>46</v>
      </c>
      <c r="Y59" s="39" t="s">
        <v>55</v>
      </c>
      <c r="Z59" s="39" t="s">
        <v>40</v>
      </c>
      <c r="AA59" s="39" t="s">
        <v>47</v>
      </c>
      <c r="AB59" s="56" t="s">
        <v>331</v>
      </c>
    </row>
    <row r="60" spans="1:28" x14ac:dyDescent="0.15">
      <c r="A60" s="39" t="s">
        <v>35</v>
      </c>
      <c r="B60" s="39" t="s">
        <v>332</v>
      </c>
      <c r="C60" s="39">
        <v>2020</v>
      </c>
      <c r="D60" s="67" t="s">
        <v>336</v>
      </c>
      <c r="E60" s="39" t="s">
        <v>133</v>
      </c>
      <c r="F60" s="39" t="s">
        <v>309</v>
      </c>
      <c r="G60" s="39" t="s">
        <v>36</v>
      </c>
      <c r="H60" s="39" t="s">
        <v>334</v>
      </c>
      <c r="I60" s="39" t="s">
        <v>142</v>
      </c>
      <c r="J60" s="39" t="s">
        <v>38</v>
      </c>
      <c r="K60" s="39" t="s">
        <v>143</v>
      </c>
      <c r="L60" s="39">
        <v>2</v>
      </c>
      <c r="N60" s="39">
        <v>4</v>
      </c>
      <c r="O60" s="39">
        <v>0.75</v>
      </c>
      <c r="P60" s="39">
        <v>0.6</v>
      </c>
      <c r="Q60" s="5">
        <f t="shared" si="3"/>
        <v>0.67500000000000004</v>
      </c>
      <c r="R60" s="39">
        <v>21.8</v>
      </c>
      <c r="S60" s="39">
        <v>75</v>
      </c>
      <c r="T60" s="45">
        <f t="shared" si="4"/>
        <v>42</v>
      </c>
      <c r="U60" s="39">
        <v>498</v>
      </c>
      <c r="V60" s="45">
        <f t="shared" si="5"/>
        <v>5229</v>
      </c>
      <c r="W60" s="39">
        <v>1</v>
      </c>
      <c r="X60" s="39" t="s">
        <v>46</v>
      </c>
      <c r="Y60" s="39" t="s">
        <v>55</v>
      </c>
      <c r="Z60" s="39" t="s">
        <v>40</v>
      </c>
      <c r="AA60" s="39" t="s">
        <v>47</v>
      </c>
      <c r="AB60" s="56" t="s">
        <v>331</v>
      </c>
    </row>
    <row r="61" spans="1:28" x14ac:dyDescent="0.15">
      <c r="A61" s="39" t="s">
        <v>35</v>
      </c>
      <c r="B61" s="39" t="s">
        <v>332</v>
      </c>
      <c r="C61" s="39">
        <v>2020</v>
      </c>
      <c r="D61" s="67" t="s">
        <v>336</v>
      </c>
      <c r="E61" s="39" t="s">
        <v>133</v>
      </c>
      <c r="F61" s="39" t="s">
        <v>309</v>
      </c>
      <c r="G61" s="39" t="s">
        <v>36</v>
      </c>
      <c r="H61" s="39" t="s">
        <v>334</v>
      </c>
      <c r="I61" s="39" t="s">
        <v>142</v>
      </c>
      <c r="J61" s="39" t="s">
        <v>38</v>
      </c>
      <c r="K61" s="39" t="s">
        <v>143</v>
      </c>
      <c r="L61" s="39">
        <v>3</v>
      </c>
      <c r="N61" s="39">
        <v>4</v>
      </c>
      <c r="O61" s="39">
        <v>0.5</v>
      </c>
      <c r="P61" s="39">
        <v>0.5</v>
      </c>
      <c r="Q61" s="5">
        <f t="shared" si="3"/>
        <v>0.5</v>
      </c>
      <c r="R61" s="39">
        <v>17.8</v>
      </c>
      <c r="S61" s="39">
        <v>73</v>
      </c>
      <c r="T61" s="45">
        <f t="shared" si="4"/>
        <v>42</v>
      </c>
      <c r="U61" s="39">
        <v>498</v>
      </c>
      <c r="V61" s="45">
        <f t="shared" si="5"/>
        <v>5229</v>
      </c>
      <c r="W61" s="39">
        <v>1</v>
      </c>
      <c r="X61" s="39" t="s">
        <v>46</v>
      </c>
      <c r="Y61" s="39" t="s">
        <v>55</v>
      </c>
      <c r="Z61" s="39" t="s">
        <v>40</v>
      </c>
      <c r="AA61" s="39" t="s">
        <v>47</v>
      </c>
      <c r="AB61" s="56" t="s">
        <v>331</v>
      </c>
    </row>
    <row r="62" spans="1:28" x14ac:dyDescent="0.15">
      <c r="A62" s="39" t="s">
        <v>35</v>
      </c>
      <c r="B62" s="39" t="s">
        <v>332</v>
      </c>
      <c r="C62" s="39">
        <v>2020</v>
      </c>
      <c r="D62" s="67" t="s">
        <v>336</v>
      </c>
      <c r="E62" s="39" t="s">
        <v>132</v>
      </c>
      <c r="F62" s="39" t="s">
        <v>306</v>
      </c>
      <c r="G62" s="39" t="s">
        <v>36</v>
      </c>
      <c r="H62" s="39" t="s">
        <v>127</v>
      </c>
      <c r="I62" s="39" t="s">
        <v>142</v>
      </c>
      <c r="J62" s="39" t="s">
        <v>58</v>
      </c>
      <c r="K62" s="39" t="s">
        <v>59</v>
      </c>
      <c r="L62" s="39">
        <v>1</v>
      </c>
      <c r="N62" s="39">
        <v>1</v>
      </c>
      <c r="O62" s="39">
        <v>1.3</v>
      </c>
      <c r="P62" s="39">
        <v>1.6</v>
      </c>
      <c r="Q62" s="5">
        <f t="shared" si="3"/>
        <v>1.4500000000000002</v>
      </c>
      <c r="R62" s="39">
        <v>14.1</v>
      </c>
      <c r="S62" s="39">
        <v>84</v>
      </c>
      <c r="T62" s="45">
        <f t="shared" si="4"/>
        <v>36</v>
      </c>
      <c r="U62" s="39">
        <v>108</v>
      </c>
      <c r="V62" s="45">
        <f t="shared" si="5"/>
        <v>3888</v>
      </c>
      <c r="W62" s="39">
        <v>2</v>
      </c>
      <c r="X62" s="39" t="s">
        <v>46</v>
      </c>
      <c r="Y62" s="39" t="s">
        <v>47</v>
      </c>
      <c r="Z62" s="39" t="s">
        <v>55</v>
      </c>
      <c r="AA62" s="39" t="s">
        <v>40</v>
      </c>
      <c r="AB62" s="56" t="s">
        <v>331</v>
      </c>
    </row>
    <row r="63" spans="1:28" x14ac:dyDescent="0.15">
      <c r="A63" s="39" t="s">
        <v>35</v>
      </c>
      <c r="B63" s="39" t="s">
        <v>332</v>
      </c>
      <c r="C63" s="39">
        <v>2020</v>
      </c>
      <c r="D63" s="67" t="s">
        <v>336</v>
      </c>
      <c r="E63" s="39" t="s">
        <v>132</v>
      </c>
      <c r="F63" s="39" t="s">
        <v>306</v>
      </c>
      <c r="G63" s="39" t="s">
        <v>36</v>
      </c>
      <c r="H63" s="39" t="s">
        <v>127</v>
      </c>
      <c r="I63" s="39" t="s">
        <v>142</v>
      </c>
      <c r="J63" s="39" t="s">
        <v>58</v>
      </c>
      <c r="K63" s="39" t="s">
        <v>59</v>
      </c>
      <c r="L63" s="39">
        <v>2</v>
      </c>
      <c r="N63" s="39">
        <v>1</v>
      </c>
      <c r="O63" s="39">
        <v>1.25</v>
      </c>
      <c r="P63" s="39">
        <v>1.5</v>
      </c>
      <c r="Q63" s="5">
        <f t="shared" si="3"/>
        <v>1.375</v>
      </c>
      <c r="R63" s="39">
        <v>14.1</v>
      </c>
      <c r="S63" s="39">
        <v>88</v>
      </c>
      <c r="T63" s="45">
        <f t="shared" si="4"/>
        <v>36</v>
      </c>
      <c r="U63" s="39">
        <v>108</v>
      </c>
      <c r="V63" s="45">
        <f t="shared" si="5"/>
        <v>3888</v>
      </c>
      <c r="W63" s="39">
        <v>2</v>
      </c>
      <c r="X63" s="39" t="s">
        <v>46</v>
      </c>
      <c r="Y63" s="39" t="s">
        <v>47</v>
      </c>
      <c r="Z63" s="39" t="s">
        <v>55</v>
      </c>
      <c r="AA63" s="39" t="s">
        <v>40</v>
      </c>
      <c r="AB63" s="56" t="s">
        <v>331</v>
      </c>
    </row>
    <row r="64" spans="1:28" x14ac:dyDescent="0.15">
      <c r="A64" s="39" t="s">
        <v>35</v>
      </c>
      <c r="B64" s="39" t="s">
        <v>332</v>
      </c>
      <c r="C64" s="39">
        <v>2020</v>
      </c>
      <c r="D64" s="67" t="s">
        <v>336</v>
      </c>
      <c r="E64" s="39" t="s">
        <v>132</v>
      </c>
      <c r="F64" s="39" t="s">
        <v>306</v>
      </c>
      <c r="G64" s="39" t="s">
        <v>36</v>
      </c>
      <c r="H64" s="39" t="s">
        <v>127</v>
      </c>
      <c r="I64" s="39" t="s">
        <v>142</v>
      </c>
      <c r="J64" s="39" t="s">
        <v>58</v>
      </c>
      <c r="K64" s="39" t="s">
        <v>59</v>
      </c>
      <c r="L64" s="39">
        <v>3</v>
      </c>
      <c r="N64" s="39">
        <v>1</v>
      </c>
      <c r="O64" s="39">
        <v>1.65</v>
      </c>
      <c r="P64" s="39">
        <v>1.7</v>
      </c>
      <c r="Q64" s="5">
        <f t="shared" si="3"/>
        <v>1.6749999999999998</v>
      </c>
      <c r="R64" s="39">
        <v>14</v>
      </c>
      <c r="S64" s="39">
        <v>98</v>
      </c>
      <c r="T64" s="45">
        <f t="shared" si="4"/>
        <v>36</v>
      </c>
      <c r="U64" s="39">
        <v>108</v>
      </c>
      <c r="V64" s="45">
        <f t="shared" si="5"/>
        <v>3888</v>
      </c>
      <c r="W64" s="39">
        <v>2</v>
      </c>
      <c r="X64" s="39" t="s">
        <v>46</v>
      </c>
      <c r="Y64" s="39" t="s">
        <v>47</v>
      </c>
      <c r="Z64" s="39" t="s">
        <v>55</v>
      </c>
      <c r="AA64" s="39" t="s">
        <v>40</v>
      </c>
      <c r="AB64" s="56" t="s">
        <v>331</v>
      </c>
    </row>
    <row r="65" spans="1:28" x14ac:dyDescent="0.15">
      <c r="A65" s="39" t="s">
        <v>35</v>
      </c>
      <c r="B65" s="39" t="s">
        <v>332</v>
      </c>
      <c r="C65" s="39">
        <v>2020</v>
      </c>
      <c r="D65" s="67" t="s">
        <v>336</v>
      </c>
      <c r="E65" s="39" t="s">
        <v>132</v>
      </c>
      <c r="F65" s="39" t="s">
        <v>306</v>
      </c>
      <c r="G65" s="39" t="s">
        <v>36</v>
      </c>
      <c r="H65" s="39" t="s">
        <v>127</v>
      </c>
      <c r="I65" s="39" t="s">
        <v>142</v>
      </c>
      <c r="J65" s="39" t="s">
        <v>53</v>
      </c>
      <c r="K65" s="39" t="s">
        <v>54</v>
      </c>
      <c r="L65" s="39">
        <v>1</v>
      </c>
      <c r="N65" s="39">
        <v>5</v>
      </c>
      <c r="O65" s="39">
        <v>2</v>
      </c>
      <c r="P65" s="39">
        <v>1.75</v>
      </c>
      <c r="Q65" s="5">
        <f t="shared" si="3"/>
        <v>1.875</v>
      </c>
      <c r="R65" s="39">
        <v>17</v>
      </c>
      <c r="S65" s="39">
        <v>90</v>
      </c>
      <c r="T65" s="45">
        <f t="shared" si="4"/>
        <v>36</v>
      </c>
      <c r="U65" s="39">
        <v>398</v>
      </c>
      <c r="V65" s="45">
        <f t="shared" si="5"/>
        <v>2865.6</v>
      </c>
      <c r="W65" s="39">
        <v>1</v>
      </c>
      <c r="X65" s="39" t="s">
        <v>46</v>
      </c>
      <c r="Y65" s="39" t="s">
        <v>47</v>
      </c>
      <c r="Z65" s="39" t="s">
        <v>55</v>
      </c>
      <c r="AA65" s="39" t="s">
        <v>40</v>
      </c>
      <c r="AB65" s="56" t="s">
        <v>331</v>
      </c>
    </row>
    <row r="66" spans="1:28" x14ac:dyDescent="0.15">
      <c r="A66" s="39" t="s">
        <v>35</v>
      </c>
      <c r="B66" s="39" t="s">
        <v>332</v>
      </c>
      <c r="C66" s="39">
        <v>2020</v>
      </c>
      <c r="D66" s="67" t="s">
        <v>336</v>
      </c>
      <c r="E66" s="39" t="s">
        <v>132</v>
      </c>
      <c r="F66" s="39" t="s">
        <v>306</v>
      </c>
      <c r="G66" s="39" t="s">
        <v>36</v>
      </c>
      <c r="H66" s="39" t="s">
        <v>127</v>
      </c>
      <c r="I66" s="39" t="s">
        <v>142</v>
      </c>
      <c r="J66" s="39" t="s">
        <v>53</v>
      </c>
      <c r="K66" s="39" t="s">
        <v>54</v>
      </c>
      <c r="L66" s="39">
        <v>2</v>
      </c>
      <c r="N66" s="39">
        <v>5</v>
      </c>
      <c r="O66" s="39">
        <v>1.65</v>
      </c>
      <c r="P66" s="39">
        <v>1.8</v>
      </c>
      <c r="Q66" s="5">
        <f t="shared" ref="Q66:Q97" si="6">IF(OR(O66="",P66=""),"",AVERAGE(O66,P66))</f>
        <v>1.7250000000000001</v>
      </c>
      <c r="R66" s="39">
        <v>12.7</v>
      </c>
      <c r="S66" s="39">
        <v>91</v>
      </c>
      <c r="T66" s="45">
        <f t="shared" ref="T66:T97" si="7">IF(H66="","",IF(OR(H66="GREEN",H66="GK"),IF(S66&gt;=$AX$2,VLOOKUP(S66,$AX$2:$AY$12,2,1),""),IF(S66&gt;=$AZ$2,VLOOKUP(S66,$AZ$2:$BA$12,2,1),"")))</f>
        <v>36</v>
      </c>
      <c r="U66" s="39">
        <v>398</v>
      </c>
      <c r="V66" s="45">
        <f t="shared" ref="V66:V97" si="8">IF(OR(N66="",U66="",T66=""),"",U66/N66*T66)</f>
        <v>2865.6</v>
      </c>
      <c r="W66" s="39">
        <v>1</v>
      </c>
      <c r="X66" s="39" t="s">
        <v>46</v>
      </c>
      <c r="Y66" s="39" t="s">
        <v>47</v>
      </c>
      <c r="Z66" s="39" t="s">
        <v>55</v>
      </c>
      <c r="AA66" s="39" t="s">
        <v>40</v>
      </c>
      <c r="AB66" s="56" t="s">
        <v>331</v>
      </c>
    </row>
    <row r="67" spans="1:28" x14ac:dyDescent="0.15">
      <c r="A67" s="39" t="s">
        <v>35</v>
      </c>
      <c r="B67" s="39" t="s">
        <v>332</v>
      </c>
      <c r="C67" s="39">
        <v>2020</v>
      </c>
      <c r="D67" s="67" t="s">
        <v>336</v>
      </c>
      <c r="E67" s="39" t="s">
        <v>132</v>
      </c>
      <c r="F67" s="39" t="s">
        <v>306</v>
      </c>
      <c r="G67" s="39" t="s">
        <v>36</v>
      </c>
      <c r="H67" s="39" t="s">
        <v>127</v>
      </c>
      <c r="I67" s="39" t="s">
        <v>142</v>
      </c>
      <c r="J67" s="39" t="s">
        <v>53</v>
      </c>
      <c r="K67" s="39" t="s">
        <v>54</v>
      </c>
      <c r="L67" s="39">
        <v>3</v>
      </c>
      <c r="N67" s="39">
        <v>5</v>
      </c>
      <c r="O67" s="39">
        <v>1.5</v>
      </c>
      <c r="P67" s="39">
        <v>1.5</v>
      </c>
      <c r="Q67" s="5">
        <f t="shared" si="6"/>
        <v>1.5</v>
      </c>
      <c r="R67" s="39">
        <v>14.1</v>
      </c>
      <c r="S67" s="39">
        <v>95</v>
      </c>
      <c r="T67" s="45">
        <f t="shared" si="7"/>
        <v>36</v>
      </c>
      <c r="U67" s="39">
        <v>398</v>
      </c>
      <c r="V67" s="45">
        <f t="shared" si="8"/>
        <v>2865.6</v>
      </c>
      <c r="W67" s="39">
        <v>1</v>
      </c>
      <c r="X67" s="39" t="s">
        <v>46</v>
      </c>
      <c r="Y67" s="39" t="s">
        <v>47</v>
      </c>
      <c r="Z67" s="39" t="s">
        <v>55</v>
      </c>
      <c r="AA67" s="39" t="s">
        <v>40</v>
      </c>
      <c r="AB67" s="56" t="s">
        <v>331</v>
      </c>
    </row>
    <row r="68" spans="1:28" x14ac:dyDescent="0.15">
      <c r="A68" s="39" t="s">
        <v>35</v>
      </c>
      <c r="B68" s="39" t="s">
        <v>332</v>
      </c>
      <c r="C68" s="39">
        <v>2020</v>
      </c>
      <c r="D68" s="67" t="s">
        <v>336</v>
      </c>
      <c r="E68" s="39" t="s">
        <v>132</v>
      </c>
      <c r="F68" s="39" t="s">
        <v>306</v>
      </c>
      <c r="G68" s="39" t="s">
        <v>36</v>
      </c>
      <c r="H68" s="39" t="s">
        <v>127</v>
      </c>
      <c r="I68" s="39" t="s">
        <v>142</v>
      </c>
      <c r="J68" s="39" t="s">
        <v>104</v>
      </c>
      <c r="K68" s="39" t="s">
        <v>123</v>
      </c>
      <c r="L68" s="39">
        <v>1</v>
      </c>
      <c r="N68" s="39">
        <v>4</v>
      </c>
      <c r="O68" s="39">
        <v>0.7</v>
      </c>
      <c r="P68" s="39">
        <v>0.6</v>
      </c>
      <c r="Q68" s="5">
        <f t="shared" si="6"/>
        <v>0.64999999999999991</v>
      </c>
      <c r="R68" s="39">
        <v>12.3</v>
      </c>
      <c r="S68" s="39">
        <v>96</v>
      </c>
      <c r="T68" s="45">
        <f t="shared" si="7"/>
        <v>36</v>
      </c>
      <c r="U68" s="39">
        <v>498</v>
      </c>
      <c r="V68" s="45">
        <f t="shared" si="8"/>
        <v>4482</v>
      </c>
      <c r="W68" s="39">
        <v>1</v>
      </c>
      <c r="X68" s="39" t="s">
        <v>46</v>
      </c>
      <c r="Y68" s="39" t="s">
        <v>47</v>
      </c>
      <c r="Z68" s="39" t="s">
        <v>55</v>
      </c>
      <c r="AA68" s="39" t="s">
        <v>40</v>
      </c>
      <c r="AB68" s="56" t="s">
        <v>331</v>
      </c>
    </row>
    <row r="69" spans="1:28" x14ac:dyDescent="0.15">
      <c r="A69" s="39" t="s">
        <v>35</v>
      </c>
      <c r="B69" s="39" t="s">
        <v>332</v>
      </c>
      <c r="C69" s="39">
        <v>2020</v>
      </c>
      <c r="D69" s="67" t="s">
        <v>336</v>
      </c>
      <c r="E69" s="39" t="s">
        <v>132</v>
      </c>
      <c r="F69" s="39" t="s">
        <v>306</v>
      </c>
      <c r="G69" s="39" t="s">
        <v>36</v>
      </c>
      <c r="H69" s="39" t="s">
        <v>127</v>
      </c>
      <c r="I69" s="39" t="s">
        <v>142</v>
      </c>
      <c r="J69" s="39" t="s">
        <v>104</v>
      </c>
      <c r="K69" s="39" t="s">
        <v>123</v>
      </c>
      <c r="L69" s="39">
        <v>2</v>
      </c>
      <c r="N69" s="39">
        <v>4</v>
      </c>
      <c r="O69" s="39">
        <v>0.5</v>
      </c>
      <c r="P69" s="39">
        <v>0.5</v>
      </c>
      <c r="Q69" s="5">
        <f t="shared" si="6"/>
        <v>0.5</v>
      </c>
      <c r="R69" s="39">
        <v>12.2</v>
      </c>
      <c r="S69" s="39">
        <v>95</v>
      </c>
      <c r="T69" s="45">
        <f t="shared" si="7"/>
        <v>36</v>
      </c>
      <c r="U69" s="39">
        <v>498</v>
      </c>
      <c r="V69" s="45">
        <f t="shared" si="8"/>
        <v>4482</v>
      </c>
      <c r="W69" s="39">
        <v>1</v>
      </c>
      <c r="X69" s="39" t="s">
        <v>46</v>
      </c>
      <c r="Y69" s="39" t="s">
        <v>47</v>
      </c>
      <c r="Z69" s="39" t="s">
        <v>55</v>
      </c>
      <c r="AA69" s="39" t="s">
        <v>40</v>
      </c>
      <c r="AB69" s="56" t="s">
        <v>331</v>
      </c>
    </row>
    <row r="70" spans="1:28" x14ac:dyDescent="0.15">
      <c r="A70" s="39" t="s">
        <v>35</v>
      </c>
      <c r="B70" s="39" t="s">
        <v>332</v>
      </c>
      <c r="C70" s="39">
        <v>2020</v>
      </c>
      <c r="D70" s="67" t="s">
        <v>336</v>
      </c>
      <c r="E70" s="39" t="s">
        <v>132</v>
      </c>
      <c r="F70" s="39" t="s">
        <v>306</v>
      </c>
      <c r="G70" s="39" t="s">
        <v>36</v>
      </c>
      <c r="H70" s="39" t="s">
        <v>127</v>
      </c>
      <c r="I70" s="39" t="s">
        <v>142</v>
      </c>
      <c r="J70" s="39" t="s">
        <v>104</v>
      </c>
      <c r="K70" s="39" t="s">
        <v>123</v>
      </c>
      <c r="L70" s="39">
        <v>3</v>
      </c>
      <c r="N70" s="39">
        <v>4</v>
      </c>
      <c r="O70" s="39">
        <v>1</v>
      </c>
      <c r="P70" s="39">
        <v>1.5</v>
      </c>
      <c r="Q70" s="5">
        <f t="shared" si="6"/>
        <v>1.25</v>
      </c>
      <c r="R70" s="39">
        <v>13.7</v>
      </c>
      <c r="S70" s="39">
        <v>94</v>
      </c>
      <c r="T70" s="45">
        <f t="shared" si="7"/>
        <v>36</v>
      </c>
      <c r="U70" s="39">
        <v>498</v>
      </c>
      <c r="V70" s="45">
        <f t="shared" si="8"/>
        <v>4482</v>
      </c>
      <c r="W70" s="39">
        <v>1</v>
      </c>
      <c r="X70" s="39" t="s">
        <v>46</v>
      </c>
      <c r="Y70" s="39" t="s">
        <v>47</v>
      </c>
      <c r="Z70" s="39" t="s">
        <v>55</v>
      </c>
      <c r="AA70" s="39" t="s">
        <v>40</v>
      </c>
      <c r="AB70" s="56" t="s">
        <v>331</v>
      </c>
    </row>
    <row r="71" spans="1:28" x14ac:dyDescent="0.15">
      <c r="A71" s="39" t="s">
        <v>35</v>
      </c>
      <c r="B71" s="39" t="s">
        <v>332</v>
      </c>
      <c r="C71" s="39">
        <v>2020</v>
      </c>
      <c r="D71" s="67" t="s">
        <v>336</v>
      </c>
      <c r="E71" s="39" t="s">
        <v>132</v>
      </c>
      <c r="F71" s="39" t="s">
        <v>306</v>
      </c>
      <c r="G71" s="39" t="s">
        <v>36</v>
      </c>
      <c r="H71" s="39" t="s">
        <v>127</v>
      </c>
      <c r="I71" s="39" t="s">
        <v>145</v>
      </c>
      <c r="J71" s="39" t="s">
        <v>80</v>
      </c>
      <c r="K71" s="39" t="s">
        <v>63</v>
      </c>
      <c r="L71" s="39">
        <v>1</v>
      </c>
      <c r="N71" s="39">
        <v>5</v>
      </c>
      <c r="O71" s="39">
        <v>0.8</v>
      </c>
      <c r="P71" s="39">
        <v>0.9</v>
      </c>
      <c r="Q71" s="5">
        <f t="shared" si="6"/>
        <v>0.85000000000000009</v>
      </c>
      <c r="R71" s="39">
        <v>11.8</v>
      </c>
      <c r="S71" s="39">
        <v>75</v>
      </c>
      <c r="T71" s="45">
        <f t="shared" si="7"/>
        <v>42</v>
      </c>
      <c r="U71" s="39">
        <v>198</v>
      </c>
      <c r="V71" s="45">
        <f t="shared" si="8"/>
        <v>1663.2</v>
      </c>
      <c r="W71" s="39">
        <v>2</v>
      </c>
      <c r="X71" s="39" t="s">
        <v>46</v>
      </c>
      <c r="Y71" s="39" t="s">
        <v>47</v>
      </c>
      <c r="Z71" s="39" t="s">
        <v>55</v>
      </c>
      <c r="AA71" s="39" t="s">
        <v>40</v>
      </c>
      <c r="AB71" s="56" t="s">
        <v>331</v>
      </c>
    </row>
    <row r="72" spans="1:28" x14ac:dyDescent="0.15">
      <c r="A72" s="39" t="s">
        <v>35</v>
      </c>
      <c r="B72" s="39" t="s">
        <v>332</v>
      </c>
      <c r="C72" s="39">
        <v>2020</v>
      </c>
      <c r="D72" s="67" t="s">
        <v>336</v>
      </c>
      <c r="E72" s="39" t="s">
        <v>132</v>
      </c>
      <c r="F72" s="39" t="s">
        <v>306</v>
      </c>
      <c r="G72" s="39" t="s">
        <v>36</v>
      </c>
      <c r="H72" s="39" t="s">
        <v>127</v>
      </c>
      <c r="I72" s="39" t="s">
        <v>145</v>
      </c>
      <c r="J72" s="39" t="s">
        <v>80</v>
      </c>
      <c r="K72" s="39" t="s">
        <v>63</v>
      </c>
      <c r="L72" s="39">
        <v>2</v>
      </c>
      <c r="N72" s="39">
        <v>5</v>
      </c>
      <c r="O72" s="39">
        <v>1.3</v>
      </c>
      <c r="P72" s="39">
        <v>1.5</v>
      </c>
      <c r="Q72" s="5">
        <f t="shared" si="6"/>
        <v>1.4</v>
      </c>
      <c r="R72" s="39">
        <v>14.2</v>
      </c>
      <c r="S72" s="39">
        <v>72</v>
      </c>
      <c r="T72" s="45">
        <f t="shared" si="7"/>
        <v>42</v>
      </c>
      <c r="U72" s="39">
        <v>198</v>
      </c>
      <c r="V72" s="45">
        <f t="shared" si="8"/>
        <v>1663.2</v>
      </c>
      <c r="W72" s="39">
        <v>2</v>
      </c>
      <c r="X72" s="39" t="s">
        <v>46</v>
      </c>
      <c r="Y72" s="39" t="s">
        <v>47</v>
      </c>
      <c r="Z72" s="39" t="s">
        <v>55</v>
      </c>
      <c r="AA72" s="39" t="s">
        <v>40</v>
      </c>
      <c r="AB72" s="56" t="s">
        <v>331</v>
      </c>
    </row>
    <row r="73" spans="1:28" x14ac:dyDescent="0.15">
      <c r="A73" s="39" t="s">
        <v>35</v>
      </c>
      <c r="B73" s="39" t="s">
        <v>332</v>
      </c>
      <c r="C73" s="39">
        <v>2020</v>
      </c>
      <c r="D73" s="67" t="s">
        <v>336</v>
      </c>
      <c r="E73" s="39" t="s">
        <v>132</v>
      </c>
      <c r="F73" s="39" t="s">
        <v>306</v>
      </c>
      <c r="G73" s="39" t="s">
        <v>36</v>
      </c>
      <c r="H73" s="39" t="s">
        <v>127</v>
      </c>
      <c r="I73" s="39" t="s">
        <v>145</v>
      </c>
      <c r="J73" s="39" t="s">
        <v>80</v>
      </c>
      <c r="K73" s="39" t="s">
        <v>63</v>
      </c>
      <c r="L73" s="39">
        <v>3</v>
      </c>
      <c r="N73" s="39">
        <v>5</v>
      </c>
      <c r="O73" s="39">
        <v>1.2</v>
      </c>
      <c r="P73" s="39">
        <v>1.5</v>
      </c>
      <c r="Q73" s="5">
        <f t="shared" si="6"/>
        <v>1.35</v>
      </c>
      <c r="R73" s="39">
        <v>12.5</v>
      </c>
      <c r="S73" s="39">
        <v>74</v>
      </c>
      <c r="T73" s="45">
        <f t="shared" si="7"/>
        <v>42</v>
      </c>
      <c r="U73" s="39">
        <v>198</v>
      </c>
      <c r="V73" s="45">
        <f t="shared" si="8"/>
        <v>1663.2</v>
      </c>
      <c r="W73" s="39">
        <v>2</v>
      </c>
      <c r="X73" s="39" t="s">
        <v>46</v>
      </c>
      <c r="Y73" s="39" t="s">
        <v>47</v>
      </c>
      <c r="Z73" s="39" t="s">
        <v>55</v>
      </c>
      <c r="AA73" s="39" t="s">
        <v>40</v>
      </c>
      <c r="AB73" s="56" t="s">
        <v>331</v>
      </c>
    </row>
    <row r="74" spans="1:28" x14ac:dyDescent="0.15">
      <c r="A74" s="39" t="s">
        <v>35</v>
      </c>
      <c r="B74" s="39" t="s">
        <v>332</v>
      </c>
      <c r="C74" s="39">
        <v>2020</v>
      </c>
      <c r="D74" s="67" t="s">
        <v>336</v>
      </c>
      <c r="E74" s="39" t="s">
        <v>132</v>
      </c>
      <c r="F74" s="39" t="s">
        <v>306</v>
      </c>
      <c r="G74" s="39" t="s">
        <v>36</v>
      </c>
      <c r="H74" s="39" t="s">
        <v>146</v>
      </c>
      <c r="I74" s="39" t="s">
        <v>142</v>
      </c>
      <c r="J74" s="39" t="s">
        <v>38</v>
      </c>
      <c r="K74" s="39" t="s">
        <v>143</v>
      </c>
      <c r="L74" s="39">
        <v>1</v>
      </c>
      <c r="N74" s="39">
        <v>1</v>
      </c>
      <c r="O74" s="39">
        <v>1.5</v>
      </c>
      <c r="P74" s="39">
        <v>1.3</v>
      </c>
      <c r="Q74" s="5">
        <f t="shared" si="6"/>
        <v>1.4</v>
      </c>
      <c r="R74" s="39">
        <v>16.3</v>
      </c>
      <c r="S74" s="39">
        <v>125</v>
      </c>
      <c r="T74" s="45">
        <f t="shared" si="7"/>
        <v>27</v>
      </c>
      <c r="U74" s="39">
        <v>128</v>
      </c>
      <c r="V74" s="45">
        <f t="shared" si="8"/>
        <v>3456</v>
      </c>
      <c r="W74" s="39">
        <v>2</v>
      </c>
      <c r="X74" s="39" t="s">
        <v>46</v>
      </c>
      <c r="Y74" s="39" t="s">
        <v>47</v>
      </c>
      <c r="Z74" s="39" t="s">
        <v>55</v>
      </c>
      <c r="AA74" s="39" t="s">
        <v>40</v>
      </c>
      <c r="AB74" s="56" t="s">
        <v>331</v>
      </c>
    </row>
    <row r="75" spans="1:28" x14ac:dyDescent="0.15">
      <c r="A75" s="39" t="s">
        <v>35</v>
      </c>
      <c r="B75" s="39" t="s">
        <v>332</v>
      </c>
      <c r="C75" s="39">
        <v>2020</v>
      </c>
      <c r="D75" s="67" t="s">
        <v>336</v>
      </c>
      <c r="E75" s="39" t="s">
        <v>132</v>
      </c>
      <c r="F75" s="39" t="s">
        <v>306</v>
      </c>
      <c r="G75" s="39" t="s">
        <v>36</v>
      </c>
      <c r="H75" s="39" t="s">
        <v>146</v>
      </c>
      <c r="I75" s="39" t="s">
        <v>142</v>
      </c>
      <c r="J75" s="39" t="s">
        <v>38</v>
      </c>
      <c r="K75" s="39" t="s">
        <v>143</v>
      </c>
      <c r="L75" s="39">
        <v>2</v>
      </c>
      <c r="N75" s="39">
        <v>1</v>
      </c>
      <c r="O75" s="39">
        <v>1.3</v>
      </c>
      <c r="P75" s="39">
        <v>1.4</v>
      </c>
      <c r="Q75" s="5">
        <f t="shared" si="6"/>
        <v>1.35</v>
      </c>
      <c r="R75" s="39">
        <v>18.8</v>
      </c>
      <c r="S75" s="39">
        <v>119</v>
      </c>
      <c r="T75" s="45">
        <f t="shared" si="7"/>
        <v>30</v>
      </c>
      <c r="U75" s="39">
        <v>128</v>
      </c>
      <c r="V75" s="45">
        <f t="shared" si="8"/>
        <v>3840</v>
      </c>
      <c r="W75" s="39">
        <v>2</v>
      </c>
      <c r="X75" s="39" t="s">
        <v>46</v>
      </c>
      <c r="Y75" s="39" t="s">
        <v>47</v>
      </c>
      <c r="Z75" s="39" t="s">
        <v>55</v>
      </c>
      <c r="AA75" s="39" t="s">
        <v>40</v>
      </c>
      <c r="AB75" s="56" t="s">
        <v>331</v>
      </c>
    </row>
    <row r="76" spans="1:28" x14ac:dyDescent="0.15">
      <c r="A76" s="39" t="s">
        <v>35</v>
      </c>
      <c r="B76" s="39" t="s">
        <v>332</v>
      </c>
      <c r="C76" s="39">
        <v>2020</v>
      </c>
      <c r="D76" s="67" t="s">
        <v>336</v>
      </c>
      <c r="E76" s="39" t="s">
        <v>132</v>
      </c>
      <c r="F76" s="39" t="s">
        <v>306</v>
      </c>
      <c r="G76" s="39" t="s">
        <v>36</v>
      </c>
      <c r="H76" s="39" t="s">
        <v>146</v>
      </c>
      <c r="I76" s="39" t="s">
        <v>142</v>
      </c>
      <c r="J76" s="39" t="s">
        <v>38</v>
      </c>
      <c r="K76" s="39" t="s">
        <v>143</v>
      </c>
      <c r="L76" s="39">
        <v>3</v>
      </c>
      <c r="N76" s="39">
        <v>1</v>
      </c>
      <c r="O76" s="39">
        <v>1.8</v>
      </c>
      <c r="P76" s="39">
        <v>1.5</v>
      </c>
      <c r="Q76" s="5">
        <f t="shared" si="6"/>
        <v>1.65</v>
      </c>
      <c r="R76" s="39">
        <v>16.8</v>
      </c>
      <c r="S76" s="39">
        <v>118</v>
      </c>
      <c r="T76" s="45">
        <f t="shared" si="7"/>
        <v>30</v>
      </c>
      <c r="U76" s="39">
        <v>128</v>
      </c>
      <c r="V76" s="45">
        <f t="shared" si="8"/>
        <v>3840</v>
      </c>
      <c r="W76" s="39">
        <v>2</v>
      </c>
      <c r="X76" s="39" t="s">
        <v>46</v>
      </c>
      <c r="Y76" s="39" t="s">
        <v>47</v>
      </c>
      <c r="Z76" s="39" t="s">
        <v>55</v>
      </c>
      <c r="AA76" s="39" t="s">
        <v>40</v>
      </c>
      <c r="AB76" s="56" t="s">
        <v>331</v>
      </c>
    </row>
    <row r="77" spans="1:28" x14ac:dyDescent="0.15">
      <c r="A77" s="39" t="s">
        <v>35</v>
      </c>
      <c r="B77" s="39" t="s">
        <v>332</v>
      </c>
      <c r="C77" s="39">
        <v>2020</v>
      </c>
      <c r="D77" s="67" t="s">
        <v>336</v>
      </c>
      <c r="E77" s="39" t="s">
        <v>132</v>
      </c>
      <c r="F77" s="39" t="s">
        <v>306</v>
      </c>
      <c r="G77" s="39" t="s">
        <v>36</v>
      </c>
      <c r="H77" s="39" t="s">
        <v>146</v>
      </c>
      <c r="I77" s="39" t="s">
        <v>142</v>
      </c>
      <c r="J77" s="39" t="s">
        <v>38</v>
      </c>
      <c r="K77" s="39" t="s">
        <v>143</v>
      </c>
      <c r="L77" s="39">
        <v>1</v>
      </c>
      <c r="N77" s="39">
        <v>2</v>
      </c>
      <c r="O77" s="39">
        <v>0.8</v>
      </c>
      <c r="P77" s="39">
        <v>1</v>
      </c>
      <c r="Q77" s="5">
        <f t="shared" si="6"/>
        <v>0.9</v>
      </c>
      <c r="R77" s="39">
        <v>19.2</v>
      </c>
      <c r="S77" s="39">
        <v>162</v>
      </c>
      <c r="T77" s="45">
        <f t="shared" si="7"/>
        <v>18</v>
      </c>
      <c r="U77" s="39">
        <v>398</v>
      </c>
      <c r="V77" s="45">
        <f t="shared" si="8"/>
        <v>3582</v>
      </c>
      <c r="W77" s="39">
        <v>1</v>
      </c>
      <c r="X77" s="39" t="s">
        <v>46</v>
      </c>
      <c r="Y77" s="39" t="s">
        <v>47</v>
      </c>
      <c r="Z77" s="39" t="s">
        <v>55</v>
      </c>
      <c r="AA77" s="39" t="s">
        <v>40</v>
      </c>
      <c r="AB77" s="56" t="s">
        <v>331</v>
      </c>
    </row>
    <row r="78" spans="1:28" x14ac:dyDescent="0.15">
      <c r="A78" s="39" t="s">
        <v>35</v>
      </c>
      <c r="B78" s="39" t="s">
        <v>332</v>
      </c>
      <c r="C78" s="39">
        <v>2020</v>
      </c>
      <c r="D78" s="67" t="s">
        <v>336</v>
      </c>
      <c r="E78" s="39" t="s">
        <v>132</v>
      </c>
      <c r="F78" s="39" t="s">
        <v>306</v>
      </c>
      <c r="G78" s="39" t="s">
        <v>36</v>
      </c>
      <c r="H78" s="39" t="s">
        <v>146</v>
      </c>
      <c r="I78" s="39" t="s">
        <v>142</v>
      </c>
      <c r="J78" s="39" t="s">
        <v>38</v>
      </c>
      <c r="K78" s="39" t="s">
        <v>143</v>
      </c>
      <c r="L78" s="39">
        <v>2</v>
      </c>
      <c r="N78" s="39">
        <v>2</v>
      </c>
      <c r="O78" s="39">
        <v>0.75</v>
      </c>
      <c r="P78" s="56">
        <v>0.8</v>
      </c>
      <c r="Q78" s="5">
        <f t="shared" si="6"/>
        <v>0.77500000000000002</v>
      </c>
      <c r="R78" s="39">
        <v>21</v>
      </c>
      <c r="S78" s="39">
        <v>162</v>
      </c>
      <c r="T78" s="45">
        <f t="shared" si="7"/>
        <v>18</v>
      </c>
      <c r="U78" s="39">
        <v>398</v>
      </c>
      <c r="V78" s="45">
        <f t="shared" si="8"/>
        <v>3582</v>
      </c>
      <c r="W78" s="39">
        <v>1</v>
      </c>
      <c r="X78" s="39" t="s">
        <v>46</v>
      </c>
      <c r="Y78" s="39" t="s">
        <v>47</v>
      </c>
      <c r="Z78" s="39" t="s">
        <v>55</v>
      </c>
      <c r="AA78" s="39" t="s">
        <v>40</v>
      </c>
      <c r="AB78" s="56" t="s">
        <v>331</v>
      </c>
    </row>
    <row r="79" spans="1:28" x14ac:dyDescent="0.15">
      <c r="A79" s="39" t="s">
        <v>35</v>
      </c>
      <c r="B79" s="39" t="s">
        <v>332</v>
      </c>
      <c r="C79" s="39">
        <v>2020</v>
      </c>
      <c r="D79" s="67" t="s">
        <v>336</v>
      </c>
      <c r="E79" s="39" t="s">
        <v>132</v>
      </c>
      <c r="F79" s="39" t="s">
        <v>306</v>
      </c>
      <c r="G79" s="39" t="s">
        <v>36</v>
      </c>
      <c r="H79" s="39" t="s">
        <v>146</v>
      </c>
      <c r="I79" s="39" t="s">
        <v>142</v>
      </c>
      <c r="J79" s="39" t="s">
        <v>38</v>
      </c>
      <c r="K79" s="39" t="s">
        <v>143</v>
      </c>
      <c r="L79" s="39">
        <v>3</v>
      </c>
      <c r="N79" s="39">
        <v>2</v>
      </c>
      <c r="O79" s="39">
        <v>0.8</v>
      </c>
      <c r="P79" s="39">
        <v>0.75</v>
      </c>
      <c r="Q79" s="5">
        <f t="shared" si="6"/>
        <v>0.77500000000000002</v>
      </c>
      <c r="R79" s="39">
        <v>19.399999999999999</v>
      </c>
      <c r="S79" s="39">
        <v>170</v>
      </c>
      <c r="T79" s="45">
        <f t="shared" si="7"/>
        <v>18</v>
      </c>
      <c r="U79" s="39">
        <v>398</v>
      </c>
      <c r="V79" s="45">
        <f t="shared" si="8"/>
        <v>3582</v>
      </c>
      <c r="W79" s="39">
        <v>1</v>
      </c>
      <c r="X79" s="39" t="s">
        <v>46</v>
      </c>
      <c r="Y79" s="39" t="s">
        <v>47</v>
      </c>
      <c r="Z79" s="39" t="s">
        <v>55</v>
      </c>
      <c r="AA79" s="39" t="s">
        <v>40</v>
      </c>
      <c r="AB79" s="56" t="s">
        <v>331</v>
      </c>
    </row>
    <row r="80" spans="1:28" x14ac:dyDescent="0.15">
      <c r="A80" s="39" t="s">
        <v>35</v>
      </c>
      <c r="B80" s="39" t="s">
        <v>332</v>
      </c>
      <c r="C80" s="39">
        <v>2020</v>
      </c>
      <c r="D80" s="67" t="s">
        <v>336</v>
      </c>
      <c r="E80" s="39" t="s">
        <v>132</v>
      </c>
      <c r="F80" s="39" t="s">
        <v>306</v>
      </c>
      <c r="G80" s="39" t="s">
        <v>36</v>
      </c>
      <c r="H80" s="39" t="s">
        <v>146</v>
      </c>
      <c r="I80" s="39" t="s">
        <v>142</v>
      </c>
      <c r="J80" s="39" t="s">
        <v>38</v>
      </c>
      <c r="K80" s="39" t="s">
        <v>143</v>
      </c>
      <c r="L80" s="39">
        <v>1</v>
      </c>
      <c r="N80" s="39">
        <v>4</v>
      </c>
      <c r="O80" s="39">
        <v>2</v>
      </c>
      <c r="P80" s="39">
        <v>1.8</v>
      </c>
      <c r="Q80" s="5">
        <f t="shared" si="6"/>
        <v>1.9</v>
      </c>
      <c r="R80" s="39">
        <v>11</v>
      </c>
      <c r="S80" s="39">
        <v>105</v>
      </c>
      <c r="T80" s="45">
        <f t="shared" si="7"/>
        <v>33</v>
      </c>
      <c r="U80" s="39">
        <v>398</v>
      </c>
      <c r="V80" s="45">
        <f t="shared" si="8"/>
        <v>3283.5</v>
      </c>
      <c r="W80" s="39">
        <v>3</v>
      </c>
      <c r="X80" s="39" t="s">
        <v>46</v>
      </c>
      <c r="Y80" s="39" t="s">
        <v>47</v>
      </c>
      <c r="Z80" s="39" t="s">
        <v>55</v>
      </c>
      <c r="AA80" s="39" t="s">
        <v>40</v>
      </c>
      <c r="AB80" s="56" t="s">
        <v>331</v>
      </c>
    </row>
    <row r="81" spans="1:28" x14ac:dyDescent="0.15">
      <c r="A81" s="39" t="s">
        <v>35</v>
      </c>
      <c r="B81" s="39" t="s">
        <v>332</v>
      </c>
      <c r="C81" s="39">
        <v>2020</v>
      </c>
      <c r="D81" s="67" t="s">
        <v>336</v>
      </c>
      <c r="E81" s="39" t="s">
        <v>132</v>
      </c>
      <c r="F81" s="39" t="s">
        <v>306</v>
      </c>
      <c r="G81" s="39" t="s">
        <v>36</v>
      </c>
      <c r="H81" s="39" t="s">
        <v>146</v>
      </c>
      <c r="I81" s="39" t="s">
        <v>142</v>
      </c>
      <c r="J81" s="39" t="s">
        <v>38</v>
      </c>
      <c r="K81" s="39" t="s">
        <v>143</v>
      </c>
      <c r="L81" s="39">
        <v>2</v>
      </c>
      <c r="N81" s="39">
        <v>4</v>
      </c>
      <c r="O81" s="39">
        <v>1.1000000000000001</v>
      </c>
      <c r="P81" s="39">
        <v>1.4</v>
      </c>
      <c r="Q81" s="5">
        <f t="shared" si="6"/>
        <v>1.25</v>
      </c>
      <c r="R81" s="39">
        <v>12.4</v>
      </c>
      <c r="S81" s="39">
        <v>103</v>
      </c>
      <c r="T81" s="45">
        <f t="shared" si="7"/>
        <v>33</v>
      </c>
      <c r="U81" s="39">
        <v>398</v>
      </c>
      <c r="V81" s="45">
        <f t="shared" si="8"/>
        <v>3283.5</v>
      </c>
      <c r="W81" s="39">
        <v>3</v>
      </c>
      <c r="X81" s="39" t="s">
        <v>46</v>
      </c>
      <c r="Y81" s="39" t="s">
        <v>47</v>
      </c>
      <c r="Z81" s="39" t="s">
        <v>55</v>
      </c>
      <c r="AA81" s="39" t="s">
        <v>40</v>
      </c>
      <c r="AB81" s="56" t="s">
        <v>331</v>
      </c>
    </row>
    <row r="82" spans="1:28" x14ac:dyDescent="0.15">
      <c r="A82" s="39" t="s">
        <v>35</v>
      </c>
      <c r="B82" s="39" t="s">
        <v>332</v>
      </c>
      <c r="C82" s="39">
        <v>2020</v>
      </c>
      <c r="D82" s="67" t="s">
        <v>336</v>
      </c>
      <c r="E82" s="39" t="s">
        <v>132</v>
      </c>
      <c r="F82" s="39" t="s">
        <v>306</v>
      </c>
      <c r="G82" s="39" t="s">
        <v>36</v>
      </c>
      <c r="H82" s="39" t="s">
        <v>146</v>
      </c>
      <c r="I82" s="39" t="s">
        <v>142</v>
      </c>
      <c r="J82" s="39" t="s">
        <v>38</v>
      </c>
      <c r="K82" s="39" t="s">
        <v>143</v>
      </c>
      <c r="L82" s="39">
        <v>3</v>
      </c>
      <c r="N82" s="39">
        <v>4</v>
      </c>
      <c r="O82" s="39">
        <v>1.8</v>
      </c>
      <c r="P82" s="39">
        <v>1.5</v>
      </c>
      <c r="Q82" s="5">
        <f t="shared" si="6"/>
        <v>1.65</v>
      </c>
      <c r="R82" s="39">
        <v>14.4</v>
      </c>
      <c r="S82" s="39">
        <v>94</v>
      </c>
      <c r="T82" s="45">
        <f t="shared" si="7"/>
        <v>36</v>
      </c>
      <c r="U82" s="39">
        <v>398</v>
      </c>
      <c r="V82" s="45">
        <f t="shared" si="8"/>
        <v>3582</v>
      </c>
      <c r="W82" s="39">
        <v>3</v>
      </c>
      <c r="X82" s="39" t="s">
        <v>46</v>
      </c>
      <c r="Y82" s="39" t="s">
        <v>47</v>
      </c>
      <c r="Z82" s="39" t="s">
        <v>55</v>
      </c>
      <c r="AA82" s="39" t="s">
        <v>40</v>
      </c>
      <c r="AB82" s="56" t="s">
        <v>331</v>
      </c>
    </row>
    <row r="83" spans="1:28" x14ac:dyDescent="0.15">
      <c r="A83" s="39" t="s">
        <v>35</v>
      </c>
      <c r="B83" s="39" t="s">
        <v>332</v>
      </c>
      <c r="C83" s="39">
        <v>2020</v>
      </c>
      <c r="D83" s="67" t="s">
        <v>336</v>
      </c>
      <c r="E83" s="39" t="s">
        <v>132</v>
      </c>
      <c r="F83" s="39" t="s">
        <v>306</v>
      </c>
      <c r="G83" s="39" t="s">
        <v>36</v>
      </c>
      <c r="H83" s="39" t="s">
        <v>146</v>
      </c>
      <c r="I83" s="39" t="s">
        <v>142</v>
      </c>
      <c r="J83" s="39" t="s">
        <v>38</v>
      </c>
      <c r="K83" s="39" t="s">
        <v>143</v>
      </c>
      <c r="L83" s="39">
        <v>1</v>
      </c>
      <c r="N83" s="39">
        <v>8</v>
      </c>
      <c r="O83" s="39">
        <v>0.75</v>
      </c>
      <c r="P83" s="39">
        <v>0.5</v>
      </c>
      <c r="Q83" s="5">
        <f t="shared" si="6"/>
        <v>0.625</v>
      </c>
      <c r="R83" s="39">
        <v>13.2</v>
      </c>
      <c r="S83" s="39">
        <v>81</v>
      </c>
      <c r="T83" s="45">
        <f t="shared" si="7"/>
        <v>39</v>
      </c>
      <c r="U83" s="39">
        <v>780</v>
      </c>
      <c r="V83" s="45">
        <f t="shared" si="8"/>
        <v>3802.5</v>
      </c>
      <c r="W83" s="39">
        <v>2</v>
      </c>
      <c r="X83" s="39" t="s">
        <v>46</v>
      </c>
      <c r="Y83" s="39" t="s">
        <v>47</v>
      </c>
      <c r="Z83" s="39" t="s">
        <v>55</v>
      </c>
      <c r="AA83" s="39" t="s">
        <v>40</v>
      </c>
      <c r="AB83" s="56" t="s">
        <v>331</v>
      </c>
    </row>
    <row r="84" spans="1:28" x14ac:dyDescent="0.15">
      <c r="A84" s="39" t="s">
        <v>35</v>
      </c>
      <c r="B84" s="39" t="s">
        <v>332</v>
      </c>
      <c r="C84" s="39">
        <v>2020</v>
      </c>
      <c r="D84" s="67" t="s">
        <v>336</v>
      </c>
      <c r="E84" s="39" t="s">
        <v>132</v>
      </c>
      <c r="F84" s="39" t="s">
        <v>306</v>
      </c>
      <c r="G84" s="39" t="s">
        <v>36</v>
      </c>
      <c r="H84" s="39" t="s">
        <v>146</v>
      </c>
      <c r="I84" s="39" t="s">
        <v>142</v>
      </c>
      <c r="J84" s="39" t="s">
        <v>38</v>
      </c>
      <c r="K84" s="39" t="s">
        <v>143</v>
      </c>
      <c r="L84" s="39">
        <v>2</v>
      </c>
      <c r="N84" s="39">
        <v>8</v>
      </c>
      <c r="O84" s="39">
        <v>1.4</v>
      </c>
      <c r="P84" s="39">
        <v>1.3</v>
      </c>
      <c r="Q84" s="5">
        <f t="shared" si="6"/>
        <v>1.35</v>
      </c>
      <c r="R84" s="39">
        <v>17.100000000000001</v>
      </c>
      <c r="S84" s="39">
        <v>84</v>
      </c>
      <c r="T84" s="45">
        <f t="shared" si="7"/>
        <v>36</v>
      </c>
      <c r="U84" s="39">
        <v>780</v>
      </c>
      <c r="V84" s="45">
        <f t="shared" si="8"/>
        <v>3510</v>
      </c>
      <c r="W84" s="39">
        <v>2</v>
      </c>
      <c r="X84" s="39" t="s">
        <v>46</v>
      </c>
      <c r="Y84" s="39" t="s">
        <v>47</v>
      </c>
      <c r="Z84" s="39" t="s">
        <v>55</v>
      </c>
      <c r="AA84" s="39" t="s">
        <v>40</v>
      </c>
      <c r="AB84" s="56" t="s">
        <v>331</v>
      </c>
    </row>
    <row r="85" spans="1:28" x14ac:dyDescent="0.15">
      <c r="A85" s="39" t="s">
        <v>35</v>
      </c>
      <c r="B85" s="39" t="s">
        <v>332</v>
      </c>
      <c r="C85" s="39">
        <v>2020</v>
      </c>
      <c r="D85" s="67" t="s">
        <v>336</v>
      </c>
      <c r="E85" s="39" t="s">
        <v>132</v>
      </c>
      <c r="F85" s="39" t="s">
        <v>306</v>
      </c>
      <c r="G85" s="39" t="s">
        <v>36</v>
      </c>
      <c r="H85" s="39" t="s">
        <v>146</v>
      </c>
      <c r="I85" s="39" t="s">
        <v>142</v>
      </c>
      <c r="J85" s="39" t="s">
        <v>38</v>
      </c>
      <c r="K85" s="39" t="s">
        <v>143</v>
      </c>
      <c r="L85" s="39">
        <v>3</v>
      </c>
      <c r="N85" s="39">
        <v>8</v>
      </c>
      <c r="O85" s="39">
        <v>1.2</v>
      </c>
      <c r="P85" s="39">
        <v>1.2</v>
      </c>
      <c r="Q85" s="5">
        <f t="shared" si="6"/>
        <v>1.2</v>
      </c>
      <c r="R85" s="39">
        <v>17.2</v>
      </c>
      <c r="S85" s="39">
        <v>80</v>
      </c>
      <c r="T85" s="45">
        <f t="shared" si="7"/>
        <v>39</v>
      </c>
      <c r="U85" s="39">
        <v>780</v>
      </c>
      <c r="V85" s="45">
        <f t="shared" si="8"/>
        <v>3802.5</v>
      </c>
      <c r="W85" s="39">
        <v>2</v>
      </c>
      <c r="X85" s="39" t="s">
        <v>46</v>
      </c>
      <c r="Y85" s="39" t="s">
        <v>47</v>
      </c>
      <c r="Z85" s="39" t="s">
        <v>55</v>
      </c>
      <c r="AA85" s="39" t="s">
        <v>40</v>
      </c>
      <c r="AB85" s="56" t="s">
        <v>331</v>
      </c>
    </row>
    <row r="86" spans="1:28" x14ac:dyDescent="0.15">
      <c r="A86" s="39" t="s">
        <v>35</v>
      </c>
      <c r="B86" s="56" t="s">
        <v>332</v>
      </c>
      <c r="C86" s="39">
        <v>2020</v>
      </c>
      <c r="D86" s="67" t="s">
        <v>336</v>
      </c>
      <c r="E86" s="39" t="s">
        <v>282</v>
      </c>
      <c r="F86" s="39" t="s">
        <v>304</v>
      </c>
      <c r="G86" s="39" t="s">
        <v>36</v>
      </c>
      <c r="H86" s="39" t="s">
        <v>127</v>
      </c>
      <c r="I86" s="39" t="s">
        <v>142</v>
      </c>
      <c r="J86" s="39" t="s">
        <v>53</v>
      </c>
      <c r="K86" s="39" t="s">
        <v>54</v>
      </c>
      <c r="L86" s="39">
        <v>1</v>
      </c>
      <c r="N86" s="39">
        <v>1</v>
      </c>
      <c r="O86" s="39">
        <v>1.4</v>
      </c>
      <c r="P86" s="39">
        <v>0.8</v>
      </c>
      <c r="Q86" s="5">
        <f t="shared" si="6"/>
        <v>1.1000000000000001</v>
      </c>
      <c r="R86" s="39">
        <v>12.7</v>
      </c>
      <c r="S86" s="39">
        <v>108</v>
      </c>
      <c r="T86" s="45">
        <f t="shared" si="7"/>
        <v>33</v>
      </c>
      <c r="U86" s="39">
        <v>98</v>
      </c>
      <c r="V86" s="45">
        <f t="shared" si="8"/>
        <v>3234</v>
      </c>
      <c r="W86" s="39">
        <v>2</v>
      </c>
      <c r="X86" s="39" t="s">
        <v>46</v>
      </c>
      <c r="Y86" s="39" t="s">
        <v>40</v>
      </c>
      <c r="Z86" s="39" t="s">
        <v>55</v>
      </c>
      <c r="AA86" s="39" t="s">
        <v>47</v>
      </c>
      <c r="AB86" s="56" t="s">
        <v>331</v>
      </c>
    </row>
    <row r="87" spans="1:28" x14ac:dyDescent="0.15">
      <c r="A87" s="39" t="s">
        <v>35</v>
      </c>
      <c r="B87" s="56" t="s">
        <v>332</v>
      </c>
      <c r="C87" s="39">
        <v>2020</v>
      </c>
      <c r="D87" s="67" t="s">
        <v>336</v>
      </c>
      <c r="E87" s="39" t="s">
        <v>282</v>
      </c>
      <c r="F87" s="39" t="s">
        <v>304</v>
      </c>
      <c r="G87" s="39" t="s">
        <v>36</v>
      </c>
      <c r="H87" s="39" t="s">
        <v>127</v>
      </c>
      <c r="I87" s="39" t="s">
        <v>142</v>
      </c>
      <c r="J87" s="39" t="s">
        <v>53</v>
      </c>
      <c r="K87" s="39" t="s">
        <v>54</v>
      </c>
      <c r="L87" s="39">
        <v>2</v>
      </c>
      <c r="N87" s="39">
        <v>1</v>
      </c>
      <c r="O87" s="39">
        <v>1.3</v>
      </c>
      <c r="P87" s="39">
        <v>0.8</v>
      </c>
      <c r="Q87" s="5">
        <f t="shared" si="6"/>
        <v>1.05</v>
      </c>
      <c r="R87" s="39">
        <v>13.7</v>
      </c>
      <c r="S87" s="39">
        <v>104</v>
      </c>
      <c r="T87" s="45">
        <f t="shared" si="7"/>
        <v>33</v>
      </c>
      <c r="U87" s="39">
        <v>98</v>
      </c>
      <c r="V87" s="45">
        <f t="shared" si="8"/>
        <v>3234</v>
      </c>
      <c r="W87" s="39">
        <v>2</v>
      </c>
      <c r="X87" s="39" t="s">
        <v>46</v>
      </c>
      <c r="Y87" s="39" t="s">
        <v>40</v>
      </c>
      <c r="Z87" s="39" t="s">
        <v>55</v>
      </c>
      <c r="AA87" s="39" t="s">
        <v>47</v>
      </c>
      <c r="AB87" s="56" t="s">
        <v>331</v>
      </c>
    </row>
    <row r="88" spans="1:28" x14ac:dyDescent="0.15">
      <c r="A88" s="39" t="s">
        <v>35</v>
      </c>
      <c r="B88" s="56" t="s">
        <v>332</v>
      </c>
      <c r="C88" s="39">
        <v>2020</v>
      </c>
      <c r="D88" s="67" t="s">
        <v>336</v>
      </c>
      <c r="E88" s="39" t="s">
        <v>282</v>
      </c>
      <c r="F88" s="39" t="s">
        <v>304</v>
      </c>
      <c r="G88" s="39" t="s">
        <v>36</v>
      </c>
      <c r="H88" s="39" t="s">
        <v>127</v>
      </c>
      <c r="I88" s="39" t="s">
        <v>142</v>
      </c>
      <c r="J88" s="39" t="s">
        <v>53</v>
      </c>
      <c r="K88" s="39" t="s">
        <v>54</v>
      </c>
      <c r="L88" s="39">
        <v>3</v>
      </c>
      <c r="N88" s="39">
        <v>1</v>
      </c>
      <c r="O88" s="39">
        <v>0.8</v>
      </c>
      <c r="P88" s="39">
        <v>0.9</v>
      </c>
      <c r="Q88" s="5">
        <f t="shared" si="6"/>
        <v>0.85000000000000009</v>
      </c>
      <c r="R88" s="39">
        <v>13.4</v>
      </c>
      <c r="S88" s="39">
        <v>110</v>
      </c>
      <c r="T88" s="45">
        <f t="shared" si="7"/>
        <v>33</v>
      </c>
      <c r="U88" s="39">
        <v>98</v>
      </c>
      <c r="V88" s="45">
        <f t="shared" si="8"/>
        <v>3234</v>
      </c>
      <c r="W88" s="39">
        <v>2</v>
      </c>
      <c r="X88" s="39" t="s">
        <v>46</v>
      </c>
      <c r="Y88" s="39" t="s">
        <v>40</v>
      </c>
      <c r="Z88" s="39" t="s">
        <v>55</v>
      </c>
      <c r="AA88" s="39" t="s">
        <v>47</v>
      </c>
      <c r="AB88" s="56" t="s">
        <v>331</v>
      </c>
    </row>
    <row r="89" spans="1:28" x14ac:dyDescent="0.15">
      <c r="A89" s="39" t="s">
        <v>35</v>
      </c>
      <c r="B89" s="56" t="s">
        <v>332</v>
      </c>
      <c r="C89" s="39">
        <v>2020</v>
      </c>
      <c r="D89" s="67" t="s">
        <v>336</v>
      </c>
      <c r="E89" s="39" t="s">
        <v>282</v>
      </c>
      <c r="F89" s="39" t="s">
        <v>304</v>
      </c>
      <c r="G89" s="39" t="s">
        <v>36</v>
      </c>
      <c r="H89" s="39" t="s">
        <v>127</v>
      </c>
      <c r="I89" s="39" t="s">
        <v>142</v>
      </c>
      <c r="J89" s="39" t="s">
        <v>53</v>
      </c>
      <c r="K89" s="39" t="s">
        <v>54</v>
      </c>
      <c r="L89" s="39">
        <v>1</v>
      </c>
      <c r="N89" s="39">
        <v>5</v>
      </c>
      <c r="O89" s="39">
        <v>0.6</v>
      </c>
      <c r="P89" s="39">
        <v>0.6</v>
      </c>
      <c r="Q89" s="5">
        <f t="shared" si="6"/>
        <v>0.6</v>
      </c>
      <c r="R89" s="39">
        <v>12.5</v>
      </c>
      <c r="S89" s="39">
        <v>95</v>
      </c>
      <c r="T89" s="45">
        <f t="shared" si="7"/>
        <v>36</v>
      </c>
      <c r="U89" s="39">
        <v>398</v>
      </c>
      <c r="V89" s="45">
        <f t="shared" si="8"/>
        <v>2865.6</v>
      </c>
      <c r="W89" s="39">
        <v>1</v>
      </c>
      <c r="X89" s="39" t="s">
        <v>46</v>
      </c>
      <c r="Y89" s="39" t="s">
        <v>40</v>
      </c>
      <c r="Z89" s="39" t="s">
        <v>55</v>
      </c>
      <c r="AA89" s="39" t="s">
        <v>47</v>
      </c>
      <c r="AB89" s="56" t="s">
        <v>331</v>
      </c>
    </row>
    <row r="90" spans="1:28" x14ac:dyDescent="0.15">
      <c r="A90" s="39" t="s">
        <v>35</v>
      </c>
      <c r="B90" s="56" t="s">
        <v>332</v>
      </c>
      <c r="C90" s="39">
        <v>2020</v>
      </c>
      <c r="D90" s="67" t="s">
        <v>336</v>
      </c>
      <c r="E90" s="39" t="s">
        <v>282</v>
      </c>
      <c r="F90" s="39" t="s">
        <v>304</v>
      </c>
      <c r="G90" s="39" t="s">
        <v>36</v>
      </c>
      <c r="H90" s="39" t="s">
        <v>127</v>
      </c>
      <c r="I90" s="39" t="s">
        <v>142</v>
      </c>
      <c r="J90" s="39" t="s">
        <v>53</v>
      </c>
      <c r="K90" s="39" t="s">
        <v>54</v>
      </c>
      <c r="L90" s="39">
        <v>2</v>
      </c>
      <c r="N90" s="39">
        <v>5</v>
      </c>
      <c r="O90" s="39">
        <v>1.3</v>
      </c>
      <c r="P90" s="39">
        <v>1.5</v>
      </c>
      <c r="Q90" s="5">
        <f t="shared" si="6"/>
        <v>1.4</v>
      </c>
      <c r="R90" s="39">
        <v>13.6</v>
      </c>
      <c r="S90" s="39">
        <v>77</v>
      </c>
      <c r="T90" s="45">
        <f t="shared" si="7"/>
        <v>39</v>
      </c>
      <c r="U90" s="39">
        <v>398</v>
      </c>
      <c r="V90" s="45">
        <f t="shared" si="8"/>
        <v>3104.3999999999996</v>
      </c>
      <c r="W90" s="39">
        <v>1</v>
      </c>
      <c r="X90" s="39" t="s">
        <v>46</v>
      </c>
      <c r="Y90" s="39" t="s">
        <v>40</v>
      </c>
      <c r="Z90" s="39" t="s">
        <v>55</v>
      </c>
      <c r="AA90" s="39" t="s">
        <v>47</v>
      </c>
      <c r="AB90" s="56" t="s">
        <v>331</v>
      </c>
    </row>
    <row r="91" spans="1:28" x14ac:dyDescent="0.15">
      <c r="A91" s="39" t="s">
        <v>35</v>
      </c>
      <c r="B91" s="56" t="s">
        <v>332</v>
      </c>
      <c r="C91" s="39">
        <v>2020</v>
      </c>
      <c r="D91" s="67" t="s">
        <v>336</v>
      </c>
      <c r="E91" s="39" t="s">
        <v>282</v>
      </c>
      <c r="F91" s="39" t="s">
        <v>304</v>
      </c>
      <c r="G91" s="39" t="s">
        <v>36</v>
      </c>
      <c r="H91" s="39" t="s">
        <v>127</v>
      </c>
      <c r="I91" s="39" t="s">
        <v>142</v>
      </c>
      <c r="J91" s="39" t="s">
        <v>53</v>
      </c>
      <c r="K91" s="39" t="s">
        <v>54</v>
      </c>
      <c r="L91" s="39">
        <v>3</v>
      </c>
      <c r="N91" s="39">
        <v>5</v>
      </c>
      <c r="O91" s="39">
        <v>1.6</v>
      </c>
      <c r="P91" s="39">
        <v>1.6</v>
      </c>
      <c r="Q91" s="5">
        <f t="shared" si="6"/>
        <v>1.6</v>
      </c>
      <c r="R91" s="39">
        <v>11.5</v>
      </c>
      <c r="S91" s="39">
        <v>74</v>
      </c>
      <c r="T91" s="45">
        <f t="shared" si="7"/>
        <v>42</v>
      </c>
      <c r="U91" s="39">
        <v>398</v>
      </c>
      <c r="V91" s="45">
        <f t="shared" si="8"/>
        <v>3343.2</v>
      </c>
      <c r="W91" s="39">
        <v>1</v>
      </c>
      <c r="X91" s="39" t="s">
        <v>46</v>
      </c>
      <c r="Y91" s="39" t="s">
        <v>40</v>
      </c>
      <c r="Z91" s="39" t="s">
        <v>55</v>
      </c>
      <c r="AA91" s="39" t="s">
        <v>47</v>
      </c>
      <c r="AB91" s="56" t="s">
        <v>331</v>
      </c>
    </row>
    <row r="92" spans="1:28" x14ac:dyDescent="0.15">
      <c r="A92" s="39" t="s">
        <v>35</v>
      </c>
      <c r="B92" s="39" t="s">
        <v>332</v>
      </c>
      <c r="C92" s="39">
        <v>2020</v>
      </c>
      <c r="D92" s="67" t="s">
        <v>336</v>
      </c>
      <c r="E92" s="39" t="s">
        <v>282</v>
      </c>
      <c r="F92" s="39" t="s">
        <v>304</v>
      </c>
      <c r="G92" s="39" t="s">
        <v>36</v>
      </c>
      <c r="H92" s="39" t="s">
        <v>127</v>
      </c>
      <c r="I92" s="39" t="s">
        <v>142</v>
      </c>
      <c r="J92" s="39" t="s">
        <v>58</v>
      </c>
      <c r="K92" s="39" t="s">
        <v>59</v>
      </c>
      <c r="L92" s="39">
        <v>1</v>
      </c>
      <c r="N92" s="39">
        <v>5</v>
      </c>
      <c r="O92" s="39">
        <v>1.1000000000000001</v>
      </c>
      <c r="P92" s="39">
        <v>1</v>
      </c>
      <c r="Q92" s="5">
        <f t="shared" si="6"/>
        <v>1.05</v>
      </c>
      <c r="R92" s="39">
        <v>12.7</v>
      </c>
      <c r="S92" s="39">
        <v>82</v>
      </c>
      <c r="T92" s="45">
        <f t="shared" si="7"/>
        <v>39</v>
      </c>
      <c r="U92" s="39">
        <v>398</v>
      </c>
      <c r="V92" s="45">
        <f t="shared" si="8"/>
        <v>3104.3999999999996</v>
      </c>
      <c r="W92" s="39">
        <v>1</v>
      </c>
      <c r="X92" s="39" t="s">
        <v>46</v>
      </c>
      <c r="Y92" s="39" t="s">
        <v>40</v>
      </c>
      <c r="Z92" s="39" t="s">
        <v>55</v>
      </c>
      <c r="AA92" s="39" t="s">
        <v>47</v>
      </c>
      <c r="AB92" s="39" t="s">
        <v>331</v>
      </c>
    </row>
    <row r="93" spans="1:28" x14ac:dyDescent="0.15">
      <c r="A93" s="39" t="s">
        <v>35</v>
      </c>
      <c r="B93" s="39" t="s">
        <v>332</v>
      </c>
      <c r="C93" s="39">
        <v>2020</v>
      </c>
      <c r="D93" s="67" t="s">
        <v>336</v>
      </c>
      <c r="E93" s="39" t="s">
        <v>282</v>
      </c>
      <c r="F93" s="39" t="s">
        <v>304</v>
      </c>
      <c r="G93" s="39" t="s">
        <v>36</v>
      </c>
      <c r="H93" s="39" t="s">
        <v>127</v>
      </c>
      <c r="I93" s="39" t="s">
        <v>142</v>
      </c>
      <c r="J93" s="39" t="s">
        <v>58</v>
      </c>
      <c r="K93" s="39" t="s">
        <v>59</v>
      </c>
      <c r="L93" s="39">
        <v>2</v>
      </c>
      <c r="N93" s="39">
        <v>5</v>
      </c>
      <c r="O93" s="39">
        <v>1.3</v>
      </c>
      <c r="P93" s="39">
        <v>1.25</v>
      </c>
      <c r="Q93" s="5">
        <f t="shared" si="6"/>
        <v>1.2749999999999999</v>
      </c>
      <c r="R93" s="39">
        <v>12.6</v>
      </c>
      <c r="S93" s="39">
        <v>85</v>
      </c>
      <c r="T93" s="45">
        <f t="shared" si="7"/>
        <v>36</v>
      </c>
      <c r="U93" s="39">
        <v>398</v>
      </c>
      <c r="V93" s="45">
        <f t="shared" si="8"/>
        <v>2865.6</v>
      </c>
      <c r="W93" s="39">
        <v>1</v>
      </c>
      <c r="X93" s="39" t="s">
        <v>46</v>
      </c>
      <c r="Y93" s="39" t="s">
        <v>40</v>
      </c>
      <c r="Z93" s="39" t="s">
        <v>55</v>
      </c>
      <c r="AA93" s="39" t="s">
        <v>47</v>
      </c>
      <c r="AB93" s="39" t="s">
        <v>331</v>
      </c>
    </row>
    <row r="94" spans="1:28" x14ac:dyDescent="0.15">
      <c r="A94" s="39" t="s">
        <v>35</v>
      </c>
      <c r="B94" s="39" t="s">
        <v>332</v>
      </c>
      <c r="C94" s="39">
        <v>2020</v>
      </c>
      <c r="D94" s="67" t="s">
        <v>336</v>
      </c>
      <c r="E94" s="39" t="s">
        <v>282</v>
      </c>
      <c r="F94" s="39" t="s">
        <v>304</v>
      </c>
      <c r="G94" s="39" t="s">
        <v>36</v>
      </c>
      <c r="H94" s="39" t="s">
        <v>127</v>
      </c>
      <c r="I94" s="39" t="s">
        <v>142</v>
      </c>
      <c r="J94" s="39" t="s">
        <v>58</v>
      </c>
      <c r="K94" s="39" t="s">
        <v>59</v>
      </c>
      <c r="L94" s="39">
        <v>3</v>
      </c>
      <c r="N94" s="39">
        <v>5</v>
      </c>
      <c r="O94" s="39">
        <v>0.8</v>
      </c>
      <c r="P94" s="39">
        <v>0.7</v>
      </c>
      <c r="Q94" s="5">
        <f t="shared" si="6"/>
        <v>0.75</v>
      </c>
      <c r="R94" s="39">
        <v>10.9</v>
      </c>
      <c r="S94" s="39">
        <v>85</v>
      </c>
      <c r="T94" s="45">
        <f t="shared" si="7"/>
        <v>36</v>
      </c>
      <c r="U94" s="39">
        <v>398</v>
      </c>
      <c r="V94" s="45">
        <f t="shared" si="8"/>
        <v>2865.6</v>
      </c>
      <c r="W94" s="39">
        <v>1</v>
      </c>
      <c r="X94" s="39" t="s">
        <v>46</v>
      </c>
      <c r="Y94" s="39" t="s">
        <v>40</v>
      </c>
      <c r="Z94" s="39" t="s">
        <v>55</v>
      </c>
      <c r="AA94" s="39" t="s">
        <v>47</v>
      </c>
      <c r="AB94" s="39" t="s">
        <v>331</v>
      </c>
    </row>
    <row r="95" spans="1:28" x14ac:dyDescent="0.15">
      <c r="A95" s="39" t="s">
        <v>35</v>
      </c>
      <c r="B95" s="39" t="s">
        <v>332</v>
      </c>
      <c r="C95" s="39">
        <v>2020</v>
      </c>
      <c r="D95" s="67" t="s">
        <v>336</v>
      </c>
      <c r="E95" s="39" t="s">
        <v>282</v>
      </c>
      <c r="F95" s="39" t="s">
        <v>304</v>
      </c>
      <c r="G95" s="39" t="s">
        <v>36</v>
      </c>
      <c r="H95" s="39" t="s">
        <v>146</v>
      </c>
      <c r="I95" s="39" t="s">
        <v>142</v>
      </c>
      <c r="J95" s="39" t="s">
        <v>38</v>
      </c>
      <c r="K95" s="39" t="s">
        <v>143</v>
      </c>
      <c r="L95" s="39">
        <v>1</v>
      </c>
      <c r="N95" s="39">
        <v>1</v>
      </c>
      <c r="O95" s="39">
        <v>1.3</v>
      </c>
      <c r="P95" s="39">
        <v>1.4</v>
      </c>
      <c r="Q95" s="5">
        <f t="shared" si="6"/>
        <v>1.35</v>
      </c>
      <c r="R95" s="39">
        <v>16.399999999999999</v>
      </c>
      <c r="S95" s="39">
        <v>109</v>
      </c>
      <c r="T95" s="45">
        <f t="shared" si="7"/>
        <v>33</v>
      </c>
      <c r="U95" s="39">
        <v>128</v>
      </c>
      <c r="V95" s="45">
        <f t="shared" si="8"/>
        <v>4224</v>
      </c>
      <c r="W95" s="39">
        <v>4</v>
      </c>
      <c r="X95" s="39" t="s">
        <v>46</v>
      </c>
      <c r="Y95" s="39" t="s">
        <v>40</v>
      </c>
      <c r="Z95" s="39" t="s">
        <v>55</v>
      </c>
      <c r="AA95" s="39" t="s">
        <v>47</v>
      </c>
      <c r="AB95" s="39" t="s">
        <v>331</v>
      </c>
    </row>
    <row r="96" spans="1:28" x14ac:dyDescent="0.15">
      <c r="A96" s="39" t="s">
        <v>35</v>
      </c>
      <c r="B96" s="39" t="s">
        <v>332</v>
      </c>
      <c r="C96" s="39">
        <v>2020</v>
      </c>
      <c r="D96" s="67" t="s">
        <v>336</v>
      </c>
      <c r="E96" s="39" t="s">
        <v>282</v>
      </c>
      <c r="F96" s="39" t="s">
        <v>304</v>
      </c>
      <c r="G96" s="39" t="s">
        <v>36</v>
      </c>
      <c r="H96" s="39" t="s">
        <v>146</v>
      </c>
      <c r="I96" s="39" t="s">
        <v>142</v>
      </c>
      <c r="J96" s="39" t="s">
        <v>38</v>
      </c>
      <c r="K96" s="39" t="s">
        <v>143</v>
      </c>
      <c r="L96" s="39">
        <v>2</v>
      </c>
      <c r="N96" s="39">
        <v>1</v>
      </c>
      <c r="O96" s="39">
        <v>0.7</v>
      </c>
      <c r="P96" s="39">
        <v>0.6</v>
      </c>
      <c r="Q96" s="5">
        <f t="shared" si="6"/>
        <v>0.64999999999999991</v>
      </c>
      <c r="R96" s="39">
        <v>17.8</v>
      </c>
      <c r="S96" s="39">
        <v>108</v>
      </c>
      <c r="T96" s="45">
        <f t="shared" si="7"/>
        <v>33</v>
      </c>
      <c r="U96" s="39">
        <v>128</v>
      </c>
      <c r="V96" s="45">
        <f t="shared" si="8"/>
        <v>4224</v>
      </c>
      <c r="W96" s="39">
        <v>4</v>
      </c>
      <c r="X96" s="39" t="s">
        <v>46</v>
      </c>
      <c r="Y96" s="39" t="s">
        <v>40</v>
      </c>
      <c r="Z96" s="39" t="s">
        <v>55</v>
      </c>
      <c r="AA96" s="39" t="s">
        <v>47</v>
      </c>
      <c r="AB96" s="39" t="s">
        <v>331</v>
      </c>
    </row>
    <row r="97" spans="1:28" x14ac:dyDescent="0.15">
      <c r="A97" s="39" t="s">
        <v>35</v>
      </c>
      <c r="B97" s="39" t="s">
        <v>332</v>
      </c>
      <c r="C97" s="39">
        <v>2020</v>
      </c>
      <c r="D97" s="67" t="s">
        <v>336</v>
      </c>
      <c r="E97" s="39" t="s">
        <v>282</v>
      </c>
      <c r="F97" s="39" t="s">
        <v>304</v>
      </c>
      <c r="G97" s="39" t="s">
        <v>36</v>
      </c>
      <c r="H97" s="39" t="s">
        <v>146</v>
      </c>
      <c r="I97" s="39" t="s">
        <v>142</v>
      </c>
      <c r="J97" s="39" t="s">
        <v>38</v>
      </c>
      <c r="K97" s="39" t="s">
        <v>143</v>
      </c>
      <c r="L97" s="39">
        <v>3</v>
      </c>
      <c r="N97" s="39">
        <v>1</v>
      </c>
      <c r="O97" s="39">
        <v>1.4</v>
      </c>
      <c r="P97" s="39">
        <v>1.3</v>
      </c>
      <c r="Q97" s="5">
        <f t="shared" si="6"/>
        <v>1.35</v>
      </c>
      <c r="R97" s="39">
        <v>17.2</v>
      </c>
      <c r="S97" s="39">
        <v>105</v>
      </c>
      <c r="T97" s="45">
        <f t="shared" si="7"/>
        <v>33</v>
      </c>
      <c r="U97" s="39">
        <v>128</v>
      </c>
      <c r="V97" s="45">
        <f t="shared" si="8"/>
        <v>4224</v>
      </c>
      <c r="W97" s="39">
        <v>4</v>
      </c>
      <c r="X97" s="39" t="s">
        <v>46</v>
      </c>
      <c r="Y97" s="39" t="s">
        <v>40</v>
      </c>
      <c r="Z97" s="39" t="s">
        <v>55</v>
      </c>
      <c r="AA97" s="39" t="s">
        <v>47</v>
      </c>
      <c r="AB97" s="39" t="s">
        <v>331</v>
      </c>
    </row>
    <row r="98" spans="1:28" x14ac:dyDescent="0.15">
      <c r="A98" s="39" t="s">
        <v>35</v>
      </c>
      <c r="B98" s="39" t="s">
        <v>332</v>
      </c>
      <c r="C98" s="39">
        <v>2020</v>
      </c>
      <c r="D98" s="67" t="s">
        <v>336</v>
      </c>
      <c r="E98" s="39" t="s">
        <v>282</v>
      </c>
      <c r="F98" s="39" t="s">
        <v>304</v>
      </c>
      <c r="G98" s="39" t="s">
        <v>36</v>
      </c>
      <c r="H98" s="39" t="s">
        <v>146</v>
      </c>
      <c r="I98" s="39" t="s">
        <v>142</v>
      </c>
      <c r="J98" s="39" t="s">
        <v>38</v>
      </c>
      <c r="K98" s="39" t="s">
        <v>143</v>
      </c>
      <c r="L98" s="39">
        <v>1</v>
      </c>
      <c r="N98" s="39">
        <v>3</v>
      </c>
      <c r="O98" s="39">
        <v>1.1000000000000001</v>
      </c>
      <c r="P98" s="39">
        <v>1.1000000000000001</v>
      </c>
      <c r="Q98" s="5">
        <f t="shared" ref="Q98:Q129" si="9">IF(OR(O98="",P98=""),"",AVERAGE(O98,P98))</f>
        <v>1.1000000000000001</v>
      </c>
      <c r="R98" s="39">
        <v>16.100000000000001</v>
      </c>
      <c r="S98" s="39">
        <v>147</v>
      </c>
      <c r="T98" s="45">
        <f t="shared" ref="T98:T129" si="10">IF(H98="","",IF(OR(H98="GREEN",H98="GK"),IF(S98&gt;=$AX$2,VLOOKUP(S98,$AX$2:$AY$12,2,1),""),IF(S98&gt;=$AZ$2,VLOOKUP(S98,$AZ$2:$BA$12,2,1),"")))</f>
        <v>22</v>
      </c>
      <c r="U98" s="39">
        <v>498</v>
      </c>
      <c r="V98" s="45">
        <f t="shared" ref="V98:V129" si="11">IF(OR(N98="",U98="",T98=""),"",U98/N98*T98)</f>
        <v>3652</v>
      </c>
      <c r="W98" s="39">
        <v>1</v>
      </c>
      <c r="X98" s="39" t="s">
        <v>46</v>
      </c>
      <c r="Y98" s="39" t="s">
        <v>40</v>
      </c>
      <c r="Z98" s="39" t="s">
        <v>55</v>
      </c>
      <c r="AA98" s="39" t="s">
        <v>47</v>
      </c>
      <c r="AB98" s="39" t="s">
        <v>331</v>
      </c>
    </row>
    <row r="99" spans="1:28" x14ac:dyDescent="0.15">
      <c r="A99" s="39" t="s">
        <v>35</v>
      </c>
      <c r="B99" s="39" t="s">
        <v>332</v>
      </c>
      <c r="C99" s="39">
        <v>2020</v>
      </c>
      <c r="D99" s="67" t="s">
        <v>336</v>
      </c>
      <c r="E99" s="39" t="s">
        <v>282</v>
      </c>
      <c r="F99" s="39" t="s">
        <v>304</v>
      </c>
      <c r="G99" s="39" t="s">
        <v>36</v>
      </c>
      <c r="H99" s="39" t="s">
        <v>146</v>
      </c>
      <c r="I99" s="39" t="s">
        <v>142</v>
      </c>
      <c r="J99" s="39" t="s">
        <v>38</v>
      </c>
      <c r="K99" s="39" t="s">
        <v>143</v>
      </c>
      <c r="L99" s="39">
        <v>2</v>
      </c>
      <c r="N99" s="39">
        <v>3</v>
      </c>
      <c r="O99" s="39">
        <v>1.2</v>
      </c>
      <c r="P99" s="39">
        <v>1.1000000000000001</v>
      </c>
      <c r="Q99" s="5">
        <f t="shared" si="9"/>
        <v>1.1499999999999999</v>
      </c>
      <c r="R99" s="39">
        <v>17.7</v>
      </c>
      <c r="S99" s="39">
        <v>145</v>
      </c>
      <c r="T99" s="45">
        <f t="shared" si="10"/>
        <v>22</v>
      </c>
      <c r="U99" s="39">
        <v>498</v>
      </c>
      <c r="V99" s="45">
        <f t="shared" si="11"/>
        <v>3652</v>
      </c>
      <c r="W99" s="39">
        <v>1</v>
      </c>
      <c r="X99" s="39" t="s">
        <v>46</v>
      </c>
      <c r="Y99" s="39" t="s">
        <v>40</v>
      </c>
      <c r="Z99" s="39" t="s">
        <v>55</v>
      </c>
      <c r="AA99" s="39" t="s">
        <v>47</v>
      </c>
      <c r="AB99" s="39" t="s">
        <v>331</v>
      </c>
    </row>
    <row r="100" spans="1:28" x14ac:dyDescent="0.15">
      <c r="A100" s="39" t="s">
        <v>35</v>
      </c>
      <c r="B100" s="39" t="s">
        <v>332</v>
      </c>
      <c r="C100" s="39">
        <v>2020</v>
      </c>
      <c r="D100" s="67" t="s">
        <v>336</v>
      </c>
      <c r="E100" s="39" t="s">
        <v>282</v>
      </c>
      <c r="F100" s="39" t="s">
        <v>304</v>
      </c>
      <c r="G100" s="39" t="s">
        <v>36</v>
      </c>
      <c r="H100" s="39" t="s">
        <v>146</v>
      </c>
      <c r="I100" s="39" t="s">
        <v>142</v>
      </c>
      <c r="J100" s="39" t="s">
        <v>38</v>
      </c>
      <c r="K100" s="39" t="s">
        <v>143</v>
      </c>
      <c r="L100" s="39">
        <v>3</v>
      </c>
      <c r="N100" s="39">
        <v>3</v>
      </c>
      <c r="O100" s="39">
        <v>0.9</v>
      </c>
      <c r="P100" s="39">
        <v>1</v>
      </c>
      <c r="Q100" s="5">
        <f t="shared" si="9"/>
        <v>0.95</v>
      </c>
      <c r="R100" s="39">
        <v>18.100000000000001</v>
      </c>
      <c r="S100" s="39">
        <v>141</v>
      </c>
      <c r="T100" s="45">
        <f t="shared" si="10"/>
        <v>22</v>
      </c>
      <c r="U100" s="39">
        <v>498</v>
      </c>
      <c r="V100" s="45">
        <f t="shared" si="11"/>
        <v>3652</v>
      </c>
      <c r="W100" s="39">
        <v>1</v>
      </c>
      <c r="X100" s="39" t="s">
        <v>46</v>
      </c>
      <c r="Y100" s="39" t="s">
        <v>40</v>
      </c>
      <c r="Z100" s="39" t="s">
        <v>55</v>
      </c>
      <c r="AA100" s="39" t="s">
        <v>47</v>
      </c>
      <c r="AB100" s="39" t="s">
        <v>331</v>
      </c>
    </row>
    <row r="101" spans="1:28" x14ac:dyDescent="0.15">
      <c r="A101" s="39" t="s">
        <v>35</v>
      </c>
      <c r="B101" s="39" t="s">
        <v>332</v>
      </c>
      <c r="C101" s="39">
        <v>2020</v>
      </c>
      <c r="D101" s="67" t="s">
        <v>336</v>
      </c>
      <c r="E101" s="39" t="s">
        <v>282</v>
      </c>
      <c r="F101" s="39" t="s">
        <v>304</v>
      </c>
      <c r="G101" s="39" t="s">
        <v>36</v>
      </c>
      <c r="H101" s="39" t="s">
        <v>146</v>
      </c>
      <c r="I101" s="39" t="s">
        <v>142</v>
      </c>
      <c r="J101" s="39" t="s">
        <v>38</v>
      </c>
      <c r="K101" s="39" t="s">
        <v>143</v>
      </c>
      <c r="L101" s="39">
        <v>1</v>
      </c>
      <c r="N101" s="39">
        <v>4</v>
      </c>
      <c r="O101" s="39">
        <v>0.9</v>
      </c>
      <c r="P101" s="39">
        <v>0.6</v>
      </c>
      <c r="Q101" s="5">
        <f t="shared" si="9"/>
        <v>0.75</v>
      </c>
      <c r="R101" s="39">
        <v>18.8</v>
      </c>
      <c r="S101" s="39">
        <v>82</v>
      </c>
      <c r="T101" s="45">
        <f t="shared" si="10"/>
        <v>39</v>
      </c>
      <c r="U101" s="39">
        <v>498</v>
      </c>
      <c r="V101" s="45">
        <f t="shared" si="11"/>
        <v>4855.5</v>
      </c>
      <c r="W101" s="39">
        <v>1</v>
      </c>
      <c r="X101" s="39" t="s">
        <v>46</v>
      </c>
      <c r="Y101" s="39" t="s">
        <v>40</v>
      </c>
      <c r="Z101" s="39" t="s">
        <v>55</v>
      </c>
      <c r="AA101" s="39" t="s">
        <v>47</v>
      </c>
      <c r="AB101" s="39" t="s">
        <v>331</v>
      </c>
    </row>
    <row r="102" spans="1:28" x14ac:dyDescent="0.15">
      <c r="A102" s="39" t="s">
        <v>35</v>
      </c>
      <c r="B102" s="39" t="s">
        <v>332</v>
      </c>
      <c r="C102" s="39">
        <v>2020</v>
      </c>
      <c r="D102" s="67" t="s">
        <v>336</v>
      </c>
      <c r="E102" s="39" t="s">
        <v>282</v>
      </c>
      <c r="F102" s="39" t="s">
        <v>304</v>
      </c>
      <c r="G102" s="39" t="s">
        <v>36</v>
      </c>
      <c r="H102" s="39" t="s">
        <v>146</v>
      </c>
      <c r="I102" s="39" t="s">
        <v>142</v>
      </c>
      <c r="J102" s="39" t="s">
        <v>38</v>
      </c>
      <c r="K102" s="39" t="s">
        <v>143</v>
      </c>
      <c r="L102" s="39">
        <v>2</v>
      </c>
      <c r="N102" s="39">
        <v>4</v>
      </c>
      <c r="O102" s="39">
        <v>1.25</v>
      </c>
      <c r="P102" s="39">
        <v>1.2</v>
      </c>
      <c r="Q102" s="5">
        <f t="shared" si="9"/>
        <v>1.2250000000000001</v>
      </c>
      <c r="R102" s="39">
        <v>13.8</v>
      </c>
      <c r="S102" s="39">
        <v>86</v>
      </c>
      <c r="T102" s="45">
        <f t="shared" si="10"/>
        <v>36</v>
      </c>
      <c r="U102" s="39">
        <v>498</v>
      </c>
      <c r="V102" s="45">
        <f t="shared" si="11"/>
        <v>4482</v>
      </c>
      <c r="W102" s="39">
        <v>1</v>
      </c>
      <c r="X102" s="39" t="s">
        <v>46</v>
      </c>
      <c r="Y102" s="39" t="s">
        <v>40</v>
      </c>
      <c r="Z102" s="39" t="s">
        <v>55</v>
      </c>
      <c r="AA102" s="39" t="s">
        <v>47</v>
      </c>
      <c r="AB102" s="39" t="s">
        <v>331</v>
      </c>
    </row>
    <row r="103" spans="1:28" x14ac:dyDescent="0.15">
      <c r="A103" s="39" t="s">
        <v>35</v>
      </c>
      <c r="B103" s="39" t="s">
        <v>332</v>
      </c>
      <c r="C103" s="39">
        <v>2020</v>
      </c>
      <c r="D103" s="67" t="s">
        <v>336</v>
      </c>
      <c r="E103" s="39" t="s">
        <v>282</v>
      </c>
      <c r="F103" s="39" t="s">
        <v>304</v>
      </c>
      <c r="G103" s="39" t="s">
        <v>36</v>
      </c>
      <c r="H103" s="39" t="s">
        <v>146</v>
      </c>
      <c r="I103" s="39" t="s">
        <v>142</v>
      </c>
      <c r="J103" s="39" t="s">
        <v>38</v>
      </c>
      <c r="K103" s="39" t="s">
        <v>143</v>
      </c>
      <c r="L103" s="39">
        <v>3</v>
      </c>
      <c r="N103" s="39">
        <v>4</v>
      </c>
      <c r="O103" s="39">
        <v>1</v>
      </c>
      <c r="P103" s="39">
        <v>1.3</v>
      </c>
      <c r="Q103" s="5">
        <f t="shared" si="9"/>
        <v>1.1499999999999999</v>
      </c>
      <c r="R103" s="39">
        <v>18.100000000000001</v>
      </c>
      <c r="S103" s="39">
        <v>88</v>
      </c>
      <c r="T103" s="45">
        <f t="shared" si="10"/>
        <v>36</v>
      </c>
      <c r="U103" s="39">
        <v>498</v>
      </c>
      <c r="V103" s="45">
        <f t="shared" si="11"/>
        <v>4482</v>
      </c>
      <c r="W103" s="39">
        <v>1</v>
      </c>
      <c r="X103" s="39" t="s">
        <v>46</v>
      </c>
      <c r="Y103" s="39" t="s">
        <v>40</v>
      </c>
      <c r="Z103" s="39" t="s">
        <v>55</v>
      </c>
      <c r="AA103" s="39" t="s">
        <v>47</v>
      </c>
      <c r="AB103" s="39" t="s">
        <v>331</v>
      </c>
    </row>
    <row r="104" spans="1:28" x14ac:dyDescent="0.15">
      <c r="A104" s="39" t="s">
        <v>35</v>
      </c>
      <c r="B104" s="39" t="s">
        <v>332</v>
      </c>
      <c r="C104" s="39">
        <v>2020</v>
      </c>
      <c r="D104" s="67" t="s">
        <v>336</v>
      </c>
      <c r="E104" s="39" t="s">
        <v>140</v>
      </c>
      <c r="F104" s="39" t="s">
        <v>307</v>
      </c>
      <c r="G104" s="39" t="s">
        <v>36</v>
      </c>
      <c r="H104" s="39" t="s">
        <v>127</v>
      </c>
      <c r="I104" s="39" t="s">
        <v>142</v>
      </c>
      <c r="J104" s="39" t="s">
        <v>58</v>
      </c>
      <c r="K104" s="39" t="s">
        <v>59</v>
      </c>
      <c r="L104" s="39">
        <v>1</v>
      </c>
      <c r="N104" s="39">
        <v>1</v>
      </c>
      <c r="O104" s="39">
        <v>1.2</v>
      </c>
      <c r="P104" s="39">
        <v>1.4</v>
      </c>
      <c r="Q104" s="5">
        <f t="shared" si="9"/>
        <v>1.2999999999999998</v>
      </c>
      <c r="R104" s="39">
        <v>11.1</v>
      </c>
      <c r="S104" s="39">
        <v>116</v>
      </c>
      <c r="T104" s="45">
        <f t="shared" si="10"/>
        <v>30</v>
      </c>
      <c r="U104" s="39">
        <v>98</v>
      </c>
      <c r="V104" s="45">
        <f t="shared" si="11"/>
        <v>2940</v>
      </c>
      <c r="W104" s="39">
        <v>2</v>
      </c>
      <c r="X104" s="39" t="s">
        <v>46</v>
      </c>
      <c r="Y104" s="39" t="s">
        <v>55</v>
      </c>
      <c r="Z104" s="39" t="s">
        <v>40</v>
      </c>
      <c r="AA104" s="39" t="s">
        <v>47</v>
      </c>
      <c r="AB104" s="39" t="s">
        <v>331</v>
      </c>
    </row>
    <row r="105" spans="1:28" x14ac:dyDescent="0.15">
      <c r="A105" s="39" t="s">
        <v>35</v>
      </c>
      <c r="B105" s="39" t="s">
        <v>332</v>
      </c>
      <c r="C105" s="39">
        <v>2020</v>
      </c>
      <c r="D105" s="67" t="s">
        <v>336</v>
      </c>
      <c r="E105" s="39" t="s">
        <v>140</v>
      </c>
      <c r="F105" s="39" t="s">
        <v>307</v>
      </c>
      <c r="G105" s="39" t="s">
        <v>36</v>
      </c>
      <c r="H105" s="39" t="s">
        <v>127</v>
      </c>
      <c r="I105" s="39" t="s">
        <v>142</v>
      </c>
      <c r="J105" s="39" t="s">
        <v>58</v>
      </c>
      <c r="K105" s="39" t="s">
        <v>59</v>
      </c>
      <c r="L105" s="39">
        <v>2</v>
      </c>
      <c r="N105" s="39">
        <v>1</v>
      </c>
      <c r="O105" s="39">
        <v>1.2</v>
      </c>
      <c r="P105" s="39">
        <v>1.25</v>
      </c>
      <c r="Q105" s="5">
        <f t="shared" si="9"/>
        <v>1.2250000000000001</v>
      </c>
      <c r="R105" s="39">
        <v>11.1</v>
      </c>
      <c r="S105" s="39">
        <v>90</v>
      </c>
      <c r="T105" s="45">
        <f t="shared" si="10"/>
        <v>36</v>
      </c>
      <c r="U105" s="39">
        <v>98</v>
      </c>
      <c r="V105" s="45">
        <f t="shared" si="11"/>
        <v>3528</v>
      </c>
      <c r="W105" s="39">
        <v>2</v>
      </c>
      <c r="X105" s="39" t="s">
        <v>46</v>
      </c>
      <c r="Y105" s="39" t="s">
        <v>55</v>
      </c>
      <c r="Z105" s="39" t="s">
        <v>40</v>
      </c>
      <c r="AA105" s="39" t="s">
        <v>47</v>
      </c>
      <c r="AB105" s="39" t="s">
        <v>331</v>
      </c>
    </row>
    <row r="106" spans="1:28" x14ac:dyDescent="0.15">
      <c r="A106" s="39" t="s">
        <v>35</v>
      </c>
      <c r="B106" s="39" t="s">
        <v>332</v>
      </c>
      <c r="C106" s="39">
        <v>2020</v>
      </c>
      <c r="D106" s="67" t="s">
        <v>336</v>
      </c>
      <c r="E106" s="39" t="s">
        <v>140</v>
      </c>
      <c r="F106" s="39" t="s">
        <v>307</v>
      </c>
      <c r="G106" s="39" t="s">
        <v>36</v>
      </c>
      <c r="H106" s="39" t="s">
        <v>127</v>
      </c>
      <c r="I106" s="39" t="s">
        <v>142</v>
      </c>
      <c r="J106" s="39" t="s">
        <v>58</v>
      </c>
      <c r="K106" s="39" t="s">
        <v>59</v>
      </c>
      <c r="L106" s="39">
        <v>3</v>
      </c>
      <c r="N106" s="39">
        <v>1</v>
      </c>
      <c r="O106" s="39">
        <v>1.4</v>
      </c>
      <c r="P106" s="39">
        <v>1.3</v>
      </c>
      <c r="Q106" s="5">
        <f t="shared" si="9"/>
        <v>1.35</v>
      </c>
      <c r="R106" s="39">
        <v>12.2</v>
      </c>
      <c r="S106" s="39">
        <v>87</v>
      </c>
      <c r="T106" s="45">
        <f t="shared" si="10"/>
        <v>36</v>
      </c>
      <c r="U106" s="39">
        <v>98</v>
      </c>
      <c r="V106" s="45">
        <f t="shared" si="11"/>
        <v>3528</v>
      </c>
      <c r="W106" s="39">
        <v>2</v>
      </c>
      <c r="X106" s="39" t="s">
        <v>46</v>
      </c>
      <c r="Y106" s="39" t="s">
        <v>55</v>
      </c>
      <c r="Z106" s="39" t="s">
        <v>40</v>
      </c>
      <c r="AA106" s="39" t="s">
        <v>47</v>
      </c>
      <c r="AB106" s="39" t="s">
        <v>331</v>
      </c>
    </row>
    <row r="107" spans="1:28" x14ac:dyDescent="0.15">
      <c r="A107" s="39" t="s">
        <v>35</v>
      </c>
      <c r="B107" s="39" t="s">
        <v>332</v>
      </c>
      <c r="C107" s="39">
        <v>2020</v>
      </c>
      <c r="D107" s="67" t="s">
        <v>336</v>
      </c>
      <c r="E107" s="39" t="s">
        <v>140</v>
      </c>
      <c r="F107" s="39" t="s">
        <v>307</v>
      </c>
      <c r="G107" s="39" t="s">
        <v>36</v>
      </c>
      <c r="H107" s="39" t="s">
        <v>127</v>
      </c>
      <c r="I107" s="39" t="s">
        <v>142</v>
      </c>
      <c r="J107" s="39" t="s">
        <v>58</v>
      </c>
      <c r="K107" s="39" t="s">
        <v>59</v>
      </c>
      <c r="L107" s="39">
        <v>1</v>
      </c>
      <c r="N107" s="39">
        <v>5</v>
      </c>
      <c r="O107" s="39">
        <v>1.2</v>
      </c>
      <c r="P107" s="39">
        <v>1.2</v>
      </c>
      <c r="Q107" s="5">
        <f t="shared" si="9"/>
        <v>1.2</v>
      </c>
      <c r="R107" s="39">
        <v>12</v>
      </c>
      <c r="S107" s="39">
        <v>89</v>
      </c>
      <c r="T107" s="45">
        <f t="shared" si="10"/>
        <v>36</v>
      </c>
      <c r="U107" s="39">
        <v>398</v>
      </c>
      <c r="V107" s="45">
        <f t="shared" si="11"/>
        <v>2865.6</v>
      </c>
      <c r="W107" s="39">
        <v>1</v>
      </c>
      <c r="X107" s="39" t="s">
        <v>46</v>
      </c>
      <c r="Y107" s="39" t="s">
        <v>55</v>
      </c>
      <c r="Z107" s="39" t="s">
        <v>40</v>
      </c>
      <c r="AA107" s="39" t="s">
        <v>47</v>
      </c>
      <c r="AB107" s="39" t="s">
        <v>331</v>
      </c>
    </row>
    <row r="108" spans="1:28" x14ac:dyDescent="0.15">
      <c r="A108" s="39" t="s">
        <v>35</v>
      </c>
      <c r="B108" s="39" t="s">
        <v>332</v>
      </c>
      <c r="C108" s="39">
        <v>2020</v>
      </c>
      <c r="D108" s="67" t="s">
        <v>336</v>
      </c>
      <c r="E108" s="39" t="s">
        <v>140</v>
      </c>
      <c r="F108" s="39" t="s">
        <v>307</v>
      </c>
      <c r="G108" s="39" t="s">
        <v>36</v>
      </c>
      <c r="H108" s="39" t="s">
        <v>127</v>
      </c>
      <c r="I108" s="39" t="s">
        <v>142</v>
      </c>
      <c r="J108" s="39" t="s">
        <v>58</v>
      </c>
      <c r="K108" s="39" t="s">
        <v>59</v>
      </c>
      <c r="L108" s="39">
        <v>2</v>
      </c>
      <c r="N108" s="39">
        <v>5</v>
      </c>
      <c r="O108" s="39">
        <v>0.8</v>
      </c>
      <c r="P108" s="39">
        <v>1</v>
      </c>
      <c r="Q108" s="5">
        <f t="shared" si="9"/>
        <v>0.9</v>
      </c>
      <c r="R108" s="39">
        <v>11.5</v>
      </c>
      <c r="S108" s="39">
        <v>84</v>
      </c>
      <c r="T108" s="45">
        <f t="shared" si="10"/>
        <v>36</v>
      </c>
      <c r="U108" s="39">
        <v>398</v>
      </c>
      <c r="V108" s="45">
        <f t="shared" si="11"/>
        <v>2865.6</v>
      </c>
      <c r="W108" s="39">
        <v>1</v>
      </c>
      <c r="X108" s="39" t="s">
        <v>46</v>
      </c>
      <c r="Y108" s="39" t="s">
        <v>55</v>
      </c>
      <c r="Z108" s="39" t="s">
        <v>40</v>
      </c>
      <c r="AA108" s="39" t="s">
        <v>47</v>
      </c>
      <c r="AB108" s="39" t="s">
        <v>331</v>
      </c>
    </row>
    <row r="109" spans="1:28" x14ac:dyDescent="0.15">
      <c r="A109" s="39" t="s">
        <v>35</v>
      </c>
      <c r="B109" s="39" t="s">
        <v>332</v>
      </c>
      <c r="C109" s="39">
        <v>2020</v>
      </c>
      <c r="D109" s="67" t="s">
        <v>336</v>
      </c>
      <c r="E109" s="39" t="s">
        <v>140</v>
      </c>
      <c r="F109" s="39" t="s">
        <v>307</v>
      </c>
      <c r="G109" s="39" t="s">
        <v>36</v>
      </c>
      <c r="H109" s="39" t="s">
        <v>127</v>
      </c>
      <c r="I109" s="39" t="s">
        <v>142</v>
      </c>
      <c r="J109" s="39" t="s">
        <v>58</v>
      </c>
      <c r="K109" s="39" t="s">
        <v>59</v>
      </c>
      <c r="L109" s="39">
        <v>3</v>
      </c>
      <c r="N109" s="39">
        <v>5</v>
      </c>
      <c r="O109" s="39">
        <v>0.5</v>
      </c>
      <c r="P109" s="39">
        <v>0.5</v>
      </c>
      <c r="Q109" s="5">
        <f t="shared" si="9"/>
        <v>0.5</v>
      </c>
      <c r="R109" s="39">
        <v>11.5</v>
      </c>
      <c r="S109" s="39">
        <v>88</v>
      </c>
      <c r="T109" s="45">
        <f t="shared" si="10"/>
        <v>36</v>
      </c>
      <c r="U109" s="39">
        <v>398</v>
      </c>
      <c r="V109" s="45">
        <f t="shared" si="11"/>
        <v>2865.6</v>
      </c>
      <c r="W109" s="39">
        <v>1</v>
      </c>
      <c r="X109" s="39" t="s">
        <v>46</v>
      </c>
      <c r="Y109" s="39" t="s">
        <v>55</v>
      </c>
      <c r="Z109" s="39" t="s">
        <v>40</v>
      </c>
      <c r="AA109" s="39" t="s">
        <v>47</v>
      </c>
      <c r="AB109" s="39" t="s">
        <v>331</v>
      </c>
    </row>
    <row r="110" spans="1:28" x14ac:dyDescent="0.15">
      <c r="A110" s="39" t="s">
        <v>35</v>
      </c>
      <c r="B110" s="39" t="s">
        <v>332</v>
      </c>
      <c r="C110" s="39">
        <v>2020</v>
      </c>
      <c r="D110" s="67" t="s">
        <v>336</v>
      </c>
      <c r="E110" s="39" t="s">
        <v>140</v>
      </c>
      <c r="F110" s="39" t="s">
        <v>307</v>
      </c>
      <c r="G110" s="39" t="s">
        <v>36</v>
      </c>
      <c r="H110" s="39" t="s">
        <v>127</v>
      </c>
      <c r="I110" s="39" t="s">
        <v>142</v>
      </c>
      <c r="J110" s="39" t="s">
        <v>53</v>
      </c>
      <c r="K110" s="39" t="s">
        <v>54</v>
      </c>
      <c r="L110" s="39">
        <v>1</v>
      </c>
      <c r="N110" s="39">
        <v>4</v>
      </c>
      <c r="O110" s="39">
        <v>1.5</v>
      </c>
      <c r="P110" s="39">
        <v>1.5</v>
      </c>
      <c r="Q110" s="5">
        <f t="shared" si="9"/>
        <v>1.5</v>
      </c>
      <c r="R110" s="39">
        <v>14.5</v>
      </c>
      <c r="S110" s="39">
        <v>121</v>
      </c>
      <c r="T110" s="45">
        <f t="shared" si="10"/>
        <v>27</v>
      </c>
      <c r="U110" s="39">
        <v>498</v>
      </c>
      <c r="V110" s="45">
        <f t="shared" si="11"/>
        <v>3361.5</v>
      </c>
      <c r="W110" s="39">
        <v>1</v>
      </c>
      <c r="X110" s="39" t="s">
        <v>46</v>
      </c>
      <c r="Y110" s="39" t="s">
        <v>55</v>
      </c>
      <c r="Z110" s="39" t="s">
        <v>40</v>
      </c>
      <c r="AA110" s="39" t="s">
        <v>47</v>
      </c>
      <c r="AB110" s="39" t="s">
        <v>331</v>
      </c>
    </row>
    <row r="111" spans="1:28" x14ac:dyDescent="0.15">
      <c r="A111" s="39" t="s">
        <v>35</v>
      </c>
      <c r="B111" s="39" t="s">
        <v>332</v>
      </c>
      <c r="C111" s="39">
        <v>2020</v>
      </c>
      <c r="D111" s="67" t="s">
        <v>336</v>
      </c>
      <c r="E111" s="39" t="s">
        <v>140</v>
      </c>
      <c r="F111" s="39" t="s">
        <v>307</v>
      </c>
      <c r="G111" s="39" t="s">
        <v>36</v>
      </c>
      <c r="H111" s="39" t="s">
        <v>127</v>
      </c>
      <c r="I111" s="39" t="s">
        <v>142</v>
      </c>
      <c r="J111" s="39" t="s">
        <v>53</v>
      </c>
      <c r="K111" s="39" t="s">
        <v>54</v>
      </c>
      <c r="L111" s="39">
        <v>2</v>
      </c>
      <c r="N111" s="39">
        <v>4</v>
      </c>
      <c r="O111" s="39">
        <v>0.8</v>
      </c>
      <c r="P111" s="39">
        <v>0.6</v>
      </c>
      <c r="Q111" s="5">
        <f t="shared" si="9"/>
        <v>0.7</v>
      </c>
      <c r="R111" s="39">
        <v>12.8</v>
      </c>
      <c r="S111" s="39">
        <v>125</v>
      </c>
      <c r="T111" s="45">
        <f t="shared" si="10"/>
        <v>27</v>
      </c>
      <c r="U111" s="39">
        <v>498</v>
      </c>
      <c r="V111" s="45">
        <f t="shared" si="11"/>
        <v>3361.5</v>
      </c>
      <c r="W111" s="39">
        <v>1</v>
      </c>
      <c r="X111" s="39" t="s">
        <v>46</v>
      </c>
      <c r="Y111" s="39" t="s">
        <v>55</v>
      </c>
      <c r="Z111" s="39" t="s">
        <v>40</v>
      </c>
      <c r="AA111" s="39" t="s">
        <v>47</v>
      </c>
      <c r="AB111" s="39" t="s">
        <v>331</v>
      </c>
    </row>
    <row r="112" spans="1:28" x14ac:dyDescent="0.15">
      <c r="A112" s="39" t="s">
        <v>35</v>
      </c>
      <c r="B112" s="39" t="s">
        <v>332</v>
      </c>
      <c r="C112" s="39">
        <v>2020</v>
      </c>
      <c r="D112" s="67" t="s">
        <v>336</v>
      </c>
      <c r="E112" s="39" t="s">
        <v>140</v>
      </c>
      <c r="F112" s="39" t="s">
        <v>307</v>
      </c>
      <c r="G112" s="39" t="s">
        <v>36</v>
      </c>
      <c r="H112" s="39" t="s">
        <v>127</v>
      </c>
      <c r="I112" s="39" t="s">
        <v>142</v>
      </c>
      <c r="J112" s="39" t="s">
        <v>53</v>
      </c>
      <c r="K112" s="39" t="s">
        <v>54</v>
      </c>
      <c r="L112" s="39">
        <v>3</v>
      </c>
      <c r="N112" s="39">
        <v>4</v>
      </c>
      <c r="O112" s="39">
        <v>1.6</v>
      </c>
      <c r="P112" s="39">
        <v>1.6</v>
      </c>
      <c r="Q112" s="5">
        <f t="shared" si="9"/>
        <v>1.6</v>
      </c>
      <c r="R112" s="39">
        <v>15.6</v>
      </c>
      <c r="S112" s="39">
        <v>122</v>
      </c>
      <c r="T112" s="45">
        <f t="shared" si="10"/>
        <v>27</v>
      </c>
      <c r="U112" s="39">
        <v>498</v>
      </c>
      <c r="V112" s="45">
        <f t="shared" si="11"/>
        <v>3361.5</v>
      </c>
      <c r="W112" s="39">
        <v>1</v>
      </c>
      <c r="X112" s="39" t="s">
        <v>46</v>
      </c>
      <c r="Y112" s="39" t="s">
        <v>55</v>
      </c>
      <c r="Z112" s="39" t="s">
        <v>40</v>
      </c>
      <c r="AA112" s="39" t="s">
        <v>47</v>
      </c>
      <c r="AB112" s="39" t="s">
        <v>331</v>
      </c>
    </row>
    <row r="113" spans="1:28" x14ac:dyDescent="0.15">
      <c r="A113" s="39" t="s">
        <v>35</v>
      </c>
      <c r="B113" s="39" t="s">
        <v>332</v>
      </c>
      <c r="C113" s="39">
        <v>2020</v>
      </c>
      <c r="D113" s="67" t="s">
        <v>336</v>
      </c>
      <c r="E113" s="39" t="s">
        <v>140</v>
      </c>
      <c r="F113" s="39" t="s">
        <v>307</v>
      </c>
      <c r="G113" s="39" t="s">
        <v>36</v>
      </c>
      <c r="H113" s="39" t="s">
        <v>146</v>
      </c>
      <c r="I113" s="39" t="s">
        <v>142</v>
      </c>
      <c r="J113" s="39" t="s">
        <v>38</v>
      </c>
      <c r="K113" s="39" t="s">
        <v>143</v>
      </c>
      <c r="L113" s="39">
        <v>1</v>
      </c>
      <c r="N113" s="39">
        <v>1</v>
      </c>
      <c r="O113" s="39">
        <v>1.5</v>
      </c>
      <c r="P113" s="39">
        <v>1.5</v>
      </c>
      <c r="Q113" s="5">
        <f t="shared" si="9"/>
        <v>1.5</v>
      </c>
      <c r="R113" s="39">
        <v>15.5</v>
      </c>
      <c r="S113" s="39">
        <v>126</v>
      </c>
      <c r="T113" s="45">
        <f t="shared" si="10"/>
        <v>27</v>
      </c>
      <c r="U113" s="39">
        <v>138</v>
      </c>
      <c r="V113" s="45">
        <f t="shared" si="11"/>
        <v>3726</v>
      </c>
      <c r="W113" s="39">
        <v>9</v>
      </c>
      <c r="X113" s="39" t="s">
        <v>46</v>
      </c>
      <c r="Y113" s="39" t="s">
        <v>55</v>
      </c>
      <c r="Z113" s="39" t="s">
        <v>40</v>
      </c>
      <c r="AA113" s="39" t="s">
        <v>47</v>
      </c>
      <c r="AB113" s="39" t="s">
        <v>331</v>
      </c>
    </row>
    <row r="114" spans="1:28" x14ac:dyDescent="0.15">
      <c r="A114" s="39" t="s">
        <v>35</v>
      </c>
      <c r="B114" s="39" t="s">
        <v>332</v>
      </c>
      <c r="C114" s="39">
        <v>2020</v>
      </c>
      <c r="D114" s="67" t="s">
        <v>336</v>
      </c>
      <c r="E114" s="39" t="s">
        <v>140</v>
      </c>
      <c r="F114" s="39" t="s">
        <v>307</v>
      </c>
      <c r="G114" s="39" t="s">
        <v>36</v>
      </c>
      <c r="H114" s="39" t="s">
        <v>146</v>
      </c>
      <c r="I114" s="39" t="s">
        <v>142</v>
      </c>
      <c r="J114" s="39" t="s">
        <v>38</v>
      </c>
      <c r="K114" s="39" t="s">
        <v>143</v>
      </c>
      <c r="L114" s="39">
        <v>2</v>
      </c>
      <c r="N114" s="39">
        <v>1</v>
      </c>
      <c r="O114" s="39">
        <v>1.7</v>
      </c>
      <c r="P114" s="39">
        <v>1.5</v>
      </c>
      <c r="Q114" s="5">
        <f t="shared" si="9"/>
        <v>1.6</v>
      </c>
      <c r="R114" s="39">
        <v>13.3</v>
      </c>
      <c r="S114" s="39">
        <v>128</v>
      </c>
      <c r="T114" s="45">
        <f t="shared" si="10"/>
        <v>27</v>
      </c>
      <c r="U114" s="39">
        <v>138</v>
      </c>
      <c r="V114" s="45">
        <f t="shared" si="11"/>
        <v>3726</v>
      </c>
      <c r="W114" s="39">
        <v>9</v>
      </c>
      <c r="X114" s="39" t="s">
        <v>46</v>
      </c>
      <c r="Y114" s="39" t="s">
        <v>55</v>
      </c>
      <c r="Z114" s="39" t="s">
        <v>40</v>
      </c>
      <c r="AA114" s="39" t="s">
        <v>47</v>
      </c>
      <c r="AB114" s="39" t="s">
        <v>331</v>
      </c>
    </row>
    <row r="115" spans="1:28" x14ac:dyDescent="0.15">
      <c r="A115" s="39" t="s">
        <v>35</v>
      </c>
      <c r="B115" s="39" t="s">
        <v>332</v>
      </c>
      <c r="C115" s="39">
        <v>2020</v>
      </c>
      <c r="D115" s="67" t="s">
        <v>336</v>
      </c>
      <c r="E115" s="39" t="s">
        <v>140</v>
      </c>
      <c r="F115" s="39" t="s">
        <v>307</v>
      </c>
      <c r="G115" s="39" t="s">
        <v>36</v>
      </c>
      <c r="H115" s="39" t="s">
        <v>146</v>
      </c>
      <c r="I115" s="39" t="s">
        <v>142</v>
      </c>
      <c r="J115" s="39" t="s">
        <v>38</v>
      </c>
      <c r="K115" s="39" t="s">
        <v>143</v>
      </c>
      <c r="L115" s="39">
        <v>3</v>
      </c>
      <c r="N115" s="39">
        <v>1</v>
      </c>
      <c r="O115" s="39">
        <v>1</v>
      </c>
      <c r="P115" s="39">
        <v>0.8</v>
      </c>
      <c r="Q115" s="5">
        <f t="shared" si="9"/>
        <v>0.9</v>
      </c>
      <c r="R115" s="39">
        <v>17.2</v>
      </c>
      <c r="S115" s="39">
        <v>127</v>
      </c>
      <c r="T115" s="45">
        <f t="shared" si="10"/>
        <v>27</v>
      </c>
      <c r="U115" s="39">
        <v>138</v>
      </c>
      <c r="V115" s="45">
        <f t="shared" si="11"/>
        <v>3726</v>
      </c>
      <c r="W115" s="39">
        <v>9</v>
      </c>
      <c r="X115" s="39" t="s">
        <v>46</v>
      </c>
      <c r="Y115" s="39" t="s">
        <v>55</v>
      </c>
      <c r="Z115" s="39" t="s">
        <v>40</v>
      </c>
      <c r="AA115" s="39" t="s">
        <v>47</v>
      </c>
      <c r="AB115" s="39" t="s">
        <v>331</v>
      </c>
    </row>
    <row r="116" spans="1:28" x14ac:dyDescent="0.15">
      <c r="A116" s="39" t="s">
        <v>35</v>
      </c>
      <c r="B116" s="39" t="s">
        <v>332</v>
      </c>
      <c r="C116" s="39">
        <v>2020</v>
      </c>
      <c r="D116" s="67" t="s">
        <v>336</v>
      </c>
      <c r="E116" s="39" t="s">
        <v>140</v>
      </c>
      <c r="F116" s="39" t="s">
        <v>307</v>
      </c>
      <c r="G116" s="39" t="s">
        <v>36</v>
      </c>
      <c r="H116" s="39" t="s">
        <v>146</v>
      </c>
      <c r="I116" s="39" t="s">
        <v>142</v>
      </c>
      <c r="J116" s="39" t="s">
        <v>38</v>
      </c>
      <c r="K116" s="39" t="s">
        <v>143</v>
      </c>
      <c r="L116" s="39">
        <v>1</v>
      </c>
      <c r="N116" s="39">
        <v>1</v>
      </c>
      <c r="O116" s="39">
        <v>1.4</v>
      </c>
      <c r="P116" s="39">
        <v>1.1000000000000001</v>
      </c>
      <c r="Q116" s="5">
        <f t="shared" si="9"/>
        <v>1.25</v>
      </c>
      <c r="R116" s="39">
        <v>14.2</v>
      </c>
      <c r="S116" s="39">
        <v>176</v>
      </c>
      <c r="T116" s="45">
        <f t="shared" si="10"/>
        <v>18</v>
      </c>
      <c r="U116" s="39">
        <v>198</v>
      </c>
      <c r="V116" s="45">
        <f t="shared" si="11"/>
        <v>3564</v>
      </c>
      <c r="W116" s="39">
        <v>1</v>
      </c>
      <c r="X116" s="39" t="s">
        <v>46</v>
      </c>
      <c r="Y116" s="39" t="s">
        <v>55</v>
      </c>
      <c r="Z116" s="39" t="s">
        <v>40</v>
      </c>
      <c r="AA116" s="39" t="s">
        <v>47</v>
      </c>
      <c r="AB116" s="39" t="s">
        <v>331</v>
      </c>
    </row>
    <row r="117" spans="1:28" x14ac:dyDescent="0.15">
      <c r="A117" s="39" t="s">
        <v>35</v>
      </c>
      <c r="B117" s="39" t="s">
        <v>332</v>
      </c>
      <c r="C117" s="39">
        <v>2020</v>
      </c>
      <c r="D117" s="67" t="s">
        <v>336</v>
      </c>
      <c r="E117" s="39" t="s">
        <v>140</v>
      </c>
      <c r="F117" s="39" t="s">
        <v>307</v>
      </c>
      <c r="G117" s="39" t="s">
        <v>36</v>
      </c>
      <c r="H117" s="39" t="s">
        <v>146</v>
      </c>
      <c r="I117" s="39" t="s">
        <v>142</v>
      </c>
      <c r="J117" s="39" t="s">
        <v>38</v>
      </c>
      <c r="K117" s="39" t="s">
        <v>143</v>
      </c>
      <c r="L117" s="39">
        <v>2</v>
      </c>
      <c r="N117" s="39">
        <v>1</v>
      </c>
      <c r="O117" s="39">
        <v>1.3</v>
      </c>
      <c r="P117" s="39">
        <v>1.1000000000000001</v>
      </c>
      <c r="Q117" s="5">
        <f t="shared" si="9"/>
        <v>1.2000000000000002</v>
      </c>
      <c r="R117" s="39">
        <v>14.9</v>
      </c>
      <c r="S117" s="39">
        <v>177</v>
      </c>
      <c r="T117" s="45">
        <f t="shared" si="10"/>
        <v>18</v>
      </c>
      <c r="U117" s="39">
        <v>198</v>
      </c>
      <c r="V117" s="45">
        <f t="shared" si="11"/>
        <v>3564</v>
      </c>
      <c r="W117" s="39">
        <v>1</v>
      </c>
      <c r="X117" s="39" t="s">
        <v>46</v>
      </c>
      <c r="Y117" s="39" t="s">
        <v>55</v>
      </c>
      <c r="Z117" s="39" t="s">
        <v>40</v>
      </c>
      <c r="AA117" s="39" t="s">
        <v>47</v>
      </c>
      <c r="AB117" s="39" t="s">
        <v>331</v>
      </c>
    </row>
    <row r="118" spans="1:28" x14ac:dyDescent="0.15">
      <c r="A118" s="39" t="s">
        <v>35</v>
      </c>
      <c r="B118" s="39" t="s">
        <v>332</v>
      </c>
      <c r="C118" s="39">
        <v>2020</v>
      </c>
      <c r="D118" s="67" t="s">
        <v>336</v>
      </c>
      <c r="E118" s="39" t="s">
        <v>140</v>
      </c>
      <c r="F118" s="39" t="s">
        <v>307</v>
      </c>
      <c r="G118" s="39" t="s">
        <v>36</v>
      </c>
      <c r="H118" s="39" t="s">
        <v>146</v>
      </c>
      <c r="I118" s="39" t="s">
        <v>142</v>
      </c>
      <c r="J118" s="39" t="s">
        <v>38</v>
      </c>
      <c r="K118" s="39" t="s">
        <v>143</v>
      </c>
      <c r="L118" s="39">
        <v>3</v>
      </c>
      <c r="N118" s="39">
        <v>1</v>
      </c>
      <c r="O118" s="39">
        <v>1</v>
      </c>
      <c r="P118" s="39">
        <v>0.9</v>
      </c>
      <c r="Q118" s="5">
        <f t="shared" si="9"/>
        <v>0.95</v>
      </c>
      <c r="R118" s="39">
        <v>18.7</v>
      </c>
      <c r="S118" s="39">
        <v>179</v>
      </c>
      <c r="T118" s="45">
        <f t="shared" si="10"/>
        <v>18</v>
      </c>
      <c r="U118" s="39">
        <v>198</v>
      </c>
      <c r="V118" s="45">
        <f t="shared" si="11"/>
        <v>3564</v>
      </c>
      <c r="W118" s="39">
        <v>1</v>
      </c>
      <c r="X118" s="39" t="s">
        <v>46</v>
      </c>
      <c r="Y118" s="39" t="s">
        <v>55</v>
      </c>
      <c r="Z118" s="39" t="s">
        <v>40</v>
      </c>
      <c r="AA118" s="39" t="s">
        <v>47</v>
      </c>
      <c r="AB118" s="39" t="s">
        <v>331</v>
      </c>
    </row>
    <row r="119" spans="1:28" x14ac:dyDescent="0.15">
      <c r="A119" s="39" t="s">
        <v>35</v>
      </c>
      <c r="B119" s="39" t="s">
        <v>332</v>
      </c>
      <c r="C119" s="39">
        <v>2020</v>
      </c>
      <c r="D119" s="67" t="s">
        <v>336</v>
      </c>
      <c r="E119" s="39" t="s">
        <v>140</v>
      </c>
      <c r="F119" s="39" t="s">
        <v>307</v>
      </c>
      <c r="G119" s="39" t="s">
        <v>36</v>
      </c>
      <c r="H119" s="39" t="s">
        <v>146</v>
      </c>
      <c r="I119" s="39" t="s">
        <v>142</v>
      </c>
      <c r="J119" s="39" t="s">
        <v>38</v>
      </c>
      <c r="K119" s="39" t="s">
        <v>143</v>
      </c>
      <c r="L119" s="39">
        <v>1</v>
      </c>
      <c r="N119" s="39">
        <v>3</v>
      </c>
      <c r="O119" s="39">
        <v>0.7</v>
      </c>
      <c r="P119" s="39">
        <v>0.7</v>
      </c>
      <c r="Q119" s="5">
        <f t="shared" si="9"/>
        <v>0.7</v>
      </c>
      <c r="R119" s="39">
        <v>19.2</v>
      </c>
      <c r="S119" s="39">
        <v>150</v>
      </c>
      <c r="T119" s="45">
        <f t="shared" si="10"/>
        <v>22</v>
      </c>
      <c r="U119" s="39">
        <v>498</v>
      </c>
      <c r="V119" s="45">
        <f t="shared" si="11"/>
        <v>3652</v>
      </c>
      <c r="W119" s="39">
        <v>2</v>
      </c>
      <c r="X119" s="39" t="s">
        <v>46</v>
      </c>
      <c r="Y119" s="39" t="s">
        <v>55</v>
      </c>
      <c r="Z119" s="39" t="s">
        <v>40</v>
      </c>
      <c r="AA119" s="39" t="s">
        <v>47</v>
      </c>
      <c r="AB119" s="39" t="s">
        <v>331</v>
      </c>
    </row>
    <row r="120" spans="1:28" x14ac:dyDescent="0.15">
      <c r="A120" s="39" t="s">
        <v>35</v>
      </c>
      <c r="B120" s="39" t="s">
        <v>332</v>
      </c>
      <c r="C120" s="39">
        <v>2020</v>
      </c>
      <c r="D120" s="67" t="s">
        <v>336</v>
      </c>
      <c r="E120" s="39" t="s">
        <v>140</v>
      </c>
      <c r="F120" s="39" t="s">
        <v>307</v>
      </c>
      <c r="G120" s="39" t="s">
        <v>36</v>
      </c>
      <c r="H120" s="39" t="s">
        <v>146</v>
      </c>
      <c r="I120" s="39" t="s">
        <v>142</v>
      </c>
      <c r="J120" s="39" t="s">
        <v>38</v>
      </c>
      <c r="K120" s="39" t="s">
        <v>143</v>
      </c>
      <c r="L120" s="39">
        <v>2</v>
      </c>
      <c r="N120" s="39">
        <v>3</v>
      </c>
      <c r="O120" s="39">
        <v>1.2</v>
      </c>
      <c r="P120" s="39">
        <v>1</v>
      </c>
      <c r="Q120" s="5">
        <f t="shared" si="9"/>
        <v>1.1000000000000001</v>
      </c>
      <c r="R120" s="39">
        <v>17.399999999999999</v>
      </c>
      <c r="S120" s="39">
        <v>174</v>
      </c>
      <c r="T120" s="45">
        <f t="shared" si="10"/>
        <v>18</v>
      </c>
      <c r="U120" s="39">
        <v>498</v>
      </c>
      <c r="V120" s="45">
        <f t="shared" si="11"/>
        <v>2988</v>
      </c>
      <c r="W120" s="39">
        <v>2</v>
      </c>
      <c r="X120" s="39" t="s">
        <v>46</v>
      </c>
      <c r="Y120" s="39" t="s">
        <v>55</v>
      </c>
      <c r="Z120" s="39" t="s">
        <v>40</v>
      </c>
      <c r="AA120" s="39" t="s">
        <v>47</v>
      </c>
      <c r="AB120" s="39" t="s">
        <v>331</v>
      </c>
    </row>
    <row r="121" spans="1:28" x14ac:dyDescent="0.15">
      <c r="A121" s="39" t="s">
        <v>35</v>
      </c>
      <c r="B121" s="39" t="s">
        <v>332</v>
      </c>
      <c r="C121" s="39">
        <v>2020</v>
      </c>
      <c r="D121" s="67" t="s">
        <v>336</v>
      </c>
      <c r="E121" s="39" t="s">
        <v>140</v>
      </c>
      <c r="F121" s="39" t="s">
        <v>307</v>
      </c>
      <c r="G121" s="39" t="s">
        <v>36</v>
      </c>
      <c r="H121" s="39" t="s">
        <v>146</v>
      </c>
      <c r="I121" s="39" t="s">
        <v>142</v>
      </c>
      <c r="J121" s="39" t="s">
        <v>38</v>
      </c>
      <c r="K121" s="39" t="s">
        <v>143</v>
      </c>
      <c r="L121" s="39">
        <v>3</v>
      </c>
      <c r="N121" s="39">
        <v>3</v>
      </c>
      <c r="O121" s="39">
        <v>0.6</v>
      </c>
      <c r="P121" s="39">
        <v>0.7</v>
      </c>
      <c r="Q121" s="2">
        <f t="shared" si="9"/>
        <v>0.64999999999999991</v>
      </c>
      <c r="R121" s="39">
        <v>19.7</v>
      </c>
      <c r="S121" s="39">
        <v>161</v>
      </c>
      <c r="T121" s="45">
        <f t="shared" si="10"/>
        <v>18</v>
      </c>
      <c r="U121" s="39">
        <v>498</v>
      </c>
      <c r="V121" s="45">
        <f t="shared" si="11"/>
        <v>2988</v>
      </c>
      <c r="W121" s="39">
        <v>2</v>
      </c>
      <c r="X121" s="39" t="s">
        <v>46</v>
      </c>
      <c r="Y121" s="39" t="s">
        <v>55</v>
      </c>
      <c r="Z121" s="39" t="s">
        <v>40</v>
      </c>
      <c r="AA121" s="39" t="s">
        <v>47</v>
      </c>
      <c r="AB121" s="39" t="s">
        <v>331</v>
      </c>
    </row>
    <row r="122" spans="1:28" x14ac:dyDescent="0.15">
      <c r="A122" s="39" t="s">
        <v>35</v>
      </c>
      <c r="B122" s="39" t="s">
        <v>332</v>
      </c>
      <c r="C122" s="39">
        <v>2020</v>
      </c>
      <c r="D122" s="67" t="s">
        <v>336</v>
      </c>
      <c r="E122" s="39" t="s">
        <v>140</v>
      </c>
      <c r="F122" s="39" t="s">
        <v>307</v>
      </c>
      <c r="G122" s="39" t="s">
        <v>36</v>
      </c>
      <c r="H122" s="39" t="s">
        <v>146</v>
      </c>
      <c r="I122" s="39" t="s">
        <v>142</v>
      </c>
      <c r="J122" s="39" t="s">
        <v>38</v>
      </c>
      <c r="K122" s="39" t="s">
        <v>143</v>
      </c>
      <c r="L122" s="39">
        <v>1</v>
      </c>
      <c r="N122" s="39">
        <v>4</v>
      </c>
      <c r="O122" s="39">
        <v>1.2</v>
      </c>
      <c r="P122" s="39">
        <v>1.2</v>
      </c>
      <c r="Q122" s="2">
        <f t="shared" si="9"/>
        <v>1.2</v>
      </c>
      <c r="R122" s="39">
        <v>13.8</v>
      </c>
      <c r="S122" s="39">
        <v>107</v>
      </c>
      <c r="T122" s="45">
        <f t="shared" si="10"/>
        <v>33</v>
      </c>
      <c r="U122" s="39">
        <v>498</v>
      </c>
      <c r="V122" s="45">
        <f t="shared" si="11"/>
        <v>4108.5</v>
      </c>
      <c r="W122" s="39">
        <v>9</v>
      </c>
      <c r="X122" s="39" t="s">
        <v>46</v>
      </c>
      <c r="Y122" s="39" t="s">
        <v>55</v>
      </c>
      <c r="Z122" s="39" t="s">
        <v>40</v>
      </c>
      <c r="AA122" s="39" t="s">
        <v>47</v>
      </c>
      <c r="AB122" s="39" t="s">
        <v>331</v>
      </c>
    </row>
    <row r="123" spans="1:28" x14ac:dyDescent="0.15">
      <c r="A123" s="39" t="s">
        <v>35</v>
      </c>
      <c r="B123" s="39" t="s">
        <v>332</v>
      </c>
      <c r="C123" s="39">
        <v>2020</v>
      </c>
      <c r="D123" s="67" t="s">
        <v>336</v>
      </c>
      <c r="E123" s="39" t="s">
        <v>140</v>
      </c>
      <c r="F123" s="39" t="s">
        <v>307</v>
      </c>
      <c r="G123" s="39" t="s">
        <v>36</v>
      </c>
      <c r="H123" s="39" t="s">
        <v>146</v>
      </c>
      <c r="I123" s="39" t="s">
        <v>142</v>
      </c>
      <c r="J123" s="39" t="s">
        <v>38</v>
      </c>
      <c r="K123" s="39" t="s">
        <v>143</v>
      </c>
      <c r="L123" s="39">
        <v>2</v>
      </c>
      <c r="N123" s="39">
        <v>4</v>
      </c>
      <c r="O123" s="39">
        <v>1.6</v>
      </c>
      <c r="P123" s="39">
        <v>1.7</v>
      </c>
      <c r="Q123" s="2">
        <f t="shared" si="9"/>
        <v>1.65</v>
      </c>
      <c r="R123" s="39">
        <v>14.3</v>
      </c>
      <c r="S123" s="39">
        <v>113</v>
      </c>
      <c r="T123" s="45">
        <f t="shared" si="10"/>
        <v>30</v>
      </c>
      <c r="U123" s="39">
        <v>498</v>
      </c>
      <c r="V123" s="45">
        <f t="shared" si="11"/>
        <v>3735</v>
      </c>
      <c r="W123" s="39">
        <v>9</v>
      </c>
      <c r="X123" s="39" t="s">
        <v>46</v>
      </c>
      <c r="Y123" s="39" t="s">
        <v>55</v>
      </c>
      <c r="Z123" s="39" t="s">
        <v>40</v>
      </c>
      <c r="AA123" s="39" t="s">
        <v>47</v>
      </c>
      <c r="AB123" s="39" t="s">
        <v>331</v>
      </c>
    </row>
    <row r="124" spans="1:28" x14ac:dyDescent="0.15">
      <c r="A124" s="39" t="s">
        <v>35</v>
      </c>
      <c r="B124" s="39" t="s">
        <v>332</v>
      </c>
      <c r="C124" s="39">
        <v>2020</v>
      </c>
      <c r="D124" s="67" t="s">
        <v>336</v>
      </c>
      <c r="E124" s="39" t="s">
        <v>140</v>
      </c>
      <c r="F124" s="39" t="s">
        <v>307</v>
      </c>
      <c r="G124" s="39" t="s">
        <v>36</v>
      </c>
      <c r="H124" s="39" t="s">
        <v>146</v>
      </c>
      <c r="I124" s="39" t="s">
        <v>142</v>
      </c>
      <c r="J124" s="39" t="s">
        <v>38</v>
      </c>
      <c r="K124" s="39" t="s">
        <v>143</v>
      </c>
      <c r="L124" s="39">
        <v>3</v>
      </c>
      <c r="N124" s="39">
        <v>4</v>
      </c>
      <c r="O124" s="39">
        <v>1.4</v>
      </c>
      <c r="P124" s="39">
        <v>1.6</v>
      </c>
      <c r="Q124" s="2">
        <f t="shared" si="9"/>
        <v>1.5</v>
      </c>
      <c r="R124" s="39">
        <v>13.6</v>
      </c>
      <c r="S124" s="39">
        <v>116</v>
      </c>
      <c r="T124" s="45">
        <f t="shared" si="10"/>
        <v>30</v>
      </c>
      <c r="U124" s="39">
        <v>498</v>
      </c>
      <c r="V124" s="45">
        <f t="shared" si="11"/>
        <v>3735</v>
      </c>
      <c r="W124" s="39">
        <v>9</v>
      </c>
      <c r="X124" s="39" t="s">
        <v>46</v>
      </c>
      <c r="Y124" s="39" t="s">
        <v>55</v>
      </c>
      <c r="Z124" s="39" t="s">
        <v>40</v>
      </c>
      <c r="AA124" s="39" t="s">
        <v>47</v>
      </c>
      <c r="AB124" s="39" t="s">
        <v>331</v>
      </c>
    </row>
    <row r="125" spans="1:28" x14ac:dyDescent="0.15">
      <c r="A125" s="39" t="s">
        <v>35</v>
      </c>
      <c r="B125" s="39" t="s">
        <v>332</v>
      </c>
      <c r="C125" s="39">
        <v>2020</v>
      </c>
      <c r="D125" s="67" t="s">
        <v>336</v>
      </c>
      <c r="E125" s="39" t="s">
        <v>140</v>
      </c>
      <c r="F125" s="39" t="s">
        <v>307</v>
      </c>
      <c r="G125" s="39" t="s">
        <v>36</v>
      </c>
      <c r="H125" s="39" t="s">
        <v>146</v>
      </c>
      <c r="I125" s="39" t="s">
        <v>142</v>
      </c>
      <c r="J125" s="39" t="s">
        <v>38</v>
      </c>
      <c r="K125" s="39" t="s">
        <v>143</v>
      </c>
      <c r="L125" s="39">
        <v>1</v>
      </c>
      <c r="N125" s="39">
        <v>8</v>
      </c>
      <c r="O125" s="39">
        <v>1.1000000000000001</v>
      </c>
      <c r="P125" s="39">
        <v>1.2</v>
      </c>
      <c r="Q125" s="2">
        <f t="shared" si="9"/>
        <v>1.1499999999999999</v>
      </c>
      <c r="R125" s="39">
        <v>16.600000000000001</v>
      </c>
      <c r="S125" s="39">
        <v>87</v>
      </c>
      <c r="T125" s="45">
        <f t="shared" si="10"/>
        <v>36</v>
      </c>
      <c r="U125" s="39">
        <v>798</v>
      </c>
      <c r="V125" s="45">
        <f t="shared" si="11"/>
        <v>3591</v>
      </c>
      <c r="W125" s="39">
        <v>2</v>
      </c>
      <c r="X125" s="39" t="s">
        <v>46</v>
      </c>
      <c r="Y125" s="39" t="s">
        <v>55</v>
      </c>
      <c r="Z125" s="39" t="s">
        <v>40</v>
      </c>
      <c r="AA125" s="39" t="s">
        <v>47</v>
      </c>
      <c r="AB125" s="39" t="s">
        <v>331</v>
      </c>
    </row>
    <row r="126" spans="1:28" x14ac:dyDescent="0.15">
      <c r="A126" s="39" t="s">
        <v>35</v>
      </c>
      <c r="B126" s="39" t="s">
        <v>332</v>
      </c>
      <c r="C126" s="39">
        <v>2020</v>
      </c>
      <c r="D126" s="67" t="s">
        <v>336</v>
      </c>
      <c r="E126" s="39" t="s">
        <v>140</v>
      </c>
      <c r="F126" s="39" t="s">
        <v>307</v>
      </c>
      <c r="G126" s="39" t="s">
        <v>36</v>
      </c>
      <c r="H126" s="39" t="s">
        <v>146</v>
      </c>
      <c r="I126" s="39" t="s">
        <v>142</v>
      </c>
      <c r="J126" s="39" t="s">
        <v>38</v>
      </c>
      <c r="K126" s="39" t="s">
        <v>143</v>
      </c>
      <c r="L126" s="39">
        <v>2</v>
      </c>
      <c r="N126" s="39">
        <v>8</v>
      </c>
      <c r="O126" s="39">
        <v>1</v>
      </c>
      <c r="P126" s="39">
        <v>1</v>
      </c>
      <c r="Q126" s="2">
        <f t="shared" si="9"/>
        <v>1</v>
      </c>
      <c r="R126" s="39">
        <v>15.5</v>
      </c>
      <c r="S126" s="39">
        <v>82</v>
      </c>
      <c r="T126" s="45">
        <f t="shared" si="10"/>
        <v>39</v>
      </c>
      <c r="U126" s="39">
        <v>798</v>
      </c>
      <c r="V126" s="45">
        <f t="shared" si="11"/>
        <v>3890.25</v>
      </c>
      <c r="W126" s="39">
        <v>2</v>
      </c>
      <c r="X126" s="39" t="s">
        <v>46</v>
      </c>
      <c r="Y126" s="39" t="s">
        <v>55</v>
      </c>
      <c r="Z126" s="39" t="s">
        <v>40</v>
      </c>
      <c r="AA126" s="39" t="s">
        <v>47</v>
      </c>
      <c r="AB126" s="39" t="s">
        <v>331</v>
      </c>
    </row>
    <row r="127" spans="1:28" x14ac:dyDescent="0.15">
      <c r="A127" s="39" t="s">
        <v>35</v>
      </c>
      <c r="B127" s="39" t="s">
        <v>332</v>
      </c>
      <c r="C127" s="39">
        <v>2020</v>
      </c>
      <c r="D127" s="67" t="s">
        <v>336</v>
      </c>
      <c r="E127" s="39" t="s">
        <v>140</v>
      </c>
      <c r="F127" s="39" t="s">
        <v>307</v>
      </c>
      <c r="G127" s="39" t="s">
        <v>36</v>
      </c>
      <c r="H127" s="39" t="s">
        <v>146</v>
      </c>
      <c r="I127" s="39" t="s">
        <v>142</v>
      </c>
      <c r="J127" s="39" t="s">
        <v>38</v>
      </c>
      <c r="K127" s="39" t="s">
        <v>143</v>
      </c>
      <c r="L127" s="39">
        <v>3</v>
      </c>
      <c r="N127" s="39">
        <v>8</v>
      </c>
      <c r="O127" s="39">
        <v>1</v>
      </c>
      <c r="P127" s="39">
        <v>0.9</v>
      </c>
      <c r="Q127" s="2">
        <f t="shared" si="9"/>
        <v>0.95</v>
      </c>
      <c r="R127" s="39">
        <v>14.4</v>
      </c>
      <c r="S127" s="39">
        <v>85</v>
      </c>
      <c r="T127" s="45">
        <f t="shared" si="10"/>
        <v>36</v>
      </c>
      <c r="U127" s="39">
        <v>798</v>
      </c>
      <c r="V127" s="45">
        <f t="shared" si="11"/>
        <v>3591</v>
      </c>
      <c r="W127" s="39">
        <v>2</v>
      </c>
      <c r="X127" s="39" t="s">
        <v>46</v>
      </c>
      <c r="Y127" s="39" t="s">
        <v>55</v>
      </c>
      <c r="Z127" s="39" t="s">
        <v>40</v>
      </c>
      <c r="AA127" s="39" t="s">
        <v>47</v>
      </c>
      <c r="AB127" s="39" t="s">
        <v>331</v>
      </c>
    </row>
    <row r="128" spans="1:28" x14ac:dyDescent="0.15">
      <c r="A128" s="39" t="s">
        <v>35</v>
      </c>
      <c r="B128" s="39" t="s">
        <v>332</v>
      </c>
      <c r="C128" s="39">
        <v>2020</v>
      </c>
      <c r="D128" s="67" t="s">
        <v>336</v>
      </c>
      <c r="E128" s="39" t="s">
        <v>141</v>
      </c>
      <c r="F128" s="39" t="s">
        <v>306</v>
      </c>
      <c r="G128" s="39" t="s">
        <v>36</v>
      </c>
      <c r="H128" s="39" t="s">
        <v>127</v>
      </c>
      <c r="I128" s="39" t="s">
        <v>142</v>
      </c>
      <c r="J128" s="39" t="s">
        <v>53</v>
      </c>
      <c r="K128" s="39" t="s">
        <v>54</v>
      </c>
      <c r="L128" s="39">
        <v>1</v>
      </c>
      <c r="N128" s="39">
        <v>1</v>
      </c>
      <c r="O128" s="39">
        <v>1</v>
      </c>
      <c r="P128" s="39">
        <v>0.75</v>
      </c>
      <c r="Q128" s="2">
        <f t="shared" si="9"/>
        <v>0.875</v>
      </c>
      <c r="R128" s="39">
        <v>12.8</v>
      </c>
      <c r="S128" s="39">
        <v>92</v>
      </c>
      <c r="T128" s="45">
        <f t="shared" si="10"/>
        <v>36</v>
      </c>
      <c r="U128" s="39">
        <v>98</v>
      </c>
      <c r="V128" s="45">
        <f t="shared" si="11"/>
        <v>3528</v>
      </c>
      <c r="W128" s="39">
        <v>1</v>
      </c>
      <c r="X128" s="39" t="s">
        <v>46</v>
      </c>
      <c r="Y128" s="39" t="s">
        <v>55</v>
      </c>
      <c r="Z128" s="39" t="s">
        <v>40</v>
      </c>
      <c r="AA128" s="39" t="s">
        <v>47</v>
      </c>
      <c r="AB128" s="39" t="s">
        <v>331</v>
      </c>
    </row>
    <row r="129" spans="1:28" x14ac:dyDescent="0.15">
      <c r="A129" s="39" t="s">
        <v>35</v>
      </c>
      <c r="B129" s="39" t="s">
        <v>332</v>
      </c>
      <c r="C129" s="39">
        <v>2020</v>
      </c>
      <c r="D129" s="67" t="s">
        <v>336</v>
      </c>
      <c r="E129" s="39" t="s">
        <v>141</v>
      </c>
      <c r="F129" s="39" t="s">
        <v>306</v>
      </c>
      <c r="G129" s="39" t="s">
        <v>36</v>
      </c>
      <c r="H129" s="39" t="s">
        <v>127</v>
      </c>
      <c r="I129" s="39" t="s">
        <v>142</v>
      </c>
      <c r="J129" s="39" t="s">
        <v>53</v>
      </c>
      <c r="K129" s="39" t="s">
        <v>54</v>
      </c>
      <c r="L129" s="39">
        <v>2</v>
      </c>
      <c r="N129" s="39">
        <v>1</v>
      </c>
      <c r="O129" s="39">
        <v>1</v>
      </c>
      <c r="P129" s="39">
        <v>1</v>
      </c>
      <c r="Q129" s="2">
        <f t="shared" si="9"/>
        <v>1</v>
      </c>
      <c r="R129" s="39">
        <v>15.5</v>
      </c>
      <c r="S129" s="39">
        <v>107</v>
      </c>
      <c r="T129" s="45">
        <f t="shared" si="10"/>
        <v>33</v>
      </c>
      <c r="U129" s="39">
        <v>98</v>
      </c>
      <c r="V129" s="45">
        <f t="shared" si="11"/>
        <v>3234</v>
      </c>
      <c r="W129" s="39">
        <v>1</v>
      </c>
      <c r="X129" s="39" t="s">
        <v>46</v>
      </c>
      <c r="Y129" s="39" t="s">
        <v>55</v>
      </c>
      <c r="Z129" s="39" t="s">
        <v>40</v>
      </c>
      <c r="AA129" s="39" t="s">
        <v>47</v>
      </c>
      <c r="AB129" s="39" t="s">
        <v>331</v>
      </c>
    </row>
    <row r="130" spans="1:28" x14ac:dyDescent="0.15">
      <c r="A130" s="39" t="s">
        <v>35</v>
      </c>
      <c r="B130" s="39" t="s">
        <v>332</v>
      </c>
      <c r="C130" s="39">
        <v>2020</v>
      </c>
      <c r="D130" s="67" t="s">
        <v>336</v>
      </c>
      <c r="E130" s="39" t="s">
        <v>141</v>
      </c>
      <c r="F130" s="39" t="s">
        <v>306</v>
      </c>
      <c r="G130" s="39" t="s">
        <v>36</v>
      </c>
      <c r="H130" s="39" t="s">
        <v>127</v>
      </c>
      <c r="I130" s="39" t="s">
        <v>142</v>
      </c>
      <c r="J130" s="39" t="s">
        <v>53</v>
      </c>
      <c r="K130" s="39" t="s">
        <v>54</v>
      </c>
      <c r="L130" s="39">
        <v>3</v>
      </c>
      <c r="N130" s="39">
        <v>1</v>
      </c>
      <c r="O130" s="39">
        <v>1.3</v>
      </c>
      <c r="P130" s="39">
        <v>1</v>
      </c>
      <c r="Q130" s="2">
        <f t="shared" ref="Q130:Q161" si="12">IF(OR(O130="",P130=""),"",AVERAGE(O130,P130))</f>
        <v>1.1499999999999999</v>
      </c>
      <c r="R130" s="39">
        <v>12</v>
      </c>
      <c r="S130" s="39">
        <v>116</v>
      </c>
      <c r="T130" s="45">
        <f t="shared" ref="T130:T161" si="13">IF(H130="","",IF(OR(H130="GREEN",H130="GK"),IF(S130&gt;=$AX$2,VLOOKUP(S130,$AX$2:$AY$12,2,1),""),IF(S130&gt;=$AZ$2,VLOOKUP(S130,$AZ$2:$BA$12,2,1),"")))</f>
        <v>30</v>
      </c>
      <c r="U130" s="39">
        <v>98</v>
      </c>
      <c r="V130" s="45">
        <f t="shared" ref="V130:V161" si="14">IF(OR(N130="",U130="",T130=""),"",U130/N130*T130)</f>
        <v>2940</v>
      </c>
      <c r="W130" s="39">
        <v>1</v>
      </c>
      <c r="X130" s="39" t="s">
        <v>46</v>
      </c>
      <c r="Y130" s="39" t="s">
        <v>55</v>
      </c>
      <c r="Z130" s="39" t="s">
        <v>40</v>
      </c>
      <c r="AA130" s="39" t="s">
        <v>47</v>
      </c>
      <c r="AB130" s="39" t="s">
        <v>331</v>
      </c>
    </row>
    <row r="131" spans="1:28" x14ac:dyDescent="0.15">
      <c r="A131" s="39" t="s">
        <v>35</v>
      </c>
      <c r="B131" s="39" t="s">
        <v>332</v>
      </c>
      <c r="C131" s="39">
        <v>2020</v>
      </c>
      <c r="D131" s="67" t="s">
        <v>336</v>
      </c>
      <c r="E131" s="39" t="s">
        <v>141</v>
      </c>
      <c r="F131" s="39" t="s">
        <v>306</v>
      </c>
      <c r="G131" s="39" t="s">
        <v>36</v>
      </c>
      <c r="H131" s="39" t="s">
        <v>127</v>
      </c>
      <c r="I131" s="39" t="s">
        <v>142</v>
      </c>
      <c r="J131" s="39" t="s">
        <v>53</v>
      </c>
      <c r="K131" s="39" t="s">
        <v>54</v>
      </c>
      <c r="L131" s="39">
        <v>1</v>
      </c>
      <c r="N131" s="39">
        <v>5</v>
      </c>
      <c r="O131" s="39">
        <v>1.3</v>
      </c>
      <c r="P131" s="39">
        <v>1.5</v>
      </c>
      <c r="Q131" s="2">
        <f t="shared" si="12"/>
        <v>1.4</v>
      </c>
      <c r="R131" s="39">
        <v>12.6</v>
      </c>
      <c r="S131" s="39">
        <v>79</v>
      </c>
      <c r="T131" s="45">
        <f t="shared" si="13"/>
        <v>39</v>
      </c>
      <c r="U131" s="39">
        <v>298</v>
      </c>
      <c r="V131" s="45">
        <f t="shared" si="14"/>
        <v>2324.4</v>
      </c>
      <c r="W131" s="39">
        <v>1</v>
      </c>
      <c r="X131" s="39" t="s">
        <v>46</v>
      </c>
      <c r="Y131" s="39" t="s">
        <v>55</v>
      </c>
      <c r="Z131" s="39" t="s">
        <v>40</v>
      </c>
      <c r="AA131" s="39" t="s">
        <v>47</v>
      </c>
      <c r="AB131" s="39" t="s">
        <v>331</v>
      </c>
    </row>
    <row r="132" spans="1:28" x14ac:dyDescent="0.15">
      <c r="A132" s="39" t="s">
        <v>35</v>
      </c>
      <c r="B132" s="39" t="s">
        <v>332</v>
      </c>
      <c r="C132" s="39">
        <v>2020</v>
      </c>
      <c r="D132" s="67" t="s">
        <v>336</v>
      </c>
      <c r="E132" s="39" t="s">
        <v>141</v>
      </c>
      <c r="F132" s="39" t="s">
        <v>306</v>
      </c>
      <c r="G132" s="39" t="s">
        <v>36</v>
      </c>
      <c r="H132" s="39" t="s">
        <v>127</v>
      </c>
      <c r="I132" s="39" t="s">
        <v>142</v>
      </c>
      <c r="J132" s="39" t="s">
        <v>53</v>
      </c>
      <c r="K132" s="39" t="s">
        <v>54</v>
      </c>
      <c r="L132" s="39">
        <v>2</v>
      </c>
      <c r="N132" s="39">
        <v>5</v>
      </c>
      <c r="O132" s="39">
        <v>1.3</v>
      </c>
      <c r="P132" s="39">
        <v>1</v>
      </c>
      <c r="Q132" s="2">
        <f t="shared" si="12"/>
        <v>1.1499999999999999</v>
      </c>
      <c r="R132" s="39">
        <v>11.2</v>
      </c>
      <c r="S132" s="39">
        <v>79</v>
      </c>
      <c r="T132" s="45">
        <f t="shared" si="13"/>
        <v>39</v>
      </c>
      <c r="U132" s="39">
        <v>298</v>
      </c>
      <c r="V132" s="45">
        <f t="shared" si="14"/>
        <v>2324.4</v>
      </c>
      <c r="W132" s="39">
        <v>1</v>
      </c>
      <c r="X132" s="39" t="s">
        <v>46</v>
      </c>
      <c r="Y132" s="39" t="s">
        <v>55</v>
      </c>
      <c r="Z132" s="39" t="s">
        <v>40</v>
      </c>
      <c r="AA132" s="39" t="s">
        <v>47</v>
      </c>
      <c r="AB132" s="39" t="s">
        <v>331</v>
      </c>
    </row>
    <row r="133" spans="1:28" x14ac:dyDescent="0.15">
      <c r="A133" s="39" t="s">
        <v>35</v>
      </c>
      <c r="B133" s="39" t="s">
        <v>332</v>
      </c>
      <c r="C133" s="39">
        <v>2020</v>
      </c>
      <c r="D133" s="67" t="s">
        <v>336</v>
      </c>
      <c r="E133" s="39" t="s">
        <v>141</v>
      </c>
      <c r="F133" s="39" t="s">
        <v>306</v>
      </c>
      <c r="G133" s="39" t="s">
        <v>36</v>
      </c>
      <c r="H133" s="39" t="s">
        <v>127</v>
      </c>
      <c r="I133" s="39" t="s">
        <v>142</v>
      </c>
      <c r="J133" s="39" t="s">
        <v>53</v>
      </c>
      <c r="K133" s="39" t="s">
        <v>54</v>
      </c>
      <c r="L133" s="39">
        <v>3</v>
      </c>
      <c r="N133" s="39">
        <v>5</v>
      </c>
      <c r="O133" s="39">
        <v>1.25</v>
      </c>
      <c r="P133" s="39">
        <v>1.2</v>
      </c>
      <c r="Q133" s="2">
        <f t="shared" si="12"/>
        <v>1.2250000000000001</v>
      </c>
      <c r="R133" s="39">
        <v>12.5</v>
      </c>
      <c r="S133" s="39">
        <v>85</v>
      </c>
      <c r="T133" s="45">
        <f t="shared" si="13"/>
        <v>36</v>
      </c>
      <c r="U133" s="39">
        <v>298</v>
      </c>
      <c r="V133" s="45">
        <f t="shared" si="14"/>
        <v>2145.6</v>
      </c>
      <c r="W133" s="39">
        <v>1</v>
      </c>
      <c r="X133" s="39" t="s">
        <v>46</v>
      </c>
      <c r="Y133" s="39" t="s">
        <v>55</v>
      </c>
      <c r="Z133" s="39" t="s">
        <v>40</v>
      </c>
      <c r="AA133" s="39" t="s">
        <v>47</v>
      </c>
      <c r="AB133" s="39" t="s">
        <v>331</v>
      </c>
    </row>
    <row r="134" spans="1:28" x14ac:dyDescent="0.15">
      <c r="A134" s="39" t="s">
        <v>35</v>
      </c>
      <c r="B134" s="39" t="s">
        <v>332</v>
      </c>
      <c r="C134" s="39">
        <v>2020</v>
      </c>
      <c r="D134" s="67" t="s">
        <v>336</v>
      </c>
      <c r="E134" s="39" t="s">
        <v>141</v>
      </c>
      <c r="F134" s="39" t="s">
        <v>306</v>
      </c>
      <c r="G134" s="39" t="s">
        <v>36</v>
      </c>
      <c r="H134" s="39" t="s">
        <v>146</v>
      </c>
      <c r="I134" s="39" t="s">
        <v>142</v>
      </c>
      <c r="J134" s="39" t="s">
        <v>38</v>
      </c>
      <c r="K134" s="39" t="s">
        <v>143</v>
      </c>
      <c r="L134" s="39">
        <v>1</v>
      </c>
      <c r="N134" s="39">
        <v>1</v>
      </c>
      <c r="O134" s="39">
        <v>0.9</v>
      </c>
      <c r="P134" s="39">
        <v>0.6</v>
      </c>
      <c r="Q134" s="2">
        <f t="shared" si="12"/>
        <v>0.75</v>
      </c>
      <c r="R134" s="39">
        <v>17.899999999999999</v>
      </c>
      <c r="S134" s="39">
        <v>119</v>
      </c>
      <c r="T134" s="45">
        <f t="shared" si="13"/>
        <v>30</v>
      </c>
      <c r="U134" s="39">
        <v>128</v>
      </c>
      <c r="V134" s="45">
        <f t="shared" si="14"/>
        <v>3840</v>
      </c>
      <c r="W134" s="39">
        <v>6</v>
      </c>
      <c r="X134" s="39" t="s">
        <v>46</v>
      </c>
      <c r="Y134" s="39" t="s">
        <v>55</v>
      </c>
      <c r="Z134" s="39" t="s">
        <v>40</v>
      </c>
      <c r="AA134" s="39" t="s">
        <v>47</v>
      </c>
      <c r="AB134" s="39" t="s">
        <v>331</v>
      </c>
    </row>
    <row r="135" spans="1:28" x14ac:dyDescent="0.15">
      <c r="A135" s="39" t="s">
        <v>35</v>
      </c>
      <c r="B135" s="39" t="s">
        <v>332</v>
      </c>
      <c r="C135" s="39">
        <v>2020</v>
      </c>
      <c r="D135" s="67" t="s">
        <v>336</v>
      </c>
      <c r="E135" s="39" t="s">
        <v>141</v>
      </c>
      <c r="F135" s="39" t="s">
        <v>306</v>
      </c>
      <c r="G135" s="39" t="s">
        <v>36</v>
      </c>
      <c r="H135" s="39" t="s">
        <v>146</v>
      </c>
      <c r="I135" s="39" t="s">
        <v>142</v>
      </c>
      <c r="J135" s="39" t="s">
        <v>38</v>
      </c>
      <c r="K135" s="39" t="s">
        <v>143</v>
      </c>
      <c r="L135" s="39">
        <v>2</v>
      </c>
      <c r="N135" s="39">
        <v>1</v>
      </c>
      <c r="O135" s="39">
        <v>1.25</v>
      </c>
      <c r="P135" s="39">
        <v>1</v>
      </c>
      <c r="Q135" s="2">
        <f t="shared" si="12"/>
        <v>1.125</v>
      </c>
      <c r="R135" s="39">
        <v>18.100000000000001</v>
      </c>
      <c r="S135" s="39">
        <v>121</v>
      </c>
      <c r="T135" s="45">
        <f t="shared" si="13"/>
        <v>27</v>
      </c>
      <c r="U135" s="39">
        <v>128</v>
      </c>
      <c r="V135" s="45">
        <f t="shared" si="14"/>
        <v>3456</v>
      </c>
      <c r="W135" s="39">
        <v>6</v>
      </c>
      <c r="X135" s="39" t="s">
        <v>46</v>
      </c>
      <c r="Y135" s="39" t="s">
        <v>55</v>
      </c>
      <c r="Z135" s="39" t="s">
        <v>40</v>
      </c>
      <c r="AA135" s="39" t="s">
        <v>47</v>
      </c>
      <c r="AB135" s="39" t="s">
        <v>331</v>
      </c>
    </row>
    <row r="136" spans="1:28" x14ac:dyDescent="0.15">
      <c r="A136" s="39" t="s">
        <v>35</v>
      </c>
      <c r="B136" s="39" t="s">
        <v>332</v>
      </c>
      <c r="C136" s="39">
        <v>2020</v>
      </c>
      <c r="D136" s="67" t="s">
        <v>336</v>
      </c>
      <c r="E136" s="39" t="s">
        <v>141</v>
      </c>
      <c r="F136" s="39" t="s">
        <v>306</v>
      </c>
      <c r="G136" s="39" t="s">
        <v>36</v>
      </c>
      <c r="H136" s="39" t="s">
        <v>146</v>
      </c>
      <c r="I136" s="39" t="s">
        <v>142</v>
      </c>
      <c r="J136" s="39" t="s">
        <v>38</v>
      </c>
      <c r="K136" s="39" t="s">
        <v>143</v>
      </c>
      <c r="L136" s="39">
        <v>3</v>
      </c>
      <c r="N136" s="39">
        <v>1</v>
      </c>
      <c r="O136" s="39">
        <v>0.9</v>
      </c>
      <c r="P136" s="39">
        <v>0.9</v>
      </c>
      <c r="Q136" s="2">
        <f t="shared" si="12"/>
        <v>0.9</v>
      </c>
      <c r="R136" s="39">
        <v>18</v>
      </c>
      <c r="S136" s="39">
        <v>122</v>
      </c>
      <c r="T136" s="45">
        <f t="shared" si="13"/>
        <v>27</v>
      </c>
      <c r="U136" s="39">
        <v>128</v>
      </c>
      <c r="V136" s="45">
        <f t="shared" si="14"/>
        <v>3456</v>
      </c>
      <c r="W136" s="39">
        <v>6</v>
      </c>
      <c r="X136" s="39" t="s">
        <v>46</v>
      </c>
      <c r="Y136" s="39" t="s">
        <v>55</v>
      </c>
      <c r="Z136" s="39" t="s">
        <v>40</v>
      </c>
      <c r="AA136" s="39" t="s">
        <v>47</v>
      </c>
      <c r="AB136" s="39" t="s">
        <v>331</v>
      </c>
    </row>
    <row r="137" spans="1:28" x14ac:dyDescent="0.15">
      <c r="A137" s="39" t="s">
        <v>35</v>
      </c>
      <c r="B137" s="39" t="s">
        <v>332</v>
      </c>
      <c r="C137" s="39">
        <v>2020</v>
      </c>
      <c r="D137" s="67" t="s">
        <v>336</v>
      </c>
      <c r="E137" s="39" t="s">
        <v>141</v>
      </c>
      <c r="F137" s="39" t="s">
        <v>306</v>
      </c>
      <c r="G137" s="39" t="s">
        <v>36</v>
      </c>
      <c r="H137" s="39" t="s">
        <v>146</v>
      </c>
      <c r="I137" s="39" t="s">
        <v>142</v>
      </c>
      <c r="J137" s="39" t="s">
        <v>38</v>
      </c>
      <c r="K137" s="39" t="s">
        <v>143</v>
      </c>
      <c r="L137" s="39">
        <v>1</v>
      </c>
      <c r="N137" s="39">
        <v>4</v>
      </c>
      <c r="O137" s="39">
        <v>1.25</v>
      </c>
      <c r="P137" s="39">
        <v>1.3</v>
      </c>
      <c r="Q137" s="2">
        <f t="shared" si="12"/>
        <v>1.2749999999999999</v>
      </c>
      <c r="R137" s="39">
        <v>12.6</v>
      </c>
      <c r="S137" s="39">
        <v>97</v>
      </c>
      <c r="T137" s="45">
        <f t="shared" si="13"/>
        <v>36</v>
      </c>
      <c r="U137" s="39">
        <v>480</v>
      </c>
      <c r="V137" s="45">
        <f t="shared" si="14"/>
        <v>4320</v>
      </c>
      <c r="W137" s="39">
        <v>2</v>
      </c>
      <c r="X137" s="39" t="s">
        <v>46</v>
      </c>
      <c r="Y137" s="39" t="s">
        <v>55</v>
      </c>
      <c r="Z137" s="39" t="s">
        <v>40</v>
      </c>
      <c r="AA137" s="39" t="s">
        <v>47</v>
      </c>
      <c r="AB137" s="39" t="s">
        <v>331</v>
      </c>
    </row>
    <row r="138" spans="1:28" x14ac:dyDescent="0.15">
      <c r="A138" s="39" t="s">
        <v>35</v>
      </c>
      <c r="B138" s="39" t="s">
        <v>332</v>
      </c>
      <c r="C138" s="39">
        <v>2020</v>
      </c>
      <c r="D138" s="67" t="s">
        <v>336</v>
      </c>
      <c r="E138" s="39" t="s">
        <v>141</v>
      </c>
      <c r="F138" s="39" t="s">
        <v>306</v>
      </c>
      <c r="G138" s="39" t="s">
        <v>36</v>
      </c>
      <c r="H138" s="39" t="s">
        <v>146</v>
      </c>
      <c r="I138" s="39" t="s">
        <v>142</v>
      </c>
      <c r="J138" s="39" t="s">
        <v>38</v>
      </c>
      <c r="K138" s="39" t="s">
        <v>143</v>
      </c>
      <c r="L138" s="39">
        <v>2</v>
      </c>
      <c r="N138" s="39">
        <v>4</v>
      </c>
      <c r="O138" s="39">
        <v>1.2</v>
      </c>
      <c r="P138" s="39">
        <v>1</v>
      </c>
      <c r="Q138" s="2">
        <f t="shared" si="12"/>
        <v>1.1000000000000001</v>
      </c>
      <c r="R138" s="39">
        <v>14.6</v>
      </c>
      <c r="S138" s="39">
        <v>104</v>
      </c>
      <c r="T138" s="45">
        <f t="shared" si="13"/>
        <v>33</v>
      </c>
      <c r="U138" s="39">
        <v>480</v>
      </c>
      <c r="V138" s="45">
        <f t="shared" si="14"/>
        <v>3960</v>
      </c>
      <c r="W138" s="39">
        <v>2</v>
      </c>
      <c r="X138" s="39" t="s">
        <v>46</v>
      </c>
      <c r="Y138" s="39" t="s">
        <v>55</v>
      </c>
      <c r="Z138" s="39" t="s">
        <v>40</v>
      </c>
      <c r="AA138" s="39" t="s">
        <v>47</v>
      </c>
      <c r="AB138" s="39" t="s">
        <v>331</v>
      </c>
    </row>
    <row r="139" spans="1:28" x14ac:dyDescent="0.15">
      <c r="A139" s="39" t="s">
        <v>35</v>
      </c>
      <c r="B139" s="39" t="s">
        <v>332</v>
      </c>
      <c r="C139" s="39">
        <v>2020</v>
      </c>
      <c r="D139" s="67" t="s">
        <v>336</v>
      </c>
      <c r="E139" s="39" t="s">
        <v>141</v>
      </c>
      <c r="F139" s="39" t="s">
        <v>306</v>
      </c>
      <c r="G139" s="39" t="s">
        <v>36</v>
      </c>
      <c r="H139" s="39" t="s">
        <v>146</v>
      </c>
      <c r="I139" s="39" t="s">
        <v>142</v>
      </c>
      <c r="J139" s="39" t="s">
        <v>38</v>
      </c>
      <c r="K139" s="39" t="s">
        <v>143</v>
      </c>
      <c r="L139" s="39">
        <v>3</v>
      </c>
      <c r="N139" s="39">
        <v>4</v>
      </c>
      <c r="O139" s="39">
        <v>1.2</v>
      </c>
      <c r="P139" s="39">
        <v>1.1000000000000001</v>
      </c>
      <c r="Q139" s="2">
        <f t="shared" si="12"/>
        <v>1.1499999999999999</v>
      </c>
      <c r="R139" s="39">
        <v>15.8</v>
      </c>
      <c r="S139" s="39">
        <v>104</v>
      </c>
      <c r="T139" s="45">
        <f t="shared" si="13"/>
        <v>33</v>
      </c>
      <c r="U139" s="39">
        <v>480</v>
      </c>
      <c r="V139" s="45">
        <f t="shared" si="14"/>
        <v>3960</v>
      </c>
      <c r="W139" s="39">
        <v>2</v>
      </c>
      <c r="X139" s="39" t="s">
        <v>46</v>
      </c>
      <c r="Y139" s="39" t="s">
        <v>55</v>
      </c>
      <c r="Z139" s="39" t="s">
        <v>40</v>
      </c>
      <c r="AA139" s="39" t="s">
        <v>47</v>
      </c>
      <c r="AB139" s="39" t="s">
        <v>331</v>
      </c>
    </row>
    <row r="140" spans="1:28" x14ac:dyDescent="0.15">
      <c r="A140" s="39" t="s">
        <v>35</v>
      </c>
      <c r="B140" s="39" t="s">
        <v>332</v>
      </c>
      <c r="C140" s="39">
        <v>2020</v>
      </c>
      <c r="D140" s="67" t="s">
        <v>336</v>
      </c>
      <c r="E140" s="39" t="s">
        <v>141</v>
      </c>
      <c r="F140" s="39" t="s">
        <v>306</v>
      </c>
      <c r="G140" s="39" t="s">
        <v>36</v>
      </c>
      <c r="H140" s="39" t="s">
        <v>146</v>
      </c>
      <c r="I140" s="39" t="s">
        <v>142</v>
      </c>
      <c r="J140" s="39" t="s">
        <v>38</v>
      </c>
      <c r="K140" s="39" t="s">
        <v>143</v>
      </c>
      <c r="L140" s="39">
        <v>1</v>
      </c>
      <c r="N140" s="39">
        <v>8</v>
      </c>
      <c r="O140" s="39">
        <v>0.8</v>
      </c>
      <c r="P140" s="39">
        <v>0.8</v>
      </c>
      <c r="Q140" s="2">
        <f t="shared" si="12"/>
        <v>0.8</v>
      </c>
      <c r="R140" s="39">
        <v>18</v>
      </c>
      <c r="S140" s="39">
        <v>80</v>
      </c>
      <c r="T140" s="45">
        <f t="shared" si="13"/>
        <v>39</v>
      </c>
      <c r="U140" s="39">
        <v>780</v>
      </c>
      <c r="V140" s="45">
        <f t="shared" si="14"/>
        <v>3802.5</v>
      </c>
      <c r="W140" s="39">
        <v>1</v>
      </c>
      <c r="X140" s="39" t="s">
        <v>46</v>
      </c>
      <c r="Y140" s="39" t="s">
        <v>55</v>
      </c>
      <c r="Z140" s="39" t="s">
        <v>40</v>
      </c>
      <c r="AA140" s="39" t="s">
        <v>47</v>
      </c>
      <c r="AB140" s="39" t="s">
        <v>331</v>
      </c>
    </row>
    <row r="141" spans="1:28" x14ac:dyDescent="0.15">
      <c r="A141" s="39" t="s">
        <v>35</v>
      </c>
      <c r="B141" s="39" t="s">
        <v>332</v>
      </c>
      <c r="C141" s="39">
        <v>2020</v>
      </c>
      <c r="D141" s="67" t="s">
        <v>336</v>
      </c>
      <c r="E141" s="39" t="s">
        <v>141</v>
      </c>
      <c r="F141" s="39" t="s">
        <v>306</v>
      </c>
      <c r="G141" s="39" t="s">
        <v>36</v>
      </c>
      <c r="H141" s="39" t="s">
        <v>146</v>
      </c>
      <c r="I141" s="39" t="s">
        <v>142</v>
      </c>
      <c r="J141" s="39" t="s">
        <v>38</v>
      </c>
      <c r="K141" s="39" t="s">
        <v>143</v>
      </c>
      <c r="L141" s="39">
        <v>2</v>
      </c>
      <c r="N141" s="39">
        <v>8</v>
      </c>
      <c r="O141" s="39">
        <v>0.8</v>
      </c>
      <c r="P141" s="39">
        <v>0.8</v>
      </c>
      <c r="Q141" s="2">
        <f t="shared" si="12"/>
        <v>0.8</v>
      </c>
      <c r="R141" s="39">
        <v>17.600000000000001</v>
      </c>
      <c r="S141" s="39">
        <v>88</v>
      </c>
      <c r="T141" s="45">
        <f t="shared" si="13"/>
        <v>36</v>
      </c>
      <c r="U141" s="39">
        <v>780</v>
      </c>
      <c r="V141" s="45">
        <f t="shared" si="14"/>
        <v>3510</v>
      </c>
      <c r="W141" s="39">
        <v>1</v>
      </c>
      <c r="X141" s="39" t="s">
        <v>46</v>
      </c>
      <c r="Y141" s="39" t="s">
        <v>55</v>
      </c>
      <c r="Z141" s="39" t="s">
        <v>40</v>
      </c>
      <c r="AA141" s="39" t="s">
        <v>47</v>
      </c>
      <c r="AB141" s="39" t="s">
        <v>331</v>
      </c>
    </row>
    <row r="142" spans="1:28" x14ac:dyDescent="0.15">
      <c r="A142" s="39" t="s">
        <v>35</v>
      </c>
      <c r="B142" s="39" t="s">
        <v>332</v>
      </c>
      <c r="C142" s="39">
        <v>2020</v>
      </c>
      <c r="D142" s="67" t="s">
        <v>336</v>
      </c>
      <c r="E142" s="39" t="s">
        <v>141</v>
      </c>
      <c r="F142" s="39" t="s">
        <v>306</v>
      </c>
      <c r="G142" s="39" t="s">
        <v>36</v>
      </c>
      <c r="H142" s="39" t="s">
        <v>146</v>
      </c>
      <c r="I142" s="39" t="s">
        <v>142</v>
      </c>
      <c r="J142" s="39" t="s">
        <v>38</v>
      </c>
      <c r="K142" s="39" t="s">
        <v>143</v>
      </c>
      <c r="L142" s="39">
        <v>3</v>
      </c>
      <c r="N142" s="39">
        <v>8</v>
      </c>
      <c r="O142" s="39">
        <v>0.75</v>
      </c>
      <c r="P142" s="39">
        <v>0.8</v>
      </c>
      <c r="Q142" s="2">
        <f t="shared" si="12"/>
        <v>0.77500000000000002</v>
      </c>
      <c r="R142" s="39">
        <v>19.2</v>
      </c>
      <c r="S142" s="39">
        <v>84</v>
      </c>
      <c r="T142" s="45">
        <f t="shared" si="13"/>
        <v>36</v>
      </c>
      <c r="U142" s="39">
        <v>780</v>
      </c>
      <c r="V142" s="45">
        <f t="shared" si="14"/>
        <v>3510</v>
      </c>
      <c r="W142" s="39">
        <v>1</v>
      </c>
      <c r="X142" s="39" t="s">
        <v>46</v>
      </c>
      <c r="Y142" s="39" t="s">
        <v>55</v>
      </c>
      <c r="Z142" s="39" t="s">
        <v>40</v>
      </c>
      <c r="AA142" s="39" t="s">
        <v>47</v>
      </c>
      <c r="AB142" s="39" t="s">
        <v>331</v>
      </c>
    </row>
    <row r="143" spans="1:28" x14ac:dyDescent="0.15">
      <c r="A143" s="39" t="s">
        <v>35</v>
      </c>
      <c r="B143" s="39" t="s">
        <v>332</v>
      </c>
      <c r="C143" s="39">
        <v>2020</v>
      </c>
      <c r="D143" s="67" t="s">
        <v>336</v>
      </c>
      <c r="E143" s="39" t="s">
        <v>333</v>
      </c>
      <c r="F143" s="39" t="s">
        <v>310</v>
      </c>
      <c r="G143" s="39" t="s">
        <v>36</v>
      </c>
      <c r="H143" s="39" t="s">
        <v>127</v>
      </c>
      <c r="I143" s="39" t="s">
        <v>142</v>
      </c>
      <c r="J143" s="39" t="s">
        <v>53</v>
      </c>
      <c r="K143" s="39" t="s">
        <v>54</v>
      </c>
      <c r="L143" s="39">
        <v>1</v>
      </c>
      <c r="N143" s="39">
        <v>1</v>
      </c>
      <c r="O143" s="39">
        <v>1.25</v>
      </c>
      <c r="P143" s="39">
        <v>1.2</v>
      </c>
      <c r="Q143" s="2">
        <f t="shared" si="12"/>
        <v>1.2250000000000001</v>
      </c>
      <c r="R143" s="39">
        <v>11.7</v>
      </c>
      <c r="S143" s="39">
        <v>104</v>
      </c>
      <c r="T143" s="45">
        <f t="shared" si="13"/>
        <v>33</v>
      </c>
      <c r="U143" s="39">
        <v>78</v>
      </c>
      <c r="V143" s="45">
        <f t="shared" si="14"/>
        <v>2574</v>
      </c>
      <c r="W143" s="39">
        <v>2</v>
      </c>
      <c r="X143" s="39" t="s">
        <v>46</v>
      </c>
      <c r="Y143" s="39" t="s">
        <v>40</v>
      </c>
      <c r="Z143" s="39" t="s">
        <v>90</v>
      </c>
      <c r="AA143" s="39" t="s">
        <v>47</v>
      </c>
      <c r="AB143" s="39" t="s">
        <v>331</v>
      </c>
    </row>
    <row r="144" spans="1:28" x14ac:dyDescent="0.15">
      <c r="A144" s="39" t="s">
        <v>35</v>
      </c>
      <c r="B144" s="39" t="s">
        <v>332</v>
      </c>
      <c r="C144" s="39">
        <v>2020</v>
      </c>
      <c r="D144" s="67" t="s">
        <v>336</v>
      </c>
      <c r="E144" s="39" t="s">
        <v>333</v>
      </c>
      <c r="F144" s="39" t="s">
        <v>310</v>
      </c>
      <c r="G144" s="39" t="s">
        <v>36</v>
      </c>
      <c r="H144" s="39" t="s">
        <v>127</v>
      </c>
      <c r="I144" s="39" t="s">
        <v>142</v>
      </c>
      <c r="J144" s="39" t="s">
        <v>53</v>
      </c>
      <c r="K144" s="39" t="s">
        <v>54</v>
      </c>
      <c r="L144" s="39">
        <v>2</v>
      </c>
      <c r="N144" s="39">
        <v>1</v>
      </c>
      <c r="O144" s="39">
        <v>1.6</v>
      </c>
      <c r="P144" s="39">
        <v>1.6</v>
      </c>
      <c r="Q144" s="2">
        <f t="shared" si="12"/>
        <v>1.6</v>
      </c>
      <c r="R144" s="39">
        <v>12</v>
      </c>
      <c r="S144" s="39">
        <v>106</v>
      </c>
      <c r="T144" s="45">
        <f t="shared" si="13"/>
        <v>33</v>
      </c>
      <c r="U144" s="39">
        <v>78</v>
      </c>
      <c r="V144" s="45">
        <f t="shared" si="14"/>
        <v>2574</v>
      </c>
      <c r="W144" s="39">
        <v>2</v>
      </c>
      <c r="X144" s="39" t="s">
        <v>46</v>
      </c>
      <c r="Y144" s="39" t="s">
        <v>40</v>
      </c>
      <c r="Z144" s="39" t="s">
        <v>90</v>
      </c>
      <c r="AA144" s="39" t="s">
        <v>47</v>
      </c>
      <c r="AB144" s="39" t="s">
        <v>331</v>
      </c>
    </row>
    <row r="145" spans="1:28" x14ac:dyDescent="0.15">
      <c r="A145" s="39" t="s">
        <v>35</v>
      </c>
      <c r="B145" s="39" t="s">
        <v>332</v>
      </c>
      <c r="C145" s="39">
        <v>2020</v>
      </c>
      <c r="D145" s="67" t="s">
        <v>336</v>
      </c>
      <c r="E145" s="39" t="s">
        <v>333</v>
      </c>
      <c r="F145" s="39" t="s">
        <v>310</v>
      </c>
      <c r="G145" s="39" t="s">
        <v>36</v>
      </c>
      <c r="H145" s="39" t="s">
        <v>127</v>
      </c>
      <c r="I145" s="39" t="s">
        <v>142</v>
      </c>
      <c r="J145" s="39" t="s">
        <v>53</v>
      </c>
      <c r="K145" s="39" t="s">
        <v>54</v>
      </c>
      <c r="L145" s="39">
        <v>3</v>
      </c>
      <c r="N145" s="39">
        <v>1</v>
      </c>
      <c r="O145" s="39">
        <v>0.8</v>
      </c>
      <c r="P145" s="39">
        <v>1</v>
      </c>
      <c r="Q145" s="2">
        <f t="shared" si="12"/>
        <v>0.9</v>
      </c>
      <c r="R145" s="39">
        <v>11.2</v>
      </c>
      <c r="S145" s="39">
        <v>99</v>
      </c>
      <c r="T145" s="45">
        <f t="shared" si="13"/>
        <v>33</v>
      </c>
      <c r="U145" s="39">
        <v>78</v>
      </c>
      <c r="V145" s="45">
        <f t="shared" si="14"/>
        <v>2574</v>
      </c>
      <c r="W145" s="39">
        <v>2</v>
      </c>
      <c r="X145" s="39" t="s">
        <v>46</v>
      </c>
      <c r="Y145" s="39" t="s">
        <v>40</v>
      </c>
      <c r="Z145" s="39" t="s">
        <v>90</v>
      </c>
      <c r="AA145" s="39" t="s">
        <v>47</v>
      </c>
      <c r="AB145" s="39" t="s">
        <v>331</v>
      </c>
    </row>
    <row r="146" spans="1:28" x14ac:dyDescent="0.15">
      <c r="A146" s="39" t="s">
        <v>35</v>
      </c>
      <c r="B146" s="39" t="s">
        <v>332</v>
      </c>
      <c r="C146" s="39">
        <v>2020</v>
      </c>
      <c r="D146" s="67" t="s">
        <v>336</v>
      </c>
      <c r="E146" s="39" t="s">
        <v>333</v>
      </c>
      <c r="F146" s="39" t="s">
        <v>310</v>
      </c>
      <c r="G146" s="39" t="s">
        <v>36</v>
      </c>
      <c r="H146" s="39" t="s">
        <v>127</v>
      </c>
      <c r="I146" s="39" t="s">
        <v>142</v>
      </c>
      <c r="J146" s="39" t="s">
        <v>53</v>
      </c>
      <c r="K146" s="39" t="s">
        <v>54</v>
      </c>
      <c r="L146" s="39">
        <v>1</v>
      </c>
      <c r="N146" s="39">
        <v>5</v>
      </c>
      <c r="O146" s="39">
        <v>1.25</v>
      </c>
      <c r="P146" s="39">
        <v>1.5</v>
      </c>
      <c r="Q146" s="2">
        <f t="shared" si="12"/>
        <v>1.375</v>
      </c>
      <c r="R146" s="39">
        <v>13.1</v>
      </c>
      <c r="S146" s="39">
        <v>95</v>
      </c>
      <c r="T146" s="45">
        <f t="shared" si="13"/>
        <v>36</v>
      </c>
      <c r="U146" s="39">
        <v>398</v>
      </c>
      <c r="V146" s="45">
        <f t="shared" si="14"/>
        <v>2865.6</v>
      </c>
      <c r="W146" s="39">
        <v>1</v>
      </c>
      <c r="X146" s="39" t="s">
        <v>46</v>
      </c>
      <c r="Y146" s="39" t="s">
        <v>40</v>
      </c>
      <c r="Z146" s="39" t="s">
        <v>90</v>
      </c>
      <c r="AA146" s="39" t="s">
        <v>47</v>
      </c>
      <c r="AB146" s="39" t="s">
        <v>331</v>
      </c>
    </row>
    <row r="147" spans="1:28" x14ac:dyDescent="0.15">
      <c r="A147" s="39" t="s">
        <v>35</v>
      </c>
      <c r="B147" s="39" t="s">
        <v>332</v>
      </c>
      <c r="C147" s="39">
        <v>2020</v>
      </c>
      <c r="D147" s="67" t="s">
        <v>336</v>
      </c>
      <c r="E147" s="39" t="s">
        <v>333</v>
      </c>
      <c r="F147" s="39" t="s">
        <v>310</v>
      </c>
      <c r="G147" s="39" t="s">
        <v>36</v>
      </c>
      <c r="H147" s="39" t="s">
        <v>127</v>
      </c>
      <c r="I147" s="39" t="s">
        <v>142</v>
      </c>
      <c r="J147" s="39" t="s">
        <v>53</v>
      </c>
      <c r="K147" s="39" t="s">
        <v>54</v>
      </c>
      <c r="L147" s="39">
        <v>2</v>
      </c>
      <c r="N147" s="39">
        <v>5</v>
      </c>
      <c r="O147" s="39">
        <v>1.2</v>
      </c>
      <c r="P147" s="39">
        <v>1.2</v>
      </c>
      <c r="Q147" s="2">
        <f t="shared" si="12"/>
        <v>1.2</v>
      </c>
      <c r="R147" s="39">
        <v>10.6</v>
      </c>
      <c r="S147" s="39">
        <v>96</v>
      </c>
      <c r="T147" s="45">
        <f t="shared" si="13"/>
        <v>36</v>
      </c>
      <c r="U147" s="39">
        <v>398</v>
      </c>
      <c r="V147" s="45">
        <f t="shared" si="14"/>
        <v>2865.6</v>
      </c>
      <c r="W147" s="39">
        <v>1</v>
      </c>
      <c r="X147" s="39" t="s">
        <v>46</v>
      </c>
      <c r="Y147" s="39" t="s">
        <v>40</v>
      </c>
      <c r="Z147" s="39" t="s">
        <v>90</v>
      </c>
      <c r="AA147" s="39" t="s">
        <v>47</v>
      </c>
      <c r="AB147" s="39" t="s">
        <v>331</v>
      </c>
    </row>
    <row r="148" spans="1:28" x14ac:dyDescent="0.15">
      <c r="A148" s="39" t="s">
        <v>35</v>
      </c>
      <c r="B148" s="39" t="s">
        <v>332</v>
      </c>
      <c r="C148" s="39">
        <v>2020</v>
      </c>
      <c r="D148" s="67" t="s">
        <v>336</v>
      </c>
      <c r="E148" s="39" t="s">
        <v>333</v>
      </c>
      <c r="F148" s="39" t="s">
        <v>310</v>
      </c>
      <c r="G148" s="39" t="s">
        <v>36</v>
      </c>
      <c r="H148" s="39" t="s">
        <v>127</v>
      </c>
      <c r="I148" s="39" t="s">
        <v>142</v>
      </c>
      <c r="J148" s="39" t="s">
        <v>53</v>
      </c>
      <c r="K148" s="39" t="s">
        <v>54</v>
      </c>
      <c r="L148" s="39">
        <v>3</v>
      </c>
      <c r="N148" s="39">
        <v>5</v>
      </c>
      <c r="O148" s="39">
        <v>1.75</v>
      </c>
      <c r="P148" s="39">
        <v>1.5</v>
      </c>
      <c r="Q148" s="2">
        <f t="shared" si="12"/>
        <v>1.625</v>
      </c>
      <c r="R148" s="39">
        <v>13</v>
      </c>
      <c r="S148" s="39">
        <v>97</v>
      </c>
      <c r="T148" s="45">
        <f t="shared" si="13"/>
        <v>36</v>
      </c>
      <c r="U148" s="39">
        <v>398</v>
      </c>
      <c r="V148" s="45">
        <f t="shared" si="14"/>
        <v>2865.6</v>
      </c>
      <c r="W148" s="39">
        <v>1</v>
      </c>
      <c r="X148" s="39" t="s">
        <v>46</v>
      </c>
      <c r="Y148" s="39" t="s">
        <v>40</v>
      </c>
      <c r="Z148" s="39" t="s">
        <v>90</v>
      </c>
      <c r="AA148" s="39" t="s">
        <v>47</v>
      </c>
      <c r="AB148" s="39" t="s">
        <v>331</v>
      </c>
    </row>
    <row r="149" spans="1:28" x14ac:dyDescent="0.15">
      <c r="A149" s="39" t="s">
        <v>35</v>
      </c>
      <c r="B149" s="39" t="s">
        <v>332</v>
      </c>
      <c r="C149" s="39">
        <v>2020</v>
      </c>
      <c r="D149" s="67" t="s">
        <v>336</v>
      </c>
      <c r="E149" s="39" t="s">
        <v>333</v>
      </c>
      <c r="F149" s="39" t="s">
        <v>310</v>
      </c>
      <c r="G149" s="39" t="s">
        <v>36</v>
      </c>
      <c r="H149" s="39" t="s">
        <v>146</v>
      </c>
      <c r="I149" s="39" t="s">
        <v>142</v>
      </c>
      <c r="J149" s="39" t="s">
        <v>38</v>
      </c>
      <c r="K149" s="39" t="s">
        <v>143</v>
      </c>
      <c r="L149" s="39">
        <v>1</v>
      </c>
      <c r="N149" s="39">
        <v>1</v>
      </c>
      <c r="O149" s="39">
        <v>1.25</v>
      </c>
      <c r="P149" s="39">
        <v>1.25</v>
      </c>
      <c r="Q149" s="2">
        <f t="shared" si="12"/>
        <v>1.25</v>
      </c>
      <c r="R149" s="39">
        <v>17.100000000000001</v>
      </c>
      <c r="S149" s="39">
        <v>102</v>
      </c>
      <c r="T149" s="45">
        <f t="shared" si="13"/>
        <v>33</v>
      </c>
      <c r="U149" s="39">
        <v>98</v>
      </c>
      <c r="V149" s="45">
        <f t="shared" si="14"/>
        <v>3234</v>
      </c>
      <c r="W149" s="39">
        <v>2</v>
      </c>
      <c r="X149" s="39" t="s">
        <v>46</v>
      </c>
      <c r="Y149" s="39" t="s">
        <v>40</v>
      </c>
      <c r="Z149" s="39" t="s">
        <v>90</v>
      </c>
      <c r="AA149" s="39" t="s">
        <v>47</v>
      </c>
      <c r="AB149" s="39" t="s">
        <v>331</v>
      </c>
    </row>
    <row r="150" spans="1:28" x14ac:dyDescent="0.15">
      <c r="A150" s="39" t="s">
        <v>35</v>
      </c>
      <c r="B150" s="39" t="s">
        <v>332</v>
      </c>
      <c r="C150" s="39">
        <v>2020</v>
      </c>
      <c r="D150" s="67" t="s">
        <v>336</v>
      </c>
      <c r="E150" s="39" t="s">
        <v>333</v>
      </c>
      <c r="F150" s="39" t="s">
        <v>310</v>
      </c>
      <c r="G150" s="39" t="s">
        <v>36</v>
      </c>
      <c r="H150" s="39" t="s">
        <v>146</v>
      </c>
      <c r="I150" s="39" t="s">
        <v>142</v>
      </c>
      <c r="J150" s="39" t="s">
        <v>38</v>
      </c>
      <c r="K150" s="39" t="s">
        <v>143</v>
      </c>
      <c r="L150" s="39">
        <v>2</v>
      </c>
      <c r="N150" s="39">
        <v>1</v>
      </c>
      <c r="O150" s="39">
        <v>1.75</v>
      </c>
      <c r="P150" s="39">
        <v>1.75</v>
      </c>
      <c r="Q150" s="2">
        <f t="shared" si="12"/>
        <v>1.75</v>
      </c>
      <c r="R150" s="39">
        <v>14.3</v>
      </c>
      <c r="S150" s="39">
        <v>108</v>
      </c>
      <c r="T150" s="45">
        <f t="shared" si="13"/>
        <v>33</v>
      </c>
      <c r="U150" s="39">
        <v>98</v>
      </c>
      <c r="V150" s="45">
        <f t="shared" si="14"/>
        <v>3234</v>
      </c>
      <c r="W150" s="39">
        <v>2</v>
      </c>
      <c r="X150" s="39" t="s">
        <v>46</v>
      </c>
      <c r="Y150" s="39" t="s">
        <v>40</v>
      </c>
      <c r="Z150" s="39" t="s">
        <v>90</v>
      </c>
      <c r="AA150" s="39" t="s">
        <v>47</v>
      </c>
      <c r="AB150" s="39" t="s">
        <v>331</v>
      </c>
    </row>
    <row r="151" spans="1:28" x14ac:dyDescent="0.15">
      <c r="A151" s="39" t="s">
        <v>35</v>
      </c>
      <c r="B151" s="39" t="s">
        <v>332</v>
      </c>
      <c r="C151" s="39">
        <v>2020</v>
      </c>
      <c r="D151" s="67" t="s">
        <v>336</v>
      </c>
      <c r="E151" s="39" t="s">
        <v>333</v>
      </c>
      <c r="F151" s="39" t="s">
        <v>310</v>
      </c>
      <c r="G151" s="39" t="s">
        <v>36</v>
      </c>
      <c r="H151" s="39" t="s">
        <v>146</v>
      </c>
      <c r="I151" s="39" t="s">
        <v>142</v>
      </c>
      <c r="J151" s="39" t="s">
        <v>38</v>
      </c>
      <c r="K151" s="39" t="s">
        <v>143</v>
      </c>
      <c r="L151" s="39">
        <v>3</v>
      </c>
      <c r="N151" s="39">
        <v>1</v>
      </c>
      <c r="O151" s="39">
        <v>1.2</v>
      </c>
      <c r="P151" s="39">
        <v>1.3</v>
      </c>
      <c r="Q151" s="2">
        <f t="shared" si="12"/>
        <v>1.25</v>
      </c>
      <c r="R151" s="39">
        <v>19</v>
      </c>
      <c r="S151" s="39">
        <v>118</v>
      </c>
      <c r="T151" s="45">
        <f t="shared" si="13"/>
        <v>30</v>
      </c>
      <c r="U151" s="39">
        <v>98</v>
      </c>
      <c r="V151" s="45">
        <f t="shared" si="14"/>
        <v>2940</v>
      </c>
      <c r="W151" s="39">
        <v>2</v>
      </c>
      <c r="X151" s="39" t="s">
        <v>46</v>
      </c>
      <c r="Y151" s="39" t="s">
        <v>40</v>
      </c>
      <c r="Z151" s="39" t="s">
        <v>90</v>
      </c>
      <c r="AA151" s="39" t="s">
        <v>47</v>
      </c>
      <c r="AB151" s="39" t="s">
        <v>331</v>
      </c>
    </row>
    <row r="152" spans="1:28" x14ac:dyDescent="0.15">
      <c r="A152" s="39" t="s">
        <v>35</v>
      </c>
      <c r="B152" s="39" t="s">
        <v>332</v>
      </c>
      <c r="C152" s="39">
        <v>2020</v>
      </c>
      <c r="D152" s="67" t="s">
        <v>336</v>
      </c>
      <c r="E152" s="39" t="s">
        <v>333</v>
      </c>
      <c r="F152" s="39" t="s">
        <v>310</v>
      </c>
      <c r="G152" s="39" t="s">
        <v>36</v>
      </c>
      <c r="H152" s="39" t="s">
        <v>146</v>
      </c>
      <c r="I152" s="39" t="s">
        <v>142</v>
      </c>
      <c r="J152" s="39" t="s">
        <v>38</v>
      </c>
      <c r="K152" s="39" t="s">
        <v>143</v>
      </c>
      <c r="L152" s="39">
        <v>1</v>
      </c>
      <c r="N152" s="39">
        <v>2</v>
      </c>
      <c r="O152" s="39">
        <v>1</v>
      </c>
      <c r="P152" s="39">
        <v>1.25</v>
      </c>
      <c r="Q152" s="2">
        <f t="shared" si="12"/>
        <v>1.125</v>
      </c>
      <c r="R152" s="39">
        <v>14.5</v>
      </c>
      <c r="S152" s="39">
        <v>152</v>
      </c>
      <c r="T152" s="45">
        <f t="shared" si="13"/>
        <v>18</v>
      </c>
      <c r="U152" s="39">
        <v>298</v>
      </c>
      <c r="V152" s="45">
        <f t="shared" si="14"/>
        <v>2682</v>
      </c>
      <c r="W152" s="39">
        <v>1</v>
      </c>
      <c r="X152" s="39" t="s">
        <v>46</v>
      </c>
      <c r="Y152" s="39" t="s">
        <v>40</v>
      </c>
      <c r="Z152" s="39" t="s">
        <v>90</v>
      </c>
      <c r="AA152" s="39" t="s">
        <v>47</v>
      </c>
      <c r="AB152" s="39" t="s">
        <v>331</v>
      </c>
    </row>
    <row r="153" spans="1:28" x14ac:dyDescent="0.15">
      <c r="A153" s="39" t="s">
        <v>35</v>
      </c>
      <c r="B153" s="39" t="s">
        <v>332</v>
      </c>
      <c r="C153" s="39">
        <v>2020</v>
      </c>
      <c r="D153" s="67" t="s">
        <v>336</v>
      </c>
      <c r="E153" s="39" t="s">
        <v>333</v>
      </c>
      <c r="F153" s="39" t="s">
        <v>310</v>
      </c>
      <c r="G153" s="39" t="s">
        <v>36</v>
      </c>
      <c r="H153" s="39" t="s">
        <v>146</v>
      </c>
      <c r="I153" s="39" t="s">
        <v>142</v>
      </c>
      <c r="J153" s="39" t="s">
        <v>38</v>
      </c>
      <c r="K153" s="39" t="s">
        <v>143</v>
      </c>
      <c r="L153" s="39">
        <v>2</v>
      </c>
      <c r="N153" s="39">
        <v>2</v>
      </c>
      <c r="O153" s="39">
        <v>1.25</v>
      </c>
      <c r="P153" s="39">
        <v>1.5</v>
      </c>
      <c r="Q153" s="2">
        <f t="shared" si="12"/>
        <v>1.375</v>
      </c>
      <c r="R153" s="39">
        <v>16.100000000000001</v>
      </c>
      <c r="S153" s="39">
        <v>160</v>
      </c>
      <c r="T153" s="45">
        <f t="shared" si="13"/>
        <v>18</v>
      </c>
      <c r="U153" s="39">
        <v>298</v>
      </c>
      <c r="V153" s="45">
        <f t="shared" si="14"/>
        <v>2682</v>
      </c>
      <c r="W153" s="39">
        <v>1</v>
      </c>
      <c r="X153" s="39" t="s">
        <v>46</v>
      </c>
      <c r="Y153" s="39" t="s">
        <v>40</v>
      </c>
      <c r="Z153" s="39" t="s">
        <v>90</v>
      </c>
      <c r="AA153" s="39" t="s">
        <v>47</v>
      </c>
      <c r="AB153" s="39" t="s">
        <v>331</v>
      </c>
    </row>
    <row r="154" spans="1:28" x14ac:dyDescent="0.15">
      <c r="A154" s="39" t="s">
        <v>35</v>
      </c>
      <c r="B154" s="39" t="s">
        <v>332</v>
      </c>
      <c r="C154" s="39">
        <v>2020</v>
      </c>
      <c r="D154" s="67" t="s">
        <v>336</v>
      </c>
      <c r="E154" s="39" t="s">
        <v>333</v>
      </c>
      <c r="F154" s="39" t="s">
        <v>310</v>
      </c>
      <c r="G154" s="39" t="s">
        <v>36</v>
      </c>
      <c r="H154" s="39" t="s">
        <v>146</v>
      </c>
      <c r="I154" s="39" t="s">
        <v>142</v>
      </c>
      <c r="J154" s="39" t="s">
        <v>38</v>
      </c>
      <c r="K154" s="39" t="s">
        <v>143</v>
      </c>
      <c r="L154" s="39">
        <v>3</v>
      </c>
      <c r="N154" s="39">
        <v>2</v>
      </c>
      <c r="O154" s="39">
        <v>1.25</v>
      </c>
      <c r="P154" s="39">
        <v>1.3</v>
      </c>
      <c r="Q154" s="2">
        <f t="shared" si="12"/>
        <v>1.2749999999999999</v>
      </c>
      <c r="R154" s="39">
        <v>12.3</v>
      </c>
      <c r="S154" s="39">
        <v>156</v>
      </c>
      <c r="T154" s="45">
        <f t="shared" si="13"/>
        <v>18</v>
      </c>
      <c r="U154" s="39">
        <v>298</v>
      </c>
      <c r="V154" s="45">
        <f t="shared" si="14"/>
        <v>2682</v>
      </c>
      <c r="W154" s="39">
        <v>1</v>
      </c>
      <c r="X154" s="39" t="s">
        <v>46</v>
      </c>
      <c r="Y154" s="39" t="s">
        <v>40</v>
      </c>
      <c r="Z154" s="39" t="s">
        <v>90</v>
      </c>
      <c r="AA154" s="39" t="s">
        <v>47</v>
      </c>
      <c r="AB154" s="39" t="s">
        <v>331</v>
      </c>
    </row>
    <row r="155" spans="1:28" x14ac:dyDescent="0.15">
      <c r="A155" s="39" t="s">
        <v>35</v>
      </c>
      <c r="B155" s="39" t="s">
        <v>332</v>
      </c>
      <c r="C155" s="39">
        <v>2020</v>
      </c>
      <c r="D155" s="67" t="s">
        <v>336</v>
      </c>
      <c r="E155" s="39" t="s">
        <v>333</v>
      </c>
      <c r="F155" s="39" t="s">
        <v>310</v>
      </c>
      <c r="G155" s="39" t="s">
        <v>36</v>
      </c>
      <c r="H155" s="39" t="s">
        <v>146</v>
      </c>
      <c r="I155" s="39" t="s">
        <v>142</v>
      </c>
      <c r="J155" s="39" t="s">
        <v>38</v>
      </c>
      <c r="K155" s="39" t="s">
        <v>143</v>
      </c>
      <c r="L155" s="39">
        <v>1</v>
      </c>
      <c r="N155" s="39">
        <v>4</v>
      </c>
      <c r="O155" s="39">
        <v>0.8</v>
      </c>
      <c r="P155" s="39">
        <v>1</v>
      </c>
      <c r="Q155" s="2">
        <f t="shared" si="12"/>
        <v>0.9</v>
      </c>
      <c r="R155" s="39">
        <v>20.2</v>
      </c>
      <c r="S155" s="39">
        <v>85</v>
      </c>
      <c r="T155" s="45">
        <f t="shared" si="13"/>
        <v>36</v>
      </c>
      <c r="U155" s="39">
        <v>398</v>
      </c>
      <c r="V155" s="45">
        <f t="shared" si="14"/>
        <v>3582</v>
      </c>
      <c r="W155" s="39">
        <v>1</v>
      </c>
      <c r="X155" s="39" t="s">
        <v>46</v>
      </c>
      <c r="Y155" s="39" t="s">
        <v>40</v>
      </c>
      <c r="Z155" s="39" t="s">
        <v>90</v>
      </c>
      <c r="AA155" s="39" t="s">
        <v>47</v>
      </c>
      <c r="AB155" s="39" t="s">
        <v>331</v>
      </c>
    </row>
    <row r="156" spans="1:28" x14ac:dyDescent="0.15">
      <c r="A156" s="39" t="s">
        <v>35</v>
      </c>
      <c r="B156" s="39" t="s">
        <v>332</v>
      </c>
      <c r="C156" s="39">
        <v>2020</v>
      </c>
      <c r="D156" s="67" t="s">
        <v>336</v>
      </c>
      <c r="E156" s="39" t="s">
        <v>333</v>
      </c>
      <c r="F156" s="39" t="s">
        <v>310</v>
      </c>
      <c r="G156" s="39" t="s">
        <v>36</v>
      </c>
      <c r="H156" s="39" t="s">
        <v>146</v>
      </c>
      <c r="I156" s="39" t="s">
        <v>142</v>
      </c>
      <c r="J156" s="39" t="s">
        <v>38</v>
      </c>
      <c r="K156" s="39" t="s">
        <v>143</v>
      </c>
      <c r="L156" s="39">
        <v>2</v>
      </c>
      <c r="N156" s="39">
        <v>4</v>
      </c>
      <c r="O156" s="39">
        <v>1.2</v>
      </c>
      <c r="P156" s="39">
        <v>1.2</v>
      </c>
      <c r="Q156" s="2">
        <f t="shared" si="12"/>
        <v>1.2</v>
      </c>
      <c r="R156" s="39">
        <v>15.6</v>
      </c>
      <c r="S156" s="39">
        <v>90</v>
      </c>
      <c r="T156" s="45">
        <f t="shared" si="13"/>
        <v>36</v>
      </c>
      <c r="U156" s="39">
        <v>398</v>
      </c>
      <c r="V156" s="45">
        <f t="shared" si="14"/>
        <v>3582</v>
      </c>
      <c r="W156" s="39">
        <v>1</v>
      </c>
      <c r="X156" s="39" t="s">
        <v>46</v>
      </c>
      <c r="Y156" s="39" t="s">
        <v>40</v>
      </c>
      <c r="Z156" s="39" t="s">
        <v>90</v>
      </c>
      <c r="AA156" s="39" t="s">
        <v>47</v>
      </c>
      <c r="AB156" s="39" t="s">
        <v>331</v>
      </c>
    </row>
    <row r="157" spans="1:28" x14ac:dyDescent="0.15">
      <c r="A157" s="39" t="s">
        <v>35</v>
      </c>
      <c r="B157" s="39" t="s">
        <v>332</v>
      </c>
      <c r="C157" s="39">
        <v>2020</v>
      </c>
      <c r="D157" s="67" t="s">
        <v>336</v>
      </c>
      <c r="E157" s="39" t="s">
        <v>333</v>
      </c>
      <c r="F157" s="39" t="s">
        <v>310</v>
      </c>
      <c r="G157" s="39" t="s">
        <v>36</v>
      </c>
      <c r="H157" s="39" t="s">
        <v>146</v>
      </c>
      <c r="I157" s="39" t="s">
        <v>142</v>
      </c>
      <c r="J157" s="39" t="s">
        <v>38</v>
      </c>
      <c r="K157" s="39" t="s">
        <v>143</v>
      </c>
      <c r="L157" s="39">
        <v>3</v>
      </c>
      <c r="N157" s="39">
        <v>4</v>
      </c>
      <c r="O157" s="39">
        <v>1</v>
      </c>
      <c r="P157" s="39">
        <v>0.7</v>
      </c>
      <c r="Q157" s="2">
        <f t="shared" si="12"/>
        <v>0.85</v>
      </c>
      <c r="R157" s="39">
        <v>18</v>
      </c>
      <c r="S157" s="39">
        <v>90</v>
      </c>
      <c r="T157" s="45">
        <f t="shared" si="13"/>
        <v>36</v>
      </c>
      <c r="U157" s="39">
        <v>398</v>
      </c>
      <c r="V157" s="45">
        <f t="shared" si="14"/>
        <v>3582</v>
      </c>
      <c r="W157" s="39">
        <v>1</v>
      </c>
      <c r="X157" s="39" t="s">
        <v>46</v>
      </c>
      <c r="Y157" s="39" t="s">
        <v>40</v>
      </c>
      <c r="Z157" s="39" t="s">
        <v>90</v>
      </c>
      <c r="AA157" s="39" t="s">
        <v>47</v>
      </c>
      <c r="AB157" s="39" t="s">
        <v>331</v>
      </c>
    </row>
    <row r="158" spans="1:28" x14ac:dyDescent="0.15">
      <c r="A158" s="39" t="s">
        <v>35</v>
      </c>
      <c r="B158" s="39" t="s">
        <v>332</v>
      </c>
      <c r="C158" s="39">
        <v>2020</v>
      </c>
      <c r="D158" s="67" t="s">
        <v>336</v>
      </c>
      <c r="E158" s="39" t="s">
        <v>139</v>
      </c>
      <c r="F158" s="39" t="s">
        <v>303</v>
      </c>
      <c r="G158" s="39" t="s">
        <v>36</v>
      </c>
      <c r="H158" s="39" t="s">
        <v>127</v>
      </c>
      <c r="I158" s="39" t="s">
        <v>142</v>
      </c>
      <c r="J158" s="39" t="s">
        <v>53</v>
      </c>
      <c r="K158" s="39" t="s">
        <v>54</v>
      </c>
      <c r="L158" s="39">
        <v>1</v>
      </c>
      <c r="N158" s="39">
        <v>1</v>
      </c>
      <c r="O158" s="39">
        <v>0.75</v>
      </c>
      <c r="P158" s="39">
        <v>0.6</v>
      </c>
      <c r="Q158" s="2">
        <f t="shared" si="12"/>
        <v>0.67500000000000004</v>
      </c>
      <c r="R158" s="39">
        <v>11.9</v>
      </c>
      <c r="S158" s="39">
        <v>104</v>
      </c>
      <c r="T158" s="45">
        <f t="shared" si="13"/>
        <v>33</v>
      </c>
      <c r="U158" s="39">
        <v>93</v>
      </c>
      <c r="V158" s="45">
        <f t="shared" si="14"/>
        <v>3069</v>
      </c>
      <c r="W158" s="39">
        <v>4</v>
      </c>
      <c r="X158" s="39" t="s">
        <v>46</v>
      </c>
      <c r="Y158" s="39" t="s">
        <v>47</v>
      </c>
      <c r="Z158" s="39" t="s">
        <v>69</v>
      </c>
      <c r="AA158" s="39" t="s">
        <v>55</v>
      </c>
      <c r="AB158" s="39" t="s">
        <v>331</v>
      </c>
    </row>
    <row r="159" spans="1:28" x14ac:dyDescent="0.15">
      <c r="A159" s="39" t="s">
        <v>35</v>
      </c>
      <c r="B159" s="39" t="s">
        <v>332</v>
      </c>
      <c r="C159" s="39">
        <v>2020</v>
      </c>
      <c r="D159" s="67" t="s">
        <v>336</v>
      </c>
      <c r="E159" s="39" t="s">
        <v>139</v>
      </c>
      <c r="F159" s="39" t="s">
        <v>303</v>
      </c>
      <c r="G159" s="39" t="s">
        <v>36</v>
      </c>
      <c r="H159" s="39" t="s">
        <v>127</v>
      </c>
      <c r="I159" s="39" t="s">
        <v>142</v>
      </c>
      <c r="J159" s="39" t="s">
        <v>53</v>
      </c>
      <c r="K159" s="39" t="s">
        <v>54</v>
      </c>
      <c r="L159" s="39">
        <v>2</v>
      </c>
      <c r="N159" s="39">
        <v>1</v>
      </c>
      <c r="O159" s="39">
        <v>0.8</v>
      </c>
      <c r="P159" s="39">
        <v>0.6</v>
      </c>
      <c r="Q159" s="2">
        <f t="shared" si="12"/>
        <v>0.7</v>
      </c>
      <c r="R159" s="39">
        <v>13.3</v>
      </c>
      <c r="S159" s="39">
        <v>104</v>
      </c>
      <c r="T159" s="45">
        <f t="shared" si="13"/>
        <v>33</v>
      </c>
      <c r="U159" s="39">
        <v>93</v>
      </c>
      <c r="V159" s="45">
        <f t="shared" si="14"/>
        <v>3069</v>
      </c>
      <c r="W159" s="39">
        <v>4</v>
      </c>
      <c r="X159" s="39" t="s">
        <v>46</v>
      </c>
      <c r="Y159" s="39" t="s">
        <v>47</v>
      </c>
      <c r="Z159" s="39" t="s">
        <v>69</v>
      </c>
      <c r="AA159" s="39" t="s">
        <v>55</v>
      </c>
      <c r="AB159" s="39" t="s">
        <v>331</v>
      </c>
    </row>
    <row r="160" spans="1:28" x14ac:dyDescent="0.15">
      <c r="A160" s="39" t="s">
        <v>35</v>
      </c>
      <c r="B160" s="39" t="s">
        <v>332</v>
      </c>
      <c r="C160" s="39">
        <v>2020</v>
      </c>
      <c r="D160" s="67" t="s">
        <v>336</v>
      </c>
      <c r="E160" s="39" t="s">
        <v>139</v>
      </c>
      <c r="F160" s="39" t="s">
        <v>303</v>
      </c>
      <c r="G160" s="39" t="s">
        <v>36</v>
      </c>
      <c r="H160" s="39" t="s">
        <v>127</v>
      </c>
      <c r="I160" s="39" t="s">
        <v>142</v>
      </c>
      <c r="J160" s="39" t="s">
        <v>53</v>
      </c>
      <c r="K160" s="39" t="s">
        <v>54</v>
      </c>
      <c r="L160" s="39">
        <v>3</v>
      </c>
      <c r="N160" s="39">
        <v>1</v>
      </c>
      <c r="O160" s="39">
        <v>0.8</v>
      </c>
      <c r="P160" s="39">
        <v>0.75</v>
      </c>
      <c r="Q160" s="2">
        <f t="shared" si="12"/>
        <v>0.77500000000000002</v>
      </c>
      <c r="R160" s="39">
        <v>12.6</v>
      </c>
      <c r="S160" s="39">
        <v>108</v>
      </c>
      <c r="T160" s="45">
        <f t="shared" si="13"/>
        <v>33</v>
      </c>
      <c r="U160" s="39">
        <v>93</v>
      </c>
      <c r="V160" s="45">
        <f t="shared" si="14"/>
        <v>3069</v>
      </c>
      <c r="W160" s="39">
        <v>4</v>
      </c>
      <c r="X160" s="39" t="s">
        <v>46</v>
      </c>
      <c r="Y160" s="39" t="s">
        <v>47</v>
      </c>
      <c r="Z160" s="39" t="s">
        <v>69</v>
      </c>
      <c r="AA160" s="39" t="s">
        <v>55</v>
      </c>
      <c r="AB160" s="39" t="s">
        <v>331</v>
      </c>
    </row>
    <row r="161" spans="1:28" x14ac:dyDescent="0.15">
      <c r="A161" s="39" t="s">
        <v>35</v>
      </c>
      <c r="B161" s="39" t="s">
        <v>332</v>
      </c>
      <c r="C161" s="39">
        <v>2020</v>
      </c>
      <c r="D161" s="67" t="s">
        <v>336</v>
      </c>
      <c r="E161" s="39" t="s">
        <v>139</v>
      </c>
      <c r="F161" s="39" t="s">
        <v>303</v>
      </c>
      <c r="G161" s="39" t="s">
        <v>36</v>
      </c>
      <c r="H161" s="39" t="s">
        <v>127</v>
      </c>
      <c r="I161" s="39" t="s">
        <v>142</v>
      </c>
      <c r="J161" s="39" t="s">
        <v>53</v>
      </c>
      <c r="K161" s="39" t="s">
        <v>54</v>
      </c>
      <c r="L161" s="39">
        <v>1</v>
      </c>
      <c r="N161" s="39">
        <v>5</v>
      </c>
      <c r="O161" s="39">
        <v>1.5</v>
      </c>
      <c r="P161" s="39">
        <v>1.6</v>
      </c>
      <c r="Q161" s="2">
        <f t="shared" si="12"/>
        <v>1.55</v>
      </c>
      <c r="R161" s="39">
        <v>13.2</v>
      </c>
      <c r="S161" s="39">
        <v>73</v>
      </c>
      <c r="T161" s="45">
        <f t="shared" si="13"/>
        <v>42</v>
      </c>
      <c r="U161" s="39">
        <v>450</v>
      </c>
      <c r="V161" s="45">
        <f t="shared" si="14"/>
        <v>3780</v>
      </c>
      <c r="W161" s="39">
        <v>1</v>
      </c>
      <c r="X161" s="39" t="s">
        <v>46</v>
      </c>
      <c r="Y161" s="39" t="s">
        <v>47</v>
      </c>
      <c r="Z161" s="39" t="s">
        <v>69</v>
      </c>
      <c r="AA161" s="39" t="s">
        <v>55</v>
      </c>
      <c r="AB161" s="39" t="s">
        <v>331</v>
      </c>
    </row>
    <row r="162" spans="1:28" x14ac:dyDescent="0.15">
      <c r="A162" s="39" t="s">
        <v>35</v>
      </c>
      <c r="B162" s="39" t="s">
        <v>332</v>
      </c>
      <c r="C162" s="39">
        <v>2020</v>
      </c>
      <c r="D162" s="67" t="s">
        <v>336</v>
      </c>
      <c r="E162" s="39" t="s">
        <v>139</v>
      </c>
      <c r="F162" s="39" t="s">
        <v>303</v>
      </c>
      <c r="G162" s="39" t="s">
        <v>36</v>
      </c>
      <c r="H162" s="39" t="s">
        <v>127</v>
      </c>
      <c r="I162" s="39" t="s">
        <v>142</v>
      </c>
      <c r="J162" s="39" t="s">
        <v>53</v>
      </c>
      <c r="K162" s="39" t="s">
        <v>54</v>
      </c>
      <c r="L162" s="39">
        <v>2</v>
      </c>
      <c r="N162" s="39">
        <v>5</v>
      </c>
      <c r="O162" s="39">
        <v>0.8</v>
      </c>
      <c r="P162" s="39">
        <v>0.7</v>
      </c>
      <c r="Q162" s="2">
        <f t="shared" ref="Q162:Q184" si="15">IF(OR(O162="",P162=""),"",AVERAGE(O162,P162))</f>
        <v>0.75</v>
      </c>
      <c r="R162" s="39">
        <v>12.6</v>
      </c>
      <c r="S162" s="39">
        <v>79</v>
      </c>
      <c r="T162" s="45">
        <f t="shared" ref="T162:T184" si="16">IF(H162="","",IF(OR(H162="GREEN",H162="GK"),IF(S162&gt;=$AX$2,VLOOKUP(S162,$AX$2:$AY$12,2,1),""),IF(S162&gt;=$AZ$2,VLOOKUP(S162,$AZ$2:$BA$12,2,1),"")))</f>
        <v>39</v>
      </c>
      <c r="U162" s="39">
        <v>450</v>
      </c>
      <c r="V162" s="45">
        <f t="shared" ref="V162:V184" si="17">IF(OR(N162="",U162="",T162=""),"",U162/N162*T162)</f>
        <v>3510</v>
      </c>
      <c r="W162" s="39">
        <v>1</v>
      </c>
      <c r="X162" s="39" t="s">
        <v>46</v>
      </c>
      <c r="Y162" s="39" t="s">
        <v>47</v>
      </c>
      <c r="Z162" s="39" t="s">
        <v>69</v>
      </c>
      <c r="AA162" s="39" t="s">
        <v>55</v>
      </c>
      <c r="AB162" s="39" t="s">
        <v>331</v>
      </c>
    </row>
    <row r="163" spans="1:28" x14ac:dyDescent="0.15">
      <c r="A163" s="39" t="s">
        <v>35</v>
      </c>
      <c r="B163" s="39" t="s">
        <v>332</v>
      </c>
      <c r="C163" s="39">
        <v>2020</v>
      </c>
      <c r="D163" s="67" t="s">
        <v>336</v>
      </c>
      <c r="E163" s="39" t="s">
        <v>139</v>
      </c>
      <c r="F163" s="39" t="s">
        <v>303</v>
      </c>
      <c r="G163" s="39" t="s">
        <v>36</v>
      </c>
      <c r="H163" s="39" t="s">
        <v>127</v>
      </c>
      <c r="I163" s="39" t="s">
        <v>142</v>
      </c>
      <c r="J163" s="39" t="s">
        <v>53</v>
      </c>
      <c r="K163" s="39" t="s">
        <v>54</v>
      </c>
      <c r="L163" s="39">
        <v>3</v>
      </c>
      <c r="N163" s="39">
        <v>5</v>
      </c>
      <c r="O163" s="39">
        <v>1.5</v>
      </c>
      <c r="P163" s="39">
        <v>1.4</v>
      </c>
      <c r="Q163" s="2">
        <f t="shared" si="15"/>
        <v>1.45</v>
      </c>
      <c r="R163" s="39">
        <v>12.9</v>
      </c>
      <c r="S163" s="39">
        <v>75</v>
      </c>
      <c r="T163" s="45">
        <f t="shared" si="16"/>
        <v>42</v>
      </c>
      <c r="U163" s="39">
        <v>450</v>
      </c>
      <c r="V163" s="45">
        <f t="shared" si="17"/>
        <v>3780</v>
      </c>
      <c r="W163" s="39">
        <v>1</v>
      </c>
      <c r="X163" s="39" t="s">
        <v>46</v>
      </c>
      <c r="Y163" s="39" t="s">
        <v>47</v>
      </c>
      <c r="Z163" s="39" t="s">
        <v>69</v>
      </c>
      <c r="AA163" s="39" t="s">
        <v>55</v>
      </c>
      <c r="AB163" s="39" t="s">
        <v>331</v>
      </c>
    </row>
    <row r="164" spans="1:28" x14ac:dyDescent="0.15">
      <c r="A164" s="39" t="s">
        <v>35</v>
      </c>
      <c r="B164" s="39" t="s">
        <v>332</v>
      </c>
      <c r="C164" s="39">
        <v>2020</v>
      </c>
      <c r="D164" s="67" t="s">
        <v>336</v>
      </c>
      <c r="E164" s="39" t="s">
        <v>139</v>
      </c>
      <c r="F164" s="39" t="s">
        <v>303</v>
      </c>
      <c r="G164" s="39" t="s">
        <v>36</v>
      </c>
      <c r="H164" s="39" t="s">
        <v>127</v>
      </c>
      <c r="I164" s="39" t="s">
        <v>145</v>
      </c>
      <c r="J164" s="39" t="s">
        <v>80</v>
      </c>
      <c r="K164" s="39" t="s">
        <v>63</v>
      </c>
      <c r="L164" s="39">
        <v>1</v>
      </c>
      <c r="N164" s="39">
        <v>5</v>
      </c>
      <c r="O164" s="39">
        <v>1.4</v>
      </c>
      <c r="P164" s="39">
        <v>1.6</v>
      </c>
      <c r="Q164" s="2">
        <f t="shared" si="15"/>
        <v>1.5</v>
      </c>
      <c r="R164" s="39">
        <v>12.9</v>
      </c>
      <c r="S164" s="39">
        <v>72</v>
      </c>
      <c r="T164" s="45">
        <f t="shared" si="16"/>
        <v>42</v>
      </c>
      <c r="U164" s="39">
        <v>350</v>
      </c>
      <c r="V164" s="45">
        <f t="shared" si="17"/>
        <v>2940</v>
      </c>
      <c r="W164" s="39">
        <v>3</v>
      </c>
      <c r="X164" s="39" t="s">
        <v>46</v>
      </c>
      <c r="Y164" s="39" t="s">
        <v>47</v>
      </c>
      <c r="Z164" s="39" t="s">
        <v>69</v>
      </c>
      <c r="AA164" s="39" t="s">
        <v>55</v>
      </c>
      <c r="AB164" s="39" t="s">
        <v>331</v>
      </c>
    </row>
    <row r="165" spans="1:28" x14ac:dyDescent="0.15">
      <c r="A165" s="39" t="s">
        <v>35</v>
      </c>
      <c r="B165" s="39" t="s">
        <v>332</v>
      </c>
      <c r="C165" s="39">
        <v>2020</v>
      </c>
      <c r="D165" s="67" t="s">
        <v>336</v>
      </c>
      <c r="E165" s="39" t="s">
        <v>139</v>
      </c>
      <c r="F165" s="39" t="s">
        <v>303</v>
      </c>
      <c r="G165" s="39" t="s">
        <v>36</v>
      </c>
      <c r="H165" s="39" t="s">
        <v>127</v>
      </c>
      <c r="I165" s="39" t="s">
        <v>145</v>
      </c>
      <c r="J165" s="39" t="s">
        <v>80</v>
      </c>
      <c r="K165" s="39" t="s">
        <v>63</v>
      </c>
      <c r="L165" s="39">
        <v>2</v>
      </c>
      <c r="N165" s="39">
        <v>5</v>
      </c>
      <c r="O165" s="39">
        <v>1.1000000000000001</v>
      </c>
      <c r="P165" s="39">
        <v>1.2</v>
      </c>
      <c r="Q165" s="2">
        <f t="shared" si="15"/>
        <v>1.1499999999999999</v>
      </c>
      <c r="R165" s="39">
        <v>12.7</v>
      </c>
      <c r="S165" s="39">
        <v>76</v>
      </c>
      <c r="T165" s="45">
        <f t="shared" si="16"/>
        <v>39</v>
      </c>
      <c r="U165" s="39">
        <v>350</v>
      </c>
      <c r="V165" s="45">
        <f t="shared" si="17"/>
        <v>2730</v>
      </c>
      <c r="W165" s="39">
        <v>3</v>
      </c>
      <c r="X165" s="39" t="s">
        <v>46</v>
      </c>
      <c r="Y165" s="39" t="s">
        <v>47</v>
      </c>
      <c r="Z165" s="39" t="s">
        <v>69</v>
      </c>
      <c r="AA165" s="39" t="s">
        <v>55</v>
      </c>
      <c r="AB165" s="39" t="s">
        <v>331</v>
      </c>
    </row>
    <row r="166" spans="1:28" x14ac:dyDescent="0.15">
      <c r="A166" s="39" t="s">
        <v>35</v>
      </c>
      <c r="B166" s="39" t="s">
        <v>332</v>
      </c>
      <c r="C166" s="39">
        <v>2020</v>
      </c>
      <c r="D166" s="67" t="s">
        <v>336</v>
      </c>
      <c r="E166" s="39" t="s">
        <v>139</v>
      </c>
      <c r="F166" s="39" t="s">
        <v>303</v>
      </c>
      <c r="G166" s="39" t="s">
        <v>36</v>
      </c>
      <c r="H166" s="39" t="s">
        <v>127</v>
      </c>
      <c r="I166" s="39" t="s">
        <v>145</v>
      </c>
      <c r="J166" s="39" t="s">
        <v>80</v>
      </c>
      <c r="K166" s="39" t="s">
        <v>63</v>
      </c>
      <c r="L166" s="39">
        <v>3</v>
      </c>
      <c r="N166" s="39">
        <v>5</v>
      </c>
      <c r="O166" s="39">
        <v>1.2</v>
      </c>
      <c r="P166" s="39">
        <v>1.4</v>
      </c>
      <c r="Q166" s="2">
        <f t="shared" si="15"/>
        <v>1.2999999999999998</v>
      </c>
      <c r="R166" s="39">
        <v>12.2</v>
      </c>
      <c r="S166" s="39">
        <v>71</v>
      </c>
      <c r="T166" s="45">
        <f t="shared" si="16"/>
        <v>42</v>
      </c>
      <c r="U166" s="39">
        <v>350</v>
      </c>
      <c r="V166" s="45">
        <f t="shared" si="17"/>
        <v>2940</v>
      </c>
      <c r="W166" s="39">
        <v>3</v>
      </c>
      <c r="X166" s="39" t="s">
        <v>46</v>
      </c>
      <c r="Y166" s="39" t="s">
        <v>47</v>
      </c>
      <c r="Z166" s="39" t="s">
        <v>69</v>
      </c>
      <c r="AA166" s="39" t="s">
        <v>55</v>
      </c>
      <c r="AB166" s="39" t="s">
        <v>331</v>
      </c>
    </row>
    <row r="167" spans="1:28" x14ac:dyDescent="0.15">
      <c r="A167" s="39" t="s">
        <v>35</v>
      </c>
      <c r="B167" s="39" t="s">
        <v>332</v>
      </c>
      <c r="C167" s="39">
        <v>2020</v>
      </c>
      <c r="D167" s="67" t="s">
        <v>336</v>
      </c>
      <c r="E167" s="39" t="s">
        <v>139</v>
      </c>
      <c r="F167" s="39" t="s">
        <v>303</v>
      </c>
      <c r="G167" s="39" t="s">
        <v>36</v>
      </c>
      <c r="H167" s="39" t="s">
        <v>146</v>
      </c>
      <c r="I167" s="39" t="s">
        <v>142</v>
      </c>
      <c r="J167" s="39" t="s">
        <v>38</v>
      </c>
      <c r="K167" s="39" t="s">
        <v>143</v>
      </c>
      <c r="L167" s="39">
        <v>1</v>
      </c>
      <c r="N167" s="39">
        <v>1</v>
      </c>
      <c r="O167" s="39">
        <v>1.75</v>
      </c>
      <c r="P167" s="39">
        <v>1.5</v>
      </c>
      <c r="Q167" s="2">
        <f t="shared" si="15"/>
        <v>1.625</v>
      </c>
      <c r="R167" s="39">
        <v>17.2</v>
      </c>
      <c r="S167" s="39">
        <v>113</v>
      </c>
      <c r="T167" s="45">
        <f t="shared" si="16"/>
        <v>30</v>
      </c>
      <c r="U167" s="39">
        <v>93</v>
      </c>
      <c r="V167" s="45">
        <f t="shared" si="17"/>
        <v>2790</v>
      </c>
      <c r="W167" s="39">
        <v>12</v>
      </c>
      <c r="X167" s="39" t="s">
        <v>46</v>
      </c>
      <c r="Y167" s="39" t="s">
        <v>47</v>
      </c>
      <c r="Z167" s="39" t="s">
        <v>69</v>
      </c>
      <c r="AA167" s="39" t="s">
        <v>55</v>
      </c>
      <c r="AB167" s="39" t="s">
        <v>331</v>
      </c>
    </row>
    <row r="168" spans="1:28" x14ac:dyDescent="0.15">
      <c r="A168" s="39" t="s">
        <v>35</v>
      </c>
      <c r="B168" s="39" t="s">
        <v>332</v>
      </c>
      <c r="C168" s="39">
        <v>2020</v>
      </c>
      <c r="D168" s="67" t="s">
        <v>336</v>
      </c>
      <c r="E168" s="39" t="s">
        <v>139</v>
      </c>
      <c r="F168" s="39" t="s">
        <v>303</v>
      </c>
      <c r="G168" s="39" t="s">
        <v>36</v>
      </c>
      <c r="H168" s="39" t="s">
        <v>146</v>
      </c>
      <c r="I168" s="39" t="s">
        <v>142</v>
      </c>
      <c r="J168" s="39" t="s">
        <v>38</v>
      </c>
      <c r="K168" s="39" t="s">
        <v>143</v>
      </c>
      <c r="L168" s="39">
        <v>2</v>
      </c>
      <c r="N168" s="39">
        <v>1</v>
      </c>
      <c r="O168" s="39">
        <v>1.4</v>
      </c>
      <c r="P168" s="39">
        <v>1.3</v>
      </c>
      <c r="Q168" s="2">
        <f t="shared" si="15"/>
        <v>1.35</v>
      </c>
      <c r="R168" s="39">
        <v>14.8</v>
      </c>
      <c r="S168" s="39">
        <v>107</v>
      </c>
      <c r="T168" s="45">
        <f t="shared" si="16"/>
        <v>33</v>
      </c>
      <c r="U168" s="39">
        <v>93</v>
      </c>
      <c r="V168" s="45">
        <f t="shared" si="17"/>
        <v>3069</v>
      </c>
      <c r="W168" s="39">
        <v>12</v>
      </c>
      <c r="X168" s="39" t="s">
        <v>46</v>
      </c>
      <c r="Y168" s="39" t="s">
        <v>47</v>
      </c>
      <c r="Z168" s="39" t="s">
        <v>69</v>
      </c>
      <c r="AA168" s="39" t="s">
        <v>55</v>
      </c>
      <c r="AB168" s="39" t="s">
        <v>331</v>
      </c>
    </row>
    <row r="169" spans="1:28" x14ac:dyDescent="0.15">
      <c r="A169" s="39" t="s">
        <v>35</v>
      </c>
      <c r="B169" s="39" t="s">
        <v>332</v>
      </c>
      <c r="C169" s="39">
        <v>2020</v>
      </c>
      <c r="D169" s="67" t="s">
        <v>336</v>
      </c>
      <c r="E169" s="39" t="s">
        <v>139</v>
      </c>
      <c r="F169" s="39" t="s">
        <v>303</v>
      </c>
      <c r="G169" s="39" t="s">
        <v>36</v>
      </c>
      <c r="H169" s="39" t="s">
        <v>146</v>
      </c>
      <c r="I169" s="39" t="s">
        <v>142</v>
      </c>
      <c r="J169" s="39" t="s">
        <v>38</v>
      </c>
      <c r="K169" s="39" t="s">
        <v>143</v>
      </c>
      <c r="L169" s="39">
        <v>3</v>
      </c>
      <c r="N169" s="39">
        <v>1</v>
      </c>
      <c r="O169" s="39">
        <v>1.25</v>
      </c>
      <c r="P169" s="39">
        <v>1.1000000000000001</v>
      </c>
      <c r="Q169" s="2">
        <f t="shared" si="15"/>
        <v>1.175</v>
      </c>
      <c r="R169" s="39">
        <v>14.7</v>
      </c>
      <c r="S169" s="39">
        <v>114</v>
      </c>
      <c r="T169" s="45">
        <f t="shared" si="16"/>
        <v>30</v>
      </c>
      <c r="U169" s="39">
        <v>93</v>
      </c>
      <c r="V169" s="45">
        <f t="shared" si="17"/>
        <v>2790</v>
      </c>
      <c r="W169" s="39">
        <v>12</v>
      </c>
      <c r="X169" s="39" t="s">
        <v>46</v>
      </c>
      <c r="Y169" s="39" t="s">
        <v>47</v>
      </c>
      <c r="Z169" s="39" t="s">
        <v>69</v>
      </c>
      <c r="AA169" s="39" t="s">
        <v>55</v>
      </c>
      <c r="AB169" s="39" t="s">
        <v>331</v>
      </c>
    </row>
    <row r="170" spans="1:28" x14ac:dyDescent="0.15">
      <c r="A170" s="39" t="s">
        <v>35</v>
      </c>
      <c r="B170" s="39" t="s">
        <v>332</v>
      </c>
      <c r="C170" s="39">
        <v>2020</v>
      </c>
      <c r="D170" s="67" t="s">
        <v>336</v>
      </c>
      <c r="E170" s="39" t="s">
        <v>139</v>
      </c>
      <c r="F170" s="39" t="s">
        <v>303</v>
      </c>
      <c r="G170" s="39" t="s">
        <v>36</v>
      </c>
      <c r="H170" s="39" t="s">
        <v>146</v>
      </c>
      <c r="I170" s="39" t="s">
        <v>142</v>
      </c>
      <c r="J170" s="39" t="s">
        <v>38</v>
      </c>
      <c r="K170" s="39" t="s">
        <v>143</v>
      </c>
      <c r="L170" s="39">
        <v>1</v>
      </c>
      <c r="N170" s="39">
        <v>1</v>
      </c>
      <c r="O170" s="39">
        <v>0.7</v>
      </c>
      <c r="P170" s="39">
        <v>0.7</v>
      </c>
      <c r="Q170" s="2">
        <f t="shared" si="15"/>
        <v>0.7</v>
      </c>
      <c r="R170" s="39">
        <v>19.7</v>
      </c>
      <c r="S170" s="39">
        <v>188</v>
      </c>
      <c r="T170" s="45">
        <f t="shared" si="16"/>
        <v>16</v>
      </c>
      <c r="U170" s="39">
        <v>278</v>
      </c>
      <c r="V170" s="45">
        <f t="shared" si="17"/>
        <v>4448</v>
      </c>
      <c r="W170" s="39">
        <v>1</v>
      </c>
      <c r="X170" s="39" t="s">
        <v>46</v>
      </c>
      <c r="Y170" s="39" t="s">
        <v>47</v>
      </c>
      <c r="Z170" s="39" t="s">
        <v>69</v>
      </c>
      <c r="AA170" s="39" t="s">
        <v>55</v>
      </c>
      <c r="AB170" s="39" t="s">
        <v>331</v>
      </c>
    </row>
    <row r="171" spans="1:28" x14ac:dyDescent="0.15">
      <c r="A171" s="39" t="s">
        <v>35</v>
      </c>
      <c r="B171" s="39" t="s">
        <v>332</v>
      </c>
      <c r="C171" s="39">
        <v>2020</v>
      </c>
      <c r="D171" s="67" t="s">
        <v>336</v>
      </c>
      <c r="E171" s="39" t="s">
        <v>139</v>
      </c>
      <c r="F171" s="39" t="s">
        <v>303</v>
      </c>
      <c r="G171" s="39" t="s">
        <v>36</v>
      </c>
      <c r="H171" s="39" t="s">
        <v>146</v>
      </c>
      <c r="I171" s="39" t="s">
        <v>142</v>
      </c>
      <c r="J171" s="39" t="s">
        <v>38</v>
      </c>
      <c r="K171" s="39" t="s">
        <v>143</v>
      </c>
      <c r="L171" s="39">
        <v>2</v>
      </c>
      <c r="N171" s="39">
        <v>1</v>
      </c>
      <c r="O171" s="39">
        <v>1</v>
      </c>
      <c r="P171" s="39">
        <v>0.8</v>
      </c>
      <c r="Q171" s="2">
        <f t="shared" si="15"/>
        <v>0.9</v>
      </c>
      <c r="R171" s="39">
        <v>19.399999999999999</v>
      </c>
      <c r="S171" s="39">
        <v>178</v>
      </c>
      <c r="T171" s="45">
        <f t="shared" si="16"/>
        <v>18</v>
      </c>
      <c r="U171" s="39">
        <v>278</v>
      </c>
      <c r="V171" s="45">
        <f t="shared" si="17"/>
        <v>5004</v>
      </c>
      <c r="W171" s="39">
        <v>1</v>
      </c>
      <c r="X171" s="39" t="s">
        <v>46</v>
      </c>
      <c r="Y171" s="39" t="s">
        <v>47</v>
      </c>
      <c r="Z171" s="39" t="s">
        <v>69</v>
      </c>
      <c r="AA171" s="39" t="s">
        <v>55</v>
      </c>
      <c r="AB171" s="39" t="s">
        <v>331</v>
      </c>
    </row>
    <row r="172" spans="1:28" x14ac:dyDescent="0.15">
      <c r="A172" s="39" t="s">
        <v>35</v>
      </c>
      <c r="B172" s="39" t="s">
        <v>332</v>
      </c>
      <c r="C172" s="39">
        <v>2020</v>
      </c>
      <c r="D172" s="67" t="s">
        <v>336</v>
      </c>
      <c r="E172" s="39" t="s">
        <v>139</v>
      </c>
      <c r="F172" s="39" t="s">
        <v>303</v>
      </c>
      <c r="G172" s="39" t="s">
        <v>36</v>
      </c>
      <c r="H172" s="39" t="s">
        <v>146</v>
      </c>
      <c r="I172" s="39" t="s">
        <v>142</v>
      </c>
      <c r="J172" s="39" t="s">
        <v>38</v>
      </c>
      <c r="K172" s="39" t="s">
        <v>143</v>
      </c>
      <c r="L172" s="39">
        <v>3</v>
      </c>
      <c r="N172" s="39">
        <v>1</v>
      </c>
      <c r="O172" s="39">
        <v>1.1000000000000001</v>
      </c>
      <c r="P172" s="39">
        <v>1.1000000000000001</v>
      </c>
      <c r="Q172" s="2">
        <f t="shared" si="15"/>
        <v>1.1000000000000001</v>
      </c>
      <c r="R172" s="39">
        <v>19.5</v>
      </c>
      <c r="S172" s="39">
        <v>184</v>
      </c>
      <c r="T172" s="45">
        <f t="shared" si="16"/>
        <v>16</v>
      </c>
      <c r="U172" s="39">
        <v>278</v>
      </c>
      <c r="V172" s="45">
        <f t="shared" si="17"/>
        <v>4448</v>
      </c>
      <c r="W172" s="39">
        <v>1</v>
      </c>
      <c r="X172" s="39" t="s">
        <v>46</v>
      </c>
      <c r="Y172" s="39" t="s">
        <v>47</v>
      </c>
      <c r="Z172" s="39" t="s">
        <v>69</v>
      </c>
      <c r="AA172" s="39" t="s">
        <v>55</v>
      </c>
      <c r="AB172" s="39" t="s">
        <v>331</v>
      </c>
    </row>
    <row r="173" spans="1:28" x14ac:dyDescent="0.15">
      <c r="A173" s="39" t="s">
        <v>35</v>
      </c>
      <c r="B173" s="39" t="s">
        <v>332</v>
      </c>
      <c r="C173" s="39">
        <v>2020</v>
      </c>
      <c r="D173" s="67" t="s">
        <v>336</v>
      </c>
      <c r="E173" s="39" t="s">
        <v>139</v>
      </c>
      <c r="F173" s="39" t="s">
        <v>303</v>
      </c>
      <c r="G173" s="39" t="s">
        <v>36</v>
      </c>
      <c r="H173" s="39" t="s">
        <v>146</v>
      </c>
      <c r="I173" s="39" t="s">
        <v>142</v>
      </c>
      <c r="J173" s="39" t="s">
        <v>38</v>
      </c>
      <c r="K173" s="39" t="s">
        <v>143</v>
      </c>
      <c r="L173" s="39">
        <v>1</v>
      </c>
      <c r="N173" s="39">
        <v>3</v>
      </c>
      <c r="O173" s="39">
        <v>0.9</v>
      </c>
      <c r="P173" s="39">
        <v>1</v>
      </c>
      <c r="Q173" s="2">
        <f t="shared" si="15"/>
        <v>0.95</v>
      </c>
      <c r="R173" s="39">
        <v>16.3</v>
      </c>
      <c r="S173" s="39">
        <v>124</v>
      </c>
      <c r="T173" s="45">
        <f t="shared" si="16"/>
        <v>27</v>
      </c>
      <c r="U173" s="39">
        <v>398</v>
      </c>
      <c r="V173" s="45">
        <f t="shared" si="17"/>
        <v>3581.9999999999995</v>
      </c>
      <c r="W173" s="39">
        <v>4</v>
      </c>
      <c r="X173" s="39" t="s">
        <v>46</v>
      </c>
      <c r="Y173" s="39" t="s">
        <v>47</v>
      </c>
      <c r="Z173" s="39" t="s">
        <v>69</v>
      </c>
      <c r="AA173" s="39" t="s">
        <v>55</v>
      </c>
      <c r="AB173" s="39" t="s">
        <v>331</v>
      </c>
    </row>
    <row r="174" spans="1:28" x14ac:dyDescent="0.15">
      <c r="A174" s="39" t="s">
        <v>35</v>
      </c>
      <c r="B174" s="39" t="s">
        <v>332</v>
      </c>
      <c r="C174" s="39">
        <v>2020</v>
      </c>
      <c r="D174" s="67" t="s">
        <v>336</v>
      </c>
      <c r="E174" s="39" t="s">
        <v>139</v>
      </c>
      <c r="F174" s="39" t="s">
        <v>303</v>
      </c>
      <c r="G174" s="39" t="s">
        <v>36</v>
      </c>
      <c r="H174" s="39" t="s">
        <v>146</v>
      </c>
      <c r="I174" s="39" t="s">
        <v>142</v>
      </c>
      <c r="J174" s="39" t="s">
        <v>38</v>
      </c>
      <c r="K174" s="39" t="s">
        <v>143</v>
      </c>
      <c r="L174" s="39">
        <v>2</v>
      </c>
      <c r="N174" s="39">
        <v>3</v>
      </c>
      <c r="O174" s="39">
        <v>1</v>
      </c>
      <c r="P174" s="39">
        <v>0.9</v>
      </c>
      <c r="Q174" s="2">
        <f t="shared" si="15"/>
        <v>0.95</v>
      </c>
      <c r="R174" s="39">
        <v>17.399999999999999</v>
      </c>
      <c r="S174" s="39">
        <v>121</v>
      </c>
      <c r="T174" s="45">
        <f t="shared" si="16"/>
        <v>27</v>
      </c>
      <c r="U174" s="39">
        <v>398</v>
      </c>
      <c r="V174" s="45">
        <f t="shared" si="17"/>
        <v>3581.9999999999995</v>
      </c>
      <c r="W174" s="39">
        <v>4</v>
      </c>
      <c r="X174" s="39" t="s">
        <v>46</v>
      </c>
      <c r="Y174" s="39" t="s">
        <v>47</v>
      </c>
      <c r="Z174" s="39" t="s">
        <v>69</v>
      </c>
      <c r="AA174" s="39" t="s">
        <v>55</v>
      </c>
      <c r="AB174" s="39" t="s">
        <v>331</v>
      </c>
    </row>
    <row r="175" spans="1:28" x14ac:dyDescent="0.15">
      <c r="A175" s="39" t="s">
        <v>35</v>
      </c>
      <c r="B175" s="39" t="s">
        <v>332</v>
      </c>
      <c r="C175" s="39">
        <v>2020</v>
      </c>
      <c r="D175" s="67" t="s">
        <v>336</v>
      </c>
      <c r="E175" s="39" t="s">
        <v>139</v>
      </c>
      <c r="F175" s="39" t="s">
        <v>303</v>
      </c>
      <c r="G175" s="39" t="s">
        <v>36</v>
      </c>
      <c r="H175" s="39" t="s">
        <v>146</v>
      </c>
      <c r="I175" s="39" t="s">
        <v>142</v>
      </c>
      <c r="J175" s="39" t="s">
        <v>38</v>
      </c>
      <c r="K175" s="39" t="s">
        <v>143</v>
      </c>
      <c r="L175" s="39">
        <v>3</v>
      </c>
      <c r="N175" s="39">
        <v>3</v>
      </c>
      <c r="O175" s="39">
        <v>1.25</v>
      </c>
      <c r="P175" s="39">
        <v>1</v>
      </c>
      <c r="Q175" s="2">
        <f t="shared" si="15"/>
        <v>1.125</v>
      </c>
      <c r="R175" s="39">
        <v>16.3</v>
      </c>
      <c r="S175" s="39">
        <v>125</v>
      </c>
      <c r="T175" s="45">
        <f t="shared" si="16"/>
        <v>27</v>
      </c>
      <c r="U175" s="39">
        <v>398</v>
      </c>
      <c r="V175" s="45">
        <f t="shared" si="17"/>
        <v>3581.9999999999995</v>
      </c>
      <c r="W175" s="39">
        <v>4</v>
      </c>
      <c r="X175" s="39" t="s">
        <v>46</v>
      </c>
      <c r="Y175" s="39" t="s">
        <v>47</v>
      </c>
      <c r="Z175" s="39" t="s">
        <v>69</v>
      </c>
      <c r="AA175" s="39" t="s">
        <v>55</v>
      </c>
      <c r="AB175" s="39" t="s">
        <v>331</v>
      </c>
    </row>
    <row r="176" spans="1:28" x14ac:dyDescent="0.15">
      <c r="A176" s="39" t="s">
        <v>35</v>
      </c>
      <c r="B176" s="39" t="s">
        <v>332</v>
      </c>
      <c r="C176" s="39">
        <v>2020</v>
      </c>
      <c r="D176" s="67" t="s">
        <v>336</v>
      </c>
      <c r="E176" s="39" t="s">
        <v>139</v>
      </c>
      <c r="F176" s="39" t="s">
        <v>303</v>
      </c>
      <c r="G176" s="39" t="s">
        <v>36</v>
      </c>
      <c r="H176" s="39" t="s">
        <v>146</v>
      </c>
      <c r="I176" s="39" t="s">
        <v>142</v>
      </c>
      <c r="J176" s="39" t="s">
        <v>38</v>
      </c>
      <c r="K176" s="39" t="s">
        <v>143</v>
      </c>
      <c r="L176" s="39">
        <v>1</v>
      </c>
      <c r="N176" s="39">
        <v>3</v>
      </c>
      <c r="O176" s="39">
        <v>0.8</v>
      </c>
      <c r="P176" s="39">
        <v>0.5</v>
      </c>
      <c r="Q176" s="2">
        <f t="shared" si="15"/>
        <v>0.65</v>
      </c>
      <c r="R176" s="39">
        <v>17.8</v>
      </c>
      <c r="S176" s="39">
        <v>175</v>
      </c>
      <c r="T176" s="45">
        <f t="shared" si="16"/>
        <v>18</v>
      </c>
      <c r="U176" s="39">
        <v>498</v>
      </c>
      <c r="V176" s="45">
        <f t="shared" si="17"/>
        <v>2988</v>
      </c>
      <c r="W176" s="39">
        <v>4</v>
      </c>
      <c r="X176" s="39" t="s">
        <v>46</v>
      </c>
      <c r="Y176" s="39" t="s">
        <v>47</v>
      </c>
      <c r="Z176" s="39" t="s">
        <v>69</v>
      </c>
      <c r="AA176" s="39" t="s">
        <v>55</v>
      </c>
      <c r="AB176" s="39" t="s">
        <v>331</v>
      </c>
    </row>
    <row r="177" spans="1:28" x14ac:dyDescent="0.15">
      <c r="A177" s="39" t="s">
        <v>35</v>
      </c>
      <c r="B177" s="39" t="s">
        <v>332</v>
      </c>
      <c r="C177" s="39">
        <v>2020</v>
      </c>
      <c r="D177" s="67" t="s">
        <v>336</v>
      </c>
      <c r="E177" s="39" t="s">
        <v>139</v>
      </c>
      <c r="F177" s="39" t="s">
        <v>303</v>
      </c>
      <c r="G177" s="39" t="s">
        <v>36</v>
      </c>
      <c r="H177" s="39" t="s">
        <v>146</v>
      </c>
      <c r="I177" s="39" t="s">
        <v>142</v>
      </c>
      <c r="J177" s="39" t="s">
        <v>38</v>
      </c>
      <c r="K177" s="39" t="s">
        <v>143</v>
      </c>
      <c r="L177" s="39">
        <v>2</v>
      </c>
      <c r="N177" s="39">
        <v>3</v>
      </c>
      <c r="O177" s="39">
        <v>0.7</v>
      </c>
      <c r="P177" s="39">
        <v>0.5</v>
      </c>
      <c r="Q177" s="2">
        <f t="shared" si="15"/>
        <v>0.6</v>
      </c>
      <c r="R177" s="39">
        <v>14.3</v>
      </c>
      <c r="S177" s="39">
        <v>164</v>
      </c>
      <c r="T177" s="45">
        <f t="shared" si="16"/>
        <v>18</v>
      </c>
      <c r="U177" s="39">
        <v>498</v>
      </c>
      <c r="V177" s="45">
        <f t="shared" si="17"/>
        <v>2988</v>
      </c>
      <c r="W177" s="39">
        <v>4</v>
      </c>
      <c r="X177" s="39" t="s">
        <v>46</v>
      </c>
      <c r="Y177" s="39" t="s">
        <v>47</v>
      </c>
      <c r="Z177" s="39" t="s">
        <v>69</v>
      </c>
      <c r="AA177" s="39" t="s">
        <v>55</v>
      </c>
      <c r="AB177" s="39" t="s">
        <v>331</v>
      </c>
    </row>
    <row r="178" spans="1:28" x14ac:dyDescent="0.15">
      <c r="A178" s="39" t="s">
        <v>35</v>
      </c>
      <c r="B178" s="39" t="s">
        <v>332</v>
      </c>
      <c r="C178" s="39">
        <v>2020</v>
      </c>
      <c r="D178" s="67" t="s">
        <v>336</v>
      </c>
      <c r="E178" s="39" t="s">
        <v>139</v>
      </c>
      <c r="F178" s="39" t="s">
        <v>303</v>
      </c>
      <c r="G178" s="39" t="s">
        <v>36</v>
      </c>
      <c r="H178" s="39" t="s">
        <v>146</v>
      </c>
      <c r="I178" s="39" t="s">
        <v>142</v>
      </c>
      <c r="J178" s="39" t="s">
        <v>38</v>
      </c>
      <c r="K178" s="39" t="s">
        <v>143</v>
      </c>
      <c r="L178" s="39">
        <v>3</v>
      </c>
      <c r="N178" s="39">
        <v>3</v>
      </c>
      <c r="O178" s="39">
        <v>0.7</v>
      </c>
      <c r="P178" s="39">
        <v>0.6</v>
      </c>
      <c r="Q178" s="2">
        <f t="shared" si="15"/>
        <v>0.64999999999999991</v>
      </c>
      <c r="R178" s="39">
        <v>18.7</v>
      </c>
      <c r="S178" s="39">
        <v>161</v>
      </c>
      <c r="T178" s="45">
        <f t="shared" si="16"/>
        <v>18</v>
      </c>
      <c r="U178" s="39">
        <v>498</v>
      </c>
      <c r="V178" s="45">
        <f t="shared" si="17"/>
        <v>2988</v>
      </c>
      <c r="W178" s="39">
        <v>4</v>
      </c>
      <c r="X178" s="39" t="s">
        <v>46</v>
      </c>
      <c r="Y178" s="39" t="s">
        <v>47</v>
      </c>
      <c r="Z178" s="39" t="s">
        <v>69</v>
      </c>
      <c r="AA178" s="39" t="s">
        <v>55</v>
      </c>
      <c r="AB178" s="39" t="s">
        <v>331</v>
      </c>
    </row>
    <row r="179" spans="1:28" x14ac:dyDescent="0.15">
      <c r="A179" s="39" t="s">
        <v>35</v>
      </c>
      <c r="B179" s="39" t="s">
        <v>332</v>
      </c>
      <c r="C179" s="39">
        <v>2020</v>
      </c>
      <c r="D179" s="67" t="s">
        <v>336</v>
      </c>
      <c r="E179" s="39" t="s">
        <v>139</v>
      </c>
      <c r="F179" s="39" t="s">
        <v>303</v>
      </c>
      <c r="G179" s="39" t="s">
        <v>36</v>
      </c>
      <c r="H179" s="39" t="s">
        <v>146</v>
      </c>
      <c r="I179" s="39" t="s">
        <v>142</v>
      </c>
      <c r="J179" s="39" t="s">
        <v>38</v>
      </c>
      <c r="K179" s="39" t="s">
        <v>143</v>
      </c>
      <c r="L179" s="39">
        <v>1</v>
      </c>
      <c r="N179" s="39">
        <v>4</v>
      </c>
      <c r="O179" s="39">
        <v>1.1000000000000001</v>
      </c>
      <c r="P179" s="39">
        <v>0.9</v>
      </c>
      <c r="Q179" s="2">
        <f t="shared" si="15"/>
        <v>1</v>
      </c>
      <c r="R179" s="39">
        <v>18.3</v>
      </c>
      <c r="S179" s="39">
        <v>97</v>
      </c>
      <c r="T179" s="45">
        <f t="shared" si="16"/>
        <v>36</v>
      </c>
      <c r="U179" s="39">
        <v>450</v>
      </c>
      <c r="V179" s="45">
        <f t="shared" si="17"/>
        <v>4050</v>
      </c>
      <c r="W179" s="39">
        <v>3</v>
      </c>
      <c r="X179" s="39" t="s">
        <v>46</v>
      </c>
      <c r="Y179" s="39" t="s">
        <v>47</v>
      </c>
      <c r="Z179" s="39" t="s">
        <v>69</v>
      </c>
      <c r="AA179" s="39" t="s">
        <v>55</v>
      </c>
      <c r="AB179" s="39" t="s">
        <v>331</v>
      </c>
    </row>
    <row r="180" spans="1:28" x14ac:dyDescent="0.15">
      <c r="A180" s="39" t="s">
        <v>35</v>
      </c>
      <c r="B180" s="39" t="s">
        <v>332</v>
      </c>
      <c r="C180" s="39">
        <v>2020</v>
      </c>
      <c r="D180" s="67" t="s">
        <v>336</v>
      </c>
      <c r="E180" s="39" t="s">
        <v>139</v>
      </c>
      <c r="F180" s="39" t="s">
        <v>303</v>
      </c>
      <c r="G180" s="39" t="s">
        <v>36</v>
      </c>
      <c r="H180" s="39" t="s">
        <v>146</v>
      </c>
      <c r="I180" s="39" t="s">
        <v>142</v>
      </c>
      <c r="J180" s="39" t="s">
        <v>38</v>
      </c>
      <c r="K180" s="39" t="s">
        <v>143</v>
      </c>
      <c r="L180" s="39">
        <v>2</v>
      </c>
      <c r="N180" s="39">
        <v>4</v>
      </c>
      <c r="O180" s="39">
        <v>1.1000000000000001</v>
      </c>
      <c r="P180" s="39">
        <v>1.2</v>
      </c>
      <c r="Q180" s="2">
        <f t="shared" si="15"/>
        <v>1.1499999999999999</v>
      </c>
      <c r="R180" s="39">
        <v>13.8</v>
      </c>
      <c r="S180" s="39">
        <v>99</v>
      </c>
      <c r="T180" s="45">
        <f t="shared" si="16"/>
        <v>33</v>
      </c>
      <c r="U180" s="39">
        <v>450</v>
      </c>
      <c r="V180" s="45">
        <f t="shared" si="17"/>
        <v>3712.5</v>
      </c>
      <c r="W180" s="39">
        <v>3</v>
      </c>
      <c r="X180" s="39" t="s">
        <v>46</v>
      </c>
      <c r="Y180" s="39" t="s">
        <v>47</v>
      </c>
      <c r="Z180" s="39" t="s">
        <v>69</v>
      </c>
      <c r="AA180" s="39" t="s">
        <v>55</v>
      </c>
      <c r="AB180" s="39" t="s">
        <v>331</v>
      </c>
    </row>
    <row r="181" spans="1:28" x14ac:dyDescent="0.15">
      <c r="A181" s="39" t="s">
        <v>35</v>
      </c>
      <c r="B181" s="39" t="s">
        <v>332</v>
      </c>
      <c r="C181" s="39">
        <v>2020</v>
      </c>
      <c r="D181" s="67" t="s">
        <v>336</v>
      </c>
      <c r="E181" s="39" t="s">
        <v>139</v>
      </c>
      <c r="F181" s="39" t="s">
        <v>303</v>
      </c>
      <c r="G181" s="39" t="s">
        <v>36</v>
      </c>
      <c r="H181" s="39" t="s">
        <v>146</v>
      </c>
      <c r="I181" s="39" t="s">
        <v>142</v>
      </c>
      <c r="J181" s="39" t="s">
        <v>38</v>
      </c>
      <c r="K181" s="39" t="s">
        <v>143</v>
      </c>
      <c r="L181" s="39">
        <v>3</v>
      </c>
      <c r="N181" s="39">
        <v>4</v>
      </c>
      <c r="O181" s="39">
        <v>1</v>
      </c>
      <c r="P181" s="39">
        <v>1.1000000000000001</v>
      </c>
      <c r="Q181" s="2">
        <f t="shared" si="15"/>
        <v>1.05</v>
      </c>
      <c r="R181" s="39">
        <v>18.899999999999999</v>
      </c>
      <c r="S181" s="39">
        <v>108</v>
      </c>
      <c r="T181" s="45">
        <f t="shared" si="16"/>
        <v>33</v>
      </c>
      <c r="U181" s="39">
        <v>450</v>
      </c>
      <c r="V181" s="45">
        <f t="shared" si="17"/>
        <v>3712.5</v>
      </c>
      <c r="W181" s="39">
        <v>3</v>
      </c>
      <c r="X181" s="39" t="s">
        <v>46</v>
      </c>
      <c r="Y181" s="39" t="s">
        <v>47</v>
      </c>
      <c r="Z181" s="39" t="s">
        <v>69</v>
      </c>
      <c r="AA181" s="39" t="s">
        <v>55</v>
      </c>
      <c r="AB181" s="39" t="s">
        <v>331</v>
      </c>
    </row>
    <row r="182" spans="1:28" x14ac:dyDescent="0.15">
      <c r="A182" s="39" t="s">
        <v>35</v>
      </c>
      <c r="B182" s="39" t="s">
        <v>332</v>
      </c>
      <c r="C182" s="39">
        <v>2020</v>
      </c>
      <c r="D182" s="67" t="s">
        <v>336</v>
      </c>
      <c r="E182" s="39" t="s">
        <v>139</v>
      </c>
      <c r="F182" s="39" t="s">
        <v>303</v>
      </c>
      <c r="G182" s="39" t="s">
        <v>36</v>
      </c>
      <c r="H182" s="39" t="s">
        <v>146</v>
      </c>
      <c r="I182" s="39" t="s">
        <v>142</v>
      </c>
      <c r="J182" s="39" t="s">
        <v>38</v>
      </c>
      <c r="K182" s="39" t="s">
        <v>143</v>
      </c>
      <c r="L182" s="39">
        <v>1</v>
      </c>
      <c r="N182" s="39">
        <v>6</v>
      </c>
      <c r="O182" s="39">
        <v>1.4</v>
      </c>
      <c r="P182" s="39">
        <v>1.5</v>
      </c>
      <c r="Q182" s="2">
        <f t="shared" si="15"/>
        <v>1.45</v>
      </c>
      <c r="R182" s="39">
        <v>16.7</v>
      </c>
      <c r="S182" s="39">
        <v>112</v>
      </c>
      <c r="T182" s="45">
        <f t="shared" si="16"/>
        <v>33</v>
      </c>
      <c r="U182" s="39">
        <v>580</v>
      </c>
      <c r="V182" s="45">
        <f t="shared" si="17"/>
        <v>3190</v>
      </c>
      <c r="W182" s="39">
        <v>3</v>
      </c>
      <c r="X182" s="39" t="s">
        <v>46</v>
      </c>
      <c r="Y182" s="39" t="s">
        <v>47</v>
      </c>
      <c r="Z182" s="39" t="s">
        <v>69</v>
      </c>
      <c r="AA182" s="39" t="s">
        <v>55</v>
      </c>
      <c r="AB182" s="39" t="s">
        <v>331</v>
      </c>
    </row>
    <row r="183" spans="1:28" x14ac:dyDescent="0.15">
      <c r="A183" s="39" t="s">
        <v>35</v>
      </c>
      <c r="B183" s="39" t="s">
        <v>332</v>
      </c>
      <c r="C183" s="39">
        <v>2020</v>
      </c>
      <c r="D183" s="67" t="s">
        <v>336</v>
      </c>
      <c r="E183" s="39" t="s">
        <v>139</v>
      </c>
      <c r="F183" s="39" t="s">
        <v>303</v>
      </c>
      <c r="G183" s="39" t="s">
        <v>36</v>
      </c>
      <c r="H183" s="39" t="s">
        <v>146</v>
      </c>
      <c r="I183" s="39" t="s">
        <v>142</v>
      </c>
      <c r="J183" s="39" t="s">
        <v>38</v>
      </c>
      <c r="K183" s="39" t="s">
        <v>143</v>
      </c>
      <c r="L183" s="39">
        <v>2</v>
      </c>
      <c r="N183" s="39">
        <v>6</v>
      </c>
      <c r="O183" s="39">
        <v>1.2</v>
      </c>
      <c r="P183" s="39">
        <v>1.2</v>
      </c>
      <c r="Q183" s="2">
        <f t="shared" si="15"/>
        <v>1.2</v>
      </c>
      <c r="R183" s="39">
        <v>21.5</v>
      </c>
      <c r="S183" s="39">
        <v>112</v>
      </c>
      <c r="T183" s="45">
        <f t="shared" si="16"/>
        <v>33</v>
      </c>
      <c r="U183" s="39">
        <v>580</v>
      </c>
      <c r="V183" s="45">
        <f t="shared" si="17"/>
        <v>3190</v>
      </c>
      <c r="W183" s="39">
        <v>3</v>
      </c>
      <c r="X183" s="39" t="s">
        <v>46</v>
      </c>
      <c r="Y183" s="39" t="s">
        <v>47</v>
      </c>
      <c r="Z183" s="39" t="s">
        <v>69</v>
      </c>
      <c r="AA183" s="39" t="s">
        <v>55</v>
      </c>
      <c r="AB183" s="39" t="s">
        <v>331</v>
      </c>
    </row>
    <row r="184" spans="1:28" x14ac:dyDescent="0.15">
      <c r="A184" s="39" t="s">
        <v>35</v>
      </c>
      <c r="B184" s="39" t="s">
        <v>332</v>
      </c>
      <c r="C184" s="39">
        <v>2020</v>
      </c>
      <c r="D184" s="67" t="s">
        <v>336</v>
      </c>
      <c r="E184" s="39" t="s">
        <v>139</v>
      </c>
      <c r="F184" s="39" t="s">
        <v>303</v>
      </c>
      <c r="G184" s="39" t="s">
        <v>36</v>
      </c>
      <c r="H184" s="39" t="s">
        <v>146</v>
      </c>
      <c r="I184" s="39" t="s">
        <v>142</v>
      </c>
      <c r="J184" s="39" t="s">
        <v>38</v>
      </c>
      <c r="K184" s="39" t="s">
        <v>143</v>
      </c>
      <c r="L184" s="39">
        <v>3</v>
      </c>
      <c r="N184" s="39">
        <v>6</v>
      </c>
      <c r="O184" s="39">
        <v>1.4</v>
      </c>
      <c r="P184" s="39">
        <v>1.3</v>
      </c>
      <c r="Q184" s="2">
        <f t="shared" si="15"/>
        <v>1.35</v>
      </c>
      <c r="R184" s="39">
        <v>18.8</v>
      </c>
      <c r="S184" s="39">
        <v>107</v>
      </c>
      <c r="T184" s="45">
        <f t="shared" si="16"/>
        <v>33</v>
      </c>
      <c r="U184" s="39">
        <v>580</v>
      </c>
      <c r="V184" s="45">
        <f t="shared" si="17"/>
        <v>3190</v>
      </c>
      <c r="W184" s="39">
        <v>3</v>
      </c>
      <c r="X184" s="39" t="s">
        <v>46</v>
      </c>
      <c r="Y184" s="39" t="s">
        <v>47</v>
      </c>
      <c r="Z184" s="39" t="s">
        <v>69</v>
      </c>
      <c r="AA184" s="39" t="s">
        <v>55</v>
      </c>
      <c r="AB184" s="39" t="s">
        <v>331</v>
      </c>
    </row>
  </sheetData>
  <autoFilter ref="A1:BA184" xr:uid="{00000000-0009-0000-0000-000000000000}"/>
  <phoneticPr fontId="3"/>
  <dataValidations count="19">
    <dataValidation type="list" allowBlank="1" showInputMessage="1" showErrorMessage="1" sqref="H2:H1184" xr:uid="{6030EB5F-3903-4673-89E3-24C09180B5C3}">
      <formula1>$AL$2:$AL$9</formula1>
    </dataValidation>
    <dataValidation type="list" allowBlank="1" showInputMessage="1" showErrorMessage="1" sqref="K2:K126" xr:uid="{00000000-0002-0000-0000-000012000000}">
      <formula1>$AR$2:$AR$26</formula1>
    </dataValidation>
    <dataValidation type="list" allowBlank="1" showInputMessage="1" showErrorMessage="1" sqref="F1:F1048576" xr:uid="{00000000-0002-0000-0000-000011000000}">
      <formula1>$AH$2:$AH$11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Y2:AA497" xr:uid="{00000000-0002-0000-0000-00000F000000}">
      <formula1>$AV$2:$AV$21</formula1>
    </dataValidation>
    <dataValidation type="list" allowBlank="1" showInputMessage="1" showErrorMessage="1" sqref="K127:K497" xr:uid="{00000000-0002-0000-0000-00000E000000}">
      <formula1>$AR$2:$AR$25</formula1>
    </dataValidation>
    <dataValidation type="list" allowBlank="1" showInputMessage="1" showErrorMessage="1" sqref="A3:A497" xr:uid="{00000000-0002-0000-0000-00000D000000}">
      <formula1>$AE$2:$AE$19</formula1>
    </dataValidation>
    <dataValidation type="list" allowBlank="1" showInputMessage="1" showErrorMessage="1" sqref="J2:J497" xr:uid="{00000000-0002-0000-0000-00000C000000}">
      <formula1>$AP$2:$AP$27</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99A75-F4E9-4DD4-8DAA-C7A1DAE1E2D8}">
  <dimension ref="A1:BA105"/>
  <sheetViews>
    <sheetView zoomScale="70" zoomScaleNormal="70" workbookViewId="0"/>
  </sheetViews>
  <sheetFormatPr defaultColWidth="9" defaultRowHeight="13.5" x14ac:dyDescent="0.15"/>
  <cols>
    <col min="1" max="3" width="9" style="39"/>
    <col min="4" max="4" width="11" style="39" customWidth="1"/>
    <col min="5" max="5" width="10.875" style="39" customWidth="1"/>
    <col min="6" max="16" width="9" style="39"/>
    <col min="17" max="17" width="9" style="45"/>
    <col min="18" max="18" width="9" style="39"/>
    <col min="19" max="19" width="11.625" style="39" customWidth="1"/>
    <col min="20" max="20" width="9" style="45"/>
    <col min="21" max="21" width="9" style="39"/>
    <col min="22" max="22" width="9" style="45"/>
    <col min="23" max="32" width="9" style="39"/>
    <col min="33" max="33" width="14.375" style="39" customWidth="1"/>
    <col min="34" max="34" width="11.375" style="39" customWidth="1"/>
    <col min="35" max="16384" width="9" style="39"/>
  </cols>
  <sheetData>
    <row r="1" spans="1:53" ht="45" x14ac:dyDescent="0.15">
      <c r="A1" s="58" t="s">
        <v>0</v>
      </c>
      <c r="B1" s="74" t="s">
        <v>153</v>
      </c>
      <c r="C1" s="74" t="s">
        <v>154</v>
      </c>
      <c r="D1" s="72" t="s">
        <v>3</v>
      </c>
      <c r="E1" s="59" t="s">
        <v>4</v>
      </c>
      <c r="F1" s="59" t="s">
        <v>5</v>
      </c>
      <c r="G1" s="59" t="s">
        <v>6</v>
      </c>
      <c r="H1" s="59" t="s">
        <v>7</v>
      </c>
      <c r="I1" s="59" t="s">
        <v>8</v>
      </c>
      <c r="J1" s="59" t="s">
        <v>9</v>
      </c>
      <c r="K1" s="59" t="s">
        <v>10</v>
      </c>
      <c r="L1" s="72" t="s">
        <v>155</v>
      </c>
      <c r="M1" s="72" t="s">
        <v>156</v>
      </c>
      <c r="N1" s="72" t="s">
        <v>13</v>
      </c>
      <c r="O1" s="72" t="s">
        <v>157</v>
      </c>
      <c r="P1" s="72" t="s">
        <v>158</v>
      </c>
      <c r="Q1" s="6" t="s">
        <v>159</v>
      </c>
      <c r="R1" s="72" t="s">
        <v>160</v>
      </c>
      <c r="S1" s="72" t="s">
        <v>161</v>
      </c>
      <c r="T1" s="6" t="s">
        <v>19</v>
      </c>
      <c r="U1" s="73" t="s">
        <v>108</v>
      </c>
      <c r="V1" s="75" t="s">
        <v>20</v>
      </c>
      <c r="W1" s="72" t="s">
        <v>162</v>
      </c>
      <c r="X1" s="59" t="s">
        <v>22</v>
      </c>
      <c r="Y1" s="59" t="s">
        <v>23</v>
      </c>
      <c r="Z1" s="59" t="s">
        <v>24</v>
      </c>
      <c r="AA1" s="59" t="s">
        <v>25</v>
      </c>
      <c r="AB1" s="60" t="s">
        <v>163</v>
      </c>
      <c r="AE1" s="70" t="s">
        <v>0</v>
      </c>
      <c r="AF1" s="69"/>
      <c r="AG1" s="70" t="s">
        <v>4</v>
      </c>
      <c r="AH1" s="70" t="s">
        <v>5</v>
      </c>
      <c r="AI1" s="69"/>
      <c r="AJ1" s="70" t="s">
        <v>6</v>
      </c>
      <c r="AK1" s="69"/>
      <c r="AL1" s="40" t="s">
        <v>7</v>
      </c>
      <c r="AM1" s="69"/>
      <c r="AN1" s="40" t="s">
        <v>8</v>
      </c>
      <c r="AO1" s="69"/>
      <c r="AP1" s="40" t="s">
        <v>27</v>
      </c>
      <c r="AQ1" s="69"/>
      <c r="AR1" s="40" t="s">
        <v>10</v>
      </c>
      <c r="AS1" s="69"/>
      <c r="AT1" s="41" t="s">
        <v>164</v>
      </c>
      <c r="AU1" s="69"/>
      <c r="AV1" s="40" t="s">
        <v>29</v>
      </c>
      <c r="AX1" s="42" t="s">
        <v>338</v>
      </c>
      <c r="AY1" s="43" t="s">
        <v>166</v>
      </c>
      <c r="AZ1" s="43" t="s">
        <v>339</v>
      </c>
      <c r="BA1" s="44" t="s">
        <v>168</v>
      </c>
    </row>
    <row r="2" spans="1:53" x14ac:dyDescent="0.15">
      <c r="A2" s="39" t="s">
        <v>41</v>
      </c>
      <c r="B2" s="39" t="s">
        <v>332</v>
      </c>
      <c r="C2" s="39">
        <v>2020</v>
      </c>
      <c r="D2" s="76" t="s">
        <v>343</v>
      </c>
      <c r="E2" s="39" t="s">
        <v>133</v>
      </c>
      <c r="F2" s="39" t="s">
        <v>263</v>
      </c>
      <c r="G2" s="39" t="s">
        <v>36</v>
      </c>
      <c r="H2" s="39" t="s">
        <v>171</v>
      </c>
      <c r="I2" s="39" t="s">
        <v>142</v>
      </c>
      <c r="J2" s="39" t="s">
        <v>80</v>
      </c>
      <c r="K2" s="39" t="s">
        <v>63</v>
      </c>
      <c r="L2" s="39">
        <v>1</v>
      </c>
      <c r="N2" s="77">
        <v>1</v>
      </c>
      <c r="O2" s="39">
        <v>1.2</v>
      </c>
      <c r="P2" s="39">
        <v>1.35</v>
      </c>
      <c r="Q2" s="45">
        <v>0.7</v>
      </c>
      <c r="R2" s="39">
        <v>10.199999999999999</v>
      </c>
      <c r="S2" s="39">
        <v>111</v>
      </c>
      <c r="T2" s="45">
        <f t="shared" ref="T2:T46" si="0">IF(H2="","",IF(OR(H2="GREEN",H2="GK"),IF(S2&gt;=$AX$2,VLOOKUP(S2,$AX$2:$AY$10,2,1),""),IF(S2&gt;=$AZ$2,VLOOKUP(S2,$AZ$2:$BA$10,2,1),"")))</f>
        <v>33</v>
      </c>
      <c r="U2" s="39">
        <v>84</v>
      </c>
      <c r="V2" s="45">
        <f t="shared" ref="V2:V65" si="1">IF(OR(N2="",U2="",T2=""),"",U2/N2*T2)</f>
        <v>2772</v>
      </c>
      <c r="W2" s="39">
        <v>2</v>
      </c>
      <c r="X2" s="39" t="s">
        <v>46</v>
      </c>
      <c r="Y2" s="39" t="s">
        <v>69</v>
      </c>
      <c r="Z2" s="39" t="s">
        <v>55</v>
      </c>
      <c r="AA2" s="39" t="s">
        <v>40</v>
      </c>
      <c r="AB2" s="39" t="s">
        <v>331</v>
      </c>
      <c r="AE2" s="68" t="s">
        <v>35</v>
      </c>
      <c r="AG2" s="78" t="s">
        <v>133</v>
      </c>
      <c r="AH2" s="79" t="s">
        <v>263</v>
      </c>
      <c r="AJ2" s="62" t="s">
        <v>36</v>
      </c>
      <c r="AL2" s="80" t="s">
        <v>171</v>
      </c>
      <c r="AN2" s="62" t="s">
        <v>37</v>
      </c>
      <c r="AP2" s="62" t="s">
        <v>38</v>
      </c>
      <c r="AR2" s="62" t="s">
        <v>143</v>
      </c>
      <c r="AT2" s="62" t="s">
        <v>39</v>
      </c>
      <c r="AV2" s="62" t="s">
        <v>40</v>
      </c>
      <c r="AX2" s="31">
        <v>1</v>
      </c>
      <c r="AY2" s="32">
        <v>50</v>
      </c>
      <c r="AZ2" s="32">
        <v>1</v>
      </c>
      <c r="BA2" s="33">
        <v>50</v>
      </c>
    </row>
    <row r="3" spans="1:53" x14ac:dyDescent="0.15">
      <c r="A3" s="39" t="s">
        <v>41</v>
      </c>
      <c r="B3" s="39" t="s">
        <v>332</v>
      </c>
      <c r="C3" s="39">
        <v>2020</v>
      </c>
      <c r="D3" s="76" t="s">
        <v>343</v>
      </c>
      <c r="E3" s="39" t="s">
        <v>133</v>
      </c>
      <c r="F3" s="39" t="s">
        <v>263</v>
      </c>
      <c r="G3" s="39" t="s">
        <v>36</v>
      </c>
      <c r="H3" s="39" t="s">
        <v>171</v>
      </c>
      <c r="I3" s="39" t="s">
        <v>142</v>
      </c>
      <c r="J3" s="39" t="s">
        <v>80</v>
      </c>
      <c r="K3" s="39" t="s">
        <v>63</v>
      </c>
      <c r="L3" s="39">
        <v>2</v>
      </c>
      <c r="N3" s="39">
        <v>1</v>
      </c>
      <c r="O3" s="39">
        <v>0.9</v>
      </c>
      <c r="P3" s="39">
        <v>1</v>
      </c>
      <c r="Q3" s="45">
        <v>0.53</v>
      </c>
      <c r="R3" s="39">
        <v>13.5</v>
      </c>
      <c r="S3" s="39">
        <v>114</v>
      </c>
      <c r="T3" s="45">
        <f t="shared" si="0"/>
        <v>30</v>
      </c>
      <c r="U3" s="39">
        <v>84</v>
      </c>
      <c r="V3" s="45">
        <f t="shared" si="1"/>
        <v>2520</v>
      </c>
      <c r="W3" s="39">
        <v>2</v>
      </c>
      <c r="X3" s="39" t="s">
        <v>46</v>
      </c>
      <c r="Y3" s="39" t="s">
        <v>69</v>
      </c>
      <c r="Z3" s="39" t="s">
        <v>55</v>
      </c>
      <c r="AA3" s="39" t="s">
        <v>40</v>
      </c>
      <c r="AB3" s="39" t="s">
        <v>331</v>
      </c>
      <c r="AE3" s="46" t="s">
        <v>41</v>
      </c>
      <c r="AG3" s="81" t="s">
        <v>258</v>
      </c>
      <c r="AH3" s="81" t="s">
        <v>263</v>
      </c>
      <c r="AJ3" s="47" t="s">
        <v>42</v>
      </c>
      <c r="AL3" s="47" t="s">
        <v>174</v>
      </c>
      <c r="AN3" s="47" t="s">
        <v>43</v>
      </c>
      <c r="AP3" s="47" t="s">
        <v>44</v>
      </c>
      <c r="AR3" s="47" t="s">
        <v>45</v>
      </c>
      <c r="AT3" s="47" t="s">
        <v>46</v>
      </c>
      <c r="AV3" s="47" t="s">
        <v>47</v>
      </c>
      <c r="AX3" s="48">
        <v>72</v>
      </c>
      <c r="AY3" s="49">
        <v>46</v>
      </c>
      <c r="AZ3" s="49">
        <v>71</v>
      </c>
      <c r="BA3" s="50">
        <v>42</v>
      </c>
    </row>
    <row r="4" spans="1:53" x14ac:dyDescent="0.15">
      <c r="A4" s="39" t="s">
        <v>41</v>
      </c>
      <c r="B4" s="39" t="s">
        <v>332</v>
      </c>
      <c r="C4" s="39">
        <v>2020</v>
      </c>
      <c r="D4" s="76" t="s">
        <v>343</v>
      </c>
      <c r="E4" s="39" t="s">
        <v>133</v>
      </c>
      <c r="F4" s="39" t="s">
        <v>263</v>
      </c>
      <c r="G4" s="39" t="s">
        <v>36</v>
      </c>
      <c r="H4" s="39" t="s">
        <v>171</v>
      </c>
      <c r="I4" s="39" t="s">
        <v>142</v>
      </c>
      <c r="J4" s="39" t="s">
        <v>80</v>
      </c>
      <c r="K4" s="39" t="s">
        <v>63</v>
      </c>
      <c r="L4" s="39">
        <v>3</v>
      </c>
      <c r="N4" s="39">
        <v>1</v>
      </c>
      <c r="O4" s="39">
        <v>0.8</v>
      </c>
      <c r="P4" s="39">
        <v>0.8</v>
      </c>
      <c r="Q4" s="45">
        <v>0.55000000000000004</v>
      </c>
      <c r="R4" s="39">
        <v>15.4</v>
      </c>
      <c r="S4" s="39">
        <v>110</v>
      </c>
      <c r="T4" s="45">
        <f t="shared" si="0"/>
        <v>33</v>
      </c>
      <c r="U4" s="39">
        <v>84</v>
      </c>
      <c r="V4" s="45">
        <f t="shared" si="1"/>
        <v>2772</v>
      </c>
      <c r="W4" s="39">
        <v>2</v>
      </c>
      <c r="X4" s="39" t="s">
        <v>46</v>
      </c>
      <c r="Y4" s="39" t="s">
        <v>69</v>
      </c>
      <c r="Z4" s="39" t="s">
        <v>55</v>
      </c>
      <c r="AA4" s="39" t="s">
        <v>40</v>
      </c>
      <c r="AB4" s="39" t="s">
        <v>331</v>
      </c>
      <c r="AE4" s="46" t="s">
        <v>34</v>
      </c>
      <c r="AG4" s="81" t="s">
        <v>258</v>
      </c>
      <c r="AH4" s="81" t="s">
        <v>264</v>
      </c>
      <c r="AJ4" s="51" t="s">
        <v>48</v>
      </c>
      <c r="AL4" s="47" t="s">
        <v>177</v>
      </c>
      <c r="AN4" s="52" t="s">
        <v>178</v>
      </c>
      <c r="AP4" s="47" t="s">
        <v>179</v>
      </c>
      <c r="AR4" s="47" t="s">
        <v>180</v>
      </c>
      <c r="AT4" s="52"/>
      <c r="AV4" s="47" t="s">
        <v>50</v>
      </c>
      <c r="AX4" s="48">
        <v>75</v>
      </c>
      <c r="AY4" s="49">
        <v>42</v>
      </c>
      <c r="AZ4" s="49">
        <v>76</v>
      </c>
      <c r="BA4" s="50">
        <v>39</v>
      </c>
    </row>
    <row r="5" spans="1:53" ht="13.5" customHeight="1" x14ac:dyDescent="0.15">
      <c r="A5" s="39" t="s">
        <v>41</v>
      </c>
      <c r="B5" s="39" t="s">
        <v>332</v>
      </c>
      <c r="C5" s="39">
        <v>2020</v>
      </c>
      <c r="D5" s="76" t="s">
        <v>343</v>
      </c>
      <c r="E5" s="39" t="s">
        <v>133</v>
      </c>
      <c r="F5" s="39" t="s">
        <v>263</v>
      </c>
      <c r="G5" s="39" t="s">
        <v>36</v>
      </c>
      <c r="H5" s="39" t="s">
        <v>146</v>
      </c>
      <c r="I5" s="39" t="s">
        <v>142</v>
      </c>
      <c r="J5" s="39" t="s">
        <v>38</v>
      </c>
      <c r="K5" s="39" t="s">
        <v>143</v>
      </c>
      <c r="L5" s="39">
        <v>1</v>
      </c>
      <c r="N5" s="39">
        <v>1</v>
      </c>
      <c r="O5" s="39">
        <v>0.8</v>
      </c>
      <c r="P5" s="39">
        <v>0.8</v>
      </c>
      <c r="Q5" s="45">
        <v>1.25</v>
      </c>
      <c r="R5" s="39">
        <v>12</v>
      </c>
      <c r="S5" s="39">
        <v>146</v>
      </c>
      <c r="T5" s="45">
        <f t="shared" si="0"/>
        <v>22</v>
      </c>
      <c r="U5" s="39">
        <v>138</v>
      </c>
      <c r="V5" s="45">
        <f t="shared" si="1"/>
        <v>3036</v>
      </c>
      <c r="W5" s="39">
        <v>6</v>
      </c>
      <c r="X5" s="39" t="s">
        <v>46</v>
      </c>
      <c r="Y5" s="39" t="s">
        <v>69</v>
      </c>
      <c r="Z5" s="39" t="s">
        <v>55</v>
      </c>
      <c r="AA5" s="39" t="s">
        <v>40</v>
      </c>
      <c r="AB5" s="39" t="s">
        <v>331</v>
      </c>
      <c r="AE5" s="46" t="s">
        <v>51</v>
      </c>
      <c r="AG5" s="81" t="s">
        <v>259</v>
      </c>
      <c r="AH5" s="81" t="s">
        <v>263</v>
      </c>
      <c r="AJ5" s="52"/>
      <c r="AL5" s="47" t="s">
        <v>144</v>
      </c>
      <c r="AN5" s="27" t="s">
        <v>142</v>
      </c>
      <c r="AP5" s="47" t="s">
        <v>182</v>
      </c>
      <c r="AR5" s="47" t="s">
        <v>54</v>
      </c>
      <c r="AV5" s="47" t="s">
        <v>55</v>
      </c>
      <c r="AX5" s="48">
        <v>84</v>
      </c>
      <c r="AY5" s="49">
        <v>39</v>
      </c>
      <c r="AZ5" s="49">
        <v>84</v>
      </c>
      <c r="BA5" s="50">
        <v>36</v>
      </c>
    </row>
    <row r="6" spans="1:53" x14ac:dyDescent="0.15">
      <c r="A6" s="39" t="s">
        <v>41</v>
      </c>
      <c r="B6" s="39" t="s">
        <v>332</v>
      </c>
      <c r="C6" s="39">
        <v>2020</v>
      </c>
      <c r="D6" s="76" t="s">
        <v>343</v>
      </c>
      <c r="E6" s="39" t="s">
        <v>133</v>
      </c>
      <c r="F6" s="39" t="s">
        <v>263</v>
      </c>
      <c r="G6" s="39" t="s">
        <v>36</v>
      </c>
      <c r="H6" s="39" t="s">
        <v>146</v>
      </c>
      <c r="I6" s="39" t="s">
        <v>142</v>
      </c>
      <c r="J6" s="39" t="s">
        <v>38</v>
      </c>
      <c r="K6" s="39" t="s">
        <v>143</v>
      </c>
      <c r="L6" s="39">
        <v>2</v>
      </c>
      <c r="N6" s="39">
        <v>1</v>
      </c>
      <c r="O6" s="39">
        <v>1</v>
      </c>
      <c r="P6" s="39">
        <v>0.7</v>
      </c>
      <c r="Q6" s="45">
        <v>1.28</v>
      </c>
      <c r="R6" s="39">
        <v>11.8</v>
      </c>
      <c r="S6" s="39">
        <v>140</v>
      </c>
      <c r="T6" s="45">
        <f t="shared" si="0"/>
        <v>22</v>
      </c>
      <c r="U6" s="39">
        <v>138</v>
      </c>
      <c r="V6" s="45">
        <f t="shared" si="1"/>
        <v>3036</v>
      </c>
      <c r="W6" s="39">
        <v>6</v>
      </c>
      <c r="X6" s="39" t="s">
        <v>46</v>
      </c>
      <c r="Y6" s="39" t="s">
        <v>69</v>
      </c>
      <c r="Z6" s="39" t="s">
        <v>55</v>
      </c>
      <c r="AA6" s="39" t="s">
        <v>40</v>
      </c>
      <c r="AB6" s="39" t="s">
        <v>331</v>
      </c>
      <c r="AE6" s="46" t="s">
        <v>56</v>
      </c>
      <c r="AG6" s="81" t="s">
        <v>259</v>
      </c>
      <c r="AH6" s="81" t="s">
        <v>265</v>
      </c>
      <c r="AL6" s="47" t="s">
        <v>185</v>
      </c>
      <c r="AN6" s="27" t="s">
        <v>145</v>
      </c>
      <c r="AP6" s="47" t="s">
        <v>53</v>
      </c>
      <c r="AR6" s="47" t="s">
        <v>59</v>
      </c>
      <c r="AV6" s="47" t="s">
        <v>60</v>
      </c>
      <c r="AX6" s="48">
        <v>97</v>
      </c>
      <c r="AY6" s="49">
        <v>36</v>
      </c>
      <c r="AZ6" s="49">
        <v>99</v>
      </c>
      <c r="BA6" s="50">
        <v>33</v>
      </c>
    </row>
    <row r="7" spans="1:53" x14ac:dyDescent="0.15">
      <c r="A7" s="39" t="s">
        <v>41</v>
      </c>
      <c r="B7" s="39" t="s">
        <v>332</v>
      </c>
      <c r="C7" s="39">
        <v>2020</v>
      </c>
      <c r="D7" s="76" t="s">
        <v>343</v>
      </c>
      <c r="E7" s="39" t="s">
        <v>133</v>
      </c>
      <c r="F7" s="39" t="s">
        <v>263</v>
      </c>
      <c r="G7" s="39" t="s">
        <v>36</v>
      </c>
      <c r="H7" s="39" t="s">
        <v>146</v>
      </c>
      <c r="I7" s="39" t="s">
        <v>142</v>
      </c>
      <c r="J7" s="39" t="s">
        <v>38</v>
      </c>
      <c r="K7" s="39" t="s">
        <v>143</v>
      </c>
      <c r="L7" s="39">
        <v>3</v>
      </c>
      <c r="N7" s="39">
        <v>1</v>
      </c>
      <c r="O7" s="39">
        <v>0.65</v>
      </c>
      <c r="P7" s="39">
        <v>0.5</v>
      </c>
      <c r="Q7" s="45">
        <v>1.1000000000000001</v>
      </c>
      <c r="R7" s="39">
        <v>15.1</v>
      </c>
      <c r="S7" s="39">
        <v>150</v>
      </c>
      <c r="T7" s="45">
        <f t="shared" si="0"/>
        <v>22</v>
      </c>
      <c r="U7" s="39">
        <v>138</v>
      </c>
      <c r="V7" s="45">
        <f t="shared" si="1"/>
        <v>3036</v>
      </c>
      <c r="W7" s="39">
        <v>6</v>
      </c>
      <c r="X7" s="39" t="s">
        <v>46</v>
      </c>
      <c r="Y7" s="39" t="s">
        <v>69</v>
      </c>
      <c r="Z7" s="39" t="s">
        <v>55</v>
      </c>
      <c r="AA7" s="39" t="s">
        <v>40</v>
      </c>
      <c r="AB7" s="39" t="s">
        <v>331</v>
      </c>
      <c r="AE7" s="46" t="s">
        <v>61</v>
      </c>
      <c r="AG7" s="81" t="s">
        <v>260</v>
      </c>
      <c r="AH7" s="81" t="s">
        <v>265</v>
      </c>
      <c r="AL7" s="82" t="s">
        <v>187</v>
      </c>
      <c r="AP7" s="47" t="s">
        <v>58</v>
      </c>
      <c r="AR7" s="47" t="s">
        <v>188</v>
      </c>
      <c r="AV7" s="47" t="s">
        <v>64</v>
      </c>
      <c r="AX7" s="48">
        <v>109</v>
      </c>
      <c r="AY7" s="49">
        <v>33</v>
      </c>
      <c r="AZ7" s="49">
        <v>113</v>
      </c>
      <c r="BA7" s="50">
        <v>30</v>
      </c>
    </row>
    <row r="8" spans="1:53" x14ac:dyDescent="0.15">
      <c r="A8" s="39" t="s">
        <v>41</v>
      </c>
      <c r="B8" s="39" t="s">
        <v>332</v>
      </c>
      <c r="C8" s="39">
        <v>2020</v>
      </c>
      <c r="D8" s="76" t="s">
        <v>343</v>
      </c>
      <c r="E8" s="39" t="s">
        <v>133</v>
      </c>
      <c r="F8" s="39" t="s">
        <v>263</v>
      </c>
      <c r="G8" s="39" t="s">
        <v>36</v>
      </c>
      <c r="H8" s="39" t="s">
        <v>146</v>
      </c>
      <c r="I8" s="39" t="s">
        <v>142</v>
      </c>
      <c r="J8" s="39" t="s">
        <v>38</v>
      </c>
      <c r="K8" s="39" t="s">
        <v>143</v>
      </c>
      <c r="L8" s="39">
        <v>1</v>
      </c>
      <c r="N8" s="39">
        <v>6</v>
      </c>
      <c r="O8" s="39">
        <v>0.45</v>
      </c>
      <c r="P8" s="39">
        <v>0.45</v>
      </c>
      <c r="Q8" s="45">
        <v>0.85</v>
      </c>
      <c r="R8" s="39">
        <v>10.199999999999999</v>
      </c>
      <c r="S8" s="39">
        <v>108</v>
      </c>
      <c r="T8" s="1">
        <f t="shared" si="0"/>
        <v>33</v>
      </c>
      <c r="U8" s="39">
        <v>753</v>
      </c>
      <c r="V8" s="1">
        <f t="shared" si="1"/>
        <v>4141.5</v>
      </c>
      <c r="W8" s="39">
        <v>2</v>
      </c>
      <c r="X8" s="39" t="s">
        <v>46</v>
      </c>
      <c r="Y8" s="39" t="s">
        <v>69</v>
      </c>
      <c r="Z8" s="39" t="s">
        <v>55</v>
      </c>
      <c r="AA8" s="39" t="s">
        <v>40</v>
      </c>
      <c r="AB8" s="39" t="s">
        <v>331</v>
      </c>
      <c r="AE8" s="46" t="s">
        <v>59</v>
      </c>
      <c r="AG8" s="81" t="s">
        <v>262</v>
      </c>
      <c r="AH8" s="81" t="s">
        <v>340</v>
      </c>
      <c r="AL8" s="82" t="s">
        <v>146</v>
      </c>
      <c r="AP8" s="47" t="s">
        <v>62</v>
      </c>
      <c r="AR8" s="47" t="s">
        <v>81</v>
      </c>
      <c r="AV8" s="47" t="s">
        <v>97</v>
      </c>
      <c r="AX8" s="48">
        <v>119</v>
      </c>
      <c r="AY8" s="49">
        <v>30</v>
      </c>
      <c r="AZ8" s="49">
        <v>121</v>
      </c>
      <c r="BA8" s="50">
        <v>27</v>
      </c>
    </row>
    <row r="9" spans="1:53" x14ac:dyDescent="0.15">
      <c r="A9" s="39" t="s">
        <v>41</v>
      </c>
      <c r="B9" s="39" t="s">
        <v>332</v>
      </c>
      <c r="C9" s="39">
        <v>2020</v>
      </c>
      <c r="D9" s="76" t="s">
        <v>343</v>
      </c>
      <c r="E9" s="39" t="s">
        <v>133</v>
      </c>
      <c r="F9" s="39" t="s">
        <v>263</v>
      </c>
      <c r="G9" s="39" t="s">
        <v>36</v>
      </c>
      <c r="H9" s="39" t="s">
        <v>146</v>
      </c>
      <c r="I9" s="39" t="s">
        <v>142</v>
      </c>
      <c r="J9" s="39" t="s">
        <v>38</v>
      </c>
      <c r="K9" s="39" t="s">
        <v>143</v>
      </c>
      <c r="L9" s="39">
        <v>2</v>
      </c>
      <c r="N9" s="39">
        <v>6</v>
      </c>
      <c r="O9" s="39">
        <v>0.6</v>
      </c>
      <c r="P9" s="39">
        <v>0.5</v>
      </c>
      <c r="Q9" s="45">
        <v>0.65</v>
      </c>
      <c r="R9" s="39">
        <v>13</v>
      </c>
      <c r="S9" s="39">
        <v>97</v>
      </c>
      <c r="T9" s="1">
        <f t="shared" si="0"/>
        <v>36</v>
      </c>
      <c r="U9" s="39">
        <v>753</v>
      </c>
      <c r="V9" s="45">
        <f t="shared" si="1"/>
        <v>4518</v>
      </c>
      <c r="W9" s="39">
        <v>2</v>
      </c>
      <c r="X9" s="39" t="s">
        <v>46</v>
      </c>
      <c r="Y9" s="39" t="s">
        <v>69</v>
      </c>
      <c r="Z9" s="39" t="s">
        <v>55</v>
      </c>
      <c r="AA9" s="39" t="s">
        <v>40</v>
      </c>
      <c r="AB9" s="39" t="s">
        <v>331</v>
      </c>
      <c r="AE9" s="46" t="s">
        <v>191</v>
      </c>
      <c r="AG9" s="81" t="s">
        <v>261</v>
      </c>
      <c r="AH9" s="81" t="s">
        <v>266</v>
      </c>
      <c r="AL9" s="47" t="s">
        <v>334</v>
      </c>
      <c r="AP9" s="47" t="s">
        <v>95</v>
      </c>
      <c r="AR9" s="47" t="s">
        <v>193</v>
      </c>
      <c r="AV9" s="47" t="s">
        <v>102</v>
      </c>
      <c r="AX9" s="48">
        <v>128</v>
      </c>
      <c r="AY9" s="49">
        <v>27</v>
      </c>
      <c r="AZ9" s="49">
        <v>129</v>
      </c>
      <c r="BA9" s="50">
        <v>25</v>
      </c>
    </row>
    <row r="10" spans="1:53" x14ac:dyDescent="0.15">
      <c r="A10" s="39" t="s">
        <v>41</v>
      </c>
      <c r="B10" s="39" t="s">
        <v>332</v>
      </c>
      <c r="C10" s="39">
        <v>2020</v>
      </c>
      <c r="D10" s="76" t="s">
        <v>343</v>
      </c>
      <c r="E10" s="39" t="s">
        <v>133</v>
      </c>
      <c r="F10" s="39" t="s">
        <v>263</v>
      </c>
      <c r="G10" s="39" t="s">
        <v>36</v>
      </c>
      <c r="H10" s="39" t="s">
        <v>146</v>
      </c>
      <c r="I10" s="39" t="s">
        <v>142</v>
      </c>
      <c r="J10" s="39" t="s">
        <v>38</v>
      </c>
      <c r="K10" s="39" t="s">
        <v>143</v>
      </c>
      <c r="L10" s="39">
        <v>3</v>
      </c>
      <c r="N10" s="39">
        <v>6</v>
      </c>
      <c r="O10" s="39">
        <v>0.5</v>
      </c>
      <c r="P10" s="39">
        <v>0.55000000000000004</v>
      </c>
      <c r="Q10" s="45">
        <v>0.75</v>
      </c>
      <c r="R10" s="39">
        <v>12.4</v>
      </c>
      <c r="S10" s="39">
        <v>95</v>
      </c>
      <c r="T10" s="1">
        <f t="shared" si="0"/>
        <v>36</v>
      </c>
      <c r="U10" s="39">
        <v>753</v>
      </c>
      <c r="V10" s="45">
        <f t="shared" si="1"/>
        <v>4518</v>
      </c>
      <c r="W10" s="39">
        <v>2</v>
      </c>
      <c r="X10" s="39" t="s">
        <v>46</v>
      </c>
      <c r="Y10" s="39" t="s">
        <v>69</v>
      </c>
      <c r="Z10" s="39" t="s">
        <v>55</v>
      </c>
      <c r="AA10" s="39" t="s">
        <v>40</v>
      </c>
      <c r="AB10" s="39" t="s">
        <v>331</v>
      </c>
      <c r="AE10" s="46" t="s">
        <v>194</v>
      </c>
      <c r="AG10" s="81" t="s">
        <v>262</v>
      </c>
      <c r="AH10" s="81" t="s">
        <v>267</v>
      </c>
      <c r="AL10" s="77"/>
      <c r="AP10" s="47" t="s">
        <v>100</v>
      </c>
      <c r="AR10" s="47" t="s">
        <v>195</v>
      </c>
      <c r="AV10" s="47" t="s">
        <v>106</v>
      </c>
      <c r="AX10" s="48">
        <v>138</v>
      </c>
      <c r="AY10" s="49">
        <v>25</v>
      </c>
      <c r="AZ10" s="49">
        <v>138</v>
      </c>
      <c r="BA10" s="50">
        <v>22</v>
      </c>
    </row>
    <row r="11" spans="1:53" x14ac:dyDescent="0.15">
      <c r="A11" s="39" t="s">
        <v>41</v>
      </c>
      <c r="B11" s="39" t="s">
        <v>332</v>
      </c>
      <c r="C11" s="39">
        <v>2020</v>
      </c>
      <c r="D11" s="76" t="s">
        <v>343</v>
      </c>
      <c r="E11" s="39" t="s">
        <v>258</v>
      </c>
      <c r="F11" s="39" t="s">
        <v>263</v>
      </c>
      <c r="G11" s="39" t="s">
        <v>36</v>
      </c>
      <c r="H11" s="39" t="s">
        <v>146</v>
      </c>
      <c r="I11" s="39" t="s">
        <v>142</v>
      </c>
      <c r="J11" s="39" t="s">
        <v>38</v>
      </c>
      <c r="K11" s="39" t="s">
        <v>143</v>
      </c>
      <c r="L11" s="39">
        <v>1</v>
      </c>
      <c r="N11" s="39">
        <v>1</v>
      </c>
      <c r="O11" s="39">
        <v>0.6</v>
      </c>
      <c r="P11" s="39">
        <v>0.65</v>
      </c>
      <c r="Q11" s="45">
        <v>0.28000000000000003</v>
      </c>
      <c r="R11" s="39">
        <v>15.9</v>
      </c>
      <c r="S11" s="39">
        <v>124</v>
      </c>
      <c r="T11" s="1">
        <f t="shared" si="0"/>
        <v>27</v>
      </c>
      <c r="U11" s="39">
        <v>105</v>
      </c>
      <c r="V11" s="1">
        <f t="shared" si="1"/>
        <v>2835</v>
      </c>
      <c r="W11" s="39">
        <v>4</v>
      </c>
      <c r="X11" s="39" t="s">
        <v>46</v>
      </c>
      <c r="Y11" s="39" t="s">
        <v>69</v>
      </c>
      <c r="Z11" s="39" t="s">
        <v>55</v>
      </c>
      <c r="AA11" s="39" t="s">
        <v>47</v>
      </c>
      <c r="AB11" s="39" t="s">
        <v>331</v>
      </c>
      <c r="AE11" s="46" t="s">
        <v>68</v>
      </c>
      <c r="AG11" s="81" t="s">
        <v>149</v>
      </c>
      <c r="AH11" s="81" t="s">
        <v>268</v>
      </c>
      <c r="AL11" s="77"/>
      <c r="AP11" s="47" t="s">
        <v>104</v>
      </c>
      <c r="AR11" s="47" t="s">
        <v>196</v>
      </c>
      <c r="AV11" s="47" t="s">
        <v>69</v>
      </c>
      <c r="AX11" s="48">
        <v>151</v>
      </c>
      <c r="AY11" s="49">
        <v>22</v>
      </c>
      <c r="AZ11" s="49">
        <v>152</v>
      </c>
      <c r="BA11" s="50">
        <v>18</v>
      </c>
    </row>
    <row r="12" spans="1:53" x14ac:dyDescent="0.15">
      <c r="A12" s="39" t="s">
        <v>41</v>
      </c>
      <c r="B12" s="39" t="s">
        <v>332</v>
      </c>
      <c r="C12" s="39">
        <v>2020</v>
      </c>
      <c r="D12" s="76" t="s">
        <v>343</v>
      </c>
      <c r="E12" s="39" t="s">
        <v>258</v>
      </c>
      <c r="F12" s="39" t="s">
        <v>263</v>
      </c>
      <c r="G12" s="39" t="s">
        <v>36</v>
      </c>
      <c r="H12" s="39" t="s">
        <v>146</v>
      </c>
      <c r="I12" s="39" t="s">
        <v>142</v>
      </c>
      <c r="J12" s="39" t="s">
        <v>38</v>
      </c>
      <c r="K12" s="39" t="s">
        <v>143</v>
      </c>
      <c r="L12" s="39">
        <v>2</v>
      </c>
      <c r="N12" s="39">
        <v>1</v>
      </c>
      <c r="O12" s="39">
        <v>0.45</v>
      </c>
      <c r="P12" s="39">
        <v>0.55000000000000004</v>
      </c>
      <c r="Q12" s="45">
        <v>0.4</v>
      </c>
      <c r="R12" s="39">
        <v>16.2</v>
      </c>
      <c r="S12" s="39">
        <v>122</v>
      </c>
      <c r="T12" s="1">
        <f t="shared" si="0"/>
        <v>27</v>
      </c>
      <c r="U12" s="39">
        <v>105</v>
      </c>
      <c r="V12" s="45">
        <f t="shared" si="1"/>
        <v>2835</v>
      </c>
      <c r="W12" s="39">
        <v>4</v>
      </c>
      <c r="X12" s="39" t="s">
        <v>46</v>
      </c>
      <c r="Y12" s="39" t="s">
        <v>69</v>
      </c>
      <c r="Z12" s="39" t="s">
        <v>55</v>
      </c>
      <c r="AA12" s="39" t="s">
        <v>47</v>
      </c>
      <c r="AB12" s="39" t="s">
        <v>331</v>
      </c>
      <c r="AE12" s="46" t="s">
        <v>197</v>
      </c>
      <c r="AG12" s="46"/>
      <c r="AH12" s="46"/>
      <c r="AL12" s="77"/>
      <c r="AP12" s="47" t="s">
        <v>67</v>
      </c>
      <c r="AR12" s="47" t="s">
        <v>198</v>
      </c>
      <c r="AV12" s="47" t="s">
        <v>72</v>
      </c>
      <c r="AX12" s="53">
        <v>180</v>
      </c>
      <c r="AY12" s="54">
        <v>18</v>
      </c>
      <c r="AZ12" s="54">
        <v>181</v>
      </c>
      <c r="BA12" s="55">
        <v>16</v>
      </c>
    </row>
    <row r="13" spans="1:53" x14ac:dyDescent="0.15">
      <c r="A13" s="39" t="s">
        <v>41</v>
      </c>
      <c r="B13" s="39" t="s">
        <v>332</v>
      </c>
      <c r="C13" s="39">
        <v>2020</v>
      </c>
      <c r="D13" s="76" t="s">
        <v>343</v>
      </c>
      <c r="E13" s="39" t="s">
        <v>258</v>
      </c>
      <c r="F13" s="39" t="s">
        <v>263</v>
      </c>
      <c r="G13" s="39" t="s">
        <v>36</v>
      </c>
      <c r="H13" s="39" t="s">
        <v>146</v>
      </c>
      <c r="I13" s="39" t="s">
        <v>142</v>
      </c>
      <c r="J13" s="39" t="s">
        <v>38</v>
      </c>
      <c r="K13" s="39" t="s">
        <v>143</v>
      </c>
      <c r="L13" s="39">
        <v>3</v>
      </c>
      <c r="N13" s="39">
        <v>1</v>
      </c>
      <c r="O13" s="39">
        <v>0.5</v>
      </c>
      <c r="P13" s="39">
        <v>0.7</v>
      </c>
      <c r="Q13" s="45">
        <v>0.33</v>
      </c>
      <c r="R13" s="39">
        <v>12.1</v>
      </c>
      <c r="S13" s="39">
        <v>122</v>
      </c>
      <c r="T13" s="1">
        <f t="shared" si="0"/>
        <v>27</v>
      </c>
      <c r="U13" s="39">
        <v>105</v>
      </c>
      <c r="V13" s="45">
        <f t="shared" si="1"/>
        <v>2835</v>
      </c>
      <c r="W13" s="39">
        <v>4</v>
      </c>
      <c r="X13" s="39" t="s">
        <v>46</v>
      </c>
      <c r="Y13" s="39" t="s">
        <v>69</v>
      </c>
      <c r="Z13" s="39" t="s">
        <v>55</v>
      </c>
      <c r="AA13" s="39" t="s">
        <v>47</v>
      </c>
      <c r="AB13" s="39" t="s">
        <v>331</v>
      </c>
      <c r="AE13" s="46" t="s">
        <v>199</v>
      </c>
      <c r="AG13" s="47"/>
      <c r="AH13" s="47"/>
      <c r="AP13" s="47" t="s">
        <v>71</v>
      </c>
      <c r="AR13" s="47" t="s">
        <v>194</v>
      </c>
      <c r="AV13" s="47" t="s">
        <v>75</v>
      </c>
    </row>
    <row r="14" spans="1:53" x14ac:dyDescent="0.15">
      <c r="A14" s="39" t="s">
        <v>41</v>
      </c>
      <c r="B14" s="39" t="s">
        <v>332</v>
      </c>
      <c r="C14" s="39">
        <v>2020</v>
      </c>
      <c r="D14" s="76" t="s">
        <v>343</v>
      </c>
      <c r="E14" s="39" t="s">
        <v>258</v>
      </c>
      <c r="F14" s="39" t="s">
        <v>263</v>
      </c>
      <c r="G14" s="39" t="s">
        <v>36</v>
      </c>
      <c r="H14" s="39" t="s">
        <v>146</v>
      </c>
      <c r="I14" s="39" t="s">
        <v>142</v>
      </c>
      <c r="J14" s="39" t="s">
        <v>38</v>
      </c>
      <c r="K14" s="39" t="s">
        <v>143</v>
      </c>
      <c r="L14" s="39">
        <v>1</v>
      </c>
      <c r="N14" s="39">
        <v>4</v>
      </c>
      <c r="O14" s="39">
        <v>0.6</v>
      </c>
      <c r="P14" s="39">
        <v>0.45</v>
      </c>
      <c r="Q14" s="45">
        <v>0.43</v>
      </c>
      <c r="R14" s="39">
        <v>12.7</v>
      </c>
      <c r="S14" s="39">
        <v>90</v>
      </c>
      <c r="T14" s="1">
        <f t="shared" si="0"/>
        <v>36</v>
      </c>
      <c r="U14" s="39">
        <v>537</v>
      </c>
      <c r="V14" s="1">
        <f t="shared" si="1"/>
        <v>4833</v>
      </c>
      <c r="W14" s="39">
        <v>2</v>
      </c>
      <c r="X14" s="39" t="s">
        <v>46</v>
      </c>
      <c r="Y14" s="39" t="s">
        <v>69</v>
      </c>
      <c r="Z14" s="39" t="s">
        <v>55</v>
      </c>
      <c r="AA14" s="39" t="s">
        <v>47</v>
      </c>
      <c r="AB14" s="39" t="s">
        <v>331</v>
      </c>
      <c r="AE14" s="46" t="s">
        <v>96</v>
      </c>
      <c r="AG14" s="47"/>
      <c r="AH14" s="47"/>
      <c r="AP14" s="47" t="s">
        <v>74</v>
      </c>
      <c r="AR14" s="47" t="s">
        <v>200</v>
      </c>
      <c r="AV14" s="47" t="s">
        <v>78</v>
      </c>
    </row>
    <row r="15" spans="1:53" x14ac:dyDescent="0.15">
      <c r="A15" s="39" t="s">
        <v>41</v>
      </c>
      <c r="B15" s="39" t="s">
        <v>332</v>
      </c>
      <c r="C15" s="39">
        <v>2020</v>
      </c>
      <c r="D15" s="76" t="s">
        <v>343</v>
      </c>
      <c r="E15" s="39" t="s">
        <v>258</v>
      </c>
      <c r="F15" s="39" t="s">
        <v>263</v>
      </c>
      <c r="G15" s="39" t="s">
        <v>36</v>
      </c>
      <c r="H15" s="39" t="s">
        <v>146</v>
      </c>
      <c r="I15" s="39" t="s">
        <v>142</v>
      </c>
      <c r="J15" s="39" t="s">
        <v>38</v>
      </c>
      <c r="K15" s="39" t="s">
        <v>143</v>
      </c>
      <c r="L15" s="39">
        <v>2</v>
      </c>
      <c r="N15" s="39">
        <v>4</v>
      </c>
      <c r="O15" s="39">
        <v>0.8</v>
      </c>
      <c r="P15" s="39">
        <v>0.95</v>
      </c>
      <c r="Q15" s="45">
        <v>0.38</v>
      </c>
      <c r="R15" s="39">
        <v>14.2</v>
      </c>
      <c r="S15" s="39">
        <v>95</v>
      </c>
      <c r="T15" s="1">
        <f t="shared" si="0"/>
        <v>36</v>
      </c>
      <c r="U15" s="39">
        <v>537</v>
      </c>
      <c r="V15" s="45">
        <f t="shared" si="1"/>
        <v>4833</v>
      </c>
      <c r="W15" s="39">
        <v>2</v>
      </c>
      <c r="X15" s="39" t="s">
        <v>46</v>
      </c>
      <c r="Y15" s="39" t="s">
        <v>69</v>
      </c>
      <c r="Z15" s="39" t="s">
        <v>55</v>
      </c>
      <c r="AA15" s="39" t="s">
        <v>47</v>
      </c>
      <c r="AB15" s="39" t="s">
        <v>331</v>
      </c>
      <c r="AE15" s="46" t="s">
        <v>201</v>
      </c>
      <c r="AG15" s="47"/>
      <c r="AH15" s="47"/>
      <c r="AP15" s="47" t="s">
        <v>77</v>
      </c>
      <c r="AR15" s="47" t="s">
        <v>80</v>
      </c>
      <c r="AV15" s="47" t="s">
        <v>107</v>
      </c>
    </row>
    <row r="16" spans="1:53" x14ac:dyDescent="0.15">
      <c r="A16" s="39" t="s">
        <v>41</v>
      </c>
      <c r="B16" s="39" t="s">
        <v>332</v>
      </c>
      <c r="C16" s="39">
        <v>2020</v>
      </c>
      <c r="D16" s="76" t="s">
        <v>343</v>
      </c>
      <c r="E16" s="39" t="s">
        <v>258</v>
      </c>
      <c r="F16" s="39" t="s">
        <v>263</v>
      </c>
      <c r="G16" s="39" t="s">
        <v>36</v>
      </c>
      <c r="H16" s="39" t="s">
        <v>146</v>
      </c>
      <c r="I16" s="39" t="s">
        <v>142</v>
      </c>
      <c r="J16" s="39" t="s">
        <v>38</v>
      </c>
      <c r="K16" s="39" t="s">
        <v>143</v>
      </c>
      <c r="L16" s="39">
        <v>3</v>
      </c>
      <c r="N16" s="39">
        <v>4</v>
      </c>
      <c r="O16" s="39">
        <v>0.9</v>
      </c>
      <c r="P16" s="39">
        <v>1</v>
      </c>
      <c r="Q16" s="45">
        <v>0.43</v>
      </c>
      <c r="R16" s="39">
        <v>13.1</v>
      </c>
      <c r="S16" s="39">
        <v>97</v>
      </c>
      <c r="T16" s="1">
        <f t="shared" si="0"/>
        <v>36</v>
      </c>
      <c r="U16" s="39">
        <v>537</v>
      </c>
      <c r="V16" s="45">
        <f t="shared" si="1"/>
        <v>4833</v>
      </c>
      <c r="W16" s="39">
        <v>2</v>
      </c>
      <c r="X16" s="39" t="s">
        <v>46</v>
      </c>
      <c r="Y16" s="39" t="s">
        <v>69</v>
      </c>
      <c r="Z16" s="39" t="s">
        <v>55</v>
      </c>
      <c r="AA16" s="39" t="s">
        <v>47</v>
      </c>
      <c r="AB16" s="39" t="s">
        <v>331</v>
      </c>
      <c r="AE16" s="46" t="s">
        <v>202</v>
      </c>
      <c r="AG16" s="52"/>
      <c r="AH16" s="52"/>
      <c r="AP16" s="47" t="s">
        <v>80</v>
      </c>
      <c r="AR16" s="47" t="s">
        <v>63</v>
      </c>
      <c r="AV16" s="47" t="s">
        <v>84</v>
      </c>
    </row>
    <row r="17" spans="1:48" x14ac:dyDescent="0.15">
      <c r="A17" s="39" t="s">
        <v>41</v>
      </c>
      <c r="B17" s="39" t="s">
        <v>332</v>
      </c>
      <c r="C17" s="39">
        <v>2020</v>
      </c>
      <c r="D17" s="76" t="s">
        <v>343</v>
      </c>
      <c r="E17" s="39" t="s">
        <v>258</v>
      </c>
      <c r="F17" s="39" t="s">
        <v>263</v>
      </c>
      <c r="G17" s="39" t="s">
        <v>36</v>
      </c>
      <c r="H17" s="39" t="s">
        <v>146</v>
      </c>
      <c r="I17" s="39" t="s">
        <v>142</v>
      </c>
      <c r="J17" s="39" t="s">
        <v>38</v>
      </c>
      <c r="K17" s="39" t="s">
        <v>143</v>
      </c>
      <c r="L17" s="39">
        <v>1</v>
      </c>
      <c r="N17" s="39">
        <v>6</v>
      </c>
      <c r="O17" s="39">
        <v>1</v>
      </c>
      <c r="P17" s="39">
        <v>1.2</v>
      </c>
      <c r="Q17" s="45">
        <v>1.1499999999999999</v>
      </c>
      <c r="R17" s="39">
        <v>10.199999999999999</v>
      </c>
      <c r="S17" s="39">
        <v>90</v>
      </c>
      <c r="T17" s="1">
        <f t="shared" si="0"/>
        <v>36</v>
      </c>
      <c r="U17" s="39">
        <v>734</v>
      </c>
      <c r="V17" s="1">
        <f t="shared" si="1"/>
        <v>4404</v>
      </c>
      <c r="W17" s="39">
        <v>2</v>
      </c>
      <c r="X17" s="39" t="s">
        <v>46</v>
      </c>
      <c r="Y17" s="39" t="s">
        <v>69</v>
      </c>
      <c r="Z17" s="39" t="s">
        <v>55</v>
      </c>
      <c r="AA17" s="39" t="s">
        <v>47</v>
      </c>
      <c r="AB17" s="39" t="s">
        <v>331</v>
      </c>
      <c r="AE17" s="46" t="s">
        <v>203</v>
      </c>
      <c r="AP17" s="51" t="s">
        <v>204</v>
      </c>
      <c r="AR17" s="47" t="s">
        <v>96</v>
      </c>
      <c r="AV17" s="47" t="s">
        <v>86</v>
      </c>
    </row>
    <row r="18" spans="1:48" x14ac:dyDescent="0.15">
      <c r="A18" s="39" t="s">
        <v>41</v>
      </c>
      <c r="B18" s="39" t="s">
        <v>332</v>
      </c>
      <c r="C18" s="39">
        <v>2020</v>
      </c>
      <c r="D18" s="76" t="s">
        <v>343</v>
      </c>
      <c r="E18" s="39" t="s">
        <v>258</v>
      </c>
      <c r="F18" s="39" t="s">
        <v>263</v>
      </c>
      <c r="G18" s="39" t="s">
        <v>36</v>
      </c>
      <c r="H18" s="39" t="s">
        <v>146</v>
      </c>
      <c r="I18" s="39" t="s">
        <v>142</v>
      </c>
      <c r="J18" s="39" t="s">
        <v>38</v>
      </c>
      <c r="K18" s="39" t="s">
        <v>143</v>
      </c>
      <c r="L18" s="39">
        <v>2</v>
      </c>
      <c r="N18" s="39">
        <v>6</v>
      </c>
      <c r="O18" s="39">
        <v>0.8</v>
      </c>
      <c r="P18" s="39">
        <v>1</v>
      </c>
      <c r="Q18" s="45">
        <v>0.93</v>
      </c>
      <c r="R18" s="39">
        <v>13.5</v>
      </c>
      <c r="S18" s="39">
        <v>95</v>
      </c>
      <c r="T18" s="1">
        <f t="shared" si="0"/>
        <v>36</v>
      </c>
      <c r="U18" s="39">
        <v>734</v>
      </c>
      <c r="V18" s="1">
        <f t="shared" si="1"/>
        <v>4404</v>
      </c>
      <c r="W18" s="39">
        <v>2</v>
      </c>
      <c r="X18" s="39" t="s">
        <v>46</v>
      </c>
      <c r="Y18" s="39" t="s">
        <v>69</v>
      </c>
      <c r="Z18" s="39" t="s">
        <v>55</v>
      </c>
      <c r="AA18" s="39" t="s">
        <v>47</v>
      </c>
      <c r="AB18" s="39" t="s">
        <v>331</v>
      </c>
      <c r="AE18" s="46" t="s">
        <v>196</v>
      </c>
      <c r="AP18" s="51" t="s">
        <v>205</v>
      </c>
      <c r="AR18" s="47" t="s">
        <v>101</v>
      </c>
      <c r="AV18" s="47" t="s">
        <v>88</v>
      </c>
    </row>
    <row r="19" spans="1:48" x14ac:dyDescent="0.15">
      <c r="A19" s="39" t="s">
        <v>41</v>
      </c>
      <c r="B19" s="39" t="s">
        <v>332</v>
      </c>
      <c r="C19" s="39">
        <v>2020</v>
      </c>
      <c r="D19" s="76" t="s">
        <v>343</v>
      </c>
      <c r="E19" s="39" t="s">
        <v>258</v>
      </c>
      <c r="F19" s="39" t="s">
        <v>263</v>
      </c>
      <c r="G19" s="39" t="s">
        <v>36</v>
      </c>
      <c r="H19" s="39" t="s">
        <v>146</v>
      </c>
      <c r="I19" s="39" t="s">
        <v>142</v>
      </c>
      <c r="J19" s="39" t="s">
        <v>38</v>
      </c>
      <c r="K19" s="39" t="s">
        <v>143</v>
      </c>
      <c r="L19" s="39">
        <v>3</v>
      </c>
      <c r="N19" s="39">
        <v>6</v>
      </c>
      <c r="O19" s="39">
        <v>0.95</v>
      </c>
      <c r="P19" s="39">
        <v>0.85</v>
      </c>
      <c r="Q19" s="45">
        <v>0.98</v>
      </c>
      <c r="R19" s="39">
        <v>12.7</v>
      </c>
      <c r="S19" s="39">
        <v>91</v>
      </c>
      <c r="T19" s="1">
        <f t="shared" si="0"/>
        <v>36</v>
      </c>
      <c r="U19" s="39">
        <v>734</v>
      </c>
      <c r="V19" s="1">
        <f t="shared" si="1"/>
        <v>4404</v>
      </c>
      <c r="W19" s="39">
        <v>2</v>
      </c>
      <c r="X19" s="39" t="s">
        <v>46</v>
      </c>
      <c r="Y19" s="39" t="s">
        <v>69</v>
      </c>
      <c r="Z19" s="39" t="s">
        <v>55</v>
      </c>
      <c r="AA19" s="39" t="s">
        <v>47</v>
      </c>
      <c r="AB19" s="39" t="s">
        <v>331</v>
      </c>
      <c r="AE19" s="57" t="s">
        <v>193</v>
      </c>
      <c r="AP19" s="51" t="s">
        <v>206</v>
      </c>
      <c r="AR19" s="47" t="s">
        <v>207</v>
      </c>
      <c r="AV19" s="47" t="s">
        <v>90</v>
      </c>
    </row>
    <row r="20" spans="1:48" x14ac:dyDescent="0.15">
      <c r="A20" s="39" t="s">
        <v>41</v>
      </c>
      <c r="B20" s="39" t="s">
        <v>332</v>
      </c>
      <c r="C20" s="39">
        <v>2020</v>
      </c>
      <c r="D20" s="76" t="s">
        <v>343</v>
      </c>
      <c r="E20" s="39" t="s">
        <v>258</v>
      </c>
      <c r="F20" s="39" t="s">
        <v>263</v>
      </c>
      <c r="G20" s="39" t="s">
        <v>36</v>
      </c>
      <c r="H20" s="39" t="s">
        <v>171</v>
      </c>
      <c r="I20" s="39" t="s">
        <v>142</v>
      </c>
      <c r="J20" s="39" t="s">
        <v>80</v>
      </c>
      <c r="K20" s="39" t="s">
        <v>54</v>
      </c>
      <c r="L20" s="39">
        <v>1</v>
      </c>
      <c r="N20" s="39">
        <v>1</v>
      </c>
      <c r="O20" s="39">
        <v>1.2</v>
      </c>
      <c r="P20" s="39">
        <v>1.35</v>
      </c>
      <c r="Q20" s="45">
        <v>0.38</v>
      </c>
      <c r="R20" s="39">
        <v>12.4</v>
      </c>
      <c r="S20" s="39">
        <v>120</v>
      </c>
      <c r="T20" s="1">
        <f t="shared" si="0"/>
        <v>30</v>
      </c>
      <c r="U20" s="39">
        <v>105</v>
      </c>
      <c r="V20" s="1">
        <f t="shared" si="1"/>
        <v>3150</v>
      </c>
      <c r="W20" s="39">
        <v>1</v>
      </c>
      <c r="X20" s="39" t="s">
        <v>46</v>
      </c>
      <c r="Y20" s="39" t="s">
        <v>69</v>
      </c>
      <c r="Z20" s="39" t="s">
        <v>55</v>
      </c>
      <c r="AA20" s="39" t="s">
        <v>47</v>
      </c>
      <c r="AB20" s="39" t="s">
        <v>331</v>
      </c>
      <c r="AE20" s="57"/>
      <c r="AP20" s="51" t="s">
        <v>208</v>
      </c>
      <c r="AR20" s="47" t="s">
        <v>105</v>
      </c>
      <c r="AV20" s="51" t="s">
        <v>209</v>
      </c>
    </row>
    <row r="21" spans="1:48" x14ac:dyDescent="0.15">
      <c r="A21" s="39" t="s">
        <v>41</v>
      </c>
      <c r="B21" s="39" t="s">
        <v>332</v>
      </c>
      <c r="C21" s="39">
        <v>2020</v>
      </c>
      <c r="D21" s="76" t="s">
        <v>343</v>
      </c>
      <c r="E21" s="39" t="s">
        <v>258</v>
      </c>
      <c r="F21" s="39" t="s">
        <v>263</v>
      </c>
      <c r="G21" s="39" t="s">
        <v>36</v>
      </c>
      <c r="H21" s="39" t="s">
        <v>171</v>
      </c>
      <c r="I21" s="39" t="s">
        <v>142</v>
      </c>
      <c r="J21" s="39" t="s">
        <v>80</v>
      </c>
      <c r="K21" s="39" t="s">
        <v>54</v>
      </c>
      <c r="L21" s="39">
        <v>2</v>
      </c>
      <c r="N21" s="39">
        <v>1</v>
      </c>
      <c r="O21" s="39">
        <v>1</v>
      </c>
      <c r="P21" s="39">
        <v>1.2</v>
      </c>
      <c r="Q21" s="45">
        <v>0.48</v>
      </c>
      <c r="R21" s="39">
        <v>12.6</v>
      </c>
      <c r="S21" s="39">
        <v>122</v>
      </c>
      <c r="T21" s="1">
        <f t="shared" si="0"/>
        <v>27</v>
      </c>
      <c r="U21" s="39">
        <v>105</v>
      </c>
      <c r="V21" s="1">
        <f t="shared" si="1"/>
        <v>2835</v>
      </c>
      <c r="W21" s="39">
        <v>1</v>
      </c>
      <c r="X21" s="39" t="s">
        <v>46</v>
      </c>
      <c r="Y21" s="39" t="s">
        <v>69</v>
      </c>
      <c r="Z21" s="39" t="s">
        <v>55</v>
      </c>
      <c r="AA21" s="39" t="s">
        <v>47</v>
      </c>
      <c r="AB21" s="39" t="s">
        <v>331</v>
      </c>
      <c r="AE21" s="52"/>
      <c r="AP21" s="51" t="s">
        <v>210</v>
      </c>
      <c r="AR21" s="47" t="s">
        <v>68</v>
      </c>
      <c r="AV21" s="51" t="s">
        <v>148</v>
      </c>
    </row>
    <row r="22" spans="1:48" x14ac:dyDescent="0.15">
      <c r="A22" s="39" t="s">
        <v>41</v>
      </c>
      <c r="B22" s="39" t="s">
        <v>332</v>
      </c>
      <c r="C22" s="39">
        <v>2020</v>
      </c>
      <c r="D22" s="76" t="s">
        <v>343</v>
      </c>
      <c r="E22" s="39" t="s">
        <v>258</v>
      </c>
      <c r="F22" s="39" t="s">
        <v>263</v>
      </c>
      <c r="G22" s="39" t="s">
        <v>36</v>
      </c>
      <c r="H22" s="39" t="s">
        <v>171</v>
      </c>
      <c r="I22" s="39" t="s">
        <v>142</v>
      </c>
      <c r="J22" s="39" t="s">
        <v>80</v>
      </c>
      <c r="K22" s="39" t="s">
        <v>54</v>
      </c>
      <c r="L22" s="39">
        <v>3</v>
      </c>
      <c r="N22" s="39">
        <v>1</v>
      </c>
      <c r="O22" s="39">
        <v>1.3</v>
      </c>
      <c r="P22" s="39">
        <v>1.4</v>
      </c>
      <c r="Q22" s="45">
        <v>0.48</v>
      </c>
      <c r="R22" s="39">
        <v>16.2</v>
      </c>
      <c r="S22" s="39">
        <v>124</v>
      </c>
      <c r="T22" s="1">
        <f t="shared" si="0"/>
        <v>27</v>
      </c>
      <c r="U22" s="39">
        <v>105</v>
      </c>
      <c r="V22" s="1">
        <f t="shared" si="1"/>
        <v>2835</v>
      </c>
      <c r="W22" s="39">
        <v>1</v>
      </c>
      <c r="X22" s="39" t="s">
        <v>46</v>
      </c>
      <c r="Y22" s="39" t="s">
        <v>69</v>
      </c>
      <c r="Z22" s="39" t="s">
        <v>55</v>
      </c>
      <c r="AA22" s="39" t="s">
        <v>47</v>
      </c>
      <c r="AB22" s="39" t="s">
        <v>331</v>
      </c>
      <c r="AP22" s="51" t="s">
        <v>211</v>
      </c>
      <c r="AR22" s="47" t="s">
        <v>83</v>
      </c>
      <c r="AV22" s="51"/>
    </row>
    <row r="23" spans="1:48" x14ac:dyDescent="0.15">
      <c r="A23" s="39" t="s">
        <v>41</v>
      </c>
      <c r="B23" s="39" t="s">
        <v>332</v>
      </c>
      <c r="C23" s="39">
        <v>2020</v>
      </c>
      <c r="D23" s="76" t="s">
        <v>343</v>
      </c>
      <c r="E23" s="39" t="s">
        <v>258</v>
      </c>
      <c r="F23" s="39" t="s">
        <v>264</v>
      </c>
      <c r="G23" s="39" t="s">
        <v>36</v>
      </c>
      <c r="H23" s="39" t="s">
        <v>146</v>
      </c>
      <c r="I23" s="39" t="s">
        <v>142</v>
      </c>
      <c r="J23" s="39" t="s">
        <v>38</v>
      </c>
      <c r="K23" s="39" t="s">
        <v>143</v>
      </c>
      <c r="L23" s="39">
        <v>1</v>
      </c>
      <c r="N23" s="39">
        <v>1</v>
      </c>
      <c r="O23" s="39">
        <v>0.4</v>
      </c>
      <c r="P23" s="39">
        <v>0.6</v>
      </c>
      <c r="Q23" s="45">
        <v>0.68</v>
      </c>
      <c r="R23" s="39">
        <v>15.1</v>
      </c>
      <c r="S23" s="39">
        <v>123</v>
      </c>
      <c r="T23" s="1">
        <f t="shared" si="0"/>
        <v>27</v>
      </c>
      <c r="U23" s="39">
        <v>170</v>
      </c>
      <c r="V23" s="1">
        <f t="shared" si="1"/>
        <v>4590</v>
      </c>
      <c r="W23" s="39">
        <v>4</v>
      </c>
      <c r="X23" s="39" t="s">
        <v>46</v>
      </c>
      <c r="Y23" s="39" t="s">
        <v>69</v>
      </c>
      <c r="Z23" s="39" t="s">
        <v>55</v>
      </c>
      <c r="AA23" s="39" t="s">
        <v>47</v>
      </c>
      <c r="AB23" s="39" t="s">
        <v>331</v>
      </c>
      <c r="AP23" s="51" t="s">
        <v>215</v>
      </c>
      <c r="AR23" s="52" t="s">
        <v>341</v>
      </c>
      <c r="AV23" s="52"/>
    </row>
    <row r="24" spans="1:48" x14ac:dyDescent="0.15">
      <c r="A24" s="39" t="s">
        <v>41</v>
      </c>
      <c r="B24" s="39" t="s">
        <v>332</v>
      </c>
      <c r="C24" s="39">
        <v>2020</v>
      </c>
      <c r="D24" s="76" t="s">
        <v>343</v>
      </c>
      <c r="E24" s="39" t="s">
        <v>258</v>
      </c>
      <c r="F24" s="39" t="s">
        <v>264</v>
      </c>
      <c r="G24" s="39" t="s">
        <v>36</v>
      </c>
      <c r="H24" s="39" t="s">
        <v>146</v>
      </c>
      <c r="I24" s="39" t="s">
        <v>142</v>
      </c>
      <c r="J24" s="39" t="s">
        <v>38</v>
      </c>
      <c r="K24" s="39" t="s">
        <v>143</v>
      </c>
      <c r="L24" s="39">
        <v>2</v>
      </c>
      <c r="N24" s="39">
        <v>1</v>
      </c>
      <c r="O24" s="39">
        <v>0.65</v>
      </c>
      <c r="P24" s="39">
        <v>0.55000000000000004</v>
      </c>
      <c r="Q24" s="45">
        <v>0.63</v>
      </c>
      <c r="R24" s="39">
        <v>14.8</v>
      </c>
      <c r="S24" s="39">
        <v>120</v>
      </c>
      <c r="T24" s="1">
        <f t="shared" si="0"/>
        <v>30</v>
      </c>
      <c r="U24" s="39">
        <v>170</v>
      </c>
      <c r="V24" s="1">
        <f t="shared" si="1"/>
        <v>5100</v>
      </c>
      <c r="W24" s="39">
        <v>4</v>
      </c>
      <c r="X24" s="39" t="s">
        <v>46</v>
      </c>
      <c r="Y24" s="39" t="s">
        <v>69</v>
      </c>
      <c r="Z24" s="39" t="s">
        <v>55</v>
      </c>
      <c r="AA24" s="39" t="s">
        <v>47</v>
      </c>
      <c r="AB24" s="39" t="s">
        <v>331</v>
      </c>
      <c r="AP24" s="51" t="s">
        <v>342</v>
      </c>
    </row>
    <row r="25" spans="1:48" x14ac:dyDescent="0.15">
      <c r="A25" s="39" t="s">
        <v>41</v>
      </c>
      <c r="B25" s="39" t="s">
        <v>332</v>
      </c>
      <c r="C25" s="39">
        <v>2020</v>
      </c>
      <c r="D25" s="76" t="s">
        <v>343</v>
      </c>
      <c r="E25" s="39" t="s">
        <v>258</v>
      </c>
      <c r="F25" s="39" t="s">
        <v>264</v>
      </c>
      <c r="G25" s="39" t="s">
        <v>36</v>
      </c>
      <c r="H25" s="39" t="s">
        <v>146</v>
      </c>
      <c r="I25" s="39" t="s">
        <v>142</v>
      </c>
      <c r="J25" s="39" t="s">
        <v>38</v>
      </c>
      <c r="K25" s="39" t="s">
        <v>143</v>
      </c>
      <c r="L25" s="39">
        <v>3</v>
      </c>
      <c r="N25" s="39">
        <v>1</v>
      </c>
      <c r="O25" s="39">
        <v>0.8</v>
      </c>
      <c r="P25" s="39">
        <v>0.85</v>
      </c>
      <c r="Q25" s="45">
        <v>0.6</v>
      </c>
      <c r="R25" s="39">
        <v>13.4</v>
      </c>
      <c r="S25" s="39">
        <v>124</v>
      </c>
      <c r="T25" s="1">
        <f t="shared" si="0"/>
        <v>27</v>
      </c>
      <c r="U25" s="39">
        <v>170</v>
      </c>
      <c r="V25" s="1">
        <f t="shared" si="1"/>
        <v>4590</v>
      </c>
      <c r="W25" s="39">
        <v>4</v>
      </c>
      <c r="X25" s="39" t="s">
        <v>46</v>
      </c>
      <c r="Y25" s="39" t="s">
        <v>69</v>
      </c>
      <c r="Z25" s="39" t="s">
        <v>55</v>
      </c>
      <c r="AA25" s="39" t="s">
        <v>47</v>
      </c>
      <c r="AB25" s="39" t="s">
        <v>331</v>
      </c>
    </row>
    <row r="26" spans="1:48" x14ac:dyDescent="0.15">
      <c r="A26" s="39" t="s">
        <v>41</v>
      </c>
      <c r="B26" s="39" t="s">
        <v>332</v>
      </c>
      <c r="C26" s="39">
        <v>2020</v>
      </c>
      <c r="D26" s="76" t="s">
        <v>343</v>
      </c>
      <c r="E26" s="39" t="s">
        <v>258</v>
      </c>
      <c r="F26" s="39" t="s">
        <v>264</v>
      </c>
      <c r="G26" s="39" t="s">
        <v>36</v>
      </c>
      <c r="H26" s="39" t="s">
        <v>146</v>
      </c>
      <c r="I26" s="39" t="s">
        <v>142</v>
      </c>
      <c r="J26" s="39" t="s">
        <v>38</v>
      </c>
      <c r="K26" s="39" t="s">
        <v>143</v>
      </c>
      <c r="L26" s="39">
        <v>1</v>
      </c>
      <c r="N26" s="39">
        <v>4</v>
      </c>
      <c r="O26" s="39">
        <v>0.75</v>
      </c>
      <c r="P26" s="39">
        <v>0.7</v>
      </c>
      <c r="Q26" s="45">
        <v>0.6</v>
      </c>
      <c r="R26" s="39">
        <v>13.1</v>
      </c>
      <c r="S26" s="39">
        <v>93</v>
      </c>
      <c r="T26" s="1">
        <f t="shared" si="0"/>
        <v>36</v>
      </c>
      <c r="U26" s="39">
        <v>537</v>
      </c>
      <c r="V26" s="1">
        <f t="shared" si="1"/>
        <v>4833</v>
      </c>
      <c r="W26" s="39">
        <v>2</v>
      </c>
      <c r="X26" s="39" t="s">
        <v>46</v>
      </c>
      <c r="Y26" s="39" t="s">
        <v>69</v>
      </c>
      <c r="Z26" s="39" t="s">
        <v>55</v>
      </c>
      <c r="AA26" s="39" t="s">
        <v>47</v>
      </c>
      <c r="AB26" s="39" t="s">
        <v>331</v>
      </c>
    </row>
    <row r="27" spans="1:48" x14ac:dyDescent="0.15">
      <c r="A27" s="39" t="s">
        <v>41</v>
      </c>
      <c r="B27" s="39" t="s">
        <v>332</v>
      </c>
      <c r="C27" s="39">
        <v>2020</v>
      </c>
      <c r="D27" s="76" t="s">
        <v>343</v>
      </c>
      <c r="E27" s="39" t="s">
        <v>258</v>
      </c>
      <c r="F27" s="39" t="s">
        <v>264</v>
      </c>
      <c r="G27" s="39" t="s">
        <v>36</v>
      </c>
      <c r="H27" s="39" t="s">
        <v>146</v>
      </c>
      <c r="I27" s="39" t="s">
        <v>142</v>
      </c>
      <c r="J27" s="39" t="s">
        <v>38</v>
      </c>
      <c r="K27" s="39" t="s">
        <v>143</v>
      </c>
      <c r="L27" s="39">
        <v>2</v>
      </c>
      <c r="N27" s="39">
        <v>4</v>
      </c>
      <c r="O27" s="39">
        <v>0.65</v>
      </c>
      <c r="P27" s="39">
        <v>0.5</v>
      </c>
      <c r="Q27" s="45">
        <v>0.88</v>
      </c>
      <c r="R27" s="39">
        <v>12.8</v>
      </c>
      <c r="S27" s="39">
        <v>100</v>
      </c>
      <c r="T27" s="1">
        <f t="shared" si="0"/>
        <v>33</v>
      </c>
      <c r="U27" s="39">
        <v>537</v>
      </c>
      <c r="V27" s="45">
        <f t="shared" si="1"/>
        <v>4430.25</v>
      </c>
      <c r="W27" s="39">
        <v>2</v>
      </c>
      <c r="X27" s="39" t="s">
        <v>46</v>
      </c>
      <c r="Y27" s="39" t="s">
        <v>69</v>
      </c>
      <c r="Z27" s="39" t="s">
        <v>55</v>
      </c>
      <c r="AA27" s="39" t="s">
        <v>47</v>
      </c>
      <c r="AB27" s="39" t="s">
        <v>331</v>
      </c>
    </row>
    <row r="28" spans="1:48" x14ac:dyDescent="0.15">
      <c r="A28" s="39" t="s">
        <v>41</v>
      </c>
      <c r="B28" s="39" t="s">
        <v>332</v>
      </c>
      <c r="C28" s="39">
        <v>2020</v>
      </c>
      <c r="D28" s="76" t="s">
        <v>343</v>
      </c>
      <c r="E28" s="39" t="s">
        <v>258</v>
      </c>
      <c r="F28" s="39" t="s">
        <v>264</v>
      </c>
      <c r="G28" s="39" t="s">
        <v>36</v>
      </c>
      <c r="H28" s="39" t="s">
        <v>146</v>
      </c>
      <c r="I28" s="39" t="s">
        <v>142</v>
      </c>
      <c r="J28" s="39" t="s">
        <v>38</v>
      </c>
      <c r="K28" s="39" t="s">
        <v>143</v>
      </c>
      <c r="L28" s="39">
        <v>3</v>
      </c>
      <c r="N28" s="39">
        <v>4</v>
      </c>
      <c r="O28" s="39">
        <v>0.5</v>
      </c>
      <c r="P28" s="39">
        <v>0.65</v>
      </c>
      <c r="Q28" s="45">
        <v>0.75</v>
      </c>
      <c r="R28" s="39">
        <v>14.7</v>
      </c>
      <c r="S28" s="39">
        <v>97</v>
      </c>
      <c r="T28" s="1">
        <f t="shared" si="0"/>
        <v>36</v>
      </c>
      <c r="U28" s="39">
        <v>537</v>
      </c>
      <c r="V28" s="45">
        <f t="shared" si="1"/>
        <v>4833</v>
      </c>
      <c r="W28" s="39">
        <v>2</v>
      </c>
      <c r="X28" s="39" t="s">
        <v>46</v>
      </c>
      <c r="Y28" s="39" t="s">
        <v>69</v>
      </c>
      <c r="Z28" s="39" t="s">
        <v>55</v>
      </c>
      <c r="AA28" s="39" t="s">
        <v>47</v>
      </c>
      <c r="AB28" s="39" t="s">
        <v>331</v>
      </c>
    </row>
    <row r="29" spans="1:48" x14ac:dyDescent="0.15">
      <c r="A29" s="39" t="s">
        <v>41</v>
      </c>
      <c r="B29" s="39" t="s">
        <v>332</v>
      </c>
      <c r="C29" s="39">
        <v>2020</v>
      </c>
      <c r="D29" s="76" t="s">
        <v>343</v>
      </c>
      <c r="E29" s="39" t="s">
        <v>258</v>
      </c>
      <c r="F29" s="39" t="s">
        <v>264</v>
      </c>
      <c r="G29" s="39" t="s">
        <v>36</v>
      </c>
      <c r="H29" s="39" t="s">
        <v>146</v>
      </c>
      <c r="I29" s="39" t="s">
        <v>142</v>
      </c>
      <c r="J29" s="39" t="s">
        <v>38</v>
      </c>
      <c r="K29" s="39" t="s">
        <v>143</v>
      </c>
      <c r="L29" s="39">
        <v>1</v>
      </c>
      <c r="N29" s="39">
        <v>6</v>
      </c>
      <c r="O29" s="39">
        <v>0.35</v>
      </c>
      <c r="P29" s="39">
        <v>0.3</v>
      </c>
      <c r="Q29" s="61">
        <v>0.45</v>
      </c>
      <c r="R29" s="39">
        <v>15.7</v>
      </c>
      <c r="S29" s="39">
        <v>99</v>
      </c>
      <c r="T29" s="45">
        <f t="shared" si="0"/>
        <v>33</v>
      </c>
      <c r="U29" s="39">
        <v>734</v>
      </c>
      <c r="V29" s="45">
        <f t="shared" si="1"/>
        <v>4037</v>
      </c>
      <c r="W29" s="39">
        <v>2</v>
      </c>
      <c r="X29" s="39" t="s">
        <v>46</v>
      </c>
      <c r="Y29" s="39" t="s">
        <v>69</v>
      </c>
      <c r="Z29" s="39" t="s">
        <v>55</v>
      </c>
      <c r="AA29" s="39" t="s">
        <v>47</v>
      </c>
      <c r="AB29" s="39" t="s">
        <v>331</v>
      </c>
    </row>
    <row r="30" spans="1:48" x14ac:dyDescent="0.15">
      <c r="A30" s="39" t="s">
        <v>41</v>
      </c>
      <c r="B30" s="39" t="s">
        <v>332</v>
      </c>
      <c r="C30" s="39">
        <v>2020</v>
      </c>
      <c r="D30" s="76" t="s">
        <v>343</v>
      </c>
      <c r="E30" s="39" t="s">
        <v>258</v>
      </c>
      <c r="F30" s="39" t="s">
        <v>264</v>
      </c>
      <c r="G30" s="39" t="s">
        <v>36</v>
      </c>
      <c r="H30" s="39" t="s">
        <v>146</v>
      </c>
      <c r="I30" s="39" t="s">
        <v>142</v>
      </c>
      <c r="J30" s="39" t="s">
        <v>38</v>
      </c>
      <c r="K30" s="39" t="s">
        <v>143</v>
      </c>
      <c r="L30" s="39">
        <v>2</v>
      </c>
      <c r="N30" s="39">
        <v>6</v>
      </c>
      <c r="O30" s="39">
        <v>0.45</v>
      </c>
      <c r="P30" s="39">
        <v>0.45</v>
      </c>
      <c r="Q30" s="61">
        <v>0.5</v>
      </c>
      <c r="R30" s="39">
        <v>14.4</v>
      </c>
      <c r="S30" s="39">
        <v>90</v>
      </c>
      <c r="T30" s="45">
        <f t="shared" si="0"/>
        <v>36</v>
      </c>
      <c r="U30" s="39">
        <v>734</v>
      </c>
      <c r="V30" s="45">
        <f t="shared" si="1"/>
        <v>4404</v>
      </c>
      <c r="W30" s="39">
        <v>2</v>
      </c>
      <c r="X30" s="39" t="s">
        <v>46</v>
      </c>
      <c r="Y30" s="39" t="s">
        <v>69</v>
      </c>
      <c r="Z30" s="39" t="s">
        <v>55</v>
      </c>
      <c r="AA30" s="39" t="s">
        <v>47</v>
      </c>
      <c r="AB30" s="39" t="s">
        <v>331</v>
      </c>
    </row>
    <row r="31" spans="1:48" x14ac:dyDescent="0.15">
      <c r="A31" s="39" t="s">
        <v>41</v>
      </c>
      <c r="B31" s="39" t="s">
        <v>332</v>
      </c>
      <c r="C31" s="39">
        <v>2020</v>
      </c>
      <c r="D31" s="76" t="s">
        <v>343</v>
      </c>
      <c r="E31" s="39" t="s">
        <v>258</v>
      </c>
      <c r="F31" s="39" t="s">
        <v>264</v>
      </c>
      <c r="G31" s="39" t="s">
        <v>36</v>
      </c>
      <c r="H31" s="39" t="s">
        <v>146</v>
      </c>
      <c r="I31" s="39" t="s">
        <v>142</v>
      </c>
      <c r="J31" s="39" t="s">
        <v>38</v>
      </c>
      <c r="K31" s="39" t="s">
        <v>143</v>
      </c>
      <c r="L31" s="39">
        <v>3</v>
      </c>
      <c r="N31" s="39">
        <v>6</v>
      </c>
      <c r="O31" s="39">
        <v>0.5</v>
      </c>
      <c r="P31" s="39">
        <v>0.55000000000000004</v>
      </c>
      <c r="Q31" s="61">
        <v>0.35</v>
      </c>
      <c r="R31" s="39">
        <v>14.9</v>
      </c>
      <c r="S31" s="39">
        <v>91</v>
      </c>
      <c r="T31" s="45">
        <f t="shared" si="0"/>
        <v>36</v>
      </c>
      <c r="U31" s="39">
        <v>734</v>
      </c>
      <c r="V31" s="45">
        <f t="shared" si="1"/>
        <v>4404</v>
      </c>
      <c r="W31" s="39">
        <v>2</v>
      </c>
      <c r="X31" s="39" t="s">
        <v>46</v>
      </c>
      <c r="Y31" s="39" t="s">
        <v>69</v>
      </c>
      <c r="Z31" s="39" t="s">
        <v>55</v>
      </c>
      <c r="AA31" s="39" t="s">
        <v>47</v>
      </c>
      <c r="AB31" s="39" t="s">
        <v>331</v>
      </c>
    </row>
    <row r="32" spans="1:48" x14ac:dyDescent="0.15">
      <c r="A32" s="39" t="s">
        <v>41</v>
      </c>
      <c r="B32" s="39" t="s">
        <v>332</v>
      </c>
      <c r="C32" s="39">
        <v>2020</v>
      </c>
      <c r="D32" s="76" t="s">
        <v>343</v>
      </c>
      <c r="E32" s="39" t="s">
        <v>259</v>
      </c>
      <c r="F32" s="39" t="s">
        <v>263</v>
      </c>
      <c r="G32" s="39" t="s">
        <v>36</v>
      </c>
      <c r="H32" s="39" t="s">
        <v>146</v>
      </c>
      <c r="I32" s="39" t="s">
        <v>142</v>
      </c>
      <c r="J32" s="39" t="s">
        <v>38</v>
      </c>
      <c r="K32" s="39" t="s">
        <v>143</v>
      </c>
      <c r="L32" s="39">
        <v>1</v>
      </c>
      <c r="N32" s="39">
        <v>1</v>
      </c>
      <c r="O32" s="39">
        <v>0.5</v>
      </c>
      <c r="P32" s="39">
        <v>0.5</v>
      </c>
      <c r="Q32" s="61">
        <v>0.57999999999999996</v>
      </c>
      <c r="R32" s="39">
        <v>16.399999999999999</v>
      </c>
      <c r="S32" s="39">
        <v>138</v>
      </c>
      <c r="T32" s="45">
        <f t="shared" si="0"/>
        <v>22</v>
      </c>
      <c r="U32" s="39">
        <v>170</v>
      </c>
      <c r="V32" s="45">
        <f t="shared" si="1"/>
        <v>3740</v>
      </c>
      <c r="W32" s="39">
        <v>4</v>
      </c>
      <c r="X32" s="39" t="s">
        <v>46</v>
      </c>
      <c r="Y32" s="39" t="s">
        <v>69</v>
      </c>
      <c r="Z32" s="39" t="s">
        <v>55</v>
      </c>
      <c r="AA32" s="39" t="s">
        <v>47</v>
      </c>
      <c r="AB32" s="39" t="s">
        <v>331</v>
      </c>
    </row>
    <row r="33" spans="1:28" x14ac:dyDescent="0.15">
      <c r="A33" s="39" t="s">
        <v>41</v>
      </c>
      <c r="B33" s="39" t="s">
        <v>332</v>
      </c>
      <c r="C33" s="39">
        <v>2020</v>
      </c>
      <c r="D33" s="76" t="s">
        <v>343</v>
      </c>
      <c r="E33" s="39" t="s">
        <v>259</v>
      </c>
      <c r="F33" s="39" t="s">
        <v>263</v>
      </c>
      <c r="G33" s="39" t="s">
        <v>36</v>
      </c>
      <c r="H33" s="39" t="s">
        <v>146</v>
      </c>
      <c r="I33" s="39" t="s">
        <v>142</v>
      </c>
      <c r="J33" s="39" t="s">
        <v>38</v>
      </c>
      <c r="K33" s="39" t="s">
        <v>143</v>
      </c>
      <c r="L33" s="39">
        <v>2</v>
      </c>
      <c r="N33" s="39">
        <v>1</v>
      </c>
      <c r="O33" s="39">
        <v>0.85</v>
      </c>
      <c r="P33" s="39">
        <v>0.85</v>
      </c>
      <c r="Q33" s="61">
        <v>0.8</v>
      </c>
      <c r="R33" s="39">
        <v>15.2</v>
      </c>
      <c r="S33" s="39">
        <v>140</v>
      </c>
      <c r="T33" s="45">
        <f t="shared" si="0"/>
        <v>22</v>
      </c>
      <c r="U33" s="39">
        <v>170</v>
      </c>
      <c r="V33" s="45">
        <f t="shared" si="1"/>
        <v>3740</v>
      </c>
      <c r="W33" s="39">
        <v>4</v>
      </c>
      <c r="X33" s="39" t="s">
        <v>46</v>
      </c>
      <c r="Y33" s="39" t="s">
        <v>69</v>
      </c>
      <c r="Z33" s="39" t="s">
        <v>55</v>
      </c>
      <c r="AA33" s="39" t="s">
        <v>47</v>
      </c>
      <c r="AB33" s="39" t="s">
        <v>331</v>
      </c>
    </row>
    <row r="34" spans="1:28" x14ac:dyDescent="0.15">
      <c r="A34" s="39" t="s">
        <v>41</v>
      </c>
      <c r="B34" s="39" t="s">
        <v>332</v>
      </c>
      <c r="C34" s="39">
        <v>2020</v>
      </c>
      <c r="D34" s="76" t="s">
        <v>343</v>
      </c>
      <c r="E34" s="39" t="s">
        <v>259</v>
      </c>
      <c r="F34" s="39" t="s">
        <v>263</v>
      </c>
      <c r="G34" s="39" t="s">
        <v>36</v>
      </c>
      <c r="H34" s="39" t="s">
        <v>146</v>
      </c>
      <c r="I34" s="39" t="s">
        <v>142</v>
      </c>
      <c r="J34" s="39" t="s">
        <v>38</v>
      </c>
      <c r="K34" s="39" t="s">
        <v>143</v>
      </c>
      <c r="L34" s="39">
        <v>3</v>
      </c>
      <c r="N34" s="39">
        <v>1</v>
      </c>
      <c r="O34" s="39">
        <v>0.5</v>
      </c>
      <c r="P34" s="39">
        <v>0.55000000000000004</v>
      </c>
      <c r="Q34" s="61">
        <v>0.68</v>
      </c>
      <c r="R34" s="39">
        <v>15.7</v>
      </c>
      <c r="S34" s="39">
        <v>135</v>
      </c>
      <c r="T34" s="45">
        <f t="shared" si="0"/>
        <v>25</v>
      </c>
      <c r="U34" s="39">
        <v>170</v>
      </c>
      <c r="V34" s="45">
        <f t="shared" si="1"/>
        <v>4250</v>
      </c>
      <c r="W34" s="39">
        <v>4</v>
      </c>
      <c r="X34" s="39" t="s">
        <v>46</v>
      </c>
      <c r="Y34" s="39" t="s">
        <v>69</v>
      </c>
      <c r="Z34" s="39" t="s">
        <v>55</v>
      </c>
      <c r="AA34" s="39" t="s">
        <v>47</v>
      </c>
      <c r="AB34" s="39" t="s">
        <v>331</v>
      </c>
    </row>
    <row r="35" spans="1:28" x14ac:dyDescent="0.15">
      <c r="A35" s="39" t="s">
        <v>41</v>
      </c>
      <c r="B35" s="39" t="s">
        <v>332</v>
      </c>
      <c r="C35" s="39">
        <v>2020</v>
      </c>
      <c r="D35" s="76" t="s">
        <v>343</v>
      </c>
      <c r="E35" s="39" t="s">
        <v>259</v>
      </c>
      <c r="F35" s="39" t="s">
        <v>263</v>
      </c>
      <c r="G35" s="39" t="s">
        <v>36</v>
      </c>
      <c r="H35" s="39" t="s">
        <v>146</v>
      </c>
      <c r="I35" s="39" t="s">
        <v>142</v>
      </c>
      <c r="J35" s="39" t="s">
        <v>38</v>
      </c>
      <c r="K35" s="39" t="s">
        <v>143</v>
      </c>
      <c r="L35" s="39">
        <v>1</v>
      </c>
      <c r="N35" s="39">
        <v>4</v>
      </c>
      <c r="O35" s="39">
        <v>0.35</v>
      </c>
      <c r="P35" s="39">
        <v>0.45</v>
      </c>
      <c r="Q35" s="61">
        <v>0.83</v>
      </c>
      <c r="R35" s="39">
        <v>13.1</v>
      </c>
      <c r="S35" s="39">
        <v>130</v>
      </c>
      <c r="T35" s="45">
        <f t="shared" si="0"/>
        <v>25</v>
      </c>
      <c r="U35" s="39">
        <v>645</v>
      </c>
      <c r="V35" s="45">
        <f t="shared" si="1"/>
        <v>4031.25</v>
      </c>
      <c r="W35" s="39">
        <v>2</v>
      </c>
      <c r="X35" s="39" t="s">
        <v>46</v>
      </c>
      <c r="Y35" s="39" t="s">
        <v>69</v>
      </c>
      <c r="Z35" s="39" t="s">
        <v>55</v>
      </c>
      <c r="AA35" s="39" t="s">
        <v>47</v>
      </c>
      <c r="AB35" s="39" t="s">
        <v>331</v>
      </c>
    </row>
    <row r="36" spans="1:28" x14ac:dyDescent="0.15">
      <c r="A36" s="39" t="s">
        <v>41</v>
      </c>
      <c r="B36" s="39" t="s">
        <v>332</v>
      </c>
      <c r="C36" s="39">
        <v>2020</v>
      </c>
      <c r="D36" s="76" t="s">
        <v>343</v>
      </c>
      <c r="E36" s="39" t="s">
        <v>259</v>
      </c>
      <c r="F36" s="39" t="s">
        <v>263</v>
      </c>
      <c r="G36" s="39" t="s">
        <v>36</v>
      </c>
      <c r="H36" s="39" t="s">
        <v>146</v>
      </c>
      <c r="I36" s="39" t="s">
        <v>142</v>
      </c>
      <c r="J36" s="39" t="s">
        <v>38</v>
      </c>
      <c r="K36" s="39" t="s">
        <v>143</v>
      </c>
      <c r="L36" s="39">
        <v>2</v>
      </c>
      <c r="N36" s="39">
        <v>4</v>
      </c>
      <c r="O36" s="39">
        <v>0.45</v>
      </c>
      <c r="P36" s="39">
        <v>0.5</v>
      </c>
      <c r="Q36" s="61">
        <v>0.73</v>
      </c>
      <c r="R36" s="39">
        <v>12.6</v>
      </c>
      <c r="S36" s="39">
        <v>129</v>
      </c>
      <c r="T36" s="45">
        <f t="shared" si="0"/>
        <v>25</v>
      </c>
      <c r="U36" s="39">
        <v>645</v>
      </c>
      <c r="V36" s="45">
        <f t="shared" si="1"/>
        <v>4031.25</v>
      </c>
      <c r="W36" s="39">
        <v>2</v>
      </c>
      <c r="X36" s="39" t="s">
        <v>46</v>
      </c>
      <c r="Y36" s="39" t="s">
        <v>69</v>
      </c>
      <c r="Z36" s="39" t="s">
        <v>55</v>
      </c>
      <c r="AA36" s="39" t="s">
        <v>47</v>
      </c>
      <c r="AB36" s="39" t="s">
        <v>331</v>
      </c>
    </row>
    <row r="37" spans="1:28" x14ac:dyDescent="0.15">
      <c r="A37" s="39" t="s">
        <v>41</v>
      </c>
      <c r="B37" s="39" t="s">
        <v>332</v>
      </c>
      <c r="C37" s="39">
        <v>2020</v>
      </c>
      <c r="D37" s="76" t="s">
        <v>343</v>
      </c>
      <c r="E37" s="39" t="s">
        <v>259</v>
      </c>
      <c r="F37" s="39" t="s">
        <v>263</v>
      </c>
      <c r="G37" s="39" t="s">
        <v>36</v>
      </c>
      <c r="H37" s="39" t="s">
        <v>146</v>
      </c>
      <c r="I37" s="39" t="s">
        <v>142</v>
      </c>
      <c r="J37" s="39" t="s">
        <v>38</v>
      </c>
      <c r="K37" s="39" t="s">
        <v>143</v>
      </c>
      <c r="L37" s="39">
        <v>3</v>
      </c>
      <c r="N37" s="39">
        <v>4</v>
      </c>
      <c r="O37" s="39">
        <v>0.35</v>
      </c>
      <c r="P37" s="39">
        <v>0.55000000000000004</v>
      </c>
      <c r="Q37" s="61">
        <v>0.63</v>
      </c>
      <c r="R37" s="39">
        <v>13.4</v>
      </c>
      <c r="S37" s="39">
        <v>133</v>
      </c>
      <c r="T37" s="45">
        <f t="shared" si="0"/>
        <v>25</v>
      </c>
      <c r="U37" s="39">
        <v>645</v>
      </c>
      <c r="V37" s="45">
        <f t="shared" si="1"/>
        <v>4031.25</v>
      </c>
      <c r="W37" s="39">
        <v>2</v>
      </c>
      <c r="X37" s="39" t="s">
        <v>46</v>
      </c>
      <c r="Y37" s="39" t="s">
        <v>69</v>
      </c>
      <c r="Z37" s="39" t="s">
        <v>55</v>
      </c>
      <c r="AA37" s="39" t="s">
        <v>47</v>
      </c>
      <c r="AB37" s="39" t="s">
        <v>331</v>
      </c>
    </row>
    <row r="38" spans="1:28" x14ac:dyDescent="0.15">
      <c r="A38" s="39" t="s">
        <v>41</v>
      </c>
      <c r="B38" s="39" t="s">
        <v>332</v>
      </c>
      <c r="C38" s="39">
        <v>2020</v>
      </c>
      <c r="D38" s="76" t="s">
        <v>343</v>
      </c>
      <c r="E38" s="39" t="s">
        <v>259</v>
      </c>
      <c r="F38" s="39" t="s">
        <v>263</v>
      </c>
      <c r="G38" s="39" t="s">
        <v>36</v>
      </c>
      <c r="H38" s="39" t="s">
        <v>146</v>
      </c>
      <c r="I38" s="39" t="s">
        <v>142</v>
      </c>
      <c r="J38" s="39" t="s">
        <v>38</v>
      </c>
      <c r="K38" s="39" t="s">
        <v>143</v>
      </c>
      <c r="L38" s="39">
        <v>1</v>
      </c>
      <c r="N38" s="39">
        <v>8</v>
      </c>
      <c r="O38" s="39">
        <v>0.5</v>
      </c>
      <c r="P38" s="39">
        <v>0.7</v>
      </c>
      <c r="Q38" s="45">
        <v>0.65</v>
      </c>
      <c r="R38" s="39">
        <v>14.1</v>
      </c>
      <c r="S38" s="39">
        <v>120</v>
      </c>
      <c r="T38" s="45">
        <f t="shared" si="0"/>
        <v>30</v>
      </c>
      <c r="U38" s="39">
        <v>1274</v>
      </c>
      <c r="V38" s="45">
        <f t="shared" si="1"/>
        <v>4777.5</v>
      </c>
      <c r="W38" s="39">
        <v>2</v>
      </c>
      <c r="X38" s="39" t="s">
        <v>46</v>
      </c>
      <c r="Y38" s="39" t="s">
        <v>69</v>
      </c>
      <c r="Z38" s="39" t="s">
        <v>55</v>
      </c>
      <c r="AA38" s="39" t="s">
        <v>47</v>
      </c>
      <c r="AB38" s="39" t="s">
        <v>331</v>
      </c>
    </row>
    <row r="39" spans="1:28" x14ac:dyDescent="0.15">
      <c r="A39" s="39" t="s">
        <v>41</v>
      </c>
      <c r="B39" s="39" t="s">
        <v>332</v>
      </c>
      <c r="C39" s="39">
        <v>2020</v>
      </c>
      <c r="D39" s="76" t="s">
        <v>343</v>
      </c>
      <c r="E39" s="39" t="s">
        <v>259</v>
      </c>
      <c r="F39" s="39" t="s">
        <v>263</v>
      </c>
      <c r="G39" s="39" t="s">
        <v>36</v>
      </c>
      <c r="H39" s="39" t="s">
        <v>146</v>
      </c>
      <c r="I39" s="39" t="s">
        <v>142</v>
      </c>
      <c r="J39" s="39" t="s">
        <v>38</v>
      </c>
      <c r="K39" s="39" t="s">
        <v>143</v>
      </c>
      <c r="L39" s="39">
        <v>2</v>
      </c>
      <c r="N39" s="39">
        <v>8</v>
      </c>
      <c r="O39" s="39">
        <v>0.8</v>
      </c>
      <c r="P39" s="39">
        <v>0.95</v>
      </c>
      <c r="Q39" s="45">
        <v>0.78</v>
      </c>
      <c r="R39" s="39">
        <v>13.5</v>
      </c>
      <c r="S39" s="39">
        <v>122</v>
      </c>
      <c r="T39" s="45">
        <f t="shared" si="0"/>
        <v>27</v>
      </c>
      <c r="U39" s="39">
        <v>1274</v>
      </c>
      <c r="V39" s="45">
        <f t="shared" si="1"/>
        <v>4299.75</v>
      </c>
      <c r="W39" s="39">
        <v>2</v>
      </c>
      <c r="X39" s="39" t="s">
        <v>46</v>
      </c>
      <c r="Y39" s="39" t="s">
        <v>69</v>
      </c>
      <c r="Z39" s="39" t="s">
        <v>55</v>
      </c>
      <c r="AA39" s="39" t="s">
        <v>47</v>
      </c>
      <c r="AB39" s="39" t="s">
        <v>331</v>
      </c>
    </row>
    <row r="40" spans="1:28" x14ac:dyDescent="0.15">
      <c r="A40" s="39" t="s">
        <v>41</v>
      </c>
      <c r="B40" s="39" t="s">
        <v>332</v>
      </c>
      <c r="C40" s="39">
        <v>2020</v>
      </c>
      <c r="D40" s="76" t="s">
        <v>343</v>
      </c>
      <c r="E40" s="39" t="s">
        <v>259</v>
      </c>
      <c r="F40" s="39" t="s">
        <v>263</v>
      </c>
      <c r="G40" s="39" t="s">
        <v>36</v>
      </c>
      <c r="H40" s="39" t="s">
        <v>146</v>
      </c>
      <c r="I40" s="39" t="s">
        <v>142</v>
      </c>
      <c r="J40" s="39" t="s">
        <v>38</v>
      </c>
      <c r="K40" s="39" t="s">
        <v>143</v>
      </c>
      <c r="L40" s="39">
        <v>3</v>
      </c>
      <c r="N40" s="39">
        <v>8</v>
      </c>
      <c r="O40" s="39">
        <v>0.5</v>
      </c>
      <c r="P40" s="39">
        <v>0.65</v>
      </c>
      <c r="Q40" s="45">
        <v>0.55000000000000004</v>
      </c>
      <c r="R40" s="39">
        <v>12.4</v>
      </c>
      <c r="S40" s="39">
        <v>118</v>
      </c>
      <c r="T40" s="45">
        <f t="shared" si="0"/>
        <v>30</v>
      </c>
      <c r="U40" s="39">
        <v>1274</v>
      </c>
      <c r="V40" s="45">
        <f t="shared" si="1"/>
        <v>4777.5</v>
      </c>
      <c r="W40" s="39">
        <v>2</v>
      </c>
      <c r="X40" s="39" t="s">
        <v>46</v>
      </c>
      <c r="Y40" s="39" t="s">
        <v>69</v>
      </c>
      <c r="Z40" s="39" t="s">
        <v>55</v>
      </c>
      <c r="AA40" s="39" t="s">
        <v>47</v>
      </c>
      <c r="AB40" s="39" t="s">
        <v>331</v>
      </c>
    </row>
    <row r="41" spans="1:28" x14ac:dyDescent="0.15">
      <c r="A41" s="39" t="s">
        <v>41</v>
      </c>
      <c r="B41" s="39" t="s">
        <v>332</v>
      </c>
      <c r="C41" s="39">
        <v>2020</v>
      </c>
      <c r="D41" s="76" t="s">
        <v>343</v>
      </c>
      <c r="E41" s="39" t="s">
        <v>259</v>
      </c>
      <c r="F41" s="39" t="s">
        <v>265</v>
      </c>
      <c r="G41" s="39" t="s">
        <v>36</v>
      </c>
      <c r="H41" s="39" t="s">
        <v>146</v>
      </c>
      <c r="I41" s="39" t="s">
        <v>142</v>
      </c>
      <c r="J41" s="39" t="s">
        <v>38</v>
      </c>
      <c r="K41" s="39" t="s">
        <v>143</v>
      </c>
      <c r="L41" s="39">
        <v>1</v>
      </c>
      <c r="N41" s="39">
        <v>1</v>
      </c>
      <c r="O41" s="39">
        <v>0.7</v>
      </c>
      <c r="P41" s="39">
        <v>0.75</v>
      </c>
      <c r="Q41" s="61">
        <v>0.8</v>
      </c>
      <c r="R41" s="39">
        <v>14.6</v>
      </c>
      <c r="S41" s="39">
        <v>134</v>
      </c>
      <c r="T41" s="45">
        <f t="shared" si="0"/>
        <v>25</v>
      </c>
      <c r="U41" s="39">
        <v>170</v>
      </c>
      <c r="V41" s="45">
        <f t="shared" si="1"/>
        <v>4250</v>
      </c>
      <c r="W41" s="39">
        <v>1</v>
      </c>
      <c r="X41" s="39" t="s">
        <v>46</v>
      </c>
      <c r="Y41" s="39" t="s">
        <v>69</v>
      </c>
      <c r="Z41" s="39" t="s">
        <v>55</v>
      </c>
      <c r="AA41" s="39" t="s">
        <v>47</v>
      </c>
      <c r="AB41" s="39" t="s">
        <v>331</v>
      </c>
    </row>
    <row r="42" spans="1:28" x14ac:dyDescent="0.15">
      <c r="A42" s="39" t="s">
        <v>41</v>
      </c>
      <c r="B42" s="39" t="s">
        <v>332</v>
      </c>
      <c r="C42" s="39">
        <v>2020</v>
      </c>
      <c r="D42" s="76" t="s">
        <v>343</v>
      </c>
      <c r="E42" s="39" t="s">
        <v>259</v>
      </c>
      <c r="F42" s="39" t="s">
        <v>265</v>
      </c>
      <c r="G42" s="39" t="s">
        <v>36</v>
      </c>
      <c r="H42" s="39" t="s">
        <v>146</v>
      </c>
      <c r="I42" s="39" t="s">
        <v>142</v>
      </c>
      <c r="J42" s="39" t="s">
        <v>38</v>
      </c>
      <c r="K42" s="39" t="s">
        <v>143</v>
      </c>
      <c r="L42" s="39">
        <v>2</v>
      </c>
      <c r="N42" s="39">
        <v>1</v>
      </c>
      <c r="O42" s="39">
        <v>0.45</v>
      </c>
      <c r="P42" s="39">
        <v>0.55000000000000004</v>
      </c>
      <c r="Q42" s="61">
        <v>0.55000000000000004</v>
      </c>
      <c r="R42" s="39">
        <v>13.6</v>
      </c>
      <c r="S42" s="39">
        <v>130</v>
      </c>
      <c r="T42" s="45">
        <f t="shared" si="0"/>
        <v>25</v>
      </c>
      <c r="U42" s="39">
        <v>170</v>
      </c>
      <c r="V42" s="45">
        <f t="shared" si="1"/>
        <v>4250</v>
      </c>
      <c r="W42" s="39">
        <v>1</v>
      </c>
      <c r="X42" s="39" t="s">
        <v>46</v>
      </c>
      <c r="Y42" s="39" t="s">
        <v>69</v>
      </c>
      <c r="Z42" s="39" t="s">
        <v>55</v>
      </c>
      <c r="AA42" s="39" t="s">
        <v>47</v>
      </c>
      <c r="AB42" s="39" t="s">
        <v>331</v>
      </c>
    </row>
    <row r="43" spans="1:28" x14ac:dyDescent="0.15">
      <c r="A43" s="39" t="s">
        <v>41</v>
      </c>
      <c r="B43" s="39" t="s">
        <v>332</v>
      </c>
      <c r="C43" s="39">
        <v>2020</v>
      </c>
      <c r="D43" s="76" t="s">
        <v>343</v>
      </c>
      <c r="E43" s="39" t="s">
        <v>259</v>
      </c>
      <c r="F43" s="39" t="s">
        <v>265</v>
      </c>
      <c r="G43" s="39" t="s">
        <v>36</v>
      </c>
      <c r="H43" s="39" t="s">
        <v>146</v>
      </c>
      <c r="I43" s="39" t="s">
        <v>142</v>
      </c>
      <c r="J43" s="39" t="s">
        <v>38</v>
      </c>
      <c r="K43" s="39" t="s">
        <v>143</v>
      </c>
      <c r="L43" s="39">
        <v>3</v>
      </c>
      <c r="N43" s="39">
        <v>1</v>
      </c>
      <c r="O43" s="39">
        <v>0.5</v>
      </c>
      <c r="P43" s="39">
        <v>0.5</v>
      </c>
      <c r="Q43" s="61">
        <v>0.53</v>
      </c>
      <c r="R43" s="39">
        <v>15</v>
      </c>
      <c r="S43" s="39">
        <v>140</v>
      </c>
      <c r="T43" s="45">
        <f t="shared" si="0"/>
        <v>22</v>
      </c>
      <c r="U43" s="39">
        <v>170</v>
      </c>
      <c r="V43" s="45">
        <f t="shared" si="1"/>
        <v>3740</v>
      </c>
      <c r="W43" s="39">
        <v>1</v>
      </c>
      <c r="X43" s="39" t="s">
        <v>46</v>
      </c>
      <c r="Y43" s="39" t="s">
        <v>69</v>
      </c>
      <c r="Z43" s="39" t="s">
        <v>55</v>
      </c>
      <c r="AA43" s="39" t="s">
        <v>47</v>
      </c>
      <c r="AB43" s="39" t="s">
        <v>331</v>
      </c>
    </row>
    <row r="44" spans="1:28" x14ac:dyDescent="0.15">
      <c r="A44" s="39" t="s">
        <v>41</v>
      </c>
      <c r="B44" s="39" t="s">
        <v>332</v>
      </c>
      <c r="C44" s="39">
        <v>2020</v>
      </c>
      <c r="D44" s="76" t="s">
        <v>343</v>
      </c>
      <c r="E44" s="39" t="s">
        <v>259</v>
      </c>
      <c r="F44" s="39" t="s">
        <v>265</v>
      </c>
      <c r="G44" s="39" t="s">
        <v>36</v>
      </c>
      <c r="H44" s="39" t="s">
        <v>146</v>
      </c>
      <c r="I44" s="39" t="s">
        <v>142</v>
      </c>
      <c r="J44" s="39" t="s">
        <v>38</v>
      </c>
      <c r="K44" s="39" t="s">
        <v>143</v>
      </c>
      <c r="L44" s="39">
        <v>1</v>
      </c>
      <c r="N44" s="39">
        <v>4</v>
      </c>
      <c r="O44" s="39">
        <v>0.35</v>
      </c>
      <c r="P44" s="39">
        <v>0.4</v>
      </c>
      <c r="Q44" s="45">
        <v>0.55000000000000004</v>
      </c>
      <c r="R44" s="39">
        <v>13.4</v>
      </c>
      <c r="S44" s="39">
        <v>130</v>
      </c>
      <c r="T44" s="45">
        <f t="shared" si="0"/>
        <v>25</v>
      </c>
      <c r="U44" s="39">
        <v>645</v>
      </c>
      <c r="V44" s="45">
        <f t="shared" si="1"/>
        <v>4031.25</v>
      </c>
      <c r="W44" s="39">
        <v>3</v>
      </c>
      <c r="X44" s="39" t="s">
        <v>46</v>
      </c>
      <c r="Y44" s="39" t="s">
        <v>69</v>
      </c>
      <c r="Z44" s="39" t="s">
        <v>55</v>
      </c>
      <c r="AA44" s="39" t="s">
        <v>47</v>
      </c>
      <c r="AB44" s="39" t="s">
        <v>331</v>
      </c>
    </row>
    <row r="45" spans="1:28" x14ac:dyDescent="0.15">
      <c r="A45" s="39" t="s">
        <v>41</v>
      </c>
      <c r="B45" s="39" t="s">
        <v>332</v>
      </c>
      <c r="C45" s="39">
        <v>2020</v>
      </c>
      <c r="D45" s="76" t="s">
        <v>343</v>
      </c>
      <c r="E45" s="39" t="s">
        <v>259</v>
      </c>
      <c r="F45" s="39" t="s">
        <v>265</v>
      </c>
      <c r="G45" s="39" t="s">
        <v>36</v>
      </c>
      <c r="H45" s="39" t="s">
        <v>146</v>
      </c>
      <c r="I45" s="39" t="s">
        <v>142</v>
      </c>
      <c r="J45" s="39" t="s">
        <v>38</v>
      </c>
      <c r="K45" s="39" t="s">
        <v>143</v>
      </c>
      <c r="L45" s="39">
        <v>2</v>
      </c>
      <c r="N45" s="39">
        <v>4</v>
      </c>
      <c r="O45" s="39">
        <v>0.4</v>
      </c>
      <c r="P45" s="39">
        <v>0.45</v>
      </c>
      <c r="Q45" s="45">
        <v>0.57999999999999996</v>
      </c>
      <c r="R45" s="39">
        <v>12.9</v>
      </c>
      <c r="S45" s="39">
        <v>127</v>
      </c>
      <c r="T45" s="45">
        <f t="shared" si="0"/>
        <v>27</v>
      </c>
      <c r="U45" s="39">
        <v>645</v>
      </c>
      <c r="V45" s="45">
        <f t="shared" si="1"/>
        <v>4353.75</v>
      </c>
      <c r="W45" s="39">
        <v>3</v>
      </c>
      <c r="X45" s="39" t="s">
        <v>46</v>
      </c>
      <c r="Y45" s="39" t="s">
        <v>69</v>
      </c>
      <c r="Z45" s="39" t="s">
        <v>55</v>
      </c>
      <c r="AA45" s="39" t="s">
        <v>47</v>
      </c>
      <c r="AB45" s="39" t="s">
        <v>331</v>
      </c>
    </row>
    <row r="46" spans="1:28" x14ac:dyDescent="0.15">
      <c r="A46" s="39" t="s">
        <v>41</v>
      </c>
      <c r="B46" s="39" t="s">
        <v>332</v>
      </c>
      <c r="C46" s="39">
        <v>2020</v>
      </c>
      <c r="D46" s="76" t="s">
        <v>343</v>
      </c>
      <c r="E46" s="39" t="s">
        <v>259</v>
      </c>
      <c r="F46" s="39" t="s">
        <v>265</v>
      </c>
      <c r="G46" s="39" t="s">
        <v>36</v>
      </c>
      <c r="H46" s="39" t="s">
        <v>146</v>
      </c>
      <c r="I46" s="39" t="s">
        <v>142</v>
      </c>
      <c r="J46" s="39" t="s">
        <v>38</v>
      </c>
      <c r="K46" s="39" t="s">
        <v>143</v>
      </c>
      <c r="L46" s="39">
        <v>3</v>
      </c>
      <c r="N46" s="39">
        <v>4</v>
      </c>
      <c r="O46" s="39">
        <v>0.5</v>
      </c>
      <c r="P46" s="39">
        <v>0.55000000000000004</v>
      </c>
      <c r="Q46" s="45">
        <v>0.7</v>
      </c>
      <c r="R46" s="39">
        <v>14</v>
      </c>
      <c r="S46" s="39">
        <v>125</v>
      </c>
      <c r="T46" s="45">
        <f t="shared" si="0"/>
        <v>27</v>
      </c>
      <c r="U46" s="39">
        <v>645</v>
      </c>
      <c r="V46" s="45">
        <f t="shared" si="1"/>
        <v>4353.75</v>
      </c>
      <c r="W46" s="39">
        <v>3</v>
      </c>
      <c r="X46" s="39" t="s">
        <v>46</v>
      </c>
      <c r="Y46" s="39" t="s">
        <v>69</v>
      </c>
      <c r="Z46" s="39" t="s">
        <v>55</v>
      </c>
      <c r="AA46" s="39" t="s">
        <v>47</v>
      </c>
      <c r="AB46" s="39" t="s">
        <v>331</v>
      </c>
    </row>
    <row r="47" spans="1:28" x14ac:dyDescent="0.15">
      <c r="A47" s="39" t="s">
        <v>41</v>
      </c>
      <c r="B47" s="39" t="s">
        <v>332</v>
      </c>
      <c r="C47" s="39">
        <v>2020</v>
      </c>
      <c r="D47" s="76" t="s">
        <v>343</v>
      </c>
      <c r="E47" s="39" t="s">
        <v>259</v>
      </c>
      <c r="F47" s="39" t="s">
        <v>265</v>
      </c>
      <c r="G47" s="39" t="s">
        <v>36</v>
      </c>
      <c r="H47" s="39" t="s">
        <v>146</v>
      </c>
      <c r="I47" s="39" t="s">
        <v>142</v>
      </c>
      <c r="J47" s="39" t="s">
        <v>38</v>
      </c>
      <c r="K47" s="39" t="s">
        <v>143</v>
      </c>
      <c r="L47" s="39">
        <v>1</v>
      </c>
      <c r="N47" s="39">
        <v>8</v>
      </c>
      <c r="O47" s="39">
        <v>0.7</v>
      </c>
      <c r="P47" s="39">
        <v>0.7</v>
      </c>
      <c r="Q47" s="45">
        <v>0.57999999999999996</v>
      </c>
      <c r="R47" s="39">
        <v>14.3</v>
      </c>
      <c r="S47" s="39">
        <v>115</v>
      </c>
      <c r="T47" s="45">
        <f t="shared" ref="T47:T49" si="2">IF(H47="","",IF(OR(H47="GREEN",H47="GK"),IF(S47&gt;=$AX$2,VLOOKUP(S47,$AX$2:$AY$12,2,1),""),IF(S47&gt;=$AZ$2,VLOOKUP(S47,$AZ$2:$BA$12,2,1),"")))</f>
        <v>30</v>
      </c>
      <c r="U47" s="39">
        <v>1274</v>
      </c>
      <c r="V47" s="45">
        <f t="shared" si="1"/>
        <v>4777.5</v>
      </c>
      <c r="W47" s="39">
        <v>3</v>
      </c>
      <c r="X47" s="39" t="s">
        <v>46</v>
      </c>
      <c r="Y47" s="39" t="s">
        <v>69</v>
      </c>
      <c r="Z47" s="39" t="s">
        <v>55</v>
      </c>
      <c r="AA47" s="39" t="s">
        <v>47</v>
      </c>
      <c r="AB47" s="39" t="s">
        <v>331</v>
      </c>
    </row>
    <row r="48" spans="1:28" x14ac:dyDescent="0.15">
      <c r="A48" s="39" t="s">
        <v>41</v>
      </c>
      <c r="B48" s="39" t="s">
        <v>332</v>
      </c>
      <c r="C48" s="39">
        <v>2020</v>
      </c>
      <c r="D48" s="76" t="s">
        <v>343</v>
      </c>
      <c r="E48" s="39" t="s">
        <v>259</v>
      </c>
      <c r="F48" s="39" t="s">
        <v>265</v>
      </c>
      <c r="G48" s="39" t="s">
        <v>36</v>
      </c>
      <c r="H48" s="39" t="s">
        <v>146</v>
      </c>
      <c r="I48" s="39" t="s">
        <v>142</v>
      </c>
      <c r="J48" s="39" t="s">
        <v>38</v>
      </c>
      <c r="K48" s="39" t="s">
        <v>143</v>
      </c>
      <c r="L48" s="39">
        <v>2</v>
      </c>
      <c r="N48" s="39">
        <v>8</v>
      </c>
      <c r="O48" s="39">
        <v>0.9</v>
      </c>
      <c r="P48" s="39">
        <v>0.95</v>
      </c>
      <c r="Q48" s="45">
        <v>0.75</v>
      </c>
      <c r="R48" s="39">
        <v>12.3</v>
      </c>
      <c r="S48" s="39">
        <v>120</v>
      </c>
      <c r="T48" s="45">
        <f t="shared" si="2"/>
        <v>30</v>
      </c>
      <c r="U48" s="39">
        <v>1274</v>
      </c>
      <c r="V48" s="45">
        <f t="shared" si="1"/>
        <v>4777.5</v>
      </c>
      <c r="W48" s="39">
        <v>3</v>
      </c>
      <c r="X48" s="39" t="s">
        <v>46</v>
      </c>
      <c r="Y48" s="39" t="s">
        <v>69</v>
      </c>
      <c r="Z48" s="39" t="s">
        <v>55</v>
      </c>
      <c r="AA48" s="39" t="s">
        <v>47</v>
      </c>
      <c r="AB48" s="39" t="s">
        <v>331</v>
      </c>
    </row>
    <row r="49" spans="1:28" x14ac:dyDescent="0.15">
      <c r="A49" s="39" t="s">
        <v>41</v>
      </c>
      <c r="B49" s="39" t="s">
        <v>332</v>
      </c>
      <c r="C49" s="39">
        <v>2020</v>
      </c>
      <c r="D49" s="76" t="s">
        <v>343</v>
      </c>
      <c r="E49" s="39" t="s">
        <v>259</v>
      </c>
      <c r="F49" s="39" t="s">
        <v>265</v>
      </c>
      <c r="G49" s="39" t="s">
        <v>36</v>
      </c>
      <c r="H49" s="39" t="s">
        <v>146</v>
      </c>
      <c r="I49" s="39" t="s">
        <v>142</v>
      </c>
      <c r="J49" s="39" t="s">
        <v>38</v>
      </c>
      <c r="K49" s="39" t="s">
        <v>143</v>
      </c>
      <c r="L49" s="39">
        <v>3</v>
      </c>
      <c r="N49" s="39">
        <v>8</v>
      </c>
      <c r="O49" s="39">
        <v>0.7</v>
      </c>
      <c r="P49" s="39">
        <v>0.8</v>
      </c>
      <c r="Q49" s="45">
        <v>0.48</v>
      </c>
      <c r="R49" s="39">
        <v>15.2</v>
      </c>
      <c r="S49" s="39">
        <v>120</v>
      </c>
      <c r="T49" s="45">
        <f t="shared" si="2"/>
        <v>30</v>
      </c>
      <c r="U49" s="39">
        <v>1274</v>
      </c>
      <c r="V49" s="45">
        <f t="shared" si="1"/>
        <v>4777.5</v>
      </c>
      <c r="W49" s="39">
        <v>3</v>
      </c>
      <c r="X49" s="39" t="s">
        <v>46</v>
      </c>
      <c r="Y49" s="39" t="s">
        <v>69</v>
      </c>
      <c r="Z49" s="39" t="s">
        <v>55</v>
      </c>
      <c r="AA49" s="39" t="s">
        <v>47</v>
      </c>
      <c r="AB49" s="39" t="s">
        <v>331</v>
      </c>
    </row>
    <row r="50" spans="1:28" x14ac:dyDescent="0.15">
      <c r="A50" s="39" t="s">
        <v>41</v>
      </c>
      <c r="B50" s="77" t="s">
        <v>332</v>
      </c>
      <c r="C50" s="39">
        <v>2020</v>
      </c>
      <c r="D50" s="76" t="s">
        <v>343</v>
      </c>
      <c r="E50" s="39" t="s">
        <v>260</v>
      </c>
      <c r="F50" s="39" t="s">
        <v>265</v>
      </c>
      <c r="G50" s="39" t="s">
        <v>36</v>
      </c>
      <c r="H50" s="39" t="s">
        <v>146</v>
      </c>
      <c r="I50" s="39" t="s">
        <v>142</v>
      </c>
      <c r="J50" s="39" t="s">
        <v>38</v>
      </c>
      <c r="K50" s="39" t="s">
        <v>143</v>
      </c>
      <c r="L50" s="39">
        <v>1</v>
      </c>
      <c r="N50" s="39">
        <v>1</v>
      </c>
      <c r="O50" s="39">
        <v>0.55000000000000004</v>
      </c>
      <c r="P50" s="39">
        <v>0.55000000000000004</v>
      </c>
      <c r="Q50" s="61">
        <v>0.55000000000000004</v>
      </c>
      <c r="R50" s="39">
        <v>13</v>
      </c>
      <c r="S50" s="39">
        <v>120</v>
      </c>
      <c r="T50" s="45">
        <f t="shared" ref="T50:T105" si="3">IF(H50="","",IF(OR(H50="GREEN",H50="GK"),IF(S50&gt;=$AX$2,VLOOKUP(S50,$AX$2:$AY$10,2,1),""),IF(S50&gt;=$AZ$2,VLOOKUP(S50,$AZ$2:$BA$10,2,1),"")))</f>
        <v>30</v>
      </c>
      <c r="U50" s="39">
        <v>105</v>
      </c>
      <c r="V50" s="45">
        <f t="shared" si="1"/>
        <v>3150</v>
      </c>
      <c r="W50" s="39">
        <v>6</v>
      </c>
      <c r="X50" s="39" t="s">
        <v>46</v>
      </c>
      <c r="Y50" s="39" t="s">
        <v>55</v>
      </c>
      <c r="Z50" s="39" t="s">
        <v>69</v>
      </c>
      <c r="AA50" s="39" t="s">
        <v>40</v>
      </c>
      <c r="AB50" s="39" t="s">
        <v>331</v>
      </c>
    </row>
    <row r="51" spans="1:28" x14ac:dyDescent="0.15">
      <c r="A51" s="39" t="s">
        <v>41</v>
      </c>
      <c r="B51" s="77" t="s">
        <v>332</v>
      </c>
      <c r="C51" s="39">
        <v>2020</v>
      </c>
      <c r="D51" s="76" t="s">
        <v>343</v>
      </c>
      <c r="E51" s="39" t="s">
        <v>260</v>
      </c>
      <c r="F51" s="39" t="s">
        <v>265</v>
      </c>
      <c r="G51" s="39" t="s">
        <v>36</v>
      </c>
      <c r="H51" s="39" t="s">
        <v>146</v>
      </c>
      <c r="I51" s="39" t="s">
        <v>142</v>
      </c>
      <c r="J51" s="39" t="s">
        <v>38</v>
      </c>
      <c r="K51" s="39" t="s">
        <v>143</v>
      </c>
      <c r="L51" s="39">
        <v>2</v>
      </c>
      <c r="N51" s="39">
        <v>1</v>
      </c>
      <c r="O51" s="39">
        <v>0.65</v>
      </c>
      <c r="P51" s="39">
        <v>0.65</v>
      </c>
      <c r="Q51" s="61">
        <v>0.65</v>
      </c>
      <c r="R51" s="39">
        <v>14.5</v>
      </c>
      <c r="S51" s="39">
        <v>114</v>
      </c>
      <c r="T51" s="45">
        <f t="shared" si="3"/>
        <v>30</v>
      </c>
      <c r="U51" s="39">
        <v>105</v>
      </c>
      <c r="V51" s="45">
        <f t="shared" si="1"/>
        <v>3150</v>
      </c>
      <c r="W51" s="39">
        <v>6</v>
      </c>
      <c r="X51" s="39" t="s">
        <v>46</v>
      </c>
      <c r="Y51" s="39" t="s">
        <v>55</v>
      </c>
      <c r="Z51" s="39" t="s">
        <v>69</v>
      </c>
      <c r="AA51" s="39" t="s">
        <v>40</v>
      </c>
      <c r="AB51" s="39" t="s">
        <v>331</v>
      </c>
    </row>
    <row r="52" spans="1:28" x14ac:dyDescent="0.15">
      <c r="A52" s="39" t="s">
        <v>41</v>
      </c>
      <c r="B52" s="77" t="s">
        <v>332</v>
      </c>
      <c r="C52" s="39">
        <v>2020</v>
      </c>
      <c r="D52" s="76" t="s">
        <v>343</v>
      </c>
      <c r="E52" s="39" t="s">
        <v>260</v>
      </c>
      <c r="F52" s="39" t="s">
        <v>265</v>
      </c>
      <c r="G52" s="39" t="s">
        <v>36</v>
      </c>
      <c r="H52" s="39" t="s">
        <v>146</v>
      </c>
      <c r="I52" s="39" t="s">
        <v>142</v>
      </c>
      <c r="J52" s="39" t="s">
        <v>38</v>
      </c>
      <c r="K52" s="39" t="s">
        <v>143</v>
      </c>
      <c r="L52" s="39">
        <v>3</v>
      </c>
      <c r="N52" s="39">
        <v>1</v>
      </c>
      <c r="O52" s="39">
        <v>0.7</v>
      </c>
      <c r="P52" s="39">
        <v>0.6</v>
      </c>
      <c r="Q52" s="61">
        <v>0.65</v>
      </c>
      <c r="R52" s="39">
        <v>13.2</v>
      </c>
      <c r="S52" s="39">
        <v>118</v>
      </c>
      <c r="T52" s="45">
        <f t="shared" si="3"/>
        <v>30</v>
      </c>
      <c r="U52" s="39">
        <v>105</v>
      </c>
      <c r="V52" s="45">
        <f t="shared" si="1"/>
        <v>3150</v>
      </c>
      <c r="W52" s="39">
        <v>6</v>
      </c>
      <c r="X52" s="39" t="s">
        <v>46</v>
      </c>
      <c r="Y52" s="39" t="s">
        <v>55</v>
      </c>
      <c r="Z52" s="39" t="s">
        <v>69</v>
      </c>
      <c r="AA52" s="39" t="s">
        <v>40</v>
      </c>
      <c r="AB52" s="39" t="s">
        <v>331</v>
      </c>
    </row>
    <row r="53" spans="1:28" x14ac:dyDescent="0.15">
      <c r="A53" s="39" t="s">
        <v>41</v>
      </c>
      <c r="B53" s="77" t="s">
        <v>332</v>
      </c>
      <c r="C53" s="39">
        <v>2020</v>
      </c>
      <c r="D53" s="76" t="s">
        <v>343</v>
      </c>
      <c r="E53" s="39" t="s">
        <v>260</v>
      </c>
      <c r="F53" s="39" t="s">
        <v>265</v>
      </c>
      <c r="G53" s="39" t="s">
        <v>36</v>
      </c>
      <c r="H53" s="39" t="s">
        <v>171</v>
      </c>
      <c r="I53" s="39" t="s">
        <v>142</v>
      </c>
      <c r="J53" s="39" t="s">
        <v>80</v>
      </c>
      <c r="K53" s="39" t="s">
        <v>45</v>
      </c>
      <c r="L53" s="39">
        <v>1</v>
      </c>
      <c r="N53" s="39">
        <v>1</v>
      </c>
      <c r="O53" s="39">
        <v>1.2</v>
      </c>
      <c r="P53" s="39">
        <v>1.35</v>
      </c>
      <c r="Q53" s="45">
        <v>0.3</v>
      </c>
      <c r="R53" s="39">
        <v>14.8</v>
      </c>
      <c r="S53" s="39">
        <v>122</v>
      </c>
      <c r="T53" s="45">
        <f t="shared" si="3"/>
        <v>27</v>
      </c>
      <c r="U53" s="39">
        <v>105</v>
      </c>
      <c r="V53" s="45">
        <f t="shared" si="1"/>
        <v>2835</v>
      </c>
      <c r="W53" s="39">
        <v>2</v>
      </c>
      <c r="X53" s="39" t="s">
        <v>46</v>
      </c>
      <c r="Y53" s="39" t="s">
        <v>55</v>
      </c>
      <c r="Z53" s="39" t="s">
        <v>69</v>
      </c>
      <c r="AA53" s="39" t="s">
        <v>40</v>
      </c>
      <c r="AB53" s="39" t="s">
        <v>331</v>
      </c>
    </row>
    <row r="54" spans="1:28" x14ac:dyDescent="0.15">
      <c r="A54" s="39" t="s">
        <v>41</v>
      </c>
      <c r="B54" s="77" t="s">
        <v>332</v>
      </c>
      <c r="C54" s="39">
        <v>2020</v>
      </c>
      <c r="D54" s="76" t="s">
        <v>343</v>
      </c>
      <c r="E54" s="39" t="s">
        <v>260</v>
      </c>
      <c r="F54" s="39" t="s">
        <v>265</v>
      </c>
      <c r="G54" s="39" t="s">
        <v>36</v>
      </c>
      <c r="H54" s="39" t="s">
        <v>171</v>
      </c>
      <c r="I54" s="39" t="s">
        <v>142</v>
      </c>
      <c r="J54" s="39" t="s">
        <v>80</v>
      </c>
      <c r="K54" s="39" t="s">
        <v>45</v>
      </c>
      <c r="L54" s="39">
        <v>2</v>
      </c>
      <c r="N54" s="39">
        <v>1</v>
      </c>
      <c r="O54" s="39">
        <v>0.9</v>
      </c>
      <c r="P54" s="39">
        <v>1</v>
      </c>
      <c r="Q54" s="45">
        <v>0.4</v>
      </c>
      <c r="R54" s="39">
        <v>10.199999999999999</v>
      </c>
      <c r="S54" s="39">
        <v>120</v>
      </c>
      <c r="T54" s="45">
        <f t="shared" si="3"/>
        <v>30</v>
      </c>
      <c r="U54" s="39">
        <v>105</v>
      </c>
      <c r="V54" s="45">
        <f t="shared" si="1"/>
        <v>3150</v>
      </c>
      <c r="W54" s="39">
        <v>2</v>
      </c>
      <c r="X54" s="39" t="s">
        <v>46</v>
      </c>
      <c r="Y54" s="39" t="s">
        <v>55</v>
      </c>
      <c r="Z54" s="39" t="s">
        <v>69</v>
      </c>
      <c r="AA54" s="39" t="s">
        <v>40</v>
      </c>
      <c r="AB54" s="39" t="s">
        <v>331</v>
      </c>
    </row>
    <row r="55" spans="1:28" x14ac:dyDescent="0.15">
      <c r="A55" s="39" t="s">
        <v>41</v>
      </c>
      <c r="B55" s="77" t="s">
        <v>332</v>
      </c>
      <c r="C55" s="39">
        <v>2020</v>
      </c>
      <c r="D55" s="76" t="s">
        <v>343</v>
      </c>
      <c r="E55" s="39" t="s">
        <v>260</v>
      </c>
      <c r="F55" s="39" t="s">
        <v>265</v>
      </c>
      <c r="G55" s="39" t="s">
        <v>36</v>
      </c>
      <c r="H55" s="39" t="s">
        <v>171</v>
      </c>
      <c r="I55" s="39" t="s">
        <v>142</v>
      </c>
      <c r="J55" s="39" t="s">
        <v>80</v>
      </c>
      <c r="K55" s="39" t="s">
        <v>45</v>
      </c>
      <c r="L55" s="39">
        <v>3</v>
      </c>
      <c r="N55" s="39">
        <v>1</v>
      </c>
      <c r="O55" s="39">
        <v>1.5</v>
      </c>
      <c r="P55" s="39">
        <v>1.5</v>
      </c>
      <c r="Q55" s="45">
        <v>0.43</v>
      </c>
      <c r="R55" s="39">
        <v>13.7</v>
      </c>
      <c r="S55" s="39">
        <v>117</v>
      </c>
      <c r="T55" s="45">
        <f t="shared" si="3"/>
        <v>30</v>
      </c>
      <c r="U55" s="39">
        <v>105</v>
      </c>
      <c r="V55" s="45">
        <f t="shared" si="1"/>
        <v>3150</v>
      </c>
      <c r="W55" s="39">
        <v>2</v>
      </c>
      <c r="X55" s="39" t="s">
        <v>46</v>
      </c>
      <c r="Y55" s="39" t="s">
        <v>55</v>
      </c>
      <c r="Z55" s="39" t="s">
        <v>69</v>
      </c>
      <c r="AA55" s="39" t="s">
        <v>40</v>
      </c>
      <c r="AB55" s="39" t="s">
        <v>331</v>
      </c>
    </row>
    <row r="56" spans="1:28" x14ac:dyDescent="0.15">
      <c r="A56" s="39" t="s">
        <v>41</v>
      </c>
      <c r="B56" s="39" t="s">
        <v>332</v>
      </c>
      <c r="C56" s="39">
        <v>2020</v>
      </c>
      <c r="D56" s="76" t="s">
        <v>343</v>
      </c>
      <c r="E56" s="39" t="s">
        <v>260</v>
      </c>
      <c r="F56" s="39" t="s">
        <v>265</v>
      </c>
      <c r="G56" s="39" t="s">
        <v>36</v>
      </c>
      <c r="H56" s="39" t="s">
        <v>146</v>
      </c>
      <c r="I56" s="39" t="s">
        <v>142</v>
      </c>
      <c r="J56" s="39" t="s">
        <v>38</v>
      </c>
      <c r="K56" s="39" t="s">
        <v>143</v>
      </c>
      <c r="L56" s="39">
        <v>1</v>
      </c>
      <c r="N56" s="39">
        <v>4</v>
      </c>
      <c r="O56" s="39">
        <v>0.6</v>
      </c>
      <c r="P56" s="39">
        <v>0.65</v>
      </c>
      <c r="Q56" s="45">
        <v>1.03</v>
      </c>
      <c r="R56" s="39">
        <v>12.8</v>
      </c>
      <c r="S56" s="39">
        <v>114</v>
      </c>
      <c r="T56" s="45">
        <f t="shared" si="3"/>
        <v>30</v>
      </c>
      <c r="U56" s="39">
        <v>428</v>
      </c>
      <c r="V56" s="45">
        <f t="shared" si="1"/>
        <v>3210</v>
      </c>
      <c r="W56" s="39">
        <v>3</v>
      </c>
      <c r="X56" s="39" t="s">
        <v>46</v>
      </c>
      <c r="Y56" s="39" t="s">
        <v>55</v>
      </c>
      <c r="Z56" s="39" t="s">
        <v>69</v>
      </c>
      <c r="AA56" s="39" t="s">
        <v>40</v>
      </c>
      <c r="AB56" s="39" t="s">
        <v>331</v>
      </c>
    </row>
    <row r="57" spans="1:28" x14ac:dyDescent="0.15">
      <c r="A57" s="39" t="s">
        <v>41</v>
      </c>
      <c r="B57" s="39" t="s">
        <v>332</v>
      </c>
      <c r="C57" s="39">
        <v>2020</v>
      </c>
      <c r="D57" s="76" t="s">
        <v>343</v>
      </c>
      <c r="E57" s="39" t="s">
        <v>260</v>
      </c>
      <c r="F57" s="39" t="s">
        <v>265</v>
      </c>
      <c r="G57" s="39" t="s">
        <v>36</v>
      </c>
      <c r="H57" s="39" t="s">
        <v>146</v>
      </c>
      <c r="I57" s="39" t="s">
        <v>142</v>
      </c>
      <c r="J57" s="39" t="s">
        <v>38</v>
      </c>
      <c r="K57" s="39" t="s">
        <v>143</v>
      </c>
      <c r="L57" s="39">
        <v>2</v>
      </c>
      <c r="N57" s="39">
        <v>4</v>
      </c>
      <c r="O57" s="39">
        <v>0.5</v>
      </c>
      <c r="P57" s="39">
        <v>0.5</v>
      </c>
      <c r="Q57" s="45">
        <v>0.88</v>
      </c>
      <c r="R57" s="39">
        <v>15.1</v>
      </c>
      <c r="S57" s="39">
        <v>113</v>
      </c>
      <c r="T57" s="45">
        <f t="shared" si="3"/>
        <v>30</v>
      </c>
      <c r="U57" s="39">
        <v>428</v>
      </c>
      <c r="V57" s="45">
        <f t="shared" si="1"/>
        <v>3210</v>
      </c>
      <c r="W57" s="39">
        <v>3</v>
      </c>
      <c r="X57" s="39" t="s">
        <v>46</v>
      </c>
      <c r="Y57" s="39" t="s">
        <v>55</v>
      </c>
      <c r="Z57" s="39" t="s">
        <v>69</v>
      </c>
      <c r="AA57" s="39" t="s">
        <v>40</v>
      </c>
      <c r="AB57" s="39" t="s">
        <v>331</v>
      </c>
    </row>
    <row r="58" spans="1:28" x14ac:dyDescent="0.15">
      <c r="A58" s="39" t="s">
        <v>41</v>
      </c>
      <c r="B58" s="39" t="s">
        <v>332</v>
      </c>
      <c r="C58" s="39">
        <v>2020</v>
      </c>
      <c r="D58" s="76" t="s">
        <v>343</v>
      </c>
      <c r="E58" s="39" t="s">
        <v>260</v>
      </c>
      <c r="F58" s="39" t="s">
        <v>265</v>
      </c>
      <c r="G58" s="39" t="s">
        <v>36</v>
      </c>
      <c r="H58" s="39" t="s">
        <v>146</v>
      </c>
      <c r="I58" s="39" t="s">
        <v>142</v>
      </c>
      <c r="J58" s="39" t="s">
        <v>38</v>
      </c>
      <c r="K58" s="39" t="s">
        <v>143</v>
      </c>
      <c r="L58" s="39">
        <v>3</v>
      </c>
      <c r="N58" s="39">
        <v>4</v>
      </c>
      <c r="O58" s="39">
        <v>0.8</v>
      </c>
      <c r="P58" s="39">
        <v>0.9</v>
      </c>
      <c r="Q58" s="45">
        <v>0.73</v>
      </c>
      <c r="R58" s="39">
        <v>13.1</v>
      </c>
      <c r="S58" s="39">
        <v>115</v>
      </c>
      <c r="T58" s="45">
        <f t="shared" si="3"/>
        <v>30</v>
      </c>
      <c r="U58" s="39">
        <v>428</v>
      </c>
      <c r="V58" s="45">
        <f t="shared" si="1"/>
        <v>3210</v>
      </c>
      <c r="W58" s="39">
        <v>3</v>
      </c>
      <c r="X58" s="39" t="s">
        <v>46</v>
      </c>
      <c r="Y58" s="39" t="s">
        <v>55</v>
      </c>
      <c r="Z58" s="39" t="s">
        <v>69</v>
      </c>
      <c r="AA58" s="39" t="s">
        <v>40</v>
      </c>
      <c r="AB58" s="39" t="s">
        <v>331</v>
      </c>
    </row>
    <row r="59" spans="1:28" x14ac:dyDescent="0.15">
      <c r="A59" s="39" t="s">
        <v>41</v>
      </c>
      <c r="B59" s="39" t="s">
        <v>332</v>
      </c>
      <c r="C59" s="39">
        <v>2020</v>
      </c>
      <c r="D59" s="76" t="s">
        <v>343</v>
      </c>
      <c r="E59" s="39" t="s">
        <v>262</v>
      </c>
      <c r="F59" s="39" t="s">
        <v>340</v>
      </c>
      <c r="G59" s="39" t="s">
        <v>36</v>
      </c>
      <c r="H59" s="39" t="s">
        <v>146</v>
      </c>
      <c r="I59" s="39" t="s">
        <v>142</v>
      </c>
      <c r="J59" s="39" t="s">
        <v>38</v>
      </c>
      <c r="K59" s="39" t="s">
        <v>143</v>
      </c>
      <c r="L59" s="39">
        <v>1</v>
      </c>
      <c r="N59" s="39">
        <v>1</v>
      </c>
      <c r="O59" s="39">
        <v>0.5</v>
      </c>
      <c r="P59" s="39">
        <v>0.5</v>
      </c>
      <c r="Q59" s="45">
        <v>0.48</v>
      </c>
      <c r="R59" s="39">
        <v>13.6</v>
      </c>
      <c r="S59" s="39">
        <v>130</v>
      </c>
      <c r="T59" s="45">
        <f t="shared" si="3"/>
        <v>25</v>
      </c>
      <c r="U59" s="39">
        <v>138</v>
      </c>
      <c r="V59" s="45">
        <f t="shared" si="1"/>
        <v>3450</v>
      </c>
      <c r="W59" s="39">
        <v>4</v>
      </c>
      <c r="X59" s="39" t="s">
        <v>46</v>
      </c>
      <c r="Y59" s="39" t="s">
        <v>55</v>
      </c>
      <c r="Z59" s="39" t="s">
        <v>69</v>
      </c>
      <c r="AA59" s="39" t="s">
        <v>40</v>
      </c>
      <c r="AB59" s="39" t="s">
        <v>331</v>
      </c>
    </row>
    <row r="60" spans="1:28" x14ac:dyDescent="0.15">
      <c r="A60" s="39" t="s">
        <v>41</v>
      </c>
      <c r="B60" s="39" t="s">
        <v>332</v>
      </c>
      <c r="C60" s="39">
        <v>2020</v>
      </c>
      <c r="D60" s="76" t="s">
        <v>343</v>
      </c>
      <c r="E60" s="39" t="s">
        <v>262</v>
      </c>
      <c r="F60" s="39" t="s">
        <v>340</v>
      </c>
      <c r="G60" s="39" t="s">
        <v>36</v>
      </c>
      <c r="H60" s="39" t="s">
        <v>146</v>
      </c>
      <c r="I60" s="39" t="s">
        <v>142</v>
      </c>
      <c r="J60" s="39" t="s">
        <v>38</v>
      </c>
      <c r="K60" s="39" t="s">
        <v>143</v>
      </c>
      <c r="L60" s="39">
        <v>2</v>
      </c>
      <c r="N60" s="39">
        <v>1</v>
      </c>
      <c r="O60" s="39">
        <v>0.5</v>
      </c>
      <c r="P60" s="39">
        <v>0.75</v>
      </c>
      <c r="Q60" s="45">
        <v>0.7</v>
      </c>
      <c r="R60" s="39">
        <v>13</v>
      </c>
      <c r="S60" s="39">
        <v>131</v>
      </c>
      <c r="T60" s="45">
        <f t="shared" si="3"/>
        <v>25</v>
      </c>
      <c r="U60" s="39">
        <v>138</v>
      </c>
      <c r="V60" s="45">
        <f t="shared" si="1"/>
        <v>3450</v>
      </c>
      <c r="W60" s="39">
        <v>4</v>
      </c>
      <c r="X60" s="39" t="s">
        <v>46</v>
      </c>
      <c r="Y60" s="39" t="s">
        <v>55</v>
      </c>
      <c r="Z60" s="39" t="s">
        <v>69</v>
      </c>
      <c r="AA60" s="39" t="s">
        <v>40</v>
      </c>
      <c r="AB60" s="39" t="s">
        <v>331</v>
      </c>
    </row>
    <row r="61" spans="1:28" x14ac:dyDescent="0.15">
      <c r="A61" s="39" t="s">
        <v>41</v>
      </c>
      <c r="B61" s="39" t="s">
        <v>332</v>
      </c>
      <c r="C61" s="39">
        <v>2020</v>
      </c>
      <c r="D61" s="76" t="s">
        <v>343</v>
      </c>
      <c r="E61" s="39" t="s">
        <v>262</v>
      </c>
      <c r="F61" s="39" t="s">
        <v>340</v>
      </c>
      <c r="G61" s="39" t="s">
        <v>36</v>
      </c>
      <c r="H61" s="39" t="s">
        <v>146</v>
      </c>
      <c r="I61" s="39" t="s">
        <v>142</v>
      </c>
      <c r="J61" s="39" t="s">
        <v>38</v>
      </c>
      <c r="K61" s="39" t="s">
        <v>143</v>
      </c>
      <c r="L61" s="39">
        <v>3</v>
      </c>
      <c r="N61" s="39">
        <v>1</v>
      </c>
      <c r="O61" s="39">
        <v>0.45</v>
      </c>
      <c r="P61" s="39">
        <v>0.65</v>
      </c>
      <c r="Q61" s="45">
        <v>0.57999999999999996</v>
      </c>
      <c r="R61" s="39">
        <v>10.5</v>
      </c>
      <c r="S61" s="39">
        <v>128</v>
      </c>
      <c r="T61" s="45">
        <f t="shared" si="3"/>
        <v>27</v>
      </c>
      <c r="U61" s="39">
        <v>138</v>
      </c>
      <c r="V61" s="45">
        <f t="shared" si="1"/>
        <v>3726</v>
      </c>
      <c r="W61" s="39">
        <v>4</v>
      </c>
      <c r="X61" s="39" t="s">
        <v>46</v>
      </c>
      <c r="Y61" s="39" t="s">
        <v>55</v>
      </c>
      <c r="Z61" s="39" t="s">
        <v>69</v>
      </c>
      <c r="AA61" s="39" t="s">
        <v>40</v>
      </c>
      <c r="AB61" s="39" t="s">
        <v>331</v>
      </c>
    </row>
    <row r="62" spans="1:28" x14ac:dyDescent="0.15">
      <c r="A62" s="39" t="s">
        <v>41</v>
      </c>
      <c r="B62" s="39" t="s">
        <v>332</v>
      </c>
      <c r="C62" s="39">
        <v>2020</v>
      </c>
      <c r="D62" s="76" t="s">
        <v>343</v>
      </c>
      <c r="E62" s="39" t="s">
        <v>262</v>
      </c>
      <c r="F62" s="39" t="s">
        <v>340</v>
      </c>
      <c r="G62" s="39" t="s">
        <v>36</v>
      </c>
      <c r="H62" s="39" t="s">
        <v>146</v>
      </c>
      <c r="I62" s="39" t="s">
        <v>142</v>
      </c>
      <c r="J62" s="39" t="s">
        <v>38</v>
      </c>
      <c r="K62" s="39" t="s">
        <v>143</v>
      </c>
      <c r="L62" s="39">
        <v>1</v>
      </c>
      <c r="N62" s="39">
        <v>5</v>
      </c>
      <c r="O62" s="39">
        <v>0.45</v>
      </c>
      <c r="P62" s="39">
        <v>0.3</v>
      </c>
      <c r="Q62" s="45">
        <v>0.33</v>
      </c>
      <c r="R62" s="39">
        <v>13.4</v>
      </c>
      <c r="S62" s="39">
        <v>118</v>
      </c>
      <c r="T62" s="45">
        <f t="shared" si="3"/>
        <v>30</v>
      </c>
      <c r="U62" s="39">
        <v>518</v>
      </c>
      <c r="V62" s="45">
        <f t="shared" si="1"/>
        <v>3108</v>
      </c>
      <c r="W62" s="39">
        <v>2</v>
      </c>
      <c r="X62" s="39" t="s">
        <v>46</v>
      </c>
      <c r="Y62" s="39" t="s">
        <v>55</v>
      </c>
      <c r="Z62" s="39" t="s">
        <v>69</v>
      </c>
      <c r="AA62" s="39" t="s">
        <v>40</v>
      </c>
      <c r="AB62" s="39" t="s">
        <v>331</v>
      </c>
    </row>
    <row r="63" spans="1:28" x14ac:dyDescent="0.15">
      <c r="A63" s="39" t="s">
        <v>41</v>
      </c>
      <c r="B63" s="39" t="s">
        <v>332</v>
      </c>
      <c r="C63" s="39">
        <v>2020</v>
      </c>
      <c r="D63" s="76" t="s">
        <v>343</v>
      </c>
      <c r="E63" s="39" t="s">
        <v>262</v>
      </c>
      <c r="F63" s="39" t="s">
        <v>340</v>
      </c>
      <c r="G63" s="39" t="s">
        <v>36</v>
      </c>
      <c r="H63" s="39" t="s">
        <v>146</v>
      </c>
      <c r="I63" s="39" t="s">
        <v>142</v>
      </c>
      <c r="J63" s="39" t="s">
        <v>38</v>
      </c>
      <c r="K63" s="39" t="s">
        <v>143</v>
      </c>
      <c r="L63" s="39">
        <v>2</v>
      </c>
      <c r="N63" s="39">
        <v>5</v>
      </c>
      <c r="O63" s="39">
        <v>0.8</v>
      </c>
      <c r="P63" s="39">
        <v>0.7</v>
      </c>
      <c r="Q63" s="45">
        <f t="shared" ref="Q63:Q104" si="4">IF(OR(O63="",P63=""),"",AVERAGE(O63,P63))</f>
        <v>0.75</v>
      </c>
      <c r="R63" s="39">
        <v>12.8</v>
      </c>
      <c r="S63" s="39">
        <v>115</v>
      </c>
      <c r="T63" s="45">
        <f t="shared" si="3"/>
        <v>30</v>
      </c>
      <c r="U63" s="39">
        <v>518</v>
      </c>
      <c r="V63" s="45">
        <f t="shared" si="1"/>
        <v>3108</v>
      </c>
      <c r="W63" s="39">
        <v>2</v>
      </c>
      <c r="X63" s="39" t="s">
        <v>46</v>
      </c>
      <c r="Y63" s="39" t="s">
        <v>55</v>
      </c>
      <c r="Z63" s="39" t="s">
        <v>69</v>
      </c>
      <c r="AA63" s="39" t="s">
        <v>40</v>
      </c>
      <c r="AB63" s="39" t="s">
        <v>331</v>
      </c>
    </row>
    <row r="64" spans="1:28" x14ac:dyDescent="0.15">
      <c r="A64" s="39" t="s">
        <v>41</v>
      </c>
      <c r="B64" s="39" t="s">
        <v>332</v>
      </c>
      <c r="C64" s="39">
        <v>2020</v>
      </c>
      <c r="D64" s="76" t="s">
        <v>343</v>
      </c>
      <c r="E64" s="39" t="s">
        <v>262</v>
      </c>
      <c r="F64" s="39" t="s">
        <v>340</v>
      </c>
      <c r="G64" s="39" t="s">
        <v>36</v>
      </c>
      <c r="H64" s="39" t="s">
        <v>146</v>
      </c>
      <c r="I64" s="39" t="s">
        <v>142</v>
      </c>
      <c r="J64" s="39" t="s">
        <v>38</v>
      </c>
      <c r="K64" s="39" t="s">
        <v>143</v>
      </c>
      <c r="L64" s="39">
        <v>3</v>
      </c>
      <c r="N64" s="39">
        <v>5</v>
      </c>
      <c r="O64" s="39">
        <v>0.95</v>
      </c>
      <c r="P64" s="39">
        <v>0.85</v>
      </c>
      <c r="Q64" s="45">
        <f t="shared" si="4"/>
        <v>0.89999999999999991</v>
      </c>
      <c r="R64" s="39">
        <v>14.1</v>
      </c>
      <c r="S64" s="39">
        <v>116</v>
      </c>
      <c r="T64" s="45">
        <f t="shared" si="3"/>
        <v>30</v>
      </c>
      <c r="U64" s="39">
        <v>518</v>
      </c>
      <c r="V64" s="45">
        <f t="shared" si="1"/>
        <v>3108</v>
      </c>
      <c r="W64" s="39">
        <v>2</v>
      </c>
      <c r="X64" s="39" t="s">
        <v>46</v>
      </c>
      <c r="Y64" s="39" t="s">
        <v>55</v>
      </c>
      <c r="Z64" s="39" t="s">
        <v>69</v>
      </c>
      <c r="AA64" s="39" t="s">
        <v>40</v>
      </c>
      <c r="AB64" s="39" t="s">
        <v>331</v>
      </c>
    </row>
    <row r="65" spans="1:28" x14ac:dyDescent="0.15">
      <c r="A65" s="39" t="s">
        <v>41</v>
      </c>
      <c r="B65" s="39" t="s">
        <v>332</v>
      </c>
      <c r="C65" s="39">
        <v>2020</v>
      </c>
      <c r="D65" s="76" t="s">
        <v>343</v>
      </c>
      <c r="E65" s="39" t="s">
        <v>262</v>
      </c>
      <c r="F65" s="39" t="s">
        <v>340</v>
      </c>
      <c r="G65" s="39" t="s">
        <v>36</v>
      </c>
      <c r="H65" s="39" t="s">
        <v>146</v>
      </c>
      <c r="I65" s="39" t="s">
        <v>142</v>
      </c>
      <c r="J65" s="39" t="s">
        <v>38</v>
      </c>
      <c r="K65" s="39" t="s">
        <v>143</v>
      </c>
      <c r="L65" s="39">
        <v>1</v>
      </c>
      <c r="N65" s="39">
        <v>7</v>
      </c>
      <c r="O65" s="39">
        <v>0.45</v>
      </c>
      <c r="P65" s="39">
        <v>0.5</v>
      </c>
      <c r="Q65" s="45">
        <f t="shared" si="4"/>
        <v>0.47499999999999998</v>
      </c>
      <c r="R65" s="39">
        <v>16</v>
      </c>
      <c r="S65" s="39">
        <v>110</v>
      </c>
      <c r="T65" s="45">
        <f t="shared" si="3"/>
        <v>33</v>
      </c>
      <c r="U65" s="39">
        <v>950</v>
      </c>
      <c r="V65" s="45">
        <f t="shared" si="1"/>
        <v>4478.5714285714284</v>
      </c>
      <c r="W65" s="39">
        <v>3</v>
      </c>
      <c r="X65" s="39" t="s">
        <v>46</v>
      </c>
      <c r="Y65" s="39" t="s">
        <v>55</v>
      </c>
      <c r="Z65" s="39" t="s">
        <v>69</v>
      </c>
      <c r="AA65" s="39" t="s">
        <v>40</v>
      </c>
      <c r="AB65" s="39" t="s">
        <v>331</v>
      </c>
    </row>
    <row r="66" spans="1:28" x14ac:dyDescent="0.15">
      <c r="A66" s="39" t="s">
        <v>41</v>
      </c>
      <c r="B66" s="39" t="s">
        <v>332</v>
      </c>
      <c r="C66" s="39">
        <v>2020</v>
      </c>
      <c r="D66" s="76" t="s">
        <v>343</v>
      </c>
      <c r="E66" s="39" t="s">
        <v>262</v>
      </c>
      <c r="F66" s="39" t="s">
        <v>340</v>
      </c>
      <c r="G66" s="39" t="s">
        <v>36</v>
      </c>
      <c r="H66" s="39" t="s">
        <v>146</v>
      </c>
      <c r="I66" s="39" t="s">
        <v>142</v>
      </c>
      <c r="J66" s="39" t="s">
        <v>38</v>
      </c>
      <c r="K66" s="39" t="s">
        <v>143</v>
      </c>
      <c r="L66" s="39">
        <v>2</v>
      </c>
      <c r="N66" s="39">
        <v>7</v>
      </c>
      <c r="O66" s="39">
        <v>0.6</v>
      </c>
      <c r="P66" s="39">
        <v>0.55000000000000004</v>
      </c>
      <c r="Q66" s="45">
        <f t="shared" si="4"/>
        <v>0.57499999999999996</v>
      </c>
      <c r="R66" s="39">
        <v>16.8</v>
      </c>
      <c r="S66" s="39">
        <v>108</v>
      </c>
      <c r="T66" s="45">
        <f t="shared" si="3"/>
        <v>33</v>
      </c>
      <c r="U66" s="39">
        <v>950</v>
      </c>
      <c r="V66" s="45">
        <f t="shared" ref="V66:V103" si="5">IF(OR(N66="",U66="",T66=""),"",U66/N66*T66)</f>
        <v>4478.5714285714284</v>
      </c>
      <c r="W66" s="39">
        <v>3</v>
      </c>
      <c r="X66" s="39" t="s">
        <v>46</v>
      </c>
      <c r="Y66" s="39" t="s">
        <v>55</v>
      </c>
      <c r="Z66" s="39" t="s">
        <v>69</v>
      </c>
      <c r="AA66" s="39" t="s">
        <v>40</v>
      </c>
      <c r="AB66" s="39" t="s">
        <v>331</v>
      </c>
    </row>
    <row r="67" spans="1:28" x14ac:dyDescent="0.15">
      <c r="A67" s="39" t="s">
        <v>41</v>
      </c>
      <c r="B67" s="39" t="s">
        <v>332</v>
      </c>
      <c r="C67" s="39">
        <v>2020</v>
      </c>
      <c r="D67" s="76" t="s">
        <v>343</v>
      </c>
      <c r="E67" s="39" t="s">
        <v>262</v>
      </c>
      <c r="F67" s="39" t="s">
        <v>340</v>
      </c>
      <c r="G67" s="39" t="s">
        <v>36</v>
      </c>
      <c r="H67" s="39" t="s">
        <v>146</v>
      </c>
      <c r="I67" s="39" t="s">
        <v>142</v>
      </c>
      <c r="J67" s="39" t="s">
        <v>38</v>
      </c>
      <c r="K67" s="39" t="s">
        <v>143</v>
      </c>
      <c r="L67" s="39">
        <v>3</v>
      </c>
      <c r="N67" s="39">
        <v>7</v>
      </c>
      <c r="O67" s="39">
        <v>0.5</v>
      </c>
      <c r="P67" s="39">
        <v>0.65</v>
      </c>
      <c r="Q67" s="45">
        <f t="shared" si="4"/>
        <v>0.57499999999999996</v>
      </c>
      <c r="R67" s="39">
        <v>17</v>
      </c>
      <c r="S67" s="39">
        <v>110</v>
      </c>
      <c r="T67" s="45">
        <f t="shared" si="3"/>
        <v>33</v>
      </c>
      <c r="U67" s="39">
        <v>950</v>
      </c>
      <c r="V67" s="45">
        <f t="shared" si="5"/>
        <v>4478.5714285714284</v>
      </c>
      <c r="W67" s="39">
        <v>3</v>
      </c>
      <c r="X67" s="39" t="s">
        <v>46</v>
      </c>
      <c r="Y67" s="39" t="s">
        <v>55</v>
      </c>
      <c r="Z67" s="39" t="s">
        <v>69</v>
      </c>
      <c r="AA67" s="39" t="s">
        <v>40</v>
      </c>
      <c r="AB67" s="39" t="s">
        <v>331</v>
      </c>
    </row>
    <row r="68" spans="1:28" x14ac:dyDescent="0.15">
      <c r="A68" s="39" t="s">
        <v>41</v>
      </c>
      <c r="B68" s="39" t="s">
        <v>332</v>
      </c>
      <c r="C68" s="39">
        <v>2020</v>
      </c>
      <c r="D68" s="76" t="s">
        <v>343</v>
      </c>
      <c r="E68" s="39" t="s">
        <v>262</v>
      </c>
      <c r="F68" s="39" t="s">
        <v>267</v>
      </c>
      <c r="G68" s="39" t="s">
        <v>36</v>
      </c>
      <c r="H68" s="39" t="s">
        <v>146</v>
      </c>
      <c r="I68" s="39" t="s">
        <v>142</v>
      </c>
      <c r="J68" s="39" t="s">
        <v>38</v>
      </c>
      <c r="K68" s="39" t="s">
        <v>143</v>
      </c>
      <c r="L68" s="39">
        <v>1</v>
      </c>
      <c r="N68" s="39">
        <v>1</v>
      </c>
      <c r="O68" s="39">
        <v>1</v>
      </c>
      <c r="P68" s="39">
        <v>1.2</v>
      </c>
      <c r="Q68" s="61">
        <f t="shared" si="4"/>
        <v>1.1000000000000001</v>
      </c>
      <c r="R68" s="39">
        <v>19.100000000000001</v>
      </c>
      <c r="S68" s="39">
        <v>132</v>
      </c>
      <c r="T68" s="45">
        <f t="shared" si="3"/>
        <v>25</v>
      </c>
      <c r="U68" s="39">
        <v>105</v>
      </c>
      <c r="V68" s="45">
        <f t="shared" si="5"/>
        <v>2625</v>
      </c>
      <c r="W68" s="39">
        <v>4</v>
      </c>
      <c r="X68" s="39" t="s">
        <v>46</v>
      </c>
      <c r="Y68" s="39" t="s">
        <v>55</v>
      </c>
      <c r="Z68" s="39" t="s">
        <v>69</v>
      </c>
      <c r="AA68" s="39" t="s">
        <v>40</v>
      </c>
      <c r="AB68" s="39" t="s">
        <v>331</v>
      </c>
    </row>
    <row r="69" spans="1:28" x14ac:dyDescent="0.15">
      <c r="A69" s="39" t="s">
        <v>41</v>
      </c>
      <c r="B69" s="39" t="s">
        <v>332</v>
      </c>
      <c r="C69" s="39">
        <v>2020</v>
      </c>
      <c r="D69" s="76" t="s">
        <v>343</v>
      </c>
      <c r="E69" s="39" t="s">
        <v>262</v>
      </c>
      <c r="F69" s="39" t="s">
        <v>267</v>
      </c>
      <c r="G69" s="39" t="s">
        <v>36</v>
      </c>
      <c r="H69" s="39" t="s">
        <v>146</v>
      </c>
      <c r="I69" s="39" t="s">
        <v>142</v>
      </c>
      <c r="J69" s="39" t="s">
        <v>38</v>
      </c>
      <c r="K69" s="39" t="s">
        <v>143</v>
      </c>
      <c r="L69" s="39">
        <v>2</v>
      </c>
      <c r="N69" s="39">
        <v>1</v>
      </c>
      <c r="O69" s="39">
        <v>0.9</v>
      </c>
      <c r="P69" s="39">
        <v>1</v>
      </c>
      <c r="Q69" s="61">
        <f t="shared" si="4"/>
        <v>0.95</v>
      </c>
      <c r="R69" s="39">
        <v>14.5</v>
      </c>
      <c r="S69" s="39">
        <v>128</v>
      </c>
      <c r="T69" s="45">
        <f t="shared" si="3"/>
        <v>27</v>
      </c>
      <c r="U69" s="39">
        <v>105</v>
      </c>
      <c r="V69" s="45">
        <f t="shared" si="5"/>
        <v>2835</v>
      </c>
      <c r="W69" s="39">
        <v>4</v>
      </c>
      <c r="X69" s="39" t="s">
        <v>46</v>
      </c>
      <c r="Y69" s="39" t="s">
        <v>55</v>
      </c>
      <c r="Z69" s="39" t="s">
        <v>69</v>
      </c>
      <c r="AA69" s="39" t="s">
        <v>40</v>
      </c>
      <c r="AB69" s="39" t="s">
        <v>331</v>
      </c>
    </row>
    <row r="70" spans="1:28" x14ac:dyDescent="0.15">
      <c r="A70" s="39" t="s">
        <v>41</v>
      </c>
      <c r="B70" s="39" t="s">
        <v>332</v>
      </c>
      <c r="C70" s="39">
        <v>2020</v>
      </c>
      <c r="D70" s="76" t="s">
        <v>343</v>
      </c>
      <c r="E70" s="39" t="s">
        <v>262</v>
      </c>
      <c r="F70" s="39" t="s">
        <v>267</v>
      </c>
      <c r="G70" s="39" t="s">
        <v>36</v>
      </c>
      <c r="H70" s="39" t="s">
        <v>146</v>
      </c>
      <c r="I70" s="39" t="s">
        <v>142</v>
      </c>
      <c r="J70" s="39" t="s">
        <v>38</v>
      </c>
      <c r="K70" s="39" t="s">
        <v>143</v>
      </c>
      <c r="L70" s="39">
        <v>3</v>
      </c>
      <c r="N70" s="39">
        <v>1</v>
      </c>
      <c r="O70" s="39">
        <v>0.8</v>
      </c>
      <c r="P70" s="39">
        <v>0.75</v>
      </c>
      <c r="Q70" s="61">
        <f t="shared" si="4"/>
        <v>0.77500000000000002</v>
      </c>
      <c r="R70" s="39">
        <v>16</v>
      </c>
      <c r="S70" s="39">
        <v>130</v>
      </c>
      <c r="T70" s="45">
        <f t="shared" si="3"/>
        <v>25</v>
      </c>
      <c r="U70" s="39">
        <v>105</v>
      </c>
      <c r="V70" s="45">
        <f t="shared" si="5"/>
        <v>2625</v>
      </c>
      <c r="W70" s="39">
        <v>4</v>
      </c>
      <c r="X70" s="39" t="s">
        <v>46</v>
      </c>
      <c r="Y70" s="39" t="s">
        <v>55</v>
      </c>
      <c r="Z70" s="39" t="s">
        <v>69</v>
      </c>
      <c r="AA70" s="39" t="s">
        <v>40</v>
      </c>
      <c r="AB70" s="39" t="s">
        <v>331</v>
      </c>
    </row>
    <row r="71" spans="1:28" x14ac:dyDescent="0.15">
      <c r="A71" s="39" t="s">
        <v>41</v>
      </c>
      <c r="B71" s="39" t="s">
        <v>332</v>
      </c>
      <c r="C71" s="39">
        <v>2020</v>
      </c>
      <c r="D71" s="76" t="s">
        <v>343</v>
      </c>
      <c r="E71" s="39" t="s">
        <v>262</v>
      </c>
      <c r="F71" s="39" t="s">
        <v>267</v>
      </c>
      <c r="G71" s="39" t="s">
        <v>36</v>
      </c>
      <c r="H71" s="39" t="s">
        <v>146</v>
      </c>
      <c r="I71" s="39" t="s">
        <v>142</v>
      </c>
      <c r="J71" s="39" t="s">
        <v>38</v>
      </c>
      <c r="K71" s="39" t="s">
        <v>143</v>
      </c>
      <c r="L71" s="39">
        <v>1</v>
      </c>
      <c r="N71" s="39">
        <v>4</v>
      </c>
      <c r="O71" s="39">
        <v>0.65</v>
      </c>
      <c r="P71" s="39">
        <v>0.5</v>
      </c>
      <c r="Q71" s="45">
        <f t="shared" si="4"/>
        <v>0.57499999999999996</v>
      </c>
      <c r="R71" s="39">
        <v>12.7</v>
      </c>
      <c r="S71" s="39">
        <v>124</v>
      </c>
      <c r="T71" s="1">
        <f t="shared" si="3"/>
        <v>27</v>
      </c>
      <c r="U71" s="39">
        <v>518</v>
      </c>
      <c r="V71" s="1">
        <f t="shared" si="5"/>
        <v>3496.5</v>
      </c>
      <c r="W71" s="39">
        <v>2</v>
      </c>
      <c r="X71" s="39" t="s">
        <v>46</v>
      </c>
      <c r="Y71" s="39" t="s">
        <v>55</v>
      </c>
      <c r="Z71" s="39" t="s">
        <v>69</v>
      </c>
      <c r="AA71" s="39" t="s">
        <v>40</v>
      </c>
      <c r="AB71" s="39" t="s">
        <v>331</v>
      </c>
    </row>
    <row r="72" spans="1:28" x14ac:dyDescent="0.15">
      <c r="A72" s="39" t="s">
        <v>41</v>
      </c>
      <c r="B72" s="39" t="s">
        <v>332</v>
      </c>
      <c r="C72" s="39">
        <v>2020</v>
      </c>
      <c r="D72" s="76" t="s">
        <v>343</v>
      </c>
      <c r="E72" s="39" t="s">
        <v>262</v>
      </c>
      <c r="F72" s="39" t="s">
        <v>267</v>
      </c>
      <c r="G72" s="39" t="s">
        <v>36</v>
      </c>
      <c r="H72" s="39" t="s">
        <v>146</v>
      </c>
      <c r="I72" s="39" t="s">
        <v>142</v>
      </c>
      <c r="J72" s="39" t="s">
        <v>38</v>
      </c>
      <c r="K72" s="39" t="s">
        <v>143</v>
      </c>
      <c r="L72" s="39">
        <v>2</v>
      </c>
      <c r="N72" s="39">
        <v>4</v>
      </c>
      <c r="O72" s="39">
        <v>0.35</v>
      </c>
      <c r="P72" s="39">
        <v>0.35</v>
      </c>
      <c r="Q72" s="45">
        <f t="shared" si="4"/>
        <v>0.35</v>
      </c>
      <c r="R72" s="39">
        <v>16.3</v>
      </c>
      <c r="S72" s="39">
        <v>122</v>
      </c>
      <c r="T72" s="1">
        <f t="shared" si="3"/>
        <v>27</v>
      </c>
      <c r="U72" s="39">
        <v>518</v>
      </c>
      <c r="V72" s="1">
        <f t="shared" si="5"/>
        <v>3496.5</v>
      </c>
      <c r="W72" s="39">
        <v>2</v>
      </c>
      <c r="X72" s="39" t="s">
        <v>46</v>
      </c>
      <c r="Y72" s="39" t="s">
        <v>55</v>
      </c>
      <c r="Z72" s="39" t="s">
        <v>69</v>
      </c>
      <c r="AA72" s="39" t="s">
        <v>40</v>
      </c>
      <c r="AB72" s="39" t="s">
        <v>331</v>
      </c>
    </row>
    <row r="73" spans="1:28" x14ac:dyDescent="0.15">
      <c r="A73" s="39" t="s">
        <v>41</v>
      </c>
      <c r="B73" s="39" t="s">
        <v>332</v>
      </c>
      <c r="C73" s="39">
        <v>2020</v>
      </c>
      <c r="D73" s="76" t="s">
        <v>343</v>
      </c>
      <c r="E73" s="39" t="s">
        <v>262</v>
      </c>
      <c r="F73" s="39" t="s">
        <v>267</v>
      </c>
      <c r="G73" s="39" t="s">
        <v>36</v>
      </c>
      <c r="H73" s="39" t="s">
        <v>146</v>
      </c>
      <c r="I73" s="39" t="s">
        <v>142</v>
      </c>
      <c r="J73" s="39" t="s">
        <v>38</v>
      </c>
      <c r="K73" s="39" t="s">
        <v>143</v>
      </c>
      <c r="L73" s="39">
        <v>3</v>
      </c>
      <c r="N73" s="39">
        <v>4</v>
      </c>
      <c r="O73" s="39">
        <v>0.3</v>
      </c>
      <c r="P73" s="39">
        <v>0.25</v>
      </c>
      <c r="Q73" s="45">
        <f t="shared" si="4"/>
        <v>0.27500000000000002</v>
      </c>
      <c r="R73" s="39">
        <v>13.7</v>
      </c>
      <c r="S73" s="39">
        <v>122</v>
      </c>
      <c r="T73" s="1">
        <f t="shared" si="3"/>
        <v>27</v>
      </c>
      <c r="U73" s="39">
        <v>518</v>
      </c>
      <c r="V73" s="1">
        <f t="shared" si="5"/>
        <v>3496.5</v>
      </c>
      <c r="W73" s="39">
        <v>2</v>
      </c>
      <c r="X73" s="39" t="s">
        <v>46</v>
      </c>
      <c r="Y73" s="39" t="s">
        <v>55</v>
      </c>
      <c r="Z73" s="39" t="s">
        <v>69</v>
      </c>
      <c r="AA73" s="39" t="s">
        <v>40</v>
      </c>
      <c r="AB73" s="39" t="s">
        <v>331</v>
      </c>
    </row>
    <row r="74" spans="1:28" x14ac:dyDescent="0.15">
      <c r="A74" s="39" t="s">
        <v>41</v>
      </c>
      <c r="B74" s="39" t="s">
        <v>332</v>
      </c>
      <c r="C74" s="39">
        <v>2020</v>
      </c>
      <c r="D74" s="76" t="s">
        <v>343</v>
      </c>
      <c r="E74" s="39" t="s">
        <v>262</v>
      </c>
      <c r="F74" s="39" t="s">
        <v>267</v>
      </c>
      <c r="G74" s="39" t="s">
        <v>36</v>
      </c>
      <c r="H74" s="39" t="s">
        <v>146</v>
      </c>
      <c r="I74" s="39" t="s">
        <v>142</v>
      </c>
      <c r="J74" s="39" t="s">
        <v>38</v>
      </c>
      <c r="K74" s="39" t="s">
        <v>143</v>
      </c>
      <c r="L74" s="39">
        <v>1</v>
      </c>
      <c r="N74" s="39">
        <v>7</v>
      </c>
      <c r="O74" s="39">
        <v>0.25</v>
      </c>
      <c r="P74" s="39">
        <v>0.25</v>
      </c>
      <c r="Q74" s="45">
        <f t="shared" si="4"/>
        <v>0.25</v>
      </c>
      <c r="R74" s="39">
        <v>14</v>
      </c>
      <c r="S74" s="39">
        <v>114</v>
      </c>
      <c r="T74" s="1">
        <f t="shared" si="3"/>
        <v>30</v>
      </c>
      <c r="U74" s="39">
        <v>950</v>
      </c>
      <c r="V74" s="1">
        <f t="shared" si="5"/>
        <v>4071.4285714285716</v>
      </c>
      <c r="W74" s="39">
        <v>2</v>
      </c>
      <c r="X74" s="39" t="s">
        <v>46</v>
      </c>
      <c r="Y74" s="39" t="s">
        <v>55</v>
      </c>
      <c r="Z74" s="39" t="s">
        <v>69</v>
      </c>
      <c r="AA74" s="39" t="s">
        <v>40</v>
      </c>
      <c r="AB74" s="39" t="s">
        <v>331</v>
      </c>
    </row>
    <row r="75" spans="1:28" x14ac:dyDescent="0.15">
      <c r="A75" s="39" t="s">
        <v>41</v>
      </c>
      <c r="B75" s="39" t="s">
        <v>332</v>
      </c>
      <c r="C75" s="39">
        <v>2020</v>
      </c>
      <c r="D75" s="76" t="s">
        <v>343</v>
      </c>
      <c r="E75" s="39" t="s">
        <v>262</v>
      </c>
      <c r="F75" s="39" t="s">
        <v>267</v>
      </c>
      <c r="G75" s="39" t="s">
        <v>36</v>
      </c>
      <c r="H75" s="39" t="s">
        <v>146</v>
      </c>
      <c r="I75" s="39" t="s">
        <v>142</v>
      </c>
      <c r="J75" s="39" t="s">
        <v>38</v>
      </c>
      <c r="K75" s="39" t="s">
        <v>143</v>
      </c>
      <c r="L75" s="39">
        <v>2</v>
      </c>
      <c r="N75" s="39">
        <v>7</v>
      </c>
      <c r="O75" s="39">
        <v>0.3</v>
      </c>
      <c r="P75" s="39">
        <v>0.25</v>
      </c>
      <c r="Q75" s="45">
        <f t="shared" si="4"/>
        <v>0.27500000000000002</v>
      </c>
      <c r="R75" s="39">
        <v>12.8</v>
      </c>
      <c r="S75" s="39">
        <v>118</v>
      </c>
      <c r="T75" s="1">
        <f t="shared" si="3"/>
        <v>30</v>
      </c>
      <c r="U75" s="39">
        <v>950</v>
      </c>
      <c r="V75" s="45">
        <f t="shared" si="5"/>
        <v>4071.4285714285716</v>
      </c>
      <c r="W75" s="39">
        <v>2</v>
      </c>
      <c r="X75" s="39" t="s">
        <v>46</v>
      </c>
      <c r="Y75" s="39" t="s">
        <v>55</v>
      </c>
      <c r="Z75" s="39" t="s">
        <v>69</v>
      </c>
      <c r="AA75" s="39" t="s">
        <v>40</v>
      </c>
      <c r="AB75" s="39" t="s">
        <v>331</v>
      </c>
    </row>
    <row r="76" spans="1:28" x14ac:dyDescent="0.15">
      <c r="A76" s="39" t="s">
        <v>41</v>
      </c>
      <c r="B76" s="39" t="s">
        <v>332</v>
      </c>
      <c r="C76" s="39">
        <v>2020</v>
      </c>
      <c r="D76" s="76" t="s">
        <v>343</v>
      </c>
      <c r="E76" s="39" t="s">
        <v>262</v>
      </c>
      <c r="F76" s="39" t="s">
        <v>267</v>
      </c>
      <c r="G76" s="39" t="s">
        <v>36</v>
      </c>
      <c r="H76" s="39" t="s">
        <v>146</v>
      </c>
      <c r="I76" s="39" t="s">
        <v>142</v>
      </c>
      <c r="J76" s="39" t="s">
        <v>38</v>
      </c>
      <c r="K76" s="39" t="s">
        <v>143</v>
      </c>
      <c r="L76" s="39">
        <v>3</v>
      </c>
      <c r="N76" s="39">
        <v>7</v>
      </c>
      <c r="O76" s="39">
        <v>0.4</v>
      </c>
      <c r="P76" s="39">
        <v>0.3</v>
      </c>
      <c r="Q76" s="45">
        <f t="shared" si="4"/>
        <v>0.35</v>
      </c>
      <c r="R76" s="39">
        <v>13.4</v>
      </c>
      <c r="S76" s="39">
        <v>114</v>
      </c>
      <c r="T76" s="1">
        <f t="shared" si="3"/>
        <v>30</v>
      </c>
      <c r="U76" s="39">
        <v>950</v>
      </c>
      <c r="V76" s="45">
        <f t="shared" si="5"/>
        <v>4071.4285714285716</v>
      </c>
      <c r="W76" s="39">
        <v>2</v>
      </c>
      <c r="X76" s="39" t="s">
        <v>46</v>
      </c>
      <c r="Y76" s="39" t="s">
        <v>55</v>
      </c>
      <c r="Z76" s="39" t="s">
        <v>69</v>
      </c>
      <c r="AA76" s="39" t="s">
        <v>40</v>
      </c>
      <c r="AB76" s="39" t="s">
        <v>331</v>
      </c>
    </row>
    <row r="77" spans="1:28" x14ac:dyDescent="0.15">
      <c r="A77" s="39" t="s">
        <v>41</v>
      </c>
      <c r="B77" s="39" t="s">
        <v>332</v>
      </c>
      <c r="C77" s="39">
        <v>2020</v>
      </c>
      <c r="D77" s="76" t="s">
        <v>343</v>
      </c>
      <c r="E77" s="39" t="s">
        <v>262</v>
      </c>
      <c r="F77" s="39" t="s">
        <v>267</v>
      </c>
      <c r="G77" s="39" t="s">
        <v>36</v>
      </c>
      <c r="H77" s="39" t="s">
        <v>171</v>
      </c>
      <c r="I77" s="39" t="s">
        <v>142</v>
      </c>
      <c r="J77" s="39" t="s">
        <v>58</v>
      </c>
      <c r="K77" s="39" t="s">
        <v>59</v>
      </c>
      <c r="L77" s="39">
        <v>1</v>
      </c>
      <c r="N77" s="39">
        <v>1</v>
      </c>
      <c r="O77" s="39">
        <v>1.2</v>
      </c>
      <c r="P77" s="39">
        <v>1.2</v>
      </c>
      <c r="Q77" s="45">
        <f t="shared" si="4"/>
        <v>1.2</v>
      </c>
      <c r="R77" s="39">
        <v>10.199999999999999</v>
      </c>
      <c r="S77" s="39">
        <v>135</v>
      </c>
      <c r="T77" s="1">
        <f t="shared" si="3"/>
        <v>25</v>
      </c>
      <c r="U77" s="39">
        <v>105</v>
      </c>
      <c r="V77" s="1">
        <f t="shared" si="5"/>
        <v>2625</v>
      </c>
      <c r="W77" s="39">
        <v>2</v>
      </c>
      <c r="X77" s="39" t="s">
        <v>46</v>
      </c>
      <c r="Y77" s="39" t="s">
        <v>55</v>
      </c>
      <c r="Z77" s="39" t="s">
        <v>69</v>
      </c>
      <c r="AA77" s="39" t="s">
        <v>40</v>
      </c>
      <c r="AB77" s="39" t="s">
        <v>331</v>
      </c>
    </row>
    <row r="78" spans="1:28" x14ac:dyDescent="0.15">
      <c r="A78" s="39" t="s">
        <v>41</v>
      </c>
      <c r="B78" s="39" t="s">
        <v>332</v>
      </c>
      <c r="C78" s="39">
        <v>2020</v>
      </c>
      <c r="D78" s="76" t="s">
        <v>343</v>
      </c>
      <c r="E78" s="39" t="s">
        <v>262</v>
      </c>
      <c r="F78" s="39" t="s">
        <v>267</v>
      </c>
      <c r="G78" s="39" t="s">
        <v>36</v>
      </c>
      <c r="H78" s="39" t="s">
        <v>171</v>
      </c>
      <c r="I78" s="39" t="s">
        <v>142</v>
      </c>
      <c r="J78" s="39" t="s">
        <v>58</v>
      </c>
      <c r="K78" s="39" t="s">
        <v>59</v>
      </c>
      <c r="L78" s="39">
        <v>2</v>
      </c>
      <c r="N78" s="39">
        <v>1</v>
      </c>
      <c r="O78" s="39">
        <v>1.3</v>
      </c>
      <c r="P78" s="39">
        <v>1.35</v>
      </c>
      <c r="Q78" s="45">
        <f t="shared" si="4"/>
        <v>1.3250000000000002</v>
      </c>
      <c r="R78" s="39">
        <v>13.4</v>
      </c>
      <c r="S78" s="39">
        <v>130</v>
      </c>
      <c r="T78" s="1">
        <f t="shared" si="3"/>
        <v>25</v>
      </c>
      <c r="U78" s="39">
        <v>105</v>
      </c>
      <c r="V78" s="1">
        <f t="shared" si="5"/>
        <v>2625</v>
      </c>
      <c r="W78" s="39">
        <v>2</v>
      </c>
      <c r="X78" s="39" t="s">
        <v>46</v>
      </c>
      <c r="Y78" s="39" t="s">
        <v>55</v>
      </c>
      <c r="Z78" s="39" t="s">
        <v>69</v>
      </c>
      <c r="AA78" s="39" t="s">
        <v>40</v>
      </c>
      <c r="AB78" s="39" t="s">
        <v>331</v>
      </c>
    </row>
    <row r="79" spans="1:28" x14ac:dyDescent="0.15">
      <c r="A79" s="39" t="s">
        <v>41</v>
      </c>
      <c r="B79" s="39" t="s">
        <v>332</v>
      </c>
      <c r="C79" s="39">
        <v>2020</v>
      </c>
      <c r="D79" s="76" t="s">
        <v>343</v>
      </c>
      <c r="E79" s="39" t="s">
        <v>262</v>
      </c>
      <c r="F79" s="39" t="s">
        <v>267</v>
      </c>
      <c r="G79" s="39" t="s">
        <v>36</v>
      </c>
      <c r="H79" s="39" t="s">
        <v>171</v>
      </c>
      <c r="I79" s="39" t="s">
        <v>142</v>
      </c>
      <c r="J79" s="39" t="s">
        <v>58</v>
      </c>
      <c r="K79" s="39" t="s">
        <v>59</v>
      </c>
      <c r="L79" s="39">
        <v>3</v>
      </c>
      <c r="N79" s="39">
        <v>1</v>
      </c>
      <c r="O79" s="39">
        <v>1</v>
      </c>
      <c r="P79" s="39">
        <v>1.25</v>
      </c>
      <c r="Q79" s="45">
        <f t="shared" si="4"/>
        <v>1.125</v>
      </c>
      <c r="R79" s="39">
        <v>12.9</v>
      </c>
      <c r="S79" s="39">
        <v>131</v>
      </c>
      <c r="T79" s="1">
        <f t="shared" si="3"/>
        <v>25</v>
      </c>
      <c r="U79" s="39">
        <v>105</v>
      </c>
      <c r="V79" s="1">
        <f t="shared" si="5"/>
        <v>2625</v>
      </c>
      <c r="W79" s="39">
        <v>2</v>
      </c>
      <c r="X79" s="39" t="s">
        <v>46</v>
      </c>
      <c r="Y79" s="39" t="s">
        <v>55</v>
      </c>
      <c r="Z79" s="39" t="s">
        <v>69</v>
      </c>
      <c r="AA79" s="39" t="s">
        <v>40</v>
      </c>
      <c r="AB79" s="39" t="s">
        <v>331</v>
      </c>
    </row>
    <row r="80" spans="1:28" x14ac:dyDescent="0.15">
      <c r="A80" s="39" t="s">
        <v>41</v>
      </c>
      <c r="B80" s="39" t="s">
        <v>332</v>
      </c>
      <c r="C80" s="39">
        <v>2020</v>
      </c>
      <c r="D80" s="76" t="s">
        <v>343</v>
      </c>
      <c r="E80" s="39" t="s">
        <v>262</v>
      </c>
      <c r="F80" s="39" t="s">
        <v>267</v>
      </c>
      <c r="G80" s="39" t="s">
        <v>36</v>
      </c>
      <c r="H80" s="39" t="s">
        <v>171</v>
      </c>
      <c r="I80" s="39" t="s">
        <v>142</v>
      </c>
      <c r="J80" s="39" t="s">
        <v>58</v>
      </c>
      <c r="K80" s="39" t="s">
        <v>59</v>
      </c>
      <c r="L80" s="39">
        <v>1</v>
      </c>
      <c r="N80" s="39">
        <v>4</v>
      </c>
      <c r="O80" s="39">
        <v>0.8</v>
      </c>
      <c r="P80" s="39">
        <v>0.95</v>
      </c>
      <c r="Q80" s="45">
        <f t="shared" si="4"/>
        <v>0.875</v>
      </c>
      <c r="R80" s="39">
        <v>13</v>
      </c>
      <c r="S80" s="39">
        <v>128</v>
      </c>
      <c r="T80" s="1">
        <f t="shared" si="3"/>
        <v>27</v>
      </c>
      <c r="U80" s="39">
        <v>329</v>
      </c>
      <c r="V80" s="1">
        <f t="shared" si="5"/>
        <v>2220.75</v>
      </c>
      <c r="W80" s="39">
        <v>1</v>
      </c>
      <c r="X80" s="39" t="s">
        <v>46</v>
      </c>
      <c r="Y80" s="39" t="s">
        <v>55</v>
      </c>
      <c r="Z80" s="39" t="s">
        <v>69</v>
      </c>
      <c r="AA80" s="39" t="s">
        <v>40</v>
      </c>
      <c r="AB80" s="39" t="s">
        <v>331</v>
      </c>
    </row>
    <row r="81" spans="1:28" x14ac:dyDescent="0.15">
      <c r="A81" s="39" t="s">
        <v>41</v>
      </c>
      <c r="B81" s="39" t="s">
        <v>332</v>
      </c>
      <c r="C81" s="39">
        <v>2020</v>
      </c>
      <c r="D81" s="76" t="s">
        <v>343</v>
      </c>
      <c r="E81" s="39" t="s">
        <v>262</v>
      </c>
      <c r="F81" s="39" t="s">
        <v>267</v>
      </c>
      <c r="G81" s="39" t="s">
        <v>36</v>
      </c>
      <c r="H81" s="39" t="s">
        <v>171</v>
      </c>
      <c r="I81" s="39" t="s">
        <v>142</v>
      </c>
      <c r="J81" s="39" t="s">
        <v>58</v>
      </c>
      <c r="K81" s="39" t="s">
        <v>59</v>
      </c>
      <c r="L81" s="39">
        <v>2</v>
      </c>
      <c r="N81" s="39">
        <v>4</v>
      </c>
      <c r="O81" s="39">
        <v>0.65</v>
      </c>
      <c r="P81" s="39">
        <v>0.5</v>
      </c>
      <c r="Q81" s="45">
        <f t="shared" si="4"/>
        <v>0.57499999999999996</v>
      </c>
      <c r="R81" s="39">
        <v>13.4</v>
      </c>
      <c r="S81" s="39">
        <v>130</v>
      </c>
      <c r="T81" s="1">
        <f t="shared" si="3"/>
        <v>25</v>
      </c>
      <c r="U81" s="39">
        <v>329</v>
      </c>
      <c r="V81" s="45">
        <f t="shared" si="5"/>
        <v>2056.25</v>
      </c>
      <c r="W81" s="39">
        <v>1</v>
      </c>
      <c r="X81" s="39" t="s">
        <v>46</v>
      </c>
      <c r="Y81" s="39" t="s">
        <v>55</v>
      </c>
      <c r="Z81" s="39" t="s">
        <v>69</v>
      </c>
      <c r="AA81" s="39" t="s">
        <v>40</v>
      </c>
      <c r="AB81" s="39" t="s">
        <v>331</v>
      </c>
    </row>
    <row r="82" spans="1:28" x14ac:dyDescent="0.15">
      <c r="A82" s="39" t="s">
        <v>41</v>
      </c>
      <c r="B82" s="39" t="s">
        <v>332</v>
      </c>
      <c r="C82" s="39">
        <v>2020</v>
      </c>
      <c r="D82" s="76" t="s">
        <v>343</v>
      </c>
      <c r="E82" s="39" t="s">
        <v>262</v>
      </c>
      <c r="F82" s="39" t="s">
        <v>267</v>
      </c>
      <c r="G82" s="39" t="s">
        <v>36</v>
      </c>
      <c r="H82" s="39" t="s">
        <v>171</v>
      </c>
      <c r="I82" s="39" t="s">
        <v>142</v>
      </c>
      <c r="J82" s="39" t="s">
        <v>58</v>
      </c>
      <c r="K82" s="39" t="s">
        <v>59</v>
      </c>
      <c r="L82" s="39">
        <v>3</v>
      </c>
      <c r="N82" s="39">
        <v>4</v>
      </c>
      <c r="O82" s="39">
        <v>0.8</v>
      </c>
      <c r="P82" s="39">
        <v>0.7</v>
      </c>
      <c r="Q82" s="45">
        <f t="shared" si="4"/>
        <v>0.75</v>
      </c>
      <c r="R82" s="39">
        <v>13.1</v>
      </c>
      <c r="S82" s="39">
        <v>124</v>
      </c>
      <c r="T82" s="1">
        <f t="shared" si="3"/>
        <v>27</v>
      </c>
      <c r="U82" s="39">
        <v>329</v>
      </c>
      <c r="V82" s="45">
        <f t="shared" si="5"/>
        <v>2220.75</v>
      </c>
      <c r="W82" s="39">
        <v>1</v>
      </c>
      <c r="X82" s="39" t="s">
        <v>46</v>
      </c>
      <c r="Y82" s="39" t="s">
        <v>55</v>
      </c>
      <c r="Z82" s="39" t="s">
        <v>69</v>
      </c>
      <c r="AA82" s="39" t="s">
        <v>40</v>
      </c>
      <c r="AB82" s="39" t="s">
        <v>331</v>
      </c>
    </row>
    <row r="83" spans="1:28" x14ac:dyDescent="0.15">
      <c r="A83" s="39" t="s">
        <v>41</v>
      </c>
      <c r="B83" s="39" t="s">
        <v>332</v>
      </c>
      <c r="C83" s="39">
        <v>2020</v>
      </c>
      <c r="D83" s="76" t="s">
        <v>343</v>
      </c>
      <c r="E83" s="39" t="s">
        <v>261</v>
      </c>
      <c r="F83" s="39" t="s">
        <v>266</v>
      </c>
      <c r="G83" s="39" t="s">
        <v>36</v>
      </c>
      <c r="H83" s="39" t="s">
        <v>146</v>
      </c>
      <c r="I83" s="39" t="s">
        <v>142</v>
      </c>
      <c r="J83" s="39" t="s">
        <v>38</v>
      </c>
      <c r="K83" s="39" t="s">
        <v>143</v>
      </c>
      <c r="L83" s="39">
        <v>1</v>
      </c>
      <c r="N83" s="39">
        <v>1</v>
      </c>
      <c r="O83" s="39">
        <v>0.6</v>
      </c>
      <c r="P83" s="39">
        <v>0.75</v>
      </c>
      <c r="Q83" s="45">
        <f t="shared" si="4"/>
        <v>0.67500000000000004</v>
      </c>
      <c r="R83" s="39">
        <v>16.5</v>
      </c>
      <c r="S83" s="39">
        <v>123</v>
      </c>
      <c r="T83" s="45">
        <f t="shared" si="3"/>
        <v>27</v>
      </c>
      <c r="U83" s="39">
        <v>138</v>
      </c>
      <c r="V83" s="45">
        <f t="shared" si="5"/>
        <v>3726</v>
      </c>
      <c r="W83" s="39">
        <v>6</v>
      </c>
      <c r="X83" s="39" t="s">
        <v>46</v>
      </c>
      <c r="Y83" s="39" t="s">
        <v>55</v>
      </c>
      <c r="Z83" s="39" t="s">
        <v>40</v>
      </c>
      <c r="AA83" s="39" t="s">
        <v>69</v>
      </c>
      <c r="AB83" s="39" t="s">
        <v>331</v>
      </c>
    </row>
    <row r="84" spans="1:28" x14ac:dyDescent="0.15">
      <c r="A84" s="39" t="s">
        <v>41</v>
      </c>
      <c r="B84" s="39" t="s">
        <v>332</v>
      </c>
      <c r="C84" s="39">
        <v>2020</v>
      </c>
      <c r="D84" s="76" t="s">
        <v>343</v>
      </c>
      <c r="E84" s="39" t="s">
        <v>261</v>
      </c>
      <c r="F84" s="39" t="s">
        <v>266</v>
      </c>
      <c r="G84" s="39" t="s">
        <v>36</v>
      </c>
      <c r="H84" s="39" t="s">
        <v>146</v>
      </c>
      <c r="I84" s="39" t="s">
        <v>142</v>
      </c>
      <c r="J84" s="39" t="s">
        <v>38</v>
      </c>
      <c r="K84" s="39" t="s">
        <v>143</v>
      </c>
      <c r="L84" s="39">
        <v>2</v>
      </c>
      <c r="N84" s="39">
        <v>1</v>
      </c>
      <c r="O84" s="39">
        <v>0.45</v>
      </c>
      <c r="P84" s="39">
        <v>0.5</v>
      </c>
      <c r="Q84" s="45">
        <f t="shared" si="4"/>
        <v>0.47499999999999998</v>
      </c>
      <c r="R84" s="39">
        <v>15.1</v>
      </c>
      <c r="S84" s="39">
        <v>122</v>
      </c>
      <c r="T84" s="45">
        <f t="shared" si="3"/>
        <v>27</v>
      </c>
      <c r="U84" s="39">
        <v>138</v>
      </c>
      <c r="V84" s="45">
        <f t="shared" si="5"/>
        <v>3726</v>
      </c>
      <c r="W84" s="39">
        <v>6</v>
      </c>
      <c r="X84" s="39" t="s">
        <v>46</v>
      </c>
      <c r="Y84" s="39" t="s">
        <v>55</v>
      </c>
      <c r="Z84" s="39" t="s">
        <v>40</v>
      </c>
      <c r="AA84" s="39" t="s">
        <v>69</v>
      </c>
      <c r="AB84" s="39" t="s">
        <v>331</v>
      </c>
    </row>
    <row r="85" spans="1:28" x14ac:dyDescent="0.15">
      <c r="A85" s="39" t="s">
        <v>41</v>
      </c>
      <c r="B85" s="39" t="s">
        <v>332</v>
      </c>
      <c r="C85" s="39">
        <v>2020</v>
      </c>
      <c r="D85" s="76" t="s">
        <v>343</v>
      </c>
      <c r="E85" s="39" t="s">
        <v>261</v>
      </c>
      <c r="F85" s="39" t="s">
        <v>266</v>
      </c>
      <c r="G85" s="39" t="s">
        <v>36</v>
      </c>
      <c r="H85" s="39" t="s">
        <v>146</v>
      </c>
      <c r="I85" s="39" t="s">
        <v>142</v>
      </c>
      <c r="J85" s="39" t="s">
        <v>38</v>
      </c>
      <c r="K85" s="39" t="s">
        <v>143</v>
      </c>
      <c r="L85" s="39">
        <v>3</v>
      </c>
      <c r="N85" s="39">
        <v>1</v>
      </c>
      <c r="O85" s="39">
        <v>0.5</v>
      </c>
      <c r="P85" s="39">
        <v>0.5</v>
      </c>
      <c r="Q85" s="45">
        <f t="shared" si="4"/>
        <v>0.5</v>
      </c>
      <c r="R85" s="39">
        <v>14.1</v>
      </c>
      <c r="S85" s="39">
        <v>127</v>
      </c>
      <c r="T85" s="45">
        <f t="shared" si="3"/>
        <v>27</v>
      </c>
      <c r="U85" s="39">
        <v>138</v>
      </c>
      <c r="V85" s="45">
        <f t="shared" si="5"/>
        <v>3726</v>
      </c>
      <c r="W85" s="39">
        <v>6</v>
      </c>
      <c r="X85" s="39" t="s">
        <v>46</v>
      </c>
      <c r="Y85" s="39" t="s">
        <v>55</v>
      </c>
      <c r="Z85" s="39" t="s">
        <v>40</v>
      </c>
      <c r="AA85" s="39" t="s">
        <v>69</v>
      </c>
      <c r="AB85" s="39" t="s">
        <v>331</v>
      </c>
    </row>
    <row r="86" spans="1:28" x14ac:dyDescent="0.15">
      <c r="A86" s="39" t="s">
        <v>41</v>
      </c>
      <c r="B86" s="39" t="s">
        <v>332</v>
      </c>
      <c r="C86" s="39">
        <v>2020</v>
      </c>
      <c r="D86" s="76" t="s">
        <v>343</v>
      </c>
      <c r="E86" s="39" t="s">
        <v>261</v>
      </c>
      <c r="F86" s="39" t="s">
        <v>266</v>
      </c>
      <c r="G86" s="39" t="s">
        <v>36</v>
      </c>
      <c r="H86" s="39" t="s">
        <v>146</v>
      </c>
      <c r="I86" s="39" t="s">
        <v>142</v>
      </c>
      <c r="J86" s="39" t="s">
        <v>38</v>
      </c>
      <c r="K86" s="39" t="s">
        <v>143</v>
      </c>
      <c r="L86" s="39">
        <v>1</v>
      </c>
      <c r="N86" s="39">
        <v>3</v>
      </c>
      <c r="O86" s="39">
        <v>0.65</v>
      </c>
      <c r="P86" s="39">
        <v>0.7</v>
      </c>
      <c r="Q86" s="61">
        <f t="shared" si="4"/>
        <v>0.67500000000000004</v>
      </c>
      <c r="R86" s="39">
        <v>16.2</v>
      </c>
      <c r="S86" s="39">
        <v>133</v>
      </c>
      <c r="T86" s="45">
        <f t="shared" si="3"/>
        <v>25</v>
      </c>
      <c r="U86" s="39">
        <v>410</v>
      </c>
      <c r="V86" s="45">
        <f t="shared" si="5"/>
        <v>3416.6666666666665</v>
      </c>
      <c r="W86" s="39">
        <v>3</v>
      </c>
      <c r="X86" s="39" t="s">
        <v>46</v>
      </c>
      <c r="Y86" s="39" t="s">
        <v>55</v>
      </c>
      <c r="Z86" s="39" t="s">
        <v>40</v>
      </c>
      <c r="AA86" s="39" t="s">
        <v>69</v>
      </c>
      <c r="AB86" s="39" t="s">
        <v>331</v>
      </c>
    </row>
    <row r="87" spans="1:28" x14ac:dyDescent="0.15">
      <c r="A87" s="39" t="s">
        <v>41</v>
      </c>
      <c r="B87" s="39" t="s">
        <v>332</v>
      </c>
      <c r="C87" s="39">
        <v>2020</v>
      </c>
      <c r="D87" s="76" t="s">
        <v>343</v>
      </c>
      <c r="E87" s="39" t="s">
        <v>261</v>
      </c>
      <c r="F87" s="39" t="s">
        <v>266</v>
      </c>
      <c r="G87" s="39" t="s">
        <v>36</v>
      </c>
      <c r="H87" s="39" t="s">
        <v>146</v>
      </c>
      <c r="I87" s="39" t="s">
        <v>142</v>
      </c>
      <c r="J87" s="39" t="s">
        <v>38</v>
      </c>
      <c r="K87" s="39" t="s">
        <v>143</v>
      </c>
      <c r="L87" s="39">
        <v>2</v>
      </c>
      <c r="N87" s="39">
        <v>3</v>
      </c>
      <c r="O87" s="39">
        <v>0.4</v>
      </c>
      <c r="P87" s="39">
        <v>0.45</v>
      </c>
      <c r="Q87" s="61">
        <f t="shared" si="4"/>
        <v>0.42500000000000004</v>
      </c>
      <c r="R87" s="39">
        <v>13.5</v>
      </c>
      <c r="S87" s="39">
        <v>137</v>
      </c>
      <c r="T87" s="45">
        <f t="shared" si="3"/>
        <v>25</v>
      </c>
      <c r="U87" s="39">
        <v>410</v>
      </c>
      <c r="V87" s="45">
        <f t="shared" si="5"/>
        <v>3416.6666666666665</v>
      </c>
      <c r="W87" s="39">
        <v>3</v>
      </c>
      <c r="X87" s="39" t="s">
        <v>46</v>
      </c>
      <c r="Y87" s="39" t="s">
        <v>55</v>
      </c>
      <c r="Z87" s="39" t="s">
        <v>40</v>
      </c>
      <c r="AA87" s="39" t="s">
        <v>69</v>
      </c>
      <c r="AB87" s="39" t="s">
        <v>331</v>
      </c>
    </row>
    <row r="88" spans="1:28" x14ac:dyDescent="0.15">
      <c r="A88" s="39" t="s">
        <v>41</v>
      </c>
      <c r="B88" s="39" t="s">
        <v>332</v>
      </c>
      <c r="C88" s="39">
        <v>2020</v>
      </c>
      <c r="D88" s="76" t="s">
        <v>343</v>
      </c>
      <c r="E88" s="39" t="s">
        <v>261</v>
      </c>
      <c r="F88" s="39" t="s">
        <v>266</v>
      </c>
      <c r="G88" s="39" t="s">
        <v>36</v>
      </c>
      <c r="H88" s="39" t="s">
        <v>146</v>
      </c>
      <c r="I88" s="39" t="s">
        <v>142</v>
      </c>
      <c r="J88" s="39" t="s">
        <v>38</v>
      </c>
      <c r="K88" s="39" t="s">
        <v>143</v>
      </c>
      <c r="L88" s="39">
        <v>3</v>
      </c>
      <c r="N88" s="39">
        <v>3</v>
      </c>
      <c r="O88" s="39">
        <v>0.8</v>
      </c>
      <c r="P88" s="39">
        <v>0.75</v>
      </c>
      <c r="Q88" s="61">
        <f t="shared" si="4"/>
        <v>0.77500000000000002</v>
      </c>
      <c r="R88" s="39">
        <v>14.8</v>
      </c>
      <c r="S88" s="39">
        <v>135</v>
      </c>
      <c r="T88" s="45">
        <f t="shared" si="3"/>
        <v>25</v>
      </c>
      <c r="U88" s="39">
        <v>410</v>
      </c>
      <c r="V88" s="45">
        <f t="shared" si="5"/>
        <v>3416.6666666666665</v>
      </c>
      <c r="W88" s="39">
        <v>3</v>
      </c>
      <c r="X88" s="39" t="s">
        <v>46</v>
      </c>
      <c r="Y88" s="39" t="s">
        <v>55</v>
      </c>
      <c r="Z88" s="39" t="s">
        <v>40</v>
      </c>
      <c r="AA88" s="39" t="s">
        <v>69</v>
      </c>
      <c r="AB88" s="39" t="s">
        <v>331</v>
      </c>
    </row>
    <row r="89" spans="1:28" x14ac:dyDescent="0.15">
      <c r="A89" s="39" t="s">
        <v>41</v>
      </c>
      <c r="B89" s="39" t="s">
        <v>332</v>
      </c>
      <c r="C89" s="39">
        <v>2020</v>
      </c>
      <c r="D89" s="76" t="s">
        <v>343</v>
      </c>
      <c r="E89" s="39" t="s">
        <v>261</v>
      </c>
      <c r="F89" s="39" t="s">
        <v>266</v>
      </c>
      <c r="G89" s="39" t="s">
        <v>36</v>
      </c>
      <c r="H89" s="39" t="s">
        <v>146</v>
      </c>
      <c r="I89" s="39" t="s">
        <v>142</v>
      </c>
      <c r="J89" s="39" t="s">
        <v>38</v>
      </c>
      <c r="K89" s="39" t="s">
        <v>143</v>
      </c>
      <c r="L89" s="39">
        <v>1</v>
      </c>
      <c r="N89" s="39">
        <v>4</v>
      </c>
      <c r="O89" s="39">
        <v>0.45</v>
      </c>
      <c r="P89" s="39">
        <v>0.6</v>
      </c>
      <c r="Q89" s="61">
        <f t="shared" si="4"/>
        <v>0.52500000000000002</v>
      </c>
      <c r="R89" s="39">
        <v>14.1</v>
      </c>
      <c r="S89" s="39">
        <v>120</v>
      </c>
      <c r="T89" s="45">
        <f t="shared" si="3"/>
        <v>30</v>
      </c>
      <c r="U89" s="39">
        <v>429</v>
      </c>
      <c r="V89" s="45">
        <f t="shared" si="5"/>
        <v>3217.5</v>
      </c>
      <c r="W89" s="39">
        <v>2</v>
      </c>
      <c r="X89" s="39" t="s">
        <v>46</v>
      </c>
      <c r="Y89" s="39" t="s">
        <v>55</v>
      </c>
      <c r="Z89" s="39" t="s">
        <v>40</v>
      </c>
      <c r="AA89" s="39" t="s">
        <v>69</v>
      </c>
      <c r="AB89" s="39" t="s">
        <v>331</v>
      </c>
    </row>
    <row r="90" spans="1:28" x14ac:dyDescent="0.15">
      <c r="A90" s="39" t="s">
        <v>41</v>
      </c>
      <c r="B90" s="39" t="s">
        <v>332</v>
      </c>
      <c r="C90" s="39">
        <v>2020</v>
      </c>
      <c r="D90" s="76" t="s">
        <v>343</v>
      </c>
      <c r="E90" s="39" t="s">
        <v>261</v>
      </c>
      <c r="F90" s="39" t="s">
        <v>266</v>
      </c>
      <c r="G90" s="39" t="s">
        <v>36</v>
      </c>
      <c r="H90" s="39" t="s">
        <v>146</v>
      </c>
      <c r="I90" s="39" t="s">
        <v>142</v>
      </c>
      <c r="J90" s="39" t="s">
        <v>38</v>
      </c>
      <c r="K90" s="39" t="s">
        <v>143</v>
      </c>
      <c r="L90" s="39">
        <v>2</v>
      </c>
      <c r="N90" s="39">
        <v>4</v>
      </c>
      <c r="O90" s="39">
        <v>0.3</v>
      </c>
      <c r="P90" s="39">
        <v>0.45</v>
      </c>
      <c r="Q90" s="61">
        <f t="shared" si="4"/>
        <v>0.375</v>
      </c>
      <c r="R90" s="39">
        <v>14.7</v>
      </c>
      <c r="S90" s="39">
        <v>120</v>
      </c>
      <c r="T90" s="45">
        <f t="shared" si="3"/>
        <v>30</v>
      </c>
      <c r="U90" s="39">
        <v>429</v>
      </c>
      <c r="V90" s="45">
        <f t="shared" si="5"/>
        <v>3217.5</v>
      </c>
      <c r="W90" s="39">
        <v>2</v>
      </c>
      <c r="X90" s="39" t="s">
        <v>46</v>
      </c>
      <c r="Y90" s="39" t="s">
        <v>55</v>
      </c>
      <c r="Z90" s="39" t="s">
        <v>40</v>
      </c>
      <c r="AA90" s="39" t="s">
        <v>69</v>
      </c>
      <c r="AB90" s="39" t="s">
        <v>331</v>
      </c>
    </row>
    <row r="91" spans="1:28" x14ac:dyDescent="0.15">
      <c r="A91" s="39" t="s">
        <v>41</v>
      </c>
      <c r="B91" s="39" t="s">
        <v>332</v>
      </c>
      <c r="C91" s="39">
        <v>2020</v>
      </c>
      <c r="D91" s="76" t="s">
        <v>343</v>
      </c>
      <c r="E91" s="39" t="s">
        <v>261</v>
      </c>
      <c r="F91" s="39" t="s">
        <v>266</v>
      </c>
      <c r="G91" s="39" t="s">
        <v>36</v>
      </c>
      <c r="H91" s="39" t="s">
        <v>146</v>
      </c>
      <c r="I91" s="39" t="s">
        <v>142</v>
      </c>
      <c r="J91" s="39" t="s">
        <v>38</v>
      </c>
      <c r="K91" s="39" t="s">
        <v>143</v>
      </c>
      <c r="L91" s="39">
        <v>3</v>
      </c>
      <c r="N91" s="39">
        <v>4</v>
      </c>
      <c r="O91" s="39">
        <v>0.5</v>
      </c>
      <c r="P91" s="39">
        <v>0.65</v>
      </c>
      <c r="Q91" s="61">
        <f t="shared" si="4"/>
        <v>0.57499999999999996</v>
      </c>
      <c r="R91" s="39">
        <v>16.5</v>
      </c>
      <c r="S91" s="39">
        <v>115</v>
      </c>
      <c r="T91" s="45">
        <f t="shared" si="3"/>
        <v>30</v>
      </c>
      <c r="U91" s="39">
        <v>429</v>
      </c>
      <c r="V91" s="45">
        <f t="shared" si="5"/>
        <v>3217.5</v>
      </c>
      <c r="W91" s="39">
        <v>2</v>
      </c>
      <c r="X91" s="39" t="s">
        <v>46</v>
      </c>
      <c r="Y91" s="39" t="s">
        <v>55</v>
      </c>
      <c r="Z91" s="39" t="s">
        <v>40</v>
      </c>
      <c r="AA91" s="39" t="s">
        <v>69</v>
      </c>
      <c r="AB91" s="39" t="s">
        <v>331</v>
      </c>
    </row>
    <row r="92" spans="1:28" x14ac:dyDescent="0.15">
      <c r="A92" s="39" t="s">
        <v>41</v>
      </c>
      <c r="B92" s="39" t="s">
        <v>332</v>
      </c>
      <c r="C92" s="39">
        <v>2020</v>
      </c>
      <c r="D92" s="76" t="s">
        <v>343</v>
      </c>
      <c r="E92" s="39" t="s">
        <v>261</v>
      </c>
      <c r="F92" s="39" t="s">
        <v>266</v>
      </c>
      <c r="G92" s="39" t="s">
        <v>36</v>
      </c>
      <c r="H92" s="39" t="s">
        <v>334</v>
      </c>
      <c r="I92" s="39" t="s">
        <v>142</v>
      </c>
      <c r="J92" s="39" t="s">
        <v>38</v>
      </c>
      <c r="K92" s="39" t="s">
        <v>143</v>
      </c>
      <c r="L92" s="39">
        <v>1</v>
      </c>
      <c r="N92" s="39">
        <v>5</v>
      </c>
      <c r="O92" s="39">
        <v>0.25</v>
      </c>
      <c r="P92" s="39">
        <v>0.3</v>
      </c>
      <c r="Q92" s="61">
        <f t="shared" si="4"/>
        <v>0.27500000000000002</v>
      </c>
      <c r="R92" s="39">
        <v>12.8</v>
      </c>
      <c r="S92" s="39">
        <v>74</v>
      </c>
      <c r="T92" s="45">
        <f t="shared" si="3"/>
        <v>42</v>
      </c>
      <c r="U92" s="39">
        <v>842</v>
      </c>
      <c r="V92" s="45">
        <f t="shared" si="5"/>
        <v>7072.8</v>
      </c>
      <c r="W92" s="39">
        <v>1</v>
      </c>
      <c r="X92" s="39" t="s">
        <v>46</v>
      </c>
      <c r="Y92" s="39" t="s">
        <v>55</v>
      </c>
      <c r="Z92" s="39" t="s">
        <v>40</v>
      </c>
      <c r="AA92" s="39" t="s">
        <v>69</v>
      </c>
      <c r="AB92" s="39" t="s">
        <v>331</v>
      </c>
    </row>
    <row r="93" spans="1:28" x14ac:dyDescent="0.15">
      <c r="A93" s="39" t="s">
        <v>41</v>
      </c>
      <c r="B93" s="39" t="s">
        <v>332</v>
      </c>
      <c r="C93" s="39">
        <v>2020</v>
      </c>
      <c r="D93" s="76" t="s">
        <v>343</v>
      </c>
      <c r="E93" s="39" t="s">
        <v>261</v>
      </c>
      <c r="F93" s="39" t="s">
        <v>266</v>
      </c>
      <c r="G93" s="39" t="s">
        <v>36</v>
      </c>
      <c r="H93" s="39" t="s">
        <v>334</v>
      </c>
      <c r="I93" s="39" t="s">
        <v>142</v>
      </c>
      <c r="J93" s="39" t="s">
        <v>38</v>
      </c>
      <c r="K93" s="39" t="s">
        <v>143</v>
      </c>
      <c r="L93" s="39">
        <v>2</v>
      </c>
      <c r="N93" s="39">
        <v>5</v>
      </c>
      <c r="O93" s="39">
        <v>0.3</v>
      </c>
      <c r="P93" s="39">
        <v>0.25</v>
      </c>
      <c r="Q93" s="61">
        <f t="shared" si="4"/>
        <v>0.27500000000000002</v>
      </c>
      <c r="R93" s="39">
        <v>16</v>
      </c>
      <c r="S93" s="39">
        <v>79</v>
      </c>
      <c r="T93" s="45">
        <f t="shared" si="3"/>
        <v>39</v>
      </c>
      <c r="U93" s="39">
        <v>842</v>
      </c>
      <c r="V93" s="45">
        <f t="shared" si="5"/>
        <v>6567.6</v>
      </c>
      <c r="W93" s="39">
        <v>1</v>
      </c>
      <c r="X93" s="39" t="s">
        <v>46</v>
      </c>
      <c r="Y93" s="39" t="s">
        <v>55</v>
      </c>
      <c r="Z93" s="39" t="s">
        <v>40</v>
      </c>
      <c r="AA93" s="39" t="s">
        <v>69</v>
      </c>
      <c r="AB93" s="39" t="s">
        <v>331</v>
      </c>
    </row>
    <row r="94" spans="1:28" x14ac:dyDescent="0.15">
      <c r="A94" s="39" t="s">
        <v>41</v>
      </c>
      <c r="B94" s="39" t="s">
        <v>332</v>
      </c>
      <c r="C94" s="39">
        <v>2020</v>
      </c>
      <c r="D94" s="76" t="s">
        <v>343</v>
      </c>
      <c r="E94" s="39" t="s">
        <v>261</v>
      </c>
      <c r="F94" s="39" t="s">
        <v>266</v>
      </c>
      <c r="G94" s="39" t="s">
        <v>36</v>
      </c>
      <c r="H94" s="39" t="s">
        <v>334</v>
      </c>
      <c r="I94" s="39" t="s">
        <v>142</v>
      </c>
      <c r="J94" s="39" t="s">
        <v>38</v>
      </c>
      <c r="K94" s="39" t="s">
        <v>143</v>
      </c>
      <c r="L94" s="39">
        <v>3</v>
      </c>
      <c r="N94" s="39">
        <v>5</v>
      </c>
      <c r="O94" s="39">
        <v>0.3</v>
      </c>
      <c r="P94" s="39">
        <v>0.25</v>
      </c>
      <c r="Q94" s="61">
        <f t="shared" si="4"/>
        <v>0.27500000000000002</v>
      </c>
      <c r="R94" s="39">
        <v>13.9</v>
      </c>
      <c r="S94" s="39">
        <v>81</v>
      </c>
      <c r="T94" s="45">
        <f t="shared" si="3"/>
        <v>39</v>
      </c>
      <c r="U94" s="39">
        <v>842</v>
      </c>
      <c r="V94" s="45">
        <f t="shared" si="5"/>
        <v>6567.6</v>
      </c>
      <c r="W94" s="39">
        <v>1</v>
      </c>
      <c r="X94" s="39" t="s">
        <v>46</v>
      </c>
      <c r="Y94" s="39" t="s">
        <v>55</v>
      </c>
      <c r="Z94" s="39" t="s">
        <v>40</v>
      </c>
      <c r="AA94" s="39" t="s">
        <v>69</v>
      </c>
      <c r="AB94" s="39" t="s">
        <v>331</v>
      </c>
    </row>
    <row r="95" spans="1:28" x14ac:dyDescent="0.15">
      <c r="A95" s="39" t="s">
        <v>41</v>
      </c>
      <c r="B95" s="39" t="s">
        <v>332</v>
      </c>
      <c r="C95" s="39">
        <v>2020</v>
      </c>
      <c r="D95" s="76" t="s">
        <v>343</v>
      </c>
      <c r="E95" s="39" t="s">
        <v>149</v>
      </c>
      <c r="F95" s="39" t="s">
        <v>268</v>
      </c>
      <c r="G95" s="39" t="s">
        <v>36</v>
      </c>
      <c r="H95" s="39" t="s">
        <v>146</v>
      </c>
      <c r="I95" s="39" t="s">
        <v>142</v>
      </c>
      <c r="J95" s="39" t="s">
        <v>38</v>
      </c>
      <c r="K95" s="39" t="s">
        <v>143</v>
      </c>
      <c r="L95" s="39">
        <v>1</v>
      </c>
      <c r="N95" s="39">
        <v>1</v>
      </c>
      <c r="O95" s="39">
        <v>1</v>
      </c>
      <c r="P95" s="39">
        <v>1.1000000000000001</v>
      </c>
      <c r="Q95" s="61">
        <f t="shared" si="4"/>
        <v>1.05</v>
      </c>
      <c r="R95" s="39">
        <v>12.8</v>
      </c>
      <c r="S95" s="39">
        <v>135</v>
      </c>
      <c r="T95" s="45">
        <f t="shared" si="3"/>
        <v>25</v>
      </c>
      <c r="U95" s="39">
        <v>137</v>
      </c>
      <c r="V95" s="45">
        <f t="shared" si="5"/>
        <v>3425</v>
      </c>
      <c r="W95" s="39">
        <v>6</v>
      </c>
      <c r="X95" s="39" t="s">
        <v>46</v>
      </c>
      <c r="Y95" s="39" t="s">
        <v>55</v>
      </c>
      <c r="Z95" s="39" t="s">
        <v>40</v>
      </c>
      <c r="AA95" s="39" t="s">
        <v>69</v>
      </c>
      <c r="AB95" s="39" t="s">
        <v>331</v>
      </c>
    </row>
    <row r="96" spans="1:28" x14ac:dyDescent="0.15">
      <c r="A96" s="39" t="s">
        <v>41</v>
      </c>
      <c r="B96" s="39" t="s">
        <v>332</v>
      </c>
      <c r="C96" s="39">
        <v>2020</v>
      </c>
      <c r="D96" s="76" t="s">
        <v>343</v>
      </c>
      <c r="E96" s="39" t="s">
        <v>149</v>
      </c>
      <c r="F96" s="39" t="s">
        <v>268</v>
      </c>
      <c r="G96" s="39" t="s">
        <v>36</v>
      </c>
      <c r="H96" s="39" t="s">
        <v>146</v>
      </c>
      <c r="I96" s="39" t="s">
        <v>142</v>
      </c>
      <c r="J96" s="39" t="s">
        <v>38</v>
      </c>
      <c r="K96" s="39" t="s">
        <v>143</v>
      </c>
      <c r="L96" s="39">
        <v>2</v>
      </c>
      <c r="N96" s="39">
        <v>1</v>
      </c>
      <c r="O96" s="39">
        <v>0.9</v>
      </c>
      <c r="P96" s="39">
        <v>0.95</v>
      </c>
      <c r="Q96" s="61">
        <f t="shared" si="4"/>
        <v>0.92500000000000004</v>
      </c>
      <c r="R96" s="39">
        <v>13.3</v>
      </c>
      <c r="S96" s="39">
        <v>132</v>
      </c>
      <c r="T96" s="45">
        <f t="shared" si="3"/>
        <v>25</v>
      </c>
      <c r="U96" s="39">
        <v>137</v>
      </c>
      <c r="V96" s="45">
        <f t="shared" si="5"/>
        <v>3425</v>
      </c>
      <c r="W96" s="39">
        <v>6</v>
      </c>
      <c r="X96" s="39" t="s">
        <v>46</v>
      </c>
      <c r="Y96" s="39" t="s">
        <v>55</v>
      </c>
      <c r="Z96" s="39" t="s">
        <v>40</v>
      </c>
      <c r="AA96" s="39" t="s">
        <v>69</v>
      </c>
      <c r="AB96" s="39" t="s">
        <v>331</v>
      </c>
    </row>
    <row r="97" spans="1:28" x14ac:dyDescent="0.15">
      <c r="A97" s="39" t="s">
        <v>41</v>
      </c>
      <c r="B97" s="39" t="s">
        <v>332</v>
      </c>
      <c r="C97" s="39">
        <v>2020</v>
      </c>
      <c r="D97" s="76" t="s">
        <v>343</v>
      </c>
      <c r="E97" s="39" t="s">
        <v>149</v>
      </c>
      <c r="F97" s="39" t="s">
        <v>268</v>
      </c>
      <c r="G97" s="39" t="s">
        <v>36</v>
      </c>
      <c r="H97" s="39" t="s">
        <v>146</v>
      </c>
      <c r="I97" s="39" t="s">
        <v>142</v>
      </c>
      <c r="J97" s="39" t="s">
        <v>38</v>
      </c>
      <c r="K97" s="39" t="s">
        <v>143</v>
      </c>
      <c r="L97" s="39">
        <v>3</v>
      </c>
      <c r="N97" s="39">
        <v>1</v>
      </c>
      <c r="O97" s="39">
        <v>0.85</v>
      </c>
      <c r="P97" s="39">
        <v>0.8</v>
      </c>
      <c r="Q97" s="61">
        <f t="shared" si="4"/>
        <v>0.82499999999999996</v>
      </c>
      <c r="R97" s="39">
        <v>14.2</v>
      </c>
      <c r="S97" s="39">
        <v>129</v>
      </c>
      <c r="T97" s="45">
        <f t="shared" si="3"/>
        <v>25</v>
      </c>
      <c r="U97" s="39">
        <v>137</v>
      </c>
      <c r="V97" s="45">
        <f t="shared" si="5"/>
        <v>3425</v>
      </c>
      <c r="W97" s="39">
        <v>6</v>
      </c>
      <c r="X97" s="39" t="s">
        <v>46</v>
      </c>
      <c r="Y97" s="39" t="s">
        <v>55</v>
      </c>
      <c r="Z97" s="39" t="s">
        <v>40</v>
      </c>
      <c r="AA97" s="39" t="s">
        <v>69</v>
      </c>
      <c r="AB97" s="39" t="s">
        <v>331</v>
      </c>
    </row>
    <row r="98" spans="1:28" x14ac:dyDescent="0.15">
      <c r="A98" s="39" t="s">
        <v>41</v>
      </c>
      <c r="B98" s="39" t="s">
        <v>332</v>
      </c>
      <c r="C98" s="39">
        <v>2020</v>
      </c>
      <c r="D98" s="76" t="s">
        <v>343</v>
      </c>
      <c r="E98" s="39" t="s">
        <v>149</v>
      </c>
      <c r="F98" s="39" t="s">
        <v>268</v>
      </c>
      <c r="G98" s="39" t="s">
        <v>36</v>
      </c>
      <c r="H98" s="39" t="s">
        <v>146</v>
      </c>
      <c r="I98" s="39" t="s">
        <v>142</v>
      </c>
      <c r="J98" s="39" t="s">
        <v>38</v>
      </c>
      <c r="K98" s="39" t="s">
        <v>143</v>
      </c>
      <c r="L98" s="39">
        <v>1</v>
      </c>
      <c r="N98" s="39">
        <v>4</v>
      </c>
      <c r="O98" s="39">
        <v>0.45</v>
      </c>
      <c r="P98" s="39">
        <v>0.5</v>
      </c>
      <c r="Q98" s="61">
        <f t="shared" si="4"/>
        <v>0.47499999999999998</v>
      </c>
      <c r="R98" s="39">
        <v>15</v>
      </c>
      <c r="S98" s="39">
        <v>122</v>
      </c>
      <c r="T98" s="45">
        <f t="shared" si="3"/>
        <v>27</v>
      </c>
      <c r="U98" s="39">
        <v>428</v>
      </c>
      <c r="V98" s="45">
        <f t="shared" si="5"/>
        <v>2889</v>
      </c>
      <c r="W98" s="39">
        <v>4</v>
      </c>
      <c r="X98" s="39" t="s">
        <v>46</v>
      </c>
      <c r="Y98" s="39" t="s">
        <v>55</v>
      </c>
      <c r="Z98" s="39" t="s">
        <v>40</v>
      </c>
      <c r="AA98" s="39" t="s">
        <v>69</v>
      </c>
      <c r="AB98" s="39" t="s">
        <v>331</v>
      </c>
    </row>
    <row r="99" spans="1:28" x14ac:dyDescent="0.15">
      <c r="A99" s="39" t="s">
        <v>41</v>
      </c>
      <c r="B99" s="39" t="s">
        <v>332</v>
      </c>
      <c r="C99" s="39">
        <v>2020</v>
      </c>
      <c r="D99" s="76" t="s">
        <v>343</v>
      </c>
      <c r="E99" s="39" t="s">
        <v>149</v>
      </c>
      <c r="F99" s="39" t="s">
        <v>268</v>
      </c>
      <c r="G99" s="39" t="s">
        <v>36</v>
      </c>
      <c r="H99" s="39" t="s">
        <v>146</v>
      </c>
      <c r="I99" s="39" t="s">
        <v>142</v>
      </c>
      <c r="J99" s="39" t="s">
        <v>38</v>
      </c>
      <c r="K99" s="39" t="s">
        <v>143</v>
      </c>
      <c r="L99" s="39">
        <v>2</v>
      </c>
      <c r="N99" s="39">
        <v>4</v>
      </c>
      <c r="O99" s="39">
        <v>0.6</v>
      </c>
      <c r="P99" s="39">
        <v>0.65</v>
      </c>
      <c r="Q99" s="61">
        <f t="shared" si="4"/>
        <v>0.625</v>
      </c>
      <c r="R99" s="39">
        <v>15.4</v>
      </c>
      <c r="S99" s="39">
        <v>127</v>
      </c>
      <c r="T99" s="45">
        <f t="shared" si="3"/>
        <v>27</v>
      </c>
      <c r="U99" s="39">
        <v>428</v>
      </c>
      <c r="V99" s="45">
        <f t="shared" si="5"/>
        <v>2889</v>
      </c>
      <c r="W99" s="39">
        <v>4</v>
      </c>
      <c r="X99" s="39" t="s">
        <v>46</v>
      </c>
      <c r="Y99" s="39" t="s">
        <v>55</v>
      </c>
      <c r="Z99" s="39" t="s">
        <v>40</v>
      </c>
      <c r="AA99" s="39" t="s">
        <v>69</v>
      </c>
      <c r="AB99" s="39" t="s">
        <v>331</v>
      </c>
    </row>
    <row r="100" spans="1:28" x14ac:dyDescent="0.15">
      <c r="A100" s="39" t="s">
        <v>41</v>
      </c>
      <c r="B100" s="39" t="s">
        <v>332</v>
      </c>
      <c r="C100" s="39">
        <v>2020</v>
      </c>
      <c r="D100" s="76" t="s">
        <v>343</v>
      </c>
      <c r="E100" s="39" t="s">
        <v>149</v>
      </c>
      <c r="F100" s="39" t="s">
        <v>268</v>
      </c>
      <c r="G100" s="39" t="s">
        <v>36</v>
      </c>
      <c r="H100" s="39" t="s">
        <v>146</v>
      </c>
      <c r="I100" s="39" t="s">
        <v>142</v>
      </c>
      <c r="J100" s="39" t="s">
        <v>38</v>
      </c>
      <c r="K100" s="39" t="s">
        <v>143</v>
      </c>
      <c r="L100" s="39">
        <v>3</v>
      </c>
      <c r="N100" s="39">
        <v>4</v>
      </c>
      <c r="O100" s="39">
        <v>0.5</v>
      </c>
      <c r="P100" s="39">
        <v>0.45</v>
      </c>
      <c r="Q100" s="61">
        <f t="shared" si="4"/>
        <v>0.47499999999999998</v>
      </c>
      <c r="R100" s="39">
        <v>14.8</v>
      </c>
      <c r="S100" s="39">
        <v>125</v>
      </c>
      <c r="T100" s="45">
        <f t="shared" si="3"/>
        <v>27</v>
      </c>
      <c r="U100" s="39">
        <v>428</v>
      </c>
      <c r="V100" s="45">
        <f t="shared" si="5"/>
        <v>2889</v>
      </c>
      <c r="W100" s="39">
        <v>4</v>
      </c>
      <c r="X100" s="39" t="s">
        <v>46</v>
      </c>
      <c r="Y100" s="39" t="s">
        <v>55</v>
      </c>
      <c r="Z100" s="39" t="s">
        <v>40</v>
      </c>
      <c r="AA100" s="39" t="s">
        <v>69</v>
      </c>
      <c r="AB100" s="39" t="s">
        <v>331</v>
      </c>
    </row>
    <row r="101" spans="1:28" x14ac:dyDescent="0.15">
      <c r="A101" s="39" t="s">
        <v>41</v>
      </c>
      <c r="B101" s="39" t="s">
        <v>332</v>
      </c>
      <c r="C101" s="39">
        <v>2020</v>
      </c>
      <c r="D101" s="76" t="s">
        <v>343</v>
      </c>
      <c r="E101" s="39" t="s">
        <v>149</v>
      </c>
      <c r="F101" s="39" t="s">
        <v>268</v>
      </c>
      <c r="G101" s="39" t="s">
        <v>36</v>
      </c>
      <c r="H101" s="39" t="s">
        <v>171</v>
      </c>
      <c r="I101" s="39" t="s">
        <v>142</v>
      </c>
      <c r="J101" s="39" t="s">
        <v>80</v>
      </c>
      <c r="K101" s="39" t="s">
        <v>54</v>
      </c>
      <c r="L101" s="39">
        <v>1</v>
      </c>
      <c r="N101" s="39">
        <v>1</v>
      </c>
      <c r="O101" s="39">
        <v>1.2</v>
      </c>
      <c r="P101" s="39">
        <v>1.3</v>
      </c>
      <c r="Q101" s="61">
        <f t="shared" si="4"/>
        <v>1.25</v>
      </c>
      <c r="R101" s="39">
        <v>14</v>
      </c>
      <c r="S101" s="39">
        <v>132</v>
      </c>
      <c r="T101" s="45">
        <f t="shared" si="3"/>
        <v>25</v>
      </c>
      <c r="U101" s="39">
        <v>137</v>
      </c>
      <c r="V101" s="45">
        <f t="shared" si="5"/>
        <v>3425</v>
      </c>
      <c r="W101" s="39">
        <v>2</v>
      </c>
      <c r="X101" s="39" t="s">
        <v>46</v>
      </c>
      <c r="Y101" s="39" t="s">
        <v>55</v>
      </c>
      <c r="Z101" s="39" t="s">
        <v>40</v>
      </c>
      <c r="AA101" s="39" t="s">
        <v>69</v>
      </c>
      <c r="AB101" s="39" t="s">
        <v>331</v>
      </c>
    </row>
    <row r="102" spans="1:28" x14ac:dyDescent="0.15">
      <c r="A102" s="39" t="s">
        <v>41</v>
      </c>
      <c r="B102" s="39" t="s">
        <v>332</v>
      </c>
      <c r="C102" s="39">
        <v>2020</v>
      </c>
      <c r="D102" s="76" t="s">
        <v>343</v>
      </c>
      <c r="E102" s="39" t="s">
        <v>149</v>
      </c>
      <c r="F102" s="39" t="s">
        <v>268</v>
      </c>
      <c r="G102" s="39" t="s">
        <v>36</v>
      </c>
      <c r="H102" s="39" t="s">
        <v>171</v>
      </c>
      <c r="I102" s="39" t="s">
        <v>142</v>
      </c>
      <c r="J102" s="39" t="s">
        <v>80</v>
      </c>
      <c r="K102" s="39" t="s">
        <v>54</v>
      </c>
      <c r="L102" s="39">
        <v>2</v>
      </c>
      <c r="N102" s="39">
        <v>1</v>
      </c>
      <c r="O102" s="39">
        <v>1</v>
      </c>
      <c r="P102" s="39">
        <v>1.25</v>
      </c>
      <c r="Q102" s="61">
        <f t="shared" si="4"/>
        <v>1.125</v>
      </c>
      <c r="R102" s="39">
        <v>10.8</v>
      </c>
      <c r="S102" s="39">
        <v>130</v>
      </c>
      <c r="T102" s="45">
        <f t="shared" si="3"/>
        <v>25</v>
      </c>
      <c r="U102" s="39">
        <v>137</v>
      </c>
      <c r="V102" s="45">
        <f t="shared" si="5"/>
        <v>3425</v>
      </c>
      <c r="W102" s="39">
        <v>2</v>
      </c>
      <c r="X102" s="39" t="s">
        <v>46</v>
      </c>
      <c r="Y102" s="39" t="s">
        <v>55</v>
      </c>
      <c r="Z102" s="39" t="s">
        <v>40</v>
      </c>
      <c r="AA102" s="39" t="s">
        <v>69</v>
      </c>
      <c r="AB102" s="39" t="s">
        <v>331</v>
      </c>
    </row>
    <row r="103" spans="1:28" x14ac:dyDescent="0.15">
      <c r="A103" s="39" t="s">
        <v>41</v>
      </c>
      <c r="B103" s="39" t="s">
        <v>332</v>
      </c>
      <c r="C103" s="39">
        <v>2020</v>
      </c>
      <c r="D103" s="76" t="s">
        <v>343</v>
      </c>
      <c r="E103" s="39" t="s">
        <v>149</v>
      </c>
      <c r="F103" s="39" t="s">
        <v>268</v>
      </c>
      <c r="G103" s="39" t="s">
        <v>36</v>
      </c>
      <c r="H103" s="39" t="s">
        <v>171</v>
      </c>
      <c r="I103" s="39" t="s">
        <v>142</v>
      </c>
      <c r="J103" s="39" t="s">
        <v>80</v>
      </c>
      <c r="K103" s="39" t="s">
        <v>54</v>
      </c>
      <c r="L103" s="39">
        <v>3</v>
      </c>
      <c r="N103" s="39">
        <v>1</v>
      </c>
      <c r="O103" s="39">
        <v>0.8</v>
      </c>
      <c r="P103" s="39">
        <v>0.9</v>
      </c>
      <c r="Q103" s="61">
        <f t="shared" si="4"/>
        <v>0.85000000000000009</v>
      </c>
      <c r="R103" s="39">
        <v>13.2</v>
      </c>
      <c r="S103" s="39">
        <v>132</v>
      </c>
      <c r="T103" s="45">
        <f t="shared" si="3"/>
        <v>25</v>
      </c>
      <c r="U103" s="39">
        <v>137</v>
      </c>
      <c r="V103" s="45">
        <f t="shared" si="5"/>
        <v>3425</v>
      </c>
      <c r="W103" s="39">
        <v>2</v>
      </c>
      <c r="X103" s="39" t="s">
        <v>46</v>
      </c>
      <c r="Y103" s="39" t="s">
        <v>55</v>
      </c>
      <c r="Z103" s="39" t="s">
        <v>40</v>
      </c>
      <c r="AA103" s="39" t="s">
        <v>69</v>
      </c>
      <c r="AB103" s="39" t="s">
        <v>331</v>
      </c>
    </row>
    <row r="104" spans="1:28" x14ac:dyDescent="0.15">
      <c r="Q104" s="61" t="str">
        <f t="shared" si="4"/>
        <v/>
      </c>
      <c r="T104" s="45" t="str">
        <f t="shared" si="3"/>
        <v/>
      </c>
    </row>
    <row r="105" spans="1:28" x14ac:dyDescent="0.15">
      <c r="T105" s="45" t="str">
        <f t="shared" si="3"/>
        <v/>
      </c>
    </row>
  </sheetData>
  <autoFilter ref="A1:BA105" xr:uid="{00000000-0009-0000-0000-000001000000}"/>
  <phoneticPr fontId="3"/>
  <dataValidations count="20">
    <dataValidation type="list" allowBlank="1" showInputMessage="1" showErrorMessage="1" sqref="Y104:AA328" xr:uid="{CF020D1F-95C6-4C38-B1B4-F37EC5719F89}">
      <formula1>$AV$2:$AV$16</formula1>
    </dataValidation>
    <dataValidation type="decimal" allowBlank="1" showInputMessage="1" showErrorMessage="1" error="硬度を正しく入力して下さい。" sqref="O2:P328" xr:uid="{1DFA5B8D-96E2-4A5C-BF6B-038EB1FB83C7}">
      <formula1>0</formula1>
      <formula2>7</formula2>
    </dataValidation>
    <dataValidation type="list" allowBlank="1" showInputMessage="1" showErrorMessage="1" sqref="Y2:AA103" xr:uid="{59AAE20C-9E52-469F-99A9-407EDE7A177E}">
      <formula1>$AV$2:$AV$23</formula1>
    </dataValidation>
    <dataValidation type="list" allowBlank="1" showInputMessage="1" showErrorMessage="1" sqref="K104:K144" xr:uid="{79B3E8D1-A59C-4F90-9596-2B0A34E17EF6}">
      <formula1>$AR$2:$AR$23</formula1>
    </dataValidation>
    <dataValidation type="list" allowBlank="1" showInputMessage="1" showErrorMessage="1" sqref="K2:K84" xr:uid="{025E82EA-AA24-4599-971C-1A6A47E725BE}">
      <formula1>$AR$2:$AR$26</formula1>
    </dataValidation>
    <dataValidation type="list" allowBlank="1" showInputMessage="1" showErrorMessage="1" sqref="K85:K103" xr:uid="{07143014-18D0-43A0-8D78-38E63167098C}">
      <formula1>$AR$2:$AR$25</formula1>
    </dataValidation>
    <dataValidation type="list" allowBlank="1" showInputMessage="1" showErrorMessage="1" sqref="K145:K328" xr:uid="{49C3A47B-6F38-4AC7-B70D-C4E7B08CAEF9}">
      <formula1>$AR$2:$AR$19</formula1>
    </dataValidation>
    <dataValidation type="list" allowBlank="1" showInputMessage="1" showErrorMessage="1" sqref="J104:J328" xr:uid="{7E43E30B-59A0-4C40-9AD2-343289C294F9}">
      <formula1>$AP$2:$AP$19</formula1>
    </dataValidation>
    <dataValidation type="list" allowBlank="1" showInputMessage="1" showErrorMessage="1" sqref="J2:J103" xr:uid="{46E6C3D5-D78D-43B1-BBC9-3228AE2FB9E4}">
      <formula1>$AP$2:$AP$27</formula1>
    </dataValidation>
    <dataValidation type="list" allowBlank="1" showInputMessage="1" showErrorMessage="1" sqref="I2:I328" xr:uid="{319E3FB1-02AB-4B56-8329-0F7664A4F21F}">
      <formula1>$AN$5:$AN$6</formula1>
    </dataValidation>
    <dataValidation type="list" allowBlank="1" showInputMessage="1" showErrorMessage="1" sqref="H2:H1269" xr:uid="{FB4E615C-93C0-4BB5-9618-C337297A5592}">
      <formula1>$AL$2:$AL$9</formula1>
    </dataValidation>
    <dataValidation type="list" allowBlank="1" showInputMessage="1" showErrorMessage="1" sqref="F104:F328" xr:uid="{BC4493AA-6481-4E12-AD40-EF21CDE3E52D}">
      <formula1>$AH$2:$AH$9</formula1>
    </dataValidation>
    <dataValidation type="list" allowBlank="1" showInputMessage="1" showErrorMessage="1" sqref="F2:F103" xr:uid="{E748F5AA-6F95-4D87-AB42-05AB2A50B600}">
      <formula1>$AH$2:$AH$11</formula1>
    </dataValidation>
    <dataValidation type="list" allowBlank="1" showInputMessage="1" showErrorMessage="1" sqref="E104:E328" xr:uid="{2B951302-FFD3-4D37-AEC9-1F597F06523C}">
      <formula1>$AG$2:$AG$10</formula1>
    </dataValidation>
    <dataValidation allowBlank="1" showInputMessage="1" showErrorMessage="1" sqref="B3:B55" xr:uid="{64A9C428-EFB8-49FF-8FC0-D88D008A5FE7}"/>
    <dataValidation type="list" allowBlank="1" showInputMessage="1" showErrorMessage="1" sqref="E2:E103" xr:uid="{D128C16F-6E29-4CEC-9D65-0A098E79D979}">
      <formula1>$AG$2:$AG$11</formula1>
    </dataValidation>
    <dataValidation type="list" allowBlank="1" showInputMessage="1" showErrorMessage="1" sqref="A104:A328" xr:uid="{2792D7F5-9E1C-41A2-B58C-DA918FEC4100}">
      <formula1>$AE$2:$AE$16</formula1>
    </dataValidation>
    <dataValidation type="list" allowBlank="1" showInputMessage="1" showErrorMessage="1" sqref="A3:A103" xr:uid="{B01E2B11-26DF-4A6C-AAD3-44E8B6017177}">
      <formula1>$AE$2:$AE$19</formula1>
    </dataValidation>
    <dataValidation type="list" allowBlank="1" showInputMessage="1" showErrorMessage="1" sqref="G2:G328" xr:uid="{577D0A27-B270-4020-8C01-6367BBF54FA3}">
      <formula1>$AJ$2:$AJ$4</formula1>
    </dataValidation>
    <dataValidation type="list" allowBlank="1" showInputMessage="1" showErrorMessage="1" sqref="X2:X328" xr:uid="{45AEE803-2884-455C-807A-3678D366C7CF}">
      <formula1>$AT$2:$AT$3</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FE82-C992-40B2-9255-F1399D4A9E61}">
  <dimension ref="A1:BA114"/>
  <sheetViews>
    <sheetView zoomScale="70" zoomScaleNormal="70" workbookViewId="0"/>
  </sheetViews>
  <sheetFormatPr defaultColWidth="9" defaultRowHeight="13.5" x14ac:dyDescent="0.15"/>
  <cols>
    <col min="1" max="3" width="9" style="136"/>
    <col min="4" max="4" width="10.5" style="136" customWidth="1"/>
    <col min="5" max="13" width="9" style="136"/>
    <col min="14" max="14" width="9.5" style="136" customWidth="1"/>
    <col min="15" max="16" width="9" style="136"/>
    <col min="17" max="17" width="9" style="146"/>
    <col min="18" max="19" width="9" style="136"/>
    <col min="20" max="20" width="9" style="146"/>
    <col min="21" max="21" width="9" style="136"/>
    <col min="22" max="22" width="9" style="146"/>
    <col min="23" max="32" width="9" style="136"/>
    <col min="33" max="33" width="15.875" style="136" customWidth="1"/>
    <col min="34" max="34" width="11.375" style="136" customWidth="1"/>
    <col min="35" max="259" width="9" style="136"/>
    <col min="260" max="260" width="10.5" style="136" customWidth="1"/>
    <col min="261" max="269" width="9" style="136"/>
    <col min="270" max="270" width="9.5" style="136" customWidth="1"/>
    <col min="271" max="288" width="9" style="136"/>
    <col min="289" max="289" width="15.875" style="136" customWidth="1"/>
    <col min="290" max="290" width="11.375" style="136" customWidth="1"/>
    <col min="291" max="515" width="9" style="136"/>
    <col min="516" max="516" width="10.5" style="136" customWidth="1"/>
    <col min="517" max="525" width="9" style="136"/>
    <col min="526" max="526" width="9.5" style="136" customWidth="1"/>
    <col min="527" max="544" width="9" style="136"/>
    <col min="545" max="545" width="15.875" style="136" customWidth="1"/>
    <col min="546" max="546" width="11.375" style="136" customWidth="1"/>
    <col min="547" max="771" width="9" style="136"/>
    <col min="772" max="772" width="10.5" style="136" customWidth="1"/>
    <col min="773" max="781" width="9" style="136"/>
    <col min="782" max="782" width="9.5" style="136" customWidth="1"/>
    <col min="783" max="800" width="9" style="136"/>
    <col min="801" max="801" width="15.875" style="136" customWidth="1"/>
    <col min="802" max="802" width="11.375" style="136" customWidth="1"/>
    <col min="803" max="1027" width="9" style="136"/>
    <col min="1028" max="1028" width="10.5" style="136" customWidth="1"/>
    <col min="1029" max="1037" width="9" style="136"/>
    <col min="1038" max="1038" width="9.5" style="136" customWidth="1"/>
    <col min="1039" max="1056" width="9" style="136"/>
    <col min="1057" max="1057" width="15.875" style="136" customWidth="1"/>
    <col min="1058" max="1058" width="11.375" style="136" customWidth="1"/>
    <col min="1059" max="1283" width="9" style="136"/>
    <col min="1284" max="1284" width="10.5" style="136" customWidth="1"/>
    <col min="1285" max="1293" width="9" style="136"/>
    <col min="1294" max="1294" width="9.5" style="136" customWidth="1"/>
    <col min="1295" max="1312" width="9" style="136"/>
    <col min="1313" max="1313" width="15.875" style="136" customWidth="1"/>
    <col min="1314" max="1314" width="11.375" style="136" customWidth="1"/>
    <col min="1315" max="1539" width="9" style="136"/>
    <col min="1540" max="1540" width="10.5" style="136" customWidth="1"/>
    <col min="1541" max="1549" width="9" style="136"/>
    <col min="1550" max="1550" width="9.5" style="136" customWidth="1"/>
    <col min="1551" max="1568" width="9" style="136"/>
    <col min="1569" max="1569" width="15.875" style="136" customWidth="1"/>
    <col min="1570" max="1570" width="11.375" style="136" customWidth="1"/>
    <col min="1571" max="1795" width="9" style="136"/>
    <col min="1796" max="1796" width="10.5" style="136" customWidth="1"/>
    <col min="1797" max="1805" width="9" style="136"/>
    <col min="1806" max="1806" width="9.5" style="136" customWidth="1"/>
    <col min="1807" max="1824" width="9" style="136"/>
    <col min="1825" max="1825" width="15.875" style="136" customWidth="1"/>
    <col min="1826" max="1826" width="11.375" style="136" customWidth="1"/>
    <col min="1827" max="2051" width="9" style="136"/>
    <col min="2052" max="2052" width="10.5" style="136" customWidth="1"/>
    <col min="2053" max="2061" width="9" style="136"/>
    <col min="2062" max="2062" width="9.5" style="136" customWidth="1"/>
    <col min="2063" max="2080" width="9" style="136"/>
    <col min="2081" max="2081" width="15.875" style="136" customWidth="1"/>
    <col min="2082" max="2082" width="11.375" style="136" customWidth="1"/>
    <col min="2083" max="2307" width="9" style="136"/>
    <col min="2308" max="2308" width="10.5" style="136" customWidth="1"/>
    <col min="2309" max="2317" width="9" style="136"/>
    <col min="2318" max="2318" width="9.5" style="136" customWidth="1"/>
    <col min="2319" max="2336" width="9" style="136"/>
    <col min="2337" max="2337" width="15.875" style="136" customWidth="1"/>
    <col min="2338" max="2338" width="11.375" style="136" customWidth="1"/>
    <col min="2339" max="2563" width="9" style="136"/>
    <col min="2564" max="2564" width="10.5" style="136" customWidth="1"/>
    <col min="2565" max="2573" width="9" style="136"/>
    <col min="2574" max="2574" width="9.5" style="136" customWidth="1"/>
    <col min="2575" max="2592" width="9" style="136"/>
    <col min="2593" max="2593" width="15.875" style="136" customWidth="1"/>
    <col min="2594" max="2594" width="11.375" style="136" customWidth="1"/>
    <col min="2595" max="2819" width="9" style="136"/>
    <col min="2820" max="2820" width="10.5" style="136" customWidth="1"/>
    <col min="2821" max="2829" width="9" style="136"/>
    <col min="2830" max="2830" width="9.5" style="136" customWidth="1"/>
    <col min="2831" max="2848" width="9" style="136"/>
    <col min="2849" max="2849" width="15.875" style="136" customWidth="1"/>
    <col min="2850" max="2850" width="11.375" style="136" customWidth="1"/>
    <col min="2851" max="3075" width="9" style="136"/>
    <col min="3076" max="3076" width="10.5" style="136" customWidth="1"/>
    <col min="3077" max="3085" width="9" style="136"/>
    <col min="3086" max="3086" width="9.5" style="136" customWidth="1"/>
    <col min="3087" max="3104" width="9" style="136"/>
    <col min="3105" max="3105" width="15.875" style="136" customWidth="1"/>
    <col min="3106" max="3106" width="11.375" style="136" customWidth="1"/>
    <col min="3107" max="3331" width="9" style="136"/>
    <col min="3332" max="3332" width="10.5" style="136" customWidth="1"/>
    <col min="3333" max="3341" width="9" style="136"/>
    <col min="3342" max="3342" width="9.5" style="136" customWidth="1"/>
    <col min="3343" max="3360" width="9" style="136"/>
    <col min="3361" max="3361" width="15.875" style="136" customWidth="1"/>
    <col min="3362" max="3362" width="11.375" style="136" customWidth="1"/>
    <col min="3363" max="3587" width="9" style="136"/>
    <col min="3588" max="3588" width="10.5" style="136" customWidth="1"/>
    <col min="3589" max="3597" width="9" style="136"/>
    <col min="3598" max="3598" width="9.5" style="136" customWidth="1"/>
    <col min="3599" max="3616" width="9" style="136"/>
    <col min="3617" max="3617" width="15.875" style="136" customWidth="1"/>
    <col min="3618" max="3618" width="11.375" style="136" customWidth="1"/>
    <col min="3619" max="3843" width="9" style="136"/>
    <col min="3844" max="3844" width="10.5" style="136" customWidth="1"/>
    <col min="3845" max="3853" width="9" style="136"/>
    <col min="3854" max="3854" width="9.5" style="136" customWidth="1"/>
    <col min="3855" max="3872" width="9" style="136"/>
    <col min="3873" max="3873" width="15.875" style="136" customWidth="1"/>
    <col min="3874" max="3874" width="11.375" style="136" customWidth="1"/>
    <col min="3875" max="4099" width="9" style="136"/>
    <col min="4100" max="4100" width="10.5" style="136" customWidth="1"/>
    <col min="4101" max="4109" width="9" style="136"/>
    <col min="4110" max="4110" width="9.5" style="136" customWidth="1"/>
    <col min="4111" max="4128" width="9" style="136"/>
    <col min="4129" max="4129" width="15.875" style="136" customWidth="1"/>
    <col min="4130" max="4130" width="11.375" style="136" customWidth="1"/>
    <col min="4131" max="4355" width="9" style="136"/>
    <col min="4356" max="4356" width="10.5" style="136" customWidth="1"/>
    <col min="4357" max="4365" width="9" style="136"/>
    <col min="4366" max="4366" width="9.5" style="136" customWidth="1"/>
    <col min="4367" max="4384" width="9" style="136"/>
    <col min="4385" max="4385" width="15.875" style="136" customWidth="1"/>
    <col min="4386" max="4386" width="11.375" style="136" customWidth="1"/>
    <col min="4387" max="4611" width="9" style="136"/>
    <col min="4612" max="4612" width="10.5" style="136" customWidth="1"/>
    <col min="4613" max="4621" width="9" style="136"/>
    <col min="4622" max="4622" width="9.5" style="136" customWidth="1"/>
    <col min="4623" max="4640" width="9" style="136"/>
    <col min="4641" max="4641" width="15.875" style="136" customWidth="1"/>
    <col min="4642" max="4642" width="11.375" style="136" customWidth="1"/>
    <col min="4643" max="4867" width="9" style="136"/>
    <col min="4868" max="4868" width="10.5" style="136" customWidth="1"/>
    <col min="4869" max="4877" width="9" style="136"/>
    <col min="4878" max="4878" width="9.5" style="136" customWidth="1"/>
    <col min="4879" max="4896" width="9" style="136"/>
    <col min="4897" max="4897" width="15.875" style="136" customWidth="1"/>
    <col min="4898" max="4898" width="11.375" style="136" customWidth="1"/>
    <col min="4899" max="5123" width="9" style="136"/>
    <col min="5124" max="5124" width="10.5" style="136" customWidth="1"/>
    <col min="5125" max="5133" width="9" style="136"/>
    <col min="5134" max="5134" width="9.5" style="136" customWidth="1"/>
    <col min="5135" max="5152" width="9" style="136"/>
    <col min="5153" max="5153" width="15.875" style="136" customWidth="1"/>
    <col min="5154" max="5154" width="11.375" style="136" customWidth="1"/>
    <col min="5155" max="5379" width="9" style="136"/>
    <col min="5380" max="5380" width="10.5" style="136" customWidth="1"/>
    <col min="5381" max="5389" width="9" style="136"/>
    <col min="5390" max="5390" width="9.5" style="136" customWidth="1"/>
    <col min="5391" max="5408" width="9" style="136"/>
    <col min="5409" max="5409" width="15.875" style="136" customWidth="1"/>
    <col min="5410" max="5410" width="11.375" style="136" customWidth="1"/>
    <col min="5411" max="5635" width="9" style="136"/>
    <col min="5636" max="5636" width="10.5" style="136" customWidth="1"/>
    <col min="5637" max="5645" width="9" style="136"/>
    <col min="5646" max="5646" width="9.5" style="136" customWidth="1"/>
    <col min="5647" max="5664" width="9" style="136"/>
    <col min="5665" max="5665" width="15.875" style="136" customWidth="1"/>
    <col min="5666" max="5666" width="11.375" style="136" customWidth="1"/>
    <col min="5667" max="5891" width="9" style="136"/>
    <col min="5892" max="5892" width="10.5" style="136" customWidth="1"/>
    <col min="5893" max="5901" width="9" style="136"/>
    <col min="5902" max="5902" width="9.5" style="136" customWidth="1"/>
    <col min="5903" max="5920" width="9" style="136"/>
    <col min="5921" max="5921" width="15.875" style="136" customWidth="1"/>
    <col min="5922" max="5922" width="11.375" style="136" customWidth="1"/>
    <col min="5923" max="6147" width="9" style="136"/>
    <col min="6148" max="6148" width="10.5" style="136" customWidth="1"/>
    <col min="6149" max="6157" width="9" style="136"/>
    <col min="6158" max="6158" width="9.5" style="136" customWidth="1"/>
    <col min="6159" max="6176" width="9" style="136"/>
    <col min="6177" max="6177" width="15.875" style="136" customWidth="1"/>
    <col min="6178" max="6178" width="11.375" style="136" customWidth="1"/>
    <col min="6179" max="6403" width="9" style="136"/>
    <col min="6404" max="6404" width="10.5" style="136" customWidth="1"/>
    <col min="6405" max="6413" width="9" style="136"/>
    <col min="6414" max="6414" width="9.5" style="136" customWidth="1"/>
    <col min="6415" max="6432" width="9" style="136"/>
    <col min="6433" max="6433" width="15.875" style="136" customWidth="1"/>
    <col min="6434" max="6434" width="11.375" style="136" customWidth="1"/>
    <col min="6435" max="6659" width="9" style="136"/>
    <col min="6660" max="6660" width="10.5" style="136" customWidth="1"/>
    <col min="6661" max="6669" width="9" style="136"/>
    <col min="6670" max="6670" width="9.5" style="136" customWidth="1"/>
    <col min="6671" max="6688" width="9" style="136"/>
    <col min="6689" max="6689" width="15.875" style="136" customWidth="1"/>
    <col min="6690" max="6690" width="11.375" style="136" customWidth="1"/>
    <col min="6691" max="6915" width="9" style="136"/>
    <col min="6916" max="6916" width="10.5" style="136" customWidth="1"/>
    <col min="6917" max="6925" width="9" style="136"/>
    <col min="6926" max="6926" width="9.5" style="136" customWidth="1"/>
    <col min="6927" max="6944" width="9" style="136"/>
    <col min="6945" max="6945" width="15.875" style="136" customWidth="1"/>
    <col min="6946" max="6946" width="11.375" style="136" customWidth="1"/>
    <col min="6947" max="7171" width="9" style="136"/>
    <col min="7172" max="7172" width="10.5" style="136" customWidth="1"/>
    <col min="7173" max="7181" width="9" style="136"/>
    <col min="7182" max="7182" width="9.5" style="136" customWidth="1"/>
    <col min="7183" max="7200" width="9" style="136"/>
    <col min="7201" max="7201" width="15.875" style="136" customWidth="1"/>
    <col min="7202" max="7202" width="11.375" style="136" customWidth="1"/>
    <col min="7203" max="7427" width="9" style="136"/>
    <col min="7428" max="7428" width="10.5" style="136" customWidth="1"/>
    <col min="7429" max="7437" width="9" style="136"/>
    <col min="7438" max="7438" width="9.5" style="136" customWidth="1"/>
    <col min="7439" max="7456" width="9" style="136"/>
    <col min="7457" max="7457" width="15.875" style="136" customWidth="1"/>
    <col min="7458" max="7458" width="11.375" style="136" customWidth="1"/>
    <col min="7459" max="7683" width="9" style="136"/>
    <col min="7684" max="7684" width="10.5" style="136" customWidth="1"/>
    <col min="7685" max="7693" width="9" style="136"/>
    <col min="7694" max="7694" width="9.5" style="136" customWidth="1"/>
    <col min="7695" max="7712" width="9" style="136"/>
    <col min="7713" max="7713" width="15.875" style="136" customWidth="1"/>
    <col min="7714" max="7714" width="11.375" style="136" customWidth="1"/>
    <col min="7715" max="7939" width="9" style="136"/>
    <col min="7940" max="7940" width="10.5" style="136" customWidth="1"/>
    <col min="7941" max="7949" width="9" style="136"/>
    <col min="7950" max="7950" width="9.5" style="136" customWidth="1"/>
    <col min="7951" max="7968" width="9" style="136"/>
    <col min="7969" max="7969" width="15.875" style="136" customWidth="1"/>
    <col min="7970" max="7970" width="11.375" style="136" customWidth="1"/>
    <col min="7971" max="8195" width="9" style="136"/>
    <col min="8196" max="8196" width="10.5" style="136" customWidth="1"/>
    <col min="8197" max="8205" width="9" style="136"/>
    <col min="8206" max="8206" width="9.5" style="136" customWidth="1"/>
    <col min="8207" max="8224" width="9" style="136"/>
    <col min="8225" max="8225" width="15.875" style="136" customWidth="1"/>
    <col min="8226" max="8226" width="11.375" style="136" customWidth="1"/>
    <col min="8227" max="8451" width="9" style="136"/>
    <col min="8452" max="8452" width="10.5" style="136" customWidth="1"/>
    <col min="8453" max="8461" width="9" style="136"/>
    <col min="8462" max="8462" width="9.5" style="136" customWidth="1"/>
    <col min="8463" max="8480" width="9" style="136"/>
    <col min="8481" max="8481" width="15.875" style="136" customWidth="1"/>
    <col min="8482" max="8482" width="11.375" style="136" customWidth="1"/>
    <col min="8483" max="8707" width="9" style="136"/>
    <col min="8708" max="8708" width="10.5" style="136" customWidth="1"/>
    <col min="8709" max="8717" width="9" style="136"/>
    <col min="8718" max="8718" width="9.5" style="136" customWidth="1"/>
    <col min="8719" max="8736" width="9" style="136"/>
    <col min="8737" max="8737" width="15.875" style="136" customWidth="1"/>
    <col min="8738" max="8738" width="11.375" style="136" customWidth="1"/>
    <col min="8739" max="8963" width="9" style="136"/>
    <col min="8964" max="8964" width="10.5" style="136" customWidth="1"/>
    <col min="8965" max="8973" width="9" style="136"/>
    <col min="8974" max="8974" width="9.5" style="136" customWidth="1"/>
    <col min="8975" max="8992" width="9" style="136"/>
    <col min="8993" max="8993" width="15.875" style="136" customWidth="1"/>
    <col min="8994" max="8994" width="11.375" style="136" customWidth="1"/>
    <col min="8995" max="9219" width="9" style="136"/>
    <col min="9220" max="9220" width="10.5" style="136" customWidth="1"/>
    <col min="9221" max="9229" width="9" style="136"/>
    <col min="9230" max="9230" width="9.5" style="136" customWidth="1"/>
    <col min="9231" max="9248" width="9" style="136"/>
    <col min="9249" max="9249" width="15.875" style="136" customWidth="1"/>
    <col min="9250" max="9250" width="11.375" style="136" customWidth="1"/>
    <col min="9251" max="9475" width="9" style="136"/>
    <col min="9476" max="9476" width="10.5" style="136" customWidth="1"/>
    <col min="9477" max="9485" width="9" style="136"/>
    <col min="9486" max="9486" width="9.5" style="136" customWidth="1"/>
    <col min="9487" max="9504" width="9" style="136"/>
    <col min="9505" max="9505" width="15.875" style="136" customWidth="1"/>
    <col min="9506" max="9506" width="11.375" style="136" customWidth="1"/>
    <col min="9507" max="9731" width="9" style="136"/>
    <col min="9732" max="9732" width="10.5" style="136" customWidth="1"/>
    <col min="9733" max="9741" width="9" style="136"/>
    <col min="9742" max="9742" width="9.5" style="136" customWidth="1"/>
    <col min="9743" max="9760" width="9" style="136"/>
    <col min="9761" max="9761" width="15.875" style="136" customWidth="1"/>
    <col min="9762" max="9762" width="11.375" style="136" customWidth="1"/>
    <col min="9763" max="9987" width="9" style="136"/>
    <col min="9988" max="9988" width="10.5" style="136" customWidth="1"/>
    <col min="9989" max="9997" width="9" style="136"/>
    <col min="9998" max="9998" width="9.5" style="136" customWidth="1"/>
    <col min="9999" max="10016" width="9" style="136"/>
    <col min="10017" max="10017" width="15.875" style="136" customWidth="1"/>
    <col min="10018" max="10018" width="11.375" style="136" customWidth="1"/>
    <col min="10019" max="10243" width="9" style="136"/>
    <col min="10244" max="10244" width="10.5" style="136" customWidth="1"/>
    <col min="10245" max="10253" width="9" style="136"/>
    <col min="10254" max="10254" width="9.5" style="136" customWidth="1"/>
    <col min="10255" max="10272" width="9" style="136"/>
    <col min="10273" max="10273" width="15.875" style="136" customWidth="1"/>
    <col min="10274" max="10274" width="11.375" style="136" customWidth="1"/>
    <col min="10275" max="10499" width="9" style="136"/>
    <col min="10500" max="10500" width="10.5" style="136" customWidth="1"/>
    <col min="10501" max="10509" width="9" style="136"/>
    <col min="10510" max="10510" width="9.5" style="136" customWidth="1"/>
    <col min="10511" max="10528" width="9" style="136"/>
    <col min="10529" max="10529" width="15.875" style="136" customWidth="1"/>
    <col min="10530" max="10530" width="11.375" style="136" customWidth="1"/>
    <col min="10531" max="10755" width="9" style="136"/>
    <col min="10756" max="10756" width="10.5" style="136" customWidth="1"/>
    <col min="10757" max="10765" width="9" style="136"/>
    <col min="10766" max="10766" width="9.5" style="136" customWidth="1"/>
    <col min="10767" max="10784" width="9" style="136"/>
    <col min="10785" max="10785" width="15.875" style="136" customWidth="1"/>
    <col min="10786" max="10786" width="11.375" style="136" customWidth="1"/>
    <col min="10787" max="11011" width="9" style="136"/>
    <col min="11012" max="11012" width="10.5" style="136" customWidth="1"/>
    <col min="11013" max="11021" width="9" style="136"/>
    <col min="11022" max="11022" width="9.5" style="136" customWidth="1"/>
    <col min="11023" max="11040" width="9" style="136"/>
    <col min="11041" max="11041" width="15.875" style="136" customWidth="1"/>
    <col min="11042" max="11042" width="11.375" style="136" customWidth="1"/>
    <col min="11043" max="11267" width="9" style="136"/>
    <col min="11268" max="11268" width="10.5" style="136" customWidth="1"/>
    <col min="11269" max="11277" width="9" style="136"/>
    <col min="11278" max="11278" width="9.5" style="136" customWidth="1"/>
    <col min="11279" max="11296" width="9" style="136"/>
    <col min="11297" max="11297" width="15.875" style="136" customWidth="1"/>
    <col min="11298" max="11298" width="11.375" style="136" customWidth="1"/>
    <col min="11299" max="11523" width="9" style="136"/>
    <col min="11524" max="11524" width="10.5" style="136" customWidth="1"/>
    <col min="11525" max="11533" width="9" style="136"/>
    <col min="11534" max="11534" width="9.5" style="136" customWidth="1"/>
    <col min="11535" max="11552" width="9" style="136"/>
    <col min="11553" max="11553" width="15.875" style="136" customWidth="1"/>
    <col min="11554" max="11554" width="11.375" style="136" customWidth="1"/>
    <col min="11555" max="11779" width="9" style="136"/>
    <col min="11780" max="11780" width="10.5" style="136" customWidth="1"/>
    <col min="11781" max="11789" width="9" style="136"/>
    <col min="11790" max="11790" width="9.5" style="136" customWidth="1"/>
    <col min="11791" max="11808" width="9" style="136"/>
    <col min="11809" max="11809" width="15.875" style="136" customWidth="1"/>
    <col min="11810" max="11810" width="11.375" style="136" customWidth="1"/>
    <col min="11811" max="12035" width="9" style="136"/>
    <col min="12036" max="12036" width="10.5" style="136" customWidth="1"/>
    <col min="12037" max="12045" width="9" style="136"/>
    <col min="12046" max="12046" width="9.5" style="136" customWidth="1"/>
    <col min="12047" max="12064" width="9" style="136"/>
    <col min="12065" max="12065" width="15.875" style="136" customWidth="1"/>
    <col min="12066" max="12066" width="11.375" style="136" customWidth="1"/>
    <col min="12067" max="12291" width="9" style="136"/>
    <col min="12292" max="12292" width="10.5" style="136" customWidth="1"/>
    <col min="12293" max="12301" width="9" style="136"/>
    <col min="12302" max="12302" width="9.5" style="136" customWidth="1"/>
    <col min="12303" max="12320" width="9" style="136"/>
    <col min="12321" max="12321" width="15.875" style="136" customWidth="1"/>
    <col min="12322" max="12322" width="11.375" style="136" customWidth="1"/>
    <col min="12323" max="12547" width="9" style="136"/>
    <col min="12548" max="12548" width="10.5" style="136" customWidth="1"/>
    <col min="12549" max="12557" width="9" style="136"/>
    <col min="12558" max="12558" width="9.5" style="136" customWidth="1"/>
    <col min="12559" max="12576" width="9" style="136"/>
    <col min="12577" max="12577" width="15.875" style="136" customWidth="1"/>
    <col min="12578" max="12578" width="11.375" style="136" customWidth="1"/>
    <col min="12579" max="12803" width="9" style="136"/>
    <col min="12804" max="12804" width="10.5" style="136" customWidth="1"/>
    <col min="12805" max="12813" width="9" style="136"/>
    <col min="12814" max="12814" width="9.5" style="136" customWidth="1"/>
    <col min="12815" max="12832" width="9" style="136"/>
    <col min="12833" max="12833" width="15.875" style="136" customWidth="1"/>
    <col min="12834" max="12834" width="11.375" style="136" customWidth="1"/>
    <col min="12835" max="13059" width="9" style="136"/>
    <col min="13060" max="13060" width="10.5" style="136" customWidth="1"/>
    <col min="13061" max="13069" width="9" style="136"/>
    <col min="13070" max="13070" width="9.5" style="136" customWidth="1"/>
    <col min="13071" max="13088" width="9" style="136"/>
    <col min="13089" max="13089" width="15.875" style="136" customWidth="1"/>
    <col min="13090" max="13090" width="11.375" style="136" customWidth="1"/>
    <col min="13091" max="13315" width="9" style="136"/>
    <col min="13316" max="13316" width="10.5" style="136" customWidth="1"/>
    <col min="13317" max="13325" width="9" style="136"/>
    <col min="13326" max="13326" width="9.5" style="136" customWidth="1"/>
    <col min="13327" max="13344" width="9" style="136"/>
    <col min="13345" max="13345" width="15.875" style="136" customWidth="1"/>
    <col min="13346" max="13346" width="11.375" style="136" customWidth="1"/>
    <col min="13347" max="13571" width="9" style="136"/>
    <col min="13572" max="13572" width="10.5" style="136" customWidth="1"/>
    <col min="13573" max="13581" width="9" style="136"/>
    <col min="13582" max="13582" width="9.5" style="136" customWidth="1"/>
    <col min="13583" max="13600" width="9" style="136"/>
    <col min="13601" max="13601" width="15.875" style="136" customWidth="1"/>
    <col min="13602" max="13602" width="11.375" style="136" customWidth="1"/>
    <col min="13603" max="13827" width="9" style="136"/>
    <col min="13828" max="13828" width="10.5" style="136" customWidth="1"/>
    <col min="13829" max="13837" width="9" style="136"/>
    <col min="13838" max="13838" width="9.5" style="136" customWidth="1"/>
    <col min="13839" max="13856" width="9" style="136"/>
    <col min="13857" max="13857" width="15.875" style="136" customWidth="1"/>
    <col min="13858" max="13858" width="11.375" style="136" customWidth="1"/>
    <col min="13859" max="14083" width="9" style="136"/>
    <col min="14084" max="14084" width="10.5" style="136" customWidth="1"/>
    <col min="14085" max="14093" width="9" style="136"/>
    <col min="14094" max="14094" width="9.5" style="136" customWidth="1"/>
    <col min="14095" max="14112" width="9" style="136"/>
    <col min="14113" max="14113" width="15.875" style="136" customWidth="1"/>
    <col min="14114" max="14114" width="11.375" style="136" customWidth="1"/>
    <col min="14115" max="14339" width="9" style="136"/>
    <col min="14340" max="14340" width="10.5" style="136" customWidth="1"/>
    <col min="14341" max="14349" width="9" style="136"/>
    <col min="14350" max="14350" width="9.5" style="136" customWidth="1"/>
    <col min="14351" max="14368" width="9" style="136"/>
    <col min="14369" max="14369" width="15.875" style="136" customWidth="1"/>
    <col min="14370" max="14370" width="11.375" style="136" customWidth="1"/>
    <col min="14371" max="14595" width="9" style="136"/>
    <col min="14596" max="14596" width="10.5" style="136" customWidth="1"/>
    <col min="14597" max="14605" width="9" style="136"/>
    <col min="14606" max="14606" width="9.5" style="136" customWidth="1"/>
    <col min="14607" max="14624" width="9" style="136"/>
    <col min="14625" max="14625" width="15.875" style="136" customWidth="1"/>
    <col min="14626" max="14626" width="11.375" style="136" customWidth="1"/>
    <col min="14627" max="14851" width="9" style="136"/>
    <col min="14852" max="14852" width="10.5" style="136" customWidth="1"/>
    <col min="14853" max="14861" width="9" style="136"/>
    <col min="14862" max="14862" width="9.5" style="136" customWidth="1"/>
    <col min="14863" max="14880" width="9" style="136"/>
    <col min="14881" max="14881" width="15.875" style="136" customWidth="1"/>
    <col min="14882" max="14882" width="11.375" style="136" customWidth="1"/>
    <col min="14883" max="15107" width="9" style="136"/>
    <col min="15108" max="15108" width="10.5" style="136" customWidth="1"/>
    <col min="15109" max="15117" width="9" style="136"/>
    <col min="15118" max="15118" width="9.5" style="136" customWidth="1"/>
    <col min="15119" max="15136" width="9" style="136"/>
    <col min="15137" max="15137" width="15.875" style="136" customWidth="1"/>
    <col min="15138" max="15138" width="11.375" style="136" customWidth="1"/>
    <col min="15139" max="15363" width="9" style="136"/>
    <col min="15364" max="15364" width="10.5" style="136" customWidth="1"/>
    <col min="15365" max="15373" width="9" style="136"/>
    <col min="15374" max="15374" width="9.5" style="136" customWidth="1"/>
    <col min="15375" max="15392" width="9" style="136"/>
    <col min="15393" max="15393" width="15.875" style="136" customWidth="1"/>
    <col min="15394" max="15394" width="11.375" style="136" customWidth="1"/>
    <col min="15395" max="15619" width="9" style="136"/>
    <col min="15620" max="15620" width="10.5" style="136" customWidth="1"/>
    <col min="15621" max="15629" width="9" style="136"/>
    <col min="15630" max="15630" width="9.5" style="136" customWidth="1"/>
    <col min="15631" max="15648" width="9" style="136"/>
    <col min="15649" max="15649" width="15.875" style="136" customWidth="1"/>
    <col min="15650" max="15650" width="11.375" style="136" customWidth="1"/>
    <col min="15651" max="15875" width="9" style="136"/>
    <col min="15876" max="15876" width="10.5" style="136" customWidth="1"/>
    <col min="15877" max="15885" width="9" style="136"/>
    <col min="15886" max="15886" width="9.5" style="136" customWidth="1"/>
    <col min="15887" max="15904" width="9" style="136"/>
    <col min="15905" max="15905" width="15.875" style="136" customWidth="1"/>
    <col min="15906" max="15906" width="11.375" style="136" customWidth="1"/>
    <col min="15907" max="16131" width="9" style="136"/>
    <col min="16132" max="16132" width="10.5" style="136" customWidth="1"/>
    <col min="16133" max="16141" width="9" style="136"/>
    <col min="16142" max="16142" width="9.5" style="136" customWidth="1"/>
    <col min="16143" max="16160" width="9" style="136"/>
    <col min="16161" max="16161" width="15.875" style="136" customWidth="1"/>
    <col min="16162" max="16162" width="11.375" style="136" customWidth="1"/>
    <col min="16163" max="16384" width="9" style="136"/>
  </cols>
  <sheetData>
    <row r="1" spans="1:53" ht="45" x14ac:dyDescent="0.15">
      <c r="A1" s="127" t="s">
        <v>0</v>
      </c>
      <c r="B1" s="128" t="s">
        <v>153</v>
      </c>
      <c r="C1" s="128" t="s">
        <v>154</v>
      </c>
      <c r="D1" s="129" t="s">
        <v>3</v>
      </c>
      <c r="E1" s="130" t="s">
        <v>4</v>
      </c>
      <c r="F1" s="130" t="s">
        <v>5</v>
      </c>
      <c r="G1" s="130" t="s">
        <v>6</v>
      </c>
      <c r="H1" s="130" t="s">
        <v>7</v>
      </c>
      <c r="I1" s="130" t="s">
        <v>8</v>
      </c>
      <c r="J1" s="130" t="s">
        <v>9</v>
      </c>
      <c r="K1" s="130" t="s">
        <v>10</v>
      </c>
      <c r="L1" s="129" t="s">
        <v>155</v>
      </c>
      <c r="M1" s="129" t="s">
        <v>156</v>
      </c>
      <c r="N1" s="129" t="s">
        <v>13</v>
      </c>
      <c r="O1" s="129" t="s">
        <v>157</v>
      </c>
      <c r="P1" s="129" t="s">
        <v>158</v>
      </c>
      <c r="Q1" s="131" t="s">
        <v>159</v>
      </c>
      <c r="R1" s="129" t="s">
        <v>160</v>
      </c>
      <c r="S1" s="129" t="s">
        <v>161</v>
      </c>
      <c r="T1" s="131" t="s">
        <v>19</v>
      </c>
      <c r="U1" s="132" t="s">
        <v>108</v>
      </c>
      <c r="V1" s="133" t="s">
        <v>20</v>
      </c>
      <c r="W1" s="129" t="s">
        <v>162</v>
      </c>
      <c r="X1" s="130" t="s">
        <v>22</v>
      </c>
      <c r="Y1" s="130" t="s">
        <v>23</v>
      </c>
      <c r="Z1" s="130" t="s">
        <v>24</v>
      </c>
      <c r="AA1" s="134" t="s">
        <v>25</v>
      </c>
      <c r="AB1" s="135" t="s">
        <v>163</v>
      </c>
      <c r="AE1" s="137" t="s">
        <v>0</v>
      </c>
      <c r="AF1" s="138"/>
      <c r="AG1" s="137" t="s">
        <v>4</v>
      </c>
      <c r="AH1" s="137" t="s">
        <v>5</v>
      </c>
      <c r="AI1" s="138"/>
      <c r="AJ1" s="137" t="s">
        <v>6</v>
      </c>
      <c r="AK1" s="138"/>
      <c r="AL1" s="139" t="s">
        <v>7</v>
      </c>
      <c r="AM1" s="138"/>
      <c r="AN1" s="139" t="s">
        <v>8</v>
      </c>
      <c r="AO1" s="138"/>
      <c r="AP1" s="139" t="s">
        <v>27</v>
      </c>
      <c r="AQ1" s="138"/>
      <c r="AR1" s="139" t="s">
        <v>10</v>
      </c>
      <c r="AS1" s="138"/>
      <c r="AT1" s="140" t="s">
        <v>164</v>
      </c>
      <c r="AU1" s="138"/>
      <c r="AV1" s="139" t="s">
        <v>29</v>
      </c>
      <c r="AX1" s="141" t="s">
        <v>398</v>
      </c>
      <c r="AY1" s="142" t="s">
        <v>166</v>
      </c>
      <c r="AZ1" s="142" t="s">
        <v>399</v>
      </c>
      <c r="BA1" s="143" t="s">
        <v>168</v>
      </c>
    </row>
    <row r="2" spans="1:53" x14ac:dyDescent="0.15">
      <c r="A2" s="136" t="s">
        <v>56</v>
      </c>
      <c r="B2" s="136" t="s">
        <v>332</v>
      </c>
      <c r="C2" s="136">
        <v>2020</v>
      </c>
      <c r="D2" s="144" t="s">
        <v>400</v>
      </c>
      <c r="E2" s="136" t="s">
        <v>369</v>
      </c>
      <c r="F2" s="136" t="s">
        <v>370</v>
      </c>
      <c r="G2" s="136" t="s">
        <v>42</v>
      </c>
      <c r="H2" s="136" t="s">
        <v>171</v>
      </c>
      <c r="I2" s="136" t="s">
        <v>145</v>
      </c>
      <c r="J2" s="136" t="s">
        <v>104</v>
      </c>
      <c r="K2" s="136" t="s">
        <v>195</v>
      </c>
      <c r="L2" s="136">
        <v>1</v>
      </c>
      <c r="N2" s="136">
        <v>3</v>
      </c>
      <c r="O2" s="136">
        <v>1.5</v>
      </c>
      <c r="P2" s="136">
        <v>1.6</v>
      </c>
      <c r="Q2" s="145">
        <f>IF(OR(O2="",P2=""),"",AVERAGE(O2,P2))</f>
        <v>1.55</v>
      </c>
      <c r="R2" s="136">
        <v>14</v>
      </c>
      <c r="S2" s="136">
        <v>147</v>
      </c>
      <c r="T2" s="146">
        <f>IF(H2="","",IF(OR(H2="GREEN",H2="GK"),IF(S2&gt;=$AX$2,VLOOKUP(S2,$AX$2:$AY$10,2,1),""),IF(S2&gt;=$AZ$2,VLOOKUP(S2,$AZ$2:$BA$10,2,1),"")))</f>
        <v>22</v>
      </c>
      <c r="U2" s="136">
        <v>539</v>
      </c>
      <c r="V2" s="146">
        <f>IF(OR(N2="",U2="",T2=""),"",U2/N2*T2)</f>
        <v>3952.6666666666665</v>
      </c>
      <c r="W2" s="136">
        <v>1</v>
      </c>
      <c r="X2" s="136" t="s">
        <v>39</v>
      </c>
      <c r="Y2" s="136" t="s">
        <v>40</v>
      </c>
      <c r="Z2" s="136" t="s">
        <v>60</v>
      </c>
      <c r="AA2" s="136" t="s">
        <v>106</v>
      </c>
      <c r="AB2" s="136" t="s">
        <v>331</v>
      </c>
      <c r="AE2" s="147" t="s">
        <v>35</v>
      </c>
      <c r="AG2" s="148" t="s">
        <v>371</v>
      </c>
      <c r="AH2" s="149" t="s">
        <v>372</v>
      </c>
      <c r="AJ2" s="150" t="s">
        <v>36</v>
      </c>
      <c r="AL2" s="150" t="s">
        <v>171</v>
      </c>
      <c r="AN2" s="150" t="s">
        <v>37</v>
      </c>
      <c r="AP2" s="150" t="s">
        <v>38</v>
      </c>
      <c r="AR2" s="150" t="s">
        <v>143</v>
      </c>
      <c r="AT2" s="150" t="s">
        <v>39</v>
      </c>
      <c r="AV2" s="150" t="s">
        <v>40</v>
      </c>
      <c r="AX2" s="151">
        <v>1</v>
      </c>
      <c r="AY2" s="152">
        <v>50</v>
      </c>
      <c r="AZ2" s="152">
        <v>1</v>
      </c>
      <c r="BA2" s="153">
        <v>50</v>
      </c>
    </row>
    <row r="3" spans="1:53" x14ac:dyDescent="0.15">
      <c r="A3" s="136" t="s">
        <v>56</v>
      </c>
      <c r="B3" s="136" t="s">
        <v>332</v>
      </c>
      <c r="C3" s="136">
        <v>2020</v>
      </c>
      <c r="D3" s="144" t="s">
        <v>400</v>
      </c>
      <c r="E3" s="136" t="s">
        <v>369</v>
      </c>
      <c r="F3" s="136" t="s">
        <v>370</v>
      </c>
      <c r="G3" s="136" t="s">
        <v>42</v>
      </c>
      <c r="H3" s="136" t="s">
        <v>171</v>
      </c>
      <c r="I3" s="136" t="s">
        <v>145</v>
      </c>
      <c r="J3" s="136" t="s">
        <v>104</v>
      </c>
      <c r="K3" s="136" t="s">
        <v>195</v>
      </c>
      <c r="L3" s="136">
        <v>2</v>
      </c>
      <c r="N3" s="136">
        <v>3</v>
      </c>
      <c r="O3" s="136">
        <v>1.3</v>
      </c>
      <c r="P3" s="136">
        <v>1.4</v>
      </c>
      <c r="Q3" s="145">
        <f>IF(OR(O3="",P3=""),"",AVERAGE(O3,P3))</f>
        <v>1.35</v>
      </c>
      <c r="R3" s="136">
        <v>13.7</v>
      </c>
      <c r="S3" s="136">
        <v>134</v>
      </c>
      <c r="T3" s="146">
        <f>IF(H3="","",IF(OR(H3="GREEN",H3="GK"),IF(S3&gt;=$AX$2,VLOOKUP(S3,$AX$2:$AY$10,2,1),""),IF(S3&gt;=$AZ$2,VLOOKUP(S3,$AZ$2:$BA$10,2,1),"")))</f>
        <v>25</v>
      </c>
      <c r="U3" s="136">
        <v>539</v>
      </c>
      <c r="V3" s="146">
        <f>IF(OR(N3="",U3="",T3=""),"",U3/N3*T3)</f>
        <v>4491.6666666666661</v>
      </c>
      <c r="W3" s="136">
        <v>1</v>
      </c>
      <c r="X3" s="136" t="s">
        <v>39</v>
      </c>
      <c r="Y3" s="136" t="s">
        <v>40</v>
      </c>
      <c r="Z3" s="136" t="s">
        <v>60</v>
      </c>
      <c r="AA3" s="136" t="s">
        <v>106</v>
      </c>
      <c r="AB3" s="136" t="s">
        <v>331</v>
      </c>
      <c r="AE3" s="154" t="s">
        <v>41</v>
      </c>
      <c r="AG3" s="148" t="s">
        <v>373</v>
      </c>
      <c r="AH3" s="149" t="s">
        <v>374</v>
      </c>
      <c r="AJ3" s="148" t="s">
        <v>42</v>
      </c>
      <c r="AL3" s="148" t="s">
        <v>174</v>
      </c>
      <c r="AN3" s="148" t="s">
        <v>43</v>
      </c>
      <c r="AP3" s="148" t="s">
        <v>44</v>
      </c>
      <c r="AR3" s="148" t="s">
        <v>45</v>
      </c>
      <c r="AT3" s="148" t="s">
        <v>46</v>
      </c>
      <c r="AV3" s="148" t="s">
        <v>47</v>
      </c>
      <c r="AX3" s="155">
        <v>72</v>
      </c>
      <c r="AY3" s="156">
        <v>46</v>
      </c>
      <c r="AZ3" s="156">
        <v>71</v>
      </c>
      <c r="BA3" s="157">
        <v>42</v>
      </c>
    </row>
    <row r="4" spans="1:53" x14ac:dyDescent="0.15">
      <c r="A4" s="136" t="s">
        <v>56</v>
      </c>
      <c r="B4" s="136" t="s">
        <v>332</v>
      </c>
      <c r="C4" s="136">
        <v>2020</v>
      </c>
      <c r="D4" s="144" t="s">
        <v>400</v>
      </c>
      <c r="E4" s="158" t="s">
        <v>401</v>
      </c>
      <c r="F4" s="136" t="s">
        <v>370</v>
      </c>
      <c r="G4" s="136" t="s">
        <v>42</v>
      </c>
      <c r="H4" s="136" t="s">
        <v>171</v>
      </c>
      <c r="I4" s="136" t="s">
        <v>145</v>
      </c>
      <c r="J4" s="136" t="s">
        <v>104</v>
      </c>
      <c r="K4" s="136" t="s">
        <v>195</v>
      </c>
      <c r="L4" s="136">
        <v>3</v>
      </c>
      <c r="N4" s="136">
        <v>3</v>
      </c>
      <c r="O4" s="136">
        <v>1.8</v>
      </c>
      <c r="P4" s="136">
        <v>1.65</v>
      </c>
      <c r="Q4" s="145">
        <f>IF(OR(O4="",P4=""),"",AVERAGE(O4,P4))</f>
        <v>1.7250000000000001</v>
      </c>
      <c r="R4" s="136">
        <v>14.2</v>
      </c>
      <c r="S4" s="136">
        <v>138</v>
      </c>
      <c r="T4" s="146">
        <f>IF(H4="","",IF(OR(H4="GREEN",H4="GK"),IF(S4&gt;=$AX$2,VLOOKUP(S4,$AX$2:$AY$10,2,1),""),IF(S4&gt;=$AZ$2,VLOOKUP(S4,$AZ$2:$BA$10,2,1),"")))</f>
        <v>22</v>
      </c>
      <c r="U4" s="136">
        <v>539</v>
      </c>
      <c r="V4" s="146">
        <f>IF(OR(N4="",U4="",T4=""),"",U4/N4*T4)</f>
        <v>3952.6666666666665</v>
      </c>
      <c r="W4" s="136">
        <v>1</v>
      </c>
      <c r="X4" s="136" t="s">
        <v>39</v>
      </c>
      <c r="Y4" s="136" t="s">
        <v>40</v>
      </c>
      <c r="Z4" s="136" t="s">
        <v>60</v>
      </c>
      <c r="AA4" s="136" t="s">
        <v>106</v>
      </c>
      <c r="AB4" s="136" t="s">
        <v>331</v>
      </c>
      <c r="AE4" s="154" t="s">
        <v>34</v>
      </c>
      <c r="AG4" s="148" t="s">
        <v>375</v>
      </c>
      <c r="AH4" s="149" t="s">
        <v>376</v>
      </c>
      <c r="AJ4" s="159" t="s">
        <v>48</v>
      </c>
      <c r="AL4" s="159" t="s">
        <v>177</v>
      </c>
      <c r="AN4" s="160" t="s">
        <v>178</v>
      </c>
      <c r="AP4" s="148" t="s">
        <v>179</v>
      </c>
      <c r="AR4" s="148" t="s">
        <v>180</v>
      </c>
      <c r="AT4" s="160"/>
      <c r="AV4" s="148" t="s">
        <v>50</v>
      </c>
      <c r="AX4" s="155">
        <v>75</v>
      </c>
      <c r="AY4" s="156">
        <v>42</v>
      </c>
      <c r="AZ4" s="156">
        <v>76</v>
      </c>
      <c r="BA4" s="157">
        <v>39</v>
      </c>
    </row>
    <row r="5" spans="1:53" x14ac:dyDescent="0.15">
      <c r="A5" s="136" t="s">
        <v>56</v>
      </c>
      <c r="B5" s="136" t="s">
        <v>332</v>
      </c>
      <c r="C5" s="136">
        <v>2020</v>
      </c>
      <c r="D5" s="144" t="s">
        <v>400</v>
      </c>
      <c r="E5" s="136" t="s">
        <v>373</v>
      </c>
      <c r="F5" s="136" t="s">
        <v>374</v>
      </c>
      <c r="G5" s="136" t="s">
        <v>36</v>
      </c>
      <c r="H5" s="136" t="s">
        <v>171</v>
      </c>
      <c r="I5" s="136" t="s">
        <v>142</v>
      </c>
      <c r="J5" s="136" t="s">
        <v>53</v>
      </c>
      <c r="K5" s="136" t="s">
        <v>54</v>
      </c>
      <c r="L5" s="136">
        <v>1</v>
      </c>
      <c r="N5" s="136">
        <v>1</v>
      </c>
      <c r="O5" s="136">
        <v>1.1499999999999999</v>
      </c>
      <c r="P5" s="136">
        <v>1.1499999999999999</v>
      </c>
      <c r="Q5" s="145">
        <f t="shared" ref="Q5:Q68" si="0">IF(OR(O5="",P5=""),"",AVERAGE(O5,P5))</f>
        <v>1.1499999999999999</v>
      </c>
      <c r="R5" s="136">
        <v>16</v>
      </c>
      <c r="S5" s="136">
        <v>126</v>
      </c>
      <c r="T5" s="146">
        <f t="shared" ref="T5:T68" si="1">IF(H5="","",IF(OR(H5="GREEN",H5="GK"),IF(S5&gt;=$AX$2,VLOOKUP(S5,$AX$2:$AY$10,2,1),""),IF(S5&gt;=$AZ$2,VLOOKUP(S5,$AZ$2:$BA$10,2,1),"")))</f>
        <v>27</v>
      </c>
      <c r="U5" s="136">
        <v>146</v>
      </c>
      <c r="V5" s="146">
        <f t="shared" ref="V5:V68" si="2">IF(OR(N5="",U5="",T5=""),"",U5/N5*T5)</f>
        <v>3942</v>
      </c>
      <c r="W5" s="136">
        <v>4</v>
      </c>
      <c r="X5" s="136" t="s">
        <v>46</v>
      </c>
      <c r="Y5" s="136" t="s">
        <v>55</v>
      </c>
      <c r="Z5" s="136" t="s">
        <v>40</v>
      </c>
      <c r="AA5" s="136" t="s">
        <v>90</v>
      </c>
      <c r="AB5" s="136" t="s">
        <v>331</v>
      </c>
      <c r="AE5" s="154" t="s">
        <v>51</v>
      </c>
      <c r="AG5" s="148" t="s">
        <v>377</v>
      </c>
      <c r="AH5" s="149" t="s">
        <v>370</v>
      </c>
      <c r="AJ5" s="160"/>
      <c r="AL5" s="161" t="s">
        <v>144</v>
      </c>
      <c r="AN5" s="161" t="s">
        <v>142</v>
      </c>
      <c r="AP5" s="148" t="s">
        <v>182</v>
      </c>
      <c r="AR5" s="148" t="s">
        <v>54</v>
      </c>
      <c r="AV5" s="148" t="s">
        <v>55</v>
      </c>
      <c r="AX5" s="155">
        <v>84</v>
      </c>
      <c r="AY5" s="156">
        <v>39</v>
      </c>
      <c r="AZ5" s="156">
        <v>84</v>
      </c>
      <c r="BA5" s="157">
        <v>36</v>
      </c>
    </row>
    <row r="6" spans="1:53" x14ac:dyDescent="0.15">
      <c r="A6" s="136" t="s">
        <v>56</v>
      </c>
      <c r="B6" s="136" t="s">
        <v>332</v>
      </c>
      <c r="C6" s="136">
        <v>2020</v>
      </c>
      <c r="D6" s="144" t="s">
        <v>400</v>
      </c>
      <c r="E6" s="136" t="s">
        <v>373</v>
      </c>
      <c r="F6" s="136" t="s">
        <v>374</v>
      </c>
      <c r="G6" s="136" t="s">
        <v>36</v>
      </c>
      <c r="H6" s="136" t="s">
        <v>171</v>
      </c>
      <c r="I6" s="136" t="s">
        <v>142</v>
      </c>
      <c r="J6" s="136" t="s">
        <v>53</v>
      </c>
      <c r="K6" s="136" t="s">
        <v>54</v>
      </c>
      <c r="L6" s="136">
        <v>2</v>
      </c>
      <c r="N6" s="136">
        <v>1</v>
      </c>
      <c r="O6" s="136">
        <v>1.85</v>
      </c>
      <c r="P6" s="136">
        <v>1.45</v>
      </c>
      <c r="Q6" s="145">
        <f t="shared" si="0"/>
        <v>1.65</v>
      </c>
      <c r="R6" s="136">
        <v>13.6</v>
      </c>
      <c r="S6" s="136">
        <v>144</v>
      </c>
      <c r="T6" s="146">
        <f t="shared" si="1"/>
        <v>22</v>
      </c>
      <c r="U6" s="136">
        <v>146</v>
      </c>
      <c r="V6" s="146">
        <f t="shared" si="2"/>
        <v>3212</v>
      </c>
      <c r="W6" s="136">
        <v>4</v>
      </c>
      <c r="X6" s="136" t="s">
        <v>46</v>
      </c>
      <c r="Y6" s="136" t="s">
        <v>55</v>
      </c>
      <c r="Z6" s="136" t="s">
        <v>40</v>
      </c>
      <c r="AA6" s="136" t="s">
        <v>90</v>
      </c>
      <c r="AB6" s="136" t="s">
        <v>331</v>
      </c>
      <c r="AE6" s="154" t="s">
        <v>56</v>
      </c>
      <c r="AG6" s="148" t="s">
        <v>378</v>
      </c>
      <c r="AH6" s="149" t="s">
        <v>370</v>
      </c>
      <c r="AL6" s="161" t="s">
        <v>185</v>
      </c>
      <c r="AN6" s="161" t="s">
        <v>145</v>
      </c>
      <c r="AP6" s="148" t="s">
        <v>53</v>
      </c>
      <c r="AR6" s="148" t="s">
        <v>59</v>
      </c>
      <c r="AV6" s="148" t="s">
        <v>60</v>
      </c>
      <c r="AX6" s="155">
        <v>97</v>
      </c>
      <c r="AY6" s="156">
        <v>36</v>
      </c>
      <c r="AZ6" s="156">
        <v>99</v>
      </c>
      <c r="BA6" s="157">
        <v>33</v>
      </c>
    </row>
    <row r="7" spans="1:53" x14ac:dyDescent="0.15">
      <c r="A7" s="136" t="s">
        <v>56</v>
      </c>
      <c r="B7" s="136" t="s">
        <v>332</v>
      </c>
      <c r="C7" s="136">
        <v>2020</v>
      </c>
      <c r="D7" s="144" t="s">
        <v>400</v>
      </c>
      <c r="E7" s="136" t="s">
        <v>373</v>
      </c>
      <c r="F7" s="136" t="s">
        <v>374</v>
      </c>
      <c r="G7" s="136" t="s">
        <v>36</v>
      </c>
      <c r="H7" s="136" t="s">
        <v>171</v>
      </c>
      <c r="I7" s="136" t="s">
        <v>142</v>
      </c>
      <c r="J7" s="136" t="s">
        <v>53</v>
      </c>
      <c r="K7" s="136" t="s">
        <v>54</v>
      </c>
      <c r="L7" s="136">
        <v>3</v>
      </c>
      <c r="N7" s="136">
        <v>1</v>
      </c>
      <c r="O7" s="136">
        <v>1.5</v>
      </c>
      <c r="P7" s="136">
        <v>1.5</v>
      </c>
      <c r="Q7" s="145">
        <f t="shared" si="0"/>
        <v>1.5</v>
      </c>
      <c r="R7" s="136">
        <v>12.9</v>
      </c>
      <c r="S7" s="136">
        <v>131</v>
      </c>
      <c r="T7" s="146">
        <f t="shared" si="1"/>
        <v>25</v>
      </c>
      <c r="U7" s="136">
        <v>146</v>
      </c>
      <c r="V7" s="146">
        <f t="shared" si="2"/>
        <v>3650</v>
      </c>
      <c r="W7" s="136">
        <v>4</v>
      </c>
      <c r="X7" s="136" t="s">
        <v>46</v>
      </c>
      <c r="Y7" s="136" t="s">
        <v>55</v>
      </c>
      <c r="Z7" s="136" t="s">
        <v>40</v>
      </c>
      <c r="AA7" s="136" t="s">
        <v>90</v>
      </c>
      <c r="AB7" s="136" t="s">
        <v>331</v>
      </c>
      <c r="AE7" s="154" t="s">
        <v>61</v>
      </c>
      <c r="AG7" s="148" t="s">
        <v>282</v>
      </c>
      <c r="AH7" s="149" t="s">
        <v>379</v>
      </c>
      <c r="AL7" s="162" t="s">
        <v>187</v>
      </c>
      <c r="AP7" s="148" t="s">
        <v>58</v>
      </c>
      <c r="AR7" s="148" t="s">
        <v>188</v>
      </c>
      <c r="AV7" s="148" t="s">
        <v>64</v>
      </c>
      <c r="AX7" s="155">
        <v>109</v>
      </c>
      <c r="AY7" s="156">
        <v>33</v>
      </c>
      <c r="AZ7" s="156">
        <v>113</v>
      </c>
      <c r="BA7" s="157">
        <v>30</v>
      </c>
    </row>
    <row r="8" spans="1:53" x14ac:dyDescent="0.15">
      <c r="A8" s="136" t="s">
        <v>56</v>
      </c>
      <c r="B8" s="136" t="s">
        <v>332</v>
      </c>
      <c r="C8" s="136">
        <v>2020</v>
      </c>
      <c r="D8" s="144" t="s">
        <v>400</v>
      </c>
      <c r="E8" s="136" t="s">
        <v>373</v>
      </c>
      <c r="F8" s="136" t="s">
        <v>374</v>
      </c>
      <c r="G8" s="136" t="s">
        <v>36</v>
      </c>
      <c r="H8" s="136" t="s">
        <v>146</v>
      </c>
      <c r="I8" s="136" t="s">
        <v>142</v>
      </c>
      <c r="J8" s="136" t="s">
        <v>38</v>
      </c>
      <c r="K8" s="136" t="s">
        <v>143</v>
      </c>
      <c r="L8" s="136">
        <v>1</v>
      </c>
      <c r="N8" s="136">
        <v>1</v>
      </c>
      <c r="O8" s="136">
        <v>1.45</v>
      </c>
      <c r="P8" s="136">
        <v>1</v>
      </c>
      <c r="Q8" s="145">
        <f t="shared" si="0"/>
        <v>1.2250000000000001</v>
      </c>
      <c r="R8" s="136">
        <v>15.5</v>
      </c>
      <c r="S8" s="136">
        <v>149</v>
      </c>
      <c r="T8" s="146">
        <f t="shared" si="1"/>
        <v>22</v>
      </c>
      <c r="U8" s="136">
        <v>146</v>
      </c>
      <c r="V8" s="146">
        <f t="shared" si="2"/>
        <v>3212</v>
      </c>
      <c r="W8" s="136">
        <v>8</v>
      </c>
      <c r="X8" s="136" t="s">
        <v>46</v>
      </c>
      <c r="Y8" s="136" t="s">
        <v>55</v>
      </c>
      <c r="Z8" s="136" t="s">
        <v>40</v>
      </c>
      <c r="AA8" s="136" t="s">
        <v>90</v>
      </c>
      <c r="AB8" s="136" t="s">
        <v>331</v>
      </c>
      <c r="AE8" s="154" t="s">
        <v>59</v>
      </c>
      <c r="AG8" s="148" t="s">
        <v>380</v>
      </c>
      <c r="AH8" s="149" t="s">
        <v>379</v>
      </c>
      <c r="AL8" s="162" t="s">
        <v>146</v>
      </c>
      <c r="AP8" s="148" t="s">
        <v>62</v>
      </c>
      <c r="AR8" s="148" t="s">
        <v>81</v>
      </c>
      <c r="AV8" s="148" t="s">
        <v>97</v>
      </c>
      <c r="AX8" s="155">
        <v>119</v>
      </c>
      <c r="AY8" s="156">
        <v>30</v>
      </c>
      <c r="AZ8" s="156">
        <v>121</v>
      </c>
      <c r="BA8" s="157">
        <v>27</v>
      </c>
    </row>
    <row r="9" spans="1:53" x14ac:dyDescent="0.15">
      <c r="A9" s="136" t="s">
        <v>56</v>
      </c>
      <c r="B9" s="136" t="s">
        <v>332</v>
      </c>
      <c r="C9" s="136">
        <v>2020</v>
      </c>
      <c r="D9" s="144" t="s">
        <v>400</v>
      </c>
      <c r="E9" s="136" t="s">
        <v>373</v>
      </c>
      <c r="F9" s="136" t="s">
        <v>374</v>
      </c>
      <c r="G9" s="136" t="s">
        <v>36</v>
      </c>
      <c r="H9" s="136" t="s">
        <v>146</v>
      </c>
      <c r="I9" s="136" t="s">
        <v>142</v>
      </c>
      <c r="J9" s="136" t="s">
        <v>38</v>
      </c>
      <c r="K9" s="136" t="s">
        <v>143</v>
      </c>
      <c r="L9" s="136">
        <v>2</v>
      </c>
      <c r="N9" s="136">
        <v>1</v>
      </c>
      <c r="O9" s="136">
        <v>1.1499999999999999</v>
      </c>
      <c r="P9" s="136">
        <v>1.1499999999999999</v>
      </c>
      <c r="Q9" s="145">
        <f t="shared" si="0"/>
        <v>1.1499999999999999</v>
      </c>
      <c r="R9" s="136">
        <v>16.100000000000001</v>
      </c>
      <c r="S9" s="136">
        <v>162</v>
      </c>
      <c r="T9" s="146">
        <f t="shared" si="1"/>
        <v>22</v>
      </c>
      <c r="U9" s="136">
        <v>146</v>
      </c>
      <c r="V9" s="146">
        <f t="shared" si="2"/>
        <v>3212</v>
      </c>
      <c r="W9" s="136">
        <v>8</v>
      </c>
      <c r="X9" s="136" t="s">
        <v>46</v>
      </c>
      <c r="Y9" s="136" t="s">
        <v>55</v>
      </c>
      <c r="Z9" s="136" t="s">
        <v>40</v>
      </c>
      <c r="AA9" s="136" t="s">
        <v>90</v>
      </c>
      <c r="AB9" s="136" t="s">
        <v>331</v>
      </c>
      <c r="AE9" s="154" t="s">
        <v>191</v>
      </c>
      <c r="AG9" s="148" t="s">
        <v>369</v>
      </c>
      <c r="AH9" s="148" t="s">
        <v>374</v>
      </c>
      <c r="AL9" s="161" t="s">
        <v>334</v>
      </c>
      <c r="AP9" s="148" t="s">
        <v>95</v>
      </c>
      <c r="AR9" s="148" t="s">
        <v>193</v>
      </c>
      <c r="AV9" s="148" t="s">
        <v>102</v>
      </c>
      <c r="AX9" s="155">
        <v>128</v>
      </c>
      <c r="AY9" s="156">
        <v>27</v>
      </c>
      <c r="AZ9" s="156">
        <v>129</v>
      </c>
      <c r="BA9" s="157">
        <v>25</v>
      </c>
    </row>
    <row r="10" spans="1:53" x14ac:dyDescent="0.15">
      <c r="A10" s="136" t="s">
        <v>56</v>
      </c>
      <c r="B10" s="136" t="s">
        <v>332</v>
      </c>
      <c r="C10" s="136">
        <v>2020</v>
      </c>
      <c r="D10" s="144" t="s">
        <v>400</v>
      </c>
      <c r="E10" s="136" t="s">
        <v>373</v>
      </c>
      <c r="F10" s="136" t="s">
        <v>374</v>
      </c>
      <c r="G10" s="136" t="s">
        <v>36</v>
      </c>
      <c r="H10" s="136" t="s">
        <v>146</v>
      </c>
      <c r="I10" s="136" t="s">
        <v>142</v>
      </c>
      <c r="J10" s="136" t="s">
        <v>38</v>
      </c>
      <c r="K10" s="136" t="s">
        <v>143</v>
      </c>
      <c r="L10" s="136">
        <v>3</v>
      </c>
      <c r="N10" s="136">
        <v>1</v>
      </c>
      <c r="O10" s="136">
        <v>1.6</v>
      </c>
      <c r="P10" s="136">
        <v>1.4</v>
      </c>
      <c r="Q10" s="145">
        <f t="shared" si="0"/>
        <v>1.5</v>
      </c>
      <c r="R10" s="136">
        <v>14.8</v>
      </c>
      <c r="S10" s="136">
        <v>148</v>
      </c>
      <c r="T10" s="146">
        <f t="shared" si="1"/>
        <v>22</v>
      </c>
      <c r="U10" s="136">
        <v>146</v>
      </c>
      <c r="V10" s="146">
        <f t="shared" si="2"/>
        <v>3212</v>
      </c>
      <c r="W10" s="136">
        <v>8</v>
      </c>
      <c r="X10" s="136" t="s">
        <v>46</v>
      </c>
      <c r="Y10" s="136" t="s">
        <v>55</v>
      </c>
      <c r="Z10" s="136" t="s">
        <v>40</v>
      </c>
      <c r="AA10" s="136" t="s">
        <v>90</v>
      </c>
      <c r="AB10" s="136" t="s">
        <v>331</v>
      </c>
      <c r="AE10" s="154" t="s">
        <v>194</v>
      </c>
      <c r="AG10" s="148" t="s">
        <v>282</v>
      </c>
      <c r="AH10" s="149" t="s">
        <v>370</v>
      </c>
      <c r="AL10" s="162"/>
      <c r="AP10" s="148" t="s">
        <v>100</v>
      </c>
      <c r="AR10" s="148" t="s">
        <v>195</v>
      </c>
      <c r="AV10" s="148" t="s">
        <v>106</v>
      </c>
      <c r="AX10" s="155">
        <v>138</v>
      </c>
      <c r="AY10" s="156">
        <v>25</v>
      </c>
      <c r="AZ10" s="156">
        <v>138</v>
      </c>
      <c r="BA10" s="157">
        <v>22</v>
      </c>
    </row>
    <row r="11" spans="1:53" x14ac:dyDescent="0.15">
      <c r="A11" s="136" t="s">
        <v>56</v>
      </c>
      <c r="B11" s="136" t="s">
        <v>332</v>
      </c>
      <c r="C11" s="136">
        <v>2020</v>
      </c>
      <c r="D11" s="144" t="s">
        <v>400</v>
      </c>
      <c r="E11" s="136" t="s">
        <v>282</v>
      </c>
      <c r="F11" s="136" t="s">
        <v>370</v>
      </c>
      <c r="G11" s="136" t="s">
        <v>36</v>
      </c>
      <c r="H11" s="136" t="s">
        <v>171</v>
      </c>
      <c r="I11" s="136" t="s">
        <v>142</v>
      </c>
      <c r="J11" s="136" t="s">
        <v>53</v>
      </c>
      <c r="K11" s="136" t="s">
        <v>54</v>
      </c>
      <c r="L11" s="136">
        <v>1</v>
      </c>
      <c r="N11" s="136">
        <v>1</v>
      </c>
      <c r="O11" s="136">
        <v>1</v>
      </c>
      <c r="P11" s="136">
        <v>1.1499999999999999</v>
      </c>
      <c r="Q11" s="145">
        <f t="shared" si="0"/>
        <v>1.075</v>
      </c>
      <c r="R11" s="136">
        <v>13.7</v>
      </c>
      <c r="S11" s="136">
        <v>114</v>
      </c>
      <c r="T11" s="146">
        <f t="shared" si="1"/>
        <v>30</v>
      </c>
      <c r="U11" s="136">
        <v>138</v>
      </c>
      <c r="V11" s="146">
        <f t="shared" si="2"/>
        <v>4140</v>
      </c>
      <c r="W11" s="136">
        <v>4</v>
      </c>
      <c r="X11" s="136" t="s">
        <v>46</v>
      </c>
      <c r="Y11" s="136" t="s">
        <v>47</v>
      </c>
      <c r="Z11" s="136" t="s">
        <v>107</v>
      </c>
      <c r="AA11" s="136" t="s">
        <v>55</v>
      </c>
      <c r="AB11" s="136" t="s">
        <v>331</v>
      </c>
      <c r="AE11" s="154" t="s">
        <v>68</v>
      </c>
      <c r="AG11" s="148" t="s">
        <v>378</v>
      </c>
      <c r="AH11" s="149" t="s">
        <v>370</v>
      </c>
      <c r="AJ11" s="162"/>
      <c r="AP11" s="148" t="s">
        <v>104</v>
      </c>
      <c r="AR11" s="148" t="s">
        <v>196</v>
      </c>
      <c r="AV11" s="148" t="s">
        <v>69</v>
      </c>
    </row>
    <row r="12" spans="1:53" x14ac:dyDescent="0.15">
      <c r="A12" s="136" t="s">
        <v>56</v>
      </c>
      <c r="B12" s="136" t="s">
        <v>332</v>
      </c>
      <c r="C12" s="136">
        <v>2020</v>
      </c>
      <c r="D12" s="144" t="s">
        <v>400</v>
      </c>
      <c r="E12" s="136" t="s">
        <v>282</v>
      </c>
      <c r="F12" s="136" t="s">
        <v>370</v>
      </c>
      <c r="G12" s="136" t="s">
        <v>36</v>
      </c>
      <c r="H12" s="136" t="s">
        <v>171</v>
      </c>
      <c r="I12" s="136" t="s">
        <v>142</v>
      </c>
      <c r="J12" s="136" t="s">
        <v>53</v>
      </c>
      <c r="K12" s="136" t="s">
        <v>54</v>
      </c>
      <c r="L12" s="136">
        <v>2</v>
      </c>
      <c r="N12" s="136">
        <v>1</v>
      </c>
      <c r="O12" s="136">
        <v>0.75</v>
      </c>
      <c r="P12" s="136">
        <v>0.65</v>
      </c>
      <c r="Q12" s="145">
        <f t="shared" si="0"/>
        <v>0.7</v>
      </c>
      <c r="R12" s="136">
        <v>13.1</v>
      </c>
      <c r="S12" s="136">
        <v>113</v>
      </c>
      <c r="T12" s="146">
        <f t="shared" si="1"/>
        <v>30</v>
      </c>
      <c r="U12" s="136">
        <v>138</v>
      </c>
      <c r="V12" s="146">
        <f t="shared" si="2"/>
        <v>4140</v>
      </c>
      <c r="W12" s="136">
        <v>4</v>
      </c>
      <c r="X12" s="136" t="s">
        <v>46</v>
      </c>
      <c r="Y12" s="136" t="s">
        <v>47</v>
      </c>
      <c r="Z12" s="136" t="s">
        <v>107</v>
      </c>
      <c r="AA12" s="136" t="s">
        <v>55</v>
      </c>
      <c r="AB12" s="136" t="s">
        <v>331</v>
      </c>
      <c r="AE12" s="154" t="s">
        <v>197</v>
      </c>
      <c r="AG12" s="148" t="s">
        <v>373</v>
      </c>
      <c r="AH12" s="149" t="s">
        <v>370</v>
      </c>
      <c r="AJ12" s="162"/>
      <c r="AP12" s="148" t="s">
        <v>67</v>
      </c>
      <c r="AR12" s="148" t="s">
        <v>198</v>
      </c>
      <c r="AV12" s="148" t="s">
        <v>72</v>
      </c>
    </row>
    <row r="13" spans="1:53" x14ac:dyDescent="0.15">
      <c r="A13" s="136" t="s">
        <v>56</v>
      </c>
      <c r="B13" s="136" t="s">
        <v>332</v>
      </c>
      <c r="C13" s="136">
        <v>2020</v>
      </c>
      <c r="D13" s="144" t="s">
        <v>400</v>
      </c>
      <c r="E13" s="136" t="s">
        <v>282</v>
      </c>
      <c r="F13" s="136" t="s">
        <v>370</v>
      </c>
      <c r="G13" s="136" t="s">
        <v>36</v>
      </c>
      <c r="H13" s="136" t="s">
        <v>171</v>
      </c>
      <c r="I13" s="136" t="s">
        <v>142</v>
      </c>
      <c r="J13" s="136" t="s">
        <v>53</v>
      </c>
      <c r="K13" s="136" t="s">
        <v>54</v>
      </c>
      <c r="L13" s="136">
        <v>3</v>
      </c>
      <c r="N13" s="136">
        <v>1</v>
      </c>
      <c r="O13" s="136">
        <v>0.9</v>
      </c>
      <c r="P13" s="136">
        <v>1.1499999999999999</v>
      </c>
      <c r="Q13" s="145">
        <f t="shared" si="0"/>
        <v>1.0249999999999999</v>
      </c>
      <c r="R13" s="136">
        <v>13.4</v>
      </c>
      <c r="S13" s="136">
        <v>113</v>
      </c>
      <c r="T13" s="146">
        <f t="shared" si="1"/>
        <v>30</v>
      </c>
      <c r="U13" s="136">
        <v>138</v>
      </c>
      <c r="V13" s="146">
        <f t="shared" si="2"/>
        <v>4140</v>
      </c>
      <c r="W13" s="136">
        <v>4</v>
      </c>
      <c r="X13" s="136" t="s">
        <v>46</v>
      </c>
      <c r="Y13" s="136" t="s">
        <v>47</v>
      </c>
      <c r="Z13" s="136" t="s">
        <v>107</v>
      </c>
      <c r="AA13" s="136" t="s">
        <v>55</v>
      </c>
      <c r="AB13" s="136" t="s">
        <v>331</v>
      </c>
      <c r="AE13" s="154" t="s">
        <v>199</v>
      </c>
      <c r="AP13" s="148" t="s">
        <v>71</v>
      </c>
      <c r="AR13" s="148" t="s">
        <v>194</v>
      </c>
      <c r="AV13" s="148" t="s">
        <v>75</v>
      </c>
    </row>
    <row r="14" spans="1:53" x14ac:dyDescent="0.15">
      <c r="A14" s="136" t="s">
        <v>56</v>
      </c>
      <c r="B14" s="136" t="s">
        <v>332</v>
      </c>
      <c r="C14" s="136">
        <v>2020</v>
      </c>
      <c r="D14" s="144" t="s">
        <v>400</v>
      </c>
      <c r="E14" s="136" t="s">
        <v>282</v>
      </c>
      <c r="F14" s="136" t="s">
        <v>370</v>
      </c>
      <c r="G14" s="136" t="s">
        <v>36</v>
      </c>
      <c r="H14" s="136" t="s">
        <v>146</v>
      </c>
      <c r="I14" s="136" t="s">
        <v>142</v>
      </c>
      <c r="J14" s="136" t="s">
        <v>38</v>
      </c>
      <c r="K14" s="136" t="s">
        <v>143</v>
      </c>
      <c r="L14" s="136">
        <v>1</v>
      </c>
      <c r="N14" s="136">
        <v>1</v>
      </c>
      <c r="O14" s="136">
        <v>0.8</v>
      </c>
      <c r="P14" s="136">
        <v>0.85</v>
      </c>
      <c r="Q14" s="145">
        <f t="shared" si="0"/>
        <v>0.82499999999999996</v>
      </c>
      <c r="R14" s="136">
        <v>15.6</v>
      </c>
      <c r="S14" s="136">
        <v>105</v>
      </c>
      <c r="T14" s="146">
        <f t="shared" si="1"/>
        <v>33</v>
      </c>
      <c r="U14" s="136">
        <v>138</v>
      </c>
      <c r="V14" s="146">
        <f t="shared" si="2"/>
        <v>4554</v>
      </c>
      <c r="W14" s="136">
        <v>2</v>
      </c>
      <c r="X14" s="136" t="s">
        <v>46</v>
      </c>
      <c r="Y14" s="136" t="s">
        <v>47</v>
      </c>
      <c r="Z14" s="136" t="s">
        <v>107</v>
      </c>
      <c r="AA14" s="136" t="s">
        <v>55</v>
      </c>
      <c r="AB14" s="136" t="s">
        <v>331</v>
      </c>
      <c r="AE14" s="154" t="s">
        <v>96</v>
      </c>
      <c r="AP14" s="148" t="s">
        <v>74</v>
      </c>
      <c r="AR14" s="148" t="s">
        <v>200</v>
      </c>
      <c r="AV14" s="148" t="s">
        <v>78</v>
      </c>
    </row>
    <row r="15" spans="1:53" x14ac:dyDescent="0.15">
      <c r="A15" s="136" t="s">
        <v>56</v>
      </c>
      <c r="B15" s="136" t="s">
        <v>332</v>
      </c>
      <c r="C15" s="136">
        <v>2020</v>
      </c>
      <c r="D15" s="144" t="s">
        <v>400</v>
      </c>
      <c r="E15" s="136" t="s">
        <v>282</v>
      </c>
      <c r="F15" s="136" t="s">
        <v>370</v>
      </c>
      <c r="G15" s="136" t="s">
        <v>36</v>
      </c>
      <c r="H15" s="136" t="s">
        <v>146</v>
      </c>
      <c r="I15" s="136" t="s">
        <v>142</v>
      </c>
      <c r="J15" s="136" t="s">
        <v>38</v>
      </c>
      <c r="K15" s="136" t="s">
        <v>143</v>
      </c>
      <c r="L15" s="136">
        <v>2</v>
      </c>
      <c r="N15" s="136">
        <v>1</v>
      </c>
      <c r="O15" s="136">
        <v>0.8</v>
      </c>
      <c r="P15" s="136">
        <v>0.85</v>
      </c>
      <c r="Q15" s="145">
        <f t="shared" si="0"/>
        <v>0.82499999999999996</v>
      </c>
      <c r="R15" s="136">
        <v>17.8</v>
      </c>
      <c r="S15" s="136">
        <v>107</v>
      </c>
      <c r="T15" s="146">
        <f t="shared" si="1"/>
        <v>33</v>
      </c>
      <c r="U15" s="136">
        <v>138</v>
      </c>
      <c r="V15" s="146">
        <f t="shared" si="2"/>
        <v>4554</v>
      </c>
      <c r="W15" s="136">
        <v>2</v>
      </c>
      <c r="X15" s="136" t="s">
        <v>46</v>
      </c>
      <c r="Y15" s="136" t="s">
        <v>47</v>
      </c>
      <c r="Z15" s="136" t="s">
        <v>107</v>
      </c>
      <c r="AA15" s="136" t="s">
        <v>55</v>
      </c>
      <c r="AB15" s="136" t="s">
        <v>331</v>
      </c>
      <c r="AE15" s="154" t="s">
        <v>201</v>
      </c>
      <c r="AP15" s="148" t="s">
        <v>77</v>
      </c>
      <c r="AR15" s="148" t="s">
        <v>80</v>
      </c>
      <c r="AV15" s="148" t="s">
        <v>107</v>
      </c>
    </row>
    <row r="16" spans="1:53" x14ac:dyDescent="0.15">
      <c r="A16" s="136" t="s">
        <v>56</v>
      </c>
      <c r="B16" s="136" t="s">
        <v>332</v>
      </c>
      <c r="C16" s="136">
        <v>2020</v>
      </c>
      <c r="D16" s="144" t="s">
        <v>400</v>
      </c>
      <c r="E16" s="136" t="s">
        <v>282</v>
      </c>
      <c r="F16" s="136" t="s">
        <v>370</v>
      </c>
      <c r="G16" s="136" t="s">
        <v>36</v>
      </c>
      <c r="H16" s="136" t="s">
        <v>146</v>
      </c>
      <c r="I16" s="136" t="s">
        <v>142</v>
      </c>
      <c r="J16" s="136" t="s">
        <v>38</v>
      </c>
      <c r="K16" s="136" t="s">
        <v>143</v>
      </c>
      <c r="L16" s="136">
        <v>3</v>
      </c>
      <c r="N16" s="136">
        <v>1</v>
      </c>
      <c r="O16" s="136">
        <v>0.8</v>
      </c>
      <c r="P16" s="136">
        <v>0.85</v>
      </c>
      <c r="Q16" s="145">
        <f t="shared" si="0"/>
        <v>0.82499999999999996</v>
      </c>
      <c r="R16" s="136">
        <v>17.8</v>
      </c>
      <c r="S16" s="136">
        <v>109</v>
      </c>
      <c r="T16" s="146">
        <f t="shared" si="1"/>
        <v>33</v>
      </c>
      <c r="U16" s="136">
        <v>138</v>
      </c>
      <c r="V16" s="146">
        <f t="shared" si="2"/>
        <v>4554</v>
      </c>
      <c r="W16" s="136">
        <v>2</v>
      </c>
      <c r="X16" s="136" t="s">
        <v>46</v>
      </c>
      <c r="Y16" s="136" t="s">
        <v>47</v>
      </c>
      <c r="Z16" s="136" t="s">
        <v>107</v>
      </c>
      <c r="AA16" s="136" t="s">
        <v>55</v>
      </c>
      <c r="AB16" s="136" t="s">
        <v>331</v>
      </c>
      <c r="AE16" s="154" t="s">
        <v>202</v>
      </c>
      <c r="AP16" s="148" t="s">
        <v>80</v>
      </c>
      <c r="AR16" s="148" t="s">
        <v>63</v>
      </c>
      <c r="AV16" s="148" t="s">
        <v>84</v>
      </c>
    </row>
    <row r="17" spans="1:48" x14ac:dyDescent="0.15">
      <c r="A17" s="136" t="s">
        <v>56</v>
      </c>
      <c r="B17" s="136" t="s">
        <v>332</v>
      </c>
      <c r="C17" s="136">
        <v>2020</v>
      </c>
      <c r="D17" s="144" t="s">
        <v>400</v>
      </c>
      <c r="E17" s="136" t="s">
        <v>282</v>
      </c>
      <c r="F17" s="136" t="s">
        <v>370</v>
      </c>
      <c r="G17" s="136" t="s">
        <v>36</v>
      </c>
      <c r="H17" s="136" t="s">
        <v>146</v>
      </c>
      <c r="I17" s="136" t="s">
        <v>142</v>
      </c>
      <c r="J17" s="136" t="s">
        <v>38</v>
      </c>
      <c r="K17" s="136" t="s">
        <v>143</v>
      </c>
      <c r="L17" s="136">
        <v>1</v>
      </c>
      <c r="N17" s="136">
        <v>4</v>
      </c>
      <c r="O17" s="136">
        <v>1.1000000000000001</v>
      </c>
      <c r="P17" s="136">
        <v>1.1499999999999999</v>
      </c>
      <c r="Q17" s="145">
        <f t="shared" si="0"/>
        <v>1.125</v>
      </c>
      <c r="R17" s="136">
        <v>17.3</v>
      </c>
      <c r="S17" s="136">
        <v>103</v>
      </c>
      <c r="T17" s="146">
        <f t="shared" si="1"/>
        <v>33</v>
      </c>
      <c r="U17" s="136">
        <v>538</v>
      </c>
      <c r="V17" s="146">
        <f t="shared" si="2"/>
        <v>4438.5</v>
      </c>
      <c r="W17" s="136">
        <v>4</v>
      </c>
      <c r="X17" s="136" t="s">
        <v>46</v>
      </c>
      <c r="Y17" s="136" t="s">
        <v>47</v>
      </c>
      <c r="Z17" s="136" t="s">
        <v>107</v>
      </c>
      <c r="AA17" s="136" t="s">
        <v>55</v>
      </c>
      <c r="AB17" s="136" t="s">
        <v>331</v>
      </c>
      <c r="AE17" s="154" t="s">
        <v>203</v>
      </c>
      <c r="AP17" s="159" t="s">
        <v>204</v>
      </c>
      <c r="AR17" s="148" t="s">
        <v>96</v>
      </c>
      <c r="AV17" s="148" t="s">
        <v>86</v>
      </c>
    </row>
    <row r="18" spans="1:48" x14ac:dyDescent="0.15">
      <c r="A18" s="136" t="s">
        <v>56</v>
      </c>
      <c r="B18" s="136" t="s">
        <v>332</v>
      </c>
      <c r="C18" s="136">
        <v>2020</v>
      </c>
      <c r="D18" s="144" t="s">
        <v>400</v>
      </c>
      <c r="E18" s="136" t="s">
        <v>282</v>
      </c>
      <c r="F18" s="136" t="s">
        <v>370</v>
      </c>
      <c r="G18" s="136" t="s">
        <v>36</v>
      </c>
      <c r="H18" s="136" t="s">
        <v>146</v>
      </c>
      <c r="I18" s="136" t="s">
        <v>142</v>
      </c>
      <c r="J18" s="136" t="s">
        <v>38</v>
      </c>
      <c r="K18" s="136" t="s">
        <v>143</v>
      </c>
      <c r="L18" s="136">
        <v>2</v>
      </c>
      <c r="N18" s="136">
        <v>4</v>
      </c>
      <c r="O18" s="136">
        <v>1.05</v>
      </c>
      <c r="P18" s="136">
        <v>1.05</v>
      </c>
      <c r="Q18" s="145">
        <f t="shared" si="0"/>
        <v>1.05</v>
      </c>
      <c r="R18" s="136">
        <v>16.3</v>
      </c>
      <c r="S18" s="136">
        <v>100</v>
      </c>
      <c r="T18" s="146">
        <f t="shared" si="1"/>
        <v>33</v>
      </c>
      <c r="U18" s="136">
        <v>538</v>
      </c>
      <c r="V18" s="146">
        <f t="shared" si="2"/>
        <v>4438.5</v>
      </c>
      <c r="W18" s="136">
        <v>4</v>
      </c>
      <c r="X18" s="136" t="s">
        <v>46</v>
      </c>
      <c r="Y18" s="136" t="s">
        <v>47</v>
      </c>
      <c r="Z18" s="136" t="s">
        <v>107</v>
      </c>
      <c r="AA18" s="136" t="s">
        <v>55</v>
      </c>
      <c r="AB18" s="136" t="s">
        <v>331</v>
      </c>
      <c r="AE18" s="154" t="s">
        <v>196</v>
      </c>
      <c r="AP18" s="159" t="s">
        <v>205</v>
      </c>
      <c r="AR18" s="148" t="s">
        <v>101</v>
      </c>
      <c r="AV18" s="148" t="s">
        <v>88</v>
      </c>
    </row>
    <row r="19" spans="1:48" x14ac:dyDescent="0.15">
      <c r="A19" s="136" t="s">
        <v>56</v>
      </c>
      <c r="B19" s="136" t="s">
        <v>332</v>
      </c>
      <c r="C19" s="136">
        <v>2020</v>
      </c>
      <c r="D19" s="144" t="s">
        <v>400</v>
      </c>
      <c r="E19" s="136" t="s">
        <v>282</v>
      </c>
      <c r="F19" s="136" t="s">
        <v>370</v>
      </c>
      <c r="G19" s="136" t="s">
        <v>36</v>
      </c>
      <c r="H19" s="136" t="s">
        <v>146</v>
      </c>
      <c r="I19" s="136" t="s">
        <v>142</v>
      </c>
      <c r="J19" s="136" t="s">
        <v>38</v>
      </c>
      <c r="K19" s="136" t="s">
        <v>143</v>
      </c>
      <c r="L19" s="136">
        <v>3</v>
      </c>
      <c r="N19" s="136">
        <v>4</v>
      </c>
      <c r="O19" s="136">
        <v>0.95</v>
      </c>
      <c r="P19" s="136">
        <v>1</v>
      </c>
      <c r="Q19" s="145">
        <f t="shared" si="0"/>
        <v>0.97499999999999998</v>
      </c>
      <c r="R19" s="136">
        <v>17.2</v>
      </c>
      <c r="S19" s="136">
        <v>102</v>
      </c>
      <c r="T19" s="146">
        <f t="shared" si="1"/>
        <v>33</v>
      </c>
      <c r="U19" s="136">
        <v>538</v>
      </c>
      <c r="V19" s="146">
        <f t="shared" si="2"/>
        <v>4438.5</v>
      </c>
      <c r="W19" s="136">
        <v>4</v>
      </c>
      <c r="X19" s="136" t="s">
        <v>46</v>
      </c>
      <c r="Y19" s="136" t="s">
        <v>47</v>
      </c>
      <c r="Z19" s="136" t="s">
        <v>107</v>
      </c>
      <c r="AA19" s="136" t="s">
        <v>55</v>
      </c>
      <c r="AB19" s="136" t="s">
        <v>331</v>
      </c>
      <c r="AE19" s="163" t="s">
        <v>193</v>
      </c>
      <c r="AP19" s="159" t="s">
        <v>206</v>
      </c>
      <c r="AR19" s="148" t="s">
        <v>207</v>
      </c>
      <c r="AV19" s="148" t="s">
        <v>90</v>
      </c>
    </row>
    <row r="20" spans="1:48" x14ac:dyDescent="0.15">
      <c r="A20" s="136" t="s">
        <v>56</v>
      </c>
      <c r="B20" s="136" t="s">
        <v>332</v>
      </c>
      <c r="C20" s="136">
        <v>2020</v>
      </c>
      <c r="D20" s="144" t="s">
        <v>400</v>
      </c>
      <c r="E20" s="136" t="s">
        <v>282</v>
      </c>
      <c r="F20" s="136" t="s">
        <v>370</v>
      </c>
      <c r="G20" s="136" t="s">
        <v>36</v>
      </c>
      <c r="H20" s="136" t="s">
        <v>146</v>
      </c>
      <c r="I20" s="136" t="s">
        <v>142</v>
      </c>
      <c r="J20" s="136" t="s">
        <v>38</v>
      </c>
      <c r="K20" s="136" t="s">
        <v>143</v>
      </c>
      <c r="L20" s="136">
        <v>1</v>
      </c>
      <c r="N20" s="136">
        <v>1</v>
      </c>
      <c r="O20" s="136">
        <v>1</v>
      </c>
      <c r="P20" s="136">
        <v>1.1000000000000001</v>
      </c>
      <c r="Q20" s="145">
        <f t="shared" si="0"/>
        <v>1.05</v>
      </c>
      <c r="R20" s="136">
        <v>16.2</v>
      </c>
      <c r="S20" s="136">
        <v>151</v>
      </c>
      <c r="T20" s="146">
        <f t="shared" si="1"/>
        <v>22</v>
      </c>
      <c r="U20" s="136">
        <v>170</v>
      </c>
      <c r="V20" s="146">
        <f t="shared" si="2"/>
        <v>3740</v>
      </c>
      <c r="W20" s="136">
        <v>1</v>
      </c>
      <c r="X20" s="136" t="s">
        <v>46</v>
      </c>
      <c r="Y20" s="136" t="s">
        <v>47</v>
      </c>
      <c r="Z20" s="136" t="s">
        <v>107</v>
      </c>
      <c r="AA20" s="136" t="s">
        <v>55</v>
      </c>
      <c r="AB20" s="136" t="s">
        <v>331</v>
      </c>
      <c r="AP20" s="159" t="s">
        <v>208</v>
      </c>
      <c r="AR20" s="148" t="s">
        <v>105</v>
      </c>
      <c r="AV20" s="159" t="s">
        <v>209</v>
      </c>
    </row>
    <row r="21" spans="1:48" x14ac:dyDescent="0.15">
      <c r="A21" s="136" t="s">
        <v>56</v>
      </c>
      <c r="B21" s="136" t="s">
        <v>332</v>
      </c>
      <c r="C21" s="136">
        <v>2020</v>
      </c>
      <c r="D21" s="144" t="s">
        <v>400</v>
      </c>
      <c r="E21" s="136" t="s">
        <v>282</v>
      </c>
      <c r="F21" s="136" t="s">
        <v>370</v>
      </c>
      <c r="G21" s="136" t="s">
        <v>36</v>
      </c>
      <c r="H21" s="136" t="s">
        <v>146</v>
      </c>
      <c r="I21" s="136" t="s">
        <v>142</v>
      </c>
      <c r="J21" s="136" t="s">
        <v>38</v>
      </c>
      <c r="K21" s="136" t="s">
        <v>143</v>
      </c>
      <c r="L21" s="136">
        <v>2</v>
      </c>
      <c r="N21" s="136">
        <v>1</v>
      </c>
      <c r="O21" s="136">
        <v>0.8</v>
      </c>
      <c r="P21" s="136">
        <v>0.85</v>
      </c>
      <c r="Q21" s="145">
        <f t="shared" si="0"/>
        <v>0.82499999999999996</v>
      </c>
      <c r="R21" s="136">
        <v>15.9</v>
      </c>
      <c r="S21" s="136">
        <v>158</v>
      </c>
      <c r="T21" s="146">
        <f t="shared" si="1"/>
        <v>22</v>
      </c>
      <c r="U21" s="136">
        <v>170</v>
      </c>
      <c r="V21" s="146">
        <f t="shared" si="2"/>
        <v>3740</v>
      </c>
      <c r="W21" s="136">
        <v>1</v>
      </c>
      <c r="X21" s="136" t="s">
        <v>46</v>
      </c>
      <c r="Y21" s="136" t="s">
        <v>47</v>
      </c>
      <c r="Z21" s="136" t="s">
        <v>107</v>
      </c>
      <c r="AA21" s="136" t="s">
        <v>55</v>
      </c>
      <c r="AB21" s="136" t="s">
        <v>331</v>
      </c>
      <c r="AP21" s="159" t="s">
        <v>210</v>
      </c>
      <c r="AR21" s="148" t="s">
        <v>68</v>
      </c>
      <c r="AV21" s="160" t="s">
        <v>148</v>
      </c>
    </row>
    <row r="22" spans="1:48" x14ac:dyDescent="0.15">
      <c r="A22" s="136" t="s">
        <v>56</v>
      </c>
      <c r="B22" s="136" t="s">
        <v>332</v>
      </c>
      <c r="C22" s="136">
        <v>2020</v>
      </c>
      <c r="D22" s="144" t="s">
        <v>400</v>
      </c>
      <c r="E22" s="136" t="s">
        <v>282</v>
      </c>
      <c r="F22" s="136" t="s">
        <v>370</v>
      </c>
      <c r="G22" s="136" t="s">
        <v>36</v>
      </c>
      <c r="H22" s="136" t="s">
        <v>146</v>
      </c>
      <c r="I22" s="136" t="s">
        <v>142</v>
      </c>
      <c r="J22" s="136" t="s">
        <v>38</v>
      </c>
      <c r="K22" s="136" t="s">
        <v>143</v>
      </c>
      <c r="L22" s="136">
        <v>3</v>
      </c>
      <c r="N22" s="136">
        <v>1</v>
      </c>
      <c r="O22" s="136">
        <v>1.25</v>
      </c>
      <c r="P22" s="136">
        <v>1.2</v>
      </c>
      <c r="Q22" s="145">
        <f t="shared" si="0"/>
        <v>1.2250000000000001</v>
      </c>
      <c r="R22" s="136">
        <v>15.3</v>
      </c>
      <c r="S22" s="136">
        <v>157</v>
      </c>
      <c r="T22" s="146">
        <f t="shared" si="1"/>
        <v>22</v>
      </c>
      <c r="U22" s="136">
        <v>170</v>
      </c>
      <c r="V22" s="146">
        <f t="shared" si="2"/>
        <v>3740</v>
      </c>
      <c r="W22" s="136">
        <v>1</v>
      </c>
      <c r="X22" s="136" t="s">
        <v>46</v>
      </c>
      <c r="Y22" s="136" t="s">
        <v>47</v>
      </c>
      <c r="Z22" s="136" t="s">
        <v>107</v>
      </c>
      <c r="AA22" s="136" t="s">
        <v>55</v>
      </c>
      <c r="AB22" s="136" t="s">
        <v>331</v>
      </c>
      <c r="AP22" s="159" t="s">
        <v>211</v>
      </c>
      <c r="AR22" s="148" t="s">
        <v>83</v>
      </c>
    </row>
    <row r="23" spans="1:48" x14ac:dyDescent="0.15">
      <c r="A23" s="136" t="s">
        <v>56</v>
      </c>
      <c r="B23" s="136" t="s">
        <v>332</v>
      </c>
      <c r="C23" s="136">
        <v>2020</v>
      </c>
      <c r="D23" s="144" t="s">
        <v>400</v>
      </c>
      <c r="E23" s="136" t="s">
        <v>375</v>
      </c>
      <c r="F23" s="136" t="s">
        <v>376</v>
      </c>
      <c r="G23" s="136" t="s">
        <v>36</v>
      </c>
      <c r="H23" s="136" t="s">
        <v>171</v>
      </c>
      <c r="I23" s="136" t="s">
        <v>142</v>
      </c>
      <c r="J23" s="136" t="s">
        <v>104</v>
      </c>
      <c r="K23" s="136" t="s">
        <v>195</v>
      </c>
      <c r="L23" s="136">
        <v>1</v>
      </c>
      <c r="N23" s="136">
        <v>5</v>
      </c>
      <c r="O23" s="136">
        <v>1</v>
      </c>
      <c r="P23" s="136">
        <v>1.05</v>
      </c>
      <c r="Q23" s="145">
        <f t="shared" si="0"/>
        <v>1.0249999999999999</v>
      </c>
      <c r="R23" s="136">
        <v>12</v>
      </c>
      <c r="S23" s="136">
        <v>100</v>
      </c>
      <c r="T23" s="146">
        <f t="shared" si="1"/>
        <v>33</v>
      </c>
      <c r="U23" s="136">
        <v>538</v>
      </c>
      <c r="V23" s="146">
        <f t="shared" si="2"/>
        <v>3550.7999999999997</v>
      </c>
      <c r="W23" s="136">
        <v>2</v>
      </c>
      <c r="X23" s="136" t="s">
        <v>46</v>
      </c>
      <c r="Y23" s="136" t="s">
        <v>55</v>
      </c>
      <c r="Z23" s="136" t="s">
        <v>47</v>
      </c>
      <c r="AA23" s="136" t="s">
        <v>90</v>
      </c>
      <c r="AB23" s="136" t="s">
        <v>331</v>
      </c>
      <c r="AP23" s="159" t="s">
        <v>212</v>
      </c>
      <c r="AR23" s="148" t="s">
        <v>61</v>
      </c>
    </row>
    <row r="24" spans="1:48" x14ac:dyDescent="0.15">
      <c r="A24" s="136" t="s">
        <v>56</v>
      </c>
      <c r="B24" s="136" t="s">
        <v>332</v>
      </c>
      <c r="C24" s="136">
        <v>2020</v>
      </c>
      <c r="D24" s="144" t="s">
        <v>400</v>
      </c>
      <c r="E24" s="136" t="s">
        <v>375</v>
      </c>
      <c r="F24" s="136" t="s">
        <v>376</v>
      </c>
      <c r="G24" s="136" t="s">
        <v>36</v>
      </c>
      <c r="H24" s="136" t="s">
        <v>171</v>
      </c>
      <c r="I24" s="136" t="s">
        <v>142</v>
      </c>
      <c r="J24" s="136" t="s">
        <v>104</v>
      </c>
      <c r="K24" s="136" t="s">
        <v>195</v>
      </c>
      <c r="L24" s="136">
        <v>2</v>
      </c>
      <c r="N24" s="136">
        <v>5</v>
      </c>
      <c r="O24" s="136">
        <v>1.1000000000000001</v>
      </c>
      <c r="P24" s="136">
        <v>1.1000000000000001</v>
      </c>
      <c r="Q24" s="145">
        <f t="shared" si="0"/>
        <v>1.1000000000000001</v>
      </c>
      <c r="R24" s="136">
        <v>11.3</v>
      </c>
      <c r="S24" s="136">
        <v>108</v>
      </c>
      <c r="T24" s="146">
        <f t="shared" si="1"/>
        <v>33</v>
      </c>
      <c r="U24" s="136">
        <v>538</v>
      </c>
      <c r="V24" s="146">
        <f t="shared" si="2"/>
        <v>3550.7999999999997</v>
      </c>
      <c r="W24" s="136">
        <v>2</v>
      </c>
      <c r="X24" s="136" t="s">
        <v>46</v>
      </c>
      <c r="Y24" s="136" t="s">
        <v>55</v>
      </c>
      <c r="Z24" s="136" t="s">
        <v>47</v>
      </c>
      <c r="AA24" s="136" t="s">
        <v>90</v>
      </c>
      <c r="AB24" s="136" t="s">
        <v>331</v>
      </c>
      <c r="AP24" s="159" t="s">
        <v>213</v>
      </c>
      <c r="AR24" s="148" t="s">
        <v>91</v>
      </c>
    </row>
    <row r="25" spans="1:48" x14ac:dyDescent="0.15">
      <c r="A25" s="136" t="s">
        <v>56</v>
      </c>
      <c r="B25" s="136" t="s">
        <v>332</v>
      </c>
      <c r="C25" s="136">
        <v>2020</v>
      </c>
      <c r="D25" s="144" t="s">
        <v>400</v>
      </c>
      <c r="E25" s="136" t="s">
        <v>375</v>
      </c>
      <c r="F25" s="136" t="s">
        <v>376</v>
      </c>
      <c r="G25" s="136" t="s">
        <v>36</v>
      </c>
      <c r="H25" s="136" t="s">
        <v>171</v>
      </c>
      <c r="I25" s="136" t="s">
        <v>142</v>
      </c>
      <c r="J25" s="136" t="s">
        <v>104</v>
      </c>
      <c r="K25" s="136" t="s">
        <v>195</v>
      </c>
      <c r="L25" s="136">
        <v>3</v>
      </c>
      <c r="N25" s="136">
        <v>5</v>
      </c>
      <c r="O25" s="136">
        <v>1.05</v>
      </c>
      <c r="P25" s="136">
        <v>1.05</v>
      </c>
      <c r="Q25" s="145">
        <f t="shared" si="0"/>
        <v>1.05</v>
      </c>
      <c r="R25" s="136">
        <v>12</v>
      </c>
      <c r="S25" s="136">
        <v>101</v>
      </c>
      <c r="T25" s="146">
        <f t="shared" si="1"/>
        <v>33</v>
      </c>
      <c r="U25" s="136">
        <v>538</v>
      </c>
      <c r="V25" s="146">
        <f t="shared" si="2"/>
        <v>3550.7999999999997</v>
      </c>
      <c r="W25" s="136">
        <v>2</v>
      </c>
      <c r="X25" s="136" t="s">
        <v>46</v>
      </c>
      <c r="Y25" s="136" t="s">
        <v>55</v>
      </c>
      <c r="Z25" s="136" t="s">
        <v>47</v>
      </c>
      <c r="AA25" s="136" t="s">
        <v>90</v>
      </c>
      <c r="AB25" s="136" t="s">
        <v>331</v>
      </c>
      <c r="AP25" s="159" t="s">
        <v>214</v>
      </c>
      <c r="AR25" s="159" t="s">
        <v>51</v>
      </c>
    </row>
    <row r="26" spans="1:48" x14ac:dyDescent="0.15">
      <c r="A26" s="136" t="s">
        <v>56</v>
      </c>
      <c r="B26" s="136" t="s">
        <v>332</v>
      </c>
      <c r="C26" s="136">
        <v>2020</v>
      </c>
      <c r="D26" s="144" t="s">
        <v>400</v>
      </c>
      <c r="E26" s="136" t="s">
        <v>375</v>
      </c>
      <c r="F26" s="136" t="s">
        <v>376</v>
      </c>
      <c r="G26" s="136" t="s">
        <v>36</v>
      </c>
      <c r="H26" s="136" t="s">
        <v>146</v>
      </c>
      <c r="I26" s="136" t="s">
        <v>142</v>
      </c>
      <c r="J26" s="136" t="s">
        <v>38</v>
      </c>
      <c r="K26" s="136" t="s">
        <v>143</v>
      </c>
      <c r="L26" s="136">
        <v>1</v>
      </c>
      <c r="N26" s="136">
        <v>5</v>
      </c>
      <c r="O26" s="136">
        <v>0.95</v>
      </c>
      <c r="P26" s="136">
        <v>0.95</v>
      </c>
      <c r="Q26" s="145">
        <f t="shared" si="0"/>
        <v>0.95</v>
      </c>
      <c r="R26" s="136">
        <v>15.4</v>
      </c>
      <c r="S26" s="136">
        <v>116</v>
      </c>
      <c r="T26" s="146">
        <f t="shared" si="1"/>
        <v>30</v>
      </c>
      <c r="U26" s="136">
        <v>646</v>
      </c>
      <c r="V26" s="146">
        <f t="shared" si="2"/>
        <v>3875.9999999999995</v>
      </c>
      <c r="W26" s="136">
        <v>2</v>
      </c>
      <c r="X26" s="136" t="s">
        <v>46</v>
      </c>
      <c r="Y26" s="136" t="s">
        <v>55</v>
      </c>
      <c r="Z26" s="136" t="s">
        <v>47</v>
      </c>
      <c r="AA26" s="136" t="s">
        <v>90</v>
      </c>
      <c r="AB26" s="136" t="s">
        <v>331</v>
      </c>
      <c r="AP26" s="159" t="s">
        <v>215</v>
      </c>
      <c r="AR26" s="136" t="s">
        <v>341</v>
      </c>
    </row>
    <row r="27" spans="1:48" x14ac:dyDescent="0.15">
      <c r="A27" s="136" t="s">
        <v>56</v>
      </c>
      <c r="B27" s="136" t="s">
        <v>332</v>
      </c>
      <c r="C27" s="136">
        <v>2020</v>
      </c>
      <c r="D27" s="144" t="s">
        <v>400</v>
      </c>
      <c r="E27" s="136" t="s">
        <v>375</v>
      </c>
      <c r="F27" s="136" t="s">
        <v>376</v>
      </c>
      <c r="G27" s="136" t="s">
        <v>36</v>
      </c>
      <c r="H27" s="136" t="s">
        <v>146</v>
      </c>
      <c r="I27" s="136" t="s">
        <v>142</v>
      </c>
      <c r="J27" s="136" t="s">
        <v>38</v>
      </c>
      <c r="K27" s="136" t="s">
        <v>143</v>
      </c>
      <c r="L27" s="136">
        <v>2</v>
      </c>
      <c r="N27" s="136">
        <v>5</v>
      </c>
      <c r="O27" s="136">
        <v>0.7</v>
      </c>
      <c r="P27" s="136">
        <v>0.6</v>
      </c>
      <c r="Q27" s="145">
        <f t="shared" si="0"/>
        <v>0.64999999999999991</v>
      </c>
      <c r="R27" s="136">
        <v>17.399999999999999</v>
      </c>
      <c r="S27" s="136">
        <v>99</v>
      </c>
      <c r="T27" s="146">
        <f t="shared" si="1"/>
        <v>33</v>
      </c>
      <c r="U27" s="136">
        <v>646</v>
      </c>
      <c r="V27" s="146">
        <f t="shared" si="2"/>
        <v>4263.5999999999995</v>
      </c>
      <c r="W27" s="136">
        <v>2</v>
      </c>
      <c r="X27" s="136" t="s">
        <v>46</v>
      </c>
      <c r="Y27" s="136" t="s">
        <v>55</v>
      </c>
      <c r="Z27" s="136" t="s">
        <v>47</v>
      </c>
      <c r="AA27" s="136" t="s">
        <v>90</v>
      </c>
      <c r="AB27" s="136" t="s">
        <v>331</v>
      </c>
      <c r="AP27" s="159" t="s">
        <v>342</v>
      </c>
      <c r="AR27" s="158" t="s">
        <v>409</v>
      </c>
    </row>
    <row r="28" spans="1:48" x14ac:dyDescent="0.15">
      <c r="A28" s="136" t="s">
        <v>56</v>
      </c>
      <c r="B28" s="136" t="s">
        <v>332</v>
      </c>
      <c r="C28" s="136">
        <v>2020</v>
      </c>
      <c r="D28" s="144" t="s">
        <v>400</v>
      </c>
      <c r="E28" s="136" t="s">
        <v>375</v>
      </c>
      <c r="F28" s="136" t="s">
        <v>376</v>
      </c>
      <c r="G28" s="136" t="s">
        <v>36</v>
      </c>
      <c r="H28" s="136" t="s">
        <v>146</v>
      </c>
      <c r="I28" s="136" t="s">
        <v>142</v>
      </c>
      <c r="J28" s="136" t="s">
        <v>38</v>
      </c>
      <c r="K28" s="136" t="s">
        <v>143</v>
      </c>
      <c r="L28" s="136">
        <v>3</v>
      </c>
      <c r="N28" s="136">
        <v>5</v>
      </c>
      <c r="O28" s="136">
        <v>1.05</v>
      </c>
      <c r="P28" s="136">
        <v>1.25</v>
      </c>
      <c r="Q28" s="145">
        <f t="shared" si="0"/>
        <v>1.1499999999999999</v>
      </c>
      <c r="R28" s="136">
        <v>14.9</v>
      </c>
      <c r="S28" s="136">
        <v>108</v>
      </c>
      <c r="T28" s="146">
        <f t="shared" si="1"/>
        <v>33</v>
      </c>
      <c r="U28" s="136">
        <v>646</v>
      </c>
      <c r="V28" s="146">
        <f t="shared" si="2"/>
        <v>4263.5999999999995</v>
      </c>
      <c r="W28" s="136">
        <v>2</v>
      </c>
      <c r="X28" s="136" t="s">
        <v>46</v>
      </c>
      <c r="Y28" s="136" t="s">
        <v>55</v>
      </c>
      <c r="Z28" s="136" t="s">
        <v>47</v>
      </c>
      <c r="AA28" s="136" t="s">
        <v>90</v>
      </c>
      <c r="AB28" s="136" t="s">
        <v>331</v>
      </c>
      <c r="AP28" s="164" t="s">
        <v>408</v>
      </c>
    </row>
    <row r="29" spans="1:48" x14ac:dyDescent="0.15">
      <c r="A29" s="136" t="s">
        <v>56</v>
      </c>
      <c r="B29" s="136" t="s">
        <v>332</v>
      </c>
      <c r="C29" s="136">
        <v>2020</v>
      </c>
      <c r="D29" s="144" t="s">
        <v>400</v>
      </c>
      <c r="E29" s="136" t="s">
        <v>375</v>
      </c>
      <c r="F29" s="136" t="s">
        <v>376</v>
      </c>
      <c r="G29" s="136" t="s">
        <v>36</v>
      </c>
      <c r="H29" s="136" t="s">
        <v>146</v>
      </c>
      <c r="I29" s="136" t="s">
        <v>142</v>
      </c>
      <c r="J29" s="136" t="s">
        <v>38</v>
      </c>
      <c r="K29" s="136" t="s">
        <v>143</v>
      </c>
      <c r="L29" s="136">
        <v>1</v>
      </c>
      <c r="N29" s="136">
        <v>1</v>
      </c>
      <c r="O29" s="136">
        <v>1</v>
      </c>
      <c r="P29" s="136">
        <v>1</v>
      </c>
      <c r="Q29" s="145">
        <f t="shared" si="0"/>
        <v>1</v>
      </c>
      <c r="R29" s="136">
        <v>14.2</v>
      </c>
      <c r="S29" s="136">
        <v>126</v>
      </c>
      <c r="T29" s="146">
        <f t="shared" si="1"/>
        <v>27</v>
      </c>
      <c r="U29" s="136">
        <v>138</v>
      </c>
      <c r="V29" s="146">
        <f t="shared" si="2"/>
        <v>3726</v>
      </c>
      <c r="W29" s="136">
        <v>4</v>
      </c>
      <c r="X29" s="136" t="s">
        <v>46</v>
      </c>
      <c r="Y29" s="136" t="s">
        <v>55</v>
      </c>
      <c r="Z29" s="136" t="s">
        <v>47</v>
      </c>
      <c r="AA29" s="136" t="s">
        <v>90</v>
      </c>
      <c r="AB29" s="136" t="s">
        <v>331</v>
      </c>
    </row>
    <row r="30" spans="1:48" x14ac:dyDescent="0.15">
      <c r="A30" s="136" t="s">
        <v>56</v>
      </c>
      <c r="B30" s="136" t="s">
        <v>332</v>
      </c>
      <c r="C30" s="136">
        <v>2020</v>
      </c>
      <c r="D30" s="144" t="s">
        <v>400</v>
      </c>
      <c r="E30" s="136" t="s">
        <v>375</v>
      </c>
      <c r="F30" s="136" t="s">
        <v>376</v>
      </c>
      <c r="G30" s="136" t="s">
        <v>36</v>
      </c>
      <c r="H30" s="136" t="s">
        <v>146</v>
      </c>
      <c r="I30" s="136" t="s">
        <v>142</v>
      </c>
      <c r="J30" s="136" t="s">
        <v>38</v>
      </c>
      <c r="K30" s="136" t="s">
        <v>143</v>
      </c>
      <c r="L30" s="136">
        <v>2</v>
      </c>
      <c r="N30" s="136">
        <v>1</v>
      </c>
      <c r="O30" s="136">
        <v>1</v>
      </c>
      <c r="P30" s="136">
        <v>1</v>
      </c>
      <c r="Q30" s="145">
        <f t="shared" si="0"/>
        <v>1</v>
      </c>
      <c r="R30" s="136">
        <v>15.6</v>
      </c>
      <c r="S30" s="136">
        <v>118</v>
      </c>
      <c r="T30" s="146">
        <f t="shared" si="1"/>
        <v>30</v>
      </c>
      <c r="U30" s="136">
        <v>138</v>
      </c>
      <c r="V30" s="146">
        <f t="shared" si="2"/>
        <v>4140</v>
      </c>
      <c r="W30" s="136">
        <v>4</v>
      </c>
      <c r="X30" s="136" t="s">
        <v>46</v>
      </c>
      <c r="Y30" s="136" t="s">
        <v>55</v>
      </c>
      <c r="Z30" s="136" t="s">
        <v>47</v>
      </c>
      <c r="AA30" s="136" t="s">
        <v>90</v>
      </c>
      <c r="AB30" s="136" t="s">
        <v>331</v>
      </c>
    </row>
    <row r="31" spans="1:48" x14ac:dyDescent="0.15">
      <c r="A31" s="136" t="s">
        <v>56</v>
      </c>
      <c r="B31" s="136" t="s">
        <v>332</v>
      </c>
      <c r="C31" s="136">
        <v>2020</v>
      </c>
      <c r="D31" s="144" t="s">
        <v>400</v>
      </c>
      <c r="E31" s="136" t="s">
        <v>375</v>
      </c>
      <c r="F31" s="136" t="s">
        <v>376</v>
      </c>
      <c r="G31" s="136" t="s">
        <v>36</v>
      </c>
      <c r="H31" s="136" t="s">
        <v>146</v>
      </c>
      <c r="I31" s="136" t="s">
        <v>142</v>
      </c>
      <c r="J31" s="136" t="s">
        <v>38</v>
      </c>
      <c r="K31" s="136" t="s">
        <v>143</v>
      </c>
      <c r="L31" s="136">
        <v>3</v>
      </c>
      <c r="N31" s="136">
        <v>1</v>
      </c>
      <c r="O31" s="136">
        <v>0.85</v>
      </c>
      <c r="P31" s="136">
        <v>0.95</v>
      </c>
      <c r="Q31" s="145">
        <f t="shared" si="0"/>
        <v>0.89999999999999991</v>
      </c>
      <c r="R31" s="136">
        <v>16.399999999999999</v>
      </c>
      <c r="S31" s="136">
        <v>116</v>
      </c>
      <c r="T31" s="146">
        <f t="shared" si="1"/>
        <v>30</v>
      </c>
      <c r="U31" s="136">
        <v>138</v>
      </c>
      <c r="V31" s="146">
        <f t="shared" si="2"/>
        <v>4140</v>
      </c>
      <c r="W31" s="136">
        <v>4</v>
      </c>
      <c r="X31" s="136" t="s">
        <v>46</v>
      </c>
      <c r="Y31" s="136" t="s">
        <v>55</v>
      </c>
      <c r="Z31" s="136" t="s">
        <v>47</v>
      </c>
      <c r="AA31" s="136" t="s">
        <v>90</v>
      </c>
      <c r="AB31" s="136" t="s">
        <v>331</v>
      </c>
    </row>
    <row r="32" spans="1:48" x14ac:dyDescent="0.15">
      <c r="A32" s="136" t="s">
        <v>56</v>
      </c>
      <c r="B32" s="136" t="s">
        <v>332</v>
      </c>
      <c r="C32" s="136">
        <v>2020</v>
      </c>
      <c r="D32" s="144" t="s">
        <v>400</v>
      </c>
      <c r="E32" s="136" t="s">
        <v>377</v>
      </c>
      <c r="F32" s="136" t="s">
        <v>370</v>
      </c>
      <c r="G32" s="136" t="s">
        <v>42</v>
      </c>
      <c r="H32" s="136" t="s">
        <v>171</v>
      </c>
      <c r="I32" s="136" t="s">
        <v>142</v>
      </c>
      <c r="J32" s="136" t="s">
        <v>58</v>
      </c>
      <c r="K32" s="136" t="s">
        <v>59</v>
      </c>
      <c r="L32" s="136">
        <v>1</v>
      </c>
      <c r="N32" s="136">
        <v>1</v>
      </c>
      <c r="O32" s="136">
        <v>0.7</v>
      </c>
      <c r="P32" s="136">
        <v>0.65</v>
      </c>
      <c r="Q32" s="145">
        <f t="shared" si="0"/>
        <v>0.67500000000000004</v>
      </c>
      <c r="R32" s="136">
        <v>14.2</v>
      </c>
      <c r="S32" s="136">
        <v>92</v>
      </c>
      <c r="T32" s="146">
        <f t="shared" si="1"/>
        <v>36</v>
      </c>
      <c r="U32" s="136">
        <v>107</v>
      </c>
      <c r="V32" s="146">
        <f t="shared" si="2"/>
        <v>3852</v>
      </c>
      <c r="W32" s="136">
        <v>2</v>
      </c>
      <c r="X32" s="136" t="s">
        <v>39</v>
      </c>
      <c r="Y32" s="136" t="s">
        <v>55</v>
      </c>
      <c r="Z32" s="136" t="s">
        <v>47</v>
      </c>
      <c r="AA32" s="136" t="s">
        <v>40</v>
      </c>
      <c r="AB32" s="136" t="s">
        <v>331</v>
      </c>
    </row>
    <row r="33" spans="1:28" x14ac:dyDescent="0.15">
      <c r="A33" s="136" t="s">
        <v>56</v>
      </c>
      <c r="B33" s="136" t="s">
        <v>332</v>
      </c>
      <c r="C33" s="136">
        <v>2020</v>
      </c>
      <c r="D33" s="144" t="s">
        <v>400</v>
      </c>
      <c r="E33" s="136" t="s">
        <v>377</v>
      </c>
      <c r="F33" s="136" t="s">
        <v>370</v>
      </c>
      <c r="G33" s="136" t="s">
        <v>42</v>
      </c>
      <c r="H33" s="136" t="s">
        <v>171</v>
      </c>
      <c r="I33" s="136" t="s">
        <v>142</v>
      </c>
      <c r="J33" s="136" t="s">
        <v>58</v>
      </c>
      <c r="K33" s="136" t="s">
        <v>59</v>
      </c>
      <c r="L33" s="136">
        <v>2</v>
      </c>
      <c r="N33" s="136">
        <v>1</v>
      </c>
      <c r="O33" s="136">
        <v>0.75</v>
      </c>
      <c r="P33" s="136">
        <v>0.7</v>
      </c>
      <c r="Q33" s="145">
        <f t="shared" si="0"/>
        <v>0.72499999999999998</v>
      </c>
      <c r="R33" s="136">
        <v>12.8</v>
      </c>
      <c r="S33" s="136">
        <v>88</v>
      </c>
      <c r="T33" s="146">
        <f t="shared" si="1"/>
        <v>36</v>
      </c>
      <c r="U33" s="136">
        <v>107</v>
      </c>
      <c r="V33" s="146">
        <f t="shared" si="2"/>
        <v>3852</v>
      </c>
      <c r="W33" s="136">
        <v>2</v>
      </c>
      <c r="X33" s="136" t="s">
        <v>39</v>
      </c>
      <c r="Y33" s="136" t="s">
        <v>55</v>
      </c>
      <c r="Z33" s="136" t="s">
        <v>47</v>
      </c>
      <c r="AA33" s="136" t="s">
        <v>40</v>
      </c>
      <c r="AB33" s="136" t="s">
        <v>331</v>
      </c>
    </row>
    <row r="34" spans="1:28" x14ac:dyDescent="0.15">
      <c r="A34" s="136" t="s">
        <v>56</v>
      </c>
      <c r="B34" s="136" t="s">
        <v>332</v>
      </c>
      <c r="C34" s="136">
        <v>2020</v>
      </c>
      <c r="D34" s="144" t="s">
        <v>400</v>
      </c>
      <c r="E34" s="136" t="s">
        <v>377</v>
      </c>
      <c r="F34" s="136" t="s">
        <v>370</v>
      </c>
      <c r="G34" s="136" t="s">
        <v>42</v>
      </c>
      <c r="H34" s="136" t="s">
        <v>171</v>
      </c>
      <c r="I34" s="136" t="s">
        <v>142</v>
      </c>
      <c r="J34" s="136" t="s">
        <v>58</v>
      </c>
      <c r="K34" s="136" t="s">
        <v>59</v>
      </c>
      <c r="L34" s="136">
        <v>3</v>
      </c>
      <c r="N34" s="136">
        <v>1</v>
      </c>
      <c r="O34" s="136">
        <v>0.95</v>
      </c>
      <c r="P34" s="136">
        <v>0.95</v>
      </c>
      <c r="Q34" s="145">
        <f t="shared" si="0"/>
        <v>0.95</v>
      </c>
      <c r="R34" s="136">
        <v>12.2</v>
      </c>
      <c r="S34" s="136">
        <v>80</v>
      </c>
      <c r="T34" s="146">
        <f t="shared" si="1"/>
        <v>39</v>
      </c>
      <c r="U34" s="136">
        <v>107</v>
      </c>
      <c r="V34" s="146">
        <f t="shared" si="2"/>
        <v>4173</v>
      </c>
      <c r="W34" s="136">
        <v>2</v>
      </c>
      <c r="X34" s="136" t="s">
        <v>39</v>
      </c>
      <c r="Y34" s="136" t="s">
        <v>55</v>
      </c>
      <c r="Z34" s="136" t="s">
        <v>47</v>
      </c>
      <c r="AA34" s="136" t="s">
        <v>40</v>
      </c>
      <c r="AB34" s="136" t="s">
        <v>331</v>
      </c>
    </row>
    <row r="35" spans="1:28" x14ac:dyDescent="0.15">
      <c r="A35" s="136" t="s">
        <v>56</v>
      </c>
      <c r="B35" s="136" t="s">
        <v>332</v>
      </c>
      <c r="C35" s="136">
        <v>2020</v>
      </c>
      <c r="D35" s="144" t="s">
        <v>400</v>
      </c>
      <c r="E35" s="136" t="s">
        <v>377</v>
      </c>
      <c r="F35" s="136" t="s">
        <v>370</v>
      </c>
      <c r="G35" s="136" t="s">
        <v>42</v>
      </c>
      <c r="H35" s="136" t="s">
        <v>171</v>
      </c>
      <c r="I35" s="136" t="s">
        <v>142</v>
      </c>
      <c r="J35" s="136" t="s">
        <v>80</v>
      </c>
      <c r="K35" s="136" t="s">
        <v>63</v>
      </c>
      <c r="L35" s="136">
        <v>1</v>
      </c>
      <c r="N35" s="136">
        <v>7</v>
      </c>
      <c r="O35" s="136">
        <v>1.1000000000000001</v>
      </c>
      <c r="P35" s="136">
        <v>1.2</v>
      </c>
      <c r="Q35" s="146">
        <f t="shared" si="0"/>
        <v>1.1499999999999999</v>
      </c>
      <c r="R35" s="136">
        <v>12.2</v>
      </c>
      <c r="S35" s="136">
        <v>92</v>
      </c>
      <c r="T35" s="146">
        <f t="shared" si="1"/>
        <v>36</v>
      </c>
      <c r="U35" s="136">
        <v>429</v>
      </c>
      <c r="V35" s="146">
        <f t="shared" si="2"/>
        <v>2206.2857142857142</v>
      </c>
      <c r="W35" s="136">
        <v>2</v>
      </c>
      <c r="X35" s="136" t="s">
        <v>39</v>
      </c>
      <c r="Y35" s="136" t="s">
        <v>55</v>
      </c>
      <c r="Z35" s="136" t="s">
        <v>47</v>
      </c>
      <c r="AA35" s="136" t="s">
        <v>40</v>
      </c>
      <c r="AB35" s="136" t="s">
        <v>331</v>
      </c>
    </row>
    <row r="36" spans="1:28" x14ac:dyDescent="0.15">
      <c r="A36" s="136" t="s">
        <v>56</v>
      </c>
      <c r="B36" s="136" t="s">
        <v>332</v>
      </c>
      <c r="C36" s="136">
        <v>2020</v>
      </c>
      <c r="D36" s="144" t="s">
        <v>400</v>
      </c>
      <c r="E36" s="136" t="s">
        <v>377</v>
      </c>
      <c r="F36" s="136" t="s">
        <v>370</v>
      </c>
      <c r="G36" s="136" t="s">
        <v>42</v>
      </c>
      <c r="H36" s="136" t="s">
        <v>171</v>
      </c>
      <c r="I36" s="136" t="s">
        <v>142</v>
      </c>
      <c r="J36" s="136" t="s">
        <v>80</v>
      </c>
      <c r="K36" s="136" t="s">
        <v>63</v>
      </c>
      <c r="L36" s="136">
        <v>2</v>
      </c>
      <c r="N36" s="136">
        <v>7</v>
      </c>
      <c r="O36" s="136">
        <v>1.05</v>
      </c>
      <c r="P36" s="136">
        <v>1.2</v>
      </c>
      <c r="Q36" s="146">
        <f t="shared" si="0"/>
        <v>1.125</v>
      </c>
      <c r="R36" s="136">
        <v>12.4</v>
      </c>
      <c r="S36" s="136">
        <v>85</v>
      </c>
      <c r="T36" s="146">
        <f t="shared" si="1"/>
        <v>36</v>
      </c>
      <c r="U36" s="136">
        <v>429</v>
      </c>
      <c r="V36" s="146">
        <f t="shared" si="2"/>
        <v>2206.2857142857142</v>
      </c>
      <c r="W36" s="136">
        <v>2</v>
      </c>
      <c r="X36" s="136" t="s">
        <v>39</v>
      </c>
      <c r="Y36" s="136" t="s">
        <v>55</v>
      </c>
      <c r="Z36" s="136" t="s">
        <v>47</v>
      </c>
      <c r="AA36" s="136" t="s">
        <v>40</v>
      </c>
      <c r="AB36" s="136" t="s">
        <v>331</v>
      </c>
    </row>
    <row r="37" spans="1:28" x14ac:dyDescent="0.15">
      <c r="A37" s="136" t="s">
        <v>56</v>
      </c>
      <c r="B37" s="136" t="s">
        <v>332</v>
      </c>
      <c r="C37" s="136">
        <v>2020</v>
      </c>
      <c r="D37" s="144" t="s">
        <v>400</v>
      </c>
      <c r="E37" s="136" t="s">
        <v>377</v>
      </c>
      <c r="F37" s="136" t="s">
        <v>370</v>
      </c>
      <c r="G37" s="136" t="s">
        <v>42</v>
      </c>
      <c r="H37" s="136" t="s">
        <v>171</v>
      </c>
      <c r="I37" s="136" t="s">
        <v>142</v>
      </c>
      <c r="J37" s="136" t="s">
        <v>80</v>
      </c>
      <c r="K37" s="136" t="s">
        <v>63</v>
      </c>
      <c r="L37" s="136">
        <v>3</v>
      </c>
      <c r="N37" s="136">
        <v>7</v>
      </c>
      <c r="O37" s="136">
        <v>1.85</v>
      </c>
      <c r="P37" s="136">
        <v>1.75</v>
      </c>
      <c r="Q37" s="146">
        <f t="shared" si="0"/>
        <v>1.8</v>
      </c>
      <c r="R37" s="136">
        <v>11.6</v>
      </c>
      <c r="S37" s="136">
        <v>90</v>
      </c>
      <c r="T37" s="146">
        <f t="shared" si="1"/>
        <v>36</v>
      </c>
      <c r="U37" s="136">
        <v>429</v>
      </c>
      <c r="V37" s="146">
        <f t="shared" si="2"/>
        <v>2206.2857142857142</v>
      </c>
      <c r="W37" s="136">
        <v>2</v>
      </c>
      <c r="X37" s="136" t="s">
        <v>39</v>
      </c>
      <c r="Y37" s="136" t="s">
        <v>55</v>
      </c>
      <c r="Z37" s="136" t="s">
        <v>47</v>
      </c>
      <c r="AA37" s="136" t="s">
        <v>40</v>
      </c>
      <c r="AB37" s="136" t="s">
        <v>331</v>
      </c>
    </row>
    <row r="38" spans="1:28" x14ac:dyDescent="0.15">
      <c r="A38" s="136" t="s">
        <v>56</v>
      </c>
      <c r="B38" s="136" t="s">
        <v>332</v>
      </c>
      <c r="C38" s="136">
        <v>2020</v>
      </c>
      <c r="D38" s="144" t="s">
        <v>400</v>
      </c>
      <c r="E38" s="136" t="s">
        <v>377</v>
      </c>
      <c r="F38" s="136" t="s">
        <v>370</v>
      </c>
      <c r="G38" s="136" t="s">
        <v>42</v>
      </c>
      <c r="H38" s="136" t="s">
        <v>146</v>
      </c>
      <c r="I38" s="136" t="s">
        <v>142</v>
      </c>
      <c r="J38" s="136" t="s">
        <v>38</v>
      </c>
      <c r="K38" s="136" t="s">
        <v>143</v>
      </c>
      <c r="L38" s="136">
        <v>1</v>
      </c>
      <c r="N38" s="136">
        <v>1</v>
      </c>
      <c r="O38" s="136">
        <v>0.95</v>
      </c>
      <c r="P38" s="136">
        <v>1</v>
      </c>
      <c r="Q38" s="146">
        <f t="shared" si="0"/>
        <v>0.97499999999999998</v>
      </c>
      <c r="R38" s="136">
        <v>16.5</v>
      </c>
      <c r="S38" s="136">
        <v>115</v>
      </c>
      <c r="T38" s="146">
        <f t="shared" si="1"/>
        <v>30</v>
      </c>
      <c r="U38" s="136">
        <v>105</v>
      </c>
      <c r="V38" s="146">
        <f t="shared" si="2"/>
        <v>3150</v>
      </c>
      <c r="W38" s="136">
        <v>4</v>
      </c>
      <c r="X38" s="136" t="s">
        <v>39</v>
      </c>
      <c r="Y38" s="136" t="s">
        <v>55</v>
      </c>
      <c r="Z38" s="136" t="s">
        <v>47</v>
      </c>
      <c r="AA38" s="136" t="s">
        <v>40</v>
      </c>
      <c r="AB38" s="136" t="s">
        <v>331</v>
      </c>
    </row>
    <row r="39" spans="1:28" x14ac:dyDescent="0.15">
      <c r="A39" s="136" t="s">
        <v>56</v>
      </c>
      <c r="B39" s="136" t="s">
        <v>332</v>
      </c>
      <c r="C39" s="136">
        <v>2020</v>
      </c>
      <c r="D39" s="144" t="s">
        <v>400</v>
      </c>
      <c r="E39" s="136" t="s">
        <v>377</v>
      </c>
      <c r="F39" s="136" t="s">
        <v>370</v>
      </c>
      <c r="G39" s="136" t="s">
        <v>42</v>
      </c>
      <c r="H39" s="136" t="s">
        <v>146</v>
      </c>
      <c r="I39" s="136" t="s">
        <v>142</v>
      </c>
      <c r="J39" s="136" t="s">
        <v>38</v>
      </c>
      <c r="K39" s="136" t="s">
        <v>143</v>
      </c>
      <c r="L39" s="136">
        <v>2</v>
      </c>
      <c r="N39" s="136">
        <v>1</v>
      </c>
      <c r="O39" s="136">
        <v>1.2</v>
      </c>
      <c r="P39" s="136">
        <v>1.1499999999999999</v>
      </c>
      <c r="Q39" s="146">
        <f t="shared" si="0"/>
        <v>1.1749999999999998</v>
      </c>
      <c r="R39" s="136">
        <v>15.3</v>
      </c>
      <c r="S39" s="136">
        <v>117</v>
      </c>
      <c r="T39" s="146">
        <f t="shared" si="1"/>
        <v>30</v>
      </c>
      <c r="U39" s="136">
        <v>105</v>
      </c>
      <c r="V39" s="146">
        <f t="shared" si="2"/>
        <v>3150</v>
      </c>
      <c r="W39" s="136">
        <v>4</v>
      </c>
      <c r="X39" s="136" t="s">
        <v>39</v>
      </c>
      <c r="Y39" s="136" t="s">
        <v>55</v>
      </c>
      <c r="Z39" s="136" t="s">
        <v>47</v>
      </c>
      <c r="AA39" s="136" t="s">
        <v>40</v>
      </c>
      <c r="AB39" s="136" t="s">
        <v>331</v>
      </c>
    </row>
    <row r="40" spans="1:28" x14ac:dyDescent="0.15">
      <c r="A40" s="136" t="s">
        <v>56</v>
      </c>
      <c r="B40" s="136" t="s">
        <v>332</v>
      </c>
      <c r="C40" s="136">
        <v>2020</v>
      </c>
      <c r="D40" s="144" t="s">
        <v>400</v>
      </c>
      <c r="E40" s="136" t="s">
        <v>377</v>
      </c>
      <c r="F40" s="136" t="s">
        <v>370</v>
      </c>
      <c r="G40" s="136" t="s">
        <v>42</v>
      </c>
      <c r="H40" s="136" t="s">
        <v>146</v>
      </c>
      <c r="I40" s="136" t="s">
        <v>142</v>
      </c>
      <c r="J40" s="136" t="s">
        <v>38</v>
      </c>
      <c r="K40" s="136" t="s">
        <v>143</v>
      </c>
      <c r="L40" s="136">
        <v>3</v>
      </c>
      <c r="N40" s="136">
        <v>1</v>
      </c>
      <c r="O40" s="136">
        <v>1</v>
      </c>
      <c r="P40" s="136">
        <v>1</v>
      </c>
      <c r="Q40" s="146">
        <f t="shared" si="0"/>
        <v>1</v>
      </c>
      <c r="R40" s="136">
        <v>13.8</v>
      </c>
      <c r="S40" s="136">
        <v>115</v>
      </c>
      <c r="T40" s="146">
        <f t="shared" si="1"/>
        <v>30</v>
      </c>
      <c r="U40" s="136">
        <v>105</v>
      </c>
      <c r="V40" s="146">
        <f t="shared" si="2"/>
        <v>3150</v>
      </c>
      <c r="W40" s="136">
        <v>4</v>
      </c>
      <c r="X40" s="136" t="s">
        <v>39</v>
      </c>
      <c r="Y40" s="136" t="s">
        <v>55</v>
      </c>
      <c r="Z40" s="136" t="s">
        <v>47</v>
      </c>
      <c r="AA40" s="136" t="s">
        <v>40</v>
      </c>
      <c r="AB40" s="136" t="s">
        <v>331</v>
      </c>
    </row>
    <row r="41" spans="1:28" x14ac:dyDescent="0.15">
      <c r="A41" s="136" t="s">
        <v>56</v>
      </c>
      <c r="B41" s="136" t="s">
        <v>332</v>
      </c>
      <c r="C41" s="136">
        <v>2020</v>
      </c>
      <c r="D41" s="144" t="s">
        <v>400</v>
      </c>
      <c r="E41" s="136" t="s">
        <v>377</v>
      </c>
      <c r="F41" s="136" t="s">
        <v>370</v>
      </c>
      <c r="G41" s="136" t="s">
        <v>42</v>
      </c>
      <c r="H41" s="136" t="s">
        <v>146</v>
      </c>
      <c r="I41" s="136" t="s">
        <v>142</v>
      </c>
      <c r="J41" s="136" t="s">
        <v>38</v>
      </c>
      <c r="K41" s="136" t="s">
        <v>143</v>
      </c>
      <c r="L41" s="136">
        <v>1</v>
      </c>
      <c r="N41" s="136">
        <v>4</v>
      </c>
      <c r="O41" s="136">
        <v>0.8</v>
      </c>
      <c r="P41" s="136">
        <v>0.8</v>
      </c>
      <c r="Q41" s="146">
        <f t="shared" si="0"/>
        <v>0.8</v>
      </c>
      <c r="R41" s="136">
        <v>16.399999999999999</v>
      </c>
      <c r="S41" s="136">
        <v>113</v>
      </c>
      <c r="T41" s="146">
        <f t="shared" si="1"/>
        <v>30</v>
      </c>
      <c r="U41" s="136">
        <v>429</v>
      </c>
      <c r="V41" s="146">
        <f t="shared" si="2"/>
        <v>3217.5</v>
      </c>
      <c r="W41" s="136">
        <v>2</v>
      </c>
      <c r="X41" s="136" t="s">
        <v>39</v>
      </c>
      <c r="Y41" s="136" t="s">
        <v>55</v>
      </c>
      <c r="Z41" s="136" t="s">
        <v>47</v>
      </c>
      <c r="AA41" s="136" t="s">
        <v>40</v>
      </c>
      <c r="AB41" s="136" t="s">
        <v>331</v>
      </c>
    </row>
    <row r="42" spans="1:28" x14ac:dyDescent="0.15">
      <c r="A42" s="136" t="s">
        <v>56</v>
      </c>
      <c r="B42" s="136" t="s">
        <v>332</v>
      </c>
      <c r="C42" s="136">
        <v>2020</v>
      </c>
      <c r="D42" s="144" t="s">
        <v>400</v>
      </c>
      <c r="E42" s="136" t="s">
        <v>377</v>
      </c>
      <c r="F42" s="136" t="s">
        <v>370</v>
      </c>
      <c r="G42" s="136" t="s">
        <v>42</v>
      </c>
      <c r="H42" s="136" t="s">
        <v>146</v>
      </c>
      <c r="I42" s="136" t="s">
        <v>142</v>
      </c>
      <c r="J42" s="136" t="s">
        <v>38</v>
      </c>
      <c r="K42" s="136" t="s">
        <v>143</v>
      </c>
      <c r="L42" s="136">
        <v>2</v>
      </c>
      <c r="N42" s="136">
        <v>4</v>
      </c>
      <c r="O42" s="136">
        <v>0.7</v>
      </c>
      <c r="P42" s="136">
        <v>0.7</v>
      </c>
      <c r="Q42" s="146">
        <f t="shared" si="0"/>
        <v>0.7</v>
      </c>
      <c r="R42" s="136">
        <v>16.3</v>
      </c>
      <c r="S42" s="136">
        <v>115</v>
      </c>
      <c r="T42" s="146">
        <f t="shared" si="1"/>
        <v>30</v>
      </c>
      <c r="U42" s="136">
        <v>429</v>
      </c>
      <c r="V42" s="146">
        <f t="shared" si="2"/>
        <v>3217.5</v>
      </c>
      <c r="W42" s="136">
        <v>2</v>
      </c>
      <c r="X42" s="136" t="s">
        <v>39</v>
      </c>
      <c r="Y42" s="136" t="s">
        <v>55</v>
      </c>
      <c r="Z42" s="136" t="s">
        <v>47</v>
      </c>
      <c r="AA42" s="136" t="s">
        <v>40</v>
      </c>
      <c r="AB42" s="136" t="s">
        <v>331</v>
      </c>
    </row>
    <row r="43" spans="1:28" x14ac:dyDescent="0.15">
      <c r="A43" s="136" t="s">
        <v>56</v>
      </c>
      <c r="B43" s="136" t="s">
        <v>332</v>
      </c>
      <c r="C43" s="136">
        <v>2020</v>
      </c>
      <c r="D43" s="144" t="s">
        <v>400</v>
      </c>
      <c r="E43" s="136" t="s">
        <v>377</v>
      </c>
      <c r="F43" s="136" t="s">
        <v>370</v>
      </c>
      <c r="G43" s="136" t="s">
        <v>42</v>
      </c>
      <c r="H43" s="136" t="s">
        <v>146</v>
      </c>
      <c r="I43" s="136" t="s">
        <v>142</v>
      </c>
      <c r="J43" s="136" t="s">
        <v>38</v>
      </c>
      <c r="K43" s="136" t="s">
        <v>143</v>
      </c>
      <c r="L43" s="136">
        <v>3</v>
      </c>
      <c r="N43" s="136">
        <v>4</v>
      </c>
      <c r="O43" s="136">
        <v>0.7</v>
      </c>
      <c r="P43" s="136">
        <v>0.7</v>
      </c>
      <c r="Q43" s="146">
        <f t="shared" si="0"/>
        <v>0.7</v>
      </c>
      <c r="R43" s="136">
        <v>16.5</v>
      </c>
      <c r="S43" s="136">
        <v>109</v>
      </c>
      <c r="T43" s="146">
        <f t="shared" si="1"/>
        <v>33</v>
      </c>
      <c r="U43" s="136">
        <v>429</v>
      </c>
      <c r="V43" s="146">
        <f t="shared" si="2"/>
        <v>3539.25</v>
      </c>
      <c r="W43" s="136">
        <v>2</v>
      </c>
      <c r="X43" s="136" t="s">
        <v>39</v>
      </c>
      <c r="Y43" s="136" t="s">
        <v>55</v>
      </c>
      <c r="Z43" s="136" t="s">
        <v>47</v>
      </c>
      <c r="AA43" s="136" t="s">
        <v>40</v>
      </c>
      <c r="AB43" s="136" t="s">
        <v>331</v>
      </c>
    </row>
    <row r="44" spans="1:28" x14ac:dyDescent="0.15">
      <c r="A44" s="136" t="s">
        <v>56</v>
      </c>
      <c r="B44" s="136" t="s">
        <v>332</v>
      </c>
      <c r="C44" s="136">
        <v>2020</v>
      </c>
      <c r="D44" s="144" t="s">
        <v>400</v>
      </c>
      <c r="E44" s="136" t="s">
        <v>282</v>
      </c>
      <c r="F44" s="136" t="s">
        <v>379</v>
      </c>
      <c r="G44" s="136" t="s">
        <v>36</v>
      </c>
      <c r="H44" s="136" t="s">
        <v>171</v>
      </c>
      <c r="I44" s="136" t="s">
        <v>142</v>
      </c>
      <c r="J44" s="136" t="s">
        <v>53</v>
      </c>
      <c r="K44" s="136" t="s">
        <v>54</v>
      </c>
      <c r="L44" s="136">
        <v>1</v>
      </c>
      <c r="N44" s="136">
        <v>1</v>
      </c>
      <c r="O44" s="136">
        <v>0.75</v>
      </c>
      <c r="P44" s="136">
        <v>0.8</v>
      </c>
      <c r="Q44" s="146">
        <f t="shared" si="0"/>
        <v>0.77500000000000002</v>
      </c>
      <c r="R44" s="136">
        <v>11.1</v>
      </c>
      <c r="S44" s="136">
        <v>98</v>
      </c>
      <c r="T44" s="146">
        <f t="shared" si="1"/>
        <v>36</v>
      </c>
      <c r="U44" s="136">
        <v>138</v>
      </c>
      <c r="V44" s="146">
        <f t="shared" si="2"/>
        <v>4968</v>
      </c>
      <c r="W44" s="136">
        <v>2</v>
      </c>
      <c r="X44" s="136" t="s">
        <v>46</v>
      </c>
      <c r="Y44" s="136" t="s">
        <v>47</v>
      </c>
      <c r="Z44" s="136" t="s">
        <v>107</v>
      </c>
      <c r="AA44" s="136" t="s">
        <v>55</v>
      </c>
      <c r="AB44" s="136" t="s">
        <v>331</v>
      </c>
    </row>
    <row r="45" spans="1:28" x14ac:dyDescent="0.15">
      <c r="A45" s="136" t="s">
        <v>56</v>
      </c>
      <c r="B45" s="136" t="s">
        <v>332</v>
      </c>
      <c r="C45" s="136">
        <v>2020</v>
      </c>
      <c r="D45" s="144" t="s">
        <v>400</v>
      </c>
      <c r="E45" s="136" t="s">
        <v>282</v>
      </c>
      <c r="F45" s="136" t="s">
        <v>379</v>
      </c>
      <c r="G45" s="136" t="s">
        <v>36</v>
      </c>
      <c r="H45" s="136" t="s">
        <v>171</v>
      </c>
      <c r="I45" s="136" t="s">
        <v>142</v>
      </c>
      <c r="J45" s="136" t="s">
        <v>53</v>
      </c>
      <c r="K45" s="136" t="s">
        <v>54</v>
      </c>
      <c r="L45" s="136">
        <v>2</v>
      </c>
      <c r="N45" s="136">
        <v>1</v>
      </c>
      <c r="O45" s="136">
        <v>1.4</v>
      </c>
      <c r="P45" s="136">
        <v>1.45</v>
      </c>
      <c r="Q45" s="146">
        <f t="shared" si="0"/>
        <v>1.4249999999999998</v>
      </c>
      <c r="R45" s="136">
        <v>13.5</v>
      </c>
      <c r="S45" s="136">
        <v>99</v>
      </c>
      <c r="T45" s="146">
        <f t="shared" si="1"/>
        <v>33</v>
      </c>
      <c r="U45" s="136">
        <v>138</v>
      </c>
      <c r="V45" s="146">
        <f t="shared" si="2"/>
        <v>4554</v>
      </c>
      <c r="W45" s="136">
        <v>2</v>
      </c>
      <c r="X45" s="136" t="s">
        <v>46</v>
      </c>
      <c r="Y45" s="136" t="s">
        <v>47</v>
      </c>
      <c r="Z45" s="136" t="s">
        <v>107</v>
      </c>
      <c r="AA45" s="136" t="s">
        <v>55</v>
      </c>
      <c r="AB45" s="136" t="s">
        <v>331</v>
      </c>
    </row>
    <row r="46" spans="1:28" x14ac:dyDescent="0.15">
      <c r="A46" s="136" t="s">
        <v>56</v>
      </c>
      <c r="B46" s="136" t="s">
        <v>332</v>
      </c>
      <c r="C46" s="136">
        <v>2020</v>
      </c>
      <c r="D46" s="144" t="s">
        <v>400</v>
      </c>
      <c r="E46" s="136" t="s">
        <v>282</v>
      </c>
      <c r="F46" s="136" t="s">
        <v>379</v>
      </c>
      <c r="G46" s="136" t="s">
        <v>36</v>
      </c>
      <c r="H46" s="136" t="s">
        <v>171</v>
      </c>
      <c r="I46" s="136" t="s">
        <v>142</v>
      </c>
      <c r="J46" s="136" t="s">
        <v>53</v>
      </c>
      <c r="K46" s="136" t="s">
        <v>54</v>
      </c>
      <c r="L46" s="136">
        <v>3</v>
      </c>
      <c r="N46" s="136">
        <v>1</v>
      </c>
      <c r="O46" s="136">
        <v>1.45</v>
      </c>
      <c r="P46" s="136">
        <v>1.45</v>
      </c>
      <c r="Q46" s="146">
        <f t="shared" si="0"/>
        <v>1.45</v>
      </c>
      <c r="R46" s="136">
        <v>12.1</v>
      </c>
      <c r="S46" s="136">
        <v>101</v>
      </c>
      <c r="T46" s="146">
        <f t="shared" si="1"/>
        <v>33</v>
      </c>
      <c r="U46" s="136">
        <v>138</v>
      </c>
      <c r="V46" s="146">
        <f t="shared" si="2"/>
        <v>4554</v>
      </c>
      <c r="W46" s="136">
        <v>2</v>
      </c>
      <c r="X46" s="136" t="s">
        <v>46</v>
      </c>
      <c r="Y46" s="136" t="s">
        <v>47</v>
      </c>
      <c r="Z46" s="136" t="s">
        <v>107</v>
      </c>
      <c r="AA46" s="136" t="s">
        <v>55</v>
      </c>
      <c r="AB46" s="136" t="s">
        <v>331</v>
      </c>
    </row>
    <row r="47" spans="1:28" x14ac:dyDescent="0.15">
      <c r="A47" s="136" t="s">
        <v>56</v>
      </c>
      <c r="B47" s="136" t="s">
        <v>332</v>
      </c>
      <c r="C47" s="136">
        <v>2020</v>
      </c>
      <c r="D47" s="144" t="s">
        <v>400</v>
      </c>
      <c r="E47" s="136" t="s">
        <v>282</v>
      </c>
      <c r="F47" s="136" t="s">
        <v>379</v>
      </c>
      <c r="G47" s="136" t="s">
        <v>36</v>
      </c>
      <c r="H47" s="136" t="s">
        <v>146</v>
      </c>
      <c r="I47" s="136" t="s">
        <v>142</v>
      </c>
      <c r="J47" s="136" t="s">
        <v>38</v>
      </c>
      <c r="K47" s="136" t="s">
        <v>143</v>
      </c>
      <c r="L47" s="136">
        <v>1</v>
      </c>
      <c r="N47" s="136">
        <v>1</v>
      </c>
      <c r="O47" s="136">
        <v>1.1000000000000001</v>
      </c>
      <c r="P47" s="136">
        <v>1.1000000000000001</v>
      </c>
      <c r="Q47" s="146">
        <f t="shared" si="0"/>
        <v>1.1000000000000001</v>
      </c>
      <c r="R47" s="136">
        <v>15.6</v>
      </c>
      <c r="S47" s="136">
        <v>108</v>
      </c>
      <c r="T47" s="146">
        <f t="shared" si="1"/>
        <v>33</v>
      </c>
      <c r="U47" s="136">
        <v>138</v>
      </c>
      <c r="V47" s="146">
        <f t="shared" si="2"/>
        <v>4554</v>
      </c>
      <c r="W47" s="136">
        <v>2</v>
      </c>
      <c r="X47" s="136" t="s">
        <v>46</v>
      </c>
      <c r="Y47" s="136" t="s">
        <v>47</v>
      </c>
      <c r="Z47" s="136" t="s">
        <v>107</v>
      </c>
      <c r="AA47" s="136" t="s">
        <v>55</v>
      </c>
      <c r="AB47" s="136" t="s">
        <v>331</v>
      </c>
    </row>
    <row r="48" spans="1:28" x14ac:dyDescent="0.15">
      <c r="A48" s="136" t="s">
        <v>56</v>
      </c>
      <c r="B48" s="136" t="s">
        <v>332</v>
      </c>
      <c r="C48" s="136">
        <v>2020</v>
      </c>
      <c r="D48" s="144" t="s">
        <v>400</v>
      </c>
      <c r="E48" s="136" t="s">
        <v>282</v>
      </c>
      <c r="F48" s="136" t="s">
        <v>379</v>
      </c>
      <c r="G48" s="136" t="s">
        <v>36</v>
      </c>
      <c r="H48" s="136" t="s">
        <v>146</v>
      </c>
      <c r="I48" s="136" t="s">
        <v>142</v>
      </c>
      <c r="J48" s="136" t="s">
        <v>38</v>
      </c>
      <c r="K48" s="136" t="s">
        <v>143</v>
      </c>
      <c r="L48" s="136">
        <v>2</v>
      </c>
      <c r="N48" s="136">
        <v>1</v>
      </c>
      <c r="O48" s="136">
        <v>1.05</v>
      </c>
      <c r="P48" s="136">
        <v>1.05</v>
      </c>
      <c r="Q48" s="146">
        <f t="shared" si="0"/>
        <v>1.05</v>
      </c>
      <c r="R48" s="136">
        <v>16.7</v>
      </c>
      <c r="S48" s="136">
        <v>108</v>
      </c>
      <c r="T48" s="146">
        <f t="shared" si="1"/>
        <v>33</v>
      </c>
      <c r="U48" s="136">
        <v>138</v>
      </c>
      <c r="V48" s="146">
        <f t="shared" si="2"/>
        <v>4554</v>
      </c>
      <c r="W48" s="136">
        <v>2</v>
      </c>
      <c r="X48" s="136" t="s">
        <v>46</v>
      </c>
      <c r="Y48" s="136" t="s">
        <v>47</v>
      </c>
      <c r="Z48" s="136" t="s">
        <v>107</v>
      </c>
      <c r="AA48" s="136" t="s">
        <v>55</v>
      </c>
      <c r="AB48" s="136" t="s">
        <v>331</v>
      </c>
    </row>
    <row r="49" spans="1:28" x14ac:dyDescent="0.15">
      <c r="A49" s="136" t="s">
        <v>56</v>
      </c>
      <c r="B49" s="136" t="s">
        <v>332</v>
      </c>
      <c r="C49" s="136">
        <v>2020</v>
      </c>
      <c r="D49" s="144" t="s">
        <v>400</v>
      </c>
      <c r="E49" s="136" t="s">
        <v>282</v>
      </c>
      <c r="F49" s="136" t="s">
        <v>379</v>
      </c>
      <c r="G49" s="136" t="s">
        <v>36</v>
      </c>
      <c r="H49" s="136" t="s">
        <v>146</v>
      </c>
      <c r="I49" s="136" t="s">
        <v>142</v>
      </c>
      <c r="J49" s="136" t="s">
        <v>38</v>
      </c>
      <c r="K49" s="136" t="s">
        <v>143</v>
      </c>
      <c r="L49" s="136">
        <v>3</v>
      </c>
      <c r="N49" s="136">
        <v>1</v>
      </c>
      <c r="O49" s="136">
        <v>0.9</v>
      </c>
      <c r="P49" s="136">
        <v>1</v>
      </c>
      <c r="Q49" s="146">
        <f t="shared" si="0"/>
        <v>0.95</v>
      </c>
      <c r="R49" s="136">
        <v>17.7</v>
      </c>
      <c r="S49" s="136">
        <v>111</v>
      </c>
      <c r="T49" s="146">
        <f t="shared" si="1"/>
        <v>33</v>
      </c>
      <c r="U49" s="136">
        <v>138</v>
      </c>
      <c r="V49" s="146">
        <f t="shared" si="2"/>
        <v>4554</v>
      </c>
      <c r="W49" s="136">
        <v>2</v>
      </c>
      <c r="X49" s="136" t="s">
        <v>46</v>
      </c>
      <c r="Y49" s="136" t="s">
        <v>47</v>
      </c>
      <c r="Z49" s="136" t="s">
        <v>107</v>
      </c>
      <c r="AA49" s="136" t="s">
        <v>55</v>
      </c>
      <c r="AB49" s="136" t="s">
        <v>331</v>
      </c>
    </row>
    <row r="50" spans="1:28" x14ac:dyDescent="0.15">
      <c r="A50" s="136" t="s">
        <v>56</v>
      </c>
      <c r="B50" s="136" t="s">
        <v>332</v>
      </c>
      <c r="C50" s="136">
        <v>2020</v>
      </c>
      <c r="D50" s="144" t="s">
        <v>400</v>
      </c>
      <c r="E50" s="136" t="s">
        <v>380</v>
      </c>
      <c r="F50" s="136" t="s">
        <v>379</v>
      </c>
      <c r="G50" s="136" t="s">
        <v>42</v>
      </c>
      <c r="H50" s="136" t="s">
        <v>171</v>
      </c>
      <c r="I50" s="136" t="s">
        <v>142</v>
      </c>
      <c r="J50" s="136" t="s">
        <v>53</v>
      </c>
      <c r="K50" s="136" t="s">
        <v>54</v>
      </c>
      <c r="L50" s="136">
        <v>1</v>
      </c>
      <c r="N50" s="136">
        <v>1</v>
      </c>
      <c r="O50" s="136">
        <v>0.9</v>
      </c>
      <c r="P50" s="136">
        <v>0.95</v>
      </c>
      <c r="Q50" s="146">
        <f t="shared" si="0"/>
        <v>0.92500000000000004</v>
      </c>
      <c r="R50" s="136">
        <v>13.7</v>
      </c>
      <c r="S50" s="136">
        <v>136</v>
      </c>
      <c r="T50" s="146">
        <f t="shared" si="1"/>
        <v>25</v>
      </c>
      <c r="U50" s="136">
        <v>158</v>
      </c>
      <c r="V50" s="146">
        <f t="shared" si="2"/>
        <v>3950</v>
      </c>
      <c r="W50" s="136">
        <v>1</v>
      </c>
      <c r="X50" s="136" t="s">
        <v>39</v>
      </c>
      <c r="Y50" s="136" t="s">
        <v>47</v>
      </c>
      <c r="Z50" s="136" t="s">
        <v>90</v>
      </c>
      <c r="AA50" s="136" t="s">
        <v>40</v>
      </c>
      <c r="AB50" s="136" t="s">
        <v>331</v>
      </c>
    </row>
    <row r="51" spans="1:28" x14ac:dyDescent="0.15">
      <c r="A51" s="136" t="s">
        <v>56</v>
      </c>
      <c r="B51" s="136" t="s">
        <v>332</v>
      </c>
      <c r="C51" s="136">
        <v>2020</v>
      </c>
      <c r="D51" s="144" t="s">
        <v>400</v>
      </c>
      <c r="E51" s="136" t="s">
        <v>380</v>
      </c>
      <c r="F51" s="136" t="s">
        <v>379</v>
      </c>
      <c r="G51" s="136" t="s">
        <v>42</v>
      </c>
      <c r="H51" s="136" t="s">
        <v>171</v>
      </c>
      <c r="I51" s="136" t="s">
        <v>142</v>
      </c>
      <c r="J51" s="136" t="s">
        <v>53</v>
      </c>
      <c r="K51" s="136" t="s">
        <v>54</v>
      </c>
      <c r="L51" s="136">
        <v>2</v>
      </c>
      <c r="N51" s="136">
        <v>1</v>
      </c>
      <c r="O51" s="136">
        <v>0.55000000000000004</v>
      </c>
      <c r="P51" s="136">
        <v>0.85</v>
      </c>
      <c r="Q51" s="146">
        <f t="shared" si="0"/>
        <v>0.7</v>
      </c>
      <c r="R51" s="136">
        <v>13.4</v>
      </c>
      <c r="S51" s="136">
        <v>128</v>
      </c>
      <c r="T51" s="146">
        <f t="shared" si="1"/>
        <v>27</v>
      </c>
      <c r="U51" s="136">
        <v>158</v>
      </c>
      <c r="V51" s="146">
        <f t="shared" si="2"/>
        <v>4266</v>
      </c>
      <c r="W51" s="136">
        <v>1</v>
      </c>
      <c r="X51" s="136" t="s">
        <v>39</v>
      </c>
      <c r="Y51" s="136" t="s">
        <v>47</v>
      </c>
      <c r="Z51" s="136" t="s">
        <v>90</v>
      </c>
      <c r="AA51" s="136" t="s">
        <v>40</v>
      </c>
      <c r="AB51" s="136" t="s">
        <v>331</v>
      </c>
    </row>
    <row r="52" spans="1:28" x14ac:dyDescent="0.15">
      <c r="A52" s="136" t="s">
        <v>56</v>
      </c>
      <c r="B52" s="136" t="s">
        <v>332</v>
      </c>
      <c r="C52" s="136">
        <v>2020</v>
      </c>
      <c r="D52" s="144" t="s">
        <v>400</v>
      </c>
      <c r="E52" s="136" t="s">
        <v>380</v>
      </c>
      <c r="F52" s="136" t="s">
        <v>379</v>
      </c>
      <c r="G52" s="136" t="s">
        <v>42</v>
      </c>
      <c r="H52" s="136" t="s">
        <v>171</v>
      </c>
      <c r="I52" s="136" t="s">
        <v>142</v>
      </c>
      <c r="J52" s="136" t="s">
        <v>53</v>
      </c>
      <c r="K52" s="136" t="s">
        <v>54</v>
      </c>
      <c r="L52" s="136">
        <v>3</v>
      </c>
      <c r="N52" s="136">
        <v>1</v>
      </c>
      <c r="O52" s="136">
        <v>1</v>
      </c>
      <c r="P52" s="136">
        <v>1</v>
      </c>
      <c r="Q52" s="146">
        <f t="shared" si="0"/>
        <v>1</v>
      </c>
      <c r="R52" s="136">
        <v>13.5</v>
      </c>
      <c r="S52" s="136">
        <v>135</v>
      </c>
      <c r="T52" s="146">
        <f t="shared" si="1"/>
        <v>25</v>
      </c>
      <c r="U52" s="136">
        <v>158</v>
      </c>
      <c r="V52" s="146">
        <f t="shared" si="2"/>
        <v>3950</v>
      </c>
      <c r="W52" s="136">
        <v>1</v>
      </c>
      <c r="X52" s="136" t="s">
        <v>39</v>
      </c>
      <c r="Y52" s="136" t="s">
        <v>47</v>
      </c>
      <c r="Z52" s="136" t="s">
        <v>90</v>
      </c>
      <c r="AA52" s="136" t="s">
        <v>40</v>
      </c>
      <c r="AB52" s="136" t="s">
        <v>331</v>
      </c>
    </row>
    <row r="53" spans="1:28" x14ac:dyDescent="0.15">
      <c r="A53" s="136" t="s">
        <v>56</v>
      </c>
      <c r="B53" s="136" t="s">
        <v>332</v>
      </c>
      <c r="C53" s="136">
        <v>2020</v>
      </c>
      <c r="D53" s="144" t="s">
        <v>400</v>
      </c>
      <c r="E53" s="136" t="s">
        <v>380</v>
      </c>
      <c r="F53" s="136" t="s">
        <v>379</v>
      </c>
      <c r="G53" s="136" t="s">
        <v>42</v>
      </c>
      <c r="H53" s="136" t="s">
        <v>171</v>
      </c>
      <c r="I53" s="136" t="s">
        <v>142</v>
      </c>
      <c r="J53" s="136" t="s">
        <v>408</v>
      </c>
      <c r="K53" s="136" t="s">
        <v>409</v>
      </c>
      <c r="L53" s="136">
        <v>1</v>
      </c>
      <c r="N53" s="136">
        <v>6</v>
      </c>
      <c r="O53" s="136">
        <v>1.25</v>
      </c>
      <c r="P53" s="136">
        <v>1.3</v>
      </c>
      <c r="Q53" s="146">
        <f t="shared" si="0"/>
        <v>1.2749999999999999</v>
      </c>
      <c r="R53" s="136">
        <v>15.1</v>
      </c>
      <c r="S53" s="136">
        <v>61</v>
      </c>
      <c r="T53" s="146">
        <f t="shared" si="1"/>
        <v>50</v>
      </c>
      <c r="U53" s="136">
        <v>397</v>
      </c>
      <c r="V53" s="146">
        <f t="shared" si="2"/>
        <v>3308.3333333333335</v>
      </c>
      <c r="W53" s="136">
        <v>1</v>
      </c>
      <c r="X53" s="136" t="s">
        <v>46</v>
      </c>
      <c r="Y53" s="136" t="s">
        <v>47</v>
      </c>
      <c r="Z53" s="136" t="s">
        <v>90</v>
      </c>
      <c r="AA53" s="136" t="s">
        <v>40</v>
      </c>
      <c r="AB53" s="136" t="s">
        <v>331</v>
      </c>
    </row>
    <row r="54" spans="1:28" x14ac:dyDescent="0.15">
      <c r="A54" s="136" t="s">
        <v>56</v>
      </c>
      <c r="B54" s="136" t="s">
        <v>332</v>
      </c>
      <c r="C54" s="136">
        <v>2020</v>
      </c>
      <c r="D54" s="144" t="s">
        <v>400</v>
      </c>
      <c r="E54" s="136" t="s">
        <v>380</v>
      </c>
      <c r="F54" s="136" t="s">
        <v>379</v>
      </c>
      <c r="G54" s="136" t="s">
        <v>42</v>
      </c>
      <c r="H54" s="136" t="s">
        <v>171</v>
      </c>
      <c r="I54" s="136" t="s">
        <v>142</v>
      </c>
      <c r="J54" s="136" t="s">
        <v>408</v>
      </c>
      <c r="K54" s="136" t="s">
        <v>409</v>
      </c>
      <c r="L54" s="136">
        <v>2</v>
      </c>
      <c r="N54" s="136">
        <v>6</v>
      </c>
      <c r="O54" s="136">
        <v>1.2</v>
      </c>
      <c r="P54" s="136">
        <v>1.3</v>
      </c>
      <c r="Q54" s="146">
        <f t="shared" si="0"/>
        <v>1.25</v>
      </c>
      <c r="R54" s="136">
        <v>10.9</v>
      </c>
      <c r="S54" s="136">
        <v>65</v>
      </c>
      <c r="T54" s="146">
        <f t="shared" si="1"/>
        <v>50</v>
      </c>
      <c r="U54" s="136">
        <v>397</v>
      </c>
      <c r="V54" s="146">
        <f t="shared" si="2"/>
        <v>3308.3333333333335</v>
      </c>
      <c r="W54" s="136">
        <v>1</v>
      </c>
      <c r="X54" s="136" t="s">
        <v>46</v>
      </c>
      <c r="Y54" s="136" t="s">
        <v>47</v>
      </c>
      <c r="Z54" s="136" t="s">
        <v>90</v>
      </c>
      <c r="AA54" s="136" t="s">
        <v>40</v>
      </c>
      <c r="AB54" s="136" t="s">
        <v>331</v>
      </c>
    </row>
    <row r="55" spans="1:28" x14ac:dyDescent="0.15">
      <c r="A55" s="136" t="s">
        <v>56</v>
      </c>
      <c r="B55" s="136" t="s">
        <v>332</v>
      </c>
      <c r="C55" s="136">
        <v>2020</v>
      </c>
      <c r="D55" s="144" t="s">
        <v>400</v>
      </c>
      <c r="E55" s="136" t="s">
        <v>380</v>
      </c>
      <c r="F55" s="136" t="s">
        <v>379</v>
      </c>
      <c r="G55" s="136" t="s">
        <v>42</v>
      </c>
      <c r="H55" s="136" t="s">
        <v>171</v>
      </c>
      <c r="I55" s="136" t="s">
        <v>142</v>
      </c>
      <c r="J55" s="136" t="s">
        <v>408</v>
      </c>
      <c r="K55" s="136" t="s">
        <v>409</v>
      </c>
      <c r="L55" s="136">
        <v>3</v>
      </c>
      <c r="N55" s="136">
        <v>6</v>
      </c>
      <c r="O55" s="136">
        <v>0.9</v>
      </c>
      <c r="P55" s="136">
        <v>1</v>
      </c>
      <c r="Q55" s="146">
        <f t="shared" si="0"/>
        <v>0.95</v>
      </c>
      <c r="R55" s="136">
        <v>10.1</v>
      </c>
      <c r="S55" s="136">
        <v>60</v>
      </c>
      <c r="T55" s="146">
        <f t="shared" si="1"/>
        <v>50</v>
      </c>
      <c r="U55" s="136">
        <v>397</v>
      </c>
      <c r="V55" s="146">
        <f t="shared" si="2"/>
        <v>3308.3333333333335</v>
      </c>
      <c r="W55" s="136">
        <v>1</v>
      </c>
      <c r="X55" s="136" t="s">
        <v>46</v>
      </c>
      <c r="Y55" s="136" t="s">
        <v>47</v>
      </c>
      <c r="Z55" s="136" t="s">
        <v>90</v>
      </c>
      <c r="AA55" s="136" t="s">
        <v>40</v>
      </c>
      <c r="AB55" s="136" t="s">
        <v>331</v>
      </c>
    </row>
    <row r="56" spans="1:28" x14ac:dyDescent="0.15">
      <c r="A56" s="136" t="s">
        <v>56</v>
      </c>
      <c r="B56" s="136" t="s">
        <v>332</v>
      </c>
      <c r="C56" s="136">
        <v>2020</v>
      </c>
      <c r="D56" s="144" t="s">
        <v>400</v>
      </c>
      <c r="E56" s="136" t="s">
        <v>380</v>
      </c>
      <c r="F56" s="136" t="s">
        <v>379</v>
      </c>
      <c r="G56" s="136" t="s">
        <v>42</v>
      </c>
      <c r="H56" s="136" t="s">
        <v>146</v>
      </c>
      <c r="I56" s="136" t="s">
        <v>142</v>
      </c>
      <c r="J56" s="136" t="s">
        <v>38</v>
      </c>
      <c r="K56" s="136" t="s">
        <v>143</v>
      </c>
      <c r="L56" s="136">
        <v>1</v>
      </c>
      <c r="N56" s="136">
        <v>1</v>
      </c>
      <c r="O56" s="136">
        <v>0.9</v>
      </c>
      <c r="P56" s="136">
        <v>0.95</v>
      </c>
      <c r="Q56" s="146">
        <f t="shared" si="0"/>
        <v>0.92500000000000004</v>
      </c>
      <c r="R56" s="136">
        <v>17.5</v>
      </c>
      <c r="S56" s="136">
        <v>110</v>
      </c>
      <c r="T56" s="146">
        <f t="shared" si="1"/>
        <v>33</v>
      </c>
      <c r="U56" s="136">
        <v>158</v>
      </c>
      <c r="V56" s="146">
        <f t="shared" si="2"/>
        <v>5214</v>
      </c>
      <c r="W56" s="136">
        <v>1</v>
      </c>
      <c r="X56" s="136" t="s">
        <v>39</v>
      </c>
      <c r="Y56" s="136" t="s">
        <v>47</v>
      </c>
      <c r="Z56" s="136" t="s">
        <v>90</v>
      </c>
      <c r="AA56" s="136" t="s">
        <v>40</v>
      </c>
      <c r="AB56" s="136" t="s">
        <v>331</v>
      </c>
    </row>
    <row r="57" spans="1:28" x14ac:dyDescent="0.15">
      <c r="A57" s="136" t="s">
        <v>56</v>
      </c>
      <c r="B57" s="136" t="s">
        <v>332</v>
      </c>
      <c r="C57" s="136">
        <v>2020</v>
      </c>
      <c r="D57" s="144" t="s">
        <v>400</v>
      </c>
      <c r="E57" s="136" t="s">
        <v>380</v>
      </c>
      <c r="F57" s="136" t="s">
        <v>379</v>
      </c>
      <c r="G57" s="136" t="s">
        <v>42</v>
      </c>
      <c r="H57" s="136" t="s">
        <v>146</v>
      </c>
      <c r="I57" s="136" t="s">
        <v>142</v>
      </c>
      <c r="J57" s="136" t="s">
        <v>38</v>
      </c>
      <c r="K57" s="136" t="s">
        <v>143</v>
      </c>
      <c r="L57" s="136">
        <v>2</v>
      </c>
      <c r="N57" s="136">
        <v>1</v>
      </c>
      <c r="O57" s="136">
        <v>0.85</v>
      </c>
      <c r="P57" s="136">
        <v>0.8</v>
      </c>
      <c r="Q57" s="146">
        <f t="shared" si="0"/>
        <v>0.82499999999999996</v>
      </c>
      <c r="R57" s="136">
        <v>15.6</v>
      </c>
      <c r="S57" s="136">
        <v>122</v>
      </c>
      <c r="T57" s="146">
        <f t="shared" si="1"/>
        <v>27</v>
      </c>
      <c r="U57" s="136">
        <v>158</v>
      </c>
      <c r="V57" s="146">
        <f t="shared" si="2"/>
        <v>4266</v>
      </c>
      <c r="W57" s="136">
        <v>1</v>
      </c>
      <c r="X57" s="136" t="s">
        <v>39</v>
      </c>
      <c r="Y57" s="136" t="s">
        <v>47</v>
      </c>
      <c r="Z57" s="136" t="s">
        <v>90</v>
      </c>
      <c r="AA57" s="136" t="s">
        <v>40</v>
      </c>
      <c r="AB57" s="136" t="s">
        <v>331</v>
      </c>
    </row>
    <row r="58" spans="1:28" x14ac:dyDescent="0.15">
      <c r="A58" s="136" t="s">
        <v>56</v>
      </c>
      <c r="B58" s="136" t="s">
        <v>332</v>
      </c>
      <c r="C58" s="136">
        <v>2020</v>
      </c>
      <c r="D58" s="144" t="s">
        <v>400</v>
      </c>
      <c r="E58" s="136" t="s">
        <v>380</v>
      </c>
      <c r="F58" s="136" t="s">
        <v>379</v>
      </c>
      <c r="G58" s="136" t="s">
        <v>42</v>
      </c>
      <c r="H58" s="136" t="s">
        <v>146</v>
      </c>
      <c r="I58" s="136" t="s">
        <v>142</v>
      </c>
      <c r="J58" s="136" t="s">
        <v>38</v>
      </c>
      <c r="K58" s="136" t="s">
        <v>143</v>
      </c>
      <c r="L58" s="136">
        <v>3</v>
      </c>
      <c r="N58" s="136">
        <v>1</v>
      </c>
      <c r="O58" s="136">
        <v>0.6</v>
      </c>
      <c r="P58" s="136">
        <v>0.6</v>
      </c>
      <c r="Q58" s="146">
        <f t="shared" si="0"/>
        <v>0.6</v>
      </c>
      <c r="R58" s="136">
        <v>17</v>
      </c>
      <c r="S58" s="136">
        <v>116</v>
      </c>
      <c r="T58" s="146">
        <f t="shared" si="1"/>
        <v>30</v>
      </c>
      <c r="U58" s="136">
        <v>158</v>
      </c>
      <c r="V58" s="146">
        <f t="shared" si="2"/>
        <v>4740</v>
      </c>
      <c r="W58" s="136">
        <v>1</v>
      </c>
      <c r="X58" s="136" t="s">
        <v>39</v>
      </c>
      <c r="Y58" s="136" t="s">
        <v>47</v>
      </c>
      <c r="Z58" s="136" t="s">
        <v>90</v>
      </c>
      <c r="AA58" s="136" t="s">
        <v>40</v>
      </c>
      <c r="AB58" s="136" t="s">
        <v>331</v>
      </c>
    </row>
    <row r="59" spans="1:28" x14ac:dyDescent="0.15">
      <c r="A59" s="136" t="s">
        <v>56</v>
      </c>
      <c r="B59" s="136" t="s">
        <v>332</v>
      </c>
      <c r="C59" s="136">
        <v>2020</v>
      </c>
      <c r="D59" s="144" t="s">
        <v>400</v>
      </c>
      <c r="E59" s="158" t="s">
        <v>402</v>
      </c>
      <c r="F59" s="136" t="s">
        <v>372</v>
      </c>
      <c r="G59" s="136" t="s">
        <v>42</v>
      </c>
      <c r="H59" s="136" t="s">
        <v>146</v>
      </c>
      <c r="I59" s="136" t="s">
        <v>142</v>
      </c>
      <c r="J59" s="136" t="s">
        <v>38</v>
      </c>
      <c r="K59" s="136" t="s">
        <v>143</v>
      </c>
      <c r="L59" s="136">
        <v>1</v>
      </c>
      <c r="N59" s="136">
        <v>1</v>
      </c>
      <c r="O59" s="136">
        <v>1.1000000000000001</v>
      </c>
      <c r="P59" s="136">
        <v>1.1000000000000001</v>
      </c>
      <c r="Q59" s="146">
        <f t="shared" si="0"/>
        <v>1.1000000000000001</v>
      </c>
      <c r="R59" s="136">
        <v>16.7</v>
      </c>
      <c r="S59" s="136">
        <v>124</v>
      </c>
      <c r="T59" s="146">
        <f t="shared" si="1"/>
        <v>27</v>
      </c>
      <c r="U59" s="136">
        <v>105</v>
      </c>
      <c r="V59" s="146">
        <f t="shared" si="2"/>
        <v>2835</v>
      </c>
      <c r="W59" s="136">
        <v>1</v>
      </c>
      <c r="X59" s="136" t="s">
        <v>39</v>
      </c>
      <c r="Y59" s="136" t="s">
        <v>78</v>
      </c>
      <c r="Z59" s="136" t="s">
        <v>40</v>
      </c>
      <c r="AA59" s="136" t="s">
        <v>90</v>
      </c>
      <c r="AB59" s="136" t="s">
        <v>331</v>
      </c>
    </row>
    <row r="60" spans="1:28" x14ac:dyDescent="0.15">
      <c r="A60" s="136" t="s">
        <v>56</v>
      </c>
      <c r="B60" s="136" t="s">
        <v>332</v>
      </c>
      <c r="C60" s="136">
        <v>2020</v>
      </c>
      <c r="D60" s="144" t="s">
        <v>400</v>
      </c>
      <c r="E60" s="136" t="s">
        <v>371</v>
      </c>
      <c r="F60" s="136" t="s">
        <v>372</v>
      </c>
      <c r="G60" s="136" t="s">
        <v>42</v>
      </c>
      <c r="H60" s="136" t="s">
        <v>146</v>
      </c>
      <c r="I60" s="136" t="s">
        <v>142</v>
      </c>
      <c r="J60" s="136" t="s">
        <v>38</v>
      </c>
      <c r="K60" s="136" t="s">
        <v>143</v>
      </c>
      <c r="L60" s="136">
        <v>2</v>
      </c>
      <c r="N60" s="136">
        <v>1</v>
      </c>
      <c r="O60" s="136">
        <v>1.2</v>
      </c>
      <c r="P60" s="136">
        <v>0.9</v>
      </c>
      <c r="Q60" s="146">
        <f t="shared" si="0"/>
        <v>1.05</v>
      </c>
      <c r="R60" s="136">
        <v>15.9</v>
      </c>
      <c r="S60" s="136">
        <v>119</v>
      </c>
      <c r="T60" s="146">
        <f t="shared" si="1"/>
        <v>30</v>
      </c>
      <c r="U60" s="136">
        <v>105</v>
      </c>
      <c r="V60" s="146">
        <f t="shared" si="2"/>
        <v>3150</v>
      </c>
      <c r="W60" s="136">
        <v>1</v>
      </c>
      <c r="X60" s="136" t="s">
        <v>39</v>
      </c>
      <c r="Y60" s="136" t="s">
        <v>78</v>
      </c>
      <c r="Z60" s="136" t="s">
        <v>40</v>
      </c>
      <c r="AA60" s="136" t="s">
        <v>90</v>
      </c>
      <c r="AB60" s="136" t="s">
        <v>331</v>
      </c>
    </row>
    <row r="61" spans="1:28" x14ac:dyDescent="0.15">
      <c r="A61" s="136" t="s">
        <v>56</v>
      </c>
      <c r="B61" s="136" t="s">
        <v>332</v>
      </c>
      <c r="C61" s="136">
        <v>2020</v>
      </c>
      <c r="D61" s="144" t="s">
        <v>400</v>
      </c>
      <c r="E61" s="136" t="s">
        <v>371</v>
      </c>
      <c r="F61" s="136" t="s">
        <v>372</v>
      </c>
      <c r="G61" s="136" t="s">
        <v>42</v>
      </c>
      <c r="H61" s="136" t="s">
        <v>146</v>
      </c>
      <c r="I61" s="136" t="s">
        <v>142</v>
      </c>
      <c r="J61" s="136" t="s">
        <v>38</v>
      </c>
      <c r="K61" s="136" t="s">
        <v>143</v>
      </c>
      <c r="L61" s="136">
        <v>3</v>
      </c>
      <c r="N61" s="136">
        <v>1</v>
      </c>
      <c r="O61" s="136">
        <v>0.9</v>
      </c>
      <c r="P61" s="136">
        <v>1</v>
      </c>
      <c r="Q61" s="146">
        <f t="shared" si="0"/>
        <v>0.95</v>
      </c>
      <c r="R61" s="136">
        <v>16.8</v>
      </c>
      <c r="S61" s="136">
        <v>129</v>
      </c>
      <c r="T61" s="146">
        <f t="shared" si="1"/>
        <v>25</v>
      </c>
      <c r="U61" s="136">
        <v>105</v>
      </c>
      <c r="V61" s="146">
        <f t="shared" si="2"/>
        <v>2625</v>
      </c>
      <c r="W61" s="136">
        <v>1</v>
      </c>
      <c r="X61" s="136" t="s">
        <v>39</v>
      </c>
      <c r="Y61" s="136" t="s">
        <v>78</v>
      </c>
      <c r="Z61" s="136" t="s">
        <v>40</v>
      </c>
      <c r="AA61" s="136" t="s">
        <v>90</v>
      </c>
      <c r="AB61" s="136" t="s">
        <v>331</v>
      </c>
    </row>
    <row r="62" spans="1:28" x14ac:dyDescent="0.15">
      <c r="A62" s="136" t="s">
        <v>56</v>
      </c>
      <c r="B62" s="136" t="s">
        <v>332</v>
      </c>
      <c r="C62" s="136">
        <v>2020</v>
      </c>
      <c r="D62" s="144" t="s">
        <v>400</v>
      </c>
      <c r="E62" s="136" t="s">
        <v>371</v>
      </c>
      <c r="F62" s="136" t="s">
        <v>372</v>
      </c>
      <c r="G62" s="136" t="s">
        <v>42</v>
      </c>
      <c r="H62" s="136" t="s">
        <v>146</v>
      </c>
      <c r="I62" s="136" t="s">
        <v>142</v>
      </c>
      <c r="J62" s="136" t="s">
        <v>38</v>
      </c>
      <c r="K62" s="136" t="s">
        <v>143</v>
      </c>
      <c r="L62" s="136">
        <v>1</v>
      </c>
      <c r="N62" s="136">
        <v>4</v>
      </c>
      <c r="O62" s="136">
        <v>0.65</v>
      </c>
      <c r="P62" s="136">
        <v>0.65</v>
      </c>
      <c r="Q62" s="146">
        <f t="shared" si="0"/>
        <v>0.65</v>
      </c>
      <c r="R62" s="136">
        <v>16.5</v>
      </c>
      <c r="S62" s="136">
        <v>87</v>
      </c>
      <c r="T62" s="146">
        <f t="shared" si="1"/>
        <v>36</v>
      </c>
      <c r="U62" s="136">
        <v>429</v>
      </c>
      <c r="V62" s="146">
        <f t="shared" si="2"/>
        <v>3861</v>
      </c>
      <c r="W62" s="136">
        <v>1</v>
      </c>
      <c r="X62" s="136" t="s">
        <v>39</v>
      </c>
      <c r="Y62" s="136" t="s">
        <v>78</v>
      </c>
      <c r="Z62" s="136" t="s">
        <v>40</v>
      </c>
      <c r="AA62" s="136" t="s">
        <v>90</v>
      </c>
      <c r="AB62" s="136" t="s">
        <v>331</v>
      </c>
    </row>
    <row r="63" spans="1:28" x14ac:dyDescent="0.15">
      <c r="A63" s="136" t="s">
        <v>56</v>
      </c>
      <c r="B63" s="136" t="s">
        <v>332</v>
      </c>
      <c r="C63" s="136">
        <v>2020</v>
      </c>
      <c r="D63" s="144" t="s">
        <v>400</v>
      </c>
      <c r="E63" s="136" t="s">
        <v>371</v>
      </c>
      <c r="F63" s="136" t="s">
        <v>372</v>
      </c>
      <c r="G63" s="136" t="s">
        <v>42</v>
      </c>
      <c r="H63" s="136" t="s">
        <v>146</v>
      </c>
      <c r="I63" s="136" t="s">
        <v>142</v>
      </c>
      <c r="J63" s="136" t="s">
        <v>38</v>
      </c>
      <c r="K63" s="136" t="s">
        <v>143</v>
      </c>
      <c r="L63" s="136">
        <v>2</v>
      </c>
      <c r="N63" s="136">
        <v>4</v>
      </c>
      <c r="O63" s="136">
        <v>1</v>
      </c>
      <c r="P63" s="136">
        <v>1.05</v>
      </c>
      <c r="Q63" s="146">
        <f t="shared" si="0"/>
        <v>1.0249999999999999</v>
      </c>
      <c r="R63" s="136">
        <v>15.3</v>
      </c>
      <c r="S63" s="136">
        <v>84</v>
      </c>
      <c r="T63" s="146">
        <f t="shared" si="1"/>
        <v>36</v>
      </c>
      <c r="U63" s="136">
        <v>429</v>
      </c>
      <c r="V63" s="146">
        <f t="shared" si="2"/>
        <v>3861</v>
      </c>
      <c r="W63" s="136">
        <v>1</v>
      </c>
      <c r="X63" s="136" t="s">
        <v>39</v>
      </c>
      <c r="Y63" s="136" t="s">
        <v>78</v>
      </c>
      <c r="Z63" s="136" t="s">
        <v>40</v>
      </c>
      <c r="AA63" s="136" t="s">
        <v>90</v>
      </c>
      <c r="AB63" s="136" t="s">
        <v>331</v>
      </c>
    </row>
    <row r="64" spans="1:28" x14ac:dyDescent="0.15">
      <c r="A64" s="136" t="s">
        <v>56</v>
      </c>
      <c r="B64" s="136" t="s">
        <v>332</v>
      </c>
      <c r="C64" s="136">
        <v>2020</v>
      </c>
      <c r="D64" s="144" t="s">
        <v>400</v>
      </c>
      <c r="E64" s="136" t="s">
        <v>371</v>
      </c>
      <c r="F64" s="136" t="s">
        <v>372</v>
      </c>
      <c r="G64" s="136" t="s">
        <v>42</v>
      </c>
      <c r="H64" s="136" t="s">
        <v>146</v>
      </c>
      <c r="I64" s="136" t="s">
        <v>142</v>
      </c>
      <c r="J64" s="136" t="s">
        <v>38</v>
      </c>
      <c r="K64" s="136" t="s">
        <v>143</v>
      </c>
      <c r="L64" s="136">
        <v>3</v>
      </c>
      <c r="N64" s="136">
        <v>4</v>
      </c>
      <c r="O64" s="136">
        <v>0.9</v>
      </c>
      <c r="P64" s="136">
        <v>0.9</v>
      </c>
      <c r="Q64" s="146">
        <f t="shared" si="0"/>
        <v>0.9</v>
      </c>
      <c r="R64" s="136">
        <v>16.2</v>
      </c>
      <c r="S64" s="136">
        <v>88</v>
      </c>
      <c r="T64" s="146">
        <f t="shared" si="1"/>
        <v>36</v>
      </c>
      <c r="U64" s="136">
        <v>429</v>
      </c>
      <c r="V64" s="146">
        <f t="shared" si="2"/>
        <v>3861</v>
      </c>
      <c r="W64" s="136">
        <v>1</v>
      </c>
      <c r="X64" s="136" t="s">
        <v>39</v>
      </c>
      <c r="Y64" s="136" t="s">
        <v>78</v>
      </c>
      <c r="Z64" s="136" t="s">
        <v>40</v>
      </c>
      <c r="AA64" s="136" t="s">
        <v>90</v>
      </c>
      <c r="AB64" s="136" t="s">
        <v>331</v>
      </c>
    </row>
    <row r="65" spans="1:28" x14ac:dyDescent="0.15">
      <c r="A65" s="136" t="s">
        <v>56</v>
      </c>
      <c r="B65" s="136" t="s">
        <v>332</v>
      </c>
      <c r="C65" s="136">
        <v>2020</v>
      </c>
      <c r="D65" s="144" t="s">
        <v>400</v>
      </c>
      <c r="E65" s="136" t="s">
        <v>373</v>
      </c>
      <c r="F65" s="136" t="s">
        <v>370</v>
      </c>
      <c r="G65" s="136" t="s">
        <v>36</v>
      </c>
      <c r="H65" s="136" t="s">
        <v>146</v>
      </c>
      <c r="I65" s="136" t="s">
        <v>142</v>
      </c>
      <c r="J65" s="136" t="s">
        <v>38</v>
      </c>
      <c r="K65" s="136" t="s">
        <v>143</v>
      </c>
      <c r="L65" s="136">
        <v>1</v>
      </c>
      <c r="N65" s="136">
        <v>1</v>
      </c>
      <c r="O65" s="136">
        <v>0.75</v>
      </c>
      <c r="P65" s="136">
        <v>0.85</v>
      </c>
      <c r="Q65" s="146">
        <f t="shared" si="0"/>
        <v>0.8</v>
      </c>
      <c r="R65" s="136">
        <v>17.3</v>
      </c>
      <c r="S65" s="136">
        <v>148</v>
      </c>
      <c r="T65" s="146">
        <f t="shared" si="1"/>
        <v>22</v>
      </c>
      <c r="U65" s="136">
        <v>138</v>
      </c>
      <c r="V65" s="146">
        <f t="shared" si="2"/>
        <v>3036</v>
      </c>
      <c r="W65" s="136">
        <v>8</v>
      </c>
      <c r="X65" s="136" t="s">
        <v>46</v>
      </c>
      <c r="Y65" s="136" t="s">
        <v>55</v>
      </c>
      <c r="Z65" s="136" t="s">
        <v>47</v>
      </c>
      <c r="AA65" s="136" t="s">
        <v>40</v>
      </c>
      <c r="AB65" s="136" t="s">
        <v>331</v>
      </c>
    </row>
    <row r="66" spans="1:28" x14ac:dyDescent="0.15">
      <c r="A66" s="136" t="s">
        <v>56</v>
      </c>
      <c r="B66" s="136" t="s">
        <v>332</v>
      </c>
      <c r="C66" s="136">
        <v>2020</v>
      </c>
      <c r="D66" s="144" t="s">
        <v>400</v>
      </c>
      <c r="E66" s="136" t="s">
        <v>373</v>
      </c>
      <c r="F66" s="136" t="s">
        <v>370</v>
      </c>
      <c r="G66" s="136" t="s">
        <v>36</v>
      </c>
      <c r="H66" s="136" t="s">
        <v>146</v>
      </c>
      <c r="I66" s="136" t="s">
        <v>142</v>
      </c>
      <c r="J66" s="136" t="s">
        <v>38</v>
      </c>
      <c r="K66" s="136" t="s">
        <v>143</v>
      </c>
      <c r="L66" s="136">
        <v>2</v>
      </c>
      <c r="N66" s="136">
        <v>1</v>
      </c>
      <c r="O66" s="136">
        <v>1.1000000000000001</v>
      </c>
      <c r="P66" s="136">
        <v>1</v>
      </c>
      <c r="Q66" s="146">
        <f t="shared" si="0"/>
        <v>1.05</v>
      </c>
      <c r="R66" s="136">
        <v>16.5</v>
      </c>
      <c r="S66" s="136">
        <v>139</v>
      </c>
      <c r="T66" s="146">
        <f t="shared" si="1"/>
        <v>22</v>
      </c>
      <c r="U66" s="136">
        <v>138</v>
      </c>
      <c r="V66" s="146">
        <f t="shared" si="2"/>
        <v>3036</v>
      </c>
      <c r="W66" s="136">
        <v>8</v>
      </c>
      <c r="X66" s="136" t="s">
        <v>46</v>
      </c>
      <c r="Y66" s="136" t="s">
        <v>55</v>
      </c>
      <c r="Z66" s="136" t="s">
        <v>47</v>
      </c>
      <c r="AA66" s="136" t="s">
        <v>40</v>
      </c>
      <c r="AB66" s="136" t="s">
        <v>331</v>
      </c>
    </row>
    <row r="67" spans="1:28" x14ac:dyDescent="0.15">
      <c r="A67" s="136" t="s">
        <v>56</v>
      </c>
      <c r="B67" s="136" t="s">
        <v>332</v>
      </c>
      <c r="C67" s="136">
        <v>2020</v>
      </c>
      <c r="D67" s="144" t="s">
        <v>400</v>
      </c>
      <c r="E67" s="136" t="s">
        <v>373</v>
      </c>
      <c r="F67" s="136" t="s">
        <v>370</v>
      </c>
      <c r="G67" s="136" t="s">
        <v>36</v>
      </c>
      <c r="H67" s="136" t="s">
        <v>146</v>
      </c>
      <c r="I67" s="136" t="s">
        <v>142</v>
      </c>
      <c r="J67" s="136" t="s">
        <v>38</v>
      </c>
      <c r="K67" s="158" t="s">
        <v>410</v>
      </c>
      <c r="L67" s="136">
        <v>3</v>
      </c>
      <c r="N67" s="136">
        <v>1</v>
      </c>
      <c r="O67" s="136">
        <v>0.8</v>
      </c>
      <c r="P67" s="136">
        <v>0.8</v>
      </c>
      <c r="Q67" s="146">
        <f t="shared" si="0"/>
        <v>0.8</v>
      </c>
      <c r="R67" s="136">
        <v>16.3</v>
      </c>
      <c r="S67" s="136">
        <v>144</v>
      </c>
      <c r="T67" s="146">
        <f t="shared" si="1"/>
        <v>22</v>
      </c>
      <c r="U67" s="136">
        <v>138</v>
      </c>
      <c r="V67" s="146">
        <f t="shared" si="2"/>
        <v>3036</v>
      </c>
      <c r="W67" s="136">
        <v>8</v>
      </c>
      <c r="X67" s="136" t="s">
        <v>46</v>
      </c>
      <c r="Y67" s="136" t="s">
        <v>55</v>
      </c>
      <c r="Z67" s="136" t="s">
        <v>47</v>
      </c>
      <c r="AA67" s="136" t="s">
        <v>40</v>
      </c>
      <c r="AB67" s="136" t="s">
        <v>331</v>
      </c>
    </row>
    <row r="68" spans="1:28" x14ac:dyDescent="0.15">
      <c r="A68" s="136" t="s">
        <v>56</v>
      </c>
      <c r="B68" s="136" t="s">
        <v>332</v>
      </c>
      <c r="C68" s="136">
        <v>2020</v>
      </c>
      <c r="D68" s="144" t="s">
        <v>400</v>
      </c>
      <c r="E68" s="136" t="s">
        <v>373</v>
      </c>
      <c r="F68" s="136" t="s">
        <v>370</v>
      </c>
      <c r="G68" s="136" t="s">
        <v>36</v>
      </c>
      <c r="H68" s="136" t="s">
        <v>146</v>
      </c>
      <c r="I68" s="136" t="s">
        <v>142</v>
      </c>
      <c r="J68" s="136" t="s">
        <v>38</v>
      </c>
      <c r="K68" s="136" t="s">
        <v>143</v>
      </c>
      <c r="L68" s="136">
        <v>1</v>
      </c>
      <c r="N68" s="136">
        <v>5</v>
      </c>
      <c r="O68" s="136">
        <v>1</v>
      </c>
      <c r="P68" s="136">
        <v>1</v>
      </c>
      <c r="Q68" s="146">
        <f t="shared" si="0"/>
        <v>1</v>
      </c>
      <c r="R68" s="136">
        <v>17.2</v>
      </c>
      <c r="S68" s="136">
        <v>105</v>
      </c>
      <c r="T68" s="146">
        <f t="shared" si="1"/>
        <v>33</v>
      </c>
      <c r="U68" s="136">
        <v>518</v>
      </c>
      <c r="V68" s="146">
        <f t="shared" si="2"/>
        <v>3418.7999999999997</v>
      </c>
      <c r="W68" s="136">
        <v>8</v>
      </c>
      <c r="X68" s="136" t="s">
        <v>46</v>
      </c>
      <c r="Y68" s="136" t="s">
        <v>55</v>
      </c>
      <c r="Z68" s="136" t="s">
        <v>47</v>
      </c>
      <c r="AA68" s="136" t="s">
        <v>40</v>
      </c>
      <c r="AB68" s="136" t="s">
        <v>331</v>
      </c>
    </row>
    <row r="69" spans="1:28" x14ac:dyDescent="0.15">
      <c r="A69" s="136" t="s">
        <v>56</v>
      </c>
      <c r="B69" s="136" t="s">
        <v>332</v>
      </c>
      <c r="C69" s="136">
        <v>2020</v>
      </c>
      <c r="D69" s="144" t="s">
        <v>400</v>
      </c>
      <c r="E69" s="136" t="s">
        <v>373</v>
      </c>
      <c r="F69" s="136" t="s">
        <v>370</v>
      </c>
      <c r="G69" s="136" t="s">
        <v>36</v>
      </c>
      <c r="H69" s="136" t="s">
        <v>146</v>
      </c>
      <c r="I69" s="136" t="s">
        <v>142</v>
      </c>
      <c r="J69" s="136" t="s">
        <v>38</v>
      </c>
      <c r="K69" s="136" t="s">
        <v>143</v>
      </c>
      <c r="L69" s="136">
        <v>2</v>
      </c>
      <c r="N69" s="136">
        <v>5</v>
      </c>
      <c r="O69" s="136">
        <v>0.95</v>
      </c>
      <c r="P69" s="136">
        <v>1</v>
      </c>
      <c r="Q69" s="146">
        <f t="shared" ref="Q69:Q104" si="3">IF(OR(O69="",P69=""),"",AVERAGE(O69,P69))</f>
        <v>0.97499999999999998</v>
      </c>
      <c r="R69" s="136">
        <v>16.5</v>
      </c>
      <c r="S69" s="136">
        <v>100</v>
      </c>
      <c r="T69" s="146">
        <f t="shared" ref="T69:T102" si="4">IF(H69="","",IF(OR(H69="GREEN",H69="GK"),IF(S69&gt;=$AX$2,VLOOKUP(S69,$AX$2:$AY$10,2,1),""),IF(S69&gt;=$AZ$2,VLOOKUP(S69,$AZ$2:$BA$10,2,1),"")))</f>
        <v>33</v>
      </c>
      <c r="U69" s="136">
        <v>518</v>
      </c>
      <c r="V69" s="146">
        <f t="shared" ref="V69:V114" si="5">IF(OR(N69="",U69="",T69=""),"",U69/N69*T69)</f>
        <v>3418.7999999999997</v>
      </c>
      <c r="W69" s="136">
        <v>8</v>
      </c>
      <c r="X69" s="136" t="s">
        <v>46</v>
      </c>
      <c r="Y69" s="136" t="s">
        <v>55</v>
      </c>
      <c r="Z69" s="136" t="s">
        <v>47</v>
      </c>
      <c r="AA69" s="136" t="s">
        <v>40</v>
      </c>
      <c r="AB69" s="136" t="s">
        <v>331</v>
      </c>
    </row>
    <row r="70" spans="1:28" x14ac:dyDescent="0.15">
      <c r="A70" s="136" t="s">
        <v>56</v>
      </c>
      <c r="B70" s="136" t="s">
        <v>332</v>
      </c>
      <c r="C70" s="136">
        <v>2020</v>
      </c>
      <c r="D70" s="144" t="s">
        <v>400</v>
      </c>
      <c r="E70" s="136" t="s">
        <v>373</v>
      </c>
      <c r="F70" s="136" t="s">
        <v>370</v>
      </c>
      <c r="G70" s="136" t="s">
        <v>36</v>
      </c>
      <c r="H70" s="136" t="s">
        <v>146</v>
      </c>
      <c r="I70" s="136" t="s">
        <v>142</v>
      </c>
      <c r="J70" s="136" t="s">
        <v>38</v>
      </c>
      <c r="K70" s="136" t="s">
        <v>143</v>
      </c>
      <c r="L70" s="136">
        <v>3</v>
      </c>
      <c r="N70" s="136">
        <v>5</v>
      </c>
      <c r="O70" s="136">
        <v>0.95</v>
      </c>
      <c r="P70" s="136">
        <v>0.95</v>
      </c>
      <c r="Q70" s="146">
        <f t="shared" si="3"/>
        <v>0.95</v>
      </c>
      <c r="R70" s="136">
        <v>16.600000000000001</v>
      </c>
      <c r="S70" s="136">
        <v>102</v>
      </c>
      <c r="T70" s="146">
        <f t="shared" si="4"/>
        <v>33</v>
      </c>
      <c r="U70" s="136">
        <v>518</v>
      </c>
      <c r="V70" s="146">
        <f t="shared" si="5"/>
        <v>3418.7999999999997</v>
      </c>
      <c r="W70" s="136">
        <v>8</v>
      </c>
      <c r="X70" s="136" t="s">
        <v>46</v>
      </c>
      <c r="Y70" s="136" t="s">
        <v>55</v>
      </c>
      <c r="Z70" s="136" t="s">
        <v>47</v>
      </c>
      <c r="AA70" s="136" t="s">
        <v>40</v>
      </c>
      <c r="AB70" s="136" t="s">
        <v>331</v>
      </c>
    </row>
    <row r="71" spans="1:28" x14ac:dyDescent="0.15">
      <c r="A71" s="136" t="s">
        <v>56</v>
      </c>
      <c r="B71" s="136" t="s">
        <v>332</v>
      </c>
      <c r="C71" s="136">
        <v>2020</v>
      </c>
      <c r="D71" s="144" t="s">
        <v>400</v>
      </c>
      <c r="E71" s="136" t="s">
        <v>378</v>
      </c>
      <c r="F71" s="136" t="s">
        <v>370</v>
      </c>
      <c r="G71" s="136" t="s">
        <v>36</v>
      </c>
      <c r="H71" s="136" t="s">
        <v>146</v>
      </c>
      <c r="I71" s="136" t="s">
        <v>142</v>
      </c>
      <c r="J71" s="136" t="s">
        <v>38</v>
      </c>
      <c r="K71" s="136" t="s">
        <v>143</v>
      </c>
      <c r="L71" s="136">
        <v>1</v>
      </c>
      <c r="N71" s="136">
        <v>1</v>
      </c>
      <c r="O71" s="136">
        <v>0.95</v>
      </c>
      <c r="P71" s="136">
        <v>0.95</v>
      </c>
      <c r="Q71" s="146">
        <f t="shared" si="3"/>
        <v>0.95</v>
      </c>
      <c r="R71" s="136">
        <v>17.399999999999999</v>
      </c>
      <c r="S71" s="136">
        <v>133</v>
      </c>
      <c r="T71" s="146">
        <f t="shared" si="4"/>
        <v>25</v>
      </c>
      <c r="U71" s="136">
        <v>149</v>
      </c>
      <c r="V71" s="146">
        <f t="shared" si="5"/>
        <v>3725</v>
      </c>
      <c r="W71" s="136">
        <v>19</v>
      </c>
      <c r="X71" s="136" t="s">
        <v>46</v>
      </c>
      <c r="Y71" s="136" t="s">
        <v>55</v>
      </c>
      <c r="Z71" s="136" t="s">
        <v>47</v>
      </c>
      <c r="AA71" s="136" t="s">
        <v>86</v>
      </c>
      <c r="AB71" s="136" t="s">
        <v>331</v>
      </c>
    </row>
    <row r="72" spans="1:28" x14ac:dyDescent="0.15">
      <c r="A72" s="136" t="s">
        <v>56</v>
      </c>
      <c r="B72" s="136" t="s">
        <v>332</v>
      </c>
      <c r="C72" s="136">
        <v>2020</v>
      </c>
      <c r="D72" s="144" t="s">
        <v>400</v>
      </c>
      <c r="E72" s="136" t="s">
        <v>378</v>
      </c>
      <c r="F72" s="136" t="s">
        <v>370</v>
      </c>
      <c r="G72" s="136" t="s">
        <v>36</v>
      </c>
      <c r="H72" s="136" t="s">
        <v>146</v>
      </c>
      <c r="I72" s="136" t="s">
        <v>142</v>
      </c>
      <c r="J72" s="136" t="s">
        <v>38</v>
      </c>
      <c r="K72" s="136" t="s">
        <v>143</v>
      </c>
      <c r="L72" s="136">
        <v>2</v>
      </c>
      <c r="N72" s="136">
        <v>1</v>
      </c>
      <c r="O72" s="136">
        <v>1</v>
      </c>
      <c r="P72" s="136">
        <v>0.95</v>
      </c>
      <c r="Q72" s="146">
        <f t="shared" si="3"/>
        <v>0.97499999999999998</v>
      </c>
      <c r="R72" s="136">
        <v>17.399999999999999</v>
      </c>
      <c r="S72" s="136">
        <v>143</v>
      </c>
      <c r="T72" s="146">
        <f t="shared" si="4"/>
        <v>22</v>
      </c>
      <c r="U72" s="136">
        <v>149</v>
      </c>
      <c r="V72" s="146">
        <f t="shared" si="5"/>
        <v>3278</v>
      </c>
      <c r="W72" s="136">
        <v>19</v>
      </c>
      <c r="X72" s="136" t="s">
        <v>46</v>
      </c>
      <c r="Y72" s="136" t="s">
        <v>55</v>
      </c>
      <c r="Z72" s="136" t="s">
        <v>47</v>
      </c>
      <c r="AA72" s="136" t="s">
        <v>86</v>
      </c>
      <c r="AB72" s="136" t="s">
        <v>331</v>
      </c>
    </row>
    <row r="73" spans="1:28" x14ac:dyDescent="0.15">
      <c r="A73" s="136" t="s">
        <v>56</v>
      </c>
      <c r="B73" s="136" t="s">
        <v>332</v>
      </c>
      <c r="C73" s="136">
        <v>2020</v>
      </c>
      <c r="D73" s="144" t="s">
        <v>400</v>
      </c>
      <c r="E73" s="136" t="s">
        <v>378</v>
      </c>
      <c r="F73" s="136" t="s">
        <v>370</v>
      </c>
      <c r="G73" s="136" t="s">
        <v>36</v>
      </c>
      <c r="H73" s="136" t="s">
        <v>146</v>
      </c>
      <c r="I73" s="136" t="s">
        <v>142</v>
      </c>
      <c r="J73" s="136" t="s">
        <v>38</v>
      </c>
      <c r="K73" s="136" t="s">
        <v>143</v>
      </c>
      <c r="L73" s="136">
        <v>3</v>
      </c>
      <c r="N73" s="136">
        <v>1</v>
      </c>
      <c r="O73" s="136">
        <v>0.75</v>
      </c>
      <c r="P73" s="136">
        <v>0.75</v>
      </c>
      <c r="Q73" s="146">
        <f t="shared" si="3"/>
        <v>0.75</v>
      </c>
      <c r="R73" s="136">
        <v>16</v>
      </c>
      <c r="S73" s="136">
        <v>147</v>
      </c>
      <c r="T73" s="146">
        <f t="shared" si="4"/>
        <v>22</v>
      </c>
      <c r="U73" s="136">
        <v>149</v>
      </c>
      <c r="V73" s="146">
        <f t="shared" si="5"/>
        <v>3278</v>
      </c>
      <c r="W73" s="136">
        <v>19</v>
      </c>
      <c r="X73" s="136" t="s">
        <v>46</v>
      </c>
      <c r="Y73" s="136" t="s">
        <v>55</v>
      </c>
      <c r="Z73" s="136" t="s">
        <v>47</v>
      </c>
      <c r="AA73" s="136" t="s">
        <v>86</v>
      </c>
      <c r="AB73" s="136" t="s">
        <v>331</v>
      </c>
    </row>
    <row r="74" spans="1:28" x14ac:dyDescent="0.15">
      <c r="A74" s="136" t="s">
        <v>56</v>
      </c>
      <c r="B74" s="136" t="s">
        <v>332</v>
      </c>
      <c r="C74" s="136">
        <v>2020</v>
      </c>
      <c r="D74" s="144" t="s">
        <v>400</v>
      </c>
      <c r="E74" s="136" t="s">
        <v>378</v>
      </c>
      <c r="F74" s="136" t="s">
        <v>370</v>
      </c>
      <c r="G74" s="136" t="s">
        <v>36</v>
      </c>
      <c r="H74" s="136" t="s">
        <v>146</v>
      </c>
      <c r="I74" s="136" t="s">
        <v>142</v>
      </c>
      <c r="J74" s="136" t="s">
        <v>38</v>
      </c>
      <c r="K74" s="136" t="s">
        <v>143</v>
      </c>
      <c r="L74" s="136">
        <v>1</v>
      </c>
      <c r="N74" s="136">
        <v>5</v>
      </c>
      <c r="O74" s="136">
        <v>0.8</v>
      </c>
      <c r="P74" s="136">
        <v>0.85</v>
      </c>
      <c r="Q74" s="146">
        <f t="shared" si="3"/>
        <v>0.82499999999999996</v>
      </c>
      <c r="R74" s="136">
        <v>17.3</v>
      </c>
      <c r="S74" s="136">
        <v>98</v>
      </c>
      <c r="T74" s="146">
        <f t="shared" si="4"/>
        <v>36</v>
      </c>
      <c r="U74" s="136">
        <v>646</v>
      </c>
      <c r="V74" s="146">
        <f t="shared" si="5"/>
        <v>4651.2</v>
      </c>
      <c r="W74" s="136">
        <v>12</v>
      </c>
      <c r="X74" s="136" t="s">
        <v>46</v>
      </c>
      <c r="Y74" s="136" t="s">
        <v>55</v>
      </c>
      <c r="Z74" s="136" t="s">
        <v>47</v>
      </c>
      <c r="AA74" s="136" t="s">
        <v>86</v>
      </c>
      <c r="AB74" s="136" t="s">
        <v>331</v>
      </c>
    </row>
    <row r="75" spans="1:28" x14ac:dyDescent="0.15">
      <c r="A75" s="136" t="s">
        <v>56</v>
      </c>
      <c r="B75" s="136" t="s">
        <v>332</v>
      </c>
      <c r="C75" s="136">
        <v>2020</v>
      </c>
      <c r="D75" s="144" t="s">
        <v>400</v>
      </c>
      <c r="E75" s="136" t="s">
        <v>378</v>
      </c>
      <c r="F75" s="136" t="s">
        <v>370</v>
      </c>
      <c r="G75" s="136" t="s">
        <v>36</v>
      </c>
      <c r="H75" s="136" t="s">
        <v>146</v>
      </c>
      <c r="I75" s="136" t="s">
        <v>142</v>
      </c>
      <c r="J75" s="136" t="s">
        <v>38</v>
      </c>
      <c r="K75" s="136" t="s">
        <v>143</v>
      </c>
      <c r="L75" s="136">
        <v>2</v>
      </c>
      <c r="N75" s="136">
        <v>5</v>
      </c>
      <c r="O75" s="136">
        <v>0.6</v>
      </c>
      <c r="P75" s="136">
        <v>0.55000000000000004</v>
      </c>
      <c r="Q75" s="146">
        <f t="shared" si="3"/>
        <v>0.57499999999999996</v>
      </c>
      <c r="R75" s="136">
        <v>17.3</v>
      </c>
      <c r="S75" s="136">
        <v>92</v>
      </c>
      <c r="T75" s="146">
        <f t="shared" si="4"/>
        <v>36</v>
      </c>
      <c r="U75" s="136">
        <v>646</v>
      </c>
      <c r="V75" s="146">
        <f t="shared" si="5"/>
        <v>4651.2</v>
      </c>
      <c r="W75" s="136">
        <v>12</v>
      </c>
      <c r="X75" s="136" t="s">
        <v>46</v>
      </c>
      <c r="Y75" s="136" t="s">
        <v>55</v>
      </c>
      <c r="Z75" s="136" t="s">
        <v>47</v>
      </c>
      <c r="AA75" s="136" t="s">
        <v>86</v>
      </c>
      <c r="AB75" s="136" t="s">
        <v>331</v>
      </c>
    </row>
    <row r="76" spans="1:28" x14ac:dyDescent="0.15">
      <c r="A76" s="136" t="s">
        <v>56</v>
      </c>
      <c r="B76" s="136" t="s">
        <v>332</v>
      </c>
      <c r="C76" s="136">
        <v>2020</v>
      </c>
      <c r="D76" s="144" t="s">
        <v>400</v>
      </c>
      <c r="E76" s="136" t="s">
        <v>378</v>
      </c>
      <c r="F76" s="136" t="s">
        <v>370</v>
      </c>
      <c r="G76" s="136" t="s">
        <v>36</v>
      </c>
      <c r="H76" s="136" t="s">
        <v>146</v>
      </c>
      <c r="I76" s="136" t="s">
        <v>142</v>
      </c>
      <c r="J76" s="136" t="s">
        <v>38</v>
      </c>
      <c r="K76" s="136" t="s">
        <v>143</v>
      </c>
      <c r="L76" s="136">
        <v>3</v>
      </c>
      <c r="N76" s="136">
        <v>5</v>
      </c>
      <c r="O76" s="136">
        <v>0.65</v>
      </c>
      <c r="P76" s="136">
        <v>0.65</v>
      </c>
      <c r="Q76" s="146">
        <f t="shared" si="3"/>
        <v>0.65</v>
      </c>
      <c r="R76" s="136">
        <v>17.100000000000001</v>
      </c>
      <c r="S76" s="136">
        <v>105</v>
      </c>
      <c r="T76" s="146">
        <f t="shared" si="4"/>
        <v>33</v>
      </c>
      <c r="U76" s="136">
        <v>646</v>
      </c>
      <c r="V76" s="146">
        <f t="shared" si="5"/>
        <v>4263.5999999999995</v>
      </c>
      <c r="W76" s="136">
        <v>12</v>
      </c>
      <c r="X76" s="136" t="s">
        <v>46</v>
      </c>
      <c r="Y76" s="136" t="s">
        <v>55</v>
      </c>
      <c r="Z76" s="136" t="s">
        <v>47</v>
      </c>
      <c r="AA76" s="136" t="s">
        <v>86</v>
      </c>
      <c r="AB76" s="136" t="s">
        <v>331</v>
      </c>
    </row>
    <row r="77" spans="1:28" x14ac:dyDescent="0.15">
      <c r="A77" s="136" t="s">
        <v>56</v>
      </c>
      <c r="B77" s="136" t="s">
        <v>332</v>
      </c>
      <c r="C77" s="136">
        <v>2020</v>
      </c>
      <c r="D77" s="144" t="s">
        <v>400</v>
      </c>
      <c r="E77" s="136" t="s">
        <v>378</v>
      </c>
      <c r="F77" s="136" t="s">
        <v>370</v>
      </c>
      <c r="G77" s="136" t="s">
        <v>36</v>
      </c>
      <c r="H77" s="136" t="s">
        <v>146</v>
      </c>
      <c r="I77" s="136" t="s">
        <v>142</v>
      </c>
      <c r="J77" s="136" t="s">
        <v>38</v>
      </c>
      <c r="K77" s="136" t="s">
        <v>143</v>
      </c>
      <c r="L77" s="136">
        <v>1</v>
      </c>
      <c r="N77" s="136">
        <v>7</v>
      </c>
      <c r="O77" s="136">
        <v>0.75</v>
      </c>
      <c r="P77" s="136">
        <v>0.75</v>
      </c>
      <c r="Q77" s="146">
        <f t="shared" si="3"/>
        <v>0.75</v>
      </c>
      <c r="R77" s="136">
        <v>17.399999999999999</v>
      </c>
      <c r="S77" s="136">
        <v>158</v>
      </c>
      <c r="T77" s="146">
        <f t="shared" si="4"/>
        <v>22</v>
      </c>
      <c r="U77" s="136">
        <v>1080</v>
      </c>
      <c r="V77" s="146">
        <f t="shared" si="5"/>
        <v>3394.2857142857142</v>
      </c>
      <c r="W77" s="136">
        <v>12</v>
      </c>
      <c r="X77" s="136" t="s">
        <v>46</v>
      </c>
      <c r="Y77" s="136" t="s">
        <v>55</v>
      </c>
      <c r="Z77" s="136" t="s">
        <v>47</v>
      </c>
      <c r="AA77" s="136" t="s">
        <v>86</v>
      </c>
      <c r="AB77" s="136" t="s">
        <v>331</v>
      </c>
    </row>
    <row r="78" spans="1:28" x14ac:dyDescent="0.15">
      <c r="A78" s="136" t="s">
        <v>56</v>
      </c>
      <c r="B78" s="136" t="s">
        <v>332</v>
      </c>
      <c r="C78" s="136">
        <v>2020</v>
      </c>
      <c r="D78" s="144" t="s">
        <v>400</v>
      </c>
      <c r="E78" s="136" t="s">
        <v>378</v>
      </c>
      <c r="F78" s="136" t="s">
        <v>370</v>
      </c>
      <c r="G78" s="136" t="s">
        <v>36</v>
      </c>
      <c r="H78" s="136" t="s">
        <v>146</v>
      </c>
      <c r="I78" s="136" t="s">
        <v>142</v>
      </c>
      <c r="J78" s="136" t="s">
        <v>38</v>
      </c>
      <c r="K78" s="136" t="s">
        <v>143</v>
      </c>
      <c r="L78" s="136">
        <v>2</v>
      </c>
      <c r="N78" s="136">
        <v>7</v>
      </c>
      <c r="O78" s="136">
        <v>0.7</v>
      </c>
      <c r="P78" s="136">
        <v>0.75</v>
      </c>
      <c r="Q78" s="146">
        <f t="shared" si="3"/>
        <v>0.72499999999999998</v>
      </c>
      <c r="R78" s="136">
        <v>17.399999999999999</v>
      </c>
      <c r="S78" s="136">
        <v>160</v>
      </c>
      <c r="T78" s="146">
        <f t="shared" si="4"/>
        <v>22</v>
      </c>
      <c r="U78" s="136">
        <v>1080</v>
      </c>
      <c r="V78" s="146">
        <f t="shared" si="5"/>
        <v>3394.2857142857142</v>
      </c>
      <c r="W78" s="136">
        <v>12</v>
      </c>
      <c r="X78" s="136" t="s">
        <v>46</v>
      </c>
      <c r="Y78" s="136" t="s">
        <v>55</v>
      </c>
      <c r="Z78" s="136" t="s">
        <v>47</v>
      </c>
      <c r="AA78" s="136" t="s">
        <v>86</v>
      </c>
      <c r="AB78" s="136" t="s">
        <v>331</v>
      </c>
    </row>
    <row r="79" spans="1:28" x14ac:dyDescent="0.15">
      <c r="A79" s="136" t="s">
        <v>56</v>
      </c>
      <c r="B79" s="136" t="s">
        <v>332</v>
      </c>
      <c r="C79" s="136">
        <v>2020</v>
      </c>
      <c r="D79" s="144" t="s">
        <v>400</v>
      </c>
      <c r="E79" s="136" t="s">
        <v>378</v>
      </c>
      <c r="F79" s="136" t="s">
        <v>370</v>
      </c>
      <c r="G79" s="136" t="s">
        <v>36</v>
      </c>
      <c r="H79" s="136" t="s">
        <v>146</v>
      </c>
      <c r="I79" s="136" t="s">
        <v>142</v>
      </c>
      <c r="J79" s="136" t="s">
        <v>38</v>
      </c>
      <c r="K79" s="136" t="s">
        <v>143</v>
      </c>
      <c r="L79" s="136">
        <v>3</v>
      </c>
      <c r="N79" s="136">
        <v>7</v>
      </c>
      <c r="O79" s="136">
        <v>0.6</v>
      </c>
      <c r="P79" s="136">
        <v>0.7</v>
      </c>
      <c r="Q79" s="146">
        <f t="shared" si="3"/>
        <v>0.64999999999999991</v>
      </c>
      <c r="R79" s="136">
        <v>18.3</v>
      </c>
      <c r="S79" s="136">
        <v>160</v>
      </c>
      <c r="T79" s="146">
        <f t="shared" si="4"/>
        <v>22</v>
      </c>
      <c r="U79" s="136">
        <v>1080</v>
      </c>
      <c r="V79" s="146">
        <f t="shared" si="5"/>
        <v>3394.2857142857142</v>
      </c>
      <c r="W79" s="136">
        <v>12</v>
      </c>
      <c r="X79" s="136" t="s">
        <v>46</v>
      </c>
      <c r="Y79" s="136" t="s">
        <v>55</v>
      </c>
      <c r="Z79" s="136" t="s">
        <v>47</v>
      </c>
      <c r="AA79" s="136" t="s">
        <v>86</v>
      </c>
      <c r="AB79" s="136" t="s">
        <v>331</v>
      </c>
    </row>
    <row r="80" spans="1:28" x14ac:dyDescent="0.15">
      <c r="A80" s="136" t="s">
        <v>56</v>
      </c>
      <c r="B80" s="136" t="s">
        <v>332</v>
      </c>
      <c r="C80" s="136">
        <v>2020</v>
      </c>
      <c r="D80" s="144" t="s">
        <v>400</v>
      </c>
      <c r="E80" s="136" t="s">
        <v>378</v>
      </c>
      <c r="F80" s="136" t="s">
        <v>370</v>
      </c>
      <c r="G80" s="136" t="s">
        <v>36</v>
      </c>
      <c r="H80" s="136" t="s">
        <v>171</v>
      </c>
      <c r="I80" s="136" t="s">
        <v>142</v>
      </c>
      <c r="J80" s="136" t="s">
        <v>104</v>
      </c>
      <c r="K80" s="136" t="s">
        <v>195</v>
      </c>
      <c r="L80" s="136">
        <v>1</v>
      </c>
      <c r="N80" s="136">
        <v>5</v>
      </c>
      <c r="O80" s="136">
        <v>1.1499999999999999</v>
      </c>
      <c r="P80" s="136">
        <v>1.2</v>
      </c>
      <c r="Q80" s="146">
        <f t="shared" si="3"/>
        <v>1.1749999999999998</v>
      </c>
      <c r="R80" s="136">
        <v>13.7</v>
      </c>
      <c r="S80" s="136">
        <v>89</v>
      </c>
      <c r="T80" s="146">
        <f t="shared" si="4"/>
        <v>36</v>
      </c>
      <c r="U80" s="136">
        <v>538</v>
      </c>
      <c r="V80" s="146">
        <f t="shared" si="5"/>
        <v>3873.6</v>
      </c>
      <c r="W80" s="136">
        <v>2</v>
      </c>
      <c r="X80" s="136" t="s">
        <v>46</v>
      </c>
      <c r="Y80" s="136" t="s">
        <v>55</v>
      </c>
      <c r="Z80" s="136" t="s">
        <v>47</v>
      </c>
      <c r="AA80" s="136" t="s">
        <v>86</v>
      </c>
      <c r="AB80" s="136" t="s">
        <v>331</v>
      </c>
    </row>
    <row r="81" spans="1:28" x14ac:dyDescent="0.15">
      <c r="A81" s="136" t="s">
        <v>56</v>
      </c>
      <c r="B81" s="136" t="s">
        <v>332</v>
      </c>
      <c r="C81" s="136">
        <v>2020</v>
      </c>
      <c r="D81" s="144" t="s">
        <v>400</v>
      </c>
      <c r="E81" s="136" t="s">
        <v>378</v>
      </c>
      <c r="F81" s="136" t="s">
        <v>370</v>
      </c>
      <c r="G81" s="136" t="s">
        <v>36</v>
      </c>
      <c r="H81" s="136" t="s">
        <v>171</v>
      </c>
      <c r="I81" s="136" t="s">
        <v>142</v>
      </c>
      <c r="J81" s="136" t="s">
        <v>104</v>
      </c>
      <c r="K81" s="136" t="s">
        <v>195</v>
      </c>
      <c r="L81" s="136">
        <v>2</v>
      </c>
      <c r="N81" s="136">
        <v>5</v>
      </c>
      <c r="O81" s="136">
        <v>0.9</v>
      </c>
      <c r="P81" s="136">
        <v>0.85</v>
      </c>
      <c r="Q81" s="146">
        <f t="shared" si="3"/>
        <v>0.875</v>
      </c>
      <c r="R81" s="136">
        <v>12.1</v>
      </c>
      <c r="S81" s="136">
        <v>88</v>
      </c>
      <c r="T81" s="146">
        <f t="shared" si="4"/>
        <v>36</v>
      </c>
      <c r="U81" s="136">
        <v>538</v>
      </c>
      <c r="V81" s="146">
        <f t="shared" si="5"/>
        <v>3873.6</v>
      </c>
      <c r="W81" s="136">
        <v>2</v>
      </c>
      <c r="X81" s="136" t="s">
        <v>46</v>
      </c>
      <c r="Y81" s="136" t="s">
        <v>55</v>
      </c>
      <c r="Z81" s="136" t="s">
        <v>47</v>
      </c>
      <c r="AA81" s="136" t="s">
        <v>86</v>
      </c>
      <c r="AB81" s="136" t="s">
        <v>331</v>
      </c>
    </row>
    <row r="82" spans="1:28" x14ac:dyDescent="0.15">
      <c r="A82" s="136" t="s">
        <v>56</v>
      </c>
      <c r="B82" s="136" t="s">
        <v>332</v>
      </c>
      <c r="C82" s="136">
        <v>2020</v>
      </c>
      <c r="D82" s="144" t="s">
        <v>400</v>
      </c>
      <c r="E82" s="136" t="s">
        <v>378</v>
      </c>
      <c r="F82" s="136" t="s">
        <v>370</v>
      </c>
      <c r="G82" s="136" t="s">
        <v>36</v>
      </c>
      <c r="H82" s="136" t="s">
        <v>171</v>
      </c>
      <c r="I82" s="136" t="s">
        <v>142</v>
      </c>
      <c r="J82" s="136" t="s">
        <v>104</v>
      </c>
      <c r="K82" s="136" t="s">
        <v>195</v>
      </c>
      <c r="L82" s="136">
        <v>3</v>
      </c>
      <c r="N82" s="136">
        <v>5</v>
      </c>
      <c r="O82" s="136">
        <v>1.1000000000000001</v>
      </c>
      <c r="P82" s="136">
        <v>1.2</v>
      </c>
      <c r="Q82" s="146">
        <f t="shared" si="3"/>
        <v>1.1499999999999999</v>
      </c>
      <c r="R82" s="136">
        <v>12.6</v>
      </c>
      <c r="S82" s="136">
        <v>93</v>
      </c>
      <c r="T82" s="146">
        <f t="shared" si="4"/>
        <v>36</v>
      </c>
      <c r="U82" s="136">
        <v>538</v>
      </c>
      <c r="V82" s="146">
        <f t="shared" si="5"/>
        <v>3873.6</v>
      </c>
      <c r="W82" s="136">
        <v>2</v>
      </c>
      <c r="X82" s="136" t="s">
        <v>46</v>
      </c>
      <c r="Y82" s="136" t="s">
        <v>55</v>
      </c>
      <c r="Z82" s="136" t="s">
        <v>47</v>
      </c>
      <c r="AA82" s="136" t="s">
        <v>86</v>
      </c>
      <c r="AB82" s="136" t="s">
        <v>331</v>
      </c>
    </row>
    <row r="83" spans="1:28" x14ac:dyDescent="0.15">
      <c r="Q83" s="146" t="str">
        <f t="shared" si="3"/>
        <v/>
      </c>
      <c r="T83" s="146" t="str">
        <f t="shared" si="4"/>
        <v/>
      </c>
      <c r="V83" s="146" t="str">
        <f t="shared" si="5"/>
        <v/>
      </c>
    </row>
    <row r="84" spans="1:28" x14ac:dyDescent="0.15">
      <c r="Q84" s="146" t="str">
        <f t="shared" si="3"/>
        <v/>
      </c>
      <c r="T84" s="146" t="str">
        <f t="shared" si="4"/>
        <v/>
      </c>
      <c r="V84" s="146" t="str">
        <f t="shared" si="5"/>
        <v/>
      </c>
    </row>
    <row r="85" spans="1:28" x14ac:dyDescent="0.15">
      <c r="Q85" s="146" t="str">
        <f t="shared" si="3"/>
        <v/>
      </c>
      <c r="T85" s="146" t="str">
        <f t="shared" si="4"/>
        <v/>
      </c>
      <c r="V85" s="146" t="str">
        <f t="shared" si="5"/>
        <v/>
      </c>
    </row>
    <row r="86" spans="1:28" x14ac:dyDescent="0.15">
      <c r="Q86" s="146" t="str">
        <f t="shared" si="3"/>
        <v/>
      </c>
      <c r="T86" s="146" t="str">
        <f t="shared" si="4"/>
        <v/>
      </c>
      <c r="V86" s="146" t="str">
        <f t="shared" si="5"/>
        <v/>
      </c>
    </row>
    <row r="87" spans="1:28" x14ac:dyDescent="0.15">
      <c r="Q87" s="146" t="str">
        <f t="shared" si="3"/>
        <v/>
      </c>
      <c r="T87" s="146" t="str">
        <f t="shared" si="4"/>
        <v/>
      </c>
      <c r="V87" s="146" t="str">
        <f t="shared" si="5"/>
        <v/>
      </c>
    </row>
    <row r="88" spans="1:28" x14ac:dyDescent="0.15">
      <c r="Q88" s="146" t="str">
        <f t="shared" si="3"/>
        <v/>
      </c>
      <c r="T88" s="146" t="str">
        <f t="shared" si="4"/>
        <v/>
      </c>
      <c r="V88" s="146" t="str">
        <f t="shared" si="5"/>
        <v/>
      </c>
    </row>
    <row r="89" spans="1:28" x14ac:dyDescent="0.15">
      <c r="Q89" s="146" t="str">
        <f t="shared" si="3"/>
        <v/>
      </c>
      <c r="T89" s="146" t="str">
        <f t="shared" si="4"/>
        <v/>
      </c>
      <c r="V89" s="146" t="str">
        <f t="shared" si="5"/>
        <v/>
      </c>
    </row>
    <row r="90" spans="1:28" x14ac:dyDescent="0.15">
      <c r="Q90" s="146" t="str">
        <f t="shared" si="3"/>
        <v/>
      </c>
      <c r="T90" s="146" t="str">
        <f t="shared" si="4"/>
        <v/>
      </c>
      <c r="V90" s="146" t="str">
        <f t="shared" si="5"/>
        <v/>
      </c>
    </row>
    <row r="91" spans="1:28" x14ac:dyDescent="0.15">
      <c r="Q91" s="146" t="str">
        <f t="shared" si="3"/>
        <v/>
      </c>
      <c r="T91" s="146" t="str">
        <f t="shared" si="4"/>
        <v/>
      </c>
      <c r="V91" s="146" t="str">
        <f t="shared" si="5"/>
        <v/>
      </c>
    </row>
    <row r="92" spans="1:28" x14ac:dyDescent="0.15">
      <c r="Q92" s="146" t="str">
        <f t="shared" si="3"/>
        <v/>
      </c>
      <c r="T92" s="146" t="str">
        <f t="shared" si="4"/>
        <v/>
      </c>
      <c r="V92" s="146" t="str">
        <f t="shared" si="5"/>
        <v/>
      </c>
    </row>
    <row r="93" spans="1:28" x14ac:dyDescent="0.15">
      <c r="Q93" s="146" t="str">
        <f t="shared" si="3"/>
        <v/>
      </c>
      <c r="T93" s="146" t="str">
        <f t="shared" si="4"/>
        <v/>
      </c>
      <c r="V93" s="146" t="str">
        <f t="shared" si="5"/>
        <v/>
      </c>
    </row>
    <row r="94" spans="1:28" x14ac:dyDescent="0.15">
      <c r="Q94" s="146" t="str">
        <f t="shared" si="3"/>
        <v/>
      </c>
      <c r="T94" s="146" t="str">
        <f t="shared" si="4"/>
        <v/>
      </c>
      <c r="V94" s="146" t="str">
        <f t="shared" si="5"/>
        <v/>
      </c>
    </row>
    <row r="95" spans="1:28" x14ac:dyDescent="0.15">
      <c r="Q95" s="146" t="str">
        <f t="shared" si="3"/>
        <v/>
      </c>
      <c r="T95" s="146" t="str">
        <f t="shared" si="4"/>
        <v/>
      </c>
      <c r="V95" s="146" t="str">
        <f t="shared" si="5"/>
        <v/>
      </c>
    </row>
    <row r="96" spans="1:28" x14ac:dyDescent="0.15">
      <c r="Q96" s="146" t="str">
        <f t="shared" si="3"/>
        <v/>
      </c>
      <c r="T96" s="146" t="str">
        <f t="shared" si="4"/>
        <v/>
      </c>
      <c r="V96" s="146" t="str">
        <f t="shared" si="5"/>
        <v/>
      </c>
    </row>
    <row r="97" spans="17:22" x14ac:dyDescent="0.15">
      <c r="Q97" s="146" t="str">
        <f t="shared" si="3"/>
        <v/>
      </c>
      <c r="T97" s="146" t="str">
        <f t="shared" si="4"/>
        <v/>
      </c>
      <c r="V97" s="146" t="str">
        <f t="shared" si="5"/>
        <v/>
      </c>
    </row>
    <row r="98" spans="17:22" x14ac:dyDescent="0.15">
      <c r="Q98" s="146" t="str">
        <f t="shared" si="3"/>
        <v/>
      </c>
      <c r="T98" s="146" t="str">
        <f t="shared" si="4"/>
        <v/>
      </c>
      <c r="V98" s="146" t="str">
        <f t="shared" si="5"/>
        <v/>
      </c>
    </row>
    <row r="99" spans="17:22" x14ac:dyDescent="0.15">
      <c r="Q99" s="146" t="str">
        <f t="shared" si="3"/>
        <v/>
      </c>
      <c r="T99" s="146" t="str">
        <f t="shared" si="4"/>
        <v/>
      </c>
      <c r="V99" s="146" t="str">
        <f t="shared" si="5"/>
        <v/>
      </c>
    </row>
    <row r="100" spans="17:22" x14ac:dyDescent="0.15">
      <c r="Q100" s="146" t="str">
        <f t="shared" si="3"/>
        <v/>
      </c>
      <c r="T100" s="146" t="str">
        <f t="shared" si="4"/>
        <v/>
      </c>
      <c r="V100" s="146" t="str">
        <f t="shared" si="5"/>
        <v/>
      </c>
    </row>
    <row r="101" spans="17:22" x14ac:dyDescent="0.15">
      <c r="Q101" s="146" t="str">
        <f t="shared" si="3"/>
        <v/>
      </c>
      <c r="T101" s="146" t="str">
        <f t="shared" si="4"/>
        <v/>
      </c>
      <c r="V101" s="146" t="str">
        <f t="shared" si="5"/>
        <v/>
      </c>
    </row>
    <row r="102" spans="17:22" x14ac:dyDescent="0.15">
      <c r="Q102" s="146" t="str">
        <f t="shared" si="3"/>
        <v/>
      </c>
      <c r="T102" s="146" t="str">
        <f t="shared" si="4"/>
        <v/>
      </c>
      <c r="V102" s="146" t="str">
        <f t="shared" si="5"/>
        <v/>
      </c>
    </row>
    <row r="103" spans="17:22" x14ac:dyDescent="0.15">
      <c r="Q103" s="146" t="str">
        <f t="shared" si="3"/>
        <v/>
      </c>
      <c r="V103" s="146" t="str">
        <f t="shared" si="5"/>
        <v/>
      </c>
    </row>
    <row r="104" spans="17:22" x14ac:dyDescent="0.15">
      <c r="Q104" s="146" t="str">
        <f t="shared" si="3"/>
        <v/>
      </c>
      <c r="V104" s="146" t="str">
        <f t="shared" si="5"/>
        <v/>
      </c>
    </row>
    <row r="105" spans="17:22" x14ac:dyDescent="0.15">
      <c r="V105" s="146" t="str">
        <f t="shared" si="5"/>
        <v/>
      </c>
    </row>
    <row r="106" spans="17:22" x14ac:dyDescent="0.15">
      <c r="V106" s="146" t="str">
        <f t="shared" si="5"/>
        <v/>
      </c>
    </row>
    <row r="107" spans="17:22" x14ac:dyDescent="0.15">
      <c r="V107" s="146" t="str">
        <f t="shared" si="5"/>
        <v/>
      </c>
    </row>
    <row r="108" spans="17:22" x14ac:dyDescent="0.15">
      <c r="V108" s="146" t="str">
        <f t="shared" si="5"/>
        <v/>
      </c>
    </row>
    <row r="109" spans="17:22" x14ac:dyDescent="0.15">
      <c r="V109" s="146" t="str">
        <f t="shared" si="5"/>
        <v/>
      </c>
    </row>
    <row r="110" spans="17:22" x14ac:dyDescent="0.15">
      <c r="V110" s="146" t="str">
        <f t="shared" si="5"/>
        <v/>
      </c>
    </row>
    <row r="111" spans="17:22" x14ac:dyDescent="0.15">
      <c r="V111" s="146" t="str">
        <f t="shared" si="5"/>
        <v/>
      </c>
    </row>
    <row r="112" spans="17:22" x14ac:dyDescent="0.15">
      <c r="V112" s="146" t="str">
        <f t="shared" si="5"/>
        <v/>
      </c>
    </row>
    <row r="113" spans="22:22" x14ac:dyDescent="0.15">
      <c r="V113" s="146" t="str">
        <f t="shared" si="5"/>
        <v/>
      </c>
    </row>
    <row r="114" spans="22:22" x14ac:dyDescent="0.15">
      <c r="V114" s="146" t="str">
        <f t="shared" si="5"/>
        <v/>
      </c>
    </row>
  </sheetData>
  <autoFilter ref="A1:BA114" xr:uid="{00000000-0009-0000-0000-000002000000}"/>
  <phoneticPr fontId="3"/>
  <dataValidations count="21">
    <dataValidation type="decimal" allowBlank="1" showInputMessage="1" showErrorMessage="1" error="硬度を正しく入力して下さい。" sqref="O2:P50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xr:uid="{55D8010A-A638-4CC4-A505-E06090FA7DDA}">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5D434092-9297-4102-AD5A-793CD43C4C05}">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B630C48C-8796-40A6-B24A-B4FE6DAED0E3}">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3C915151-DAC1-49F9-B7F1-2F29A3ACA615}">
      <formula1>$AP$2:$AP$12</formula1>
    </dataValidation>
    <dataValidation type="list" allowBlank="1" showInputMessage="1" showErrorMessage="1" sqref="WVR983042:WVR983140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J56:J100 J2:J52" xr:uid="{4DB2662E-F931-4FB0-A3A8-5485CF4F2ECD}">
      <formula1>$AP$2:$AP$27</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F6A1DCB3-4574-4076-84DC-F6C94B6A4500}">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7D3E3D01-64C0-4B7F-937E-3B49B53E3EE8}">
      <formula1>$AL$5:$AL$12</formula1>
    </dataValidation>
    <dataValidation type="list" allowBlank="1" showInputMessage="1" showErrorMessage="1" sqref="H2:H1254" xr:uid="{C850D52A-48ED-4B2E-A8F5-5731EA3E08A8}">
      <formula1>$AL$2:$AL$9</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8BE24750-0A68-45C9-B3DB-DF0C698ADAB4}">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0D5CB10F-D269-4CA1-96FB-FA1F2424F389}">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689D9968-62A4-4B19-BAAA-FB6B4597F10B}"/>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6CD43778-CDE8-4457-9A1B-ABAE7A0E95A8}">
      <formula1>$AE$2:$AE$19</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6F3098F0-BCD0-49E4-A331-2C3E5ABD6D6C}">
      <formula1>$AV$2:$AV$21</formula1>
    </dataValidation>
    <dataValidation type="list" allowBlank="1" showInputMessage="1" showErrorMessage="1" sqref="K2:K52 K56:K450" xr:uid="{5CCAF032-FD9A-40CD-906C-AF27A49D1F46}">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7F549CC6-D92E-46AE-B9D2-3245672196C1}">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B03AE168-ADE3-4A62-ACBB-FE18ECE3A592}">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7D73E036-50B0-4B29-8FDC-F525F02484A9}">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1BA7B36E-9264-4D0F-906F-83018BCEC7FE}">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CDDE8312-5285-4EFF-AF27-1BFC4620AF5C}">
      <formula1>$AE$2:$AE$16</formula1>
    </dataValidation>
    <dataValidation type="list" allowBlank="1" showInputMessage="1" showErrorMessage="1" sqref="J53:J55" xr:uid="{F78BC7CB-EF28-46B6-9B5C-CA2263972494}">
      <formula1>$AP$2:$AP$28</formula1>
    </dataValidation>
    <dataValidation type="list" allowBlank="1" showInputMessage="1" showErrorMessage="1" sqref="K53:K55" xr:uid="{A44C5B18-4C86-485D-8328-CFB45E1B6C94}">
      <formula1>$AR$2:$AR$27</formula1>
    </dataValidation>
  </dataValidations>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A845-120F-404C-86B6-1EEA03ED7468}">
  <dimension ref="A1:BA91"/>
  <sheetViews>
    <sheetView zoomScale="70" zoomScaleNormal="70" workbookViewId="0"/>
  </sheetViews>
  <sheetFormatPr defaultColWidth="9" defaultRowHeight="13.5" x14ac:dyDescent="0.15"/>
  <cols>
    <col min="1" max="3" width="9" style="13"/>
    <col min="4" max="4" width="10.5" style="13" customWidth="1"/>
    <col min="5" max="16" width="9" style="13"/>
    <col min="17" max="17" width="9" style="21"/>
    <col min="18" max="18" width="9" style="13"/>
    <col min="19" max="19" width="9.5" style="13" customWidth="1"/>
    <col min="20" max="20" width="9" style="21"/>
    <col min="21" max="21" width="9" style="13"/>
    <col min="22" max="22" width="9" style="21"/>
    <col min="23" max="23" width="10.5" style="13" customWidth="1"/>
    <col min="24" max="32" width="9" style="13"/>
    <col min="33" max="33" width="19.625" style="13" customWidth="1"/>
    <col min="34" max="34" width="9.375" style="13" customWidth="1"/>
    <col min="35" max="259" width="9" style="13"/>
    <col min="260" max="260" width="10.5" style="13" customWidth="1"/>
    <col min="261" max="274" width="9" style="13"/>
    <col min="275" max="275" width="9.5" style="13" customWidth="1"/>
    <col min="276" max="278" width="9" style="13"/>
    <col min="279" max="279" width="10.5" style="13" customWidth="1"/>
    <col min="280" max="515" width="9" style="13"/>
    <col min="516" max="516" width="10.5" style="13" customWidth="1"/>
    <col min="517" max="530" width="9" style="13"/>
    <col min="531" max="531" width="9.5" style="13" customWidth="1"/>
    <col min="532" max="534" width="9" style="13"/>
    <col min="535" max="535" width="10.5" style="13" customWidth="1"/>
    <col min="536" max="771" width="9" style="13"/>
    <col min="772" max="772" width="10.5" style="13" customWidth="1"/>
    <col min="773" max="786" width="9" style="13"/>
    <col min="787" max="787" width="9.5" style="13" customWidth="1"/>
    <col min="788" max="790" width="9" style="13"/>
    <col min="791" max="791" width="10.5" style="13" customWidth="1"/>
    <col min="792" max="1027" width="9" style="13"/>
    <col min="1028" max="1028" width="10.5" style="13" customWidth="1"/>
    <col min="1029" max="1042" width="9" style="13"/>
    <col min="1043" max="1043" width="9.5" style="13" customWidth="1"/>
    <col min="1044" max="1046" width="9" style="13"/>
    <col min="1047" max="1047" width="10.5" style="13" customWidth="1"/>
    <col min="1048" max="1283" width="9" style="13"/>
    <col min="1284" max="1284" width="10.5" style="13" customWidth="1"/>
    <col min="1285" max="1298" width="9" style="13"/>
    <col min="1299" max="1299" width="9.5" style="13" customWidth="1"/>
    <col min="1300" max="1302" width="9" style="13"/>
    <col min="1303" max="1303" width="10.5" style="13" customWidth="1"/>
    <col min="1304" max="1539" width="9" style="13"/>
    <col min="1540" max="1540" width="10.5" style="13" customWidth="1"/>
    <col min="1541" max="1554" width="9" style="13"/>
    <col min="1555" max="1555" width="9.5" style="13" customWidth="1"/>
    <col min="1556" max="1558" width="9" style="13"/>
    <col min="1559" max="1559" width="10.5" style="13" customWidth="1"/>
    <col min="1560" max="1795" width="9" style="13"/>
    <col min="1796" max="1796" width="10.5" style="13" customWidth="1"/>
    <col min="1797" max="1810" width="9" style="13"/>
    <col min="1811" max="1811" width="9.5" style="13" customWidth="1"/>
    <col min="1812" max="1814" width="9" style="13"/>
    <col min="1815" max="1815" width="10.5" style="13" customWidth="1"/>
    <col min="1816" max="2051" width="9" style="13"/>
    <col min="2052" max="2052" width="10.5" style="13" customWidth="1"/>
    <col min="2053" max="2066" width="9" style="13"/>
    <col min="2067" max="2067" width="9.5" style="13" customWidth="1"/>
    <col min="2068" max="2070" width="9" style="13"/>
    <col min="2071" max="2071" width="10.5" style="13" customWidth="1"/>
    <col min="2072" max="2307" width="9" style="13"/>
    <col min="2308" max="2308" width="10.5" style="13" customWidth="1"/>
    <col min="2309" max="2322" width="9" style="13"/>
    <col min="2323" max="2323" width="9.5" style="13" customWidth="1"/>
    <col min="2324" max="2326" width="9" style="13"/>
    <col min="2327" max="2327" width="10.5" style="13" customWidth="1"/>
    <col min="2328" max="2563" width="9" style="13"/>
    <col min="2564" max="2564" width="10.5" style="13" customWidth="1"/>
    <col min="2565" max="2578" width="9" style="13"/>
    <col min="2579" max="2579" width="9.5" style="13" customWidth="1"/>
    <col min="2580" max="2582" width="9" style="13"/>
    <col min="2583" max="2583" width="10.5" style="13" customWidth="1"/>
    <col min="2584" max="2819" width="9" style="13"/>
    <col min="2820" max="2820" width="10.5" style="13" customWidth="1"/>
    <col min="2821" max="2834" width="9" style="13"/>
    <col min="2835" max="2835" width="9.5" style="13" customWidth="1"/>
    <col min="2836" max="2838" width="9" style="13"/>
    <col min="2839" max="2839" width="10.5" style="13" customWidth="1"/>
    <col min="2840" max="3075" width="9" style="13"/>
    <col min="3076" max="3076" width="10.5" style="13" customWidth="1"/>
    <col min="3077" max="3090" width="9" style="13"/>
    <col min="3091" max="3091" width="9.5" style="13" customWidth="1"/>
    <col min="3092" max="3094" width="9" style="13"/>
    <col min="3095" max="3095" width="10.5" style="13" customWidth="1"/>
    <col min="3096" max="3331" width="9" style="13"/>
    <col min="3332" max="3332" width="10.5" style="13" customWidth="1"/>
    <col min="3333" max="3346" width="9" style="13"/>
    <col min="3347" max="3347" width="9.5" style="13" customWidth="1"/>
    <col min="3348" max="3350" width="9" style="13"/>
    <col min="3351" max="3351" width="10.5" style="13" customWidth="1"/>
    <col min="3352" max="3587" width="9" style="13"/>
    <col min="3588" max="3588" width="10.5" style="13" customWidth="1"/>
    <col min="3589" max="3602" width="9" style="13"/>
    <col min="3603" max="3603" width="9.5" style="13" customWidth="1"/>
    <col min="3604" max="3606" width="9" style="13"/>
    <col min="3607" max="3607" width="10.5" style="13" customWidth="1"/>
    <col min="3608" max="3843" width="9" style="13"/>
    <col min="3844" max="3844" width="10.5" style="13" customWidth="1"/>
    <col min="3845" max="3858" width="9" style="13"/>
    <col min="3859" max="3859" width="9.5" style="13" customWidth="1"/>
    <col min="3860" max="3862" width="9" style="13"/>
    <col min="3863" max="3863" width="10.5" style="13" customWidth="1"/>
    <col min="3864" max="4099" width="9" style="13"/>
    <col min="4100" max="4100" width="10.5" style="13" customWidth="1"/>
    <col min="4101" max="4114" width="9" style="13"/>
    <col min="4115" max="4115" width="9.5" style="13" customWidth="1"/>
    <col min="4116" max="4118" width="9" style="13"/>
    <col min="4119" max="4119" width="10.5" style="13" customWidth="1"/>
    <col min="4120" max="4355" width="9" style="13"/>
    <col min="4356" max="4356" width="10.5" style="13" customWidth="1"/>
    <col min="4357" max="4370" width="9" style="13"/>
    <col min="4371" max="4371" width="9.5" style="13" customWidth="1"/>
    <col min="4372" max="4374" width="9" style="13"/>
    <col min="4375" max="4375" width="10.5" style="13" customWidth="1"/>
    <col min="4376" max="4611" width="9" style="13"/>
    <col min="4612" max="4612" width="10.5" style="13" customWidth="1"/>
    <col min="4613" max="4626" width="9" style="13"/>
    <col min="4627" max="4627" width="9.5" style="13" customWidth="1"/>
    <col min="4628" max="4630" width="9" style="13"/>
    <col min="4631" max="4631" width="10.5" style="13" customWidth="1"/>
    <col min="4632" max="4867" width="9" style="13"/>
    <col min="4868" max="4868" width="10.5" style="13" customWidth="1"/>
    <col min="4869" max="4882" width="9" style="13"/>
    <col min="4883" max="4883" width="9.5" style="13" customWidth="1"/>
    <col min="4884" max="4886" width="9" style="13"/>
    <col min="4887" max="4887" width="10.5" style="13" customWidth="1"/>
    <col min="4888" max="5123" width="9" style="13"/>
    <col min="5124" max="5124" width="10.5" style="13" customWidth="1"/>
    <col min="5125" max="5138" width="9" style="13"/>
    <col min="5139" max="5139" width="9.5" style="13" customWidth="1"/>
    <col min="5140" max="5142" width="9" style="13"/>
    <col min="5143" max="5143" width="10.5" style="13" customWidth="1"/>
    <col min="5144" max="5379" width="9" style="13"/>
    <col min="5380" max="5380" width="10.5" style="13" customWidth="1"/>
    <col min="5381" max="5394" width="9" style="13"/>
    <col min="5395" max="5395" width="9.5" style="13" customWidth="1"/>
    <col min="5396" max="5398" width="9" style="13"/>
    <col min="5399" max="5399" width="10.5" style="13" customWidth="1"/>
    <col min="5400" max="5635" width="9" style="13"/>
    <col min="5636" max="5636" width="10.5" style="13" customWidth="1"/>
    <col min="5637" max="5650" width="9" style="13"/>
    <col min="5651" max="5651" width="9.5" style="13" customWidth="1"/>
    <col min="5652" max="5654" width="9" style="13"/>
    <col min="5655" max="5655" width="10.5" style="13" customWidth="1"/>
    <col min="5656" max="5891" width="9" style="13"/>
    <col min="5892" max="5892" width="10.5" style="13" customWidth="1"/>
    <col min="5893" max="5906" width="9" style="13"/>
    <col min="5907" max="5907" width="9.5" style="13" customWidth="1"/>
    <col min="5908" max="5910" width="9" style="13"/>
    <col min="5911" max="5911" width="10.5" style="13" customWidth="1"/>
    <col min="5912" max="6147" width="9" style="13"/>
    <col min="6148" max="6148" width="10.5" style="13" customWidth="1"/>
    <col min="6149" max="6162" width="9" style="13"/>
    <col min="6163" max="6163" width="9.5" style="13" customWidth="1"/>
    <col min="6164" max="6166" width="9" style="13"/>
    <col min="6167" max="6167" width="10.5" style="13" customWidth="1"/>
    <col min="6168" max="6403" width="9" style="13"/>
    <col min="6404" max="6404" width="10.5" style="13" customWidth="1"/>
    <col min="6405" max="6418" width="9" style="13"/>
    <col min="6419" max="6419" width="9.5" style="13" customWidth="1"/>
    <col min="6420" max="6422" width="9" style="13"/>
    <col min="6423" max="6423" width="10.5" style="13" customWidth="1"/>
    <col min="6424" max="6659" width="9" style="13"/>
    <col min="6660" max="6660" width="10.5" style="13" customWidth="1"/>
    <col min="6661" max="6674" width="9" style="13"/>
    <col min="6675" max="6675" width="9.5" style="13" customWidth="1"/>
    <col min="6676" max="6678" width="9" style="13"/>
    <col min="6679" max="6679" width="10.5" style="13" customWidth="1"/>
    <col min="6680" max="6915" width="9" style="13"/>
    <col min="6916" max="6916" width="10.5" style="13" customWidth="1"/>
    <col min="6917" max="6930" width="9" style="13"/>
    <col min="6931" max="6931" width="9.5" style="13" customWidth="1"/>
    <col min="6932" max="6934" width="9" style="13"/>
    <col min="6935" max="6935" width="10.5" style="13" customWidth="1"/>
    <col min="6936" max="7171" width="9" style="13"/>
    <col min="7172" max="7172" width="10.5" style="13" customWidth="1"/>
    <col min="7173" max="7186" width="9" style="13"/>
    <col min="7187" max="7187" width="9.5" style="13" customWidth="1"/>
    <col min="7188" max="7190" width="9" style="13"/>
    <col min="7191" max="7191" width="10.5" style="13" customWidth="1"/>
    <col min="7192" max="7427" width="9" style="13"/>
    <col min="7428" max="7428" width="10.5" style="13" customWidth="1"/>
    <col min="7429" max="7442" width="9" style="13"/>
    <col min="7443" max="7443" width="9.5" style="13" customWidth="1"/>
    <col min="7444" max="7446" width="9" style="13"/>
    <col min="7447" max="7447" width="10.5" style="13" customWidth="1"/>
    <col min="7448" max="7683" width="9" style="13"/>
    <col min="7684" max="7684" width="10.5" style="13" customWidth="1"/>
    <col min="7685" max="7698" width="9" style="13"/>
    <col min="7699" max="7699" width="9.5" style="13" customWidth="1"/>
    <col min="7700" max="7702" width="9" style="13"/>
    <col min="7703" max="7703" width="10.5" style="13" customWidth="1"/>
    <col min="7704" max="7939" width="9" style="13"/>
    <col min="7940" max="7940" width="10.5" style="13" customWidth="1"/>
    <col min="7941" max="7954" width="9" style="13"/>
    <col min="7955" max="7955" width="9.5" style="13" customWidth="1"/>
    <col min="7956" max="7958" width="9" style="13"/>
    <col min="7959" max="7959" width="10.5" style="13" customWidth="1"/>
    <col min="7960" max="8195" width="9" style="13"/>
    <col min="8196" max="8196" width="10.5" style="13" customWidth="1"/>
    <col min="8197" max="8210" width="9" style="13"/>
    <col min="8211" max="8211" width="9.5" style="13" customWidth="1"/>
    <col min="8212" max="8214" width="9" style="13"/>
    <col min="8215" max="8215" width="10.5" style="13" customWidth="1"/>
    <col min="8216" max="8451" width="9" style="13"/>
    <col min="8452" max="8452" width="10.5" style="13" customWidth="1"/>
    <col min="8453" max="8466" width="9" style="13"/>
    <col min="8467" max="8467" width="9.5" style="13" customWidth="1"/>
    <col min="8468" max="8470" width="9" style="13"/>
    <col min="8471" max="8471" width="10.5" style="13" customWidth="1"/>
    <col min="8472" max="8707" width="9" style="13"/>
    <col min="8708" max="8708" width="10.5" style="13" customWidth="1"/>
    <col min="8709" max="8722" width="9" style="13"/>
    <col min="8723" max="8723" width="9.5" style="13" customWidth="1"/>
    <col min="8724" max="8726" width="9" style="13"/>
    <col min="8727" max="8727" width="10.5" style="13" customWidth="1"/>
    <col min="8728" max="8963" width="9" style="13"/>
    <col min="8964" max="8964" width="10.5" style="13" customWidth="1"/>
    <col min="8965" max="8978" width="9" style="13"/>
    <col min="8979" max="8979" width="9.5" style="13" customWidth="1"/>
    <col min="8980" max="8982" width="9" style="13"/>
    <col min="8983" max="8983" width="10.5" style="13" customWidth="1"/>
    <col min="8984" max="9219" width="9" style="13"/>
    <col min="9220" max="9220" width="10.5" style="13" customWidth="1"/>
    <col min="9221" max="9234" width="9" style="13"/>
    <col min="9235" max="9235" width="9.5" style="13" customWidth="1"/>
    <col min="9236" max="9238" width="9" style="13"/>
    <col min="9239" max="9239" width="10.5" style="13" customWidth="1"/>
    <col min="9240" max="9475" width="9" style="13"/>
    <col min="9476" max="9476" width="10.5" style="13" customWidth="1"/>
    <col min="9477" max="9490" width="9" style="13"/>
    <col min="9491" max="9491" width="9.5" style="13" customWidth="1"/>
    <col min="9492" max="9494" width="9" style="13"/>
    <col min="9495" max="9495" width="10.5" style="13" customWidth="1"/>
    <col min="9496" max="9731" width="9" style="13"/>
    <col min="9732" max="9732" width="10.5" style="13" customWidth="1"/>
    <col min="9733" max="9746" width="9" style="13"/>
    <col min="9747" max="9747" width="9.5" style="13" customWidth="1"/>
    <col min="9748" max="9750" width="9" style="13"/>
    <col min="9751" max="9751" width="10.5" style="13" customWidth="1"/>
    <col min="9752" max="9987" width="9" style="13"/>
    <col min="9988" max="9988" width="10.5" style="13" customWidth="1"/>
    <col min="9989" max="10002" width="9" style="13"/>
    <col min="10003" max="10003" width="9.5" style="13" customWidth="1"/>
    <col min="10004" max="10006" width="9" style="13"/>
    <col min="10007" max="10007" width="10.5" style="13" customWidth="1"/>
    <col min="10008" max="10243" width="9" style="13"/>
    <col min="10244" max="10244" width="10.5" style="13" customWidth="1"/>
    <col min="10245" max="10258" width="9" style="13"/>
    <col min="10259" max="10259" width="9.5" style="13" customWidth="1"/>
    <col min="10260" max="10262" width="9" style="13"/>
    <col min="10263" max="10263" width="10.5" style="13" customWidth="1"/>
    <col min="10264" max="10499" width="9" style="13"/>
    <col min="10500" max="10500" width="10.5" style="13" customWidth="1"/>
    <col min="10501" max="10514" width="9" style="13"/>
    <col min="10515" max="10515" width="9.5" style="13" customWidth="1"/>
    <col min="10516" max="10518" width="9" style="13"/>
    <col min="10519" max="10519" width="10.5" style="13" customWidth="1"/>
    <col min="10520" max="10755" width="9" style="13"/>
    <col min="10756" max="10756" width="10.5" style="13" customWidth="1"/>
    <col min="10757" max="10770" width="9" style="13"/>
    <col min="10771" max="10771" width="9.5" style="13" customWidth="1"/>
    <col min="10772" max="10774" width="9" style="13"/>
    <col min="10775" max="10775" width="10.5" style="13" customWidth="1"/>
    <col min="10776" max="11011" width="9" style="13"/>
    <col min="11012" max="11012" width="10.5" style="13" customWidth="1"/>
    <col min="11013" max="11026" width="9" style="13"/>
    <col min="11027" max="11027" width="9.5" style="13" customWidth="1"/>
    <col min="11028" max="11030" width="9" style="13"/>
    <col min="11031" max="11031" width="10.5" style="13" customWidth="1"/>
    <col min="11032" max="11267" width="9" style="13"/>
    <col min="11268" max="11268" width="10.5" style="13" customWidth="1"/>
    <col min="11269" max="11282" width="9" style="13"/>
    <col min="11283" max="11283" width="9.5" style="13" customWidth="1"/>
    <col min="11284" max="11286" width="9" style="13"/>
    <col min="11287" max="11287" width="10.5" style="13" customWidth="1"/>
    <col min="11288" max="11523" width="9" style="13"/>
    <col min="11524" max="11524" width="10.5" style="13" customWidth="1"/>
    <col min="11525" max="11538" width="9" style="13"/>
    <col min="11539" max="11539" width="9.5" style="13" customWidth="1"/>
    <col min="11540" max="11542" width="9" style="13"/>
    <col min="11543" max="11543" width="10.5" style="13" customWidth="1"/>
    <col min="11544" max="11779" width="9" style="13"/>
    <col min="11780" max="11780" width="10.5" style="13" customWidth="1"/>
    <col min="11781" max="11794" width="9" style="13"/>
    <col min="11795" max="11795" width="9.5" style="13" customWidth="1"/>
    <col min="11796" max="11798" width="9" style="13"/>
    <col min="11799" max="11799" width="10.5" style="13" customWidth="1"/>
    <col min="11800" max="12035" width="9" style="13"/>
    <col min="12036" max="12036" width="10.5" style="13" customWidth="1"/>
    <col min="12037" max="12050" width="9" style="13"/>
    <col min="12051" max="12051" width="9.5" style="13" customWidth="1"/>
    <col min="12052" max="12054" width="9" style="13"/>
    <col min="12055" max="12055" width="10.5" style="13" customWidth="1"/>
    <col min="12056" max="12291" width="9" style="13"/>
    <col min="12292" max="12292" width="10.5" style="13" customWidth="1"/>
    <col min="12293" max="12306" width="9" style="13"/>
    <col min="12307" max="12307" width="9.5" style="13" customWidth="1"/>
    <col min="12308" max="12310" width="9" style="13"/>
    <col min="12311" max="12311" width="10.5" style="13" customWidth="1"/>
    <col min="12312" max="12547" width="9" style="13"/>
    <col min="12548" max="12548" width="10.5" style="13" customWidth="1"/>
    <col min="12549" max="12562" width="9" style="13"/>
    <col min="12563" max="12563" width="9.5" style="13" customWidth="1"/>
    <col min="12564" max="12566" width="9" style="13"/>
    <col min="12567" max="12567" width="10.5" style="13" customWidth="1"/>
    <col min="12568" max="12803" width="9" style="13"/>
    <col min="12804" max="12804" width="10.5" style="13" customWidth="1"/>
    <col min="12805" max="12818" width="9" style="13"/>
    <col min="12819" max="12819" width="9.5" style="13" customWidth="1"/>
    <col min="12820" max="12822" width="9" style="13"/>
    <col min="12823" max="12823" width="10.5" style="13" customWidth="1"/>
    <col min="12824" max="13059" width="9" style="13"/>
    <col min="13060" max="13060" width="10.5" style="13" customWidth="1"/>
    <col min="13061" max="13074" width="9" style="13"/>
    <col min="13075" max="13075" width="9.5" style="13" customWidth="1"/>
    <col min="13076" max="13078" width="9" style="13"/>
    <col min="13079" max="13079" width="10.5" style="13" customWidth="1"/>
    <col min="13080" max="13315" width="9" style="13"/>
    <col min="13316" max="13316" width="10.5" style="13" customWidth="1"/>
    <col min="13317" max="13330" width="9" style="13"/>
    <col min="13331" max="13331" width="9.5" style="13" customWidth="1"/>
    <col min="13332" max="13334" width="9" style="13"/>
    <col min="13335" max="13335" width="10.5" style="13" customWidth="1"/>
    <col min="13336" max="13571" width="9" style="13"/>
    <col min="13572" max="13572" width="10.5" style="13" customWidth="1"/>
    <col min="13573" max="13586" width="9" style="13"/>
    <col min="13587" max="13587" width="9.5" style="13" customWidth="1"/>
    <col min="13588" max="13590" width="9" style="13"/>
    <col min="13591" max="13591" width="10.5" style="13" customWidth="1"/>
    <col min="13592" max="13827" width="9" style="13"/>
    <col min="13828" max="13828" width="10.5" style="13" customWidth="1"/>
    <col min="13829" max="13842" width="9" style="13"/>
    <col min="13843" max="13843" width="9.5" style="13" customWidth="1"/>
    <col min="13844" max="13846" width="9" style="13"/>
    <col min="13847" max="13847" width="10.5" style="13" customWidth="1"/>
    <col min="13848" max="14083" width="9" style="13"/>
    <col min="14084" max="14084" width="10.5" style="13" customWidth="1"/>
    <col min="14085" max="14098" width="9" style="13"/>
    <col min="14099" max="14099" width="9.5" style="13" customWidth="1"/>
    <col min="14100" max="14102" width="9" style="13"/>
    <col min="14103" max="14103" width="10.5" style="13" customWidth="1"/>
    <col min="14104" max="14339" width="9" style="13"/>
    <col min="14340" max="14340" width="10.5" style="13" customWidth="1"/>
    <col min="14341" max="14354" width="9" style="13"/>
    <col min="14355" max="14355" width="9.5" style="13" customWidth="1"/>
    <col min="14356" max="14358" width="9" style="13"/>
    <col min="14359" max="14359" width="10.5" style="13" customWidth="1"/>
    <col min="14360" max="14595" width="9" style="13"/>
    <col min="14596" max="14596" width="10.5" style="13" customWidth="1"/>
    <col min="14597" max="14610" width="9" style="13"/>
    <col min="14611" max="14611" width="9.5" style="13" customWidth="1"/>
    <col min="14612" max="14614" width="9" style="13"/>
    <col min="14615" max="14615" width="10.5" style="13" customWidth="1"/>
    <col min="14616" max="14851" width="9" style="13"/>
    <col min="14852" max="14852" width="10.5" style="13" customWidth="1"/>
    <col min="14853" max="14866" width="9" style="13"/>
    <col min="14867" max="14867" width="9.5" style="13" customWidth="1"/>
    <col min="14868" max="14870" width="9" style="13"/>
    <col min="14871" max="14871" width="10.5" style="13" customWidth="1"/>
    <col min="14872" max="15107" width="9" style="13"/>
    <col min="15108" max="15108" width="10.5" style="13" customWidth="1"/>
    <col min="15109" max="15122" width="9" style="13"/>
    <col min="15123" max="15123" width="9.5" style="13" customWidth="1"/>
    <col min="15124" max="15126" width="9" style="13"/>
    <col min="15127" max="15127" width="10.5" style="13" customWidth="1"/>
    <col min="15128" max="15363" width="9" style="13"/>
    <col min="15364" max="15364" width="10.5" style="13" customWidth="1"/>
    <col min="15365" max="15378" width="9" style="13"/>
    <col min="15379" max="15379" width="9.5" style="13" customWidth="1"/>
    <col min="15380" max="15382" width="9" style="13"/>
    <col min="15383" max="15383" width="10.5" style="13" customWidth="1"/>
    <col min="15384" max="15619" width="9" style="13"/>
    <col min="15620" max="15620" width="10.5" style="13" customWidth="1"/>
    <col min="15621" max="15634" width="9" style="13"/>
    <col min="15635" max="15635" width="9.5" style="13" customWidth="1"/>
    <col min="15636" max="15638" width="9" style="13"/>
    <col min="15639" max="15639" width="10.5" style="13" customWidth="1"/>
    <col min="15640" max="15875" width="9" style="13"/>
    <col min="15876" max="15876" width="10.5" style="13" customWidth="1"/>
    <col min="15877" max="15890" width="9" style="13"/>
    <col min="15891" max="15891" width="9.5" style="13" customWidth="1"/>
    <col min="15892" max="15894" width="9" style="13"/>
    <col min="15895" max="15895" width="10.5" style="13" customWidth="1"/>
    <col min="15896" max="16131" width="9" style="13"/>
    <col min="16132" max="16132" width="10.5" style="13" customWidth="1"/>
    <col min="16133" max="16146" width="9" style="13"/>
    <col min="16147" max="16147" width="9.5" style="13" customWidth="1"/>
    <col min="16148" max="16150" width="9" style="13"/>
    <col min="16151" max="16151" width="10.5" style="13" customWidth="1"/>
    <col min="16152" max="16384" width="9" style="13"/>
  </cols>
  <sheetData>
    <row r="1" spans="1:53" ht="45" x14ac:dyDescent="0.15">
      <c r="A1" s="8" t="s">
        <v>0</v>
      </c>
      <c r="B1" s="87" t="s">
        <v>153</v>
      </c>
      <c r="C1" s="87" t="s">
        <v>154</v>
      </c>
      <c r="D1" s="88" t="s">
        <v>3</v>
      </c>
      <c r="E1" s="9" t="s">
        <v>4</v>
      </c>
      <c r="F1" s="9" t="s">
        <v>5</v>
      </c>
      <c r="G1" s="9" t="s">
        <v>6</v>
      </c>
      <c r="H1" s="9" t="s">
        <v>7</v>
      </c>
      <c r="I1" s="9" t="s">
        <v>8</v>
      </c>
      <c r="J1" s="9" t="s">
        <v>9</v>
      </c>
      <c r="K1" s="9" t="s">
        <v>10</v>
      </c>
      <c r="L1" s="88" t="s">
        <v>155</v>
      </c>
      <c r="M1" s="88" t="s">
        <v>156</v>
      </c>
      <c r="N1" s="88" t="s">
        <v>13</v>
      </c>
      <c r="O1" s="88" t="s">
        <v>157</v>
      </c>
      <c r="P1" s="88" t="s">
        <v>158</v>
      </c>
      <c r="Q1" s="10" t="s">
        <v>159</v>
      </c>
      <c r="R1" s="88" t="s">
        <v>160</v>
      </c>
      <c r="S1" s="88" t="s">
        <v>161</v>
      </c>
      <c r="T1" s="10" t="s">
        <v>19</v>
      </c>
      <c r="U1" s="89" t="s">
        <v>108</v>
      </c>
      <c r="V1" s="11" t="s">
        <v>20</v>
      </c>
      <c r="W1" s="88" t="s">
        <v>162</v>
      </c>
      <c r="X1" s="9" t="s">
        <v>22</v>
      </c>
      <c r="Y1" s="9" t="s">
        <v>23</v>
      </c>
      <c r="Z1" s="9" t="s">
        <v>24</v>
      </c>
      <c r="AA1" s="12" t="s">
        <v>25</v>
      </c>
      <c r="AB1" s="90" t="s">
        <v>163</v>
      </c>
      <c r="AE1" s="91" t="s">
        <v>0</v>
      </c>
      <c r="AF1" s="92"/>
      <c r="AG1" s="91" t="s">
        <v>4</v>
      </c>
      <c r="AH1" s="91" t="s">
        <v>5</v>
      </c>
      <c r="AI1" s="92"/>
      <c r="AJ1" s="91" t="s">
        <v>6</v>
      </c>
      <c r="AK1" s="92"/>
      <c r="AL1" s="14" t="s">
        <v>7</v>
      </c>
      <c r="AM1" s="92"/>
      <c r="AN1" s="14" t="s">
        <v>8</v>
      </c>
      <c r="AO1" s="92"/>
      <c r="AP1" s="14" t="s">
        <v>27</v>
      </c>
      <c r="AQ1" s="92"/>
      <c r="AR1" s="14" t="s">
        <v>10</v>
      </c>
      <c r="AS1" s="92"/>
      <c r="AT1" s="15" t="s">
        <v>164</v>
      </c>
      <c r="AU1" s="92"/>
      <c r="AV1" s="14" t="s">
        <v>29</v>
      </c>
      <c r="AX1" s="16" t="s">
        <v>165</v>
      </c>
      <c r="AY1" s="17" t="s">
        <v>166</v>
      </c>
      <c r="AZ1" s="17" t="s">
        <v>167</v>
      </c>
      <c r="BA1" s="18" t="s">
        <v>168</v>
      </c>
    </row>
    <row r="2" spans="1:53" x14ac:dyDescent="0.15">
      <c r="A2" s="13" t="s">
        <v>51</v>
      </c>
      <c r="B2" s="13" t="s">
        <v>332</v>
      </c>
      <c r="C2" s="13">
        <v>2020</v>
      </c>
      <c r="D2" s="93" t="s">
        <v>403</v>
      </c>
      <c r="E2" s="13" t="s">
        <v>169</v>
      </c>
      <c r="F2" s="13" t="s">
        <v>381</v>
      </c>
      <c r="G2" s="13" t="s">
        <v>42</v>
      </c>
      <c r="H2" s="13" t="s">
        <v>171</v>
      </c>
      <c r="I2" s="13" t="s">
        <v>142</v>
      </c>
      <c r="J2" s="13" t="s">
        <v>53</v>
      </c>
      <c r="K2" s="13" t="s">
        <v>54</v>
      </c>
      <c r="L2" s="13">
        <v>1</v>
      </c>
      <c r="N2" s="13">
        <v>1</v>
      </c>
      <c r="O2" s="13">
        <v>0.8</v>
      </c>
      <c r="P2" s="13">
        <v>0.85</v>
      </c>
      <c r="Q2" s="94">
        <f t="shared" ref="Q2:Q65" si="0">IF(OR(O2="",P2=""),"",AVERAGE(O2,P2))</f>
        <v>0.82499999999999996</v>
      </c>
      <c r="R2" s="13">
        <v>13.9</v>
      </c>
      <c r="S2" s="13">
        <v>116</v>
      </c>
      <c r="T2" s="21">
        <f t="shared" ref="T2:T65" si="1">IF(H2="","",IF(OR(H2="GREEN",H2="GK"),IF(S2&gt;=$AX$2,VLOOKUP(S2,$AX$2:$AY$12,2,1),""),IF(S2&gt;=$AZ$2,VLOOKUP(S2,$AZ$2:$BA$12,2,1),"")))</f>
        <v>30</v>
      </c>
      <c r="U2" s="13">
        <v>98</v>
      </c>
      <c r="V2" s="95">
        <f t="shared" ref="V2:V65" si="2">IF(OR(N2="",U2="",T2=""),"",U2/N2*T2)</f>
        <v>2940</v>
      </c>
      <c r="W2" s="13">
        <v>14</v>
      </c>
      <c r="X2" s="13" t="s">
        <v>46</v>
      </c>
      <c r="Y2" s="13" t="s">
        <v>55</v>
      </c>
      <c r="Z2" s="13" t="s">
        <v>40</v>
      </c>
      <c r="AA2" s="13" t="s">
        <v>69</v>
      </c>
      <c r="AB2" s="13" t="s">
        <v>404</v>
      </c>
      <c r="AE2" s="96" t="s">
        <v>35</v>
      </c>
      <c r="AG2" s="97" t="s">
        <v>149</v>
      </c>
      <c r="AH2" s="97" t="s">
        <v>170</v>
      </c>
      <c r="AJ2" s="97" t="s">
        <v>36</v>
      </c>
      <c r="AL2" s="97" t="s">
        <v>171</v>
      </c>
      <c r="AN2" s="97" t="s">
        <v>37</v>
      </c>
      <c r="AP2" s="97" t="s">
        <v>38</v>
      </c>
      <c r="AR2" s="97" t="s">
        <v>143</v>
      </c>
      <c r="AT2" s="97" t="s">
        <v>39</v>
      </c>
      <c r="AV2" s="97" t="s">
        <v>40</v>
      </c>
      <c r="AX2" s="98">
        <v>1</v>
      </c>
      <c r="AY2" s="99">
        <v>50</v>
      </c>
      <c r="AZ2" s="99">
        <v>1</v>
      </c>
      <c r="BA2" s="100">
        <v>50</v>
      </c>
    </row>
    <row r="3" spans="1:53" x14ac:dyDescent="0.15">
      <c r="A3" s="13" t="s">
        <v>51</v>
      </c>
      <c r="B3" s="13" t="s">
        <v>332</v>
      </c>
      <c r="C3" s="13">
        <v>2020</v>
      </c>
      <c r="D3" s="93" t="s">
        <v>403</v>
      </c>
      <c r="E3" s="13" t="s">
        <v>169</v>
      </c>
      <c r="F3" s="13" t="s">
        <v>381</v>
      </c>
      <c r="G3" s="13" t="s">
        <v>42</v>
      </c>
      <c r="H3" s="13" t="s">
        <v>171</v>
      </c>
      <c r="I3" s="13" t="s">
        <v>142</v>
      </c>
      <c r="J3" s="13" t="s">
        <v>53</v>
      </c>
      <c r="K3" s="13" t="s">
        <v>54</v>
      </c>
      <c r="L3" s="13">
        <v>2</v>
      </c>
      <c r="N3" s="13">
        <v>1</v>
      </c>
      <c r="O3" s="13">
        <v>0.85</v>
      </c>
      <c r="P3" s="13">
        <v>0.75</v>
      </c>
      <c r="Q3" s="94">
        <f t="shared" si="0"/>
        <v>0.8</v>
      </c>
      <c r="R3" s="13">
        <v>14.3</v>
      </c>
      <c r="S3" s="13">
        <v>116</v>
      </c>
      <c r="T3" s="21">
        <f t="shared" si="1"/>
        <v>30</v>
      </c>
      <c r="U3" s="13">
        <v>98</v>
      </c>
      <c r="V3" s="95">
        <f t="shared" si="2"/>
        <v>2940</v>
      </c>
      <c r="W3" s="13">
        <v>14</v>
      </c>
      <c r="X3" s="13" t="s">
        <v>46</v>
      </c>
      <c r="Y3" s="13" t="s">
        <v>55</v>
      </c>
      <c r="Z3" s="13" t="s">
        <v>40</v>
      </c>
      <c r="AA3" s="13" t="s">
        <v>69</v>
      </c>
      <c r="AB3" s="13" t="s">
        <v>404</v>
      </c>
      <c r="AE3" s="19" t="s">
        <v>41</v>
      </c>
      <c r="AG3" s="97" t="s">
        <v>172</v>
      </c>
      <c r="AH3" s="97" t="s">
        <v>173</v>
      </c>
      <c r="AJ3" s="101" t="s">
        <v>42</v>
      </c>
      <c r="AL3" s="101" t="s">
        <v>174</v>
      </c>
      <c r="AN3" s="101" t="s">
        <v>43</v>
      </c>
      <c r="AP3" s="101" t="s">
        <v>44</v>
      </c>
      <c r="AR3" s="101" t="s">
        <v>45</v>
      </c>
      <c r="AT3" s="101" t="s">
        <v>46</v>
      </c>
      <c r="AV3" s="101" t="s">
        <v>47</v>
      </c>
      <c r="AX3" s="102">
        <v>72</v>
      </c>
      <c r="AY3" s="103">
        <v>46</v>
      </c>
      <c r="AZ3" s="103">
        <v>71</v>
      </c>
      <c r="BA3" s="104">
        <v>42</v>
      </c>
    </row>
    <row r="4" spans="1:53" x14ac:dyDescent="0.15">
      <c r="A4" s="13" t="s">
        <v>51</v>
      </c>
      <c r="B4" s="13" t="s">
        <v>332</v>
      </c>
      <c r="C4" s="13">
        <v>2020</v>
      </c>
      <c r="D4" s="93" t="s">
        <v>403</v>
      </c>
      <c r="E4" s="13" t="s">
        <v>169</v>
      </c>
      <c r="F4" s="13" t="s">
        <v>381</v>
      </c>
      <c r="G4" s="13" t="s">
        <v>42</v>
      </c>
      <c r="H4" s="13" t="s">
        <v>171</v>
      </c>
      <c r="I4" s="13" t="s">
        <v>142</v>
      </c>
      <c r="J4" s="13" t="s">
        <v>53</v>
      </c>
      <c r="K4" s="13" t="s">
        <v>54</v>
      </c>
      <c r="L4" s="13">
        <v>3</v>
      </c>
      <c r="N4" s="13">
        <v>1</v>
      </c>
      <c r="O4" s="13">
        <v>0.8</v>
      </c>
      <c r="P4" s="13">
        <v>0.8</v>
      </c>
      <c r="Q4" s="94">
        <f t="shared" si="0"/>
        <v>0.8</v>
      </c>
      <c r="R4" s="13">
        <v>14.6</v>
      </c>
      <c r="S4" s="13">
        <v>118</v>
      </c>
      <c r="T4" s="21">
        <f t="shared" si="1"/>
        <v>30</v>
      </c>
      <c r="U4" s="13">
        <v>98</v>
      </c>
      <c r="V4" s="95">
        <f t="shared" si="2"/>
        <v>2940</v>
      </c>
      <c r="W4" s="13">
        <v>14</v>
      </c>
      <c r="X4" s="13" t="s">
        <v>46</v>
      </c>
      <c r="Y4" s="13" t="s">
        <v>55</v>
      </c>
      <c r="Z4" s="13" t="s">
        <v>40</v>
      </c>
      <c r="AA4" s="13" t="s">
        <v>69</v>
      </c>
      <c r="AB4" s="13" t="s">
        <v>404</v>
      </c>
      <c r="AE4" s="19" t="s">
        <v>34</v>
      </c>
      <c r="AG4" s="97" t="s">
        <v>175</v>
      </c>
      <c r="AH4" s="97" t="s">
        <v>176</v>
      </c>
      <c r="AJ4" s="105" t="s">
        <v>48</v>
      </c>
      <c r="AL4" s="105" t="s">
        <v>177</v>
      </c>
      <c r="AN4" s="106" t="s">
        <v>178</v>
      </c>
      <c r="AP4" s="101" t="s">
        <v>179</v>
      </c>
      <c r="AR4" s="101" t="s">
        <v>180</v>
      </c>
      <c r="AT4" s="106"/>
      <c r="AV4" s="101" t="s">
        <v>50</v>
      </c>
      <c r="AX4" s="102">
        <v>75</v>
      </c>
      <c r="AY4" s="103">
        <v>42</v>
      </c>
      <c r="AZ4" s="103">
        <v>76</v>
      </c>
      <c r="BA4" s="104">
        <v>39</v>
      </c>
    </row>
    <row r="5" spans="1:53" x14ac:dyDescent="0.15">
      <c r="A5" s="13" t="s">
        <v>51</v>
      </c>
      <c r="B5" s="13" t="s">
        <v>332</v>
      </c>
      <c r="C5" s="13">
        <v>2020</v>
      </c>
      <c r="D5" s="93" t="s">
        <v>403</v>
      </c>
      <c r="E5" s="13" t="s">
        <v>169</v>
      </c>
      <c r="F5" s="13" t="s">
        <v>381</v>
      </c>
      <c r="G5" s="13" t="s">
        <v>42</v>
      </c>
      <c r="H5" s="13" t="s">
        <v>171</v>
      </c>
      <c r="I5" s="13" t="s">
        <v>142</v>
      </c>
      <c r="J5" s="13" t="s">
        <v>405</v>
      </c>
      <c r="K5" s="13" t="s">
        <v>406</v>
      </c>
      <c r="L5" s="13">
        <v>1</v>
      </c>
      <c r="N5" s="13">
        <v>5</v>
      </c>
      <c r="O5" s="13">
        <v>0.55000000000000004</v>
      </c>
      <c r="P5" s="13">
        <v>0.65</v>
      </c>
      <c r="Q5" s="94">
        <f t="shared" si="0"/>
        <v>0.60000000000000009</v>
      </c>
      <c r="R5" s="13">
        <v>13.5</v>
      </c>
      <c r="S5" s="13">
        <v>108</v>
      </c>
      <c r="T5" s="21">
        <f t="shared" si="1"/>
        <v>33</v>
      </c>
      <c r="U5" s="13">
        <v>398</v>
      </c>
      <c r="V5" s="95">
        <f t="shared" si="2"/>
        <v>2626.7999999999997</v>
      </c>
      <c r="W5" s="13">
        <v>14</v>
      </c>
      <c r="X5" s="13" t="s">
        <v>46</v>
      </c>
      <c r="Y5" s="13" t="s">
        <v>55</v>
      </c>
      <c r="Z5" s="13" t="s">
        <v>40</v>
      </c>
      <c r="AA5" s="13" t="s">
        <v>69</v>
      </c>
      <c r="AB5" s="13" t="s">
        <v>404</v>
      </c>
      <c r="AE5" s="19" t="s">
        <v>51</v>
      </c>
      <c r="AG5" s="97" t="s">
        <v>181</v>
      </c>
      <c r="AH5" s="97" t="s">
        <v>382</v>
      </c>
      <c r="AJ5" s="106"/>
      <c r="AL5" s="107" t="s">
        <v>144</v>
      </c>
      <c r="AN5" s="107" t="s">
        <v>142</v>
      </c>
      <c r="AP5" s="101" t="s">
        <v>182</v>
      </c>
      <c r="AR5" s="101" t="s">
        <v>54</v>
      </c>
      <c r="AV5" s="101" t="s">
        <v>55</v>
      </c>
      <c r="AX5" s="102">
        <v>84</v>
      </c>
      <c r="AY5" s="103">
        <v>39</v>
      </c>
      <c r="AZ5" s="103">
        <v>84</v>
      </c>
      <c r="BA5" s="104">
        <v>36</v>
      </c>
    </row>
    <row r="6" spans="1:53" x14ac:dyDescent="0.15">
      <c r="A6" s="13" t="s">
        <v>51</v>
      </c>
      <c r="B6" s="13" t="s">
        <v>332</v>
      </c>
      <c r="C6" s="13">
        <v>2020</v>
      </c>
      <c r="D6" s="93" t="s">
        <v>403</v>
      </c>
      <c r="E6" s="13" t="s">
        <v>169</v>
      </c>
      <c r="F6" s="13" t="s">
        <v>381</v>
      </c>
      <c r="G6" s="13" t="s">
        <v>42</v>
      </c>
      <c r="H6" s="13" t="s">
        <v>171</v>
      </c>
      <c r="I6" s="13" t="s">
        <v>142</v>
      </c>
      <c r="J6" s="13" t="s">
        <v>405</v>
      </c>
      <c r="K6" s="13" t="s">
        <v>406</v>
      </c>
      <c r="L6" s="13">
        <v>2</v>
      </c>
      <c r="N6" s="13">
        <v>5</v>
      </c>
      <c r="O6" s="13">
        <v>1</v>
      </c>
      <c r="P6" s="13">
        <v>1.1000000000000001</v>
      </c>
      <c r="Q6" s="94">
        <f t="shared" si="0"/>
        <v>1.05</v>
      </c>
      <c r="R6" s="13">
        <v>13.9</v>
      </c>
      <c r="S6" s="13">
        <v>108</v>
      </c>
      <c r="T6" s="21">
        <f t="shared" si="1"/>
        <v>33</v>
      </c>
      <c r="U6" s="13">
        <v>398</v>
      </c>
      <c r="V6" s="95">
        <f t="shared" si="2"/>
        <v>2626.7999999999997</v>
      </c>
      <c r="W6" s="13">
        <v>14</v>
      </c>
      <c r="X6" s="13" t="s">
        <v>46</v>
      </c>
      <c r="Y6" s="13" t="s">
        <v>55</v>
      </c>
      <c r="Z6" s="13" t="s">
        <v>40</v>
      </c>
      <c r="AA6" s="13" t="s">
        <v>69</v>
      </c>
      <c r="AB6" s="13" t="s">
        <v>404</v>
      </c>
      <c r="AE6" s="19" t="s">
        <v>56</v>
      </c>
      <c r="AG6" s="97" t="s">
        <v>183</v>
      </c>
      <c r="AH6" s="97" t="s">
        <v>184</v>
      </c>
      <c r="AL6" s="107" t="s">
        <v>185</v>
      </c>
      <c r="AN6" s="107" t="s">
        <v>145</v>
      </c>
      <c r="AP6" s="101" t="s">
        <v>53</v>
      </c>
      <c r="AR6" s="101" t="s">
        <v>59</v>
      </c>
      <c r="AV6" s="101" t="s">
        <v>60</v>
      </c>
      <c r="AX6" s="102">
        <v>97</v>
      </c>
      <c r="AY6" s="103">
        <v>36</v>
      </c>
      <c r="AZ6" s="103">
        <v>99</v>
      </c>
      <c r="BA6" s="104">
        <v>33</v>
      </c>
    </row>
    <row r="7" spans="1:53" x14ac:dyDescent="0.15">
      <c r="A7" s="13" t="s">
        <v>51</v>
      </c>
      <c r="B7" s="13" t="s">
        <v>332</v>
      </c>
      <c r="C7" s="13">
        <v>2020</v>
      </c>
      <c r="D7" s="93" t="s">
        <v>403</v>
      </c>
      <c r="E7" s="13" t="s">
        <v>169</v>
      </c>
      <c r="F7" s="13" t="s">
        <v>381</v>
      </c>
      <c r="G7" s="13" t="s">
        <v>42</v>
      </c>
      <c r="H7" s="13" t="s">
        <v>171</v>
      </c>
      <c r="I7" s="13" t="s">
        <v>142</v>
      </c>
      <c r="J7" s="13" t="s">
        <v>405</v>
      </c>
      <c r="K7" s="13" t="s">
        <v>406</v>
      </c>
      <c r="L7" s="13">
        <v>3</v>
      </c>
      <c r="N7" s="13">
        <v>5</v>
      </c>
      <c r="O7" s="13">
        <v>0.6</v>
      </c>
      <c r="P7" s="13">
        <v>0.65</v>
      </c>
      <c r="Q7" s="94">
        <f t="shared" si="0"/>
        <v>0.625</v>
      </c>
      <c r="R7" s="13">
        <v>13</v>
      </c>
      <c r="S7" s="13">
        <v>100</v>
      </c>
      <c r="T7" s="21">
        <f t="shared" si="1"/>
        <v>33</v>
      </c>
      <c r="U7" s="13">
        <v>398</v>
      </c>
      <c r="V7" s="95">
        <f t="shared" si="2"/>
        <v>2626.7999999999997</v>
      </c>
      <c r="W7" s="13">
        <v>14</v>
      </c>
      <c r="X7" s="13" t="s">
        <v>46</v>
      </c>
      <c r="Y7" s="13" t="s">
        <v>55</v>
      </c>
      <c r="Z7" s="13" t="s">
        <v>40</v>
      </c>
      <c r="AA7" s="13" t="s">
        <v>69</v>
      </c>
      <c r="AB7" s="13" t="s">
        <v>404</v>
      </c>
      <c r="AE7" s="19" t="s">
        <v>61</v>
      </c>
      <c r="AG7" s="97" t="s">
        <v>186</v>
      </c>
      <c r="AH7" s="97" t="s">
        <v>170</v>
      </c>
      <c r="AL7" s="13" t="s">
        <v>187</v>
      </c>
      <c r="AP7" s="101" t="s">
        <v>58</v>
      </c>
      <c r="AR7" s="101" t="s">
        <v>188</v>
      </c>
      <c r="AV7" s="101" t="s">
        <v>64</v>
      </c>
      <c r="AX7" s="102">
        <v>109</v>
      </c>
      <c r="AY7" s="103">
        <v>33</v>
      </c>
      <c r="AZ7" s="103">
        <v>113</v>
      </c>
      <c r="BA7" s="104">
        <v>30</v>
      </c>
    </row>
    <row r="8" spans="1:53" x14ac:dyDescent="0.15">
      <c r="A8" s="13" t="s">
        <v>51</v>
      </c>
      <c r="B8" s="13" t="s">
        <v>332</v>
      </c>
      <c r="C8" s="13">
        <v>2020</v>
      </c>
      <c r="D8" s="93" t="s">
        <v>403</v>
      </c>
      <c r="E8" s="13" t="s">
        <v>169</v>
      </c>
      <c r="F8" s="13" t="s">
        <v>381</v>
      </c>
      <c r="G8" s="13" t="s">
        <v>42</v>
      </c>
      <c r="H8" s="13" t="s">
        <v>146</v>
      </c>
      <c r="I8" s="13" t="s">
        <v>142</v>
      </c>
      <c r="J8" s="13" t="s">
        <v>38</v>
      </c>
      <c r="K8" s="13" t="s">
        <v>143</v>
      </c>
      <c r="L8" s="13">
        <v>1</v>
      </c>
      <c r="N8" s="13">
        <v>1</v>
      </c>
      <c r="O8" s="13">
        <v>0.85</v>
      </c>
      <c r="P8" s="13">
        <v>1</v>
      </c>
      <c r="Q8" s="94">
        <f t="shared" si="0"/>
        <v>0.92500000000000004</v>
      </c>
      <c r="R8" s="13">
        <v>15.9</v>
      </c>
      <c r="S8" s="13">
        <v>122</v>
      </c>
      <c r="T8" s="21">
        <f t="shared" si="1"/>
        <v>27</v>
      </c>
      <c r="U8" s="13">
        <v>138</v>
      </c>
      <c r="V8" s="95">
        <f t="shared" si="2"/>
        <v>3726</v>
      </c>
      <c r="W8" s="13">
        <v>14</v>
      </c>
      <c r="X8" s="13" t="s">
        <v>46</v>
      </c>
      <c r="Y8" s="13" t="s">
        <v>55</v>
      </c>
      <c r="Z8" s="13" t="s">
        <v>40</v>
      </c>
      <c r="AA8" s="13" t="s">
        <v>69</v>
      </c>
      <c r="AB8" s="13" t="s">
        <v>404</v>
      </c>
      <c r="AE8" s="19" t="s">
        <v>59</v>
      </c>
      <c r="AG8" s="97" t="s">
        <v>189</v>
      </c>
      <c r="AH8" s="97" t="s">
        <v>190</v>
      </c>
      <c r="AL8" s="13" t="s">
        <v>146</v>
      </c>
      <c r="AP8" s="101" t="s">
        <v>62</v>
      </c>
      <c r="AR8" s="101" t="s">
        <v>81</v>
      </c>
      <c r="AV8" s="101" t="s">
        <v>97</v>
      </c>
      <c r="AX8" s="102">
        <v>119</v>
      </c>
      <c r="AY8" s="103">
        <v>30</v>
      </c>
      <c r="AZ8" s="103">
        <v>121</v>
      </c>
      <c r="BA8" s="104">
        <v>27</v>
      </c>
    </row>
    <row r="9" spans="1:53" x14ac:dyDescent="0.15">
      <c r="A9" s="13" t="s">
        <v>51</v>
      </c>
      <c r="B9" s="13" t="s">
        <v>332</v>
      </c>
      <c r="C9" s="13">
        <v>2020</v>
      </c>
      <c r="D9" s="93" t="s">
        <v>403</v>
      </c>
      <c r="E9" s="13" t="s">
        <v>169</v>
      </c>
      <c r="F9" s="13" t="s">
        <v>381</v>
      </c>
      <c r="G9" s="13" t="s">
        <v>42</v>
      </c>
      <c r="H9" s="13" t="s">
        <v>146</v>
      </c>
      <c r="I9" s="13" t="s">
        <v>142</v>
      </c>
      <c r="J9" s="13" t="s">
        <v>38</v>
      </c>
      <c r="K9" s="13" t="s">
        <v>143</v>
      </c>
      <c r="L9" s="13">
        <v>2</v>
      </c>
      <c r="N9" s="13">
        <v>1</v>
      </c>
      <c r="O9" s="13">
        <v>0.9</v>
      </c>
      <c r="P9" s="13">
        <v>0.8</v>
      </c>
      <c r="Q9" s="94">
        <f t="shared" si="0"/>
        <v>0.85000000000000009</v>
      </c>
      <c r="R9" s="13">
        <v>16.399999999999999</v>
      </c>
      <c r="S9" s="13">
        <v>124</v>
      </c>
      <c r="T9" s="21">
        <f t="shared" si="1"/>
        <v>27</v>
      </c>
      <c r="U9" s="13">
        <v>138</v>
      </c>
      <c r="V9" s="95">
        <f t="shared" si="2"/>
        <v>3726</v>
      </c>
      <c r="W9" s="13">
        <v>14</v>
      </c>
      <c r="X9" s="13" t="s">
        <v>46</v>
      </c>
      <c r="Y9" s="13" t="s">
        <v>55</v>
      </c>
      <c r="Z9" s="13" t="s">
        <v>40</v>
      </c>
      <c r="AA9" s="13" t="s">
        <v>69</v>
      </c>
      <c r="AB9" s="13" t="s">
        <v>404</v>
      </c>
      <c r="AE9" s="19" t="s">
        <v>191</v>
      </c>
      <c r="AG9" s="97" t="s">
        <v>192</v>
      </c>
      <c r="AH9" s="97" t="s">
        <v>381</v>
      </c>
      <c r="AL9" s="27" t="s">
        <v>334</v>
      </c>
      <c r="AP9" s="101" t="s">
        <v>95</v>
      </c>
      <c r="AR9" s="101" t="s">
        <v>193</v>
      </c>
      <c r="AV9" s="101" t="s">
        <v>102</v>
      </c>
      <c r="AX9" s="102">
        <v>128</v>
      </c>
      <c r="AY9" s="103">
        <v>27</v>
      </c>
      <c r="AZ9" s="103">
        <v>129</v>
      </c>
      <c r="BA9" s="104">
        <v>25</v>
      </c>
    </row>
    <row r="10" spans="1:53" x14ac:dyDescent="0.15">
      <c r="A10" s="13" t="s">
        <v>51</v>
      </c>
      <c r="B10" s="13" t="s">
        <v>332</v>
      </c>
      <c r="C10" s="13">
        <v>2020</v>
      </c>
      <c r="D10" s="93" t="s">
        <v>403</v>
      </c>
      <c r="E10" s="13" t="s">
        <v>169</v>
      </c>
      <c r="F10" s="13" t="s">
        <v>381</v>
      </c>
      <c r="G10" s="13" t="s">
        <v>42</v>
      </c>
      <c r="H10" s="13" t="s">
        <v>146</v>
      </c>
      <c r="I10" s="13" t="s">
        <v>142</v>
      </c>
      <c r="J10" s="13" t="s">
        <v>38</v>
      </c>
      <c r="K10" s="13" t="s">
        <v>143</v>
      </c>
      <c r="L10" s="13">
        <v>3</v>
      </c>
      <c r="N10" s="13">
        <v>1</v>
      </c>
      <c r="O10" s="13">
        <v>0.85</v>
      </c>
      <c r="P10" s="13">
        <v>0.8</v>
      </c>
      <c r="Q10" s="94">
        <f t="shared" si="0"/>
        <v>0.82499999999999996</v>
      </c>
      <c r="R10" s="13">
        <v>16.8</v>
      </c>
      <c r="S10" s="13">
        <v>126</v>
      </c>
      <c r="T10" s="21">
        <f t="shared" si="1"/>
        <v>27</v>
      </c>
      <c r="U10" s="13">
        <v>138</v>
      </c>
      <c r="V10" s="95">
        <f t="shared" si="2"/>
        <v>3726</v>
      </c>
      <c r="W10" s="13">
        <v>14</v>
      </c>
      <c r="X10" s="13" t="s">
        <v>46</v>
      </c>
      <c r="Y10" s="13" t="s">
        <v>55</v>
      </c>
      <c r="Z10" s="13" t="s">
        <v>40</v>
      </c>
      <c r="AA10" s="13" t="s">
        <v>69</v>
      </c>
      <c r="AB10" s="13" t="s">
        <v>404</v>
      </c>
      <c r="AE10" s="19" t="s">
        <v>194</v>
      </c>
      <c r="AG10" s="97" t="s">
        <v>169</v>
      </c>
      <c r="AH10" s="101" t="s">
        <v>381</v>
      </c>
      <c r="AP10" s="101" t="s">
        <v>100</v>
      </c>
      <c r="AR10" s="101" t="s">
        <v>195</v>
      </c>
      <c r="AV10" s="101" t="s">
        <v>106</v>
      </c>
      <c r="AX10" s="102">
        <v>138</v>
      </c>
      <c r="AY10" s="103">
        <v>25</v>
      </c>
      <c r="AZ10" s="103">
        <v>138</v>
      </c>
      <c r="BA10" s="104">
        <v>22</v>
      </c>
    </row>
    <row r="11" spans="1:53" x14ac:dyDescent="0.15">
      <c r="A11" s="13" t="s">
        <v>51</v>
      </c>
      <c r="B11" s="13" t="s">
        <v>332</v>
      </c>
      <c r="C11" s="13">
        <v>2020</v>
      </c>
      <c r="D11" s="93" t="s">
        <v>403</v>
      </c>
      <c r="E11" s="13" t="s">
        <v>172</v>
      </c>
      <c r="F11" s="13" t="s">
        <v>173</v>
      </c>
      <c r="G11" s="13" t="s">
        <v>36</v>
      </c>
      <c r="H11" s="13" t="s">
        <v>171</v>
      </c>
      <c r="I11" s="13" t="s">
        <v>142</v>
      </c>
      <c r="J11" s="13" t="s">
        <v>53</v>
      </c>
      <c r="K11" s="13" t="s">
        <v>54</v>
      </c>
      <c r="L11" s="13">
        <v>1</v>
      </c>
      <c r="N11" s="13">
        <v>1</v>
      </c>
      <c r="O11" s="13">
        <v>0.7</v>
      </c>
      <c r="P11" s="13">
        <v>0.6</v>
      </c>
      <c r="Q11" s="94">
        <f t="shared" si="0"/>
        <v>0.64999999999999991</v>
      </c>
      <c r="R11" s="13">
        <v>15.3</v>
      </c>
      <c r="S11" s="13">
        <v>138</v>
      </c>
      <c r="T11" s="21">
        <f t="shared" si="1"/>
        <v>22</v>
      </c>
      <c r="U11" s="13">
        <v>158</v>
      </c>
      <c r="V11" s="95">
        <f t="shared" si="2"/>
        <v>3476</v>
      </c>
      <c r="W11" s="13">
        <v>5</v>
      </c>
      <c r="X11" s="13" t="s">
        <v>46</v>
      </c>
      <c r="Y11" s="13" t="s">
        <v>47</v>
      </c>
      <c r="Z11" s="13" t="s">
        <v>69</v>
      </c>
      <c r="AA11" s="13" t="s">
        <v>90</v>
      </c>
      <c r="AB11" s="13" t="s">
        <v>404</v>
      </c>
      <c r="AE11" s="19" t="s">
        <v>68</v>
      </c>
      <c r="AG11" s="97" t="s">
        <v>139</v>
      </c>
      <c r="AH11" s="101" t="s">
        <v>383</v>
      </c>
      <c r="AP11" s="101" t="s">
        <v>104</v>
      </c>
      <c r="AR11" s="101" t="s">
        <v>196</v>
      </c>
      <c r="AV11" s="101" t="s">
        <v>69</v>
      </c>
      <c r="AX11" s="102">
        <v>151</v>
      </c>
      <c r="AY11" s="103">
        <v>22</v>
      </c>
      <c r="AZ11" s="103">
        <v>152</v>
      </c>
      <c r="BA11" s="104">
        <v>18</v>
      </c>
    </row>
    <row r="12" spans="1:53" x14ac:dyDescent="0.15">
      <c r="A12" s="13" t="s">
        <v>51</v>
      </c>
      <c r="B12" s="13" t="s">
        <v>332</v>
      </c>
      <c r="C12" s="13">
        <v>2020</v>
      </c>
      <c r="D12" s="93" t="s">
        <v>403</v>
      </c>
      <c r="E12" s="13" t="s">
        <v>172</v>
      </c>
      <c r="F12" s="13" t="s">
        <v>173</v>
      </c>
      <c r="G12" s="13" t="s">
        <v>36</v>
      </c>
      <c r="H12" s="13" t="s">
        <v>171</v>
      </c>
      <c r="I12" s="13" t="s">
        <v>142</v>
      </c>
      <c r="J12" s="13" t="s">
        <v>53</v>
      </c>
      <c r="K12" s="13" t="s">
        <v>54</v>
      </c>
      <c r="L12" s="13">
        <v>2</v>
      </c>
      <c r="N12" s="13">
        <v>1</v>
      </c>
      <c r="O12" s="13">
        <v>0.65</v>
      </c>
      <c r="P12" s="13">
        <v>0.65</v>
      </c>
      <c r="Q12" s="94">
        <f t="shared" si="0"/>
        <v>0.65</v>
      </c>
      <c r="R12" s="13">
        <v>14.6</v>
      </c>
      <c r="S12" s="13">
        <v>132</v>
      </c>
      <c r="T12" s="21">
        <f t="shared" si="1"/>
        <v>25</v>
      </c>
      <c r="U12" s="13">
        <v>158</v>
      </c>
      <c r="V12" s="95">
        <f t="shared" si="2"/>
        <v>3950</v>
      </c>
      <c r="W12" s="13">
        <v>5</v>
      </c>
      <c r="X12" s="13" t="s">
        <v>46</v>
      </c>
      <c r="Y12" s="13" t="s">
        <v>47</v>
      </c>
      <c r="Z12" s="13" t="s">
        <v>69</v>
      </c>
      <c r="AA12" s="13" t="s">
        <v>90</v>
      </c>
      <c r="AB12" s="13" t="s">
        <v>404</v>
      </c>
      <c r="AE12" s="19" t="s">
        <v>197</v>
      </c>
      <c r="AG12" s="101"/>
      <c r="AH12" s="101"/>
      <c r="AP12" s="101" t="s">
        <v>67</v>
      </c>
      <c r="AR12" s="101" t="s">
        <v>198</v>
      </c>
      <c r="AV12" s="101" t="s">
        <v>72</v>
      </c>
      <c r="AX12" s="108">
        <v>180</v>
      </c>
      <c r="AY12" s="109">
        <v>18</v>
      </c>
      <c r="AZ12" s="109">
        <v>181</v>
      </c>
      <c r="BA12" s="110">
        <v>16</v>
      </c>
    </row>
    <row r="13" spans="1:53" x14ac:dyDescent="0.15">
      <c r="A13" s="13" t="s">
        <v>51</v>
      </c>
      <c r="B13" s="13" t="s">
        <v>332</v>
      </c>
      <c r="C13" s="13">
        <v>2020</v>
      </c>
      <c r="D13" s="93" t="s">
        <v>403</v>
      </c>
      <c r="E13" s="13" t="s">
        <v>172</v>
      </c>
      <c r="F13" s="13" t="s">
        <v>173</v>
      </c>
      <c r="G13" s="13" t="s">
        <v>36</v>
      </c>
      <c r="H13" s="13" t="s">
        <v>171</v>
      </c>
      <c r="I13" s="13" t="s">
        <v>142</v>
      </c>
      <c r="J13" s="13" t="s">
        <v>53</v>
      </c>
      <c r="K13" s="13" t="s">
        <v>54</v>
      </c>
      <c r="L13" s="13">
        <v>3</v>
      </c>
      <c r="N13" s="13">
        <v>1</v>
      </c>
      <c r="O13" s="13">
        <v>0.6</v>
      </c>
      <c r="P13" s="13">
        <v>0.75</v>
      </c>
      <c r="Q13" s="94">
        <f t="shared" si="0"/>
        <v>0.67500000000000004</v>
      </c>
      <c r="R13" s="13">
        <v>14.2</v>
      </c>
      <c r="S13" s="13">
        <v>130</v>
      </c>
      <c r="T13" s="21">
        <f t="shared" si="1"/>
        <v>25</v>
      </c>
      <c r="U13" s="13">
        <v>158</v>
      </c>
      <c r="V13" s="95">
        <f t="shared" si="2"/>
        <v>3950</v>
      </c>
      <c r="W13" s="13">
        <v>5</v>
      </c>
      <c r="X13" s="13" t="s">
        <v>46</v>
      </c>
      <c r="Y13" s="13" t="s">
        <v>47</v>
      </c>
      <c r="Z13" s="13" t="s">
        <v>69</v>
      </c>
      <c r="AA13" s="13" t="s">
        <v>90</v>
      </c>
      <c r="AB13" s="13" t="s">
        <v>404</v>
      </c>
      <c r="AE13" s="19" t="s">
        <v>199</v>
      </c>
      <c r="AG13" s="101"/>
      <c r="AH13" s="101"/>
      <c r="AP13" s="101" t="s">
        <v>71</v>
      </c>
      <c r="AR13" s="101" t="s">
        <v>194</v>
      </c>
      <c r="AV13" s="101" t="s">
        <v>75</v>
      </c>
    </row>
    <row r="14" spans="1:53" x14ac:dyDescent="0.15">
      <c r="A14" s="13" t="s">
        <v>51</v>
      </c>
      <c r="B14" s="13" t="s">
        <v>332</v>
      </c>
      <c r="C14" s="13">
        <v>2020</v>
      </c>
      <c r="D14" s="93" t="s">
        <v>403</v>
      </c>
      <c r="E14" s="13" t="s">
        <v>172</v>
      </c>
      <c r="F14" s="13" t="s">
        <v>173</v>
      </c>
      <c r="G14" s="13" t="s">
        <v>36</v>
      </c>
      <c r="H14" s="13" t="s">
        <v>146</v>
      </c>
      <c r="I14" s="13" t="s">
        <v>142</v>
      </c>
      <c r="J14" s="13" t="s">
        <v>38</v>
      </c>
      <c r="K14" s="13" t="s">
        <v>143</v>
      </c>
      <c r="L14" s="13">
        <v>1</v>
      </c>
      <c r="N14" s="13">
        <v>1</v>
      </c>
      <c r="O14" s="13">
        <v>1.05</v>
      </c>
      <c r="P14" s="13">
        <v>0.95</v>
      </c>
      <c r="Q14" s="94">
        <f t="shared" si="0"/>
        <v>1</v>
      </c>
      <c r="R14" s="13">
        <v>18.3</v>
      </c>
      <c r="S14" s="13">
        <v>170</v>
      </c>
      <c r="T14" s="21">
        <f t="shared" si="1"/>
        <v>18</v>
      </c>
      <c r="U14" s="13">
        <v>158</v>
      </c>
      <c r="V14" s="95">
        <f t="shared" si="2"/>
        <v>2844</v>
      </c>
      <c r="W14" s="13">
        <v>5</v>
      </c>
      <c r="X14" s="13" t="s">
        <v>46</v>
      </c>
      <c r="Y14" s="13" t="s">
        <v>47</v>
      </c>
      <c r="Z14" s="13" t="s">
        <v>69</v>
      </c>
      <c r="AA14" s="13" t="s">
        <v>90</v>
      </c>
      <c r="AB14" s="13" t="s">
        <v>404</v>
      </c>
      <c r="AE14" s="19" t="s">
        <v>96</v>
      </c>
      <c r="AG14" s="101"/>
      <c r="AH14" s="101"/>
      <c r="AP14" s="101" t="s">
        <v>74</v>
      </c>
      <c r="AR14" s="101" t="s">
        <v>200</v>
      </c>
      <c r="AV14" s="101" t="s">
        <v>78</v>
      </c>
    </row>
    <row r="15" spans="1:53" x14ac:dyDescent="0.15">
      <c r="A15" s="13" t="s">
        <v>51</v>
      </c>
      <c r="B15" s="13" t="s">
        <v>332</v>
      </c>
      <c r="C15" s="13">
        <v>2020</v>
      </c>
      <c r="D15" s="93" t="s">
        <v>403</v>
      </c>
      <c r="E15" s="13" t="s">
        <v>172</v>
      </c>
      <c r="F15" s="13" t="s">
        <v>173</v>
      </c>
      <c r="G15" s="13" t="s">
        <v>36</v>
      </c>
      <c r="H15" s="13" t="s">
        <v>146</v>
      </c>
      <c r="I15" s="13" t="s">
        <v>142</v>
      </c>
      <c r="J15" s="13" t="s">
        <v>38</v>
      </c>
      <c r="K15" s="13" t="s">
        <v>143</v>
      </c>
      <c r="L15" s="13">
        <v>2</v>
      </c>
      <c r="N15" s="13">
        <v>1</v>
      </c>
      <c r="O15" s="13">
        <v>0.95</v>
      </c>
      <c r="P15" s="13">
        <v>1</v>
      </c>
      <c r="Q15" s="94">
        <f t="shared" si="0"/>
        <v>0.97499999999999998</v>
      </c>
      <c r="R15" s="13">
        <v>17.8</v>
      </c>
      <c r="S15" s="13">
        <v>162</v>
      </c>
      <c r="T15" s="21">
        <f t="shared" si="1"/>
        <v>18</v>
      </c>
      <c r="U15" s="13">
        <v>158</v>
      </c>
      <c r="V15" s="95">
        <f t="shared" si="2"/>
        <v>2844</v>
      </c>
      <c r="W15" s="13">
        <v>5</v>
      </c>
      <c r="X15" s="13" t="s">
        <v>46</v>
      </c>
      <c r="Y15" s="13" t="s">
        <v>47</v>
      </c>
      <c r="Z15" s="13" t="s">
        <v>69</v>
      </c>
      <c r="AA15" s="13" t="s">
        <v>90</v>
      </c>
      <c r="AB15" s="13" t="s">
        <v>404</v>
      </c>
      <c r="AE15" s="19" t="s">
        <v>201</v>
      </c>
      <c r="AG15" s="101"/>
      <c r="AH15" s="101"/>
      <c r="AP15" s="101" t="s">
        <v>77</v>
      </c>
      <c r="AR15" s="101" t="s">
        <v>80</v>
      </c>
      <c r="AV15" s="101" t="s">
        <v>107</v>
      </c>
    </row>
    <row r="16" spans="1:53" x14ac:dyDescent="0.15">
      <c r="A16" s="13" t="s">
        <v>51</v>
      </c>
      <c r="B16" s="13" t="s">
        <v>332</v>
      </c>
      <c r="C16" s="13">
        <v>2020</v>
      </c>
      <c r="D16" s="93" t="s">
        <v>403</v>
      </c>
      <c r="E16" s="13" t="s">
        <v>172</v>
      </c>
      <c r="F16" s="13" t="s">
        <v>173</v>
      </c>
      <c r="G16" s="13" t="s">
        <v>36</v>
      </c>
      <c r="H16" s="13" t="s">
        <v>146</v>
      </c>
      <c r="I16" s="13" t="s">
        <v>142</v>
      </c>
      <c r="J16" s="13" t="s">
        <v>38</v>
      </c>
      <c r="K16" s="13" t="s">
        <v>143</v>
      </c>
      <c r="L16" s="13">
        <v>3</v>
      </c>
      <c r="N16" s="13">
        <v>1</v>
      </c>
      <c r="O16" s="13">
        <v>1</v>
      </c>
      <c r="P16" s="13">
        <v>1</v>
      </c>
      <c r="Q16" s="94">
        <f t="shared" si="0"/>
        <v>1</v>
      </c>
      <c r="R16" s="13">
        <v>17.399999999999999</v>
      </c>
      <c r="S16" s="13">
        <v>154</v>
      </c>
      <c r="T16" s="21">
        <f t="shared" si="1"/>
        <v>18</v>
      </c>
      <c r="U16" s="13">
        <v>158</v>
      </c>
      <c r="V16" s="95">
        <f t="shared" si="2"/>
        <v>2844</v>
      </c>
      <c r="W16" s="13">
        <v>5</v>
      </c>
      <c r="X16" s="13" t="s">
        <v>46</v>
      </c>
      <c r="Y16" s="13" t="s">
        <v>47</v>
      </c>
      <c r="Z16" s="13" t="s">
        <v>69</v>
      </c>
      <c r="AA16" s="13" t="s">
        <v>90</v>
      </c>
      <c r="AB16" s="13" t="s">
        <v>404</v>
      </c>
      <c r="AE16" s="19" t="s">
        <v>202</v>
      </c>
      <c r="AG16" s="106"/>
      <c r="AH16" s="106"/>
      <c r="AP16" s="101" t="s">
        <v>80</v>
      </c>
      <c r="AR16" s="101" t="s">
        <v>63</v>
      </c>
      <c r="AV16" s="101" t="s">
        <v>84</v>
      </c>
    </row>
    <row r="17" spans="1:48" x14ac:dyDescent="0.15">
      <c r="A17" s="13" t="s">
        <v>51</v>
      </c>
      <c r="B17" s="13" t="s">
        <v>332</v>
      </c>
      <c r="C17" s="13">
        <v>2020</v>
      </c>
      <c r="D17" s="93" t="s">
        <v>403</v>
      </c>
      <c r="E17" s="13" t="s">
        <v>139</v>
      </c>
      <c r="F17" s="13" t="s">
        <v>383</v>
      </c>
      <c r="G17" s="13" t="s">
        <v>36</v>
      </c>
      <c r="H17" s="13" t="s">
        <v>171</v>
      </c>
      <c r="I17" s="13" t="s">
        <v>142</v>
      </c>
      <c r="J17" s="13" t="s">
        <v>104</v>
      </c>
      <c r="K17" s="13" t="s">
        <v>195</v>
      </c>
      <c r="L17" s="13">
        <v>1</v>
      </c>
      <c r="N17" s="13">
        <v>1</v>
      </c>
      <c r="O17" s="13">
        <v>1</v>
      </c>
      <c r="P17" s="13">
        <v>1.25</v>
      </c>
      <c r="Q17" s="94">
        <f t="shared" si="0"/>
        <v>1.125</v>
      </c>
      <c r="R17" s="13">
        <v>13.9</v>
      </c>
      <c r="S17" s="13">
        <v>120</v>
      </c>
      <c r="T17" s="21">
        <f t="shared" si="1"/>
        <v>30</v>
      </c>
      <c r="U17" s="13">
        <v>98</v>
      </c>
      <c r="V17" s="95">
        <f t="shared" si="2"/>
        <v>2940</v>
      </c>
      <c r="W17" s="13">
        <v>42</v>
      </c>
      <c r="X17" s="13" t="s">
        <v>46</v>
      </c>
      <c r="Y17" s="13" t="s">
        <v>55</v>
      </c>
      <c r="Z17" s="13" t="s">
        <v>69</v>
      </c>
      <c r="AA17" s="13" t="s">
        <v>40</v>
      </c>
      <c r="AB17" s="13" t="s">
        <v>404</v>
      </c>
      <c r="AE17" s="19" t="s">
        <v>203</v>
      </c>
      <c r="AP17" s="105" t="s">
        <v>204</v>
      </c>
      <c r="AR17" s="101" t="s">
        <v>96</v>
      </c>
      <c r="AV17" s="101" t="s">
        <v>86</v>
      </c>
    </row>
    <row r="18" spans="1:48" x14ac:dyDescent="0.15">
      <c r="A18" s="13" t="s">
        <v>51</v>
      </c>
      <c r="B18" s="13" t="s">
        <v>332</v>
      </c>
      <c r="C18" s="13">
        <v>2020</v>
      </c>
      <c r="D18" s="93" t="s">
        <v>403</v>
      </c>
      <c r="E18" s="13" t="s">
        <v>139</v>
      </c>
      <c r="F18" s="13" t="s">
        <v>383</v>
      </c>
      <c r="G18" s="13" t="s">
        <v>36</v>
      </c>
      <c r="H18" s="13" t="s">
        <v>171</v>
      </c>
      <c r="I18" s="13" t="s">
        <v>142</v>
      </c>
      <c r="J18" s="13" t="s">
        <v>104</v>
      </c>
      <c r="K18" s="13" t="s">
        <v>195</v>
      </c>
      <c r="L18" s="13">
        <v>2</v>
      </c>
      <c r="N18" s="13">
        <v>1</v>
      </c>
      <c r="O18" s="13">
        <v>1.1000000000000001</v>
      </c>
      <c r="P18" s="13">
        <v>1.05</v>
      </c>
      <c r="Q18" s="94">
        <f t="shared" si="0"/>
        <v>1.0750000000000002</v>
      </c>
      <c r="R18" s="13">
        <v>14.2</v>
      </c>
      <c r="S18" s="13">
        <v>134</v>
      </c>
      <c r="T18" s="21">
        <f t="shared" si="1"/>
        <v>25</v>
      </c>
      <c r="U18" s="13">
        <v>98</v>
      </c>
      <c r="V18" s="95">
        <f t="shared" si="2"/>
        <v>2450</v>
      </c>
      <c r="W18" s="13">
        <v>42</v>
      </c>
      <c r="X18" s="13" t="s">
        <v>46</v>
      </c>
      <c r="Y18" s="13" t="s">
        <v>55</v>
      </c>
      <c r="Z18" s="13" t="s">
        <v>69</v>
      </c>
      <c r="AA18" s="13" t="s">
        <v>40</v>
      </c>
      <c r="AB18" s="13" t="s">
        <v>404</v>
      </c>
      <c r="AE18" s="19" t="s">
        <v>196</v>
      </c>
      <c r="AP18" s="105" t="s">
        <v>205</v>
      </c>
      <c r="AR18" s="101" t="s">
        <v>101</v>
      </c>
      <c r="AV18" s="101" t="s">
        <v>88</v>
      </c>
    </row>
    <row r="19" spans="1:48" x14ac:dyDescent="0.15">
      <c r="A19" s="13" t="s">
        <v>51</v>
      </c>
      <c r="B19" s="13" t="s">
        <v>332</v>
      </c>
      <c r="C19" s="13">
        <v>2020</v>
      </c>
      <c r="D19" s="93" t="s">
        <v>403</v>
      </c>
      <c r="E19" s="13" t="s">
        <v>139</v>
      </c>
      <c r="F19" s="13" t="s">
        <v>383</v>
      </c>
      <c r="G19" s="13" t="s">
        <v>36</v>
      </c>
      <c r="H19" s="13" t="s">
        <v>171</v>
      </c>
      <c r="I19" s="13" t="s">
        <v>142</v>
      </c>
      <c r="J19" s="13" t="s">
        <v>104</v>
      </c>
      <c r="K19" s="13" t="s">
        <v>195</v>
      </c>
      <c r="L19" s="13">
        <v>3</v>
      </c>
      <c r="N19" s="13">
        <v>1</v>
      </c>
      <c r="O19" s="13">
        <v>0.95</v>
      </c>
      <c r="P19" s="13">
        <v>1.1499999999999999</v>
      </c>
      <c r="Q19" s="94">
        <f t="shared" si="0"/>
        <v>1.0499999999999998</v>
      </c>
      <c r="R19" s="13">
        <v>14.7</v>
      </c>
      <c r="S19" s="13">
        <v>144</v>
      </c>
      <c r="T19" s="21">
        <f t="shared" si="1"/>
        <v>22</v>
      </c>
      <c r="U19" s="13">
        <v>98</v>
      </c>
      <c r="V19" s="95">
        <f t="shared" si="2"/>
        <v>2156</v>
      </c>
      <c r="W19" s="13">
        <v>42</v>
      </c>
      <c r="X19" s="13" t="s">
        <v>46</v>
      </c>
      <c r="Y19" s="13" t="s">
        <v>55</v>
      </c>
      <c r="Z19" s="13" t="s">
        <v>69</v>
      </c>
      <c r="AA19" s="13" t="s">
        <v>40</v>
      </c>
      <c r="AB19" s="13" t="s">
        <v>404</v>
      </c>
      <c r="AE19" s="20" t="s">
        <v>193</v>
      </c>
      <c r="AP19" s="105" t="s">
        <v>206</v>
      </c>
      <c r="AR19" s="101" t="s">
        <v>207</v>
      </c>
      <c r="AV19" s="101" t="s">
        <v>90</v>
      </c>
    </row>
    <row r="20" spans="1:48" x14ac:dyDescent="0.15">
      <c r="A20" s="13" t="s">
        <v>51</v>
      </c>
      <c r="B20" s="13" t="s">
        <v>332</v>
      </c>
      <c r="C20" s="13">
        <v>2020</v>
      </c>
      <c r="D20" s="93" t="s">
        <v>403</v>
      </c>
      <c r="E20" s="13" t="s">
        <v>139</v>
      </c>
      <c r="F20" s="13" t="s">
        <v>383</v>
      </c>
      <c r="G20" s="13" t="s">
        <v>36</v>
      </c>
      <c r="H20" s="13" t="s">
        <v>171</v>
      </c>
      <c r="I20" s="13" t="s">
        <v>142</v>
      </c>
      <c r="J20" s="13" t="s">
        <v>58</v>
      </c>
      <c r="K20" s="13" t="s">
        <v>59</v>
      </c>
      <c r="L20" s="13">
        <v>1</v>
      </c>
      <c r="N20" s="13">
        <v>1</v>
      </c>
      <c r="O20" s="13">
        <v>0.75</v>
      </c>
      <c r="P20" s="13">
        <v>0.9</v>
      </c>
      <c r="Q20" s="94">
        <f t="shared" si="0"/>
        <v>0.82499999999999996</v>
      </c>
      <c r="R20" s="13">
        <v>12.1</v>
      </c>
      <c r="S20" s="13">
        <v>102</v>
      </c>
      <c r="T20" s="21">
        <f t="shared" si="1"/>
        <v>33</v>
      </c>
      <c r="U20" s="13">
        <v>98</v>
      </c>
      <c r="V20" s="95">
        <f t="shared" si="2"/>
        <v>3234</v>
      </c>
      <c r="W20" s="13">
        <v>42</v>
      </c>
      <c r="X20" s="13" t="s">
        <v>46</v>
      </c>
      <c r="Y20" s="13" t="s">
        <v>55</v>
      </c>
      <c r="Z20" s="13" t="s">
        <v>69</v>
      </c>
      <c r="AA20" s="13" t="s">
        <v>40</v>
      </c>
      <c r="AB20" s="13" t="s">
        <v>404</v>
      </c>
      <c r="AE20" s="20"/>
      <c r="AP20" s="105" t="s">
        <v>208</v>
      </c>
      <c r="AR20" s="101" t="s">
        <v>105</v>
      </c>
      <c r="AV20" s="105" t="s">
        <v>209</v>
      </c>
    </row>
    <row r="21" spans="1:48" x14ac:dyDescent="0.15">
      <c r="A21" s="13" t="s">
        <v>51</v>
      </c>
      <c r="B21" s="13" t="s">
        <v>332</v>
      </c>
      <c r="C21" s="13">
        <v>2020</v>
      </c>
      <c r="D21" s="93" t="s">
        <v>403</v>
      </c>
      <c r="E21" s="13" t="s">
        <v>139</v>
      </c>
      <c r="F21" s="13" t="s">
        <v>383</v>
      </c>
      <c r="G21" s="13" t="s">
        <v>36</v>
      </c>
      <c r="H21" s="13" t="s">
        <v>171</v>
      </c>
      <c r="I21" s="13" t="s">
        <v>142</v>
      </c>
      <c r="J21" s="13" t="s">
        <v>58</v>
      </c>
      <c r="K21" s="13" t="s">
        <v>59</v>
      </c>
      <c r="L21" s="13">
        <v>2</v>
      </c>
      <c r="N21" s="13">
        <v>1</v>
      </c>
      <c r="O21" s="13">
        <v>0.7</v>
      </c>
      <c r="P21" s="13">
        <v>0.75</v>
      </c>
      <c r="Q21" s="94">
        <f t="shared" si="0"/>
        <v>0.72499999999999998</v>
      </c>
      <c r="R21" s="13">
        <v>13.4</v>
      </c>
      <c r="S21" s="13">
        <v>95</v>
      </c>
      <c r="T21" s="21">
        <f t="shared" si="1"/>
        <v>36</v>
      </c>
      <c r="U21" s="13">
        <v>98</v>
      </c>
      <c r="V21" s="95">
        <f t="shared" si="2"/>
        <v>3528</v>
      </c>
      <c r="W21" s="13">
        <v>42</v>
      </c>
      <c r="X21" s="13" t="s">
        <v>46</v>
      </c>
      <c r="Y21" s="13" t="s">
        <v>55</v>
      </c>
      <c r="Z21" s="13" t="s">
        <v>69</v>
      </c>
      <c r="AA21" s="13" t="s">
        <v>40</v>
      </c>
      <c r="AB21" s="13" t="s">
        <v>404</v>
      </c>
      <c r="AE21" s="106"/>
      <c r="AP21" s="105" t="s">
        <v>210</v>
      </c>
      <c r="AR21" s="101" t="s">
        <v>68</v>
      </c>
      <c r="AV21" s="105" t="s">
        <v>148</v>
      </c>
    </row>
    <row r="22" spans="1:48" x14ac:dyDescent="0.15">
      <c r="A22" s="13" t="s">
        <v>51</v>
      </c>
      <c r="B22" s="13" t="s">
        <v>332</v>
      </c>
      <c r="C22" s="13">
        <v>2020</v>
      </c>
      <c r="D22" s="93" t="s">
        <v>403</v>
      </c>
      <c r="E22" s="13" t="s">
        <v>139</v>
      </c>
      <c r="F22" s="13" t="s">
        <v>383</v>
      </c>
      <c r="G22" s="13" t="s">
        <v>36</v>
      </c>
      <c r="H22" s="13" t="s">
        <v>171</v>
      </c>
      <c r="I22" s="13" t="s">
        <v>142</v>
      </c>
      <c r="J22" s="13" t="s">
        <v>58</v>
      </c>
      <c r="K22" s="13" t="s">
        <v>59</v>
      </c>
      <c r="L22" s="13">
        <v>3</v>
      </c>
      <c r="N22" s="13">
        <v>1</v>
      </c>
      <c r="O22" s="13">
        <v>0.8</v>
      </c>
      <c r="P22" s="13">
        <v>0.8</v>
      </c>
      <c r="Q22" s="94">
        <f t="shared" si="0"/>
        <v>0.8</v>
      </c>
      <c r="R22" s="13">
        <v>12.6</v>
      </c>
      <c r="S22" s="13">
        <v>102</v>
      </c>
      <c r="T22" s="21">
        <f t="shared" si="1"/>
        <v>33</v>
      </c>
      <c r="U22" s="13">
        <v>98</v>
      </c>
      <c r="V22" s="95">
        <f t="shared" si="2"/>
        <v>3234</v>
      </c>
      <c r="W22" s="13">
        <v>42</v>
      </c>
      <c r="X22" s="13" t="s">
        <v>46</v>
      </c>
      <c r="Y22" s="13" t="s">
        <v>55</v>
      </c>
      <c r="Z22" s="13" t="s">
        <v>69</v>
      </c>
      <c r="AA22" s="13" t="s">
        <v>40</v>
      </c>
      <c r="AB22" s="13" t="s">
        <v>404</v>
      </c>
      <c r="AP22" s="105" t="s">
        <v>211</v>
      </c>
      <c r="AR22" s="101" t="s">
        <v>83</v>
      </c>
      <c r="AV22" s="105"/>
    </row>
    <row r="23" spans="1:48" x14ac:dyDescent="0.15">
      <c r="A23" s="13" t="s">
        <v>51</v>
      </c>
      <c r="B23" s="13" t="s">
        <v>332</v>
      </c>
      <c r="C23" s="13">
        <v>2020</v>
      </c>
      <c r="D23" s="93" t="s">
        <v>403</v>
      </c>
      <c r="E23" s="13" t="s">
        <v>139</v>
      </c>
      <c r="F23" s="13" t="s">
        <v>383</v>
      </c>
      <c r="G23" s="13" t="s">
        <v>36</v>
      </c>
      <c r="H23" s="13" t="s">
        <v>146</v>
      </c>
      <c r="I23" s="13" t="s">
        <v>142</v>
      </c>
      <c r="J23" s="13" t="s">
        <v>38</v>
      </c>
      <c r="K23" s="13" t="s">
        <v>143</v>
      </c>
      <c r="L23" s="13">
        <v>1</v>
      </c>
      <c r="N23" s="13">
        <v>1</v>
      </c>
      <c r="O23" s="13">
        <v>0.6</v>
      </c>
      <c r="P23" s="13">
        <v>0.55000000000000004</v>
      </c>
      <c r="Q23" s="94">
        <f t="shared" si="0"/>
        <v>0.57499999999999996</v>
      </c>
      <c r="R23" s="13">
        <v>18.3</v>
      </c>
      <c r="S23" s="13">
        <v>130</v>
      </c>
      <c r="T23" s="21">
        <f t="shared" si="1"/>
        <v>25</v>
      </c>
      <c r="U23" s="13">
        <v>138</v>
      </c>
      <c r="V23" s="95">
        <f t="shared" si="2"/>
        <v>3450</v>
      </c>
      <c r="W23" s="13">
        <v>42</v>
      </c>
      <c r="X23" s="13" t="s">
        <v>46</v>
      </c>
      <c r="Y23" s="13" t="s">
        <v>55</v>
      </c>
      <c r="Z23" s="13" t="s">
        <v>69</v>
      </c>
      <c r="AA23" s="13" t="s">
        <v>40</v>
      </c>
      <c r="AB23" s="13" t="s">
        <v>404</v>
      </c>
      <c r="AP23" s="105" t="s">
        <v>212</v>
      </c>
      <c r="AR23" s="101" t="s">
        <v>61</v>
      </c>
    </row>
    <row r="24" spans="1:48" x14ac:dyDescent="0.15">
      <c r="A24" s="13" t="s">
        <v>51</v>
      </c>
      <c r="B24" s="13" t="s">
        <v>332</v>
      </c>
      <c r="C24" s="13">
        <v>2020</v>
      </c>
      <c r="D24" s="93" t="s">
        <v>403</v>
      </c>
      <c r="E24" s="13" t="s">
        <v>139</v>
      </c>
      <c r="F24" s="13" t="s">
        <v>383</v>
      </c>
      <c r="G24" s="13" t="s">
        <v>36</v>
      </c>
      <c r="H24" s="13" t="s">
        <v>146</v>
      </c>
      <c r="I24" s="13" t="s">
        <v>142</v>
      </c>
      <c r="J24" s="13" t="s">
        <v>38</v>
      </c>
      <c r="K24" s="13" t="s">
        <v>143</v>
      </c>
      <c r="L24" s="13">
        <v>2</v>
      </c>
      <c r="N24" s="13">
        <v>1</v>
      </c>
      <c r="O24" s="13">
        <v>0.65</v>
      </c>
      <c r="P24" s="13">
        <v>0.65</v>
      </c>
      <c r="Q24" s="94">
        <f t="shared" si="0"/>
        <v>0.65</v>
      </c>
      <c r="R24" s="13">
        <v>17.899999999999999</v>
      </c>
      <c r="S24" s="13">
        <v>132</v>
      </c>
      <c r="T24" s="21">
        <f t="shared" si="1"/>
        <v>25</v>
      </c>
      <c r="U24" s="13">
        <v>138</v>
      </c>
      <c r="V24" s="95">
        <f t="shared" si="2"/>
        <v>3450</v>
      </c>
      <c r="W24" s="13">
        <v>42</v>
      </c>
      <c r="X24" s="13" t="s">
        <v>46</v>
      </c>
      <c r="Y24" s="13" t="s">
        <v>55</v>
      </c>
      <c r="Z24" s="13" t="s">
        <v>69</v>
      </c>
      <c r="AA24" s="13" t="s">
        <v>40</v>
      </c>
      <c r="AB24" s="13" t="s">
        <v>404</v>
      </c>
      <c r="AP24" s="105" t="s">
        <v>213</v>
      </c>
      <c r="AR24" s="101" t="s">
        <v>91</v>
      </c>
    </row>
    <row r="25" spans="1:48" x14ac:dyDescent="0.15">
      <c r="A25" s="13" t="s">
        <v>51</v>
      </c>
      <c r="B25" s="13" t="s">
        <v>332</v>
      </c>
      <c r="C25" s="13">
        <v>2020</v>
      </c>
      <c r="D25" s="93" t="s">
        <v>403</v>
      </c>
      <c r="E25" s="13" t="s">
        <v>139</v>
      </c>
      <c r="F25" s="13" t="s">
        <v>383</v>
      </c>
      <c r="G25" s="13" t="s">
        <v>36</v>
      </c>
      <c r="H25" s="13" t="s">
        <v>146</v>
      </c>
      <c r="I25" s="13" t="s">
        <v>142</v>
      </c>
      <c r="J25" s="13" t="s">
        <v>38</v>
      </c>
      <c r="K25" s="13" t="s">
        <v>143</v>
      </c>
      <c r="L25" s="13">
        <v>3</v>
      </c>
      <c r="N25" s="13">
        <v>1</v>
      </c>
      <c r="O25" s="13">
        <v>0.7</v>
      </c>
      <c r="P25" s="13">
        <v>0.6</v>
      </c>
      <c r="Q25" s="94">
        <f t="shared" si="0"/>
        <v>0.64999999999999991</v>
      </c>
      <c r="R25" s="13">
        <v>18.5</v>
      </c>
      <c r="S25" s="13">
        <v>134</v>
      </c>
      <c r="T25" s="21">
        <f t="shared" si="1"/>
        <v>25</v>
      </c>
      <c r="U25" s="13">
        <v>138</v>
      </c>
      <c r="V25" s="95">
        <f t="shared" si="2"/>
        <v>3450</v>
      </c>
      <c r="W25" s="13">
        <v>42</v>
      </c>
      <c r="X25" s="13" t="s">
        <v>46</v>
      </c>
      <c r="Y25" s="13" t="s">
        <v>55</v>
      </c>
      <c r="Z25" s="13" t="s">
        <v>69</v>
      </c>
      <c r="AA25" s="13" t="s">
        <v>40</v>
      </c>
      <c r="AB25" s="13" t="s">
        <v>404</v>
      </c>
      <c r="AP25" s="105" t="s">
        <v>214</v>
      </c>
      <c r="AR25" s="105" t="s">
        <v>51</v>
      </c>
    </row>
    <row r="26" spans="1:48" x14ac:dyDescent="0.15">
      <c r="A26" s="13" t="s">
        <v>51</v>
      </c>
      <c r="B26" s="13" t="s">
        <v>332</v>
      </c>
      <c r="C26" s="13">
        <v>2020</v>
      </c>
      <c r="D26" s="93" t="s">
        <v>403</v>
      </c>
      <c r="E26" s="13" t="s">
        <v>139</v>
      </c>
      <c r="F26" s="13" t="s">
        <v>383</v>
      </c>
      <c r="G26" s="13" t="s">
        <v>36</v>
      </c>
      <c r="H26" s="13" t="s">
        <v>174</v>
      </c>
      <c r="I26" s="13" t="s">
        <v>142</v>
      </c>
      <c r="J26" s="13" t="s">
        <v>80</v>
      </c>
      <c r="K26" s="13" t="s">
        <v>45</v>
      </c>
      <c r="L26" s="13">
        <v>1</v>
      </c>
      <c r="N26" s="13">
        <v>4</v>
      </c>
      <c r="O26" s="13">
        <v>0.75</v>
      </c>
      <c r="P26" s="13">
        <v>0.8</v>
      </c>
      <c r="Q26" s="94">
        <f t="shared" si="0"/>
        <v>0.77500000000000002</v>
      </c>
      <c r="R26" s="13">
        <v>15.8</v>
      </c>
      <c r="S26" s="13">
        <v>87</v>
      </c>
      <c r="T26" s="21">
        <f t="shared" si="1"/>
        <v>36</v>
      </c>
      <c r="U26" s="13">
        <v>398</v>
      </c>
      <c r="V26" s="95">
        <f t="shared" si="2"/>
        <v>3582</v>
      </c>
      <c r="W26" s="13">
        <v>42</v>
      </c>
      <c r="X26" s="13" t="s">
        <v>46</v>
      </c>
      <c r="Y26" s="13" t="s">
        <v>55</v>
      </c>
      <c r="Z26" s="13" t="s">
        <v>69</v>
      </c>
      <c r="AA26" s="13" t="s">
        <v>40</v>
      </c>
      <c r="AB26" s="13" t="s">
        <v>404</v>
      </c>
      <c r="AP26" s="105" t="s">
        <v>215</v>
      </c>
      <c r="AR26" s="13" t="s">
        <v>341</v>
      </c>
    </row>
    <row r="27" spans="1:48" x14ac:dyDescent="0.15">
      <c r="A27" s="13" t="s">
        <v>51</v>
      </c>
      <c r="B27" s="13" t="s">
        <v>332</v>
      </c>
      <c r="C27" s="13">
        <v>2020</v>
      </c>
      <c r="D27" s="93" t="s">
        <v>403</v>
      </c>
      <c r="E27" s="13" t="s">
        <v>139</v>
      </c>
      <c r="F27" s="13" t="s">
        <v>383</v>
      </c>
      <c r="G27" s="13" t="s">
        <v>36</v>
      </c>
      <c r="H27" s="13" t="s">
        <v>174</v>
      </c>
      <c r="I27" s="13" t="s">
        <v>142</v>
      </c>
      <c r="J27" s="13" t="s">
        <v>80</v>
      </c>
      <c r="K27" s="13" t="s">
        <v>45</v>
      </c>
      <c r="L27" s="13">
        <v>2</v>
      </c>
      <c r="N27" s="13">
        <v>4</v>
      </c>
      <c r="O27" s="13">
        <v>0.7</v>
      </c>
      <c r="P27" s="13">
        <v>0.75</v>
      </c>
      <c r="Q27" s="94">
        <f t="shared" si="0"/>
        <v>0.72499999999999998</v>
      </c>
      <c r="R27" s="13">
        <v>14.8</v>
      </c>
      <c r="S27" s="13">
        <v>88</v>
      </c>
      <c r="T27" s="21">
        <f t="shared" si="1"/>
        <v>36</v>
      </c>
      <c r="U27" s="13">
        <v>398</v>
      </c>
      <c r="V27" s="95">
        <f t="shared" si="2"/>
        <v>3582</v>
      </c>
      <c r="W27" s="13">
        <v>42</v>
      </c>
      <c r="X27" s="13" t="s">
        <v>46</v>
      </c>
      <c r="Y27" s="13" t="s">
        <v>55</v>
      </c>
      <c r="Z27" s="13" t="s">
        <v>69</v>
      </c>
      <c r="AA27" s="13" t="s">
        <v>40</v>
      </c>
      <c r="AB27" s="13" t="s">
        <v>404</v>
      </c>
      <c r="AP27" s="105" t="s">
        <v>342</v>
      </c>
      <c r="AR27" s="13" t="s">
        <v>407</v>
      </c>
    </row>
    <row r="28" spans="1:48" x14ac:dyDescent="0.15">
      <c r="A28" s="13" t="s">
        <v>51</v>
      </c>
      <c r="B28" s="13" t="s">
        <v>332</v>
      </c>
      <c r="C28" s="13">
        <v>2020</v>
      </c>
      <c r="D28" s="93" t="s">
        <v>403</v>
      </c>
      <c r="E28" s="13" t="s">
        <v>139</v>
      </c>
      <c r="F28" s="13" t="s">
        <v>383</v>
      </c>
      <c r="G28" s="13" t="s">
        <v>36</v>
      </c>
      <c r="H28" s="13" t="s">
        <v>174</v>
      </c>
      <c r="I28" s="13" t="s">
        <v>142</v>
      </c>
      <c r="J28" s="13" t="s">
        <v>80</v>
      </c>
      <c r="K28" s="13" t="s">
        <v>45</v>
      </c>
      <c r="L28" s="13">
        <v>3</v>
      </c>
      <c r="N28" s="13">
        <v>4</v>
      </c>
      <c r="O28" s="13">
        <v>0.8</v>
      </c>
      <c r="P28" s="13">
        <v>0.75</v>
      </c>
      <c r="Q28" s="94">
        <f t="shared" si="0"/>
        <v>0.77500000000000002</v>
      </c>
      <c r="R28" s="13">
        <v>15.5</v>
      </c>
      <c r="S28" s="13">
        <v>87</v>
      </c>
      <c r="T28" s="21">
        <f t="shared" si="1"/>
        <v>36</v>
      </c>
      <c r="U28" s="13">
        <v>398</v>
      </c>
      <c r="V28" s="95">
        <f t="shared" si="2"/>
        <v>3582</v>
      </c>
      <c r="W28" s="13">
        <v>42</v>
      </c>
      <c r="X28" s="13" t="s">
        <v>46</v>
      </c>
      <c r="Y28" s="13" t="s">
        <v>55</v>
      </c>
      <c r="Z28" s="13" t="s">
        <v>69</v>
      </c>
      <c r="AA28" s="13" t="s">
        <v>40</v>
      </c>
      <c r="AB28" s="13" t="s">
        <v>404</v>
      </c>
      <c r="AP28" s="105" t="s">
        <v>405</v>
      </c>
    </row>
    <row r="29" spans="1:48" x14ac:dyDescent="0.15">
      <c r="A29" s="13" t="s">
        <v>51</v>
      </c>
      <c r="B29" s="13" t="s">
        <v>332</v>
      </c>
      <c r="C29" s="13">
        <v>2020</v>
      </c>
      <c r="D29" s="93" t="s">
        <v>403</v>
      </c>
      <c r="E29" s="13" t="s">
        <v>139</v>
      </c>
      <c r="F29" s="13" t="s">
        <v>383</v>
      </c>
      <c r="G29" s="13" t="s">
        <v>36</v>
      </c>
      <c r="H29" s="13" t="s">
        <v>334</v>
      </c>
      <c r="I29" s="13" t="s">
        <v>142</v>
      </c>
      <c r="J29" s="13" t="s">
        <v>38</v>
      </c>
      <c r="K29" s="13" t="s">
        <v>143</v>
      </c>
      <c r="L29" s="13">
        <v>1</v>
      </c>
      <c r="N29" s="13">
        <v>5</v>
      </c>
      <c r="O29" s="13">
        <v>0.85</v>
      </c>
      <c r="P29" s="13">
        <v>0.65</v>
      </c>
      <c r="Q29" s="94">
        <f t="shared" si="0"/>
        <v>0.75</v>
      </c>
      <c r="R29" s="13">
        <v>17.2</v>
      </c>
      <c r="S29" s="13">
        <v>76</v>
      </c>
      <c r="T29" s="21">
        <f t="shared" si="1"/>
        <v>39</v>
      </c>
      <c r="U29" s="13">
        <v>598</v>
      </c>
      <c r="V29" s="95">
        <f t="shared" si="2"/>
        <v>4664.3999999999996</v>
      </c>
      <c r="W29" s="13">
        <v>42</v>
      </c>
      <c r="X29" s="13" t="s">
        <v>46</v>
      </c>
      <c r="Y29" s="13" t="s">
        <v>55</v>
      </c>
      <c r="Z29" s="13" t="s">
        <v>69</v>
      </c>
      <c r="AA29" s="13" t="s">
        <v>40</v>
      </c>
      <c r="AB29" s="13" t="s">
        <v>404</v>
      </c>
    </row>
    <row r="30" spans="1:48" x14ac:dyDescent="0.15">
      <c r="A30" s="13" t="s">
        <v>51</v>
      </c>
      <c r="B30" s="13" t="s">
        <v>332</v>
      </c>
      <c r="C30" s="13">
        <v>2020</v>
      </c>
      <c r="D30" s="93" t="s">
        <v>403</v>
      </c>
      <c r="E30" s="13" t="s">
        <v>139</v>
      </c>
      <c r="F30" s="13" t="s">
        <v>383</v>
      </c>
      <c r="G30" s="13" t="s">
        <v>36</v>
      </c>
      <c r="H30" s="13" t="s">
        <v>334</v>
      </c>
      <c r="I30" s="13" t="s">
        <v>142</v>
      </c>
      <c r="J30" s="13" t="s">
        <v>38</v>
      </c>
      <c r="K30" s="13" t="s">
        <v>143</v>
      </c>
      <c r="L30" s="13">
        <v>2</v>
      </c>
      <c r="N30" s="13">
        <v>5</v>
      </c>
      <c r="O30" s="13">
        <v>0.75</v>
      </c>
      <c r="P30" s="13">
        <v>0.7</v>
      </c>
      <c r="Q30" s="94">
        <f t="shared" si="0"/>
        <v>0.72499999999999998</v>
      </c>
      <c r="R30" s="13">
        <v>17.399999999999999</v>
      </c>
      <c r="S30" s="13">
        <v>77</v>
      </c>
      <c r="T30" s="21">
        <f t="shared" si="1"/>
        <v>39</v>
      </c>
      <c r="U30" s="13">
        <v>598</v>
      </c>
      <c r="V30" s="95">
        <f t="shared" si="2"/>
        <v>4664.3999999999996</v>
      </c>
      <c r="W30" s="13">
        <v>42</v>
      </c>
      <c r="X30" s="13" t="s">
        <v>46</v>
      </c>
      <c r="Y30" s="13" t="s">
        <v>55</v>
      </c>
      <c r="Z30" s="13" t="s">
        <v>69</v>
      </c>
      <c r="AA30" s="13" t="s">
        <v>40</v>
      </c>
      <c r="AB30" s="13" t="s">
        <v>404</v>
      </c>
    </row>
    <row r="31" spans="1:48" x14ac:dyDescent="0.15">
      <c r="A31" s="13" t="s">
        <v>51</v>
      </c>
      <c r="B31" s="13" t="s">
        <v>332</v>
      </c>
      <c r="C31" s="13">
        <v>2020</v>
      </c>
      <c r="D31" s="93" t="s">
        <v>403</v>
      </c>
      <c r="E31" s="13" t="s">
        <v>139</v>
      </c>
      <c r="F31" s="13" t="s">
        <v>383</v>
      </c>
      <c r="G31" s="13" t="s">
        <v>36</v>
      </c>
      <c r="H31" s="13" t="s">
        <v>334</v>
      </c>
      <c r="I31" s="13" t="s">
        <v>142</v>
      </c>
      <c r="J31" s="13" t="s">
        <v>38</v>
      </c>
      <c r="K31" s="13" t="s">
        <v>143</v>
      </c>
      <c r="L31" s="13">
        <v>3</v>
      </c>
      <c r="N31" s="13">
        <v>5</v>
      </c>
      <c r="O31" s="13">
        <v>0.8</v>
      </c>
      <c r="P31" s="13">
        <v>0.75</v>
      </c>
      <c r="Q31" s="94">
        <f t="shared" si="0"/>
        <v>0.77500000000000002</v>
      </c>
      <c r="R31" s="13">
        <v>18</v>
      </c>
      <c r="S31" s="13">
        <v>79</v>
      </c>
      <c r="T31" s="21">
        <f t="shared" si="1"/>
        <v>39</v>
      </c>
      <c r="U31" s="13">
        <v>598</v>
      </c>
      <c r="V31" s="95">
        <f t="shared" si="2"/>
        <v>4664.3999999999996</v>
      </c>
      <c r="W31" s="13">
        <v>42</v>
      </c>
      <c r="X31" s="13" t="s">
        <v>46</v>
      </c>
      <c r="Y31" s="13" t="s">
        <v>55</v>
      </c>
      <c r="Z31" s="13" t="s">
        <v>69</v>
      </c>
      <c r="AA31" s="13" t="s">
        <v>40</v>
      </c>
      <c r="AB31" s="13" t="s">
        <v>404</v>
      </c>
    </row>
    <row r="32" spans="1:48" x14ac:dyDescent="0.15">
      <c r="A32" s="13" t="s">
        <v>51</v>
      </c>
      <c r="B32" s="13" t="s">
        <v>332</v>
      </c>
      <c r="C32" s="13">
        <v>2020</v>
      </c>
      <c r="D32" s="93" t="s">
        <v>403</v>
      </c>
      <c r="E32" s="13" t="s">
        <v>181</v>
      </c>
      <c r="F32" s="13" t="s">
        <v>382</v>
      </c>
      <c r="G32" s="13" t="s">
        <v>36</v>
      </c>
      <c r="H32" s="13" t="s">
        <v>171</v>
      </c>
      <c r="I32" s="13" t="s">
        <v>142</v>
      </c>
      <c r="J32" s="13" t="s">
        <v>80</v>
      </c>
      <c r="K32" s="13" t="s">
        <v>68</v>
      </c>
      <c r="L32" s="13">
        <v>1</v>
      </c>
      <c r="N32" s="13">
        <v>4</v>
      </c>
      <c r="O32" s="13">
        <v>0.8</v>
      </c>
      <c r="P32" s="13">
        <v>0.7</v>
      </c>
      <c r="Q32" s="94">
        <f t="shared" si="0"/>
        <v>0.75</v>
      </c>
      <c r="R32" s="13">
        <v>14.3</v>
      </c>
      <c r="S32" s="13">
        <v>122</v>
      </c>
      <c r="T32" s="21">
        <f t="shared" si="1"/>
        <v>27</v>
      </c>
      <c r="U32" s="13">
        <v>398</v>
      </c>
      <c r="V32" s="95">
        <f t="shared" si="2"/>
        <v>2686.5</v>
      </c>
      <c r="W32" s="13">
        <v>17</v>
      </c>
      <c r="X32" s="13" t="s">
        <v>46</v>
      </c>
      <c r="Y32" s="13" t="s">
        <v>55</v>
      </c>
      <c r="Z32" s="13" t="s">
        <v>69</v>
      </c>
      <c r="AA32" s="13" t="s">
        <v>47</v>
      </c>
      <c r="AB32" s="13" t="s">
        <v>404</v>
      </c>
    </row>
    <row r="33" spans="1:28" x14ac:dyDescent="0.15">
      <c r="A33" s="13" t="s">
        <v>51</v>
      </c>
      <c r="B33" s="13" t="s">
        <v>332</v>
      </c>
      <c r="C33" s="13">
        <v>2020</v>
      </c>
      <c r="D33" s="93" t="s">
        <v>403</v>
      </c>
      <c r="E33" s="13" t="s">
        <v>181</v>
      </c>
      <c r="F33" s="13" t="s">
        <v>382</v>
      </c>
      <c r="G33" s="13" t="s">
        <v>36</v>
      </c>
      <c r="H33" s="13" t="s">
        <v>171</v>
      </c>
      <c r="I33" s="13" t="s">
        <v>142</v>
      </c>
      <c r="J33" s="13" t="s">
        <v>80</v>
      </c>
      <c r="K33" s="13" t="s">
        <v>68</v>
      </c>
      <c r="L33" s="13">
        <v>2</v>
      </c>
      <c r="N33" s="13">
        <v>4</v>
      </c>
      <c r="O33" s="13">
        <v>0.75</v>
      </c>
      <c r="P33" s="13">
        <v>1</v>
      </c>
      <c r="Q33" s="94">
        <f t="shared" si="0"/>
        <v>0.875</v>
      </c>
      <c r="R33" s="13">
        <v>13.6</v>
      </c>
      <c r="S33" s="13">
        <v>120</v>
      </c>
      <c r="T33" s="21">
        <f t="shared" si="1"/>
        <v>30</v>
      </c>
      <c r="U33" s="13">
        <v>398</v>
      </c>
      <c r="V33" s="95">
        <f t="shared" si="2"/>
        <v>2985</v>
      </c>
      <c r="W33" s="13">
        <v>17</v>
      </c>
      <c r="X33" s="13" t="s">
        <v>46</v>
      </c>
      <c r="Y33" s="13" t="s">
        <v>55</v>
      </c>
      <c r="Z33" s="13" t="s">
        <v>69</v>
      </c>
      <c r="AA33" s="13" t="s">
        <v>47</v>
      </c>
      <c r="AB33" s="13" t="s">
        <v>404</v>
      </c>
    </row>
    <row r="34" spans="1:28" x14ac:dyDescent="0.15">
      <c r="A34" s="13" t="s">
        <v>51</v>
      </c>
      <c r="B34" s="13" t="s">
        <v>332</v>
      </c>
      <c r="C34" s="13">
        <v>2020</v>
      </c>
      <c r="D34" s="93" t="s">
        <v>403</v>
      </c>
      <c r="E34" s="13" t="s">
        <v>181</v>
      </c>
      <c r="F34" s="13" t="s">
        <v>382</v>
      </c>
      <c r="G34" s="13" t="s">
        <v>36</v>
      </c>
      <c r="H34" s="13" t="s">
        <v>171</v>
      </c>
      <c r="I34" s="13" t="s">
        <v>142</v>
      </c>
      <c r="J34" s="13" t="s">
        <v>80</v>
      </c>
      <c r="K34" s="13" t="s">
        <v>68</v>
      </c>
      <c r="L34" s="13">
        <v>3</v>
      </c>
      <c r="N34" s="13">
        <v>4</v>
      </c>
      <c r="O34" s="13">
        <v>0.85</v>
      </c>
      <c r="P34" s="13">
        <v>0.8</v>
      </c>
      <c r="Q34" s="94">
        <f t="shared" si="0"/>
        <v>0.82499999999999996</v>
      </c>
      <c r="R34" s="13">
        <v>14</v>
      </c>
      <c r="S34" s="13">
        <v>118</v>
      </c>
      <c r="T34" s="21">
        <f t="shared" si="1"/>
        <v>30</v>
      </c>
      <c r="U34" s="13">
        <v>398</v>
      </c>
      <c r="V34" s="95">
        <f t="shared" si="2"/>
        <v>2985</v>
      </c>
      <c r="W34" s="13">
        <v>17</v>
      </c>
      <c r="X34" s="13" t="s">
        <v>46</v>
      </c>
      <c r="Y34" s="13" t="s">
        <v>55</v>
      </c>
      <c r="Z34" s="13" t="s">
        <v>69</v>
      </c>
      <c r="AA34" s="13" t="s">
        <v>47</v>
      </c>
      <c r="AB34" s="13" t="s">
        <v>404</v>
      </c>
    </row>
    <row r="35" spans="1:28" x14ac:dyDescent="0.15">
      <c r="A35" s="13" t="s">
        <v>51</v>
      </c>
      <c r="B35" s="13" t="s">
        <v>332</v>
      </c>
      <c r="C35" s="13">
        <v>2020</v>
      </c>
      <c r="D35" s="93" t="s">
        <v>403</v>
      </c>
      <c r="E35" s="13" t="s">
        <v>181</v>
      </c>
      <c r="F35" s="13" t="s">
        <v>382</v>
      </c>
      <c r="G35" s="13" t="s">
        <v>36</v>
      </c>
      <c r="H35" s="13" t="s">
        <v>146</v>
      </c>
      <c r="I35" s="13" t="s">
        <v>142</v>
      </c>
      <c r="J35" s="13" t="s">
        <v>38</v>
      </c>
      <c r="K35" s="13" t="s">
        <v>143</v>
      </c>
      <c r="L35" s="13">
        <v>1</v>
      </c>
      <c r="N35" s="13">
        <v>4</v>
      </c>
      <c r="O35" s="13">
        <v>0.8</v>
      </c>
      <c r="P35" s="13">
        <v>0.7</v>
      </c>
      <c r="Q35" s="94">
        <f t="shared" si="0"/>
        <v>0.75</v>
      </c>
      <c r="R35" s="13">
        <v>16.7</v>
      </c>
      <c r="S35" s="13">
        <v>110</v>
      </c>
      <c r="T35" s="21">
        <f t="shared" si="1"/>
        <v>33</v>
      </c>
      <c r="U35" s="13">
        <v>498</v>
      </c>
      <c r="V35" s="95">
        <f t="shared" si="2"/>
        <v>4108.5</v>
      </c>
      <c r="W35" s="13">
        <v>17</v>
      </c>
      <c r="X35" s="13" t="s">
        <v>46</v>
      </c>
      <c r="Y35" s="13" t="s">
        <v>55</v>
      </c>
      <c r="Z35" s="13" t="s">
        <v>69</v>
      </c>
      <c r="AA35" s="13" t="s">
        <v>47</v>
      </c>
      <c r="AB35" s="13" t="s">
        <v>404</v>
      </c>
    </row>
    <row r="36" spans="1:28" x14ac:dyDescent="0.15">
      <c r="A36" s="13" t="s">
        <v>51</v>
      </c>
      <c r="B36" s="13" t="s">
        <v>332</v>
      </c>
      <c r="C36" s="13">
        <v>2020</v>
      </c>
      <c r="D36" s="93" t="s">
        <v>403</v>
      </c>
      <c r="E36" s="13" t="s">
        <v>181</v>
      </c>
      <c r="F36" s="13" t="s">
        <v>382</v>
      </c>
      <c r="G36" s="13" t="s">
        <v>36</v>
      </c>
      <c r="H36" s="13" t="s">
        <v>146</v>
      </c>
      <c r="I36" s="13" t="s">
        <v>142</v>
      </c>
      <c r="J36" s="13" t="s">
        <v>38</v>
      </c>
      <c r="K36" s="13" t="s">
        <v>143</v>
      </c>
      <c r="L36" s="13">
        <v>2</v>
      </c>
      <c r="N36" s="13">
        <v>4</v>
      </c>
      <c r="O36" s="13">
        <v>0.85</v>
      </c>
      <c r="P36" s="13">
        <v>0.85</v>
      </c>
      <c r="Q36" s="94">
        <f t="shared" si="0"/>
        <v>0.85</v>
      </c>
      <c r="R36" s="13">
        <v>16.2</v>
      </c>
      <c r="S36" s="13">
        <v>110</v>
      </c>
      <c r="T36" s="21">
        <f t="shared" si="1"/>
        <v>33</v>
      </c>
      <c r="U36" s="13">
        <v>498</v>
      </c>
      <c r="V36" s="95">
        <f t="shared" si="2"/>
        <v>4108.5</v>
      </c>
      <c r="W36" s="13">
        <v>17</v>
      </c>
      <c r="X36" s="13" t="s">
        <v>46</v>
      </c>
      <c r="Y36" s="13" t="s">
        <v>55</v>
      </c>
      <c r="Z36" s="13" t="s">
        <v>69</v>
      </c>
      <c r="AA36" s="13" t="s">
        <v>47</v>
      </c>
      <c r="AB36" s="13" t="s">
        <v>404</v>
      </c>
    </row>
    <row r="37" spans="1:28" x14ac:dyDescent="0.15">
      <c r="A37" s="13" t="s">
        <v>51</v>
      </c>
      <c r="B37" s="13" t="s">
        <v>332</v>
      </c>
      <c r="C37" s="13">
        <v>2020</v>
      </c>
      <c r="D37" s="93" t="s">
        <v>403</v>
      </c>
      <c r="E37" s="13" t="s">
        <v>181</v>
      </c>
      <c r="F37" s="13" t="s">
        <v>382</v>
      </c>
      <c r="G37" s="13" t="s">
        <v>36</v>
      </c>
      <c r="H37" s="13" t="s">
        <v>146</v>
      </c>
      <c r="I37" s="13" t="s">
        <v>142</v>
      </c>
      <c r="J37" s="13" t="s">
        <v>38</v>
      </c>
      <c r="K37" s="13" t="s">
        <v>143</v>
      </c>
      <c r="L37" s="13">
        <v>3</v>
      </c>
      <c r="N37" s="13">
        <v>4</v>
      </c>
      <c r="O37" s="13">
        <v>0.65</v>
      </c>
      <c r="P37" s="13">
        <v>0.8</v>
      </c>
      <c r="Q37" s="94">
        <f t="shared" si="0"/>
        <v>0.72500000000000009</v>
      </c>
      <c r="R37" s="13">
        <v>16.5</v>
      </c>
      <c r="S37" s="13">
        <v>110</v>
      </c>
      <c r="T37" s="21">
        <f t="shared" si="1"/>
        <v>33</v>
      </c>
      <c r="U37" s="13">
        <v>498</v>
      </c>
      <c r="V37" s="95">
        <f t="shared" si="2"/>
        <v>4108.5</v>
      </c>
      <c r="W37" s="13">
        <v>17</v>
      </c>
      <c r="X37" s="13" t="s">
        <v>46</v>
      </c>
      <c r="Y37" s="13" t="s">
        <v>55</v>
      </c>
      <c r="Z37" s="13" t="s">
        <v>69</v>
      </c>
      <c r="AA37" s="13" t="s">
        <v>47</v>
      </c>
      <c r="AB37" s="13" t="s">
        <v>404</v>
      </c>
    </row>
    <row r="38" spans="1:28" x14ac:dyDescent="0.15">
      <c r="A38" s="13" t="s">
        <v>51</v>
      </c>
      <c r="B38" s="13" t="s">
        <v>332</v>
      </c>
      <c r="C38" s="13">
        <v>2020</v>
      </c>
      <c r="D38" s="93" t="s">
        <v>403</v>
      </c>
      <c r="E38" s="13" t="s">
        <v>181</v>
      </c>
      <c r="F38" s="13" t="s">
        <v>382</v>
      </c>
      <c r="G38" s="13" t="s">
        <v>36</v>
      </c>
      <c r="H38" s="13" t="s">
        <v>174</v>
      </c>
      <c r="I38" s="13" t="s">
        <v>142</v>
      </c>
      <c r="J38" s="13" t="s">
        <v>80</v>
      </c>
      <c r="K38" s="13" t="s">
        <v>45</v>
      </c>
      <c r="L38" s="13">
        <v>1</v>
      </c>
      <c r="N38" s="13">
        <v>5</v>
      </c>
      <c r="O38" s="13">
        <v>1.05</v>
      </c>
      <c r="P38" s="13">
        <v>1.1000000000000001</v>
      </c>
      <c r="Q38" s="94">
        <f t="shared" si="0"/>
        <v>1.0750000000000002</v>
      </c>
      <c r="R38" s="13">
        <v>14.9</v>
      </c>
      <c r="S38" s="13">
        <v>97</v>
      </c>
      <c r="T38" s="21">
        <f t="shared" si="1"/>
        <v>36</v>
      </c>
      <c r="U38" s="13">
        <v>398</v>
      </c>
      <c r="V38" s="95">
        <f t="shared" si="2"/>
        <v>2865.6</v>
      </c>
      <c r="W38" s="13">
        <v>17</v>
      </c>
      <c r="X38" s="13" t="s">
        <v>46</v>
      </c>
      <c r="Y38" s="13" t="s">
        <v>55</v>
      </c>
      <c r="Z38" s="13" t="s">
        <v>69</v>
      </c>
      <c r="AA38" s="13" t="s">
        <v>47</v>
      </c>
      <c r="AB38" s="13" t="s">
        <v>404</v>
      </c>
    </row>
    <row r="39" spans="1:28" x14ac:dyDescent="0.15">
      <c r="A39" s="13" t="s">
        <v>51</v>
      </c>
      <c r="B39" s="13" t="s">
        <v>332</v>
      </c>
      <c r="C39" s="13">
        <v>2020</v>
      </c>
      <c r="D39" s="93" t="s">
        <v>403</v>
      </c>
      <c r="E39" s="13" t="s">
        <v>181</v>
      </c>
      <c r="F39" s="13" t="s">
        <v>382</v>
      </c>
      <c r="G39" s="13" t="s">
        <v>36</v>
      </c>
      <c r="H39" s="13" t="s">
        <v>174</v>
      </c>
      <c r="I39" s="13" t="s">
        <v>142</v>
      </c>
      <c r="J39" s="13" t="s">
        <v>80</v>
      </c>
      <c r="K39" s="13" t="s">
        <v>45</v>
      </c>
      <c r="L39" s="13">
        <v>2</v>
      </c>
      <c r="N39" s="13">
        <v>5</v>
      </c>
      <c r="O39" s="13">
        <v>0.95</v>
      </c>
      <c r="P39" s="13">
        <v>1.2</v>
      </c>
      <c r="Q39" s="94">
        <f t="shared" si="0"/>
        <v>1.075</v>
      </c>
      <c r="R39" s="13">
        <v>14.6</v>
      </c>
      <c r="S39" s="13">
        <v>85</v>
      </c>
      <c r="T39" s="21">
        <f t="shared" si="1"/>
        <v>36</v>
      </c>
      <c r="U39" s="13">
        <v>398</v>
      </c>
      <c r="V39" s="95">
        <f t="shared" si="2"/>
        <v>2865.6</v>
      </c>
      <c r="W39" s="13">
        <v>17</v>
      </c>
      <c r="X39" s="13" t="s">
        <v>46</v>
      </c>
      <c r="Y39" s="13" t="s">
        <v>55</v>
      </c>
      <c r="Z39" s="13" t="s">
        <v>69</v>
      </c>
      <c r="AA39" s="13" t="s">
        <v>47</v>
      </c>
      <c r="AB39" s="13" t="s">
        <v>404</v>
      </c>
    </row>
    <row r="40" spans="1:28" x14ac:dyDescent="0.15">
      <c r="A40" s="13" t="s">
        <v>51</v>
      </c>
      <c r="B40" s="13" t="s">
        <v>332</v>
      </c>
      <c r="C40" s="13">
        <v>2020</v>
      </c>
      <c r="D40" s="93" t="s">
        <v>403</v>
      </c>
      <c r="E40" s="13" t="s">
        <v>181</v>
      </c>
      <c r="F40" s="13" t="s">
        <v>382</v>
      </c>
      <c r="G40" s="13" t="s">
        <v>36</v>
      </c>
      <c r="H40" s="13" t="s">
        <v>174</v>
      </c>
      <c r="I40" s="13" t="s">
        <v>142</v>
      </c>
      <c r="J40" s="13" t="s">
        <v>80</v>
      </c>
      <c r="K40" s="13" t="s">
        <v>45</v>
      </c>
      <c r="L40" s="13">
        <v>3</v>
      </c>
      <c r="N40" s="13">
        <v>5</v>
      </c>
      <c r="O40" s="13">
        <v>1</v>
      </c>
      <c r="P40" s="13">
        <v>1</v>
      </c>
      <c r="Q40" s="94">
        <f t="shared" si="0"/>
        <v>1</v>
      </c>
      <c r="R40" s="13">
        <v>14.3</v>
      </c>
      <c r="S40" s="13">
        <v>92</v>
      </c>
      <c r="T40" s="21">
        <f t="shared" si="1"/>
        <v>36</v>
      </c>
      <c r="U40" s="13">
        <v>398</v>
      </c>
      <c r="V40" s="95">
        <f t="shared" si="2"/>
        <v>2865.6</v>
      </c>
      <c r="W40" s="13">
        <v>17</v>
      </c>
      <c r="X40" s="13" t="s">
        <v>46</v>
      </c>
      <c r="Y40" s="13" t="s">
        <v>55</v>
      </c>
      <c r="Z40" s="13" t="s">
        <v>69</v>
      </c>
      <c r="AA40" s="13" t="s">
        <v>47</v>
      </c>
      <c r="AB40" s="13" t="s">
        <v>404</v>
      </c>
    </row>
    <row r="41" spans="1:28" x14ac:dyDescent="0.15">
      <c r="A41" s="13" t="s">
        <v>51</v>
      </c>
      <c r="B41" s="13" t="s">
        <v>332</v>
      </c>
      <c r="C41" s="13">
        <v>2020</v>
      </c>
      <c r="D41" s="93" t="s">
        <v>403</v>
      </c>
      <c r="E41" s="13" t="s">
        <v>183</v>
      </c>
      <c r="F41" s="13" t="s">
        <v>184</v>
      </c>
      <c r="G41" s="13" t="s">
        <v>36</v>
      </c>
      <c r="H41" s="13" t="s">
        <v>171</v>
      </c>
      <c r="I41" s="13" t="s">
        <v>142</v>
      </c>
      <c r="J41" s="13" t="s">
        <v>104</v>
      </c>
      <c r="K41" s="13" t="s">
        <v>195</v>
      </c>
      <c r="L41" s="13">
        <v>1</v>
      </c>
      <c r="N41" s="13">
        <v>1</v>
      </c>
      <c r="O41" s="13">
        <v>0.9</v>
      </c>
      <c r="P41" s="13">
        <v>0.95</v>
      </c>
      <c r="Q41" s="94">
        <f t="shared" si="0"/>
        <v>0.92500000000000004</v>
      </c>
      <c r="R41" s="13">
        <v>14</v>
      </c>
      <c r="S41" s="13">
        <v>136</v>
      </c>
      <c r="T41" s="21">
        <f t="shared" si="1"/>
        <v>25</v>
      </c>
      <c r="U41" s="13">
        <v>98</v>
      </c>
      <c r="V41" s="95">
        <f t="shared" si="2"/>
        <v>2450</v>
      </c>
      <c r="W41" s="13">
        <v>8</v>
      </c>
      <c r="X41" s="13" t="s">
        <v>46</v>
      </c>
      <c r="Y41" s="13" t="s">
        <v>69</v>
      </c>
      <c r="Z41" s="13" t="s">
        <v>90</v>
      </c>
      <c r="AA41" s="13" t="s">
        <v>47</v>
      </c>
      <c r="AB41" s="13" t="s">
        <v>404</v>
      </c>
    </row>
    <row r="42" spans="1:28" x14ac:dyDescent="0.15">
      <c r="A42" s="13" t="s">
        <v>51</v>
      </c>
      <c r="B42" s="13" t="s">
        <v>332</v>
      </c>
      <c r="C42" s="13">
        <v>2020</v>
      </c>
      <c r="D42" s="93" t="s">
        <v>403</v>
      </c>
      <c r="E42" s="13" t="s">
        <v>183</v>
      </c>
      <c r="F42" s="13" t="s">
        <v>184</v>
      </c>
      <c r="G42" s="13" t="s">
        <v>36</v>
      </c>
      <c r="H42" s="13" t="s">
        <v>171</v>
      </c>
      <c r="I42" s="13" t="s">
        <v>142</v>
      </c>
      <c r="J42" s="13" t="s">
        <v>104</v>
      </c>
      <c r="K42" s="13" t="s">
        <v>195</v>
      </c>
      <c r="L42" s="13">
        <v>2</v>
      </c>
      <c r="N42" s="13">
        <v>1</v>
      </c>
      <c r="O42" s="13">
        <v>0.25</v>
      </c>
      <c r="P42" s="13">
        <v>0.25</v>
      </c>
      <c r="Q42" s="94">
        <f t="shared" si="0"/>
        <v>0.25</v>
      </c>
      <c r="R42" s="13">
        <v>13.8</v>
      </c>
      <c r="S42" s="13">
        <v>136</v>
      </c>
      <c r="T42" s="21">
        <f t="shared" si="1"/>
        <v>25</v>
      </c>
      <c r="U42" s="13">
        <v>98</v>
      </c>
      <c r="V42" s="95">
        <f t="shared" si="2"/>
        <v>2450</v>
      </c>
      <c r="W42" s="13">
        <v>8</v>
      </c>
      <c r="X42" s="13" t="s">
        <v>46</v>
      </c>
      <c r="Y42" s="13" t="s">
        <v>69</v>
      </c>
      <c r="Z42" s="13" t="s">
        <v>90</v>
      </c>
      <c r="AA42" s="13" t="s">
        <v>47</v>
      </c>
      <c r="AB42" s="13" t="s">
        <v>404</v>
      </c>
    </row>
    <row r="43" spans="1:28" x14ac:dyDescent="0.15">
      <c r="A43" s="13" t="s">
        <v>51</v>
      </c>
      <c r="B43" s="13" t="s">
        <v>332</v>
      </c>
      <c r="C43" s="13">
        <v>2020</v>
      </c>
      <c r="D43" s="93" t="s">
        <v>403</v>
      </c>
      <c r="E43" s="13" t="s">
        <v>183</v>
      </c>
      <c r="F43" s="13" t="s">
        <v>184</v>
      </c>
      <c r="G43" s="13" t="s">
        <v>36</v>
      </c>
      <c r="H43" s="13" t="s">
        <v>171</v>
      </c>
      <c r="I43" s="13" t="s">
        <v>142</v>
      </c>
      <c r="J43" s="13" t="s">
        <v>104</v>
      </c>
      <c r="K43" s="13" t="s">
        <v>195</v>
      </c>
      <c r="L43" s="13">
        <v>3</v>
      </c>
      <c r="N43" s="13">
        <v>1</v>
      </c>
      <c r="O43" s="13">
        <v>0.75</v>
      </c>
      <c r="P43" s="13">
        <v>0.8</v>
      </c>
      <c r="Q43" s="94">
        <f t="shared" si="0"/>
        <v>0.77500000000000002</v>
      </c>
      <c r="R43" s="13">
        <v>14.6</v>
      </c>
      <c r="S43" s="13">
        <v>150</v>
      </c>
      <c r="T43" s="21">
        <f t="shared" si="1"/>
        <v>22</v>
      </c>
      <c r="U43" s="13">
        <v>98</v>
      </c>
      <c r="V43" s="95">
        <f t="shared" si="2"/>
        <v>2156</v>
      </c>
      <c r="W43" s="13">
        <v>8</v>
      </c>
      <c r="X43" s="13" t="s">
        <v>46</v>
      </c>
      <c r="Y43" s="13" t="s">
        <v>69</v>
      </c>
      <c r="Z43" s="13" t="s">
        <v>90</v>
      </c>
      <c r="AA43" s="13" t="s">
        <v>47</v>
      </c>
      <c r="AB43" s="13" t="s">
        <v>404</v>
      </c>
    </row>
    <row r="44" spans="1:28" x14ac:dyDescent="0.15">
      <c r="A44" s="13" t="s">
        <v>51</v>
      </c>
      <c r="B44" s="13" t="s">
        <v>332</v>
      </c>
      <c r="C44" s="13">
        <v>2020</v>
      </c>
      <c r="D44" s="93" t="s">
        <v>403</v>
      </c>
      <c r="E44" s="13" t="s">
        <v>183</v>
      </c>
      <c r="F44" s="13" t="s">
        <v>184</v>
      </c>
      <c r="G44" s="13" t="s">
        <v>36</v>
      </c>
      <c r="H44" s="13" t="s">
        <v>171</v>
      </c>
      <c r="I44" s="13" t="s">
        <v>142</v>
      </c>
      <c r="J44" s="13" t="s">
        <v>53</v>
      </c>
      <c r="K44" s="13" t="s">
        <v>54</v>
      </c>
      <c r="L44" s="13">
        <v>1</v>
      </c>
      <c r="N44" s="13">
        <v>5</v>
      </c>
      <c r="O44" s="13">
        <v>1.5</v>
      </c>
      <c r="P44" s="13">
        <v>1.3</v>
      </c>
      <c r="Q44" s="94">
        <f t="shared" si="0"/>
        <v>1.4</v>
      </c>
      <c r="R44" s="13">
        <v>13.8</v>
      </c>
      <c r="S44" s="13">
        <v>93</v>
      </c>
      <c r="T44" s="21">
        <f t="shared" si="1"/>
        <v>36</v>
      </c>
      <c r="U44" s="13">
        <v>398</v>
      </c>
      <c r="V44" s="95">
        <f t="shared" si="2"/>
        <v>2865.6</v>
      </c>
      <c r="W44" s="13">
        <v>8</v>
      </c>
      <c r="X44" s="13" t="s">
        <v>46</v>
      </c>
      <c r="Y44" s="13" t="s">
        <v>69</v>
      </c>
      <c r="Z44" s="13" t="s">
        <v>90</v>
      </c>
      <c r="AA44" s="13" t="s">
        <v>47</v>
      </c>
      <c r="AB44" s="13" t="s">
        <v>404</v>
      </c>
    </row>
    <row r="45" spans="1:28" x14ac:dyDescent="0.15">
      <c r="A45" s="13" t="s">
        <v>51</v>
      </c>
      <c r="B45" s="13" t="s">
        <v>332</v>
      </c>
      <c r="C45" s="13">
        <v>2020</v>
      </c>
      <c r="D45" s="93" t="s">
        <v>403</v>
      </c>
      <c r="E45" s="13" t="s">
        <v>183</v>
      </c>
      <c r="F45" s="13" t="s">
        <v>184</v>
      </c>
      <c r="G45" s="13" t="s">
        <v>36</v>
      </c>
      <c r="H45" s="13" t="s">
        <v>171</v>
      </c>
      <c r="I45" s="13" t="s">
        <v>142</v>
      </c>
      <c r="J45" s="13" t="s">
        <v>53</v>
      </c>
      <c r="K45" s="13" t="s">
        <v>54</v>
      </c>
      <c r="L45" s="13">
        <v>2</v>
      </c>
      <c r="N45" s="13">
        <v>5</v>
      </c>
      <c r="O45" s="13">
        <v>1.6</v>
      </c>
      <c r="P45" s="13">
        <v>1.5</v>
      </c>
      <c r="Q45" s="94">
        <f t="shared" si="0"/>
        <v>1.55</v>
      </c>
      <c r="R45" s="13">
        <v>13.4</v>
      </c>
      <c r="S45" s="13">
        <v>95</v>
      </c>
      <c r="T45" s="21">
        <f t="shared" si="1"/>
        <v>36</v>
      </c>
      <c r="U45" s="13">
        <v>398</v>
      </c>
      <c r="V45" s="95">
        <f t="shared" si="2"/>
        <v>2865.6</v>
      </c>
      <c r="W45" s="13">
        <v>8</v>
      </c>
      <c r="X45" s="13" t="s">
        <v>46</v>
      </c>
      <c r="Y45" s="13" t="s">
        <v>69</v>
      </c>
      <c r="Z45" s="13" t="s">
        <v>90</v>
      </c>
      <c r="AA45" s="13" t="s">
        <v>47</v>
      </c>
      <c r="AB45" s="13" t="s">
        <v>404</v>
      </c>
    </row>
    <row r="46" spans="1:28" x14ac:dyDescent="0.15">
      <c r="A46" s="13" t="s">
        <v>51</v>
      </c>
      <c r="B46" s="13" t="s">
        <v>332</v>
      </c>
      <c r="C46" s="13">
        <v>2020</v>
      </c>
      <c r="D46" s="93" t="s">
        <v>403</v>
      </c>
      <c r="E46" s="13" t="s">
        <v>183</v>
      </c>
      <c r="F46" s="13" t="s">
        <v>184</v>
      </c>
      <c r="G46" s="13" t="s">
        <v>36</v>
      </c>
      <c r="H46" s="13" t="s">
        <v>171</v>
      </c>
      <c r="I46" s="13" t="s">
        <v>142</v>
      </c>
      <c r="J46" s="13" t="s">
        <v>53</v>
      </c>
      <c r="K46" s="13" t="s">
        <v>54</v>
      </c>
      <c r="L46" s="13">
        <v>3</v>
      </c>
      <c r="N46" s="13">
        <v>5</v>
      </c>
      <c r="O46" s="13">
        <v>1.35</v>
      </c>
      <c r="P46" s="13">
        <v>1.4</v>
      </c>
      <c r="Q46" s="94">
        <f t="shared" si="0"/>
        <v>1.375</v>
      </c>
      <c r="R46" s="13">
        <v>13.7</v>
      </c>
      <c r="S46" s="13">
        <v>98</v>
      </c>
      <c r="T46" s="21">
        <f t="shared" si="1"/>
        <v>36</v>
      </c>
      <c r="U46" s="13">
        <v>398</v>
      </c>
      <c r="V46" s="95">
        <f t="shared" si="2"/>
        <v>2865.6</v>
      </c>
      <c r="W46" s="13">
        <v>8</v>
      </c>
      <c r="X46" s="13" t="s">
        <v>46</v>
      </c>
      <c r="Y46" s="13" t="s">
        <v>69</v>
      </c>
      <c r="Z46" s="13" t="s">
        <v>90</v>
      </c>
      <c r="AA46" s="13" t="s">
        <v>47</v>
      </c>
      <c r="AB46" s="13" t="s">
        <v>404</v>
      </c>
    </row>
    <row r="47" spans="1:28" x14ac:dyDescent="0.15">
      <c r="A47" s="13" t="s">
        <v>51</v>
      </c>
      <c r="B47" s="13" t="s">
        <v>332</v>
      </c>
      <c r="C47" s="13">
        <v>2020</v>
      </c>
      <c r="D47" s="93" t="s">
        <v>403</v>
      </c>
      <c r="E47" s="13" t="s">
        <v>183</v>
      </c>
      <c r="F47" s="13" t="s">
        <v>184</v>
      </c>
      <c r="G47" s="13" t="s">
        <v>36</v>
      </c>
      <c r="H47" s="13" t="s">
        <v>146</v>
      </c>
      <c r="I47" s="13" t="s">
        <v>142</v>
      </c>
      <c r="J47" s="13" t="s">
        <v>38</v>
      </c>
      <c r="K47" s="13" t="s">
        <v>143</v>
      </c>
      <c r="L47" s="13">
        <v>1</v>
      </c>
      <c r="N47" s="13">
        <v>4</v>
      </c>
      <c r="O47" s="13">
        <v>0.75</v>
      </c>
      <c r="P47" s="13">
        <v>0.75</v>
      </c>
      <c r="Q47" s="94">
        <f t="shared" si="0"/>
        <v>0.75</v>
      </c>
      <c r="R47" s="13">
        <v>15.7</v>
      </c>
      <c r="S47" s="13">
        <v>96</v>
      </c>
      <c r="T47" s="21">
        <f t="shared" si="1"/>
        <v>36</v>
      </c>
      <c r="U47" s="13">
        <v>398</v>
      </c>
      <c r="V47" s="95">
        <f t="shared" si="2"/>
        <v>3582</v>
      </c>
      <c r="W47" s="13">
        <v>8</v>
      </c>
      <c r="X47" s="13" t="s">
        <v>46</v>
      </c>
      <c r="Y47" s="13" t="s">
        <v>69</v>
      </c>
      <c r="Z47" s="13" t="s">
        <v>90</v>
      </c>
      <c r="AA47" s="13" t="s">
        <v>47</v>
      </c>
      <c r="AB47" s="13" t="s">
        <v>404</v>
      </c>
    </row>
    <row r="48" spans="1:28" x14ac:dyDescent="0.15">
      <c r="A48" s="13" t="s">
        <v>51</v>
      </c>
      <c r="B48" s="13" t="s">
        <v>332</v>
      </c>
      <c r="C48" s="13">
        <v>2020</v>
      </c>
      <c r="D48" s="93" t="s">
        <v>403</v>
      </c>
      <c r="E48" s="13" t="s">
        <v>183</v>
      </c>
      <c r="F48" s="13" t="s">
        <v>184</v>
      </c>
      <c r="G48" s="13" t="s">
        <v>36</v>
      </c>
      <c r="H48" s="13" t="s">
        <v>146</v>
      </c>
      <c r="I48" s="13" t="s">
        <v>142</v>
      </c>
      <c r="J48" s="13" t="s">
        <v>38</v>
      </c>
      <c r="K48" s="13" t="s">
        <v>143</v>
      </c>
      <c r="L48" s="13">
        <v>2</v>
      </c>
      <c r="N48" s="13">
        <v>4</v>
      </c>
      <c r="O48" s="13">
        <v>0.7</v>
      </c>
      <c r="P48" s="13">
        <v>0.8</v>
      </c>
      <c r="Q48" s="94">
        <f t="shared" si="0"/>
        <v>0.75</v>
      </c>
      <c r="R48" s="13">
        <v>16.5</v>
      </c>
      <c r="S48" s="13">
        <v>108</v>
      </c>
      <c r="T48" s="21">
        <f t="shared" si="1"/>
        <v>33</v>
      </c>
      <c r="U48" s="13">
        <v>398</v>
      </c>
      <c r="V48" s="95">
        <f t="shared" si="2"/>
        <v>3283.5</v>
      </c>
      <c r="W48" s="13">
        <v>8</v>
      </c>
      <c r="X48" s="13" t="s">
        <v>46</v>
      </c>
      <c r="Y48" s="13" t="s">
        <v>69</v>
      </c>
      <c r="Z48" s="13" t="s">
        <v>90</v>
      </c>
      <c r="AA48" s="13" t="s">
        <v>47</v>
      </c>
      <c r="AB48" s="13" t="s">
        <v>404</v>
      </c>
    </row>
    <row r="49" spans="1:28" x14ac:dyDescent="0.15">
      <c r="A49" s="13" t="s">
        <v>51</v>
      </c>
      <c r="B49" s="13" t="s">
        <v>332</v>
      </c>
      <c r="C49" s="13">
        <v>2020</v>
      </c>
      <c r="D49" s="93" t="s">
        <v>403</v>
      </c>
      <c r="E49" s="13" t="s">
        <v>183</v>
      </c>
      <c r="F49" s="13" t="s">
        <v>184</v>
      </c>
      <c r="G49" s="13" t="s">
        <v>36</v>
      </c>
      <c r="H49" s="13" t="s">
        <v>146</v>
      </c>
      <c r="I49" s="13" t="s">
        <v>142</v>
      </c>
      <c r="J49" s="13" t="s">
        <v>38</v>
      </c>
      <c r="K49" s="13" t="s">
        <v>143</v>
      </c>
      <c r="L49" s="13">
        <v>3</v>
      </c>
      <c r="N49" s="13">
        <v>4</v>
      </c>
      <c r="O49" s="13">
        <v>0.8</v>
      </c>
      <c r="P49" s="13">
        <v>0.75</v>
      </c>
      <c r="Q49" s="94">
        <f t="shared" si="0"/>
        <v>0.77500000000000002</v>
      </c>
      <c r="R49" s="13">
        <v>16.899999999999999</v>
      </c>
      <c r="S49" s="13">
        <v>112</v>
      </c>
      <c r="T49" s="21">
        <f t="shared" si="1"/>
        <v>33</v>
      </c>
      <c r="U49" s="13">
        <v>398</v>
      </c>
      <c r="V49" s="95">
        <f t="shared" si="2"/>
        <v>3283.5</v>
      </c>
      <c r="W49" s="13">
        <v>8</v>
      </c>
      <c r="X49" s="13" t="s">
        <v>46</v>
      </c>
      <c r="Y49" s="13" t="s">
        <v>69</v>
      </c>
      <c r="Z49" s="13" t="s">
        <v>90</v>
      </c>
      <c r="AA49" s="13" t="s">
        <v>47</v>
      </c>
      <c r="AB49" s="13" t="s">
        <v>404</v>
      </c>
    </row>
    <row r="50" spans="1:28" x14ac:dyDescent="0.15">
      <c r="A50" s="13" t="s">
        <v>51</v>
      </c>
      <c r="B50" s="13" t="s">
        <v>332</v>
      </c>
      <c r="C50" s="13">
        <v>2020</v>
      </c>
      <c r="D50" s="93" t="s">
        <v>403</v>
      </c>
      <c r="E50" s="13" t="s">
        <v>149</v>
      </c>
      <c r="F50" s="13" t="s">
        <v>170</v>
      </c>
      <c r="G50" s="13" t="s">
        <v>36</v>
      </c>
      <c r="H50" s="13" t="s">
        <v>146</v>
      </c>
      <c r="I50" s="13" t="s">
        <v>142</v>
      </c>
      <c r="J50" s="13" t="s">
        <v>38</v>
      </c>
      <c r="K50" s="13" t="s">
        <v>143</v>
      </c>
      <c r="L50" s="13">
        <v>1</v>
      </c>
      <c r="N50" s="13">
        <v>1</v>
      </c>
      <c r="O50" s="13">
        <v>0.65</v>
      </c>
      <c r="P50" s="13">
        <v>0.7</v>
      </c>
      <c r="Q50" s="94">
        <f t="shared" si="0"/>
        <v>0.67500000000000004</v>
      </c>
      <c r="R50" s="13">
        <v>18.2</v>
      </c>
      <c r="S50" s="13">
        <v>142</v>
      </c>
      <c r="T50" s="21">
        <f t="shared" si="1"/>
        <v>22</v>
      </c>
      <c r="U50" s="13">
        <v>128</v>
      </c>
      <c r="V50" s="95">
        <f t="shared" si="2"/>
        <v>2816</v>
      </c>
      <c r="W50" s="13">
        <v>16</v>
      </c>
      <c r="X50" s="13" t="s">
        <v>46</v>
      </c>
      <c r="Y50" s="13" t="s">
        <v>40</v>
      </c>
      <c r="Z50" s="13" t="s">
        <v>69</v>
      </c>
      <c r="AA50" s="13" t="s">
        <v>55</v>
      </c>
      <c r="AB50" s="13" t="s">
        <v>404</v>
      </c>
    </row>
    <row r="51" spans="1:28" x14ac:dyDescent="0.15">
      <c r="A51" s="13" t="s">
        <v>51</v>
      </c>
      <c r="B51" s="13" t="s">
        <v>332</v>
      </c>
      <c r="C51" s="13">
        <v>2020</v>
      </c>
      <c r="D51" s="93" t="s">
        <v>403</v>
      </c>
      <c r="E51" s="13" t="s">
        <v>149</v>
      </c>
      <c r="F51" s="13" t="s">
        <v>170</v>
      </c>
      <c r="G51" s="13" t="s">
        <v>36</v>
      </c>
      <c r="H51" s="13" t="s">
        <v>146</v>
      </c>
      <c r="I51" s="13" t="s">
        <v>142</v>
      </c>
      <c r="J51" s="13" t="s">
        <v>38</v>
      </c>
      <c r="K51" s="13" t="s">
        <v>143</v>
      </c>
      <c r="L51" s="13">
        <v>2</v>
      </c>
      <c r="N51" s="13">
        <v>1</v>
      </c>
      <c r="O51" s="13">
        <v>0.7</v>
      </c>
      <c r="P51" s="13">
        <v>0.6</v>
      </c>
      <c r="Q51" s="94">
        <f t="shared" si="0"/>
        <v>0.64999999999999991</v>
      </c>
      <c r="R51" s="13">
        <v>18.600000000000001</v>
      </c>
      <c r="S51" s="13">
        <v>150</v>
      </c>
      <c r="T51" s="21">
        <f t="shared" si="1"/>
        <v>22</v>
      </c>
      <c r="U51" s="13">
        <v>128</v>
      </c>
      <c r="V51" s="95">
        <f t="shared" si="2"/>
        <v>2816</v>
      </c>
      <c r="W51" s="13">
        <v>16</v>
      </c>
      <c r="X51" s="13" t="s">
        <v>46</v>
      </c>
      <c r="Y51" s="13" t="s">
        <v>40</v>
      </c>
      <c r="Z51" s="13" t="s">
        <v>69</v>
      </c>
      <c r="AA51" s="13" t="s">
        <v>55</v>
      </c>
      <c r="AB51" s="13" t="s">
        <v>404</v>
      </c>
    </row>
    <row r="52" spans="1:28" x14ac:dyDescent="0.15">
      <c r="A52" s="13" t="s">
        <v>51</v>
      </c>
      <c r="B52" s="13" t="s">
        <v>332</v>
      </c>
      <c r="C52" s="13">
        <v>2020</v>
      </c>
      <c r="D52" s="93" t="s">
        <v>403</v>
      </c>
      <c r="E52" s="13" t="s">
        <v>149</v>
      </c>
      <c r="F52" s="13" t="s">
        <v>170</v>
      </c>
      <c r="G52" s="13" t="s">
        <v>36</v>
      </c>
      <c r="H52" s="13" t="s">
        <v>146</v>
      </c>
      <c r="I52" s="13" t="s">
        <v>142</v>
      </c>
      <c r="J52" s="13" t="s">
        <v>38</v>
      </c>
      <c r="K52" s="13" t="s">
        <v>143</v>
      </c>
      <c r="L52" s="13">
        <v>3</v>
      </c>
      <c r="N52" s="13">
        <v>1</v>
      </c>
      <c r="O52" s="13">
        <v>0.65</v>
      </c>
      <c r="P52" s="13">
        <v>0.65</v>
      </c>
      <c r="Q52" s="94">
        <f t="shared" si="0"/>
        <v>0.65</v>
      </c>
      <c r="R52" s="13">
        <v>17.899999999999999</v>
      </c>
      <c r="S52" s="13">
        <v>142</v>
      </c>
      <c r="T52" s="21">
        <f t="shared" si="1"/>
        <v>22</v>
      </c>
      <c r="U52" s="13">
        <v>128</v>
      </c>
      <c r="V52" s="95">
        <f t="shared" si="2"/>
        <v>2816</v>
      </c>
      <c r="W52" s="13">
        <v>16</v>
      </c>
      <c r="X52" s="13" t="s">
        <v>46</v>
      </c>
      <c r="Y52" s="13" t="s">
        <v>40</v>
      </c>
      <c r="Z52" s="13" t="s">
        <v>69</v>
      </c>
      <c r="AA52" s="13" t="s">
        <v>55</v>
      </c>
      <c r="AB52" s="13" t="s">
        <v>404</v>
      </c>
    </row>
    <row r="53" spans="1:28" x14ac:dyDescent="0.15">
      <c r="A53" s="13" t="s">
        <v>51</v>
      </c>
      <c r="B53" s="13" t="s">
        <v>332</v>
      </c>
      <c r="C53" s="13">
        <v>2020</v>
      </c>
      <c r="D53" s="93" t="s">
        <v>403</v>
      </c>
      <c r="E53" s="13" t="s">
        <v>186</v>
      </c>
      <c r="F53" s="13" t="s">
        <v>170</v>
      </c>
      <c r="G53" s="13" t="s">
        <v>36</v>
      </c>
      <c r="H53" s="13" t="s">
        <v>171</v>
      </c>
      <c r="I53" s="13" t="s">
        <v>142</v>
      </c>
      <c r="J53" s="13" t="s">
        <v>53</v>
      </c>
      <c r="K53" s="13" t="s">
        <v>54</v>
      </c>
      <c r="L53" s="13">
        <v>1</v>
      </c>
      <c r="N53" s="13">
        <v>1</v>
      </c>
      <c r="O53" s="13">
        <v>0.6</v>
      </c>
      <c r="P53" s="13">
        <v>0.6</v>
      </c>
      <c r="Q53" s="94">
        <f t="shared" si="0"/>
        <v>0.6</v>
      </c>
      <c r="R53" s="13">
        <v>15</v>
      </c>
      <c r="S53" s="13">
        <v>132</v>
      </c>
      <c r="T53" s="21">
        <f t="shared" si="1"/>
        <v>25</v>
      </c>
      <c r="U53" s="13">
        <v>128</v>
      </c>
      <c r="V53" s="95">
        <f t="shared" si="2"/>
        <v>3200</v>
      </c>
      <c r="W53" s="13">
        <v>24</v>
      </c>
      <c r="X53" s="13" t="s">
        <v>46</v>
      </c>
      <c r="Y53" s="13" t="s">
        <v>55</v>
      </c>
      <c r="Z53" s="13" t="s">
        <v>40</v>
      </c>
      <c r="AA53" s="13" t="s">
        <v>90</v>
      </c>
      <c r="AB53" s="13" t="s">
        <v>404</v>
      </c>
    </row>
    <row r="54" spans="1:28" x14ac:dyDescent="0.15">
      <c r="A54" s="13" t="s">
        <v>51</v>
      </c>
      <c r="B54" s="13" t="s">
        <v>332</v>
      </c>
      <c r="C54" s="13">
        <v>2020</v>
      </c>
      <c r="D54" s="93" t="s">
        <v>403</v>
      </c>
      <c r="E54" s="13" t="s">
        <v>186</v>
      </c>
      <c r="F54" s="13" t="s">
        <v>170</v>
      </c>
      <c r="G54" s="13" t="s">
        <v>36</v>
      </c>
      <c r="H54" s="13" t="s">
        <v>171</v>
      </c>
      <c r="I54" s="13" t="s">
        <v>142</v>
      </c>
      <c r="J54" s="13" t="s">
        <v>53</v>
      </c>
      <c r="K54" s="13" t="s">
        <v>54</v>
      </c>
      <c r="L54" s="13">
        <v>2</v>
      </c>
      <c r="N54" s="13">
        <v>1</v>
      </c>
      <c r="O54" s="13">
        <v>0.65</v>
      </c>
      <c r="P54" s="13">
        <v>0.55000000000000004</v>
      </c>
      <c r="Q54" s="94">
        <f t="shared" si="0"/>
        <v>0.60000000000000009</v>
      </c>
      <c r="R54" s="13">
        <v>14.3</v>
      </c>
      <c r="S54" s="13">
        <v>128</v>
      </c>
      <c r="T54" s="21">
        <f t="shared" si="1"/>
        <v>27</v>
      </c>
      <c r="U54" s="13">
        <v>128</v>
      </c>
      <c r="V54" s="95">
        <f t="shared" si="2"/>
        <v>3456</v>
      </c>
      <c r="W54" s="13">
        <v>24</v>
      </c>
      <c r="X54" s="13" t="s">
        <v>46</v>
      </c>
      <c r="Y54" s="13" t="s">
        <v>55</v>
      </c>
      <c r="Z54" s="13" t="s">
        <v>40</v>
      </c>
      <c r="AA54" s="13" t="s">
        <v>90</v>
      </c>
      <c r="AB54" s="13" t="s">
        <v>404</v>
      </c>
    </row>
    <row r="55" spans="1:28" x14ac:dyDescent="0.15">
      <c r="A55" s="13" t="s">
        <v>51</v>
      </c>
      <c r="B55" s="13" t="s">
        <v>332</v>
      </c>
      <c r="C55" s="13">
        <v>2020</v>
      </c>
      <c r="D55" s="93" t="s">
        <v>403</v>
      </c>
      <c r="E55" s="13" t="s">
        <v>186</v>
      </c>
      <c r="F55" s="13" t="s">
        <v>170</v>
      </c>
      <c r="G55" s="13" t="s">
        <v>36</v>
      </c>
      <c r="H55" s="13" t="s">
        <v>171</v>
      </c>
      <c r="I55" s="13" t="s">
        <v>142</v>
      </c>
      <c r="J55" s="13" t="s">
        <v>53</v>
      </c>
      <c r="K55" s="13" t="s">
        <v>54</v>
      </c>
      <c r="L55" s="13">
        <v>3</v>
      </c>
      <c r="N55" s="13">
        <v>1</v>
      </c>
      <c r="O55" s="13">
        <v>0.65</v>
      </c>
      <c r="P55" s="13">
        <v>0.7</v>
      </c>
      <c r="Q55" s="94">
        <f t="shared" si="0"/>
        <v>0.67500000000000004</v>
      </c>
      <c r="R55" s="13">
        <v>14.6</v>
      </c>
      <c r="S55" s="13">
        <v>134</v>
      </c>
      <c r="T55" s="21">
        <f t="shared" si="1"/>
        <v>25</v>
      </c>
      <c r="U55" s="13">
        <v>128</v>
      </c>
      <c r="V55" s="95">
        <f t="shared" si="2"/>
        <v>3200</v>
      </c>
      <c r="W55" s="13">
        <v>24</v>
      </c>
      <c r="X55" s="13" t="s">
        <v>46</v>
      </c>
      <c r="Y55" s="13" t="s">
        <v>55</v>
      </c>
      <c r="Z55" s="13" t="s">
        <v>40</v>
      </c>
      <c r="AA55" s="13" t="s">
        <v>90</v>
      </c>
      <c r="AB55" s="13" t="s">
        <v>404</v>
      </c>
    </row>
    <row r="56" spans="1:28" x14ac:dyDescent="0.15">
      <c r="A56" s="13" t="s">
        <v>51</v>
      </c>
      <c r="B56" s="13" t="s">
        <v>332</v>
      </c>
      <c r="C56" s="13">
        <v>2020</v>
      </c>
      <c r="D56" s="93" t="s">
        <v>403</v>
      </c>
      <c r="E56" s="13" t="s">
        <v>186</v>
      </c>
      <c r="F56" s="13" t="s">
        <v>170</v>
      </c>
      <c r="G56" s="13" t="s">
        <v>36</v>
      </c>
      <c r="H56" s="13" t="s">
        <v>146</v>
      </c>
      <c r="I56" s="13" t="s">
        <v>142</v>
      </c>
      <c r="J56" s="13" t="s">
        <v>38</v>
      </c>
      <c r="K56" s="13" t="s">
        <v>143</v>
      </c>
      <c r="L56" s="13">
        <v>1</v>
      </c>
      <c r="N56" s="13">
        <v>3</v>
      </c>
      <c r="O56" s="13">
        <v>0.7</v>
      </c>
      <c r="P56" s="13">
        <v>0.6</v>
      </c>
      <c r="Q56" s="94">
        <f t="shared" si="0"/>
        <v>0.64999999999999991</v>
      </c>
      <c r="R56" s="13">
        <v>18</v>
      </c>
      <c r="S56" s="13">
        <v>142</v>
      </c>
      <c r="T56" s="21">
        <f t="shared" si="1"/>
        <v>22</v>
      </c>
      <c r="U56" s="13">
        <v>398</v>
      </c>
      <c r="V56" s="95">
        <f t="shared" si="2"/>
        <v>2918.6666666666665</v>
      </c>
      <c r="W56" s="13">
        <v>24</v>
      </c>
      <c r="X56" s="13" t="s">
        <v>46</v>
      </c>
      <c r="Y56" s="13" t="s">
        <v>55</v>
      </c>
      <c r="Z56" s="13" t="s">
        <v>40</v>
      </c>
      <c r="AA56" s="13" t="s">
        <v>90</v>
      </c>
      <c r="AB56" s="13" t="s">
        <v>404</v>
      </c>
    </row>
    <row r="57" spans="1:28" x14ac:dyDescent="0.15">
      <c r="A57" s="13" t="s">
        <v>51</v>
      </c>
      <c r="B57" s="13" t="s">
        <v>332</v>
      </c>
      <c r="C57" s="13">
        <v>2020</v>
      </c>
      <c r="D57" s="93" t="s">
        <v>403</v>
      </c>
      <c r="E57" s="13" t="s">
        <v>186</v>
      </c>
      <c r="F57" s="13" t="s">
        <v>170</v>
      </c>
      <c r="G57" s="13" t="s">
        <v>36</v>
      </c>
      <c r="H57" s="13" t="s">
        <v>146</v>
      </c>
      <c r="I57" s="13" t="s">
        <v>142</v>
      </c>
      <c r="J57" s="13" t="s">
        <v>38</v>
      </c>
      <c r="K57" s="13" t="s">
        <v>143</v>
      </c>
      <c r="L57" s="13">
        <v>2</v>
      </c>
      <c r="N57" s="13">
        <v>3</v>
      </c>
      <c r="O57" s="13">
        <v>0.65</v>
      </c>
      <c r="P57" s="13">
        <v>0.65</v>
      </c>
      <c r="Q57" s="94">
        <f t="shared" si="0"/>
        <v>0.65</v>
      </c>
      <c r="R57" s="13">
        <v>19.399999999999999</v>
      </c>
      <c r="S57" s="13">
        <v>152</v>
      </c>
      <c r="T57" s="21">
        <f t="shared" si="1"/>
        <v>18</v>
      </c>
      <c r="U57" s="13">
        <v>398</v>
      </c>
      <c r="V57" s="95">
        <f t="shared" si="2"/>
        <v>2388</v>
      </c>
      <c r="W57" s="13">
        <v>24</v>
      </c>
      <c r="X57" s="13" t="s">
        <v>46</v>
      </c>
      <c r="Y57" s="13" t="s">
        <v>55</v>
      </c>
      <c r="Z57" s="13" t="s">
        <v>40</v>
      </c>
      <c r="AA57" s="13" t="s">
        <v>90</v>
      </c>
      <c r="AB57" s="13" t="s">
        <v>404</v>
      </c>
    </row>
    <row r="58" spans="1:28" x14ac:dyDescent="0.15">
      <c r="A58" s="13" t="s">
        <v>51</v>
      </c>
      <c r="B58" s="13" t="s">
        <v>332</v>
      </c>
      <c r="C58" s="13">
        <v>2020</v>
      </c>
      <c r="D58" s="93" t="s">
        <v>403</v>
      </c>
      <c r="E58" s="13" t="s">
        <v>186</v>
      </c>
      <c r="F58" s="13" t="s">
        <v>170</v>
      </c>
      <c r="G58" s="13" t="s">
        <v>36</v>
      </c>
      <c r="H58" s="13" t="s">
        <v>146</v>
      </c>
      <c r="I58" s="13" t="s">
        <v>142</v>
      </c>
      <c r="J58" s="13" t="s">
        <v>38</v>
      </c>
      <c r="K58" s="13" t="s">
        <v>143</v>
      </c>
      <c r="L58" s="13">
        <v>3</v>
      </c>
      <c r="N58" s="13">
        <v>3</v>
      </c>
      <c r="O58" s="13">
        <v>0.7</v>
      </c>
      <c r="P58" s="13">
        <v>0.6</v>
      </c>
      <c r="Q58" s="94">
        <f t="shared" si="0"/>
        <v>0.64999999999999991</v>
      </c>
      <c r="R58" s="13">
        <v>19.5</v>
      </c>
      <c r="S58" s="13">
        <v>164</v>
      </c>
      <c r="T58" s="21">
        <f t="shared" si="1"/>
        <v>18</v>
      </c>
      <c r="U58" s="13">
        <v>398</v>
      </c>
      <c r="V58" s="95">
        <f t="shared" si="2"/>
        <v>2388</v>
      </c>
      <c r="W58" s="13">
        <v>24</v>
      </c>
      <c r="X58" s="13" t="s">
        <v>46</v>
      </c>
      <c r="Y58" s="13" t="s">
        <v>55</v>
      </c>
      <c r="Z58" s="13" t="s">
        <v>40</v>
      </c>
      <c r="AA58" s="13" t="s">
        <v>90</v>
      </c>
      <c r="AB58" s="13" t="s">
        <v>404</v>
      </c>
    </row>
    <row r="59" spans="1:28" x14ac:dyDescent="0.15">
      <c r="A59" s="13" t="s">
        <v>51</v>
      </c>
      <c r="B59" s="13" t="s">
        <v>332</v>
      </c>
      <c r="C59" s="13">
        <v>2020</v>
      </c>
      <c r="D59" s="93" t="s">
        <v>403</v>
      </c>
      <c r="E59" s="13" t="s">
        <v>186</v>
      </c>
      <c r="F59" s="13" t="s">
        <v>170</v>
      </c>
      <c r="G59" s="13" t="s">
        <v>36</v>
      </c>
      <c r="H59" s="13" t="s">
        <v>334</v>
      </c>
      <c r="I59" s="13" t="s">
        <v>142</v>
      </c>
      <c r="J59" s="13" t="s">
        <v>38</v>
      </c>
      <c r="K59" s="13" t="s">
        <v>143</v>
      </c>
      <c r="L59" s="13">
        <v>1</v>
      </c>
      <c r="N59" s="13">
        <v>4</v>
      </c>
      <c r="O59" s="13">
        <v>0.25</v>
      </c>
      <c r="P59" s="13">
        <v>0.25</v>
      </c>
      <c r="Q59" s="94">
        <f t="shared" si="0"/>
        <v>0.25</v>
      </c>
      <c r="R59" s="13">
        <v>18.8</v>
      </c>
      <c r="S59" s="13">
        <v>79</v>
      </c>
      <c r="T59" s="21">
        <f t="shared" si="1"/>
        <v>39</v>
      </c>
      <c r="U59" s="13">
        <v>498</v>
      </c>
      <c r="V59" s="95">
        <f t="shared" si="2"/>
        <v>4855.5</v>
      </c>
      <c r="W59" s="13">
        <v>24</v>
      </c>
      <c r="X59" s="13" t="s">
        <v>46</v>
      </c>
      <c r="Y59" s="13" t="s">
        <v>55</v>
      </c>
      <c r="Z59" s="13" t="s">
        <v>40</v>
      </c>
      <c r="AA59" s="13" t="s">
        <v>90</v>
      </c>
      <c r="AB59" s="13" t="s">
        <v>404</v>
      </c>
    </row>
    <row r="60" spans="1:28" x14ac:dyDescent="0.15">
      <c r="A60" s="13" t="s">
        <v>51</v>
      </c>
      <c r="B60" s="13" t="s">
        <v>332</v>
      </c>
      <c r="C60" s="13">
        <v>2020</v>
      </c>
      <c r="D60" s="93" t="s">
        <v>403</v>
      </c>
      <c r="E60" s="13" t="s">
        <v>186</v>
      </c>
      <c r="F60" s="13" t="s">
        <v>170</v>
      </c>
      <c r="G60" s="13" t="s">
        <v>36</v>
      </c>
      <c r="H60" s="13" t="s">
        <v>334</v>
      </c>
      <c r="I60" s="13" t="s">
        <v>142</v>
      </c>
      <c r="J60" s="13" t="s">
        <v>38</v>
      </c>
      <c r="K60" s="13" t="s">
        <v>143</v>
      </c>
      <c r="L60" s="13">
        <v>2</v>
      </c>
      <c r="N60" s="13">
        <v>4</v>
      </c>
      <c r="O60" s="13">
        <v>0.55000000000000004</v>
      </c>
      <c r="P60" s="13">
        <v>0.6</v>
      </c>
      <c r="Q60" s="94">
        <f t="shared" si="0"/>
        <v>0.57499999999999996</v>
      </c>
      <c r="R60" s="13">
        <v>19.2</v>
      </c>
      <c r="S60" s="13">
        <v>79</v>
      </c>
      <c r="T60" s="21">
        <f t="shared" si="1"/>
        <v>39</v>
      </c>
      <c r="U60" s="13">
        <v>498</v>
      </c>
      <c r="V60" s="95">
        <f t="shared" si="2"/>
        <v>4855.5</v>
      </c>
      <c r="W60" s="13">
        <v>24</v>
      </c>
      <c r="X60" s="13" t="s">
        <v>46</v>
      </c>
      <c r="Y60" s="13" t="s">
        <v>55</v>
      </c>
      <c r="Z60" s="13" t="s">
        <v>40</v>
      </c>
      <c r="AA60" s="13" t="s">
        <v>90</v>
      </c>
      <c r="AB60" s="13" t="s">
        <v>404</v>
      </c>
    </row>
    <row r="61" spans="1:28" x14ac:dyDescent="0.15">
      <c r="A61" s="13" t="s">
        <v>51</v>
      </c>
      <c r="B61" s="13" t="s">
        <v>332</v>
      </c>
      <c r="C61" s="13">
        <v>2020</v>
      </c>
      <c r="D61" s="93" t="s">
        <v>403</v>
      </c>
      <c r="E61" s="13" t="s">
        <v>186</v>
      </c>
      <c r="F61" s="13" t="s">
        <v>170</v>
      </c>
      <c r="G61" s="13" t="s">
        <v>36</v>
      </c>
      <c r="H61" s="13" t="s">
        <v>334</v>
      </c>
      <c r="I61" s="13" t="s">
        <v>142</v>
      </c>
      <c r="J61" s="13" t="s">
        <v>38</v>
      </c>
      <c r="K61" s="13" t="s">
        <v>143</v>
      </c>
      <c r="L61" s="13">
        <v>3</v>
      </c>
      <c r="N61" s="13">
        <v>4</v>
      </c>
      <c r="O61" s="13">
        <v>0.55000000000000004</v>
      </c>
      <c r="P61" s="13">
        <v>0.5</v>
      </c>
      <c r="Q61" s="94">
        <f t="shared" si="0"/>
        <v>0.52500000000000002</v>
      </c>
      <c r="R61" s="13">
        <v>20.8</v>
      </c>
      <c r="S61" s="13">
        <v>81</v>
      </c>
      <c r="T61" s="21">
        <f t="shared" si="1"/>
        <v>39</v>
      </c>
      <c r="U61" s="13">
        <v>498</v>
      </c>
      <c r="V61" s="95">
        <f t="shared" si="2"/>
        <v>4855.5</v>
      </c>
      <c r="W61" s="13">
        <v>24</v>
      </c>
      <c r="X61" s="13" t="s">
        <v>46</v>
      </c>
      <c r="Y61" s="13" t="s">
        <v>55</v>
      </c>
      <c r="Z61" s="13" t="s">
        <v>40</v>
      </c>
      <c r="AA61" s="13" t="s">
        <v>90</v>
      </c>
      <c r="AB61" s="13" t="s">
        <v>404</v>
      </c>
    </row>
    <row r="62" spans="1:28" x14ac:dyDescent="0.15">
      <c r="A62" s="13" t="s">
        <v>51</v>
      </c>
      <c r="B62" s="13" t="s">
        <v>332</v>
      </c>
      <c r="C62" s="13">
        <v>2020</v>
      </c>
      <c r="D62" s="93" t="s">
        <v>403</v>
      </c>
      <c r="E62" s="13" t="s">
        <v>175</v>
      </c>
      <c r="F62" s="13" t="s">
        <v>176</v>
      </c>
      <c r="G62" s="13" t="s">
        <v>42</v>
      </c>
      <c r="H62" s="13" t="s">
        <v>146</v>
      </c>
      <c r="I62" s="13" t="s">
        <v>142</v>
      </c>
      <c r="J62" s="13" t="s">
        <v>38</v>
      </c>
      <c r="K62" s="13" t="s">
        <v>143</v>
      </c>
      <c r="L62" s="13">
        <v>1</v>
      </c>
      <c r="N62" s="13">
        <v>1</v>
      </c>
      <c r="O62" s="13">
        <v>1.1000000000000001</v>
      </c>
      <c r="P62" s="13">
        <v>1.05</v>
      </c>
      <c r="Q62" s="94">
        <f t="shared" si="0"/>
        <v>1.0750000000000002</v>
      </c>
      <c r="R62" s="13">
        <v>18.5</v>
      </c>
      <c r="S62" s="13">
        <v>136</v>
      </c>
      <c r="T62" s="21">
        <f t="shared" si="1"/>
        <v>25</v>
      </c>
      <c r="U62" s="13">
        <v>128</v>
      </c>
      <c r="V62" s="95">
        <f t="shared" si="2"/>
        <v>3200</v>
      </c>
      <c r="W62" s="13">
        <v>16</v>
      </c>
      <c r="X62" s="13" t="s">
        <v>46</v>
      </c>
      <c r="Y62" s="13" t="s">
        <v>69</v>
      </c>
      <c r="Z62" s="13" t="s">
        <v>55</v>
      </c>
      <c r="AA62" s="13" t="s">
        <v>40</v>
      </c>
      <c r="AB62" s="13" t="s">
        <v>404</v>
      </c>
    </row>
    <row r="63" spans="1:28" x14ac:dyDescent="0.15">
      <c r="A63" s="13" t="s">
        <v>51</v>
      </c>
      <c r="B63" s="13" t="s">
        <v>332</v>
      </c>
      <c r="C63" s="13">
        <v>2020</v>
      </c>
      <c r="D63" s="93" t="s">
        <v>403</v>
      </c>
      <c r="E63" s="13" t="s">
        <v>175</v>
      </c>
      <c r="F63" s="13" t="s">
        <v>176</v>
      </c>
      <c r="G63" s="13" t="s">
        <v>42</v>
      </c>
      <c r="H63" s="13" t="s">
        <v>146</v>
      </c>
      <c r="I63" s="13" t="s">
        <v>142</v>
      </c>
      <c r="J63" s="13" t="s">
        <v>38</v>
      </c>
      <c r="K63" s="13" t="s">
        <v>143</v>
      </c>
      <c r="L63" s="13">
        <v>2</v>
      </c>
      <c r="N63" s="13">
        <v>1</v>
      </c>
      <c r="O63" s="13">
        <v>1.25</v>
      </c>
      <c r="P63" s="13">
        <v>1</v>
      </c>
      <c r="Q63" s="94">
        <f t="shared" si="0"/>
        <v>1.125</v>
      </c>
      <c r="R63" s="13">
        <v>17.899999999999999</v>
      </c>
      <c r="S63" s="13">
        <v>132</v>
      </c>
      <c r="T63" s="21">
        <f t="shared" si="1"/>
        <v>25</v>
      </c>
      <c r="U63" s="13">
        <v>128</v>
      </c>
      <c r="V63" s="95">
        <f t="shared" si="2"/>
        <v>3200</v>
      </c>
      <c r="W63" s="13">
        <v>16</v>
      </c>
      <c r="X63" s="13" t="s">
        <v>46</v>
      </c>
      <c r="Y63" s="13" t="s">
        <v>69</v>
      </c>
      <c r="Z63" s="13" t="s">
        <v>55</v>
      </c>
      <c r="AA63" s="13" t="s">
        <v>40</v>
      </c>
      <c r="AB63" s="13" t="s">
        <v>404</v>
      </c>
    </row>
    <row r="64" spans="1:28" x14ac:dyDescent="0.15">
      <c r="A64" s="13" t="s">
        <v>51</v>
      </c>
      <c r="B64" s="13" t="s">
        <v>332</v>
      </c>
      <c r="C64" s="13">
        <v>2020</v>
      </c>
      <c r="D64" s="93" t="s">
        <v>403</v>
      </c>
      <c r="E64" s="13" t="s">
        <v>175</v>
      </c>
      <c r="F64" s="13" t="s">
        <v>176</v>
      </c>
      <c r="G64" s="13" t="s">
        <v>42</v>
      </c>
      <c r="H64" s="13" t="s">
        <v>146</v>
      </c>
      <c r="I64" s="13" t="s">
        <v>142</v>
      </c>
      <c r="J64" s="13" t="s">
        <v>38</v>
      </c>
      <c r="K64" s="13" t="s">
        <v>143</v>
      </c>
      <c r="L64" s="13">
        <v>3</v>
      </c>
      <c r="N64" s="13">
        <v>1</v>
      </c>
      <c r="O64" s="13">
        <v>1.1499999999999999</v>
      </c>
      <c r="P64" s="13">
        <v>1.2</v>
      </c>
      <c r="Q64" s="94">
        <f t="shared" si="0"/>
        <v>1.1749999999999998</v>
      </c>
      <c r="R64" s="13">
        <v>17.600000000000001</v>
      </c>
      <c r="S64" s="13">
        <v>134</v>
      </c>
      <c r="T64" s="21">
        <f t="shared" si="1"/>
        <v>25</v>
      </c>
      <c r="U64" s="13">
        <v>128</v>
      </c>
      <c r="V64" s="95">
        <f t="shared" si="2"/>
        <v>3200</v>
      </c>
      <c r="W64" s="13">
        <v>16</v>
      </c>
      <c r="X64" s="13" t="s">
        <v>46</v>
      </c>
      <c r="Y64" s="13" t="s">
        <v>69</v>
      </c>
      <c r="Z64" s="13" t="s">
        <v>55</v>
      </c>
      <c r="AA64" s="13" t="s">
        <v>40</v>
      </c>
      <c r="AB64" s="13" t="s">
        <v>404</v>
      </c>
    </row>
    <row r="65" spans="1:28" x14ac:dyDescent="0.15">
      <c r="A65" s="13" t="s">
        <v>51</v>
      </c>
      <c r="B65" s="13" t="s">
        <v>332</v>
      </c>
      <c r="C65" s="13">
        <v>2020</v>
      </c>
      <c r="D65" s="93" t="s">
        <v>403</v>
      </c>
      <c r="E65" s="13" t="s">
        <v>189</v>
      </c>
      <c r="F65" s="13" t="s">
        <v>190</v>
      </c>
      <c r="G65" s="13" t="s">
        <v>36</v>
      </c>
      <c r="H65" s="13" t="s">
        <v>171</v>
      </c>
      <c r="I65" s="13" t="s">
        <v>142</v>
      </c>
      <c r="J65" s="13" t="s">
        <v>58</v>
      </c>
      <c r="K65" s="13" t="s">
        <v>59</v>
      </c>
      <c r="L65" s="13">
        <v>1</v>
      </c>
      <c r="N65" s="13">
        <v>1</v>
      </c>
      <c r="O65" s="13">
        <v>2</v>
      </c>
      <c r="P65" s="13">
        <v>1.9</v>
      </c>
      <c r="Q65" s="21">
        <f t="shared" si="0"/>
        <v>1.95</v>
      </c>
      <c r="R65" s="13">
        <v>13.5</v>
      </c>
      <c r="S65" s="13">
        <v>146</v>
      </c>
      <c r="T65" s="21">
        <f t="shared" si="1"/>
        <v>22</v>
      </c>
      <c r="U65" s="13">
        <v>98</v>
      </c>
      <c r="V65" s="21">
        <f t="shared" si="2"/>
        <v>2156</v>
      </c>
      <c r="W65" s="13">
        <v>10</v>
      </c>
      <c r="X65" s="13" t="s">
        <v>46</v>
      </c>
      <c r="Y65" s="13" t="s">
        <v>40</v>
      </c>
      <c r="Z65" s="13" t="s">
        <v>69</v>
      </c>
      <c r="AA65" s="13" t="s">
        <v>55</v>
      </c>
      <c r="AB65" s="13" t="s">
        <v>404</v>
      </c>
    </row>
    <row r="66" spans="1:28" x14ac:dyDescent="0.15">
      <c r="A66" s="13" t="s">
        <v>51</v>
      </c>
      <c r="B66" s="13" t="s">
        <v>332</v>
      </c>
      <c r="C66" s="13">
        <v>2020</v>
      </c>
      <c r="D66" s="93" t="s">
        <v>403</v>
      </c>
      <c r="E66" s="13" t="s">
        <v>189</v>
      </c>
      <c r="F66" s="13" t="s">
        <v>190</v>
      </c>
      <c r="G66" s="13" t="s">
        <v>36</v>
      </c>
      <c r="H66" s="13" t="s">
        <v>171</v>
      </c>
      <c r="I66" s="13" t="s">
        <v>142</v>
      </c>
      <c r="J66" s="13" t="s">
        <v>58</v>
      </c>
      <c r="K66" s="13" t="s">
        <v>59</v>
      </c>
      <c r="L66" s="13">
        <v>2</v>
      </c>
      <c r="N66" s="13">
        <v>1</v>
      </c>
      <c r="O66" s="13">
        <v>1.85</v>
      </c>
      <c r="P66" s="13">
        <v>2.15</v>
      </c>
      <c r="Q66" s="21">
        <f t="shared" ref="Q66:Q85" si="3">IF(OR(O66="",P66=""),"",AVERAGE(O66,P66))</f>
        <v>2</v>
      </c>
      <c r="R66" s="13">
        <v>13.7</v>
      </c>
      <c r="S66" s="13">
        <v>148</v>
      </c>
      <c r="T66" s="21">
        <f t="shared" ref="T66:T85" si="4">IF(H66="","",IF(OR(H66="GREEN",H66="GK"),IF(S66&gt;=$AX$2,VLOOKUP(S66,$AX$2:$AY$12,2,1),""),IF(S66&gt;=$AZ$2,VLOOKUP(S66,$AZ$2:$BA$12,2,1),"")))</f>
        <v>22</v>
      </c>
      <c r="U66" s="13">
        <v>98</v>
      </c>
      <c r="V66" s="21">
        <f t="shared" ref="V66:V85" si="5">IF(OR(N66="",U66="",T66=""),"",U66/N66*T66)</f>
        <v>2156</v>
      </c>
      <c r="W66" s="13">
        <v>10</v>
      </c>
      <c r="X66" s="13" t="s">
        <v>46</v>
      </c>
      <c r="Y66" s="13" t="s">
        <v>40</v>
      </c>
      <c r="Z66" s="13" t="s">
        <v>69</v>
      </c>
      <c r="AA66" s="13" t="s">
        <v>55</v>
      </c>
      <c r="AB66" s="13" t="s">
        <v>404</v>
      </c>
    </row>
    <row r="67" spans="1:28" x14ac:dyDescent="0.15">
      <c r="A67" s="13" t="s">
        <v>51</v>
      </c>
      <c r="B67" s="13" t="s">
        <v>332</v>
      </c>
      <c r="C67" s="13">
        <v>2020</v>
      </c>
      <c r="D67" s="93" t="s">
        <v>403</v>
      </c>
      <c r="E67" s="13" t="s">
        <v>189</v>
      </c>
      <c r="F67" s="13" t="s">
        <v>190</v>
      </c>
      <c r="G67" s="13" t="s">
        <v>36</v>
      </c>
      <c r="H67" s="13" t="s">
        <v>171</v>
      </c>
      <c r="I67" s="13" t="s">
        <v>142</v>
      </c>
      <c r="J67" s="13" t="s">
        <v>58</v>
      </c>
      <c r="K67" s="13" t="s">
        <v>59</v>
      </c>
      <c r="L67" s="13">
        <v>3</v>
      </c>
      <c r="N67" s="13">
        <v>1</v>
      </c>
      <c r="O67" s="13">
        <v>1.8</v>
      </c>
      <c r="P67" s="13">
        <v>2</v>
      </c>
      <c r="Q67" s="21">
        <f t="shared" si="3"/>
        <v>1.9</v>
      </c>
      <c r="R67" s="13">
        <v>14</v>
      </c>
      <c r="S67" s="13">
        <v>148</v>
      </c>
      <c r="T67" s="21">
        <f t="shared" si="4"/>
        <v>22</v>
      </c>
      <c r="U67" s="13">
        <v>98</v>
      </c>
      <c r="V67" s="21">
        <f t="shared" si="5"/>
        <v>2156</v>
      </c>
      <c r="W67" s="13">
        <v>10</v>
      </c>
      <c r="X67" s="13" t="s">
        <v>46</v>
      </c>
      <c r="Y67" s="13" t="s">
        <v>40</v>
      </c>
      <c r="Z67" s="13" t="s">
        <v>69</v>
      </c>
      <c r="AA67" s="13" t="s">
        <v>55</v>
      </c>
      <c r="AB67" s="13" t="s">
        <v>404</v>
      </c>
    </row>
    <row r="68" spans="1:28" x14ac:dyDescent="0.15">
      <c r="A68" s="13" t="s">
        <v>51</v>
      </c>
      <c r="B68" s="13" t="s">
        <v>332</v>
      </c>
      <c r="C68" s="13">
        <v>2020</v>
      </c>
      <c r="D68" s="93" t="s">
        <v>403</v>
      </c>
      <c r="E68" s="13" t="s">
        <v>189</v>
      </c>
      <c r="F68" s="13" t="s">
        <v>190</v>
      </c>
      <c r="G68" s="13" t="s">
        <v>36</v>
      </c>
      <c r="H68" s="13" t="s">
        <v>146</v>
      </c>
      <c r="I68" s="13" t="s">
        <v>142</v>
      </c>
      <c r="J68" s="13" t="s">
        <v>38</v>
      </c>
      <c r="K68" s="13" t="s">
        <v>143</v>
      </c>
      <c r="L68" s="13">
        <v>1</v>
      </c>
      <c r="N68" s="13">
        <v>1</v>
      </c>
      <c r="O68" s="13">
        <v>0.75</v>
      </c>
      <c r="P68" s="13">
        <v>0.6</v>
      </c>
      <c r="Q68" s="21">
        <f t="shared" si="3"/>
        <v>0.67500000000000004</v>
      </c>
      <c r="R68" s="13">
        <v>20.6</v>
      </c>
      <c r="S68" s="13">
        <v>170</v>
      </c>
      <c r="T68" s="21">
        <f t="shared" si="4"/>
        <v>18</v>
      </c>
      <c r="U68" s="13">
        <v>158</v>
      </c>
      <c r="V68" s="21">
        <f t="shared" si="5"/>
        <v>2844</v>
      </c>
      <c r="W68" s="13">
        <v>10</v>
      </c>
      <c r="X68" s="13" t="s">
        <v>46</v>
      </c>
      <c r="Y68" s="13" t="s">
        <v>40</v>
      </c>
      <c r="Z68" s="13" t="s">
        <v>69</v>
      </c>
      <c r="AA68" s="13" t="s">
        <v>55</v>
      </c>
      <c r="AB68" s="13" t="s">
        <v>404</v>
      </c>
    </row>
    <row r="69" spans="1:28" x14ac:dyDescent="0.15">
      <c r="A69" s="13" t="s">
        <v>51</v>
      </c>
      <c r="B69" s="13" t="s">
        <v>332</v>
      </c>
      <c r="C69" s="13">
        <v>2020</v>
      </c>
      <c r="D69" s="93" t="s">
        <v>403</v>
      </c>
      <c r="E69" s="13" t="s">
        <v>189</v>
      </c>
      <c r="F69" s="13" t="s">
        <v>190</v>
      </c>
      <c r="G69" s="13" t="s">
        <v>36</v>
      </c>
      <c r="H69" s="13" t="s">
        <v>146</v>
      </c>
      <c r="I69" s="13" t="s">
        <v>142</v>
      </c>
      <c r="J69" s="13" t="s">
        <v>38</v>
      </c>
      <c r="K69" s="13" t="s">
        <v>143</v>
      </c>
      <c r="L69" s="13">
        <v>2</v>
      </c>
      <c r="N69" s="13">
        <v>1</v>
      </c>
      <c r="O69" s="13">
        <v>0.65</v>
      </c>
      <c r="P69" s="13">
        <v>0.7</v>
      </c>
      <c r="Q69" s="21">
        <f t="shared" si="3"/>
        <v>0.67500000000000004</v>
      </c>
      <c r="R69" s="13">
        <v>21.2</v>
      </c>
      <c r="S69" s="13">
        <v>170</v>
      </c>
      <c r="T69" s="21">
        <f t="shared" si="4"/>
        <v>18</v>
      </c>
      <c r="U69" s="13">
        <v>158</v>
      </c>
      <c r="V69" s="21">
        <f t="shared" si="5"/>
        <v>2844</v>
      </c>
      <c r="W69" s="13">
        <v>10</v>
      </c>
      <c r="X69" s="13" t="s">
        <v>46</v>
      </c>
      <c r="Y69" s="13" t="s">
        <v>40</v>
      </c>
      <c r="Z69" s="13" t="s">
        <v>69</v>
      </c>
      <c r="AA69" s="13" t="s">
        <v>55</v>
      </c>
      <c r="AB69" s="13" t="s">
        <v>404</v>
      </c>
    </row>
    <row r="70" spans="1:28" x14ac:dyDescent="0.15">
      <c r="A70" s="13" t="s">
        <v>51</v>
      </c>
      <c r="B70" s="13" t="s">
        <v>332</v>
      </c>
      <c r="C70" s="13">
        <v>2020</v>
      </c>
      <c r="D70" s="93" t="s">
        <v>403</v>
      </c>
      <c r="E70" s="13" t="s">
        <v>189</v>
      </c>
      <c r="F70" s="13" t="s">
        <v>190</v>
      </c>
      <c r="G70" s="13" t="s">
        <v>36</v>
      </c>
      <c r="H70" s="13" t="s">
        <v>146</v>
      </c>
      <c r="I70" s="13" t="s">
        <v>142</v>
      </c>
      <c r="J70" s="13" t="s">
        <v>38</v>
      </c>
      <c r="K70" s="13" t="s">
        <v>143</v>
      </c>
      <c r="L70" s="13">
        <v>3</v>
      </c>
      <c r="N70" s="13">
        <v>1</v>
      </c>
      <c r="O70" s="13">
        <v>0.6</v>
      </c>
      <c r="P70" s="13">
        <v>0.6</v>
      </c>
      <c r="Q70" s="21">
        <f t="shared" si="3"/>
        <v>0.6</v>
      </c>
      <c r="R70" s="13">
        <v>19.399999999999999</v>
      </c>
      <c r="S70" s="13">
        <v>156</v>
      </c>
      <c r="T70" s="21">
        <f t="shared" si="4"/>
        <v>18</v>
      </c>
      <c r="U70" s="13">
        <v>158</v>
      </c>
      <c r="V70" s="21">
        <f t="shared" si="5"/>
        <v>2844</v>
      </c>
      <c r="W70" s="13">
        <v>10</v>
      </c>
      <c r="X70" s="13" t="s">
        <v>46</v>
      </c>
      <c r="Y70" s="13" t="s">
        <v>40</v>
      </c>
      <c r="Z70" s="13" t="s">
        <v>69</v>
      </c>
      <c r="AA70" s="13" t="s">
        <v>55</v>
      </c>
      <c r="AB70" s="13" t="s">
        <v>404</v>
      </c>
    </row>
    <row r="71" spans="1:28" x14ac:dyDescent="0.15">
      <c r="A71" s="13" t="s">
        <v>51</v>
      </c>
      <c r="B71" s="13" t="s">
        <v>332</v>
      </c>
      <c r="C71" s="13">
        <v>2020</v>
      </c>
      <c r="D71" s="93" t="s">
        <v>403</v>
      </c>
      <c r="E71" s="13" t="s">
        <v>192</v>
      </c>
      <c r="F71" s="13" t="s">
        <v>381</v>
      </c>
      <c r="G71" s="13" t="s">
        <v>36</v>
      </c>
      <c r="H71" s="13" t="s">
        <v>171</v>
      </c>
      <c r="I71" s="13" t="s">
        <v>142</v>
      </c>
      <c r="J71" s="13" t="s">
        <v>58</v>
      </c>
      <c r="K71" s="13" t="s">
        <v>59</v>
      </c>
      <c r="L71" s="13">
        <v>1</v>
      </c>
      <c r="N71" s="13">
        <v>1</v>
      </c>
      <c r="O71" s="13">
        <v>0.85</v>
      </c>
      <c r="P71" s="13">
        <v>0.8</v>
      </c>
      <c r="Q71" s="21">
        <f t="shared" si="3"/>
        <v>0.82499999999999996</v>
      </c>
      <c r="R71" s="13">
        <v>15</v>
      </c>
      <c r="S71" s="13">
        <v>102</v>
      </c>
      <c r="T71" s="21">
        <f t="shared" si="4"/>
        <v>33</v>
      </c>
      <c r="U71" s="13">
        <v>98</v>
      </c>
      <c r="V71" s="21">
        <f t="shared" si="5"/>
        <v>3234</v>
      </c>
      <c r="W71" s="13">
        <v>8</v>
      </c>
      <c r="X71" s="13" t="s">
        <v>46</v>
      </c>
      <c r="Y71" s="13" t="s">
        <v>69</v>
      </c>
      <c r="Z71" s="13" t="s">
        <v>55</v>
      </c>
      <c r="AA71" s="13" t="s">
        <v>40</v>
      </c>
      <c r="AB71" s="13" t="s">
        <v>404</v>
      </c>
    </row>
    <row r="72" spans="1:28" x14ac:dyDescent="0.15">
      <c r="A72" s="13" t="s">
        <v>51</v>
      </c>
      <c r="B72" s="13" t="s">
        <v>332</v>
      </c>
      <c r="C72" s="13">
        <v>2020</v>
      </c>
      <c r="D72" s="93" t="s">
        <v>403</v>
      </c>
      <c r="E72" s="13" t="s">
        <v>192</v>
      </c>
      <c r="F72" s="13" t="s">
        <v>381</v>
      </c>
      <c r="G72" s="13" t="s">
        <v>36</v>
      </c>
      <c r="H72" s="13" t="s">
        <v>171</v>
      </c>
      <c r="I72" s="13" t="s">
        <v>142</v>
      </c>
      <c r="J72" s="13" t="s">
        <v>58</v>
      </c>
      <c r="K72" s="13" t="s">
        <v>59</v>
      </c>
      <c r="L72" s="13">
        <v>2</v>
      </c>
      <c r="N72" s="13">
        <v>1</v>
      </c>
      <c r="O72" s="13">
        <v>0.75</v>
      </c>
      <c r="P72" s="13">
        <v>0.8</v>
      </c>
      <c r="Q72" s="21">
        <f t="shared" si="3"/>
        <v>0.77500000000000002</v>
      </c>
      <c r="R72" s="13">
        <v>15.8</v>
      </c>
      <c r="S72" s="13">
        <v>108</v>
      </c>
      <c r="T72" s="21">
        <f t="shared" si="4"/>
        <v>33</v>
      </c>
      <c r="U72" s="13">
        <v>98</v>
      </c>
      <c r="V72" s="21">
        <f t="shared" si="5"/>
        <v>3234</v>
      </c>
      <c r="W72" s="13">
        <v>8</v>
      </c>
      <c r="X72" s="13" t="s">
        <v>46</v>
      </c>
      <c r="Y72" s="13" t="s">
        <v>69</v>
      </c>
      <c r="Z72" s="13" t="s">
        <v>55</v>
      </c>
      <c r="AA72" s="13" t="s">
        <v>40</v>
      </c>
      <c r="AB72" s="13" t="s">
        <v>404</v>
      </c>
    </row>
    <row r="73" spans="1:28" x14ac:dyDescent="0.15">
      <c r="A73" s="13" t="s">
        <v>51</v>
      </c>
      <c r="B73" s="13" t="s">
        <v>332</v>
      </c>
      <c r="C73" s="13">
        <v>2020</v>
      </c>
      <c r="D73" s="93" t="s">
        <v>403</v>
      </c>
      <c r="E73" s="13" t="s">
        <v>192</v>
      </c>
      <c r="F73" s="13" t="s">
        <v>381</v>
      </c>
      <c r="G73" s="13" t="s">
        <v>36</v>
      </c>
      <c r="H73" s="13" t="s">
        <v>171</v>
      </c>
      <c r="I73" s="13" t="s">
        <v>142</v>
      </c>
      <c r="J73" s="13" t="s">
        <v>58</v>
      </c>
      <c r="K73" s="13" t="s">
        <v>59</v>
      </c>
      <c r="L73" s="13">
        <v>3</v>
      </c>
      <c r="N73" s="13">
        <v>1</v>
      </c>
      <c r="O73" s="13">
        <v>0.75</v>
      </c>
      <c r="P73" s="13">
        <v>0.7</v>
      </c>
      <c r="Q73" s="21">
        <f t="shared" si="3"/>
        <v>0.72499999999999998</v>
      </c>
      <c r="R73" s="13">
        <v>15.3</v>
      </c>
      <c r="S73" s="13">
        <v>102</v>
      </c>
      <c r="T73" s="21">
        <f t="shared" si="4"/>
        <v>33</v>
      </c>
      <c r="U73" s="13">
        <v>98</v>
      </c>
      <c r="V73" s="21">
        <f t="shared" si="5"/>
        <v>3234</v>
      </c>
      <c r="W73" s="13">
        <v>8</v>
      </c>
      <c r="X73" s="13" t="s">
        <v>46</v>
      </c>
      <c r="Y73" s="13" t="s">
        <v>69</v>
      </c>
      <c r="Z73" s="13" t="s">
        <v>55</v>
      </c>
      <c r="AA73" s="13" t="s">
        <v>40</v>
      </c>
      <c r="AB73" s="13" t="s">
        <v>404</v>
      </c>
    </row>
    <row r="74" spans="1:28" x14ac:dyDescent="0.15">
      <c r="A74" s="13" t="s">
        <v>51</v>
      </c>
      <c r="B74" s="13" t="s">
        <v>332</v>
      </c>
      <c r="C74" s="13">
        <v>2020</v>
      </c>
      <c r="D74" s="93" t="s">
        <v>403</v>
      </c>
      <c r="E74" s="13" t="s">
        <v>192</v>
      </c>
      <c r="F74" s="13" t="s">
        <v>381</v>
      </c>
      <c r="G74" s="13" t="s">
        <v>36</v>
      </c>
      <c r="H74" s="13" t="s">
        <v>146</v>
      </c>
      <c r="I74" s="13" t="s">
        <v>142</v>
      </c>
      <c r="J74" s="13" t="s">
        <v>38</v>
      </c>
      <c r="K74" s="13" t="s">
        <v>143</v>
      </c>
      <c r="L74" s="13">
        <v>1</v>
      </c>
      <c r="N74" s="13">
        <v>1</v>
      </c>
      <c r="O74" s="13">
        <v>0.6</v>
      </c>
      <c r="P74" s="13">
        <v>0.6</v>
      </c>
      <c r="Q74" s="21">
        <f t="shared" si="3"/>
        <v>0.6</v>
      </c>
      <c r="R74" s="13">
        <v>14.7</v>
      </c>
      <c r="S74" s="13">
        <v>124</v>
      </c>
      <c r="T74" s="21">
        <f t="shared" si="4"/>
        <v>27</v>
      </c>
      <c r="U74" s="13">
        <v>128</v>
      </c>
      <c r="V74" s="21">
        <f t="shared" si="5"/>
        <v>3456</v>
      </c>
      <c r="W74" s="13">
        <v>8</v>
      </c>
      <c r="X74" s="13" t="s">
        <v>46</v>
      </c>
      <c r="Y74" s="13" t="s">
        <v>69</v>
      </c>
      <c r="Z74" s="13" t="s">
        <v>55</v>
      </c>
      <c r="AA74" s="13" t="s">
        <v>40</v>
      </c>
      <c r="AB74" s="13" t="s">
        <v>404</v>
      </c>
    </row>
    <row r="75" spans="1:28" x14ac:dyDescent="0.15">
      <c r="A75" s="13" t="s">
        <v>51</v>
      </c>
      <c r="B75" s="13" t="s">
        <v>332</v>
      </c>
      <c r="C75" s="13">
        <v>2020</v>
      </c>
      <c r="D75" s="93" t="s">
        <v>403</v>
      </c>
      <c r="E75" s="13" t="s">
        <v>192</v>
      </c>
      <c r="F75" s="13" t="s">
        <v>381</v>
      </c>
      <c r="G75" s="13" t="s">
        <v>36</v>
      </c>
      <c r="H75" s="13" t="s">
        <v>146</v>
      </c>
      <c r="I75" s="13" t="s">
        <v>142</v>
      </c>
      <c r="J75" s="13" t="s">
        <v>38</v>
      </c>
      <c r="K75" s="13" t="s">
        <v>143</v>
      </c>
      <c r="L75" s="13">
        <v>2</v>
      </c>
      <c r="N75" s="13">
        <v>1</v>
      </c>
      <c r="O75" s="13">
        <v>0.5</v>
      </c>
      <c r="P75" s="13">
        <v>0.55000000000000004</v>
      </c>
      <c r="Q75" s="21">
        <f t="shared" si="3"/>
        <v>0.52500000000000002</v>
      </c>
      <c r="R75" s="13">
        <v>14.4</v>
      </c>
      <c r="S75" s="13">
        <v>122</v>
      </c>
      <c r="T75" s="21">
        <f t="shared" si="4"/>
        <v>27</v>
      </c>
      <c r="U75" s="13">
        <v>128</v>
      </c>
      <c r="V75" s="21">
        <f t="shared" si="5"/>
        <v>3456</v>
      </c>
      <c r="W75" s="13">
        <v>8</v>
      </c>
      <c r="X75" s="13" t="s">
        <v>46</v>
      </c>
      <c r="Y75" s="13" t="s">
        <v>69</v>
      </c>
      <c r="Z75" s="13" t="s">
        <v>55</v>
      </c>
      <c r="AA75" s="13" t="s">
        <v>40</v>
      </c>
      <c r="AB75" s="13" t="s">
        <v>404</v>
      </c>
    </row>
    <row r="76" spans="1:28" x14ac:dyDescent="0.15">
      <c r="A76" s="13" t="s">
        <v>51</v>
      </c>
      <c r="B76" s="13" t="s">
        <v>332</v>
      </c>
      <c r="C76" s="13">
        <v>2020</v>
      </c>
      <c r="D76" s="93" t="s">
        <v>403</v>
      </c>
      <c r="E76" s="13" t="s">
        <v>192</v>
      </c>
      <c r="F76" s="13" t="s">
        <v>381</v>
      </c>
      <c r="G76" s="13" t="s">
        <v>36</v>
      </c>
      <c r="H76" s="13" t="s">
        <v>146</v>
      </c>
      <c r="I76" s="13" t="s">
        <v>142</v>
      </c>
      <c r="J76" s="13" t="s">
        <v>38</v>
      </c>
      <c r="K76" s="13" t="s">
        <v>143</v>
      </c>
      <c r="L76" s="13">
        <v>3</v>
      </c>
      <c r="N76" s="13">
        <v>1</v>
      </c>
      <c r="O76" s="13">
        <v>0.7</v>
      </c>
      <c r="P76" s="13">
        <v>0.65</v>
      </c>
      <c r="Q76" s="21">
        <f t="shared" si="3"/>
        <v>0.67500000000000004</v>
      </c>
      <c r="R76" s="13">
        <v>14.9</v>
      </c>
      <c r="S76" s="13">
        <v>124</v>
      </c>
      <c r="T76" s="21">
        <f t="shared" si="4"/>
        <v>27</v>
      </c>
      <c r="U76" s="13">
        <v>128</v>
      </c>
      <c r="V76" s="21">
        <f t="shared" si="5"/>
        <v>3456</v>
      </c>
      <c r="W76" s="13">
        <v>8</v>
      </c>
      <c r="X76" s="13" t="s">
        <v>46</v>
      </c>
      <c r="Y76" s="13" t="s">
        <v>69</v>
      </c>
      <c r="Z76" s="13" t="s">
        <v>55</v>
      </c>
      <c r="AA76" s="13" t="s">
        <v>40</v>
      </c>
      <c r="AB76" s="13" t="s">
        <v>404</v>
      </c>
    </row>
    <row r="77" spans="1:28" x14ac:dyDescent="0.15">
      <c r="D77" s="93"/>
      <c r="Q77" s="21" t="str">
        <f t="shared" si="3"/>
        <v/>
      </c>
      <c r="T77" s="21" t="str">
        <f t="shared" si="4"/>
        <v/>
      </c>
      <c r="V77" s="21" t="str">
        <f t="shared" si="5"/>
        <v/>
      </c>
    </row>
    <row r="78" spans="1:28" x14ac:dyDescent="0.15">
      <c r="D78" s="93"/>
      <c r="Q78" s="21" t="str">
        <f t="shared" si="3"/>
        <v/>
      </c>
      <c r="T78" s="21" t="str">
        <f t="shared" si="4"/>
        <v/>
      </c>
      <c r="V78" s="21" t="str">
        <f t="shared" si="5"/>
        <v/>
      </c>
    </row>
    <row r="79" spans="1:28" x14ac:dyDescent="0.15">
      <c r="D79" s="93"/>
      <c r="Q79" s="21" t="str">
        <f t="shared" si="3"/>
        <v/>
      </c>
      <c r="T79" s="21" t="str">
        <f t="shared" si="4"/>
        <v/>
      </c>
      <c r="V79" s="21" t="str">
        <f t="shared" si="5"/>
        <v/>
      </c>
    </row>
    <row r="80" spans="1:28" x14ac:dyDescent="0.15">
      <c r="D80" s="93"/>
      <c r="Q80" s="21" t="str">
        <f t="shared" si="3"/>
        <v/>
      </c>
      <c r="T80" s="21" t="str">
        <f t="shared" si="4"/>
        <v/>
      </c>
      <c r="V80" s="21" t="str">
        <f t="shared" si="5"/>
        <v/>
      </c>
    </row>
    <row r="81" spans="4:22" x14ac:dyDescent="0.15">
      <c r="D81" s="93"/>
      <c r="Q81" s="21" t="str">
        <f t="shared" si="3"/>
        <v/>
      </c>
      <c r="T81" s="21" t="str">
        <f t="shared" si="4"/>
        <v/>
      </c>
      <c r="V81" s="21" t="str">
        <f t="shared" si="5"/>
        <v/>
      </c>
    </row>
    <row r="82" spans="4:22" x14ac:dyDescent="0.15">
      <c r="D82" s="111"/>
      <c r="Q82" s="21" t="str">
        <f t="shared" si="3"/>
        <v/>
      </c>
      <c r="T82" s="21" t="str">
        <f t="shared" si="4"/>
        <v/>
      </c>
      <c r="V82" s="21" t="str">
        <f t="shared" si="5"/>
        <v/>
      </c>
    </row>
    <row r="83" spans="4:22" x14ac:dyDescent="0.15">
      <c r="D83" s="111"/>
      <c r="Q83" s="21" t="str">
        <f t="shared" si="3"/>
        <v/>
      </c>
      <c r="T83" s="21" t="str">
        <f t="shared" si="4"/>
        <v/>
      </c>
      <c r="V83" s="21" t="str">
        <f t="shared" si="5"/>
        <v/>
      </c>
    </row>
    <row r="84" spans="4:22" x14ac:dyDescent="0.15">
      <c r="D84" s="111"/>
      <c r="Q84" s="21" t="str">
        <f t="shared" si="3"/>
        <v/>
      </c>
      <c r="T84" s="21" t="str">
        <f t="shared" si="4"/>
        <v/>
      </c>
      <c r="V84" s="21" t="str">
        <f t="shared" si="5"/>
        <v/>
      </c>
    </row>
    <row r="85" spans="4:22" x14ac:dyDescent="0.15">
      <c r="D85" s="111"/>
      <c r="Q85" s="21" t="str">
        <f t="shared" si="3"/>
        <v/>
      </c>
      <c r="T85" s="21" t="str">
        <f t="shared" si="4"/>
        <v/>
      </c>
      <c r="V85" s="21" t="str">
        <f t="shared" si="5"/>
        <v/>
      </c>
    </row>
    <row r="86" spans="4:22" x14ac:dyDescent="0.15">
      <c r="D86" s="111"/>
    </row>
    <row r="87" spans="4:22" x14ac:dyDescent="0.15">
      <c r="D87" s="111"/>
    </row>
    <row r="88" spans="4:22" x14ac:dyDescent="0.15">
      <c r="D88" s="111"/>
    </row>
    <row r="89" spans="4:22" x14ac:dyDescent="0.15">
      <c r="D89" s="111"/>
    </row>
    <row r="90" spans="4:22" x14ac:dyDescent="0.15">
      <c r="D90" s="111"/>
    </row>
    <row r="91" spans="4:22" x14ac:dyDescent="0.15">
      <c r="D91" s="111"/>
    </row>
  </sheetData>
  <autoFilter ref="A1:BA91" xr:uid="{00000000-0009-0000-0000-000001000000}"/>
  <phoneticPr fontId="3"/>
  <dataValidations count="17">
    <dataValidation type="decimal" allowBlank="1" showInputMessage="1" showErrorMessage="1" error="硬度を正しく入力して下さい。" sqref="O2:P500" xr:uid="{6E31BD2A-AA8A-4272-B5C8-0B47CBCDDA9E}">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396BE3E8-6A87-463E-AD73-CEF4E348F2EF}">
      <formula1>$AV$2:$AV$20</formula1>
    </dataValidation>
    <dataValidation type="list" allowBlank="1" showInputMessage="1" showErrorMessage="1" sqref="Y2:AA500" xr:uid="{8488EE1E-0EFF-40E3-A8FC-9CAB1A16C32B}">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1384D516-D4B9-4C06-AF50-405389B8B51A}">
      <formula1>$AT$2:$AT$3</formula1>
    </dataValidation>
    <dataValidation type="list" allowBlank="1" showInputMessage="1" showErrorMessage="1" sqref="K2:K4 K8:K89" xr:uid="{E97624B7-9E84-4810-8DFF-16332D22E82C}">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48F794DB-CBA8-4F14-8DE6-715D5234354C}">
      <formula1>$AR$2:$AR$25</formula1>
    </dataValidation>
    <dataValidation type="list" allowBlank="1" showInputMessage="1" showErrorMessage="1" sqref="WVR983042:WVR983119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J2:J4 J8:J500" xr:uid="{F7B4345F-D332-4C7C-9A7E-8DB6703B9CD7}">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42D1A6A1-A424-45EF-BBEF-86BB23C60423}">
      <formula1>$AH$2:$AH$11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A8A80063-2748-4E95-B49C-8A09CEE368BD}">
      <formula1>$AE$2:$AE$19</formula1>
    </dataValidation>
    <dataValidation type="list" allowBlank="1" showInputMessage="1" showErrorMessage="1" sqref="WVO983042:WVO983119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G2:G500" xr:uid="{3BC3263F-9494-42E0-8D4B-13233B9809BE}">
      <formula1>$AJ$2:$AJ$4</formula1>
    </dataValidation>
    <dataValidation type="list" allowBlank="1" showInputMessage="1" showErrorMessage="1" sqref="H2:H1153" xr:uid="{F7B426C4-9200-4C74-9A9D-2C8C81CE6683}">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78CE9DBD-8AE4-488A-92F0-DC0DFA3294E6}">
      <formula1>$AN$5:$AN$6</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81" xr:uid="{48E1C87E-435B-4BEB-A321-9EECB93A9FA1}"/>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32B97814-9D72-4E45-8534-02AA6B446B6E}">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3EADBC03-2A00-4ECF-9ED3-203224A1E64D}">
      <formula1>$AL$4:$AL$12</formula1>
    </dataValidation>
    <dataValidation type="list" allowBlank="1" showInputMessage="1" showErrorMessage="1" sqref="J5:J7" xr:uid="{0B7B49FA-E248-4BA7-9E74-ADB7625D2EC8}">
      <formula1>$AP$2:$AP$28</formula1>
    </dataValidation>
    <dataValidation type="list" allowBlank="1" showInputMessage="1" showErrorMessage="1" sqref="K5:K7" xr:uid="{0620EB4B-9BC6-4E90-B95D-6737CB76FDFD}">
      <formula1>$AR$2:$AR$27</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94A0-1FBD-4AD4-96A0-45E062F53C5D}">
  <sheetPr>
    <pageSetUpPr fitToPage="1"/>
  </sheetPr>
  <dimension ref="A1:BA117"/>
  <sheetViews>
    <sheetView zoomScale="80" zoomScaleNormal="80" workbookViewId="0"/>
  </sheetViews>
  <sheetFormatPr defaultRowHeight="13.5" x14ac:dyDescent="0.15"/>
  <cols>
    <col min="1" max="3" width="9" style="39" customWidth="1"/>
    <col min="4" max="4" width="10.5" style="39" customWidth="1"/>
    <col min="5" max="5" width="11.25" style="39" bestFit="1" customWidth="1"/>
    <col min="6" max="7" width="9" style="39"/>
    <col min="8" max="10" width="9" style="39" customWidth="1"/>
    <col min="11" max="11" width="11.375" style="39" customWidth="1"/>
    <col min="12" max="16" width="9" style="39" customWidth="1"/>
    <col min="17" max="17" width="9" style="45" customWidth="1"/>
    <col min="18" max="18" width="9" style="39"/>
    <col min="19" max="19" width="9.5" style="39" bestFit="1" customWidth="1"/>
    <col min="20" max="20" width="9" style="45" customWidth="1"/>
    <col min="21" max="21" width="9" style="39"/>
    <col min="22" max="22" width="9" style="45" customWidth="1"/>
    <col min="23" max="28" width="9" style="39"/>
    <col min="29" max="29" width="26.5" style="39" customWidth="1"/>
    <col min="30" max="32" width="9" style="39"/>
    <col min="33" max="33" width="15.75" style="39" bestFit="1" customWidth="1"/>
    <col min="34" max="34" width="15" style="39" bestFit="1" customWidth="1"/>
    <col min="35" max="256" width="9" style="39"/>
    <col min="257" max="259" width="9" style="39" customWidth="1"/>
    <col min="260" max="260" width="10.5" style="39" customWidth="1"/>
    <col min="261" max="261" width="11.25" style="39" bestFit="1" customWidth="1"/>
    <col min="262" max="263" width="9" style="39"/>
    <col min="264" max="273" width="9" style="39" customWidth="1"/>
    <col min="274" max="274" width="9" style="39"/>
    <col min="275" max="275" width="9.5" style="39" bestFit="1" customWidth="1"/>
    <col min="276" max="276" width="9" style="39" customWidth="1"/>
    <col min="277" max="277" width="9" style="39"/>
    <col min="278" max="278" width="9" style="39" customWidth="1"/>
    <col min="279" max="284" width="9" style="39"/>
    <col min="285" max="285" width="26.5" style="39" customWidth="1"/>
    <col min="286" max="288" width="9" style="39"/>
    <col min="289" max="289" width="14.75" style="39" bestFit="1" customWidth="1"/>
    <col min="290" max="512" width="9" style="39"/>
    <col min="513" max="515" width="9" style="39" customWidth="1"/>
    <col min="516" max="516" width="10.5" style="39" customWidth="1"/>
    <col min="517" max="517" width="11.25" style="39" bestFit="1" customWidth="1"/>
    <col min="518" max="519" width="9" style="39"/>
    <col min="520" max="529" width="9" style="39" customWidth="1"/>
    <col min="530" max="530" width="9" style="39"/>
    <col min="531" max="531" width="9.5" style="39" bestFit="1" customWidth="1"/>
    <col min="532" max="532" width="9" style="39" customWidth="1"/>
    <col min="533" max="533" width="9" style="39"/>
    <col min="534" max="534" width="9" style="39" customWidth="1"/>
    <col min="535" max="540" width="9" style="39"/>
    <col min="541" max="541" width="26.5" style="39" customWidth="1"/>
    <col min="542" max="544" width="9" style="39"/>
    <col min="545" max="545" width="14.75" style="39" bestFit="1" customWidth="1"/>
    <col min="546" max="768" width="9" style="39"/>
    <col min="769" max="771" width="9" style="39" customWidth="1"/>
    <col min="772" max="772" width="10.5" style="39" customWidth="1"/>
    <col min="773" max="773" width="11.25" style="39" bestFit="1" customWidth="1"/>
    <col min="774" max="775" width="9" style="39"/>
    <col min="776" max="785" width="9" style="39" customWidth="1"/>
    <col min="786" max="786" width="9" style="39"/>
    <col min="787" max="787" width="9.5" style="39" bestFit="1" customWidth="1"/>
    <col min="788" max="788" width="9" style="39" customWidth="1"/>
    <col min="789" max="789" width="9" style="39"/>
    <col min="790" max="790" width="9" style="39" customWidth="1"/>
    <col min="791" max="796" width="9" style="39"/>
    <col min="797" max="797" width="26.5" style="39" customWidth="1"/>
    <col min="798" max="800" width="9" style="39"/>
    <col min="801" max="801" width="14.75" style="39" bestFit="1" customWidth="1"/>
    <col min="802" max="1024" width="9" style="39"/>
    <col min="1025" max="1027" width="9" style="39" customWidth="1"/>
    <col min="1028" max="1028" width="10.5" style="39" customWidth="1"/>
    <col min="1029" max="1029" width="11.25" style="39" bestFit="1" customWidth="1"/>
    <col min="1030" max="1031" width="9" style="39"/>
    <col min="1032" max="1041" width="9" style="39" customWidth="1"/>
    <col min="1042" max="1042" width="9" style="39"/>
    <col min="1043" max="1043" width="9.5" style="39" bestFit="1" customWidth="1"/>
    <col min="1044" max="1044" width="9" style="39" customWidth="1"/>
    <col min="1045" max="1045" width="9" style="39"/>
    <col min="1046" max="1046" width="9" style="39" customWidth="1"/>
    <col min="1047" max="1052" width="9" style="39"/>
    <col min="1053" max="1053" width="26.5" style="39" customWidth="1"/>
    <col min="1054" max="1056" width="9" style="39"/>
    <col min="1057" max="1057" width="14.75" style="39" bestFit="1" customWidth="1"/>
    <col min="1058" max="1280" width="9" style="39"/>
    <col min="1281" max="1283" width="9" style="39" customWidth="1"/>
    <col min="1284" max="1284" width="10.5" style="39" customWidth="1"/>
    <col min="1285" max="1285" width="11.25" style="39" bestFit="1" customWidth="1"/>
    <col min="1286" max="1287" width="9" style="39"/>
    <col min="1288" max="1297" width="9" style="39" customWidth="1"/>
    <col min="1298" max="1298" width="9" style="39"/>
    <col min="1299" max="1299" width="9.5" style="39" bestFit="1" customWidth="1"/>
    <col min="1300" max="1300" width="9" style="39" customWidth="1"/>
    <col min="1301" max="1301" width="9" style="39"/>
    <col min="1302" max="1302" width="9" style="39" customWidth="1"/>
    <col min="1303" max="1308" width="9" style="39"/>
    <col min="1309" max="1309" width="26.5" style="39" customWidth="1"/>
    <col min="1310" max="1312" width="9" style="39"/>
    <col min="1313" max="1313" width="14.75" style="39" bestFit="1" customWidth="1"/>
    <col min="1314" max="1536" width="9" style="39"/>
    <col min="1537" max="1539" width="9" style="39" customWidth="1"/>
    <col min="1540" max="1540" width="10.5" style="39" customWidth="1"/>
    <col min="1541" max="1541" width="11.25" style="39" bestFit="1" customWidth="1"/>
    <col min="1542" max="1543" width="9" style="39"/>
    <col min="1544" max="1553" width="9" style="39" customWidth="1"/>
    <col min="1554" max="1554" width="9" style="39"/>
    <col min="1555" max="1555" width="9.5" style="39" bestFit="1" customWidth="1"/>
    <col min="1556" max="1556" width="9" style="39" customWidth="1"/>
    <col min="1557" max="1557" width="9" style="39"/>
    <col min="1558" max="1558" width="9" style="39" customWidth="1"/>
    <col min="1559" max="1564" width="9" style="39"/>
    <col min="1565" max="1565" width="26.5" style="39" customWidth="1"/>
    <col min="1566" max="1568" width="9" style="39"/>
    <col min="1569" max="1569" width="14.75" style="39" bestFit="1" customWidth="1"/>
    <col min="1570" max="1792" width="9" style="39"/>
    <col min="1793" max="1795" width="9" style="39" customWidth="1"/>
    <col min="1796" max="1796" width="10.5" style="39" customWidth="1"/>
    <col min="1797" max="1797" width="11.25" style="39" bestFit="1" customWidth="1"/>
    <col min="1798" max="1799" width="9" style="39"/>
    <col min="1800" max="1809" width="9" style="39" customWidth="1"/>
    <col min="1810" max="1810" width="9" style="39"/>
    <col min="1811" max="1811" width="9.5" style="39" bestFit="1" customWidth="1"/>
    <col min="1812" max="1812" width="9" style="39" customWidth="1"/>
    <col min="1813" max="1813" width="9" style="39"/>
    <col min="1814" max="1814" width="9" style="39" customWidth="1"/>
    <col min="1815" max="1820" width="9" style="39"/>
    <col min="1821" max="1821" width="26.5" style="39" customWidth="1"/>
    <col min="1822" max="1824" width="9" style="39"/>
    <col min="1825" max="1825" width="14.75" style="39" bestFit="1" customWidth="1"/>
    <col min="1826" max="2048" width="9" style="39"/>
    <col min="2049" max="2051" width="9" style="39" customWidth="1"/>
    <col min="2052" max="2052" width="10.5" style="39" customWidth="1"/>
    <col min="2053" max="2053" width="11.25" style="39" bestFit="1" customWidth="1"/>
    <col min="2054" max="2055" width="9" style="39"/>
    <col min="2056" max="2065" width="9" style="39" customWidth="1"/>
    <col min="2066" max="2066" width="9" style="39"/>
    <col min="2067" max="2067" width="9.5" style="39" bestFit="1" customWidth="1"/>
    <col min="2068" max="2068" width="9" style="39" customWidth="1"/>
    <col min="2069" max="2069" width="9" style="39"/>
    <col min="2070" max="2070" width="9" style="39" customWidth="1"/>
    <col min="2071" max="2076" width="9" style="39"/>
    <col min="2077" max="2077" width="26.5" style="39" customWidth="1"/>
    <col min="2078" max="2080" width="9" style="39"/>
    <col min="2081" max="2081" width="14.75" style="39" bestFit="1" customWidth="1"/>
    <col min="2082" max="2304" width="9" style="39"/>
    <col min="2305" max="2307" width="9" style="39" customWidth="1"/>
    <col min="2308" max="2308" width="10.5" style="39" customWidth="1"/>
    <col min="2309" max="2309" width="11.25" style="39" bestFit="1" customWidth="1"/>
    <col min="2310" max="2311" width="9" style="39"/>
    <col min="2312" max="2321" width="9" style="39" customWidth="1"/>
    <col min="2322" max="2322" width="9" style="39"/>
    <col min="2323" max="2323" width="9.5" style="39" bestFit="1" customWidth="1"/>
    <col min="2324" max="2324" width="9" style="39" customWidth="1"/>
    <col min="2325" max="2325" width="9" style="39"/>
    <col min="2326" max="2326" width="9" style="39" customWidth="1"/>
    <col min="2327" max="2332" width="9" style="39"/>
    <col min="2333" max="2333" width="26.5" style="39" customWidth="1"/>
    <col min="2334" max="2336" width="9" style="39"/>
    <col min="2337" max="2337" width="14.75" style="39" bestFit="1" customWidth="1"/>
    <col min="2338" max="2560" width="9" style="39"/>
    <col min="2561" max="2563" width="9" style="39" customWidth="1"/>
    <col min="2564" max="2564" width="10.5" style="39" customWidth="1"/>
    <col min="2565" max="2565" width="11.25" style="39" bestFit="1" customWidth="1"/>
    <col min="2566" max="2567" width="9" style="39"/>
    <col min="2568" max="2577" width="9" style="39" customWidth="1"/>
    <col min="2578" max="2578" width="9" style="39"/>
    <col min="2579" max="2579" width="9.5" style="39" bestFit="1" customWidth="1"/>
    <col min="2580" max="2580" width="9" style="39" customWidth="1"/>
    <col min="2581" max="2581" width="9" style="39"/>
    <col min="2582" max="2582" width="9" style="39" customWidth="1"/>
    <col min="2583" max="2588" width="9" style="39"/>
    <col min="2589" max="2589" width="26.5" style="39" customWidth="1"/>
    <col min="2590" max="2592" width="9" style="39"/>
    <col min="2593" max="2593" width="14.75" style="39" bestFit="1" customWidth="1"/>
    <col min="2594" max="2816" width="9" style="39"/>
    <col min="2817" max="2819" width="9" style="39" customWidth="1"/>
    <col min="2820" max="2820" width="10.5" style="39" customWidth="1"/>
    <col min="2821" max="2821" width="11.25" style="39" bestFit="1" customWidth="1"/>
    <col min="2822" max="2823" width="9" style="39"/>
    <col min="2824" max="2833" width="9" style="39" customWidth="1"/>
    <col min="2834" max="2834" width="9" style="39"/>
    <col min="2835" max="2835" width="9.5" style="39" bestFit="1" customWidth="1"/>
    <col min="2836" max="2836" width="9" style="39" customWidth="1"/>
    <col min="2837" max="2837" width="9" style="39"/>
    <col min="2838" max="2838" width="9" style="39" customWidth="1"/>
    <col min="2839" max="2844" width="9" style="39"/>
    <col min="2845" max="2845" width="26.5" style="39" customWidth="1"/>
    <col min="2846" max="2848" width="9" style="39"/>
    <col min="2849" max="2849" width="14.75" style="39" bestFit="1" customWidth="1"/>
    <col min="2850" max="3072" width="9" style="39"/>
    <col min="3073" max="3075" width="9" style="39" customWidth="1"/>
    <col min="3076" max="3076" width="10.5" style="39" customWidth="1"/>
    <col min="3077" max="3077" width="11.25" style="39" bestFit="1" customWidth="1"/>
    <col min="3078" max="3079" width="9" style="39"/>
    <col min="3080" max="3089" width="9" style="39" customWidth="1"/>
    <col min="3090" max="3090" width="9" style="39"/>
    <col min="3091" max="3091" width="9.5" style="39" bestFit="1" customWidth="1"/>
    <col min="3092" max="3092" width="9" style="39" customWidth="1"/>
    <col min="3093" max="3093" width="9" style="39"/>
    <col min="3094" max="3094" width="9" style="39" customWidth="1"/>
    <col min="3095" max="3100" width="9" style="39"/>
    <col min="3101" max="3101" width="26.5" style="39" customWidth="1"/>
    <col min="3102" max="3104" width="9" style="39"/>
    <col min="3105" max="3105" width="14.75" style="39" bestFit="1" customWidth="1"/>
    <col min="3106" max="3328" width="9" style="39"/>
    <col min="3329" max="3331" width="9" style="39" customWidth="1"/>
    <col min="3332" max="3332" width="10.5" style="39" customWidth="1"/>
    <col min="3333" max="3333" width="11.25" style="39" bestFit="1" customWidth="1"/>
    <col min="3334" max="3335" width="9" style="39"/>
    <col min="3336" max="3345" width="9" style="39" customWidth="1"/>
    <col min="3346" max="3346" width="9" style="39"/>
    <col min="3347" max="3347" width="9.5" style="39" bestFit="1" customWidth="1"/>
    <col min="3348" max="3348" width="9" style="39" customWidth="1"/>
    <col min="3349" max="3349" width="9" style="39"/>
    <col min="3350" max="3350" width="9" style="39" customWidth="1"/>
    <col min="3351" max="3356" width="9" style="39"/>
    <col min="3357" max="3357" width="26.5" style="39" customWidth="1"/>
    <col min="3358" max="3360" width="9" style="39"/>
    <col min="3361" max="3361" width="14.75" style="39" bestFit="1" customWidth="1"/>
    <col min="3362" max="3584" width="9" style="39"/>
    <col min="3585" max="3587" width="9" style="39" customWidth="1"/>
    <col min="3588" max="3588" width="10.5" style="39" customWidth="1"/>
    <col min="3589" max="3589" width="11.25" style="39" bestFit="1" customWidth="1"/>
    <col min="3590" max="3591" width="9" style="39"/>
    <col min="3592" max="3601" width="9" style="39" customWidth="1"/>
    <col min="3602" max="3602" width="9" style="39"/>
    <col min="3603" max="3603" width="9.5" style="39" bestFit="1" customWidth="1"/>
    <col min="3604" max="3604" width="9" style="39" customWidth="1"/>
    <col min="3605" max="3605" width="9" style="39"/>
    <col min="3606" max="3606" width="9" style="39" customWidth="1"/>
    <col min="3607" max="3612" width="9" style="39"/>
    <col min="3613" max="3613" width="26.5" style="39" customWidth="1"/>
    <col min="3614" max="3616" width="9" style="39"/>
    <col min="3617" max="3617" width="14.75" style="39" bestFit="1" customWidth="1"/>
    <col min="3618" max="3840" width="9" style="39"/>
    <col min="3841" max="3843" width="9" style="39" customWidth="1"/>
    <col min="3844" max="3844" width="10.5" style="39" customWidth="1"/>
    <col min="3845" max="3845" width="11.25" style="39" bestFit="1" customWidth="1"/>
    <col min="3846" max="3847" width="9" style="39"/>
    <col min="3848" max="3857" width="9" style="39" customWidth="1"/>
    <col min="3858" max="3858" width="9" style="39"/>
    <col min="3859" max="3859" width="9.5" style="39" bestFit="1" customWidth="1"/>
    <col min="3860" max="3860" width="9" style="39" customWidth="1"/>
    <col min="3861" max="3861" width="9" style="39"/>
    <col min="3862" max="3862" width="9" style="39" customWidth="1"/>
    <col min="3863" max="3868" width="9" style="39"/>
    <col min="3869" max="3869" width="26.5" style="39" customWidth="1"/>
    <col min="3870" max="3872" width="9" style="39"/>
    <col min="3873" max="3873" width="14.75" style="39" bestFit="1" customWidth="1"/>
    <col min="3874" max="4096" width="9" style="39"/>
    <col min="4097" max="4099" width="9" style="39" customWidth="1"/>
    <col min="4100" max="4100" width="10.5" style="39" customWidth="1"/>
    <col min="4101" max="4101" width="11.25" style="39" bestFit="1" customWidth="1"/>
    <col min="4102" max="4103" width="9" style="39"/>
    <col min="4104" max="4113" width="9" style="39" customWidth="1"/>
    <col min="4114" max="4114" width="9" style="39"/>
    <col min="4115" max="4115" width="9.5" style="39" bestFit="1" customWidth="1"/>
    <col min="4116" max="4116" width="9" style="39" customWidth="1"/>
    <col min="4117" max="4117" width="9" style="39"/>
    <col min="4118" max="4118" width="9" style="39" customWidth="1"/>
    <col min="4119" max="4124" width="9" style="39"/>
    <col min="4125" max="4125" width="26.5" style="39" customWidth="1"/>
    <col min="4126" max="4128" width="9" style="39"/>
    <col min="4129" max="4129" width="14.75" style="39" bestFit="1" customWidth="1"/>
    <col min="4130" max="4352" width="9" style="39"/>
    <col min="4353" max="4355" width="9" style="39" customWidth="1"/>
    <col min="4356" max="4356" width="10.5" style="39" customWidth="1"/>
    <col min="4357" max="4357" width="11.25" style="39" bestFit="1" customWidth="1"/>
    <col min="4358" max="4359" width="9" style="39"/>
    <col min="4360" max="4369" width="9" style="39" customWidth="1"/>
    <col min="4370" max="4370" width="9" style="39"/>
    <col min="4371" max="4371" width="9.5" style="39" bestFit="1" customWidth="1"/>
    <col min="4372" max="4372" width="9" style="39" customWidth="1"/>
    <col min="4373" max="4373" width="9" style="39"/>
    <col min="4374" max="4374" width="9" style="39" customWidth="1"/>
    <col min="4375" max="4380" width="9" style="39"/>
    <col min="4381" max="4381" width="26.5" style="39" customWidth="1"/>
    <col min="4382" max="4384" width="9" style="39"/>
    <col min="4385" max="4385" width="14.75" style="39" bestFit="1" customWidth="1"/>
    <col min="4386" max="4608" width="9" style="39"/>
    <col min="4609" max="4611" width="9" style="39" customWidth="1"/>
    <col min="4612" max="4612" width="10.5" style="39" customWidth="1"/>
    <col min="4613" max="4613" width="11.25" style="39" bestFit="1" customWidth="1"/>
    <col min="4614" max="4615" width="9" style="39"/>
    <col min="4616" max="4625" width="9" style="39" customWidth="1"/>
    <col min="4626" max="4626" width="9" style="39"/>
    <col min="4627" max="4627" width="9.5" style="39" bestFit="1" customWidth="1"/>
    <col min="4628" max="4628" width="9" style="39" customWidth="1"/>
    <col min="4629" max="4629" width="9" style="39"/>
    <col min="4630" max="4630" width="9" style="39" customWidth="1"/>
    <col min="4631" max="4636" width="9" style="39"/>
    <col min="4637" max="4637" width="26.5" style="39" customWidth="1"/>
    <col min="4638" max="4640" width="9" style="39"/>
    <col min="4641" max="4641" width="14.75" style="39" bestFit="1" customWidth="1"/>
    <col min="4642" max="4864" width="9" style="39"/>
    <col min="4865" max="4867" width="9" style="39" customWidth="1"/>
    <col min="4868" max="4868" width="10.5" style="39" customWidth="1"/>
    <col min="4869" max="4869" width="11.25" style="39" bestFit="1" customWidth="1"/>
    <col min="4870" max="4871" width="9" style="39"/>
    <col min="4872" max="4881" width="9" style="39" customWidth="1"/>
    <col min="4882" max="4882" width="9" style="39"/>
    <col min="4883" max="4883" width="9.5" style="39" bestFit="1" customWidth="1"/>
    <col min="4884" max="4884" width="9" style="39" customWidth="1"/>
    <col min="4885" max="4885" width="9" style="39"/>
    <col min="4886" max="4886" width="9" style="39" customWidth="1"/>
    <col min="4887" max="4892" width="9" style="39"/>
    <col min="4893" max="4893" width="26.5" style="39" customWidth="1"/>
    <col min="4894" max="4896" width="9" style="39"/>
    <col min="4897" max="4897" width="14.75" style="39" bestFit="1" customWidth="1"/>
    <col min="4898" max="5120" width="9" style="39"/>
    <col min="5121" max="5123" width="9" style="39" customWidth="1"/>
    <col min="5124" max="5124" width="10.5" style="39" customWidth="1"/>
    <col min="5125" max="5125" width="11.25" style="39" bestFit="1" customWidth="1"/>
    <col min="5126" max="5127" width="9" style="39"/>
    <col min="5128" max="5137" width="9" style="39" customWidth="1"/>
    <col min="5138" max="5138" width="9" style="39"/>
    <col min="5139" max="5139" width="9.5" style="39" bestFit="1" customWidth="1"/>
    <col min="5140" max="5140" width="9" style="39" customWidth="1"/>
    <col min="5141" max="5141" width="9" style="39"/>
    <col min="5142" max="5142" width="9" style="39" customWidth="1"/>
    <col min="5143" max="5148" width="9" style="39"/>
    <col min="5149" max="5149" width="26.5" style="39" customWidth="1"/>
    <col min="5150" max="5152" width="9" style="39"/>
    <col min="5153" max="5153" width="14.75" style="39" bestFit="1" customWidth="1"/>
    <col min="5154" max="5376" width="9" style="39"/>
    <col min="5377" max="5379" width="9" style="39" customWidth="1"/>
    <col min="5380" max="5380" width="10.5" style="39" customWidth="1"/>
    <col min="5381" max="5381" width="11.25" style="39" bestFit="1" customWidth="1"/>
    <col min="5382" max="5383" width="9" style="39"/>
    <col min="5384" max="5393" width="9" style="39" customWidth="1"/>
    <col min="5394" max="5394" width="9" style="39"/>
    <col min="5395" max="5395" width="9.5" style="39" bestFit="1" customWidth="1"/>
    <col min="5396" max="5396" width="9" style="39" customWidth="1"/>
    <col min="5397" max="5397" width="9" style="39"/>
    <col min="5398" max="5398" width="9" style="39" customWidth="1"/>
    <col min="5399" max="5404" width="9" style="39"/>
    <col min="5405" max="5405" width="26.5" style="39" customWidth="1"/>
    <col min="5406" max="5408" width="9" style="39"/>
    <col min="5409" max="5409" width="14.75" style="39" bestFit="1" customWidth="1"/>
    <col min="5410" max="5632" width="9" style="39"/>
    <col min="5633" max="5635" width="9" style="39" customWidth="1"/>
    <col min="5636" max="5636" width="10.5" style="39" customWidth="1"/>
    <col min="5637" max="5637" width="11.25" style="39" bestFit="1" customWidth="1"/>
    <col min="5638" max="5639" width="9" style="39"/>
    <col min="5640" max="5649" width="9" style="39" customWidth="1"/>
    <col min="5650" max="5650" width="9" style="39"/>
    <col min="5651" max="5651" width="9.5" style="39" bestFit="1" customWidth="1"/>
    <col min="5652" max="5652" width="9" style="39" customWidth="1"/>
    <col min="5653" max="5653" width="9" style="39"/>
    <col min="5654" max="5654" width="9" style="39" customWidth="1"/>
    <col min="5655" max="5660" width="9" style="39"/>
    <col min="5661" max="5661" width="26.5" style="39" customWidth="1"/>
    <col min="5662" max="5664" width="9" style="39"/>
    <col min="5665" max="5665" width="14.75" style="39" bestFit="1" customWidth="1"/>
    <col min="5666" max="5888" width="9" style="39"/>
    <col min="5889" max="5891" width="9" style="39" customWidth="1"/>
    <col min="5892" max="5892" width="10.5" style="39" customWidth="1"/>
    <col min="5893" max="5893" width="11.25" style="39" bestFit="1" customWidth="1"/>
    <col min="5894" max="5895" width="9" style="39"/>
    <col min="5896" max="5905" width="9" style="39" customWidth="1"/>
    <col min="5906" max="5906" width="9" style="39"/>
    <col min="5907" max="5907" width="9.5" style="39" bestFit="1" customWidth="1"/>
    <col min="5908" max="5908" width="9" style="39" customWidth="1"/>
    <col min="5909" max="5909" width="9" style="39"/>
    <col min="5910" max="5910" width="9" style="39" customWidth="1"/>
    <col min="5911" max="5916" width="9" style="39"/>
    <col min="5917" max="5917" width="26.5" style="39" customWidth="1"/>
    <col min="5918" max="5920" width="9" style="39"/>
    <col min="5921" max="5921" width="14.75" style="39" bestFit="1" customWidth="1"/>
    <col min="5922" max="6144" width="9" style="39"/>
    <col min="6145" max="6147" width="9" style="39" customWidth="1"/>
    <col min="6148" max="6148" width="10.5" style="39" customWidth="1"/>
    <col min="6149" max="6149" width="11.25" style="39" bestFit="1" customWidth="1"/>
    <col min="6150" max="6151" width="9" style="39"/>
    <col min="6152" max="6161" width="9" style="39" customWidth="1"/>
    <col min="6162" max="6162" width="9" style="39"/>
    <col min="6163" max="6163" width="9.5" style="39" bestFit="1" customWidth="1"/>
    <col min="6164" max="6164" width="9" style="39" customWidth="1"/>
    <col min="6165" max="6165" width="9" style="39"/>
    <col min="6166" max="6166" width="9" style="39" customWidth="1"/>
    <col min="6167" max="6172" width="9" style="39"/>
    <col min="6173" max="6173" width="26.5" style="39" customWidth="1"/>
    <col min="6174" max="6176" width="9" style="39"/>
    <col min="6177" max="6177" width="14.75" style="39" bestFit="1" customWidth="1"/>
    <col min="6178" max="6400" width="9" style="39"/>
    <col min="6401" max="6403" width="9" style="39" customWidth="1"/>
    <col min="6404" max="6404" width="10.5" style="39" customWidth="1"/>
    <col min="6405" max="6405" width="11.25" style="39" bestFit="1" customWidth="1"/>
    <col min="6406" max="6407" width="9" style="39"/>
    <col min="6408" max="6417" width="9" style="39" customWidth="1"/>
    <col min="6418" max="6418" width="9" style="39"/>
    <col min="6419" max="6419" width="9.5" style="39" bestFit="1" customWidth="1"/>
    <col min="6420" max="6420" width="9" style="39" customWidth="1"/>
    <col min="6421" max="6421" width="9" style="39"/>
    <col min="6422" max="6422" width="9" style="39" customWidth="1"/>
    <col min="6423" max="6428" width="9" style="39"/>
    <col min="6429" max="6429" width="26.5" style="39" customWidth="1"/>
    <col min="6430" max="6432" width="9" style="39"/>
    <col min="6433" max="6433" width="14.75" style="39" bestFit="1" customWidth="1"/>
    <col min="6434" max="6656" width="9" style="39"/>
    <col min="6657" max="6659" width="9" style="39" customWidth="1"/>
    <col min="6660" max="6660" width="10.5" style="39" customWidth="1"/>
    <col min="6661" max="6661" width="11.25" style="39" bestFit="1" customWidth="1"/>
    <col min="6662" max="6663" width="9" style="39"/>
    <col min="6664" max="6673" width="9" style="39" customWidth="1"/>
    <col min="6674" max="6674" width="9" style="39"/>
    <col min="6675" max="6675" width="9.5" style="39" bestFit="1" customWidth="1"/>
    <col min="6676" max="6676" width="9" style="39" customWidth="1"/>
    <col min="6677" max="6677" width="9" style="39"/>
    <col min="6678" max="6678" width="9" style="39" customWidth="1"/>
    <col min="6679" max="6684" width="9" style="39"/>
    <col min="6685" max="6685" width="26.5" style="39" customWidth="1"/>
    <col min="6686" max="6688" width="9" style="39"/>
    <col min="6689" max="6689" width="14.75" style="39" bestFit="1" customWidth="1"/>
    <col min="6690" max="6912" width="9" style="39"/>
    <col min="6913" max="6915" width="9" style="39" customWidth="1"/>
    <col min="6916" max="6916" width="10.5" style="39" customWidth="1"/>
    <col min="6917" max="6917" width="11.25" style="39" bestFit="1" customWidth="1"/>
    <col min="6918" max="6919" width="9" style="39"/>
    <col min="6920" max="6929" width="9" style="39" customWidth="1"/>
    <col min="6930" max="6930" width="9" style="39"/>
    <col min="6931" max="6931" width="9.5" style="39" bestFit="1" customWidth="1"/>
    <col min="6932" max="6932" width="9" style="39" customWidth="1"/>
    <col min="6933" max="6933" width="9" style="39"/>
    <col min="6934" max="6934" width="9" style="39" customWidth="1"/>
    <col min="6935" max="6940" width="9" style="39"/>
    <col min="6941" max="6941" width="26.5" style="39" customWidth="1"/>
    <col min="6942" max="6944" width="9" style="39"/>
    <col min="6945" max="6945" width="14.75" style="39" bestFit="1" customWidth="1"/>
    <col min="6946" max="7168" width="9" style="39"/>
    <col min="7169" max="7171" width="9" style="39" customWidth="1"/>
    <col min="7172" max="7172" width="10.5" style="39" customWidth="1"/>
    <col min="7173" max="7173" width="11.25" style="39" bestFit="1" customWidth="1"/>
    <col min="7174" max="7175" width="9" style="39"/>
    <col min="7176" max="7185" width="9" style="39" customWidth="1"/>
    <col min="7186" max="7186" width="9" style="39"/>
    <col min="7187" max="7187" width="9.5" style="39" bestFit="1" customWidth="1"/>
    <col min="7188" max="7188" width="9" style="39" customWidth="1"/>
    <col min="7189" max="7189" width="9" style="39"/>
    <col min="7190" max="7190" width="9" style="39" customWidth="1"/>
    <col min="7191" max="7196" width="9" style="39"/>
    <col min="7197" max="7197" width="26.5" style="39" customWidth="1"/>
    <col min="7198" max="7200" width="9" style="39"/>
    <col min="7201" max="7201" width="14.75" style="39" bestFit="1" customWidth="1"/>
    <col min="7202" max="7424" width="9" style="39"/>
    <col min="7425" max="7427" width="9" style="39" customWidth="1"/>
    <col min="7428" max="7428" width="10.5" style="39" customWidth="1"/>
    <col min="7429" max="7429" width="11.25" style="39" bestFit="1" customWidth="1"/>
    <col min="7430" max="7431" width="9" style="39"/>
    <col min="7432" max="7441" width="9" style="39" customWidth="1"/>
    <col min="7442" max="7442" width="9" style="39"/>
    <col min="7443" max="7443" width="9.5" style="39" bestFit="1" customWidth="1"/>
    <col min="7444" max="7444" width="9" style="39" customWidth="1"/>
    <col min="7445" max="7445" width="9" style="39"/>
    <col min="7446" max="7446" width="9" style="39" customWidth="1"/>
    <col min="7447" max="7452" width="9" style="39"/>
    <col min="7453" max="7453" width="26.5" style="39" customWidth="1"/>
    <col min="7454" max="7456" width="9" style="39"/>
    <col min="7457" max="7457" width="14.75" style="39" bestFit="1" customWidth="1"/>
    <col min="7458" max="7680" width="9" style="39"/>
    <col min="7681" max="7683" width="9" style="39" customWidth="1"/>
    <col min="7684" max="7684" width="10.5" style="39" customWidth="1"/>
    <col min="7685" max="7685" width="11.25" style="39" bestFit="1" customWidth="1"/>
    <col min="7686" max="7687" width="9" style="39"/>
    <col min="7688" max="7697" width="9" style="39" customWidth="1"/>
    <col min="7698" max="7698" width="9" style="39"/>
    <col min="7699" max="7699" width="9.5" style="39" bestFit="1" customWidth="1"/>
    <col min="7700" max="7700" width="9" style="39" customWidth="1"/>
    <col min="7701" max="7701" width="9" style="39"/>
    <col min="7702" max="7702" width="9" style="39" customWidth="1"/>
    <col min="7703" max="7708" width="9" style="39"/>
    <col min="7709" max="7709" width="26.5" style="39" customWidth="1"/>
    <col min="7710" max="7712" width="9" style="39"/>
    <col min="7713" max="7713" width="14.75" style="39" bestFit="1" customWidth="1"/>
    <col min="7714" max="7936" width="9" style="39"/>
    <col min="7937" max="7939" width="9" style="39" customWidth="1"/>
    <col min="7940" max="7940" width="10.5" style="39" customWidth="1"/>
    <col min="7941" max="7941" width="11.25" style="39" bestFit="1" customWidth="1"/>
    <col min="7942" max="7943" width="9" style="39"/>
    <col min="7944" max="7953" width="9" style="39" customWidth="1"/>
    <col min="7954" max="7954" width="9" style="39"/>
    <col min="7955" max="7955" width="9.5" style="39" bestFit="1" customWidth="1"/>
    <col min="7956" max="7956" width="9" style="39" customWidth="1"/>
    <col min="7957" max="7957" width="9" style="39"/>
    <col min="7958" max="7958" width="9" style="39" customWidth="1"/>
    <col min="7959" max="7964" width="9" style="39"/>
    <col min="7965" max="7965" width="26.5" style="39" customWidth="1"/>
    <col min="7966" max="7968" width="9" style="39"/>
    <col min="7969" max="7969" width="14.75" style="39" bestFit="1" customWidth="1"/>
    <col min="7970" max="8192" width="9" style="39"/>
    <col min="8193" max="8195" width="9" style="39" customWidth="1"/>
    <col min="8196" max="8196" width="10.5" style="39" customWidth="1"/>
    <col min="8197" max="8197" width="11.25" style="39" bestFit="1" customWidth="1"/>
    <col min="8198" max="8199" width="9" style="39"/>
    <col min="8200" max="8209" width="9" style="39" customWidth="1"/>
    <col min="8210" max="8210" width="9" style="39"/>
    <col min="8211" max="8211" width="9.5" style="39" bestFit="1" customWidth="1"/>
    <col min="8212" max="8212" width="9" style="39" customWidth="1"/>
    <col min="8213" max="8213" width="9" style="39"/>
    <col min="8214" max="8214" width="9" style="39" customWidth="1"/>
    <col min="8215" max="8220" width="9" style="39"/>
    <col min="8221" max="8221" width="26.5" style="39" customWidth="1"/>
    <col min="8222" max="8224" width="9" style="39"/>
    <col min="8225" max="8225" width="14.75" style="39" bestFit="1" customWidth="1"/>
    <col min="8226" max="8448" width="9" style="39"/>
    <col min="8449" max="8451" width="9" style="39" customWidth="1"/>
    <col min="8452" max="8452" width="10.5" style="39" customWidth="1"/>
    <col min="8453" max="8453" width="11.25" style="39" bestFit="1" customWidth="1"/>
    <col min="8454" max="8455" width="9" style="39"/>
    <col min="8456" max="8465" width="9" style="39" customWidth="1"/>
    <col min="8466" max="8466" width="9" style="39"/>
    <col min="8467" max="8467" width="9.5" style="39" bestFit="1" customWidth="1"/>
    <col min="8468" max="8468" width="9" style="39" customWidth="1"/>
    <col min="8469" max="8469" width="9" style="39"/>
    <col min="8470" max="8470" width="9" style="39" customWidth="1"/>
    <col min="8471" max="8476" width="9" style="39"/>
    <col min="8477" max="8477" width="26.5" style="39" customWidth="1"/>
    <col min="8478" max="8480" width="9" style="39"/>
    <col min="8481" max="8481" width="14.75" style="39" bestFit="1" customWidth="1"/>
    <col min="8482" max="8704" width="9" style="39"/>
    <col min="8705" max="8707" width="9" style="39" customWidth="1"/>
    <col min="8708" max="8708" width="10.5" style="39" customWidth="1"/>
    <col min="8709" max="8709" width="11.25" style="39" bestFit="1" customWidth="1"/>
    <col min="8710" max="8711" width="9" style="39"/>
    <col min="8712" max="8721" width="9" style="39" customWidth="1"/>
    <col min="8722" max="8722" width="9" style="39"/>
    <col min="8723" max="8723" width="9.5" style="39" bestFit="1" customWidth="1"/>
    <col min="8724" max="8724" width="9" style="39" customWidth="1"/>
    <col min="8725" max="8725" width="9" style="39"/>
    <col min="8726" max="8726" width="9" style="39" customWidth="1"/>
    <col min="8727" max="8732" width="9" style="39"/>
    <col min="8733" max="8733" width="26.5" style="39" customWidth="1"/>
    <col min="8734" max="8736" width="9" style="39"/>
    <col min="8737" max="8737" width="14.75" style="39" bestFit="1" customWidth="1"/>
    <col min="8738" max="8960" width="9" style="39"/>
    <col min="8961" max="8963" width="9" style="39" customWidth="1"/>
    <col min="8964" max="8964" width="10.5" style="39" customWidth="1"/>
    <col min="8965" max="8965" width="11.25" style="39" bestFit="1" customWidth="1"/>
    <col min="8966" max="8967" width="9" style="39"/>
    <col min="8968" max="8977" width="9" style="39" customWidth="1"/>
    <col min="8978" max="8978" width="9" style="39"/>
    <col min="8979" max="8979" width="9.5" style="39" bestFit="1" customWidth="1"/>
    <col min="8980" max="8980" width="9" style="39" customWidth="1"/>
    <col min="8981" max="8981" width="9" style="39"/>
    <col min="8982" max="8982" width="9" style="39" customWidth="1"/>
    <col min="8983" max="8988" width="9" style="39"/>
    <col min="8989" max="8989" width="26.5" style="39" customWidth="1"/>
    <col min="8990" max="8992" width="9" style="39"/>
    <col min="8993" max="8993" width="14.75" style="39" bestFit="1" customWidth="1"/>
    <col min="8994" max="9216" width="9" style="39"/>
    <col min="9217" max="9219" width="9" style="39" customWidth="1"/>
    <col min="9220" max="9220" width="10.5" style="39" customWidth="1"/>
    <col min="9221" max="9221" width="11.25" style="39" bestFit="1" customWidth="1"/>
    <col min="9222" max="9223" width="9" style="39"/>
    <col min="9224" max="9233" width="9" style="39" customWidth="1"/>
    <col min="9234" max="9234" width="9" style="39"/>
    <col min="9235" max="9235" width="9.5" style="39" bestFit="1" customWidth="1"/>
    <col min="9236" max="9236" width="9" style="39" customWidth="1"/>
    <col min="9237" max="9237" width="9" style="39"/>
    <col min="9238" max="9238" width="9" style="39" customWidth="1"/>
    <col min="9239" max="9244" width="9" style="39"/>
    <col min="9245" max="9245" width="26.5" style="39" customWidth="1"/>
    <col min="9246" max="9248" width="9" style="39"/>
    <col min="9249" max="9249" width="14.75" style="39" bestFit="1" customWidth="1"/>
    <col min="9250" max="9472" width="9" style="39"/>
    <col min="9473" max="9475" width="9" style="39" customWidth="1"/>
    <col min="9476" max="9476" width="10.5" style="39" customWidth="1"/>
    <col min="9477" max="9477" width="11.25" style="39" bestFit="1" customWidth="1"/>
    <col min="9478" max="9479" width="9" style="39"/>
    <col min="9480" max="9489" width="9" style="39" customWidth="1"/>
    <col min="9490" max="9490" width="9" style="39"/>
    <col min="9491" max="9491" width="9.5" style="39" bestFit="1" customWidth="1"/>
    <col min="9492" max="9492" width="9" style="39" customWidth="1"/>
    <col min="9493" max="9493" width="9" style="39"/>
    <col min="9494" max="9494" width="9" style="39" customWidth="1"/>
    <col min="9495" max="9500" width="9" style="39"/>
    <col min="9501" max="9501" width="26.5" style="39" customWidth="1"/>
    <col min="9502" max="9504" width="9" style="39"/>
    <col min="9505" max="9505" width="14.75" style="39" bestFit="1" customWidth="1"/>
    <col min="9506" max="9728" width="9" style="39"/>
    <col min="9729" max="9731" width="9" style="39" customWidth="1"/>
    <col min="9732" max="9732" width="10.5" style="39" customWidth="1"/>
    <col min="9733" max="9733" width="11.25" style="39" bestFit="1" customWidth="1"/>
    <col min="9734" max="9735" width="9" style="39"/>
    <col min="9736" max="9745" width="9" style="39" customWidth="1"/>
    <col min="9746" max="9746" width="9" style="39"/>
    <col min="9747" max="9747" width="9.5" style="39" bestFit="1" customWidth="1"/>
    <col min="9748" max="9748" width="9" style="39" customWidth="1"/>
    <col min="9749" max="9749" width="9" style="39"/>
    <col min="9750" max="9750" width="9" style="39" customWidth="1"/>
    <col min="9751" max="9756" width="9" style="39"/>
    <col min="9757" max="9757" width="26.5" style="39" customWidth="1"/>
    <col min="9758" max="9760" width="9" style="39"/>
    <col min="9761" max="9761" width="14.75" style="39" bestFit="1" customWidth="1"/>
    <col min="9762" max="9984" width="9" style="39"/>
    <col min="9985" max="9987" width="9" style="39" customWidth="1"/>
    <col min="9988" max="9988" width="10.5" style="39" customWidth="1"/>
    <col min="9989" max="9989" width="11.25" style="39" bestFit="1" customWidth="1"/>
    <col min="9990" max="9991" width="9" style="39"/>
    <col min="9992" max="10001" width="9" style="39" customWidth="1"/>
    <col min="10002" max="10002" width="9" style="39"/>
    <col min="10003" max="10003" width="9.5" style="39" bestFit="1" customWidth="1"/>
    <col min="10004" max="10004" width="9" style="39" customWidth="1"/>
    <col min="10005" max="10005" width="9" style="39"/>
    <col min="10006" max="10006" width="9" style="39" customWidth="1"/>
    <col min="10007" max="10012" width="9" style="39"/>
    <col min="10013" max="10013" width="26.5" style="39" customWidth="1"/>
    <col min="10014" max="10016" width="9" style="39"/>
    <col min="10017" max="10017" width="14.75" style="39" bestFit="1" customWidth="1"/>
    <col min="10018" max="10240" width="9" style="39"/>
    <col min="10241" max="10243" width="9" style="39" customWidth="1"/>
    <col min="10244" max="10244" width="10.5" style="39" customWidth="1"/>
    <col min="10245" max="10245" width="11.25" style="39" bestFit="1" customWidth="1"/>
    <col min="10246" max="10247" width="9" style="39"/>
    <col min="10248" max="10257" width="9" style="39" customWidth="1"/>
    <col min="10258" max="10258" width="9" style="39"/>
    <col min="10259" max="10259" width="9.5" style="39" bestFit="1" customWidth="1"/>
    <col min="10260" max="10260" width="9" style="39" customWidth="1"/>
    <col min="10261" max="10261" width="9" style="39"/>
    <col min="10262" max="10262" width="9" style="39" customWidth="1"/>
    <col min="10263" max="10268" width="9" style="39"/>
    <col min="10269" max="10269" width="26.5" style="39" customWidth="1"/>
    <col min="10270" max="10272" width="9" style="39"/>
    <col min="10273" max="10273" width="14.75" style="39" bestFit="1" customWidth="1"/>
    <col min="10274" max="10496" width="9" style="39"/>
    <col min="10497" max="10499" width="9" style="39" customWidth="1"/>
    <col min="10500" max="10500" width="10.5" style="39" customWidth="1"/>
    <col min="10501" max="10501" width="11.25" style="39" bestFit="1" customWidth="1"/>
    <col min="10502" max="10503" width="9" style="39"/>
    <col min="10504" max="10513" width="9" style="39" customWidth="1"/>
    <col min="10514" max="10514" width="9" style="39"/>
    <col min="10515" max="10515" width="9.5" style="39" bestFit="1" customWidth="1"/>
    <col min="10516" max="10516" width="9" style="39" customWidth="1"/>
    <col min="10517" max="10517" width="9" style="39"/>
    <col min="10518" max="10518" width="9" style="39" customWidth="1"/>
    <col min="10519" max="10524" width="9" style="39"/>
    <col min="10525" max="10525" width="26.5" style="39" customWidth="1"/>
    <col min="10526" max="10528" width="9" style="39"/>
    <col min="10529" max="10529" width="14.75" style="39" bestFit="1" customWidth="1"/>
    <col min="10530" max="10752" width="9" style="39"/>
    <col min="10753" max="10755" width="9" style="39" customWidth="1"/>
    <col min="10756" max="10756" width="10.5" style="39" customWidth="1"/>
    <col min="10757" max="10757" width="11.25" style="39" bestFit="1" customWidth="1"/>
    <col min="10758" max="10759" width="9" style="39"/>
    <col min="10760" max="10769" width="9" style="39" customWidth="1"/>
    <col min="10770" max="10770" width="9" style="39"/>
    <col min="10771" max="10771" width="9.5" style="39" bestFit="1" customWidth="1"/>
    <col min="10772" max="10772" width="9" style="39" customWidth="1"/>
    <col min="10773" max="10773" width="9" style="39"/>
    <col min="10774" max="10774" width="9" style="39" customWidth="1"/>
    <col min="10775" max="10780" width="9" style="39"/>
    <col min="10781" max="10781" width="26.5" style="39" customWidth="1"/>
    <col min="10782" max="10784" width="9" style="39"/>
    <col min="10785" max="10785" width="14.75" style="39" bestFit="1" customWidth="1"/>
    <col min="10786" max="11008" width="9" style="39"/>
    <col min="11009" max="11011" width="9" style="39" customWidth="1"/>
    <col min="11012" max="11012" width="10.5" style="39" customWidth="1"/>
    <col min="11013" max="11013" width="11.25" style="39" bestFit="1" customWidth="1"/>
    <col min="11014" max="11015" width="9" style="39"/>
    <col min="11016" max="11025" width="9" style="39" customWidth="1"/>
    <col min="11026" max="11026" width="9" style="39"/>
    <col min="11027" max="11027" width="9.5" style="39" bestFit="1" customWidth="1"/>
    <col min="11028" max="11028" width="9" style="39" customWidth="1"/>
    <col min="11029" max="11029" width="9" style="39"/>
    <col min="11030" max="11030" width="9" style="39" customWidth="1"/>
    <col min="11031" max="11036" width="9" style="39"/>
    <col min="11037" max="11037" width="26.5" style="39" customWidth="1"/>
    <col min="11038" max="11040" width="9" style="39"/>
    <col min="11041" max="11041" width="14.75" style="39" bestFit="1" customWidth="1"/>
    <col min="11042" max="11264" width="9" style="39"/>
    <col min="11265" max="11267" width="9" style="39" customWidth="1"/>
    <col min="11268" max="11268" width="10.5" style="39" customWidth="1"/>
    <col min="11269" max="11269" width="11.25" style="39" bestFit="1" customWidth="1"/>
    <col min="11270" max="11271" width="9" style="39"/>
    <col min="11272" max="11281" width="9" style="39" customWidth="1"/>
    <col min="11282" max="11282" width="9" style="39"/>
    <col min="11283" max="11283" width="9.5" style="39" bestFit="1" customWidth="1"/>
    <col min="11284" max="11284" width="9" style="39" customWidth="1"/>
    <col min="11285" max="11285" width="9" style="39"/>
    <col min="11286" max="11286" width="9" style="39" customWidth="1"/>
    <col min="11287" max="11292" width="9" style="39"/>
    <col min="11293" max="11293" width="26.5" style="39" customWidth="1"/>
    <col min="11294" max="11296" width="9" style="39"/>
    <col min="11297" max="11297" width="14.75" style="39" bestFit="1" customWidth="1"/>
    <col min="11298" max="11520" width="9" style="39"/>
    <col min="11521" max="11523" width="9" style="39" customWidth="1"/>
    <col min="11524" max="11524" width="10.5" style="39" customWidth="1"/>
    <col min="11525" max="11525" width="11.25" style="39" bestFit="1" customWidth="1"/>
    <col min="11526" max="11527" width="9" style="39"/>
    <col min="11528" max="11537" width="9" style="39" customWidth="1"/>
    <col min="11538" max="11538" width="9" style="39"/>
    <col min="11539" max="11539" width="9.5" style="39" bestFit="1" customWidth="1"/>
    <col min="11540" max="11540" width="9" style="39" customWidth="1"/>
    <col min="11541" max="11541" width="9" style="39"/>
    <col min="11542" max="11542" width="9" style="39" customWidth="1"/>
    <col min="11543" max="11548" width="9" style="39"/>
    <col min="11549" max="11549" width="26.5" style="39" customWidth="1"/>
    <col min="11550" max="11552" width="9" style="39"/>
    <col min="11553" max="11553" width="14.75" style="39" bestFit="1" customWidth="1"/>
    <col min="11554" max="11776" width="9" style="39"/>
    <col min="11777" max="11779" width="9" style="39" customWidth="1"/>
    <col min="11780" max="11780" width="10.5" style="39" customWidth="1"/>
    <col min="11781" max="11781" width="11.25" style="39" bestFit="1" customWidth="1"/>
    <col min="11782" max="11783" width="9" style="39"/>
    <col min="11784" max="11793" width="9" style="39" customWidth="1"/>
    <col min="11794" max="11794" width="9" style="39"/>
    <col min="11795" max="11795" width="9.5" style="39" bestFit="1" customWidth="1"/>
    <col min="11796" max="11796" width="9" style="39" customWidth="1"/>
    <col min="11797" max="11797" width="9" style="39"/>
    <col min="11798" max="11798" width="9" style="39" customWidth="1"/>
    <col min="11799" max="11804" width="9" style="39"/>
    <col min="11805" max="11805" width="26.5" style="39" customWidth="1"/>
    <col min="11806" max="11808" width="9" style="39"/>
    <col min="11809" max="11809" width="14.75" style="39" bestFit="1" customWidth="1"/>
    <col min="11810" max="12032" width="9" style="39"/>
    <col min="12033" max="12035" width="9" style="39" customWidth="1"/>
    <col min="12036" max="12036" width="10.5" style="39" customWidth="1"/>
    <col min="12037" max="12037" width="11.25" style="39" bestFit="1" customWidth="1"/>
    <col min="12038" max="12039" width="9" style="39"/>
    <col min="12040" max="12049" width="9" style="39" customWidth="1"/>
    <col min="12050" max="12050" width="9" style="39"/>
    <col min="12051" max="12051" width="9.5" style="39" bestFit="1" customWidth="1"/>
    <col min="12052" max="12052" width="9" style="39" customWidth="1"/>
    <col min="12053" max="12053" width="9" style="39"/>
    <col min="12054" max="12054" width="9" style="39" customWidth="1"/>
    <col min="12055" max="12060" width="9" style="39"/>
    <col min="12061" max="12061" width="26.5" style="39" customWidth="1"/>
    <col min="12062" max="12064" width="9" style="39"/>
    <col min="12065" max="12065" width="14.75" style="39" bestFit="1" customWidth="1"/>
    <col min="12066" max="12288" width="9" style="39"/>
    <col min="12289" max="12291" width="9" style="39" customWidth="1"/>
    <col min="12292" max="12292" width="10.5" style="39" customWidth="1"/>
    <col min="12293" max="12293" width="11.25" style="39" bestFit="1" customWidth="1"/>
    <col min="12294" max="12295" width="9" style="39"/>
    <col min="12296" max="12305" width="9" style="39" customWidth="1"/>
    <col min="12306" max="12306" width="9" style="39"/>
    <col min="12307" max="12307" width="9.5" style="39" bestFit="1" customWidth="1"/>
    <col min="12308" max="12308" width="9" style="39" customWidth="1"/>
    <col min="12309" max="12309" width="9" style="39"/>
    <col min="12310" max="12310" width="9" style="39" customWidth="1"/>
    <col min="12311" max="12316" width="9" style="39"/>
    <col min="12317" max="12317" width="26.5" style="39" customWidth="1"/>
    <col min="12318" max="12320" width="9" style="39"/>
    <col min="12321" max="12321" width="14.75" style="39" bestFit="1" customWidth="1"/>
    <col min="12322" max="12544" width="9" style="39"/>
    <col min="12545" max="12547" width="9" style="39" customWidth="1"/>
    <col min="12548" max="12548" width="10.5" style="39" customWidth="1"/>
    <col min="12549" max="12549" width="11.25" style="39" bestFit="1" customWidth="1"/>
    <col min="12550" max="12551" width="9" style="39"/>
    <col min="12552" max="12561" width="9" style="39" customWidth="1"/>
    <col min="12562" max="12562" width="9" style="39"/>
    <col min="12563" max="12563" width="9.5" style="39" bestFit="1" customWidth="1"/>
    <col min="12564" max="12564" width="9" style="39" customWidth="1"/>
    <col min="12565" max="12565" width="9" style="39"/>
    <col min="12566" max="12566" width="9" style="39" customWidth="1"/>
    <col min="12567" max="12572" width="9" style="39"/>
    <col min="12573" max="12573" width="26.5" style="39" customWidth="1"/>
    <col min="12574" max="12576" width="9" style="39"/>
    <col min="12577" max="12577" width="14.75" style="39" bestFit="1" customWidth="1"/>
    <col min="12578" max="12800" width="9" style="39"/>
    <col min="12801" max="12803" width="9" style="39" customWidth="1"/>
    <col min="12804" max="12804" width="10.5" style="39" customWidth="1"/>
    <col min="12805" max="12805" width="11.25" style="39" bestFit="1" customWidth="1"/>
    <col min="12806" max="12807" width="9" style="39"/>
    <col min="12808" max="12817" width="9" style="39" customWidth="1"/>
    <col min="12818" max="12818" width="9" style="39"/>
    <col min="12819" max="12819" width="9.5" style="39" bestFit="1" customWidth="1"/>
    <col min="12820" max="12820" width="9" style="39" customWidth="1"/>
    <col min="12821" max="12821" width="9" style="39"/>
    <col min="12822" max="12822" width="9" style="39" customWidth="1"/>
    <col min="12823" max="12828" width="9" style="39"/>
    <col min="12829" max="12829" width="26.5" style="39" customWidth="1"/>
    <col min="12830" max="12832" width="9" style="39"/>
    <col min="12833" max="12833" width="14.75" style="39" bestFit="1" customWidth="1"/>
    <col min="12834" max="13056" width="9" style="39"/>
    <col min="13057" max="13059" width="9" style="39" customWidth="1"/>
    <col min="13060" max="13060" width="10.5" style="39" customWidth="1"/>
    <col min="13061" max="13061" width="11.25" style="39" bestFit="1" customWidth="1"/>
    <col min="13062" max="13063" width="9" style="39"/>
    <col min="13064" max="13073" width="9" style="39" customWidth="1"/>
    <col min="13074" max="13074" width="9" style="39"/>
    <col min="13075" max="13075" width="9.5" style="39" bestFit="1" customWidth="1"/>
    <col min="13076" max="13076" width="9" style="39" customWidth="1"/>
    <col min="13077" max="13077" width="9" style="39"/>
    <col min="13078" max="13078" width="9" style="39" customWidth="1"/>
    <col min="13079" max="13084" width="9" style="39"/>
    <col min="13085" max="13085" width="26.5" style="39" customWidth="1"/>
    <col min="13086" max="13088" width="9" style="39"/>
    <col min="13089" max="13089" width="14.75" style="39" bestFit="1" customWidth="1"/>
    <col min="13090" max="13312" width="9" style="39"/>
    <col min="13313" max="13315" width="9" style="39" customWidth="1"/>
    <col min="13316" max="13316" width="10.5" style="39" customWidth="1"/>
    <col min="13317" max="13317" width="11.25" style="39" bestFit="1" customWidth="1"/>
    <col min="13318" max="13319" width="9" style="39"/>
    <col min="13320" max="13329" width="9" style="39" customWidth="1"/>
    <col min="13330" max="13330" width="9" style="39"/>
    <col min="13331" max="13331" width="9.5" style="39" bestFit="1" customWidth="1"/>
    <col min="13332" max="13332" width="9" style="39" customWidth="1"/>
    <col min="13333" max="13333" width="9" style="39"/>
    <col min="13334" max="13334" width="9" style="39" customWidth="1"/>
    <col min="13335" max="13340" width="9" style="39"/>
    <col min="13341" max="13341" width="26.5" style="39" customWidth="1"/>
    <col min="13342" max="13344" width="9" style="39"/>
    <col min="13345" max="13345" width="14.75" style="39" bestFit="1" customWidth="1"/>
    <col min="13346" max="13568" width="9" style="39"/>
    <col min="13569" max="13571" width="9" style="39" customWidth="1"/>
    <col min="13572" max="13572" width="10.5" style="39" customWidth="1"/>
    <col min="13573" max="13573" width="11.25" style="39" bestFit="1" customWidth="1"/>
    <col min="13574" max="13575" width="9" style="39"/>
    <col min="13576" max="13585" width="9" style="39" customWidth="1"/>
    <col min="13586" max="13586" width="9" style="39"/>
    <col min="13587" max="13587" width="9.5" style="39" bestFit="1" customWidth="1"/>
    <col min="13588" max="13588" width="9" style="39" customWidth="1"/>
    <col min="13589" max="13589" width="9" style="39"/>
    <col min="13590" max="13590" width="9" style="39" customWidth="1"/>
    <col min="13591" max="13596" width="9" style="39"/>
    <col min="13597" max="13597" width="26.5" style="39" customWidth="1"/>
    <col min="13598" max="13600" width="9" style="39"/>
    <col min="13601" max="13601" width="14.75" style="39" bestFit="1" customWidth="1"/>
    <col min="13602" max="13824" width="9" style="39"/>
    <col min="13825" max="13827" width="9" style="39" customWidth="1"/>
    <col min="13828" max="13828" width="10.5" style="39" customWidth="1"/>
    <col min="13829" max="13829" width="11.25" style="39" bestFit="1" customWidth="1"/>
    <col min="13830" max="13831" width="9" style="39"/>
    <col min="13832" max="13841" width="9" style="39" customWidth="1"/>
    <col min="13842" max="13842" width="9" style="39"/>
    <col min="13843" max="13843" width="9.5" style="39" bestFit="1" customWidth="1"/>
    <col min="13844" max="13844" width="9" style="39" customWidth="1"/>
    <col min="13845" max="13845" width="9" style="39"/>
    <col min="13846" max="13846" width="9" style="39" customWidth="1"/>
    <col min="13847" max="13852" width="9" style="39"/>
    <col min="13853" max="13853" width="26.5" style="39" customWidth="1"/>
    <col min="13854" max="13856" width="9" style="39"/>
    <col min="13857" max="13857" width="14.75" style="39" bestFit="1" customWidth="1"/>
    <col min="13858" max="14080" width="9" style="39"/>
    <col min="14081" max="14083" width="9" style="39" customWidth="1"/>
    <col min="14084" max="14084" width="10.5" style="39" customWidth="1"/>
    <col min="14085" max="14085" width="11.25" style="39" bestFit="1" customWidth="1"/>
    <col min="14086" max="14087" width="9" style="39"/>
    <col min="14088" max="14097" width="9" style="39" customWidth="1"/>
    <col min="14098" max="14098" width="9" style="39"/>
    <col min="14099" max="14099" width="9.5" style="39" bestFit="1" customWidth="1"/>
    <col min="14100" max="14100" width="9" style="39" customWidth="1"/>
    <col min="14101" max="14101" width="9" style="39"/>
    <col min="14102" max="14102" width="9" style="39" customWidth="1"/>
    <col min="14103" max="14108" width="9" style="39"/>
    <col min="14109" max="14109" width="26.5" style="39" customWidth="1"/>
    <col min="14110" max="14112" width="9" style="39"/>
    <col min="14113" max="14113" width="14.75" style="39" bestFit="1" customWidth="1"/>
    <col min="14114" max="14336" width="9" style="39"/>
    <col min="14337" max="14339" width="9" style="39" customWidth="1"/>
    <col min="14340" max="14340" width="10.5" style="39" customWidth="1"/>
    <col min="14341" max="14341" width="11.25" style="39" bestFit="1" customWidth="1"/>
    <col min="14342" max="14343" width="9" style="39"/>
    <col min="14344" max="14353" width="9" style="39" customWidth="1"/>
    <col min="14354" max="14354" width="9" style="39"/>
    <col min="14355" max="14355" width="9.5" style="39" bestFit="1" customWidth="1"/>
    <col min="14356" max="14356" width="9" style="39" customWidth="1"/>
    <col min="14357" max="14357" width="9" style="39"/>
    <col min="14358" max="14358" width="9" style="39" customWidth="1"/>
    <col min="14359" max="14364" width="9" style="39"/>
    <col min="14365" max="14365" width="26.5" style="39" customWidth="1"/>
    <col min="14366" max="14368" width="9" style="39"/>
    <col min="14369" max="14369" width="14.75" style="39" bestFit="1" customWidth="1"/>
    <col min="14370" max="14592" width="9" style="39"/>
    <col min="14593" max="14595" width="9" style="39" customWidth="1"/>
    <col min="14596" max="14596" width="10.5" style="39" customWidth="1"/>
    <col min="14597" max="14597" width="11.25" style="39" bestFit="1" customWidth="1"/>
    <col min="14598" max="14599" width="9" style="39"/>
    <col min="14600" max="14609" width="9" style="39" customWidth="1"/>
    <col min="14610" max="14610" width="9" style="39"/>
    <col min="14611" max="14611" width="9.5" style="39" bestFit="1" customWidth="1"/>
    <col min="14612" max="14612" width="9" style="39" customWidth="1"/>
    <col min="14613" max="14613" width="9" style="39"/>
    <col min="14614" max="14614" width="9" style="39" customWidth="1"/>
    <col min="14615" max="14620" width="9" style="39"/>
    <col min="14621" max="14621" width="26.5" style="39" customWidth="1"/>
    <col min="14622" max="14624" width="9" style="39"/>
    <col min="14625" max="14625" width="14.75" style="39" bestFit="1" customWidth="1"/>
    <col min="14626" max="14848" width="9" style="39"/>
    <col min="14849" max="14851" width="9" style="39" customWidth="1"/>
    <col min="14852" max="14852" width="10.5" style="39" customWidth="1"/>
    <col min="14853" max="14853" width="11.25" style="39" bestFit="1" customWidth="1"/>
    <col min="14854" max="14855" width="9" style="39"/>
    <col min="14856" max="14865" width="9" style="39" customWidth="1"/>
    <col min="14866" max="14866" width="9" style="39"/>
    <col min="14867" max="14867" width="9.5" style="39" bestFit="1" customWidth="1"/>
    <col min="14868" max="14868" width="9" style="39" customWidth="1"/>
    <col min="14869" max="14869" width="9" style="39"/>
    <col min="14870" max="14870" width="9" style="39" customWidth="1"/>
    <col min="14871" max="14876" width="9" style="39"/>
    <col min="14877" max="14877" width="26.5" style="39" customWidth="1"/>
    <col min="14878" max="14880" width="9" style="39"/>
    <col min="14881" max="14881" width="14.75" style="39" bestFit="1" customWidth="1"/>
    <col min="14882" max="15104" width="9" style="39"/>
    <col min="15105" max="15107" width="9" style="39" customWidth="1"/>
    <col min="15108" max="15108" width="10.5" style="39" customWidth="1"/>
    <col min="15109" max="15109" width="11.25" style="39" bestFit="1" customWidth="1"/>
    <col min="15110" max="15111" width="9" style="39"/>
    <col min="15112" max="15121" width="9" style="39" customWidth="1"/>
    <col min="15122" max="15122" width="9" style="39"/>
    <col min="15123" max="15123" width="9.5" style="39" bestFit="1" customWidth="1"/>
    <col min="15124" max="15124" width="9" style="39" customWidth="1"/>
    <col min="15125" max="15125" width="9" style="39"/>
    <col min="15126" max="15126" width="9" style="39" customWidth="1"/>
    <col min="15127" max="15132" width="9" style="39"/>
    <col min="15133" max="15133" width="26.5" style="39" customWidth="1"/>
    <col min="15134" max="15136" width="9" style="39"/>
    <col min="15137" max="15137" width="14.75" style="39" bestFit="1" customWidth="1"/>
    <col min="15138" max="15360" width="9" style="39"/>
    <col min="15361" max="15363" width="9" style="39" customWidth="1"/>
    <col min="15364" max="15364" width="10.5" style="39" customWidth="1"/>
    <col min="15365" max="15365" width="11.25" style="39" bestFit="1" customWidth="1"/>
    <col min="15366" max="15367" width="9" style="39"/>
    <col min="15368" max="15377" width="9" style="39" customWidth="1"/>
    <col min="15378" max="15378" width="9" style="39"/>
    <col min="15379" max="15379" width="9.5" style="39" bestFit="1" customWidth="1"/>
    <col min="15380" max="15380" width="9" style="39" customWidth="1"/>
    <col min="15381" max="15381" width="9" style="39"/>
    <col min="15382" max="15382" width="9" style="39" customWidth="1"/>
    <col min="15383" max="15388" width="9" style="39"/>
    <col min="15389" max="15389" width="26.5" style="39" customWidth="1"/>
    <col min="15390" max="15392" width="9" style="39"/>
    <col min="15393" max="15393" width="14.75" style="39" bestFit="1" customWidth="1"/>
    <col min="15394" max="15616" width="9" style="39"/>
    <col min="15617" max="15619" width="9" style="39" customWidth="1"/>
    <col min="15620" max="15620" width="10.5" style="39" customWidth="1"/>
    <col min="15621" max="15621" width="11.25" style="39" bestFit="1" customWidth="1"/>
    <col min="15622" max="15623" width="9" style="39"/>
    <col min="15624" max="15633" width="9" style="39" customWidth="1"/>
    <col min="15634" max="15634" width="9" style="39"/>
    <col min="15635" max="15635" width="9.5" style="39" bestFit="1" customWidth="1"/>
    <col min="15636" max="15636" width="9" style="39" customWidth="1"/>
    <col min="15637" max="15637" width="9" style="39"/>
    <col min="15638" max="15638" width="9" style="39" customWidth="1"/>
    <col min="15639" max="15644" width="9" style="39"/>
    <col min="15645" max="15645" width="26.5" style="39" customWidth="1"/>
    <col min="15646" max="15648" width="9" style="39"/>
    <col min="15649" max="15649" width="14.75" style="39" bestFit="1" customWidth="1"/>
    <col min="15650" max="15872" width="9" style="39"/>
    <col min="15873" max="15875" width="9" style="39" customWidth="1"/>
    <col min="15876" max="15876" width="10.5" style="39" customWidth="1"/>
    <col min="15877" max="15877" width="11.25" style="39" bestFit="1" customWidth="1"/>
    <col min="15878" max="15879" width="9" style="39"/>
    <col min="15880" max="15889" width="9" style="39" customWidth="1"/>
    <col min="15890" max="15890" width="9" style="39"/>
    <col min="15891" max="15891" width="9.5" style="39" bestFit="1" customWidth="1"/>
    <col min="15892" max="15892" width="9" style="39" customWidth="1"/>
    <col min="15893" max="15893" width="9" style="39"/>
    <col min="15894" max="15894" width="9" style="39" customWidth="1"/>
    <col min="15895" max="15900" width="9" style="39"/>
    <col min="15901" max="15901" width="26.5" style="39" customWidth="1"/>
    <col min="15902" max="15904" width="9" style="39"/>
    <col min="15905" max="15905" width="14.75" style="39" bestFit="1" customWidth="1"/>
    <col min="15906" max="16128" width="9" style="39"/>
    <col min="16129" max="16131" width="9" style="39" customWidth="1"/>
    <col min="16132" max="16132" width="10.5" style="39" customWidth="1"/>
    <col min="16133" max="16133" width="11.25" style="39" bestFit="1" customWidth="1"/>
    <col min="16134" max="16135" width="9" style="39"/>
    <col min="16136" max="16145" width="9" style="39" customWidth="1"/>
    <col min="16146" max="16146" width="9" style="39"/>
    <col min="16147" max="16147" width="9.5" style="39" bestFit="1" customWidth="1"/>
    <col min="16148" max="16148" width="9" style="39" customWidth="1"/>
    <col min="16149" max="16149" width="9" style="39"/>
    <col min="16150" max="16150" width="9" style="39" customWidth="1"/>
    <col min="16151" max="16156" width="9" style="39"/>
    <col min="16157" max="16157" width="26.5" style="39" customWidth="1"/>
    <col min="16158" max="16160" width="9" style="39"/>
    <col min="16161" max="16161" width="14.75" style="39" bestFit="1" customWidth="1"/>
    <col min="16162" max="16384" width="9" style="39"/>
  </cols>
  <sheetData>
    <row r="1" spans="1:53" ht="44.25" customHeight="1" x14ac:dyDescent="0.15">
      <c r="A1" s="112" t="s">
        <v>216</v>
      </c>
      <c r="B1" s="74" t="s">
        <v>1</v>
      </c>
      <c r="C1" s="74" t="s">
        <v>2</v>
      </c>
      <c r="D1" s="72" t="s">
        <v>3</v>
      </c>
      <c r="E1" s="72" t="s">
        <v>217</v>
      </c>
      <c r="F1" s="72" t="s">
        <v>5</v>
      </c>
      <c r="G1" s="72" t="s">
        <v>6</v>
      </c>
      <c r="H1" s="72" t="s">
        <v>218</v>
      </c>
      <c r="I1" s="72" t="s">
        <v>8</v>
      </c>
      <c r="J1" s="72" t="s">
        <v>9</v>
      </c>
      <c r="K1" s="72" t="s">
        <v>10</v>
      </c>
      <c r="L1" s="72" t="s">
        <v>11</v>
      </c>
      <c r="M1" s="72" t="s">
        <v>12</v>
      </c>
      <c r="N1" s="72" t="s">
        <v>13</v>
      </c>
      <c r="O1" s="72" t="s">
        <v>14</v>
      </c>
      <c r="P1" s="72" t="s">
        <v>15</v>
      </c>
      <c r="Q1" s="37" t="s">
        <v>16</v>
      </c>
      <c r="R1" s="72" t="s">
        <v>17</v>
      </c>
      <c r="S1" s="72" t="s">
        <v>18</v>
      </c>
      <c r="T1" s="37" t="s">
        <v>19</v>
      </c>
      <c r="U1" s="73" t="s">
        <v>108</v>
      </c>
      <c r="V1" s="38" t="s">
        <v>20</v>
      </c>
      <c r="W1" s="72" t="s">
        <v>21</v>
      </c>
      <c r="X1" s="72" t="s">
        <v>22</v>
      </c>
      <c r="Y1" s="72" t="s">
        <v>23</v>
      </c>
      <c r="Z1" s="72" t="s">
        <v>24</v>
      </c>
      <c r="AA1" s="113" t="s">
        <v>25</v>
      </c>
      <c r="AB1" s="114" t="s">
        <v>26</v>
      </c>
      <c r="AC1" s="115"/>
      <c r="AE1" s="70" t="s">
        <v>0</v>
      </c>
      <c r="AF1" s="69"/>
      <c r="AG1" s="70" t="s">
        <v>4</v>
      </c>
      <c r="AH1" s="70" t="s">
        <v>5</v>
      </c>
      <c r="AI1" s="69"/>
      <c r="AJ1" s="70" t="s">
        <v>6</v>
      </c>
      <c r="AK1" s="69"/>
      <c r="AL1" s="40" t="s">
        <v>7</v>
      </c>
      <c r="AM1" s="69"/>
      <c r="AN1" s="40" t="s">
        <v>8</v>
      </c>
      <c r="AO1" s="69"/>
      <c r="AP1" s="40" t="s">
        <v>27</v>
      </c>
      <c r="AQ1" s="69"/>
      <c r="AR1" s="40" t="s">
        <v>10</v>
      </c>
      <c r="AS1" s="69"/>
      <c r="AT1" s="41" t="s">
        <v>28</v>
      </c>
      <c r="AU1" s="69"/>
      <c r="AV1" s="40" t="s">
        <v>29</v>
      </c>
      <c r="AX1" s="42" t="s">
        <v>30</v>
      </c>
      <c r="AY1" s="43" t="s">
        <v>31</v>
      </c>
      <c r="AZ1" s="43" t="s">
        <v>32</v>
      </c>
      <c r="BA1" s="44" t="s">
        <v>33</v>
      </c>
    </row>
    <row r="2" spans="1:53" s="22" customFormat="1" x14ac:dyDescent="0.15">
      <c r="A2" s="22" t="s">
        <v>61</v>
      </c>
      <c r="B2" s="22" t="s">
        <v>384</v>
      </c>
      <c r="C2" s="22">
        <v>2020</v>
      </c>
      <c r="D2" s="116" t="s">
        <v>385</v>
      </c>
      <c r="E2" s="22" t="s">
        <v>386</v>
      </c>
      <c r="F2" s="22" t="s">
        <v>316</v>
      </c>
      <c r="G2" s="22" t="s">
        <v>42</v>
      </c>
      <c r="H2" s="39" t="s">
        <v>146</v>
      </c>
      <c r="I2" s="39" t="s">
        <v>142</v>
      </c>
      <c r="J2" s="22" t="s">
        <v>38</v>
      </c>
      <c r="K2" s="39" t="s">
        <v>143</v>
      </c>
      <c r="L2" s="39">
        <v>1</v>
      </c>
      <c r="M2" s="39"/>
      <c r="N2" s="39">
        <v>1</v>
      </c>
      <c r="O2" s="39">
        <v>0.9</v>
      </c>
      <c r="P2" s="39">
        <v>0.6</v>
      </c>
      <c r="Q2" s="61">
        <f t="shared" ref="Q2:Q65" si="0">IF(OR(O2="",P2=""),"",AVERAGE(O2,P2))</f>
        <v>0.75</v>
      </c>
      <c r="R2" s="39">
        <v>18.399999999999999</v>
      </c>
      <c r="S2" s="39">
        <v>149</v>
      </c>
      <c r="T2" s="45">
        <f t="shared" ref="T2:T65" si="1">IF(H2="","",IF(OR(H2="GREEN",H2="GK"),IF(S2&gt;=$AX$2,VLOOKUP(S2,$AX$2:$AY$15,2,1),""),IF(S2&gt;=$AZ$2,VLOOKUP(S2,$AZ$2:$BA$15,2,1),"")))</f>
        <v>22</v>
      </c>
      <c r="U2" s="39">
        <v>138</v>
      </c>
      <c r="V2" s="117">
        <f>IF(OR(N2="",U2="",T2=""),"",U2/N2*T2)</f>
        <v>3036</v>
      </c>
      <c r="W2" s="39">
        <v>6</v>
      </c>
      <c r="X2" s="22" t="s">
        <v>46</v>
      </c>
      <c r="Y2" s="39" t="s">
        <v>84</v>
      </c>
      <c r="Z2" s="39" t="s">
        <v>69</v>
      </c>
      <c r="AA2" s="39" t="s">
        <v>55</v>
      </c>
      <c r="AB2" s="22" t="s">
        <v>331</v>
      </c>
      <c r="AC2" s="56"/>
      <c r="AE2" s="68" t="s">
        <v>35</v>
      </c>
      <c r="AG2" s="3" t="s">
        <v>315</v>
      </c>
      <c r="AH2" s="3" t="s">
        <v>316</v>
      </c>
      <c r="AJ2" s="23" t="s">
        <v>36</v>
      </c>
      <c r="AL2" s="80" t="s">
        <v>127</v>
      </c>
      <c r="AN2" s="23" t="s">
        <v>37</v>
      </c>
      <c r="AP2" s="62" t="s">
        <v>38</v>
      </c>
      <c r="AR2" s="62" t="s">
        <v>120</v>
      </c>
      <c r="AT2" s="23" t="s">
        <v>39</v>
      </c>
      <c r="AV2" s="62" t="s">
        <v>40</v>
      </c>
      <c r="AX2" s="24">
        <v>1</v>
      </c>
      <c r="AY2" s="25">
        <v>50</v>
      </c>
      <c r="AZ2" s="25">
        <v>1</v>
      </c>
      <c r="BA2" s="26">
        <v>50</v>
      </c>
    </row>
    <row r="3" spans="1:53" x14ac:dyDescent="0.15">
      <c r="A3" s="22" t="s">
        <v>61</v>
      </c>
      <c r="B3" s="22" t="s">
        <v>384</v>
      </c>
      <c r="C3" s="22">
        <v>2020</v>
      </c>
      <c r="D3" s="116" t="s">
        <v>385</v>
      </c>
      <c r="E3" s="22" t="s">
        <v>386</v>
      </c>
      <c r="F3" s="22" t="s">
        <v>316</v>
      </c>
      <c r="G3" s="22" t="s">
        <v>42</v>
      </c>
      <c r="H3" s="39" t="s">
        <v>146</v>
      </c>
      <c r="I3" s="39" t="s">
        <v>142</v>
      </c>
      <c r="J3" s="22" t="s">
        <v>38</v>
      </c>
      <c r="K3" s="39" t="s">
        <v>143</v>
      </c>
      <c r="L3" s="39">
        <v>2</v>
      </c>
      <c r="N3" s="39">
        <v>1</v>
      </c>
      <c r="O3" s="39">
        <v>0.6</v>
      </c>
      <c r="P3" s="39">
        <v>0.65</v>
      </c>
      <c r="Q3" s="61">
        <f t="shared" si="0"/>
        <v>0.625</v>
      </c>
      <c r="R3" s="39">
        <v>21.4</v>
      </c>
      <c r="S3" s="39">
        <v>134</v>
      </c>
      <c r="T3" s="45">
        <f t="shared" si="1"/>
        <v>25</v>
      </c>
      <c r="U3" s="39">
        <v>138</v>
      </c>
      <c r="V3" s="117">
        <f t="shared" ref="V3:V66" si="2">IF(OR(N3="",U3="",T3=""),"",U3/N3*T3)</f>
        <v>3450</v>
      </c>
      <c r="W3" s="39">
        <v>6</v>
      </c>
      <c r="X3" s="22" t="s">
        <v>46</v>
      </c>
      <c r="Y3" s="39" t="s">
        <v>84</v>
      </c>
      <c r="Z3" s="39" t="s">
        <v>69</v>
      </c>
      <c r="AA3" s="39" t="s">
        <v>55</v>
      </c>
      <c r="AB3" s="22" t="s">
        <v>331</v>
      </c>
      <c r="AC3" s="56"/>
      <c r="AE3" s="46" t="s">
        <v>41</v>
      </c>
      <c r="AG3" s="3" t="s">
        <v>317</v>
      </c>
      <c r="AH3" s="3" t="s">
        <v>326</v>
      </c>
      <c r="AJ3" s="47" t="s">
        <v>42</v>
      </c>
      <c r="AL3" s="47" t="s">
        <v>128</v>
      </c>
      <c r="AN3" s="47" t="s">
        <v>43</v>
      </c>
      <c r="AP3" s="47" t="s">
        <v>44</v>
      </c>
      <c r="AR3" s="47" t="s">
        <v>45</v>
      </c>
      <c r="AT3" s="47" t="s">
        <v>46</v>
      </c>
      <c r="AV3" s="47" t="s">
        <v>47</v>
      </c>
      <c r="AX3" s="48">
        <v>72</v>
      </c>
      <c r="AY3" s="49">
        <v>46</v>
      </c>
      <c r="AZ3" s="49">
        <v>71</v>
      </c>
      <c r="BA3" s="50">
        <v>42</v>
      </c>
    </row>
    <row r="4" spans="1:53" x14ac:dyDescent="0.15">
      <c r="A4" s="22" t="s">
        <v>61</v>
      </c>
      <c r="B4" s="22" t="s">
        <v>384</v>
      </c>
      <c r="C4" s="22">
        <v>2020</v>
      </c>
      <c r="D4" s="116" t="s">
        <v>385</v>
      </c>
      <c r="E4" s="22" t="s">
        <v>386</v>
      </c>
      <c r="F4" s="22" t="s">
        <v>316</v>
      </c>
      <c r="G4" s="22" t="s">
        <v>42</v>
      </c>
      <c r="H4" s="39" t="s">
        <v>146</v>
      </c>
      <c r="I4" s="39" t="s">
        <v>142</v>
      </c>
      <c r="J4" s="22" t="s">
        <v>38</v>
      </c>
      <c r="K4" s="39" t="s">
        <v>143</v>
      </c>
      <c r="L4" s="39">
        <v>3</v>
      </c>
      <c r="N4" s="39">
        <v>1</v>
      </c>
      <c r="O4" s="39">
        <v>0.55000000000000004</v>
      </c>
      <c r="P4" s="39">
        <v>0.55000000000000004</v>
      </c>
      <c r="Q4" s="61">
        <f t="shared" si="0"/>
        <v>0.55000000000000004</v>
      </c>
      <c r="R4" s="39">
        <v>18.2</v>
      </c>
      <c r="S4" s="39">
        <v>127</v>
      </c>
      <c r="T4" s="45">
        <f t="shared" si="1"/>
        <v>27</v>
      </c>
      <c r="U4" s="39">
        <v>138</v>
      </c>
      <c r="V4" s="117">
        <f t="shared" si="2"/>
        <v>3726</v>
      </c>
      <c r="W4" s="39">
        <v>6</v>
      </c>
      <c r="X4" s="22" t="s">
        <v>46</v>
      </c>
      <c r="Y4" s="39" t="s">
        <v>84</v>
      </c>
      <c r="Z4" s="39" t="s">
        <v>69</v>
      </c>
      <c r="AA4" s="39" t="s">
        <v>55</v>
      </c>
      <c r="AB4" s="22" t="s">
        <v>331</v>
      </c>
      <c r="AC4" s="56"/>
      <c r="AE4" s="46" t="s">
        <v>34</v>
      </c>
      <c r="AG4" s="3" t="s">
        <v>318</v>
      </c>
      <c r="AH4" s="3" t="s">
        <v>327</v>
      </c>
      <c r="AJ4" s="51" t="s">
        <v>48</v>
      </c>
      <c r="AL4" s="47" t="s">
        <v>129</v>
      </c>
      <c r="AN4" s="52" t="s">
        <v>49</v>
      </c>
      <c r="AP4" s="47" t="s">
        <v>93</v>
      </c>
      <c r="AR4" s="47" t="s">
        <v>121</v>
      </c>
      <c r="AT4" s="52"/>
      <c r="AV4" s="47" t="s">
        <v>50</v>
      </c>
      <c r="AX4" s="48">
        <v>75</v>
      </c>
      <c r="AY4" s="49">
        <v>42</v>
      </c>
      <c r="AZ4" s="49">
        <v>76</v>
      </c>
      <c r="BA4" s="50">
        <v>39</v>
      </c>
    </row>
    <row r="5" spans="1:53" x14ac:dyDescent="0.15">
      <c r="A5" s="22" t="s">
        <v>61</v>
      </c>
      <c r="B5" s="22" t="s">
        <v>384</v>
      </c>
      <c r="C5" s="22">
        <v>2020</v>
      </c>
      <c r="D5" s="116" t="s">
        <v>385</v>
      </c>
      <c r="E5" s="22" t="s">
        <v>386</v>
      </c>
      <c r="F5" s="22" t="s">
        <v>316</v>
      </c>
      <c r="G5" s="22" t="s">
        <v>42</v>
      </c>
      <c r="H5" s="39" t="s">
        <v>146</v>
      </c>
      <c r="I5" s="39" t="s">
        <v>142</v>
      </c>
      <c r="J5" s="22" t="s">
        <v>38</v>
      </c>
      <c r="K5" s="39" t="s">
        <v>143</v>
      </c>
      <c r="L5" s="39">
        <v>1</v>
      </c>
      <c r="N5" s="39">
        <v>4</v>
      </c>
      <c r="O5" s="39">
        <v>0.6</v>
      </c>
      <c r="P5" s="39">
        <v>0.7</v>
      </c>
      <c r="Q5" s="61">
        <f t="shared" si="0"/>
        <v>0.64999999999999991</v>
      </c>
      <c r="R5" s="39">
        <v>17.3</v>
      </c>
      <c r="S5" s="39">
        <v>84</v>
      </c>
      <c r="T5" s="45">
        <f t="shared" si="1"/>
        <v>36</v>
      </c>
      <c r="U5" s="39">
        <v>430</v>
      </c>
      <c r="V5" s="117">
        <f t="shared" si="2"/>
        <v>3870</v>
      </c>
      <c r="W5" s="39">
        <v>6</v>
      </c>
      <c r="X5" s="22" t="s">
        <v>46</v>
      </c>
      <c r="Y5" s="39" t="s">
        <v>84</v>
      </c>
      <c r="Z5" s="39" t="s">
        <v>69</v>
      </c>
      <c r="AA5" s="39" t="s">
        <v>55</v>
      </c>
      <c r="AB5" s="22" t="s">
        <v>331</v>
      </c>
      <c r="AC5" s="56"/>
      <c r="AE5" s="46" t="s">
        <v>51</v>
      </c>
      <c r="AG5" s="3" t="s">
        <v>319</v>
      </c>
      <c r="AH5" s="3" t="s">
        <v>325</v>
      </c>
      <c r="AJ5" s="51"/>
      <c r="AL5" s="47" t="s">
        <v>66</v>
      </c>
      <c r="AN5" s="27" t="s">
        <v>52</v>
      </c>
      <c r="AP5" s="47" t="s">
        <v>119</v>
      </c>
      <c r="AR5" s="47" t="s">
        <v>54</v>
      </c>
      <c r="AV5" s="47" t="s">
        <v>55</v>
      </c>
      <c r="AX5" s="48">
        <v>84</v>
      </c>
      <c r="AY5" s="49">
        <v>39</v>
      </c>
      <c r="AZ5" s="49">
        <v>84</v>
      </c>
      <c r="BA5" s="50">
        <v>36</v>
      </c>
    </row>
    <row r="6" spans="1:53" x14ac:dyDescent="0.15">
      <c r="A6" s="22" t="s">
        <v>61</v>
      </c>
      <c r="B6" s="22" t="s">
        <v>384</v>
      </c>
      <c r="C6" s="22">
        <v>2020</v>
      </c>
      <c r="D6" s="116" t="s">
        <v>385</v>
      </c>
      <c r="E6" s="22" t="s">
        <v>386</v>
      </c>
      <c r="F6" s="22" t="s">
        <v>316</v>
      </c>
      <c r="G6" s="22" t="s">
        <v>42</v>
      </c>
      <c r="H6" s="39" t="s">
        <v>146</v>
      </c>
      <c r="I6" s="39" t="s">
        <v>142</v>
      </c>
      <c r="J6" s="22" t="s">
        <v>38</v>
      </c>
      <c r="K6" s="39" t="s">
        <v>143</v>
      </c>
      <c r="L6" s="39">
        <v>2</v>
      </c>
      <c r="N6" s="39">
        <v>4</v>
      </c>
      <c r="O6" s="39">
        <v>0.75</v>
      </c>
      <c r="P6" s="39">
        <v>0.75</v>
      </c>
      <c r="Q6" s="61">
        <f t="shared" si="0"/>
        <v>0.75</v>
      </c>
      <c r="R6" s="39">
        <v>14.7</v>
      </c>
      <c r="S6" s="39">
        <v>84</v>
      </c>
      <c r="T6" s="45">
        <f t="shared" si="1"/>
        <v>36</v>
      </c>
      <c r="U6" s="39">
        <v>430</v>
      </c>
      <c r="V6" s="117">
        <f t="shared" si="2"/>
        <v>3870</v>
      </c>
      <c r="W6" s="39">
        <v>6</v>
      </c>
      <c r="X6" s="22" t="s">
        <v>46</v>
      </c>
      <c r="Y6" s="39" t="s">
        <v>84</v>
      </c>
      <c r="Z6" s="39" t="s">
        <v>69</v>
      </c>
      <c r="AA6" s="39" t="s">
        <v>55</v>
      </c>
      <c r="AB6" s="22" t="s">
        <v>331</v>
      </c>
      <c r="AC6" s="56"/>
      <c r="AE6" s="46" t="s">
        <v>56</v>
      </c>
      <c r="AG6" s="3" t="s">
        <v>220</v>
      </c>
      <c r="AH6" s="3" t="s">
        <v>221</v>
      </c>
      <c r="AJ6" s="51"/>
      <c r="AL6" s="47" t="s">
        <v>99</v>
      </c>
      <c r="AN6" s="27" t="s">
        <v>57</v>
      </c>
      <c r="AP6" s="47" t="s">
        <v>53</v>
      </c>
      <c r="AR6" s="47" t="s">
        <v>59</v>
      </c>
      <c r="AV6" s="47" t="s">
        <v>60</v>
      </c>
      <c r="AX6" s="48">
        <v>97</v>
      </c>
      <c r="AY6" s="49">
        <v>36</v>
      </c>
      <c r="AZ6" s="49">
        <v>99</v>
      </c>
      <c r="BA6" s="50">
        <v>33</v>
      </c>
    </row>
    <row r="7" spans="1:53" x14ac:dyDescent="0.15">
      <c r="A7" s="22" t="s">
        <v>61</v>
      </c>
      <c r="B7" s="22" t="s">
        <v>384</v>
      </c>
      <c r="C7" s="22">
        <v>2020</v>
      </c>
      <c r="D7" s="116" t="s">
        <v>385</v>
      </c>
      <c r="E7" s="22" t="s">
        <v>386</v>
      </c>
      <c r="F7" s="22" t="s">
        <v>316</v>
      </c>
      <c r="G7" s="22" t="s">
        <v>42</v>
      </c>
      <c r="H7" s="39" t="s">
        <v>146</v>
      </c>
      <c r="I7" s="39" t="s">
        <v>142</v>
      </c>
      <c r="J7" s="22" t="s">
        <v>38</v>
      </c>
      <c r="K7" s="39" t="s">
        <v>143</v>
      </c>
      <c r="L7" s="39">
        <v>3</v>
      </c>
      <c r="N7" s="39">
        <v>4</v>
      </c>
      <c r="O7" s="39">
        <v>2</v>
      </c>
      <c r="P7" s="39">
        <v>2</v>
      </c>
      <c r="Q7" s="61">
        <f t="shared" si="0"/>
        <v>2</v>
      </c>
      <c r="R7" s="39">
        <v>17.5</v>
      </c>
      <c r="S7" s="39">
        <v>107</v>
      </c>
      <c r="T7" s="45">
        <f t="shared" si="1"/>
        <v>33</v>
      </c>
      <c r="U7" s="39">
        <v>430</v>
      </c>
      <c r="V7" s="117">
        <f t="shared" si="2"/>
        <v>3547.5</v>
      </c>
      <c r="W7" s="39">
        <v>6</v>
      </c>
      <c r="X7" s="22" t="s">
        <v>46</v>
      </c>
      <c r="Y7" s="39" t="s">
        <v>84</v>
      </c>
      <c r="Z7" s="39" t="s">
        <v>69</v>
      </c>
      <c r="AA7" s="39" t="s">
        <v>55</v>
      </c>
      <c r="AB7" s="22" t="s">
        <v>331</v>
      </c>
      <c r="AC7" s="56"/>
      <c r="AE7" s="46" t="s">
        <v>61</v>
      </c>
      <c r="AG7" s="3" t="s">
        <v>298</v>
      </c>
      <c r="AH7" s="3" t="s">
        <v>221</v>
      </c>
      <c r="AJ7" s="51"/>
      <c r="AL7" s="64" t="s">
        <v>109</v>
      </c>
      <c r="AN7" s="27"/>
      <c r="AP7" s="47" t="s">
        <v>58</v>
      </c>
      <c r="AR7" s="47" t="s">
        <v>122</v>
      </c>
      <c r="AV7" s="47" t="s">
        <v>64</v>
      </c>
      <c r="AX7" s="48">
        <v>109</v>
      </c>
      <c r="AY7" s="49">
        <v>33</v>
      </c>
      <c r="AZ7" s="49">
        <v>113</v>
      </c>
      <c r="BA7" s="50">
        <v>30</v>
      </c>
    </row>
    <row r="8" spans="1:53" x14ac:dyDescent="0.15">
      <c r="A8" s="22" t="s">
        <v>61</v>
      </c>
      <c r="B8" s="22" t="s">
        <v>384</v>
      </c>
      <c r="C8" s="22">
        <v>2020</v>
      </c>
      <c r="D8" s="116" t="s">
        <v>385</v>
      </c>
      <c r="E8" s="22" t="s">
        <v>386</v>
      </c>
      <c r="F8" s="22" t="s">
        <v>316</v>
      </c>
      <c r="G8" s="22" t="s">
        <v>42</v>
      </c>
      <c r="H8" s="39" t="s">
        <v>127</v>
      </c>
      <c r="I8" s="39" t="s">
        <v>142</v>
      </c>
      <c r="J8" s="22" t="s">
        <v>80</v>
      </c>
      <c r="K8" s="39" t="s">
        <v>123</v>
      </c>
      <c r="L8" s="39">
        <v>1</v>
      </c>
      <c r="N8" s="39">
        <v>1</v>
      </c>
      <c r="O8" s="39">
        <v>0.6</v>
      </c>
      <c r="P8" s="39">
        <v>0.8</v>
      </c>
      <c r="Q8" s="61">
        <f t="shared" si="0"/>
        <v>0.7</v>
      </c>
      <c r="R8" s="39">
        <v>14.5</v>
      </c>
      <c r="S8" s="39">
        <v>153</v>
      </c>
      <c r="T8" s="45">
        <f t="shared" si="1"/>
        <v>18</v>
      </c>
      <c r="U8" s="39">
        <v>138</v>
      </c>
      <c r="V8" s="117">
        <f t="shared" si="2"/>
        <v>2484</v>
      </c>
      <c r="W8" s="39">
        <v>6</v>
      </c>
      <c r="X8" s="22" t="s">
        <v>46</v>
      </c>
      <c r="Y8" s="39" t="s">
        <v>84</v>
      </c>
      <c r="Z8" s="39" t="s">
        <v>69</v>
      </c>
      <c r="AA8" s="39" t="s">
        <v>55</v>
      </c>
      <c r="AB8" s="22" t="s">
        <v>331</v>
      </c>
      <c r="AC8" s="56"/>
      <c r="AE8" s="46" t="s">
        <v>59</v>
      </c>
      <c r="AG8" s="3" t="s">
        <v>314</v>
      </c>
      <c r="AH8" s="3" t="s">
        <v>324</v>
      </c>
      <c r="AJ8" s="52"/>
      <c r="AL8" s="64" t="s">
        <v>134</v>
      </c>
      <c r="AN8" s="27"/>
      <c r="AP8" s="47" t="s">
        <v>62</v>
      </c>
      <c r="AR8" s="47" t="s">
        <v>81</v>
      </c>
      <c r="AV8" s="47" t="s">
        <v>97</v>
      </c>
      <c r="AX8" s="48">
        <v>119</v>
      </c>
      <c r="AY8" s="49">
        <v>30</v>
      </c>
      <c r="AZ8" s="49">
        <v>121</v>
      </c>
      <c r="BA8" s="50">
        <v>27</v>
      </c>
    </row>
    <row r="9" spans="1:53" x14ac:dyDescent="0.15">
      <c r="A9" s="22" t="s">
        <v>61</v>
      </c>
      <c r="B9" s="22" t="s">
        <v>384</v>
      </c>
      <c r="C9" s="22">
        <v>2020</v>
      </c>
      <c r="D9" s="116" t="s">
        <v>385</v>
      </c>
      <c r="E9" s="22" t="s">
        <v>386</v>
      </c>
      <c r="F9" s="22" t="s">
        <v>316</v>
      </c>
      <c r="G9" s="22" t="s">
        <v>42</v>
      </c>
      <c r="H9" s="39" t="s">
        <v>127</v>
      </c>
      <c r="I9" s="39" t="s">
        <v>142</v>
      </c>
      <c r="J9" s="22" t="s">
        <v>80</v>
      </c>
      <c r="K9" s="39" t="s">
        <v>123</v>
      </c>
      <c r="L9" s="39">
        <v>2</v>
      </c>
      <c r="N9" s="39">
        <v>1</v>
      </c>
      <c r="O9" s="56">
        <v>0.7</v>
      </c>
      <c r="P9" s="39">
        <v>0.6</v>
      </c>
      <c r="Q9" s="61">
        <f t="shared" si="0"/>
        <v>0.64999999999999991</v>
      </c>
      <c r="R9" s="56">
        <v>13.4</v>
      </c>
      <c r="S9" s="39">
        <v>158</v>
      </c>
      <c r="T9" s="45">
        <f t="shared" si="1"/>
        <v>18</v>
      </c>
      <c r="U9" s="39">
        <v>138</v>
      </c>
      <c r="V9" s="117">
        <f t="shared" si="2"/>
        <v>2484</v>
      </c>
      <c r="W9" s="39">
        <v>6</v>
      </c>
      <c r="X9" s="22" t="s">
        <v>46</v>
      </c>
      <c r="Y9" s="39" t="s">
        <v>84</v>
      </c>
      <c r="Z9" s="39" t="s">
        <v>69</v>
      </c>
      <c r="AA9" s="39" t="s">
        <v>55</v>
      </c>
      <c r="AB9" s="22" t="s">
        <v>331</v>
      </c>
      <c r="AC9" s="56"/>
      <c r="AE9" s="46" t="s">
        <v>98</v>
      </c>
      <c r="AG9" s="3" t="s">
        <v>320</v>
      </c>
      <c r="AH9" s="3" t="s">
        <v>323</v>
      </c>
      <c r="AL9" s="47" t="s">
        <v>329</v>
      </c>
      <c r="AN9" s="27"/>
      <c r="AP9" s="47" t="s">
        <v>95</v>
      </c>
      <c r="AR9" s="47" t="s">
        <v>89</v>
      </c>
      <c r="AV9" s="47" t="s">
        <v>102</v>
      </c>
      <c r="AX9" s="48">
        <v>128</v>
      </c>
      <c r="AY9" s="49">
        <v>27</v>
      </c>
      <c r="AZ9" s="49">
        <v>129</v>
      </c>
      <c r="BA9" s="50">
        <v>25</v>
      </c>
    </row>
    <row r="10" spans="1:53" x14ac:dyDescent="0.15">
      <c r="A10" s="22" t="s">
        <v>61</v>
      </c>
      <c r="B10" s="22" t="s">
        <v>384</v>
      </c>
      <c r="C10" s="22">
        <v>2020</v>
      </c>
      <c r="D10" s="116" t="s">
        <v>385</v>
      </c>
      <c r="E10" s="22" t="s">
        <v>386</v>
      </c>
      <c r="F10" s="22" t="s">
        <v>316</v>
      </c>
      <c r="G10" s="22" t="s">
        <v>42</v>
      </c>
      <c r="H10" s="39" t="s">
        <v>127</v>
      </c>
      <c r="I10" s="39" t="s">
        <v>142</v>
      </c>
      <c r="J10" s="22" t="s">
        <v>80</v>
      </c>
      <c r="K10" s="39" t="s">
        <v>123</v>
      </c>
      <c r="L10" s="39">
        <v>3</v>
      </c>
      <c r="N10" s="39">
        <v>1</v>
      </c>
      <c r="O10" s="56">
        <v>0.7</v>
      </c>
      <c r="P10" s="39">
        <v>2</v>
      </c>
      <c r="Q10" s="61">
        <f t="shared" si="0"/>
        <v>1.35</v>
      </c>
      <c r="R10" s="39">
        <v>14.6</v>
      </c>
      <c r="S10" s="39">
        <v>158</v>
      </c>
      <c r="T10" s="45">
        <f t="shared" si="1"/>
        <v>18</v>
      </c>
      <c r="U10" s="39">
        <v>138</v>
      </c>
      <c r="V10" s="117">
        <f t="shared" si="2"/>
        <v>2484</v>
      </c>
      <c r="W10" s="39">
        <v>6</v>
      </c>
      <c r="X10" s="22" t="s">
        <v>46</v>
      </c>
      <c r="Y10" s="39" t="s">
        <v>84</v>
      </c>
      <c r="Z10" s="39" t="s">
        <v>69</v>
      </c>
      <c r="AA10" s="39" t="s">
        <v>55</v>
      </c>
      <c r="AB10" s="22" t="s">
        <v>331</v>
      </c>
      <c r="AC10" s="56"/>
      <c r="AE10" s="46" t="s">
        <v>103</v>
      </c>
      <c r="AG10" s="3" t="s">
        <v>321</v>
      </c>
      <c r="AH10" s="3" t="s">
        <v>219</v>
      </c>
      <c r="AL10" s="27"/>
      <c r="AP10" s="47" t="s">
        <v>100</v>
      </c>
      <c r="AR10" s="47" t="s">
        <v>123</v>
      </c>
      <c r="AV10" s="47" t="s">
        <v>106</v>
      </c>
      <c r="AX10" s="48">
        <v>138</v>
      </c>
      <c r="AY10" s="49">
        <v>25</v>
      </c>
      <c r="AZ10" s="49">
        <v>138</v>
      </c>
      <c r="BA10" s="50">
        <v>22</v>
      </c>
    </row>
    <row r="11" spans="1:53" x14ac:dyDescent="0.15">
      <c r="A11" s="22" t="s">
        <v>61</v>
      </c>
      <c r="B11" s="22" t="s">
        <v>384</v>
      </c>
      <c r="C11" s="22">
        <v>2020</v>
      </c>
      <c r="D11" s="116" t="s">
        <v>385</v>
      </c>
      <c r="E11" s="22" t="s">
        <v>387</v>
      </c>
      <c r="F11" s="22" t="s">
        <v>326</v>
      </c>
      <c r="G11" s="22" t="s">
        <v>36</v>
      </c>
      <c r="H11" s="39" t="s">
        <v>146</v>
      </c>
      <c r="I11" s="39" t="s">
        <v>142</v>
      </c>
      <c r="J11" s="22" t="s">
        <v>38</v>
      </c>
      <c r="K11" s="39" t="s">
        <v>143</v>
      </c>
      <c r="L11" s="39">
        <v>1</v>
      </c>
      <c r="N11" s="39">
        <v>1</v>
      </c>
      <c r="O11" s="39">
        <v>0.8</v>
      </c>
      <c r="P11" s="39">
        <v>0.75</v>
      </c>
      <c r="Q11" s="61">
        <f t="shared" si="0"/>
        <v>0.77500000000000002</v>
      </c>
      <c r="R11" s="39">
        <v>15.5</v>
      </c>
      <c r="S11" s="39">
        <v>129</v>
      </c>
      <c r="T11" s="45">
        <f t="shared" si="1"/>
        <v>25</v>
      </c>
      <c r="U11" s="39">
        <v>138</v>
      </c>
      <c r="V11" s="117">
        <f t="shared" si="2"/>
        <v>3450</v>
      </c>
      <c r="W11" s="39">
        <v>9</v>
      </c>
      <c r="X11" s="22" t="s">
        <v>46</v>
      </c>
      <c r="Y11" s="39" t="s">
        <v>47</v>
      </c>
      <c r="Z11" s="39" t="s">
        <v>69</v>
      </c>
      <c r="AA11" s="39" t="s">
        <v>90</v>
      </c>
      <c r="AB11" s="22" t="s">
        <v>331</v>
      </c>
      <c r="AC11" s="56"/>
      <c r="AE11" s="46" t="s">
        <v>65</v>
      </c>
      <c r="AG11" s="3" t="s">
        <v>322</v>
      </c>
      <c r="AH11" s="3" t="s">
        <v>219</v>
      </c>
      <c r="AL11" s="28"/>
      <c r="AP11" s="47" t="s">
        <v>104</v>
      </c>
      <c r="AR11" s="47" t="s">
        <v>87</v>
      </c>
      <c r="AV11" s="64" t="s">
        <v>222</v>
      </c>
      <c r="AX11" s="48">
        <v>151</v>
      </c>
      <c r="AY11" s="49">
        <v>22</v>
      </c>
      <c r="AZ11" s="49">
        <v>152</v>
      </c>
      <c r="BA11" s="50">
        <v>18</v>
      </c>
    </row>
    <row r="12" spans="1:53" x14ac:dyDescent="0.15">
      <c r="A12" s="22" t="s">
        <v>61</v>
      </c>
      <c r="B12" s="22" t="s">
        <v>384</v>
      </c>
      <c r="C12" s="22">
        <v>2020</v>
      </c>
      <c r="D12" s="116" t="s">
        <v>385</v>
      </c>
      <c r="E12" s="22" t="s">
        <v>387</v>
      </c>
      <c r="F12" s="22" t="s">
        <v>326</v>
      </c>
      <c r="G12" s="22" t="s">
        <v>36</v>
      </c>
      <c r="H12" s="39" t="s">
        <v>146</v>
      </c>
      <c r="I12" s="39" t="s">
        <v>142</v>
      </c>
      <c r="J12" s="22" t="s">
        <v>38</v>
      </c>
      <c r="K12" s="39" t="s">
        <v>143</v>
      </c>
      <c r="L12" s="39">
        <v>2</v>
      </c>
      <c r="N12" s="39">
        <v>1</v>
      </c>
      <c r="O12" s="39">
        <v>0.7</v>
      </c>
      <c r="P12" s="39">
        <v>0.6</v>
      </c>
      <c r="Q12" s="61">
        <f t="shared" si="0"/>
        <v>0.64999999999999991</v>
      </c>
      <c r="R12" s="56">
        <v>16.5</v>
      </c>
      <c r="S12" s="39">
        <v>124</v>
      </c>
      <c r="T12" s="45">
        <f t="shared" si="1"/>
        <v>27</v>
      </c>
      <c r="U12" s="39">
        <v>138</v>
      </c>
      <c r="V12" s="117">
        <f t="shared" si="2"/>
        <v>3726</v>
      </c>
      <c r="W12" s="39">
        <v>9</v>
      </c>
      <c r="X12" s="22" t="s">
        <v>46</v>
      </c>
      <c r="Y12" s="39" t="s">
        <v>47</v>
      </c>
      <c r="Z12" s="39" t="s">
        <v>69</v>
      </c>
      <c r="AA12" s="39" t="s">
        <v>90</v>
      </c>
      <c r="AB12" s="22" t="s">
        <v>331</v>
      </c>
      <c r="AC12" s="56"/>
      <c r="AE12" s="46" t="s">
        <v>70</v>
      </c>
      <c r="AG12" s="47"/>
      <c r="AH12" s="46"/>
      <c r="AL12" s="28"/>
      <c r="AP12" s="47" t="s">
        <v>67</v>
      </c>
      <c r="AR12" s="47" t="s">
        <v>124</v>
      </c>
      <c r="AV12" s="64" t="s">
        <v>223</v>
      </c>
      <c r="AX12" s="48">
        <v>180</v>
      </c>
      <c r="AY12" s="49">
        <v>18</v>
      </c>
      <c r="AZ12" s="49">
        <v>181</v>
      </c>
      <c r="BA12" s="50">
        <v>16</v>
      </c>
    </row>
    <row r="13" spans="1:53" x14ac:dyDescent="0.15">
      <c r="A13" s="22" t="s">
        <v>61</v>
      </c>
      <c r="B13" s="22" t="s">
        <v>384</v>
      </c>
      <c r="C13" s="22">
        <v>2020</v>
      </c>
      <c r="D13" s="116" t="s">
        <v>385</v>
      </c>
      <c r="E13" s="22" t="s">
        <v>387</v>
      </c>
      <c r="F13" s="22" t="s">
        <v>326</v>
      </c>
      <c r="G13" s="22" t="s">
        <v>36</v>
      </c>
      <c r="H13" s="39" t="s">
        <v>146</v>
      </c>
      <c r="I13" s="39" t="s">
        <v>142</v>
      </c>
      <c r="J13" s="22" t="s">
        <v>38</v>
      </c>
      <c r="K13" s="39" t="s">
        <v>143</v>
      </c>
      <c r="L13" s="39">
        <v>3</v>
      </c>
      <c r="N13" s="39">
        <v>1</v>
      </c>
      <c r="O13" s="39">
        <v>0.6</v>
      </c>
      <c r="P13" s="39">
        <v>0.6</v>
      </c>
      <c r="Q13" s="61">
        <f t="shared" si="0"/>
        <v>0.6</v>
      </c>
      <c r="R13" s="39">
        <v>16.399999999999999</v>
      </c>
      <c r="S13" s="39">
        <v>130</v>
      </c>
      <c r="T13" s="45">
        <f t="shared" si="1"/>
        <v>25</v>
      </c>
      <c r="U13" s="39">
        <v>138</v>
      </c>
      <c r="V13" s="117">
        <f t="shared" si="2"/>
        <v>3450</v>
      </c>
      <c r="W13" s="39">
        <v>9</v>
      </c>
      <c r="X13" s="22" t="s">
        <v>46</v>
      </c>
      <c r="Y13" s="39" t="s">
        <v>47</v>
      </c>
      <c r="Z13" s="39" t="s">
        <v>69</v>
      </c>
      <c r="AA13" s="39" t="s">
        <v>90</v>
      </c>
      <c r="AB13" s="22" t="s">
        <v>331</v>
      </c>
      <c r="AC13" s="56"/>
      <c r="AE13" s="46" t="s">
        <v>73</v>
      </c>
      <c r="AG13" s="47"/>
      <c r="AH13" s="46"/>
      <c r="AL13" s="29"/>
      <c r="AP13" s="47" t="s">
        <v>71</v>
      </c>
      <c r="AR13" s="47" t="s">
        <v>103</v>
      </c>
      <c r="AV13" s="64" t="s">
        <v>224</v>
      </c>
      <c r="AX13" s="48"/>
      <c r="AY13" s="49"/>
      <c r="AZ13" s="49"/>
      <c r="BA13" s="50"/>
    </row>
    <row r="14" spans="1:53" x14ac:dyDescent="0.15">
      <c r="A14" s="22" t="s">
        <v>61</v>
      </c>
      <c r="B14" s="22" t="s">
        <v>384</v>
      </c>
      <c r="C14" s="22">
        <v>2020</v>
      </c>
      <c r="D14" s="116" t="s">
        <v>385</v>
      </c>
      <c r="E14" s="22" t="s">
        <v>387</v>
      </c>
      <c r="F14" s="22" t="s">
        <v>326</v>
      </c>
      <c r="G14" s="22" t="s">
        <v>36</v>
      </c>
      <c r="H14" s="39" t="s">
        <v>146</v>
      </c>
      <c r="I14" s="39" t="s">
        <v>142</v>
      </c>
      <c r="J14" s="22" t="s">
        <v>38</v>
      </c>
      <c r="K14" s="39" t="s">
        <v>143</v>
      </c>
      <c r="L14" s="39">
        <v>1</v>
      </c>
      <c r="N14" s="39">
        <v>4</v>
      </c>
      <c r="O14" s="39">
        <v>2</v>
      </c>
      <c r="P14" s="39">
        <v>0.7</v>
      </c>
      <c r="Q14" s="61">
        <f t="shared" si="0"/>
        <v>1.35</v>
      </c>
      <c r="R14" s="39">
        <v>15.7</v>
      </c>
      <c r="S14" s="39">
        <v>106</v>
      </c>
      <c r="T14" s="45">
        <f t="shared" si="1"/>
        <v>33</v>
      </c>
      <c r="U14" s="39">
        <v>430</v>
      </c>
      <c r="V14" s="117">
        <f t="shared" si="2"/>
        <v>3547.5</v>
      </c>
      <c r="W14" s="39">
        <v>9</v>
      </c>
      <c r="X14" s="22" t="s">
        <v>46</v>
      </c>
      <c r="Y14" s="39" t="s">
        <v>47</v>
      </c>
      <c r="Z14" s="39" t="s">
        <v>69</v>
      </c>
      <c r="AA14" s="39" t="s">
        <v>90</v>
      </c>
      <c r="AB14" s="22" t="s">
        <v>331</v>
      </c>
      <c r="AC14" s="56"/>
      <c r="AE14" s="46" t="s">
        <v>76</v>
      </c>
      <c r="AG14" s="47"/>
      <c r="AH14" s="46"/>
      <c r="AL14" s="56"/>
      <c r="AP14" s="47" t="s">
        <v>74</v>
      </c>
      <c r="AR14" s="47" t="s">
        <v>125</v>
      </c>
      <c r="AV14" s="64" t="s">
        <v>225</v>
      </c>
      <c r="AX14" s="48"/>
      <c r="AY14" s="49"/>
      <c r="AZ14" s="49"/>
      <c r="BA14" s="50"/>
    </row>
    <row r="15" spans="1:53" x14ac:dyDescent="0.15">
      <c r="A15" s="22" t="s">
        <v>61</v>
      </c>
      <c r="B15" s="22" t="s">
        <v>384</v>
      </c>
      <c r="C15" s="22">
        <v>2020</v>
      </c>
      <c r="D15" s="116" t="s">
        <v>385</v>
      </c>
      <c r="E15" s="22" t="s">
        <v>387</v>
      </c>
      <c r="F15" s="22" t="s">
        <v>326</v>
      </c>
      <c r="G15" s="22" t="s">
        <v>36</v>
      </c>
      <c r="H15" s="39" t="s">
        <v>146</v>
      </c>
      <c r="I15" s="39" t="s">
        <v>142</v>
      </c>
      <c r="J15" s="22" t="s">
        <v>38</v>
      </c>
      <c r="K15" s="39" t="s">
        <v>143</v>
      </c>
      <c r="L15" s="39">
        <v>2</v>
      </c>
      <c r="N15" s="39">
        <v>4</v>
      </c>
      <c r="O15" s="39">
        <v>0.75</v>
      </c>
      <c r="P15" s="39">
        <v>0.65</v>
      </c>
      <c r="Q15" s="61">
        <f t="shared" si="0"/>
        <v>0.7</v>
      </c>
      <c r="R15" s="39">
        <v>16.100000000000001</v>
      </c>
      <c r="S15" s="39">
        <v>112</v>
      </c>
      <c r="T15" s="45">
        <f t="shared" si="1"/>
        <v>33</v>
      </c>
      <c r="U15" s="39">
        <v>430</v>
      </c>
      <c r="V15" s="117">
        <f t="shared" si="2"/>
        <v>3547.5</v>
      </c>
      <c r="W15" s="39">
        <v>9</v>
      </c>
      <c r="X15" s="22" t="s">
        <v>46</v>
      </c>
      <c r="Y15" s="39" t="s">
        <v>47</v>
      </c>
      <c r="Z15" s="39" t="s">
        <v>69</v>
      </c>
      <c r="AA15" s="39" t="s">
        <v>90</v>
      </c>
      <c r="AB15" s="22" t="s">
        <v>331</v>
      </c>
      <c r="AC15" s="56"/>
      <c r="AE15" s="46" t="s">
        <v>79</v>
      </c>
      <c r="AG15" s="47"/>
      <c r="AH15" s="47"/>
      <c r="AL15" s="56"/>
      <c r="AP15" s="47" t="s">
        <v>77</v>
      </c>
      <c r="AR15" s="47" t="s">
        <v>94</v>
      </c>
      <c r="AV15" s="64" t="s">
        <v>226</v>
      </c>
      <c r="AX15" s="53"/>
      <c r="AY15" s="54"/>
      <c r="AZ15" s="54"/>
      <c r="BA15" s="55"/>
    </row>
    <row r="16" spans="1:53" x14ac:dyDescent="0.15">
      <c r="A16" s="22" t="s">
        <v>61</v>
      </c>
      <c r="B16" s="22" t="s">
        <v>384</v>
      </c>
      <c r="C16" s="22">
        <v>2020</v>
      </c>
      <c r="D16" s="116" t="s">
        <v>385</v>
      </c>
      <c r="E16" s="22" t="s">
        <v>387</v>
      </c>
      <c r="F16" s="22" t="s">
        <v>326</v>
      </c>
      <c r="G16" s="22" t="s">
        <v>36</v>
      </c>
      <c r="H16" s="39" t="s">
        <v>146</v>
      </c>
      <c r="I16" s="39" t="s">
        <v>142</v>
      </c>
      <c r="J16" s="22" t="s">
        <v>38</v>
      </c>
      <c r="K16" s="39" t="s">
        <v>143</v>
      </c>
      <c r="L16" s="39">
        <v>3</v>
      </c>
      <c r="N16" s="39">
        <v>4</v>
      </c>
      <c r="O16" s="39">
        <v>0.8</v>
      </c>
      <c r="P16" s="39">
        <v>0.6</v>
      </c>
      <c r="Q16" s="61">
        <f t="shared" si="0"/>
        <v>0.7</v>
      </c>
      <c r="R16" s="56">
        <v>15.9</v>
      </c>
      <c r="S16" s="39">
        <v>106</v>
      </c>
      <c r="T16" s="45">
        <f t="shared" si="1"/>
        <v>33</v>
      </c>
      <c r="U16" s="39">
        <v>430</v>
      </c>
      <c r="V16" s="117">
        <f t="shared" si="2"/>
        <v>3547.5</v>
      </c>
      <c r="W16" s="39">
        <v>9</v>
      </c>
      <c r="X16" s="22" t="s">
        <v>46</v>
      </c>
      <c r="Y16" s="39" t="s">
        <v>47</v>
      </c>
      <c r="Z16" s="39" t="s">
        <v>69</v>
      </c>
      <c r="AA16" s="39" t="s">
        <v>90</v>
      </c>
      <c r="AB16" s="22" t="s">
        <v>331</v>
      </c>
      <c r="AC16" s="56"/>
      <c r="AE16" s="46" t="s">
        <v>82</v>
      </c>
      <c r="AG16" s="47"/>
      <c r="AH16" s="47"/>
      <c r="AP16" s="47" t="s">
        <v>80</v>
      </c>
      <c r="AR16" s="47" t="s">
        <v>63</v>
      </c>
      <c r="AV16" s="64" t="s">
        <v>227</v>
      </c>
    </row>
    <row r="17" spans="1:48" x14ac:dyDescent="0.15">
      <c r="A17" s="22" t="s">
        <v>61</v>
      </c>
      <c r="B17" s="22" t="s">
        <v>384</v>
      </c>
      <c r="C17" s="22">
        <v>2020</v>
      </c>
      <c r="D17" s="116" t="s">
        <v>385</v>
      </c>
      <c r="E17" s="22" t="s">
        <v>387</v>
      </c>
      <c r="F17" s="22" t="s">
        <v>326</v>
      </c>
      <c r="G17" s="22" t="s">
        <v>36</v>
      </c>
      <c r="H17" s="39" t="s">
        <v>127</v>
      </c>
      <c r="I17" s="39" t="s">
        <v>142</v>
      </c>
      <c r="J17" s="22" t="s">
        <v>212</v>
      </c>
      <c r="K17" s="39" t="s">
        <v>59</v>
      </c>
      <c r="L17" s="39">
        <v>1</v>
      </c>
      <c r="N17" s="39">
        <v>1</v>
      </c>
      <c r="O17" s="56">
        <v>2</v>
      </c>
      <c r="P17" s="39">
        <v>2</v>
      </c>
      <c r="Q17" s="61">
        <f t="shared" si="0"/>
        <v>2</v>
      </c>
      <c r="R17" s="39">
        <v>14.3</v>
      </c>
      <c r="S17" s="39">
        <v>141</v>
      </c>
      <c r="T17" s="45">
        <f t="shared" si="1"/>
        <v>22</v>
      </c>
      <c r="U17" s="39">
        <v>106</v>
      </c>
      <c r="V17" s="117">
        <f t="shared" si="2"/>
        <v>2332</v>
      </c>
      <c r="W17" s="39">
        <v>9</v>
      </c>
      <c r="X17" s="22" t="s">
        <v>46</v>
      </c>
      <c r="Y17" s="39" t="s">
        <v>47</v>
      </c>
      <c r="Z17" s="39" t="s">
        <v>69</v>
      </c>
      <c r="AA17" s="39" t="s">
        <v>90</v>
      </c>
      <c r="AB17" s="22" t="s">
        <v>331</v>
      </c>
      <c r="AC17" s="56"/>
      <c r="AE17" s="46" t="s">
        <v>85</v>
      </c>
      <c r="AP17" s="51" t="s">
        <v>110</v>
      </c>
      <c r="AR17" s="47" t="s">
        <v>96</v>
      </c>
      <c r="AV17" s="64" t="s">
        <v>152</v>
      </c>
    </row>
    <row r="18" spans="1:48" x14ac:dyDescent="0.15">
      <c r="A18" s="22" t="s">
        <v>61</v>
      </c>
      <c r="B18" s="22" t="s">
        <v>384</v>
      </c>
      <c r="C18" s="22">
        <v>2020</v>
      </c>
      <c r="D18" s="116" t="s">
        <v>385</v>
      </c>
      <c r="E18" s="22" t="s">
        <v>387</v>
      </c>
      <c r="F18" s="22" t="s">
        <v>326</v>
      </c>
      <c r="G18" s="22" t="s">
        <v>36</v>
      </c>
      <c r="H18" s="39" t="s">
        <v>127</v>
      </c>
      <c r="I18" s="39" t="s">
        <v>142</v>
      </c>
      <c r="J18" s="22" t="s">
        <v>212</v>
      </c>
      <c r="K18" s="39" t="s">
        <v>59</v>
      </c>
      <c r="L18" s="39">
        <v>2</v>
      </c>
      <c r="N18" s="39">
        <v>1</v>
      </c>
      <c r="O18" s="39">
        <v>2</v>
      </c>
      <c r="P18" s="39">
        <v>2</v>
      </c>
      <c r="Q18" s="61">
        <f t="shared" si="0"/>
        <v>2</v>
      </c>
      <c r="R18" s="39">
        <v>15</v>
      </c>
      <c r="S18" s="39">
        <v>127</v>
      </c>
      <c r="T18" s="45">
        <f t="shared" si="1"/>
        <v>27</v>
      </c>
      <c r="U18" s="39">
        <v>106</v>
      </c>
      <c r="V18" s="117">
        <f t="shared" si="2"/>
        <v>2862</v>
      </c>
      <c r="W18" s="39">
        <v>9</v>
      </c>
      <c r="X18" s="22" t="s">
        <v>46</v>
      </c>
      <c r="Y18" s="39" t="s">
        <v>47</v>
      </c>
      <c r="Z18" s="39" t="s">
        <v>69</v>
      </c>
      <c r="AA18" s="39" t="s">
        <v>90</v>
      </c>
      <c r="AB18" s="22" t="s">
        <v>331</v>
      </c>
      <c r="AC18" s="56"/>
      <c r="AE18" s="46" t="s">
        <v>87</v>
      </c>
      <c r="AP18" s="51" t="s">
        <v>111</v>
      </c>
      <c r="AR18" s="47" t="s">
        <v>101</v>
      </c>
      <c r="AV18" s="64" t="s">
        <v>135</v>
      </c>
    </row>
    <row r="19" spans="1:48" x14ac:dyDescent="0.15">
      <c r="A19" s="22" t="s">
        <v>61</v>
      </c>
      <c r="B19" s="22" t="s">
        <v>384</v>
      </c>
      <c r="C19" s="22">
        <v>2020</v>
      </c>
      <c r="D19" s="116" t="s">
        <v>385</v>
      </c>
      <c r="E19" s="22" t="s">
        <v>387</v>
      </c>
      <c r="F19" s="22" t="s">
        <v>326</v>
      </c>
      <c r="G19" s="22" t="s">
        <v>36</v>
      </c>
      <c r="H19" s="39" t="s">
        <v>127</v>
      </c>
      <c r="I19" s="39" t="s">
        <v>142</v>
      </c>
      <c r="J19" s="22" t="s">
        <v>212</v>
      </c>
      <c r="K19" s="39" t="s">
        <v>59</v>
      </c>
      <c r="L19" s="39">
        <v>3</v>
      </c>
      <c r="N19" s="39">
        <v>1</v>
      </c>
      <c r="O19" s="39">
        <v>2</v>
      </c>
      <c r="P19" s="39">
        <v>2</v>
      </c>
      <c r="Q19" s="61">
        <f t="shared" si="0"/>
        <v>2</v>
      </c>
      <c r="R19" s="39">
        <v>14.8</v>
      </c>
      <c r="S19" s="39">
        <v>128</v>
      </c>
      <c r="T19" s="45">
        <f t="shared" si="1"/>
        <v>27</v>
      </c>
      <c r="U19" s="39">
        <v>106</v>
      </c>
      <c r="V19" s="117">
        <f t="shared" si="2"/>
        <v>2862</v>
      </c>
      <c r="W19" s="39">
        <v>9</v>
      </c>
      <c r="X19" s="22" t="s">
        <v>46</v>
      </c>
      <c r="Y19" s="39" t="s">
        <v>47</v>
      </c>
      <c r="Z19" s="39" t="s">
        <v>69</v>
      </c>
      <c r="AA19" s="39" t="s">
        <v>90</v>
      </c>
      <c r="AB19" s="22" t="s">
        <v>331</v>
      </c>
      <c r="AC19" s="56"/>
      <c r="AE19" s="57" t="s">
        <v>89</v>
      </c>
      <c r="AP19" s="51" t="s">
        <v>112</v>
      </c>
      <c r="AR19" s="47" t="s">
        <v>126</v>
      </c>
      <c r="AV19" s="64" t="s">
        <v>228</v>
      </c>
    </row>
    <row r="20" spans="1:48" x14ac:dyDescent="0.15">
      <c r="A20" s="22" t="s">
        <v>61</v>
      </c>
      <c r="B20" s="22" t="s">
        <v>384</v>
      </c>
      <c r="C20" s="22">
        <v>2020</v>
      </c>
      <c r="D20" s="116" t="s">
        <v>385</v>
      </c>
      <c r="E20" s="22" t="s">
        <v>387</v>
      </c>
      <c r="F20" s="22" t="s">
        <v>326</v>
      </c>
      <c r="G20" s="22" t="s">
        <v>36</v>
      </c>
      <c r="H20" s="39" t="s">
        <v>127</v>
      </c>
      <c r="I20" s="39" t="s">
        <v>142</v>
      </c>
      <c r="J20" s="22" t="s">
        <v>80</v>
      </c>
      <c r="K20" s="39" t="s">
        <v>63</v>
      </c>
      <c r="L20" s="39">
        <v>1</v>
      </c>
      <c r="N20" s="39">
        <v>4</v>
      </c>
      <c r="O20" s="56">
        <v>0.75</v>
      </c>
      <c r="P20" s="39">
        <v>2</v>
      </c>
      <c r="Q20" s="61">
        <f t="shared" si="0"/>
        <v>1.375</v>
      </c>
      <c r="R20" s="39">
        <v>14.6</v>
      </c>
      <c r="S20" s="39">
        <v>91</v>
      </c>
      <c r="T20" s="45">
        <f t="shared" si="1"/>
        <v>36</v>
      </c>
      <c r="U20" s="39">
        <v>430</v>
      </c>
      <c r="V20" s="117">
        <f t="shared" si="2"/>
        <v>3870</v>
      </c>
      <c r="W20" s="39">
        <v>9</v>
      </c>
      <c r="X20" s="22" t="s">
        <v>46</v>
      </c>
      <c r="Y20" s="39" t="s">
        <v>47</v>
      </c>
      <c r="Z20" s="39" t="s">
        <v>69</v>
      </c>
      <c r="AA20" s="39" t="s">
        <v>90</v>
      </c>
      <c r="AB20" s="22" t="s">
        <v>331</v>
      </c>
      <c r="AC20" s="56"/>
      <c r="AE20" s="46"/>
      <c r="AP20" s="51" t="s">
        <v>113</v>
      </c>
      <c r="AR20" s="47" t="s">
        <v>105</v>
      </c>
      <c r="AV20" s="64" t="s">
        <v>229</v>
      </c>
    </row>
    <row r="21" spans="1:48" x14ac:dyDescent="0.15">
      <c r="A21" s="22" t="s">
        <v>61</v>
      </c>
      <c r="B21" s="22" t="s">
        <v>384</v>
      </c>
      <c r="C21" s="22">
        <v>2020</v>
      </c>
      <c r="D21" s="116" t="s">
        <v>385</v>
      </c>
      <c r="E21" s="22" t="s">
        <v>387</v>
      </c>
      <c r="F21" s="22" t="s">
        <v>326</v>
      </c>
      <c r="G21" s="22" t="s">
        <v>36</v>
      </c>
      <c r="H21" s="39" t="s">
        <v>127</v>
      </c>
      <c r="I21" s="39" t="s">
        <v>142</v>
      </c>
      <c r="J21" s="22" t="s">
        <v>80</v>
      </c>
      <c r="K21" s="39" t="s">
        <v>63</v>
      </c>
      <c r="L21" s="39">
        <v>2</v>
      </c>
      <c r="N21" s="39">
        <v>4</v>
      </c>
      <c r="O21" s="39">
        <v>0.8</v>
      </c>
      <c r="P21" s="39">
        <v>0.9</v>
      </c>
      <c r="Q21" s="61">
        <f t="shared" si="0"/>
        <v>0.85000000000000009</v>
      </c>
      <c r="R21" s="39">
        <v>14.7</v>
      </c>
      <c r="S21" s="39">
        <v>91</v>
      </c>
      <c r="T21" s="45">
        <f t="shared" si="1"/>
        <v>36</v>
      </c>
      <c r="U21" s="39">
        <v>430</v>
      </c>
      <c r="V21" s="117">
        <f t="shared" si="2"/>
        <v>3870</v>
      </c>
      <c r="W21" s="39">
        <v>9</v>
      </c>
      <c r="X21" s="22" t="s">
        <v>46</v>
      </c>
      <c r="Y21" s="39" t="s">
        <v>47</v>
      </c>
      <c r="Z21" s="39" t="s">
        <v>69</v>
      </c>
      <c r="AA21" s="39" t="s">
        <v>90</v>
      </c>
      <c r="AB21" s="22" t="s">
        <v>331</v>
      </c>
      <c r="AC21" s="56"/>
      <c r="AE21" s="46"/>
      <c r="AP21" s="51" t="s">
        <v>114</v>
      </c>
      <c r="AR21" s="47" t="s">
        <v>68</v>
      </c>
      <c r="AV21" s="64" t="s">
        <v>230</v>
      </c>
    </row>
    <row r="22" spans="1:48" x14ac:dyDescent="0.15">
      <c r="A22" s="22" t="s">
        <v>61</v>
      </c>
      <c r="B22" s="22" t="s">
        <v>384</v>
      </c>
      <c r="C22" s="22">
        <v>2020</v>
      </c>
      <c r="D22" s="116" t="s">
        <v>385</v>
      </c>
      <c r="E22" s="22" t="s">
        <v>387</v>
      </c>
      <c r="F22" s="22" t="s">
        <v>326</v>
      </c>
      <c r="G22" s="22" t="s">
        <v>36</v>
      </c>
      <c r="H22" s="39" t="s">
        <v>127</v>
      </c>
      <c r="I22" s="39" t="s">
        <v>142</v>
      </c>
      <c r="J22" s="22" t="s">
        <v>80</v>
      </c>
      <c r="K22" s="39" t="s">
        <v>63</v>
      </c>
      <c r="L22" s="39">
        <v>3</v>
      </c>
      <c r="N22" s="39">
        <v>4</v>
      </c>
      <c r="O22" s="39">
        <v>0.6</v>
      </c>
      <c r="P22" s="39">
        <v>0.7</v>
      </c>
      <c r="Q22" s="61">
        <f t="shared" si="0"/>
        <v>0.64999999999999991</v>
      </c>
      <c r="R22" s="39">
        <v>14.4</v>
      </c>
      <c r="S22" s="39">
        <v>83</v>
      </c>
      <c r="T22" s="45">
        <f t="shared" si="1"/>
        <v>39</v>
      </c>
      <c r="U22" s="39">
        <v>430</v>
      </c>
      <c r="V22" s="117">
        <f t="shared" si="2"/>
        <v>4192.5</v>
      </c>
      <c r="W22" s="39">
        <v>9</v>
      </c>
      <c r="X22" s="22" t="s">
        <v>46</v>
      </c>
      <c r="Y22" s="39" t="s">
        <v>47</v>
      </c>
      <c r="Z22" s="39" t="s">
        <v>69</v>
      </c>
      <c r="AA22" s="39" t="s">
        <v>90</v>
      </c>
      <c r="AB22" s="22" t="s">
        <v>331</v>
      </c>
      <c r="AC22" s="56"/>
      <c r="AE22" s="57"/>
      <c r="AP22" s="51" t="s">
        <v>115</v>
      </c>
      <c r="AR22" s="47" t="s">
        <v>83</v>
      </c>
      <c r="AV22" s="47"/>
    </row>
    <row r="23" spans="1:48" x14ac:dyDescent="0.15">
      <c r="A23" s="22" t="s">
        <v>61</v>
      </c>
      <c r="B23" s="22" t="s">
        <v>384</v>
      </c>
      <c r="C23" s="22">
        <v>2020</v>
      </c>
      <c r="D23" s="116" t="s">
        <v>385</v>
      </c>
      <c r="E23" s="22" t="s">
        <v>388</v>
      </c>
      <c r="F23" s="22" t="s">
        <v>325</v>
      </c>
      <c r="G23" s="22" t="s">
        <v>36</v>
      </c>
      <c r="H23" s="39" t="s">
        <v>146</v>
      </c>
      <c r="I23" s="39" t="s">
        <v>142</v>
      </c>
      <c r="J23" s="22" t="s">
        <v>38</v>
      </c>
      <c r="K23" s="39" t="s">
        <v>143</v>
      </c>
      <c r="L23" s="39">
        <v>1</v>
      </c>
      <c r="N23" s="39">
        <v>3</v>
      </c>
      <c r="O23" s="56">
        <v>0.6</v>
      </c>
      <c r="P23" s="39">
        <v>0.75</v>
      </c>
      <c r="Q23" s="61">
        <f t="shared" si="0"/>
        <v>0.67500000000000004</v>
      </c>
      <c r="R23" s="39">
        <v>17.5</v>
      </c>
      <c r="S23" s="39">
        <v>164</v>
      </c>
      <c r="T23" s="45">
        <f t="shared" si="1"/>
        <v>18</v>
      </c>
      <c r="U23" s="39">
        <v>429</v>
      </c>
      <c r="V23" s="117">
        <f t="shared" si="2"/>
        <v>2574</v>
      </c>
      <c r="W23" s="39">
        <v>26</v>
      </c>
      <c r="X23" s="22" t="s">
        <v>46</v>
      </c>
      <c r="Y23" s="39" t="s">
        <v>40</v>
      </c>
      <c r="Z23" s="39" t="s">
        <v>90</v>
      </c>
      <c r="AA23" s="39" t="s">
        <v>55</v>
      </c>
      <c r="AB23" s="22" t="s">
        <v>331</v>
      </c>
      <c r="AC23" s="56"/>
      <c r="AE23" s="46"/>
      <c r="AP23" s="51" t="s">
        <v>137</v>
      </c>
      <c r="AR23" s="47" t="s">
        <v>61</v>
      </c>
    </row>
    <row r="24" spans="1:48" x14ac:dyDescent="0.15">
      <c r="A24" s="22" t="s">
        <v>61</v>
      </c>
      <c r="B24" s="22" t="s">
        <v>384</v>
      </c>
      <c r="C24" s="22">
        <v>2020</v>
      </c>
      <c r="D24" s="116" t="s">
        <v>385</v>
      </c>
      <c r="E24" s="22" t="s">
        <v>388</v>
      </c>
      <c r="F24" s="22" t="s">
        <v>325</v>
      </c>
      <c r="G24" s="22" t="s">
        <v>36</v>
      </c>
      <c r="H24" s="39" t="s">
        <v>146</v>
      </c>
      <c r="I24" s="39" t="s">
        <v>142</v>
      </c>
      <c r="J24" s="22" t="s">
        <v>38</v>
      </c>
      <c r="K24" s="39" t="s">
        <v>143</v>
      </c>
      <c r="L24" s="39">
        <v>2</v>
      </c>
      <c r="N24" s="39">
        <v>3</v>
      </c>
      <c r="O24" s="39">
        <v>0.75</v>
      </c>
      <c r="P24" s="56">
        <v>0.85</v>
      </c>
      <c r="Q24" s="61">
        <f t="shared" si="0"/>
        <v>0.8</v>
      </c>
      <c r="R24" s="39">
        <v>19.5</v>
      </c>
      <c r="S24" s="39">
        <v>150</v>
      </c>
      <c r="T24" s="45">
        <f t="shared" si="1"/>
        <v>22</v>
      </c>
      <c r="U24" s="39">
        <v>429</v>
      </c>
      <c r="V24" s="117">
        <f t="shared" si="2"/>
        <v>3146</v>
      </c>
      <c r="W24" s="39">
        <v>26</v>
      </c>
      <c r="X24" s="22" t="s">
        <v>46</v>
      </c>
      <c r="Y24" s="39" t="s">
        <v>40</v>
      </c>
      <c r="Z24" s="39" t="s">
        <v>90</v>
      </c>
      <c r="AA24" s="39" t="s">
        <v>55</v>
      </c>
      <c r="AB24" s="22" t="s">
        <v>331</v>
      </c>
      <c r="AC24" s="56"/>
      <c r="AE24" s="46"/>
      <c r="AP24" s="51" t="s">
        <v>138</v>
      </c>
      <c r="AR24" s="47" t="s">
        <v>91</v>
      </c>
    </row>
    <row r="25" spans="1:48" x14ac:dyDescent="0.15">
      <c r="A25" s="22" t="s">
        <v>61</v>
      </c>
      <c r="B25" s="22" t="s">
        <v>384</v>
      </c>
      <c r="C25" s="22">
        <v>2020</v>
      </c>
      <c r="D25" s="116" t="s">
        <v>385</v>
      </c>
      <c r="E25" s="22" t="s">
        <v>388</v>
      </c>
      <c r="F25" s="22" t="s">
        <v>325</v>
      </c>
      <c r="G25" s="22" t="s">
        <v>36</v>
      </c>
      <c r="H25" s="39" t="s">
        <v>146</v>
      </c>
      <c r="I25" s="39" t="s">
        <v>142</v>
      </c>
      <c r="J25" s="22" t="s">
        <v>38</v>
      </c>
      <c r="K25" s="39" t="s">
        <v>143</v>
      </c>
      <c r="L25" s="39">
        <v>3</v>
      </c>
      <c r="N25" s="39">
        <v>3</v>
      </c>
      <c r="O25" s="39">
        <v>0.85</v>
      </c>
      <c r="P25" s="56">
        <v>0.95</v>
      </c>
      <c r="Q25" s="61">
        <f t="shared" si="0"/>
        <v>0.89999999999999991</v>
      </c>
      <c r="R25" s="39">
        <v>16.399999999999999</v>
      </c>
      <c r="S25" s="39">
        <v>154</v>
      </c>
      <c r="T25" s="45">
        <f t="shared" si="1"/>
        <v>18</v>
      </c>
      <c r="U25" s="39">
        <v>429</v>
      </c>
      <c r="V25" s="117">
        <f t="shared" si="2"/>
        <v>2574</v>
      </c>
      <c r="W25" s="39">
        <v>26</v>
      </c>
      <c r="X25" s="22" t="s">
        <v>46</v>
      </c>
      <c r="Y25" s="39" t="s">
        <v>40</v>
      </c>
      <c r="Z25" s="39" t="s">
        <v>90</v>
      </c>
      <c r="AA25" s="39" t="s">
        <v>55</v>
      </c>
      <c r="AB25" s="22" t="s">
        <v>331</v>
      </c>
      <c r="AC25" s="56"/>
      <c r="AE25" s="57"/>
      <c r="AP25" s="51" t="s">
        <v>116</v>
      </c>
      <c r="AR25" s="51" t="s">
        <v>92</v>
      </c>
    </row>
    <row r="26" spans="1:48" x14ac:dyDescent="0.15">
      <c r="A26" s="22" t="s">
        <v>61</v>
      </c>
      <c r="B26" s="22" t="s">
        <v>384</v>
      </c>
      <c r="C26" s="22">
        <v>2020</v>
      </c>
      <c r="D26" s="116" t="s">
        <v>385</v>
      </c>
      <c r="E26" s="22" t="s">
        <v>388</v>
      </c>
      <c r="F26" s="22" t="s">
        <v>325</v>
      </c>
      <c r="G26" s="22" t="s">
        <v>36</v>
      </c>
      <c r="H26" s="39" t="s">
        <v>146</v>
      </c>
      <c r="I26" s="39" t="s">
        <v>142</v>
      </c>
      <c r="J26" s="22" t="s">
        <v>38</v>
      </c>
      <c r="K26" s="39" t="s">
        <v>143</v>
      </c>
      <c r="L26" s="39">
        <v>1</v>
      </c>
      <c r="N26" s="39">
        <v>10</v>
      </c>
      <c r="O26" s="39">
        <v>0.65</v>
      </c>
      <c r="P26" s="56">
        <v>0.6</v>
      </c>
      <c r="Q26" s="61">
        <f t="shared" si="0"/>
        <v>0.625</v>
      </c>
      <c r="R26" s="39">
        <v>16</v>
      </c>
      <c r="S26" s="39">
        <v>104</v>
      </c>
      <c r="T26" s="45">
        <f t="shared" si="1"/>
        <v>33</v>
      </c>
      <c r="U26" s="39">
        <v>1058</v>
      </c>
      <c r="V26" s="117">
        <f t="shared" si="2"/>
        <v>3491.4</v>
      </c>
      <c r="W26" s="39">
        <v>26</v>
      </c>
      <c r="X26" s="22" t="s">
        <v>46</v>
      </c>
      <c r="Y26" s="39" t="s">
        <v>40</v>
      </c>
      <c r="Z26" s="39" t="s">
        <v>90</v>
      </c>
      <c r="AA26" s="39" t="s">
        <v>55</v>
      </c>
      <c r="AB26" s="22" t="s">
        <v>331</v>
      </c>
      <c r="AC26" s="56"/>
      <c r="AD26" s="56"/>
      <c r="AE26" s="57"/>
      <c r="AP26" s="51" t="s">
        <v>117</v>
      </c>
      <c r="AR26" s="47" t="s">
        <v>257</v>
      </c>
    </row>
    <row r="27" spans="1:48" x14ac:dyDescent="0.15">
      <c r="A27" s="22" t="s">
        <v>61</v>
      </c>
      <c r="B27" s="22" t="s">
        <v>384</v>
      </c>
      <c r="C27" s="22">
        <v>2020</v>
      </c>
      <c r="D27" s="116" t="s">
        <v>385</v>
      </c>
      <c r="E27" s="22" t="s">
        <v>388</v>
      </c>
      <c r="F27" s="22" t="s">
        <v>325</v>
      </c>
      <c r="G27" s="22" t="s">
        <v>36</v>
      </c>
      <c r="H27" s="39" t="s">
        <v>146</v>
      </c>
      <c r="I27" s="39" t="s">
        <v>142</v>
      </c>
      <c r="J27" s="22" t="s">
        <v>38</v>
      </c>
      <c r="K27" s="39" t="s">
        <v>143</v>
      </c>
      <c r="L27" s="39">
        <v>2</v>
      </c>
      <c r="N27" s="39">
        <v>10</v>
      </c>
      <c r="O27" s="39">
        <v>0.95</v>
      </c>
      <c r="P27" s="39">
        <v>2</v>
      </c>
      <c r="Q27" s="61">
        <f t="shared" si="0"/>
        <v>1.4750000000000001</v>
      </c>
      <c r="R27" s="39">
        <v>15.1</v>
      </c>
      <c r="S27" s="39">
        <v>107</v>
      </c>
      <c r="T27" s="45">
        <f t="shared" si="1"/>
        <v>33</v>
      </c>
      <c r="U27" s="39">
        <v>1058</v>
      </c>
      <c r="V27" s="117">
        <f t="shared" si="2"/>
        <v>3491.4</v>
      </c>
      <c r="W27" s="39">
        <v>26</v>
      </c>
      <c r="X27" s="22" t="s">
        <v>46</v>
      </c>
      <c r="Y27" s="39" t="s">
        <v>40</v>
      </c>
      <c r="Z27" s="39" t="s">
        <v>90</v>
      </c>
      <c r="AA27" s="39" t="s">
        <v>55</v>
      </c>
      <c r="AB27" s="22" t="s">
        <v>331</v>
      </c>
      <c r="AC27" s="56"/>
      <c r="AD27" s="56"/>
      <c r="AE27" s="52"/>
      <c r="AP27" s="51" t="s">
        <v>118</v>
      </c>
      <c r="AR27" s="47" t="s">
        <v>254</v>
      </c>
    </row>
    <row r="28" spans="1:48" x14ac:dyDescent="0.15">
      <c r="A28" s="22" t="s">
        <v>61</v>
      </c>
      <c r="B28" s="22" t="s">
        <v>384</v>
      </c>
      <c r="C28" s="22">
        <v>2020</v>
      </c>
      <c r="D28" s="116" t="s">
        <v>385</v>
      </c>
      <c r="E28" s="22" t="s">
        <v>388</v>
      </c>
      <c r="F28" s="22" t="s">
        <v>325</v>
      </c>
      <c r="G28" s="22" t="s">
        <v>36</v>
      </c>
      <c r="H28" s="39" t="s">
        <v>146</v>
      </c>
      <c r="I28" s="39" t="s">
        <v>142</v>
      </c>
      <c r="J28" s="22" t="s">
        <v>38</v>
      </c>
      <c r="K28" s="39" t="s">
        <v>143</v>
      </c>
      <c r="L28" s="39">
        <v>3</v>
      </c>
      <c r="N28" s="39">
        <v>10</v>
      </c>
      <c r="O28" s="39">
        <v>0.65</v>
      </c>
      <c r="P28" s="56">
        <v>0.7</v>
      </c>
      <c r="Q28" s="61">
        <f t="shared" si="0"/>
        <v>0.67500000000000004</v>
      </c>
      <c r="R28" s="39">
        <v>15.9</v>
      </c>
      <c r="S28" s="39">
        <v>110</v>
      </c>
      <c r="T28" s="45">
        <f t="shared" si="1"/>
        <v>33</v>
      </c>
      <c r="U28" s="39">
        <v>1058</v>
      </c>
      <c r="V28" s="117">
        <f t="shared" si="2"/>
        <v>3491.4</v>
      </c>
      <c r="W28" s="39">
        <v>26</v>
      </c>
      <c r="X28" s="22" t="s">
        <v>46</v>
      </c>
      <c r="Y28" s="39" t="s">
        <v>40</v>
      </c>
      <c r="Z28" s="39" t="s">
        <v>90</v>
      </c>
      <c r="AA28" s="39" t="s">
        <v>55</v>
      </c>
      <c r="AB28" s="22" t="s">
        <v>331</v>
      </c>
      <c r="AC28" s="56"/>
      <c r="AD28" s="56"/>
      <c r="AP28" s="51"/>
      <c r="AR28" s="47"/>
    </row>
    <row r="29" spans="1:48" x14ac:dyDescent="0.15">
      <c r="A29" s="22" t="s">
        <v>61</v>
      </c>
      <c r="B29" s="22" t="s">
        <v>384</v>
      </c>
      <c r="C29" s="22">
        <v>2020</v>
      </c>
      <c r="D29" s="116" t="s">
        <v>385</v>
      </c>
      <c r="E29" s="22" t="s">
        <v>388</v>
      </c>
      <c r="F29" s="22" t="s">
        <v>325</v>
      </c>
      <c r="G29" s="22" t="s">
        <v>36</v>
      </c>
      <c r="H29" s="39" t="s">
        <v>146</v>
      </c>
      <c r="I29" s="39" t="s">
        <v>142</v>
      </c>
      <c r="J29" s="22" t="s">
        <v>38</v>
      </c>
      <c r="K29" s="39" t="s">
        <v>143</v>
      </c>
      <c r="L29" s="39">
        <v>1</v>
      </c>
      <c r="N29" s="39">
        <v>4</v>
      </c>
      <c r="O29" s="39">
        <v>0.65</v>
      </c>
      <c r="P29" s="39">
        <v>0.8</v>
      </c>
      <c r="Q29" s="61">
        <f t="shared" si="0"/>
        <v>0.72500000000000009</v>
      </c>
      <c r="R29" s="39">
        <v>14.8</v>
      </c>
      <c r="S29" s="39">
        <v>99</v>
      </c>
      <c r="T29" s="45">
        <f t="shared" si="1"/>
        <v>33</v>
      </c>
      <c r="U29" s="39">
        <v>537</v>
      </c>
      <c r="V29" s="117">
        <f t="shared" si="2"/>
        <v>4430.25</v>
      </c>
      <c r="W29" s="39">
        <v>26</v>
      </c>
      <c r="X29" s="22" t="s">
        <v>46</v>
      </c>
      <c r="Y29" s="39" t="s">
        <v>40</v>
      </c>
      <c r="Z29" s="39" t="s">
        <v>90</v>
      </c>
      <c r="AA29" s="39" t="s">
        <v>55</v>
      </c>
      <c r="AB29" s="22" t="s">
        <v>331</v>
      </c>
      <c r="AC29" s="56"/>
    </row>
    <row r="30" spans="1:48" x14ac:dyDescent="0.15">
      <c r="A30" s="22" t="s">
        <v>61</v>
      </c>
      <c r="B30" s="22" t="s">
        <v>384</v>
      </c>
      <c r="C30" s="22">
        <v>2020</v>
      </c>
      <c r="D30" s="116" t="s">
        <v>385</v>
      </c>
      <c r="E30" s="22" t="s">
        <v>388</v>
      </c>
      <c r="F30" s="22" t="s">
        <v>325</v>
      </c>
      <c r="G30" s="22" t="s">
        <v>36</v>
      </c>
      <c r="H30" s="39" t="s">
        <v>146</v>
      </c>
      <c r="I30" s="39" t="s">
        <v>142</v>
      </c>
      <c r="J30" s="22" t="s">
        <v>38</v>
      </c>
      <c r="K30" s="39" t="s">
        <v>143</v>
      </c>
      <c r="L30" s="39">
        <v>2</v>
      </c>
      <c r="N30" s="39">
        <v>4</v>
      </c>
      <c r="O30" s="39">
        <v>2</v>
      </c>
      <c r="P30" s="39">
        <v>2</v>
      </c>
      <c r="Q30" s="61">
        <f t="shared" si="0"/>
        <v>2</v>
      </c>
      <c r="R30" s="39">
        <v>14.5</v>
      </c>
      <c r="S30" s="39">
        <v>104</v>
      </c>
      <c r="T30" s="45">
        <f t="shared" si="1"/>
        <v>33</v>
      </c>
      <c r="U30" s="39">
        <v>537</v>
      </c>
      <c r="V30" s="117">
        <f t="shared" si="2"/>
        <v>4430.25</v>
      </c>
      <c r="W30" s="39">
        <v>26</v>
      </c>
      <c r="X30" s="22" t="s">
        <v>46</v>
      </c>
      <c r="Y30" s="39" t="s">
        <v>40</v>
      </c>
      <c r="Z30" s="39" t="s">
        <v>90</v>
      </c>
      <c r="AA30" s="39" t="s">
        <v>55</v>
      </c>
      <c r="AB30" s="22" t="s">
        <v>331</v>
      </c>
      <c r="AC30" s="56"/>
    </row>
    <row r="31" spans="1:48" x14ac:dyDescent="0.15">
      <c r="A31" s="22" t="s">
        <v>61</v>
      </c>
      <c r="B31" s="22" t="s">
        <v>384</v>
      </c>
      <c r="C31" s="22">
        <v>2020</v>
      </c>
      <c r="D31" s="116" t="s">
        <v>385</v>
      </c>
      <c r="E31" s="22" t="s">
        <v>388</v>
      </c>
      <c r="F31" s="22" t="s">
        <v>325</v>
      </c>
      <c r="G31" s="22" t="s">
        <v>36</v>
      </c>
      <c r="H31" s="39" t="s">
        <v>146</v>
      </c>
      <c r="I31" s="39" t="s">
        <v>142</v>
      </c>
      <c r="J31" s="22" t="s">
        <v>38</v>
      </c>
      <c r="K31" s="39" t="s">
        <v>143</v>
      </c>
      <c r="L31" s="39">
        <v>3</v>
      </c>
      <c r="N31" s="39">
        <v>4</v>
      </c>
      <c r="O31" s="39">
        <v>0.7</v>
      </c>
      <c r="P31" s="39">
        <v>0.8</v>
      </c>
      <c r="Q31" s="61">
        <f t="shared" si="0"/>
        <v>0.75</v>
      </c>
      <c r="R31" s="39">
        <v>15.1</v>
      </c>
      <c r="S31" s="39">
        <v>101</v>
      </c>
      <c r="T31" s="45">
        <f t="shared" si="1"/>
        <v>33</v>
      </c>
      <c r="U31" s="39">
        <v>537</v>
      </c>
      <c r="V31" s="117">
        <f t="shared" si="2"/>
        <v>4430.25</v>
      </c>
      <c r="W31" s="39">
        <v>26</v>
      </c>
      <c r="X31" s="22" t="s">
        <v>46</v>
      </c>
      <c r="Y31" s="39" t="s">
        <v>40</v>
      </c>
      <c r="Z31" s="39" t="s">
        <v>90</v>
      </c>
      <c r="AA31" s="39" t="s">
        <v>55</v>
      </c>
      <c r="AB31" s="22" t="s">
        <v>331</v>
      </c>
      <c r="AC31" s="56"/>
    </row>
    <row r="32" spans="1:48" x14ac:dyDescent="0.15">
      <c r="A32" s="22" t="s">
        <v>61</v>
      </c>
      <c r="B32" s="22" t="s">
        <v>384</v>
      </c>
      <c r="C32" s="22">
        <v>2020</v>
      </c>
      <c r="D32" s="116" t="s">
        <v>385</v>
      </c>
      <c r="E32" s="22" t="s">
        <v>388</v>
      </c>
      <c r="F32" s="22" t="s">
        <v>325</v>
      </c>
      <c r="G32" s="22" t="s">
        <v>36</v>
      </c>
      <c r="H32" s="39" t="s">
        <v>127</v>
      </c>
      <c r="I32" s="39" t="s">
        <v>142</v>
      </c>
      <c r="J32" s="22" t="s">
        <v>212</v>
      </c>
      <c r="K32" s="39" t="s">
        <v>59</v>
      </c>
      <c r="L32" s="39">
        <v>1</v>
      </c>
      <c r="N32" s="39">
        <v>5</v>
      </c>
      <c r="O32" s="39">
        <v>0.6</v>
      </c>
      <c r="P32" s="39">
        <v>0.95</v>
      </c>
      <c r="Q32" s="61">
        <f t="shared" si="0"/>
        <v>0.77499999999999991</v>
      </c>
      <c r="R32" s="39">
        <v>12.9</v>
      </c>
      <c r="S32" s="39">
        <v>89</v>
      </c>
      <c r="T32" s="45">
        <f t="shared" si="1"/>
        <v>36</v>
      </c>
      <c r="U32" s="39">
        <v>429</v>
      </c>
      <c r="V32" s="117">
        <f t="shared" si="2"/>
        <v>3088.7999999999997</v>
      </c>
      <c r="W32" s="39">
        <v>26</v>
      </c>
      <c r="X32" s="22" t="s">
        <v>46</v>
      </c>
      <c r="Y32" s="39" t="s">
        <v>40</v>
      </c>
      <c r="Z32" s="39" t="s">
        <v>90</v>
      </c>
      <c r="AA32" s="39" t="s">
        <v>55</v>
      </c>
      <c r="AB32" s="22" t="s">
        <v>331</v>
      </c>
      <c r="AC32" s="56"/>
    </row>
    <row r="33" spans="1:29" x14ac:dyDescent="0.15">
      <c r="A33" s="22" t="s">
        <v>61</v>
      </c>
      <c r="B33" s="22" t="s">
        <v>384</v>
      </c>
      <c r="C33" s="22">
        <v>2020</v>
      </c>
      <c r="D33" s="116" t="s">
        <v>385</v>
      </c>
      <c r="E33" s="22" t="s">
        <v>388</v>
      </c>
      <c r="F33" s="22" t="s">
        <v>325</v>
      </c>
      <c r="G33" s="22" t="s">
        <v>36</v>
      </c>
      <c r="H33" s="39" t="s">
        <v>127</v>
      </c>
      <c r="I33" s="39" t="s">
        <v>142</v>
      </c>
      <c r="J33" s="22" t="s">
        <v>212</v>
      </c>
      <c r="K33" s="39" t="s">
        <v>59</v>
      </c>
      <c r="L33" s="39">
        <v>2</v>
      </c>
      <c r="N33" s="39">
        <v>5</v>
      </c>
      <c r="O33" s="39">
        <v>0.6</v>
      </c>
      <c r="P33" s="39">
        <v>0.75</v>
      </c>
      <c r="Q33" s="61">
        <f t="shared" si="0"/>
        <v>0.67500000000000004</v>
      </c>
      <c r="R33" s="39">
        <v>13.9</v>
      </c>
      <c r="S33" s="39">
        <v>94</v>
      </c>
      <c r="T33" s="45">
        <f t="shared" si="1"/>
        <v>36</v>
      </c>
      <c r="U33" s="39">
        <v>429</v>
      </c>
      <c r="V33" s="117">
        <f t="shared" si="2"/>
        <v>3088.7999999999997</v>
      </c>
      <c r="W33" s="39">
        <v>26</v>
      </c>
      <c r="X33" s="22" t="s">
        <v>46</v>
      </c>
      <c r="Y33" s="39" t="s">
        <v>40</v>
      </c>
      <c r="Z33" s="39" t="s">
        <v>90</v>
      </c>
      <c r="AA33" s="39" t="s">
        <v>55</v>
      </c>
      <c r="AB33" s="22" t="s">
        <v>331</v>
      </c>
      <c r="AC33" s="56"/>
    </row>
    <row r="34" spans="1:29" x14ac:dyDescent="0.15">
      <c r="A34" s="22" t="s">
        <v>61</v>
      </c>
      <c r="B34" s="22" t="s">
        <v>384</v>
      </c>
      <c r="C34" s="22">
        <v>2020</v>
      </c>
      <c r="D34" s="116" t="s">
        <v>385</v>
      </c>
      <c r="E34" s="22" t="s">
        <v>388</v>
      </c>
      <c r="F34" s="22" t="s">
        <v>325</v>
      </c>
      <c r="G34" s="22" t="s">
        <v>36</v>
      </c>
      <c r="H34" s="39" t="s">
        <v>127</v>
      </c>
      <c r="I34" s="39" t="s">
        <v>142</v>
      </c>
      <c r="J34" s="22" t="s">
        <v>212</v>
      </c>
      <c r="K34" s="39" t="s">
        <v>59</v>
      </c>
      <c r="L34" s="39">
        <v>3</v>
      </c>
      <c r="N34" s="39">
        <v>5</v>
      </c>
      <c r="O34" s="39">
        <v>0.65</v>
      </c>
      <c r="P34" s="39">
        <v>0.65</v>
      </c>
      <c r="Q34" s="61">
        <f t="shared" si="0"/>
        <v>0.65</v>
      </c>
      <c r="R34" s="39">
        <v>13.6</v>
      </c>
      <c r="S34" s="39">
        <v>100</v>
      </c>
      <c r="T34" s="45">
        <f t="shared" si="1"/>
        <v>33</v>
      </c>
      <c r="U34" s="39">
        <v>429</v>
      </c>
      <c r="V34" s="117">
        <f t="shared" si="2"/>
        <v>2831.4</v>
      </c>
      <c r="W34" s="39">
        <v>26</v>
      </c>
      <c r="X34" s="22" t="s">
        <v>46</v>
      </c>
      <c r="Y34" s="39" t="s">
        <v>40</v>
      </c>
      <c r="Z34" s="39" t="s">
        <v>90</v>
      </c>
      <c r="AA34" s="39" t="s">
        <v>55</v>
      </c>
      <c r="AB34" s="22" t="s">
        <v>331</v>
      </c>
      <c r="AC34" s="56"/>
    </row>
    <row r="35" spans="1:29" x14ac:dyDescent="0.15">
      <c r="A35" s="22" t="s">
        <v>61</v>
      </c>
      <c r="B35" s="22" t="s">
        <v>384</v>
      </c>
      <c r="C35" s="22">
        <v>2020</v>
      </c>
      <c r="D35" s="116" t="s">
        <v>385</v>
      </c>
      <c r="E35" s="22" t="s">
        <v>388</v>
      </c>
      <c r="F35" s="22" t="s">
        <v>325</v>
      </c>
      <c r="G35" s="22" t="s">
        <v>36</v>
      </c>
      <c r="H35" s="39" t="s">
        <v>127</v>
      </c>
      <c r="I35" s="39" t="s">
        <v>142</v>
      </c>
      <c r="J35" s="22" t="s">
        <v>212</v>
      </c>
      <c r="K35" s="39" t="s">
        <v>59</v>
      </c>
      <c r="L35" s="39">
        <v>1</v>
      </c>
      <c r="N35" s="39">
        <v>1</v>
      </c>
      <c r="O35" s="39">
        <v>0.6</v>
      </c>
      <c r="P35" s="39">
        <v>0.6</v>
      </c>
      <c r="Q35" s="61">
        <f t="shared" si="0"/>
        <v>0.6</v>
      </c>
      <c r="R35" s="39">
        <v>14.2</v>
      </c>
      <c r="S35" s="39">
        <v>106</v>
      </c>
      <c r="T35" s="45">
        <f t="shared" si="1"/>
        <v>33</v>
      </c>
      <c r="U35" s="39">
        <v>138</v>
      </c>
      <c r="V35" s="117">
        <f t="shared" si="2"/>
        <v>4554</v>
      </c>
      <c r="W35" s="39">
        <v>26</v>
      </c>
      <c r="X35" s="22" t="s">
        <v>46</v>
      </c>
      <c r="Y35" s="39" t="s">
        <v>40</v>
      </c>
      <c r="Z35" s="39" t="s">
        <v>90</v>
      </c>
      <c r="AA35" s="39" t="s">
        <v>55</v>
      </c>
      <c r="AB35" s="22" t="s">
        <v>331</v>
      </c>
      <c r="AC35" s="56"/>
    </row>
    <row r="36" spans="1:29" x14ac:dyDescent="0.15">
      <c r="A36" s="22" t="s">
        <v>61</v>
      </c>
      <c r="B36" s="22" t="s">
        <v>384</v>
      </c>
      <c r="C36" s="22">
        <v>2020</v>
      </c>
      <c r="D36" s="116" t="s">
        <v>385</v>
      </c>
      <c r="E36" s="22" t="s">
        <v>388</v>
      </c>
      <c r="F36" s="22" t="s">
        <v>325</v>
      </c>
      <c r="G36" s="22" t="s">
        <v>36</v>
      </c>
      <c r="H36" s="39" t="s">
        <v>127</v>
      </c>
      <c r="I36" s="39" t="s">
        <v>142</v>
      </c>
      <c r="J36" s="22" t="s">
        <v>212</v>
      </c>
      <c r="K36" s="39" t="s">
        <v>59</v>
      </c>
      <c r="L36" s="39">
        <v>2</v>
      </c>
      <c r="N36" s="39">
        <v>1</v>
      </c>
      <c r="O36" s="39">
        <v>0.6</v>
      </c>
      <c r="P36" s="39">
        <v>0.65</v>
      </c>
      <c r="Q36" s="61">
        <f t="shared" si="0"/>
        <v>0.625</v>
      </c>
      <c r="R36" s="39">
        <v>14.2</v>
      </c>
      <c r="S36" s="39">
        <v>107</v>
      </c>
      <c r="T36" s="45">
        <f t="shared" si="1"/>
        <v>33</v>
      </c>
      <c r="U36" s="39">
        <v>138</v>
      </c>
      <c r="V36" s="117">
        <f t="shared" si="2"/>
        <v>4554</v>
      </c>
      <c r="W36" s="39">
        <v>26</v>
      </c>
      <c r="X36" s="22" t="s">
        <v>46</v>
      </c>
      <c r="Y36" s="39" t="s">
        <v>40</v>
      </c>
      <c r="Z36" s="39" t="s">
        <v>90</v>
      </c>
      <c r="AA36" s="39" t="s">
        <v>55</v>
      </c>
      <c r="AB36" s="22" t="s">
        <v>331</v>
      </c>
      <c r="AC36" s="56"/>
    </row>
    <row r="37" spans="1:29" x14ac:dyDescent="0.15">
      <c r="A37" s="22" t="s">
        <v>61</v>
      </c>
      <c r="B37" s="22" t="s">
        <v>384</v>
      </c>
      <c r="C37" s="22">
        <v>2020</v>
      </c>
      <c r="D37" s="116" t="s">
        <v>385</v>
      </c>
      <c r="E37" s="22" t="s">
        <v>388</v>
      </c>
      <c r="F37" s="22" t="s">
        <v>325</v>
      </c>
      <c r="G37" s="22" t="s">
        <v>36</v>
      </c>
      <c r="H37" s="39" t="s">
        <v>127</v>
      </c>
      <c r="I37" s="39" t="s">
        <v>142</v>
      </c>
      <c r="J37" s="22" t="s">
        <v>212</v>
      </c>
      <c r="K37" s="39" t="s">
        <v>59</v>
      </c>
      <c r="L37" s="39">
        <v>3</v>
      </c>
      <c r="N37" s="39">
        <v>1</v>
      </c>
      <c r="O37" s="39">
        <v>0.6</v>
      </c>
      <c r="P37" s="39">
        <v>0.6</v>
      </c>
      <c r="Q37" s="61">
        <f t="shared" si="0"/>
        <v>0.6</v>
      </c>
      <c r="R37" s="39">
        <v>14.1</v>
      </c>
      <c r="S37" s="39">
        <v>109</v>
      </c>
      <c r="T37" s="45">
        <f t="shared" si="1"/>
        <v>33</v>
      </c>
      <c r="U37" s="39">
        <v>138</v>
      </c>
      <c r="V37" s="117">
        <f t="shared" si="2"/>
        <v>4554</v>
      </c>
      <c r="W37" s="39">
        <v>26</v>
      </c>
      <c r="X37" s="22" t="s">
        <v>46</v>
      </c>
      <c r="Y37" s="39" t="s">
        <v>40</v>
      </c>
      <c r="Z37" s="39" t="s">
        <v>90</v>
      </c>
      <c r="AA37" s="39" t="s">
        <v>55</v>
      </c>
      <c r="AB37" s="22" t="s">
        <v>331</v>
      </c>
      <c r="AC37" s="56"/>
    </row>
    <row r="38" spans="1:29" x14ac:dyDescent="0.15">
      <c r="A38" s="22" t="s">
        <v>61</v>
      </c>
      <c r="B38" s="22" t="s">
        <v>384</v>
      </c>
      <c r="C38" s="22">
        <v>2020</v>
      </c>
      <c r="D38" s="116" t="s">
        <v>385</v>
      </c>
      <c r="E38" s="22" t="s">
        <v>220</v>
      </c>
      <c r="F38" s="22" t="s">
        <v>221</v>
      </c>
      <c r="G38" s="22" t="s">
        <v>36</v>
      </c>
      <c r="H38" s="39" t="s">
        <v>146</v>
      </c>
      <c r="I38" s="39" t="s">
        <v>142</v>
      </c>
      <c r="J38" s="22" t="s">
        <v>38</v>
      </c>
      <c r="K38" s="39" t="s">
        <v>143</v>
      </c>
      <c r="L38" s="39">
        <v>1</v>
      </c>
      <c r="N38" s="39">
        <v>4</v>
      </c>
      <c r="O38" s="39">
        <v>2</v>
      </c>
      <c r="P38" s="39">
        <v>2</v>
      </c>
      <c r="Q38" s="61">
        <f t="shared" si="0"/>
        <v>2</v>
      </c>
      <c r="R38" s="39">
        <v>15.3</v>
      </c>
      <c r="S38" s="39">
        <v>112</v>
      </c>
      <c r="T38" s="45">
        <f t="shared" si="1"/>
        <v>33</v>
      </c>
      <c r="U38" s="39">
        <v>538</v>
      </c>
      <c r="V38" s="117">
        <f t="shared" si="2"/>
        <v>4438.5</v>
      </c>
      <c r="W38" s="39">
        <v>4</v>
      </c>
      <c r="X38" s="22" t="s">
        <v>46</v>
      </c>
      <c r="Y38" s="39" t="s">
        <v>47</v>
      </c>
      <c r="Z38" s="39" t="s">
        <v>90</v>
      </c>
      <c r="AA38" s="39" t="s">
        <v>69</v>
      </c>
      <c r="AB38" s="22" t="s">
        <v>331</v>
      </c>
      <c r="AC38" s="56"/>
    </row>
    <row r="39" spans="1:29" x14ac:dyDescent="0.15">
      <c r="A39" s="22" t="s">
        <v>61</v>
      </c>
      <c r="B39" s="22" t="s">
        <v>384</v>
      </c>
      <c r="C39" s="22">
        <v>2020</v>
      </c>
      <c r="D39" s="116" t="s">
        <v>385</v>
      </c>
      <c r="E39" s="22" t="s">
        <v>220</v>
      </c>
      <c r="F39" s="22" t="s">
        <v>221</v>
      </c>
      <c r="G39" s="22" t="s">
        <v>36</v>
      </c>
      <c r="H39" s="39" t="s">
        <v>146</v>
      </c>
      <c r="I39" s="39" t="s">
        <v>142</v>
      </c>
      <c r="J39" s="22" t="s">
        <v>38</v>
      </c>
      <c r="K39" s="39" t="s">
        <v>143</v>
      </c>
      <c r="L39" s="39">
        <v>2</v>
      </c>
      <c r="N39" s="39">
        <v>4</v>
      </c>
      <c r="O39" s="39">
        <v>0.75</v>
      </c>
      <c r="P39" s="39">
        <v>0.65</v>
      </c>
      <c r="Q39" s="61">
        <f t="shared" si="0"/>
        <v>0.7</v>
      </c>
      <c r="R39" s="39">
        <v>18.899999999999999</v>
      </c>
      <c r="S39" s="39">
        <v>110</v>
      </c>
      <c r="T39" s="45">
        <f t="shared" si="1"/>
        <v>33</v>
      </c>
      <c r="U39" s="39">
        <v>538</v>
      </c>
      <c r="V39" s="117">
        <f t="shared" si="2"/>
        <v>4438.5</v>
      </c>
      <c r="W39" s="39">
        <v>4</v>
      </c>
      <c r="X39" s="22" t="s">
        <v>46</v>
      </c>
      <c r="Y39" s="39" t="s">
        <v>47</v>
      </c>
      <c r="Z39" s="39" t="s">
        <v>90</v>
      </c>
      <c r="AA39" s="39" t="s">
        <v>69</v>
      </c>
      <c r="AB39" s="22" t="s">
        <v>331</v>
      </c>
      <c r="AC39" s="56"/>
    </row>
    <row r="40" spans="1:29" x14ac:dyDescent="0.15">
      <c r="A40" s="22" t="s">
        <v>61</v>
      </c>
      <c r="B40" s="22" t="s">
        <v>384</v>
      </c>
      <c r="C40" s="22">
        <v>2020</v>
      </c>
      <c r="D40" s="116" t="s">
        <v>385</v>
      </c>
      <c r="E40" s="22" t="s">
        <v>220</v>
      </c>
      <c r="F40" s="22" t="s">
        <v>221</v>
      </c>
      <c r="G40" s="22" t="s">
        <v>36</v>
      </c>
      <c r="H40" s="39" t="s">
        <v>146</v>
      </c>
      <c r="I40" s="39" t="s">
        <v>142</v>
      </c>
      <c r="J40" s="22" t="s">
        <v>38</v>
      </c>
      <c r="K40" s="39" t="s">
        <v>143</v>
      </c>
      <c r="L40" s="39">
        <v>3</v>
      </c>
      <c r="N40" s="39">
        <v>4</v>
      </c>
      <c r="O40" s="39">
        <v>0.75</v>
      </c>
      <c r="P40" s="39">
        <v>0.85</v>
      </c>
      <c r="Q40" s="61">
        <f t="shared" si="0"/>
        <v>0.8</v>
      </c>
      <c r="R40" s="39">
        <v>16.7</v>
      </c>
      <c r="S40" s="39">
        <v>109</v>
      </c>
      <c r="T40" s="45">
        <f t="shared" si="1"/>
        <v>33</v>
      </c>
      <c r="U40" s="39">
        <v>538</v>
      </c>
      <c r="V40" s="117">
        <f t="shared" si="2"/>
        <v>4438.5</v>
      </c>
      <c r="W40" s="39">
        <v>4</v>
      </c>
      <c r="X40" s="22" t="s">
        <v>46</v>
      </c>
      <c r="Y40" s="39" t="s">
        <v>47</v>
      </c>
      <c r="Z40" s="39" t="s">
        <v>90</v>
      </c>
      <c r="AA40" s="39" t="s">
        <v>69</v>
      </c>
      <c r="AB40" s="22" t="s">
        <v>331</v>
      </c>
      <c r="AC40" s="56"/>
    </row>
    <row r="41" spans="1:29" x14ac:dyDescent="0.15">
      <c r="A41" s="22" t="s">
        <v>61</v>
      </c>
      <c r="B41" s="22" t="s">
        <v>384</v>
      </c>
      <c r="C41" s="22">
        <v>2020</v>
      </c>
      <c r="D41" s="116" t="s">
        <v>385</v>
      </c>
      <c r="E41" s="22" t="s">
        <v>220</v>
      </c>
      <c r="F41" s="22" t="s">
        <v>221</v>
      </c>
      <c r="G41" s="22" t="s">
        <v>36</v>
      </c>
      <c r="H41" s="39" t="s">
        <v>146</v>
      </c>
      <c r="I41" s="39" t="s">
        <v>142</v>
      </c>
      <c r="J41" s="22" t="s">
        <v>38</v>
      </c>
      <c r="K41" s="39" t="s">
        <v>143</v>
      </c>
      <c r="L41" s="39">
        <v>1</v>
      </c>
      <c r="N41" s="39">
        <v>1</v>
      </c>
      <c r="O41" s="39">
        <v>0.65</v>
      </c>
      <c r="P41" s="39">
        <v>0.7</v>
      </c>
      <c r="Q41" s="61">
        <f t="shared" si="0"/>
        <v>0.67500000000000004</v>
      </c>
      <c r="R41" s="39">
        <v>18.8</v>
      </c>
      <c r="S41" s="39">
        <v>137</v>
      </c>
      <c r="T41" s="45">
        <f t="shared" si="1"/>
        <v>25</v>
      </c>
      <c r="U41" s="39">
        <v>138</v>
      </c>
      <c r="V41" s="117">
        <f t="shared" si="2"/>
        <v>3450</v>
      </c>
      <c r="W41" s="39">
        <v>4</v>
      </c>
      <c r="X41" s="22" t="s">
        <v>46</v>
      </c>
      <c r="Y41" s="39" t="s">
        <v>47</v>
      </c>
      <c r="Z41" s="39" t="s">
        <v>90</v>
      </c>
      <c r="AA41" s="39" t="s">
        <v>69</v>
      </c>
      <c r="AB41" s="22" t="s">
        <v>331</v>
      </c>
      <c r="AC41" s="56"/>
    </row>
    <row r="42" spans="1:29" x14ac:dyDescent="0.15">
      <c r="A42" s="22" t="s">
        <v>61</v>
      </c>
      <c r="B42" s="22" t="s">
        <v>384</v>
      </c>
      <c r="C42" s="22">
        <v>2020</v>
      </c>
      <c r="D42" s="116" t="s">
        <v>385</v>
      </c>
      <c r="E42" s="22" t="s">
        <v>220</v>
      </c>
      <c r="F42" s="22" t="s">
        <v>221</v>
      </c>
      <c r="G42" s="22" t="s">
        <v>36</v>
      </c>
      <c r="H42" s="39" t="s">
        <v>146</v>
      </c>
      <c r="I42" s="39" t="s">
        <v>142</v>
      </c>
      <c r="J42" s="22" t="s">
        <v>38</v>
      </c>
      <c r="K42" s="39" t="s">
        <v>143</v>
      </c>
      <c r="L42" s="39">
        <v>2</v>
      </c>
      <c r="N42" s="39">
        <v>1</v>
      </c>
      <c r="O42" s="39">
        <v>0.6</v>
      </c>
      <c r="P42" s="39">
        <v>0.6</v>
      </c>
      <c r="Q42" s="61">
        <f t="shared" si="0"/>
        <v>0.6</v>
      </c>
      <c r="R42" s="39">
        <v>18.600000000000001</v>
      </c>
      <c r="S42" s="39">
        <v>140</v>
      </c>
      <c r="T42" s="45">
        <f t="shared" si="1"/>
        <v>22</v>
      </c>
      <c r="U42" s="39">
        <v>138</v>
      </c>
      <c r="V42" s="117">
        <f t="shared" si="2"/>
        <v>3036</v>
      </c>
      <c r="W42" s="39">
        <v>4</v>
      </c>
      <c r="X42" s="22" t="s">
        <v>46</v>
      </c>
      <c r="Y42" s="39" t="s">
        <v>47</v>
      </c>
      <c r="Z42" s="39" t="s">
        <v>90</v>
      </c>
      <c r="AA42" s="39" t="s">
        <v>69</v>
      </c>
      <c r="AB42" s="22" t="s">
        <v>331</v>
      </c>
      <c r="AC42" s="56"/>
    </row>
    <row r="43" spans="1:29" x14ac:dyDescent="0.15">
      <c r="A43" s="22" t="s">
        <v>61</v>
      </c>
      <c r="B43" s="22" t="s">
        <v>384</v>
      </c>
      <c r="C43" s="22">
        <v>2020</v>
      </c>
      <c r="D43" s="116" t="s">
        <v>385</v>
      </c>
      <c r="E43" s="22" t="s">
        <v>220</v>
      </c>
      <c r="F43" s="22" t="s">
        <v>221</v>
      </c>
      <c r="G43" s="22" t="s">
        <v>36</v>
      </c>
      <c r="H43" s="39" t="s">
        <v>146</v>
      </c>
      <c r="I43" s="39" t="s">
        <v>142</v>
      </c>
      <c r="J43" s="22" t="s">
        <v>38</v>
      </c>
      <c r="K43" s="39" t="s">
        <v>143</v>
      </c>
      <c r="L43" s="39">
        <v>3</v>
      </c>
      <c r="N43" s="39">
        <v>1</v>
      </c>
      <c r="O43" s="39">
        <v>0.75</v>
      </c>
      <c r="P43" s="39">
        <v>0.75</v>
      </c>
      <c r="Q43" s="61">
        <f t="shared" si="0"/>
        <v>0.75</v>
      </c>
      <c r="R43" s="39">
        <v>16.7</v>
      </c>
      <c r="S43" s="39">
        <v>127</v>
      </c>
      <c r="T43" s="45">
        <f t="shared" si="1"/>
        <v>27</v>
      </c>
      <c r="U43" s="39">
        <v>138</v>
      </c>
      <c r="V43" s="117">
        <f t="shared" si="2"/>
        <v>3726</v>
      </c>
      <c r="W43" s="39">
        <v>4</v>
      </c>
      <c r="X43" s="22" t="s">
        <v>46</v>
      </c>
      <c r="Y43" s="39" t="s">
        <v>47</v>
      </c>
      <c r="Z43" s="39" t="s">
        <v>90</v>
      </c>
      <c r="AA43" s="39" t="s">
        <v>69</v>
      </c>
      <c r="AB43" s="22" t="s">
        <v>331</v>
      </c>
      <c r="AC43" s="56"/>
    </row>
    <row r="44" spans="1:29" x14ac:dyDescent="0.15">
      <c r="A44" s="22" t="s">
        <v>61</v>
      </c>
      <c r="B44" s="22" t="s">
        <v>384</v>
      </c>
      <c r="C44" s="22">
        <v>2020</v>
      </c>
      <c r="D44" s="116" t="s">
        <v>385</v>
      </c>
      <c r="E44" s="22" t="s">
        <v>282</v>
      </c>
      <c r="F44" s="22" t="s">
        <v>221</v>
      </c>
      <c r="G44" s="22" t="s">
        <v>36</v>
      </c>
      <c r="H44" s="39" t="s">
        <v>146</v>
      </c>
      <c r="I44" s="39" t="s">
        <v>142</v>
      </c>
      <c r="J44" s="22" t="s">
        <v>38</v>
      </c>
      <c r="K44" s="39" t="s">
        <v>143</v>
      </c>
      <c r="L44" s="39">
        <v>1</v>
      </c>
      <c r="N44" s="39">
        <v>8</v>
      </c>
      <c r="O44" s="39">
        <v>0.6</v>
      </c>
      <c r="P44" s="39">
        <v>0.6</v>
      </c>
      <c r="Q44" s="61">
        <f t="shared" si="0"/>
        <v>0.6</v>
      </c>
      <c r="R44" s="39">
        <v>16.2</v>
      </c>
      <c r="S44" s="39">
        <v>90</v>
      </c>
      <c r="T44" s="45">
        <f t="shared" si="1"/>
        <v>36</v>
      </c>
      <c r="U44" s="39">
        <v>950</v>
      </c>
      <c r="V44" s="117">
        <f t="shared" si="2"/>
        <v>4275</v>
      </c>
      <c r="W44" s="39">
        <v>11</v>
      </c>
      <c r="X44" s="22" t="s">
        <v>46</v>
      </c>
      <c r="Y44" s="39" t="s">
        <v>69</v>
      </c>
      <c r="Z44" s="39" t="s">
        <v>55</v>
      </c>
      <c r="AA44" s="39" t="s">
        <v>78</v>
      </c>
      <c r="AB44" s="22" t="s">
        <v>331</v>
      </c>
    </row>
    <row r="45" spans="1:29" x14ac:dyDescent="0.15">
      <c r="A45" s="22" t="s">
        <v>61</v>
      </c>
      <c r="B45" s="22" t="s">
        <v>384</v>
      </c>
      <c r="C45" s="22">
        <v>2020</v>
      </c>
      <c r="D45" s="116" t="s">
        <v>385</v>
      </c>
      <c r="E45" s="22" t="s">
        <v>282</v>
      </c>
      <c r="F45" s="22" t="s">
        <v>221</v>
      </c>
      <c r="G45" s="22" t="s">
        <v>36</v>
      </c>
      <c r="H45" s="39" t="s">
        <v>146</v>
      </c>
      <c r="I45" s="39" t="s">
        <v>142</v>
      </c>
      <c r="J45" s="22" t="s">
        <v>38</v>
      </c>
      <c r="K45" s="39" t="s">
        <v>143</v>
      </c>
      <c r="L45" s="39">
        <v>2</v>
      </c>
      <c r="N45" s="39">
        <v>8</v>
      </c>
      <c r="O45" s="39">
        <v>0.6</v>
      </c>
      <c r="P45" s="39">
        <v>0.6</v>
      </c>
      <c r="Q45" s="61">
        <f t="shared" si="0"/>
        <v>0.6</v>
      </c>
      <c r="R45" s="39">
        <v>16.100000000000001</v>
      </c>
      <c r="S45" s="39">
        <v>94</v>
      </c>
      <c r="T45" s="45">
        <f t="shared" si="1"/>
        <v>36</v>
      </c>
      <c r="U45" s="39">
        <v>950</v>
      </c>
      <c r="V45" s="117">
        <f t="shared" si="2"/>
        <v>4275</v>
      </c>
      <c r="W45" s="39">
        <v>11</v>
      </c>
      <c r="X45" s="22" t="s">
        <v>46</v>
      </c>
      <c r="Y45" s="39" t="s">
        <v>69</v>
      </c>
      <c r="Z45" s="39" t="s">
        <v>55</v>
      </c>
      <c r="AA45" s="39" t="s">
        <v>78</v>
      </c>
      <c r="AB45" s="22" t="s">
        <v>331</v>
      </c>
    </row>
    <row r="46" spans="1:29" x14ac:dyDescent="0.15">
      <c r="A46" s="22" t="s">
        <v>61</v>
      </c>
      <c r="B46" s="22" t="s">
        <v>384</v>
      </c>
      <c r="C46" s="22">
        <v>2020</v>
      </c>
      <c r="D46" s="116" t="s">
        <v>385</v>
      </c>
      <c r="E46" s="22" t="s">
        <v>282</v>
      </c>
      <c r="F46" s="22" t="s">
        <v>221</v>
      </c>
      <c r="G46" s="22" t="s">
        <v>36</v>
      </c>
      <c r="H46" s="39" t="s">
        <v>146</v>
      </c>
      <c r="I46" s="39" t="s">
        <v>142</v>
      </c>
      <c r="J46" s="22" t="s">
        <v>38</v>
      </c>
      <c r="K46" s="39" t="s">
        <v>143</v>
      </c>
      <c r="L46" s="39">
        <v>3</v>
      </c>
      <c r="N46" s="39">
        <v>8</v>
      </c>
      <c r="O46" s="39">
        <v>0.6</v>
      </c>
      <c r="P46" s="39">
        <v>0.6</v>
      </c>
      <c r="Q46" s="61">
        <f t="shared" si="0"/>
        <v>0.6</v>
      </c>
      <c r="R46" s="39">
        <v>15.3</v>
      </c>
      <c r="S46" s="39">
        <v>101</v>
      </c>
      <c r="T46" s="45">
        <f t="shared" si="1"/>
        <v>33</v>
      </c>
      <c r="U46" s="39">
        <v>950</v>
      </c>
      <c r="V46" s="117">
        <f t="shared" si="2"/>
        <v>3918.75</v>
      </c>
      <c r="W46" s="39">
        <v>11</v>
      </c>
      <c r="X46" s="22" t="s">
        <v>46</v>
      </c>
      <c r="Y46" s="39" t="s">
        <v>69</v>
      </c>
      <c r="Z46" s="39" t="s">
        <v>55</v>
      </c>
      <c r="AA46" s="39" t="s">
        <v>78</v>
      </c>
      <c r="AB46" s="22" t="s">
        <v>331</v>
      </c>
    </row>
    <row r="47" spans="1:29" x14ac:dyDescent="0.15">
      <c r="A47" s="22" t="s">
        <v>61</v>
      </c>
      <c r="B47" s="22" t="s">
        <v>384</v>
      </c>
      <c r="C47" s="22">
        <v>2020</v>
      </c>
      <c r="D47" s="116" t="s">
        <v>389</v>
      </c>
      <c r="E47" s="22" t="s">
        <v>282</v>
      </c>
      <c r="F47" s="22" t="s">
        <v>221</v>
      </c>
      <c r="G47" s="22" t="s">
        <v>36</v>
      </c>
      <c r="H47" s="39" t="s">
        <v>146</v>
      </c>
      <c r="I47" s="39" t="s">
        <v>142</v>
      </c>
      <c r="J47" s="22" t="s">
        <v>38</v>
      </c>
      <c r="K47" s="39" t="s">
        <v>143</v>
      </c>
      <c r="L47" s="39">
        <v>1</v>
      </c>
      <c r="N47" s="39">
        <v>1</v>
      </c>
      <c r="O47" s="39">
        <v>0.6</v>
      </c>
      <c r="P47" s="39">
        <v>0.6</v>
      </c>
      <c r="Q47" s="61">
        <f t="shared" si="0"/>
        <v>0.6</v>
      </c>
      <c r="R47" s="39">
        <v>15.2</v>
      </c>
      <c r="S47" s="39">
        <v>115</v>
      </c>
      <c r="T47" s="45">
        <f t="shared" si="1"/>
        <v>30</v>
      </c>
      <c r="U47" s="39">
        <v>116</v>
      </c>
      <c r="V47" s="117">
        <f t="shared" si="2"/>
        <v>3480</v>
      </c>
      <c r="W47" s="39">
        <v>11</v>
      </c>
      <c r="X47" s="22" t="s">
        <v>46</v>
      </c>
      <c r="Y47" s="39" t="s">
        <v>69</v>
      </c>
      <c r="Z47" s="39" t="s">
        <v>55</v>
      </c>
      <c r="AA47" s="39" t="s">
        <v>78</v>
      </c>
      <c r="AB47" s="22" t="s">
        <v>331</v>
      </c>
      <c r="AC47" s="56"/>
    </row>
    <row r="48" spans="1:29" x14ac:dyDescent="0.15">
      <c r="A48" s="22" t="s">
        <v>61</v>
      </c>
      <c r="B48" s="22" t="s">
        <v>384</v>
      </c>
      <c r="C48" s="22">
        <v>2020</v>
      </c>
      <c r="D48" s="116" t="s">
        <v>389</v>
      </c>
      <c r="E48" s="22" t="s">
        <v>282</v>
      </c>
      <c r="F48" s="22" t="s">
        <v>221</v>
      </c>
      <c r="G48" s="22" t="s">
        <v>36</v>
      </c>
      <c r="H48" s="39" t="s">
        <v>146</v>
      </c>
      <c r="I48" s="39" t="s">
        <v>142</v>
      </c>
      <c r="J48" s="22" t="s">
        <v>38</v>
      </c>
      <c r="K48" s="39" t="s">
        <v>143</v>
      </c>
      <c r="L48" s="39">
        <v>2</v>
      </c>
      <c r="N48" s="39">
        <v>1</v>
      </c>
      <c r="O48" s="39">
        <v>0.6</v>
      </c>
      <c r="P48" s="39">
        <v>0.6</v>
      </c>
      <c r="Q48" s="61">
        <f t="shared" si="0"/>
        <v>0.6</v>
      </c>
      <c r="R48" s="39">
        <v>18.7</v>
      </c>
      <c r="S48" s="39">
        <v>118</v>
      </c>
      <c r="T48" s="45">
        <f t="shared" si="1"/>
        <v>30</v>
      </c>
      <c r="U48" s="39">
        <v>116</v>
      </c>
      <c r="V48" s="117">
        <f t="shared" si="2"/>
        <v>3480</v>
      </c>
      <c r="W48" s="39">
        <v>11</v>
      </c>
      <c r="X48" s="22" t="s">
        <v>46</v>
      </c>
      <c r="Y48" s="39" t="s">
        <v>69</v>
      </c>
      <c r="Z48" s="39" t="s">
        <v>55</v>
      </c>
      <c r="AA48" s="39" t="s">
        <v>78</v>
      </c>
      <c r="AB48" s="22" t="s">
        <v>331</v>
      </c>
      <c r="AC48" s="56"/>
    </row>
    <row r="49" spans="1:29" x14ac:dyDescent="0.15">
      <c r="A49" s="22" t="s">
        <v>61</v>
      </c>
      <c r="B49" s="22" t="s">
        <v>384</v>
      </c>
      <c r="C49" s="22">
        <v>2020</v>
      </c>
      <c r="D49" s="116" t="s">
        <v>389</v>
      </c>
      <c r="E49" s="22" t="s">
        <v>282</v>
      </c>
      <c r="F49" s="22" t="s">
        <v>221</v>
      </c>
      <c r="G49" s="22" t="s">
        <v>36</v>
      </c>
      <c r="H49" s="39" t="s">
        <v>146</v>
      </c>
      <c r="I49" s="39" t="s">
        <v>142</v>
      </c>
      <c r="J49" s="22" t="s">
        <v>38</v>
      </c>
      <c r="K49" s="39" t="s">
        <v>143</v>
      </c>
      <c r="L49" s="39">
        <v>3</v>
      </c>
      <c r="N49" s="39">
        <v>1</v>
      </c>
      <c r="O49" s="39">
        <v>0.7</v>
      </c>
      <c r="P49" s="39">
        <v>0.6</v>
      </c>
      <c r="Q49" s="61">
        <f t="shared" si="0"/>
        <v>0.64999999999999991</v>
      </c>
      <c r="R49" s="39">
        <v>15.7</v>
      </c>
      <c r="S49" s="39">
        <v>118</v>
      </c>
      <c r="T49" s="45">
        <f t="shared" si="1"/>
        <v>30</v>
      </c>
      <c r="U49" s="39">
        <v>116</v>
      </c>
      <c r="V49" s="117">
        <f t="shared" si="2"/>
        <v>3480</v>
      </c>
      <c r="W49" s="39">
        <v>11</v>
      </c>
      <c r="X49" s="22" t="s">
        <v>46</v>
      </c>
      <c r="Y49" s="39" t="s">
        <v>69</v>
      </c>
      <c r="Z49" s="39" t="s">
        <v>55</v>
      </c>
      <c r="AA49" s="39" t="s">
        <v>78</v>
      </c>
      <c r="AB49" s="22" t="s">
        <v>331</v>
      </c>
      <c r="AC49" s="56"/>
    </row>
    <row r="50" spans="1:29" x14ac:dyDescent="0.15">
      <c r="A50" s="22" t="s">
        <v>61</v>
      </c>
      <c r="B50" s="22" t="s">
        <v>384</v>
      </c>
      <c r="C50" s="22">
        <v>2020</v>
      </c>
      <c r="D50" s="116" t="s">
        <v>389</v>
      </c>
      <c r="E50" s="22" t="s">
        <v>282</v>
      </c>
      <c r="F50" s="22" t="s">
        <v>221</v>
      </c>
      <c r="G50" s="22" t="s">
        <v>36</v>
      </c>
      <c r="H50" s="39" t="s">
        <v>127</v>
      </c>
      <c r="I50" s="39" t="s">
        <v>142</v>
      </c>
      <c r="J50" s="22" t="s">
        <v>53</v>
      </c>
      <c r="K50" s="39" t="s">
        <v>54</v>
      </c>
      <c r="L50" s="39">
        <v>1</v>
      </c>
      <c r="N50" s="39">
        <v>1</v>
      </c>
      <c r="O50" s="39">
        <v>0.75</v>
      </c>
      <c r="P50" s="39">
        <v>2</v>
      </c>
      <c r="Q50" s="61">
        <f t="shared" si="0"/>
        <v>1.375</v>
      </c>
      <c r="R50" s="39">
        <v>14.4</v>
      </c>
      <c r="S50" s="39">
        <v>104</v>
      </c>
      <c r="T50" s="45">
        <f t="shared" si="1"/>
        <v>33</v>
      </c>
      <c r="U50" s="39">
        <v>105</v>
      </c>
      <c r="V50" s="117">
        <f t="shared" si="2"/>
        <v>3465</v>
      </c>
      <c r="W50" s="39">
        <v>11</v>
      </c>
      <c r="X50" s="22" t="s">
        <v>46</v>
      </c>
      <c r="Y50" s="39" t="s">
        <v>69</v>
      </c>
      <c r="Z50" s="39" t="s">
        <v>55</v>
      </c>
      <c r="AA50" s="39" t="s">
        <v>78</v>
      </c>
      <c r="AB50" s="22" t="s">
        <v>331</v>
      </c>
      <c r="AC50" s="56"/>
    </row>
    <row r="51" spans="1:29" x14ac:dyDescent="0.15">
      <c r="A51" s="22" t="s">
        <v>61</v>
      </c>
      <c r="B51" s="22" t="s">
        <v>384</v>
      </c>
      <c r="C51" s="22">
        <v>2020</v>
      </c>
      <c r="D51" s="116" t="s">
        <v>389</v>
      </c>
      <c r="E51" s="22" t="s">
        <v>282</v>
      </c>
      <c r="F51" s="22" t="s">
        <v>221</v>
      </c>
      <c r="G51" s="22" t="s">
        <v>36</v>
      </c>
      <c r="H51" s="39" t="s">
        <v>127</v>
      </c>
      <c r="I51" s="39" t="s">
        <v>142</v>
      </c>
      <c r="J51" s="22" t="s">
        <v>53</v>
      </c>
      <c r="K51" s="39" t="s">
        <v>54</v>
      </c>
      <c r="L51" s="39">
        <v>2</v>
      </c>
      <c r="N51" s="39">
        <v>1</v>
      </c>
      <c r="O51" s="39">
        <v>2</v>
      </c>
      <c r="P51" s="39">
        <v>0.8</v>
      </c>
      <c r="Q51" s="61">
        <f t="shared" si="0"/>
        <v>1.4</v>
      </c>
      <c r="R51" s="39">
        <v>14.2</v>
      </c>
      <c r="S51" s="39">
        <v>94</v>
      </c>
      <c r="T51" s="45">
        <f t="shared" si="1"/>
        <v>36</v>
      </c>
      <c r="U51" s="39">
        <v>105</v>
      </c>
      <c r="V51" s="117">
        <f t="shared" si="2"/>
        <v>3780</v>
      </c>
      <c r="W51" s="39">
        <v>11</v>
      </c>
      <c r="X51" s="22" t="s">
        <v>46</v>
      </c>
      <c r="Y51" s="39" t="s">
        <v>69</v>
      </c>
      <c r="Z51" s="39" t="s">
        <v>55</v>
      </c>
      <c r="AA51" s="39" t="s">
        <v>78</v>
      </c>
      <c r="AB51" s="22" t="s">
        <v>331</v>
      </c>
      <c r="AC51" s="56"/>
    </row>
    <row r="52" spans="1:29" x14ac:dyDescent="0.15">
      <c r="A52" s="22" t="s">
        <v>61</v>
      </c>
      <c r="B52" s="22" t="s">
        <v>384</v>
      </c>
      <c r="C52" s="22">
        <v>2020</v>
      </c>
      <c r="D52" s="116" t="s">
        <v>389</v>
      </c>
      <c r="E52" s="22" t="s">
        <v>282</v>
      </c>
      <c r="F52" s="22" t="s">
        <v>221</v>
      </c>
      <c r="G52" s="22" t="s">
        <v>36</v>
      </c>
      <c r="H52" s="39" t="s">
        <v>127</v>
      </c>
      <c r="I52" s="39" t="s">
        <v>142</v>
      </c>
      <c r="J52" s="22" t="s">
        <v>53</v>
      </c>
      <c r="K52" s="39" t="s">
        <v>54</v>
      </c>
      <c r="L52" s="39">
        <v>3</v>
      </c>
      <c r="N52" s="39">
        <v>1</v>
      </c>
      <c r="O52" s="39">
        <v>0.75</v>
      </c>
      <c r="P52" s="39">
        <v>2</v>
      </c>
      <c r="Q52" s="61">
        <f t="shared" si="0"/>
        <v>1.375</v>
      </c>
      <c r="R52" s="39">
        <v>15</v>
      </c>
      <c r="S52" s="39">
        <v>113</v>
      </c>
      <c r="T52" s="45">
        <f t="shared" si="1"/>
        <v>30</v>
      </c>
      <c r="U52" s="39">
        <v>105</v>
      </c>
      <c r="V52" s="117">
        <f t="shared" si="2"/>
        <v>3150</v>
      </c>
      <c r="W52" s="39">
        <v>11</v>
      </c>
      <c r="X52" s="22" t="s">
        <v>46</v>
      </c>
      <c r="Y52" s="39" t="s">
        <v>69</v>
      </c>
      <c r="Z52" s="39" t="s">
        <v>55</v>
      </c>
      <c r="AA52" s="39" t="s">
        <v>78</v>
      </c>
      <c r="AB52" s="22" t="s">
        <v>331</v>
      </c>
      <c r="AC52" s="56"/>
    </row>
    <row r="53" spans="1:29" x14ac:dyDescent="0.15">
      <c r="A53" s="22" t="s">
        <v>61</v>
      </c>
      <c r="B53" s="22" t="s">
        <v>384</v>
      </c>
      <c r="C53" s="22">
        <v>2020</v>
      </c>
      <c r="D53" s="116" t="s">
        <v>389</v>
      </c>
      <c r="E53" s="22" t="s">
        <v>282</v>
      </c>
      <c r="F53" s="22" t="s">
        <v>221</v>
      </c>
      <c r="G53" s="22" t="s">
        <v>36</v>
      </c>
      <c r="H53" s="39" t="s">
        <v>127</v>
      </c>
      <c r="I53" s="39" t="s">
        <v>142</v>
      </c>
      <c r="J53" s="22" t="s">
        <v>80</v>
      </c>
      <c r="K53" s="39" t="s">
        <v>254</v>
      </c>
      <c r="L53" s="39">
        <v>1</v>
      </c>
      <c r="N53" s="39">
        <v>4</v>
      </c>
      <c r="O53" s="39">
        <v>0.6</v>
      </c>
      <c r="P53" s="39">
        <v>0.6</v>
      </c>
      <c r="Q53" s="61">
        <f t="shared" si="0"/>
        <v>0.6</v>
      </c>
      <c r="R53" s="39">
        <v>13.6</v>
      </c>
      <c r="S53" s="39">
        <v>102</v>
      </c>
      <c r="T53" s="45">
        <f t="shared" si="1"/>
        <v>33</v>
      </c>
      <c r="U53" s="39">
        <v>429</v>
      </c>
      <c r="V53" s="117">
        <f t="shared" si="2"/>
        <v>3539.25</v>
      </c>
      <c r="W53" s="39">
        <v>11</v>
      </c>
      <c r="X53" s="22" t="s">
        <v>46</v>
      </c>
      <c r="Y53" s="39" t="s">
        <v>69</v>
      </c>
      <c r="Z53" s="39" t="s">
        <v>55</v>
      </c>
      <c r="AA53" s="39" t="s">
        <v>78</v>
      </c>
      <c r="AB53" s="22" t="s">
        <v>331</v>
      </c>
      <c r="AC53" s="56"/>
    </row>
    <row r="54" spans="1:29" x14ac:dyDescent="0.15">
      <c r="A54" s="22" t="s">
        <v>61</v>
      </c>
      <c r="B54" s="22" t="s">
        <v>384</v>
      </c>
      <c r="C54" s="22">
        <v>2020</v>
      </c>
      <c r="D54" s="116" t="s">
        <v>389</v>
      </c>
      <c r="E54" s="22" t="s">
        <v>282</v>
      </c>
      <c r="F54" s="22" t="s">
        <v>221</v>
      </c>
      <c r="G54" s="22" t="s">
        <v>36</v>
      </c>
      <c r="H54" s="39" t="s">
        <v>127</v>
      </c>
      <c r="I54" s="39" t="s">
        <v>142</v>
      </c>
      <c r="J54" s="22" t="s">
        <v>80</v>
      </c>
      <c r="K54" s="39" t="s">
        <v>254</v>
      </c>
      <c r="L54" s="39">
        <v>2</v>
      </c>
      <c r="N54" s="39">
        <v>4</v>
      </c>
      <c r="O54" s="39">
        <v>0.6</v>
      </c>
      <c r="P54" s="39">
        <v>0.6</v>
      </c>
      <c r="Q54" s="61">
        <f t="shared" si="0"/>
        <v>0.6</v>
      </c>
      <c r="R54" s="39">
        <v>12.1</v>
      </c>
      <c r="S54" s="39">
        <v>101</v>
      </c>
      <c r="T54" s="45">
        <f t="shared" si="1"/>
        <v>33</v>
      </c>
      <c r="U54" s="39">
        <v>429</v>
      </c>
      <c r="V54" s="117">
        <f t="shared" si="2"/>
        <v>3539.25</v>
      </c>
      <c r="W54" s="39">
        <v>11</v>
      </c>
      <c r="X54" s="22" t="s">
        <v>46</v>
      </c>
      <c r="Y54" s="39" t="s">
        <v>69</v>
      </c>
      <c r="Z54" s="39" t="s">
        <v>55</v>
      </c>
      <c r="AA54" s="39" t="s">
        <v>78</v>
      </c>
      <c r="AB54" s="22" t="s">
        <v>331</v>
      </c>
      <c r="AC54" s="56"/>
    </row>
    <row r="55" spans="1:29" x14ac:dyDescent="0.15">
      <c r="A55" s="22" t="s">
        <v>61</v>
      </c>
      <c r="B55" s="22" t="s">
        <v>384</v>
      </c>
      <c r="C55" s="22">
        <v>2020</v>
      </c>
      <c r="D55" s="116" t="s">
        <v>389</v>
      </c>
      <c r="E55" s="22" t="s">
        <v>282</v>
      </c>
      <c r="F55" s="22" t="s">
        <v>221</v>
      </c>
      <c r="G55" s="22" t="s">
        <v>36</v>
      </c>
      <c r="H55" s="39" t="s">
        <v>127</v>
      </c>
      <c r="I55" s="39" t="s">
        <v>142</v>
      </c>
      <c r="J55" s="22" t="s">
        <v>80</v>
      </c>
      <c r="K55" s="39" t="s">
        <v>254</v>
      </c>
      <c r="L55" s="39">
        <v>3</v>
      </c>
      <c r="N55" s="39">
        <v>4</v>
      </c>
      <c r="O55" s="39">
        <v>0.65</v>
      </c>
      <c r="P55" s="39">
        <v>0.65</v>
      </c>
      <c r="Q55" s="61">
        <f t="shared" si="0"/>
        <v>0.65</v>
      </c>
      <c r="R55" s="39">
        <v>11.9</v>
      </c>
      <c r="S55" s="39">
        <v>99</v>
      </c>
      <c r="T55" s="45">
        <f t="shared" si="1"/>
        <v>33</v>
      </c>
      <c r="U55" s="39">
        <v>429</v>
      </c>
      <c r="V55" s="117">
        <f t="shared" si="2"/>
        <v>3539.25</v>
      </c>
      <c r="W55" s="39">
        <v>11</v>
      </c>
      <c r="X55" s="22" t="s">
        <v>46</v>
      </c>
      <c r="Y55" s="39" t="s">
        <v>69</v>
      </c>
      <c r="Z55" s="39" t="s">
        <v>55</v>
      </c>
      <c r="AA55" s="39" t="s">
        <v>78</v>
      </c>
      <c r="AB55" s="22" t="s">
        <v>331</v>
      </c>
      <c r="AC55" s="56"/>
    </row>
    <row r="56" spans="1:29" x14ac:dyDescent="0.15">
      <c r="A56" s="22" t="s">
        <v>61</v>
      </c>
      <c r="B56" s="22" t="s">
        <v>384</v>
      </c>
      <c r="C56" s="22">
        <v>2020</v>
      </c>
      <c r="D56" s="116" t="s">
        <v>389</v>
      </c>
      <c r="E56" s="22" t="s">
        <v>282</v>
      </c>
      <c r="F56" s="22" t="s">
        <v>221</v>
      </c>
      <c r="G56" s="22" t="s">
        <v>36</v>
      </c>
      <c r="H56" s="39" t="s">
        <v>127</v>
      </c>
      <c r="I56" s="39" t="s">
        <v>145</v>
      </c>
      <c r="J56" s="22" t="s">
        <v>80</v>
      </c>
      <c r="K56" s="39" t="s">
        <v>63</v>
      </c>
      <c r="L56" s="39">
        <v>1</v>
      </c>
      <c r="N56" s="39">
        <v>8</v>
      </c>
      <c r="O56" s="39">
        <v>0.65</v>
      </c>
      <c r="P56" s="39">
        <v>0.75</v>
      </c>
      <c r="Q56" s="61">
        <f t="shared" si="0"/>
        <v>0.7</v>
      </c>
      <c r="R56" s="39">
        <v>14</v>
      </c>
      <c r="S56" s="39">
        <v>76</v>
      </c>
      <c r="T56" s="45">
        <f t="shared" si="1"/>
        <v>39</v>
      </c>
      <c r="U56" s="39">
        <v>537</v>
      </c>
      <c r="V56" s="117">
        <f t="shared" si="2"/>
        <v>2617.875</v>
      </c>
      <c r="W56" s="39">
        <v>11</v>
      </c>
      <c r="X56" s="22" t="s">
        <v>46</v>
      </c>
      <c r="Y56" s="39" t="s">
        <v>69</v>
      </c>
      <c r="Z56" s="39" t="s">
        <v>55</v>
      </c>
      <c r="AA56" s="39" t="s">
        <v>78</v>
      </c>
      <c r="AB56" s="22" t="s">
        <v>331</v>
      </c>
      <c r="AC56" s="56"/>
    </row>
    <row r="57" spans="1:29" x14ac:dyDescent="0.15">
      <c r="A57" s="22" t="s">
        <v>61</v>
      </c>
      <c r="B57" s="22" t="s">
        <v>384</v>
      </c>
      <c r="C57" s="22">
        <v>2020</v>
      </c>
      <c r="D57" s="116" t="s">
        <v>389</v>
      </c>
      <c r="E57" s="22" t="s">
        <v>282</v>
      </c>
      <c r="F57" s="22" t="s">
        <v>221</v>
      </c>
      <c r="G57" s="22" t="s">
        <v>36</v>
      </c>
      <c r="H57" s="39" t="s">
        <v>127</v>
      </c>
      <c r="I57" s="39" t="s">
        <v>145</v>
      </c>
      <c r="J57" s="22" t="s">
        <v>80</v>
      </c>
      <c r="K57" s="39" t="s">
        <v>63</v>
      </c>
      <c r="L57" s="39">
        <v>2</v>
      </c>
      <c r="N57" s="39">
        <v>8</v>
      </c>
      <c r="O57" s="39">
        <v>0.65</v>
      </c>
      <c r="P57" s="39">
        <v>0.65</v>
      </c>
      <c r="Q57" s="61">
        <f t="shared" si="0"/>
        <v>0.65</v>
      </c>
      <c r="R57" s="39">
        <v>14.7</v>
      </c>
      <c r="S57" s="39">
        <v>71</v>
      </c>
      <c r="T57" s="45">
        <f t="shared" si="1"/>
        <v>42</v>
      </c>
      <c r="U57" s="39">
        <v>537</v>
      </c>
      <c r="V57" s="117">
        <f t="shared" si="2"/>
        <v>2819.25</v>
      </c>
      <c r="W57" s="39">
        <v>11</v>
      </c>
      <c r="X57" s="22" t="s">
        <v>46</v>
      </c>
      <c r="Y57" s="39" t="s">
        <v>69</v>
      </c>
      <c r="Z57" s="39" t="s">
        <v>55</v>
      </c>
      <c r="AA57" s="39" t="s">
        <v>78</v>
      </c>
      <c r="AB57" s="22" t="s">
        <v>331</v>
      </c>
      <c r="AC57" s="56"/>
    </row>
    <row r="58" spans="1:29" x14ac:dyDescent="0.15">
      <c r="A58" s="22" t="s">
        <v>61</v>
      </c>
      <c r="B58" s="22" t="s">
        <v>384</v>
      </c>
      <c r="C58" s="22">
        <v>2020</v>
      </c>
      <c r="D58" s="116" t="s">
        <v>389</v>
      </c>
      <c r="E58" s="22" t="s">
        <v>282</v>
      </c>
      <c r="F58" s="22" t="s">
        <v>221</v>
      </c>
      <c r="G58" s="22" t="s">
        <v>36</v>
      </c>
      <c r="H58" s="39" t="s">
        <v>127</v>
      </c>
      <c r="I58" s="39" t="s">
        <v>145</v>
      </c>
      <c r="J58" s="22" t="s">
        <v>80</v>
      </c>
      <c r="K58" s="39" t="s">
        <v>63</v>
      </c>
      <c r="L58" s="39">
        <v>3</v>
      </c>
      <c r="N58" s="39">
        <v>8</v>
      </c>
      <c r="O58" s="39">
        <v>0.65</v>
      </c>
      <c r="P58" s="39">
        <v>0.7</v>
      </c>
      <c r="Q58" s="61">
        <f t="shared" si="0"/>
        <v>0.67500000000000004</v>
      </c>
      <c r="R58" s="39">
        <v>14.2</v>
      </c>
      <c r="S58" s="39">
        <v>70</v>
      </c>
      <c r="T58" s="45">
        <f t="shared" si="1"/>
        <v>50</v>
      </c>
      <c r="U58" s="39">
        <v>537</v>
      </c>
      <c r="V58" s="117">
        <f t="shared" si="2"/>
        <v>3356.25</v>
      </c>
      <c r="W58" s="39">
        <v>11</v>
      </c>
      <c r="X58" s="22" t="s">
        <v>46</v>
      </c>
      <c r="Y58" s="39" t="s">
        <v>69</v>
      </c>
      <c r="Z58" s="39" t="s">
        <v>55</v>
      </c>
      <c r="AA58" s="39" t="s">
        <v>78</v>
      </c>
      <c r="AB58" s="22" t="s">
        <v>331</v>
      </c>
      <c r="AC58" s="56"/>
    </row>
    <row r="59" spans="1:29" x14ac:dyDescent="0.15">
      <c r="A59" s="22" t="s">
        <v>61</v>
      </c>
      <c r="B59" s="22" t="s">
        <v>384</v>
      </c>
      <c r="C59" s="22">
        <v>2020</v>
      </c>
      <c r="D59" s="116" t="s">
        <v>389</v>
      </c>
      <c r="E59" s="22" t="s">
        <v>390</v>
      </c>
      <c r="F59" s="22" t="s">
        <v>324</v>
      </c>
      <c r="G59" s="22" t="s">
        <v>36</v>
      </c>
      <c r="H59" s="39" t="s">
        <v>146</v>
      </c>
      <c r="I59" s="39" t="s">
        <v>142</v>
      </c>
      <c r="J59" s="22" t="s">
        <v>38</v>
      </c>
      <c r="K59" s="39" t="s">
        <v>143</v>
      </c>
      <c r="L59" s="39">
        <v>1</v>
      </c>
      <c r="N59" s="39">
        <v>4</v>
      </c>
      <c r="O59" s="39">
        <v>0.65</v>
      </c>
      <c r="P59" s="39">
        <v>2</v>
      </c>
      <c r="Q59" s="61">
        <f t="shared" si="0"/>
        <v>1.325</v>
      </c>
      <c r="R59" s="39">
        <v>15.4</v>
      </c>
      <c r="S59" s="39">
        <v>107</v>
      </c>
      <c r="T59" s="45">
        <f t="shared" si="1"/>
        <v>33</v>
      </c>
      <c r="U59" s="39">
        <v>538</v>
      </c>
      <c r="V59" s="117">
        <f t="shared" si="2"/>
        <v>4438.5</v>
      </c>
      <c r="W59" s="39">
        <v>13</v>
      </c>
      <c r="X59" s="22" t="s">
        <v>46</v>
      </c>
      <c r="Y59" s="39" t="s">
        <v>47</v>
      </c>
      <c r="Z59" s="39" t="s">
        <v>69</v>
      </c>
      <c r="AA59" s="39" t="s">
        <v>55</v>
      </c>
      <c r="AB59" s="22" t="s">
        <v>331</v>
      </c>
    </row>
    <row r="60" spans="1:29" x14ac:dyDescent="0.15">
      <c r="A60" s="22" t="s">
        <v>61</v>
      </c>
      <c r="B60" s="22" t="s">
        <v>384</v>
      </c>
      <c r="C60" s="22">
        <v>2020</v>
      </c>
      <c r="D60" s="116" t="s">
        <v>389</v>
      </c>
      <c r="E60" s="22" t="s">
        <v>390</v>
      </c>
      <c r="F60" s="22" t="s">
        <v>324</v>
      </c>
      <c r="G60" s="22" t="s">
        <v>36</v>
      </c>
      <c r="H60" s="39" t="s">
        <v>146</v>
      </c>
      <c r="I60" s="39" t="s">
        <v>142</v>
      </c>
      <c r="J60" s="22" t="s">
        <v>38</v>
      </c>
      <c r="K60" s="39" t="s">
        <v>143</v>
      </c>
      <c r="L60" s="39">
        <v>2</v>
      </c>
      <c r="N60" s="39">
        <v>4</v>
      </c>
      <c r="O60" s="39">
        <v>0.6</v>
      </c>
      <c r="P60" s="39">
        <v>0.65</v>
      </c>
      <c r="Q60" s="61">
        <f>IF(OR(O60="",P60=""),"",AVERAGE(O60,P60))</f>
        <v>0.625</v>
      </c>
      <c r="R60" s="39">
        <v>17.2</v>
      </c>
      <c r="S60" s="39">
        <v>112</v>
      </c>
      <c r="T60" s="45">
        <f t="shared" si="1"/>
        <v>33</v>
      </c>
      <c r="U60" s="39">
        <v>538</v>
      </c>
      <c r="V60" s="117">
        <f t="shared" si="2"/>
        <v>4438.5</v>
      </c>
      <c r="W60" s="39">
        <v>13</v>
      </c>
      <c r="X60" s="22" t="s">
        <v>46</v>
      </c>
      <c r="Y60" s="39" t="s">
        <v>47</v>
      </c>
      <c r="Z60" s="39" t="s">
        <v>69</v>
      </c>
      <c r="AA60" s="39" t="s">
        <v>55</v>
      </c>
      <c r="AB60" s="22" t="s">
        <v>331</v>
      </c>
    </row>
    <row r="61" spans="1:29" x14ac:dyDescent="0.15">
      <c r="A61" s="22" t="s">
        <v>61</v>
      </c>
      <c r="B61" s="22" t="s">
        <v>384</v>
      </c>
      <c r="C61" s="22">
        <v>2020</v>
      </c>
      <c r="D61" s="116" t="s">
        <v>389</v>
      </c>
      <c r="E61" s="22" t="s">
        <v>390</v>
      </c>
      <c r="F61" s="22" t="s">
        <v>324</v>
      </c>
      <c r="G61" s="22" t="s">
        <v>36</v>
      </c>
      <c r="H61" s="39" t="s">
        <v>146</v>
      </c>
      <c r="I61" s="39" t="s">
        <v>142</v>
      </c>
      <c r="J61" s="22" t="s">
        <v>38</v>
      </c>
      <c r="K61" s="39" t="s">
        <v>143</v>
      </c>
      <c r="L61" s="39">
        <v>3</v>
      </c>
      <c r="N61" s="39">
        <v>4</v>
      </c>
      <c r="O61" s="39">
        <v>0.6</v>
      </c>
      <c r="P61" s="39">
        <v>0.6</v>
      </c>
      <c r="Q61" s="61">
        <f t="shared" si="0"/>
        <v>0.6</v>
      </c>
      <c r="R61" s="39">
        <v>17</v>
      </c>
      <c r="S61" s="39">
        <v>99</v>
      </c>
      <c r="T61" s="45">
        <f t="shared" si="1"/>
        <v>33</v>
      </c>
      <c r="U61" s="39">
        <v>538</v>
      </c>
      <c r="V61" s="117">
        <f t="shared" si="2"/>
        <v>4438.5</v>
      </c>
      <c r="W61" s="39">
        <v>13</v>
      </c>
      <c r="X61" s="22" t="s">
        <v>46</v>
      </c>
      <c r="Y61" s="39" t="s">
        <v>47</v>
      </c>
      <c r="Z61" s="39" t="s">
        <v>69</v>
      </c>
      <c r="AA61" s="39" t="s">
        <v>55</v>
      </c>
      <c r="AB61" s="22" t="s">
        <v>331</v>
      </c>
    </row>
    <row r="62" spans="1:29" x14ac:dyDescent="0.15">
      <c r="A62" s="22" t="s">
        <v>61</v>
      </c>
      <c r="B62" s="22" t="s">
        <v>384</v>
      </c>
      <c r="C62" s="22">
        <v>2020</v>
      </c>
      <c r="D62" s="116" t="s">
        <v>389</v>
      </c>
      <c r="E62" s="22" t="s">
        <v>390</v>
      </c>
      <c r="F62" s="22" t="s">
        <v>324</v>
      </c>
      <c r="G62" s="22" t="s">
        <v>36</v>
      </c>
      <c r="H62" s="39" t="s">
        <v>146</v>
      </c>
      <c r="I62" s="39" t="s">
        <v>142</v>
      </c>
      <c r="J62" s="22" t="s">
        <v>38</v>
      </c>
      <c r="K62" s="39" t="s">
        <v>143</v>
      </c>
      <c r="L62" s="39">
        <v>1</v>
      </c>
      <c r="N62" s="39">
        <v>1</v>
      </c>
      <c r="O62" s="39">
        <v>0.6</v>
      </c>
      <c r="P62" s="39">
        <v>0.65</v>
      </c>
      <c r="Q62" s="61">
        <f t="shared" si="0"/>
        <v>0.625</v>
      </c>
      <c r="R62" s="39">
        <v>17.7</v>
      </c>
      <c r="S62" s="39">
        <v>143</v>
      </c>
      <c r="T62" s="45">
        <f t="shared" si="1"/>
        <v>22</v>
      </c>
      <c r="U62" s="39">
        <v>149</v>
      </c>
      <c r="V62" s="117">
        <f t="shared" si="2"/>
        <v>3278</v>
      </c>
      <c r="W62" s="39">
        <v>13</v>
      </c>
      <c r="X62" s="22" t="s">
        <v>46</v>
      </c>
      <c r="Y62" s="39" t="s">
        <v>47</v>
      </c>
      <c r="Z62" s="39" t="s">
        <v>69</v>
      </c>
      <c r="AA62" s="39" t="s">
        <v>55</v>
      </c>
      <c r="AB62" s="22" t="s">
        <v>331</v>
      </c>
    </row>
    <row r="63" spans="1:29" x14ac:dyDescent="0.15">
      <c r="A63" s="22" t="s">
        <v>61</v>
      </c>
      <c r="B63" s="22" t="s">
        <v>384</v>
      </c>
      <c r="C63" s="22">
        <v>2020</v>
      </c>
      <c r="D63" s="116" t="s">
        <v>389</v>
      </c>
      <c r="E63" s="22" t="s">
        <v>390</v>
      </c>
      <c r="F63" s="22" t="s">
        <v>324</v>
      </c>
      <c r="G63" s="22" t="s">
        <v>36</v>
      </c>
      <c r="H63" s="39" t="s">
        <v>146</v>
      </c>
      <c r="I63" s="39" t="s">
        <v>142</v>
      </c>
      <c r="J63" s="22" t="s">
        <v>38</v>
      </c>
      <c r="K63" s="39" t="s">
        <v>143</v>
      </c>
      <c r="L63" s="39">
        <v>2</v>
      </c>
      <c r="N63" s="39">
        <v>1</v>
      </c>
      <c r="O63" s="39">
        <v>0.6</v>
      </c>
      <c r="P63" s="39">
        <v>0.6</v>
      </c>
      <c r="Q63" s="61">
        <f t="shared" si="0"/>
        <v>0.6</v>
      </c>
      <c r="R63" s="39">
        <v>18.600000000000001</v>
      </c>
      <c r="S63" s="39">
        <v>142</v>
      </c>
      <c r="T63" s="45">
        <f t="shared" si="1"/>
        <v>22</v>
      </c>
      <c r="U63" s="39">
        <v>149</v>
      </c>
      <c r="V63" s="117">
        <f t="shared" si="2"/>
        <v>3278</v>
      </c>
      <c r="W63" s="39">
        <v>13</v>
      </c>
      <c r="X63" s="22" t="s">
        <v>46</v>
      </c>
      <c r="Y63" s="39" t="s">
        <v>47</v>
      </c>
      <c r="Z63" s="39" t="s">
        <v>69</v>
      </c>
      <c r="AA63" s="39" t="s">
        <v>55</v>
      </c>
      <c r="AB63" s="22" t="s">
        <v>331</v>
      </c>
    </row>
    <row r="64" spans="1:29" x14ac:dyDescent="0.15">
      <c r="A64" s="22" t="s">
        <v>61</v>
      </c>
      <c r="B64" s="22" t="s">
        <v>384</v>
      </c>
      <c r="C64" s="22">
        <v>2020</v>
      </c>
      <c r="D64" s="116" t="s">
        <v>389</v>
      </c>
      <c r="E64" s="22" t="s">
        <v>390</v>
      </c>
      <c r="F64" s="22" t="s">
        <v>324</v>
      </c>
      <c r="G64" s="22" t="s">
        <v>36</v>
      </c>
      <c r="H64" s="39" t="s">
        <v>146</v>
      </c>
      <c r="I64" s="39" t="s">
        <v>142</v>
      </c>
      <c r="J64" s="22" t="s">
        <v>38</v>
      </c>
      <c r="K64" s="39" t="s">
        <v>143</v>
      </c>
      <c r="L64" s="39">
        <v>3</v>
      </c>
      <c r="N64" s="39">
        <v>1</v>
      </c>
      <c r="O64" s="39">
        <v>0.6</v>
      </c>
      <c r="P64" s="39">
        <v>0.6</v>
      </c>
      <c r="Q64" s="61">
        <f t="shared" si="0"/>
        <v>0.6</v>
      </c>
      <c r="R64" s="39">
        <v>20.399999999999999</v>
      </c>
      <c r="S64" s="39">
        <v>138</v>
      </c>
      <c r="T64" s="45">
        <f t="shared" si="1"/>
        <v>22</v>
      </c>
      <c r="U64" s="39">
        <v>149</v>
      </c>
      <c r="V64" s="117">
        <f t="shared" si="2"/>
        <v>3278</v>
      </c>
      <c r="W64" s="39">
        <v>13</v>
      </c>
      <c r="X64" s="22" t="s">
        <v>46</v>
      </c>
      <c r="Y64" s="39" t="s">
        <v>47</v>
      </c>
      <c r="Z64" s="39" t="s">
        <v>69</v>
      </c>
      <c r="AA64" s="39" t="s">
        <v>55</v>
      </c>
      <c r="AB64" s="22" t="s">
        <v>331</v>
      </c>
    </row>
    <row r="65" spans="1:29" x14ac:dyDescent="0.15">
      <c r="A65" s="22" t="s">
        <v>61</v>
      </c>
      <c r="B65" s="22" t="s">
        <v>384</v>
      </c>
      <c r="C65" s="22">
        <v>2020</v>
      </c>
      <c r="D65" s="116" t="s">
        <v>389</v>
      </c>
      <c r="E65" s="22" t="s">
        <v>390</v>
      </c>
      <c r="F65" s="22" t="s">
        <v>324</v>
      </c>
      <c r="G65" s="22" t="s">
        <v>36</v>
      </c>
      <c r="H65" s="39" t="s">
        <v>127</v>
      </c>
      <c r="I65" s="39" t="s">
        <v>142</v>
      </c>
      <c r="J65" s="22" t="s">
        <v>80</v>
      </c>
      <c r="K65" s="39" t="s">
        <v>54</v>
      </c>
      <c r="L65" s="39">
        <v>1</v>
      </c>
      <c r="N65" s="39">
        <v>1</v>
      </c>
      <c r="O65" s="39">
        <v>0.65</v>
      </c>
      <c r="P65" s="39">
        <v>0.75</v>
      </c>
      <c r="Q65" s="61">
        <f t="shared" si="0"/>
        <v>0.7</v>
      </c>
      <c r="R65" s="56">
        <v>15.1</v>
      </c>
      <c r="S65" s="39">
        <v>122</v>
      </c>
      <c r="T65" s="45">
        <f t="shared" si="1"/>
        <v>27</v>
      </c>
      <c r="U65" s="39">
        <v>138</v>
      </c>
      <c r="V65" s="117">
        <f t="shared" si="2"/>
        <v>3726</v>
      </c>
      <c r="W65" s="39">
        <v>13</v>
      </c>
      <c r="X65" s="22" t="s">
        <v>46</v>
      </c>
      <c r="Y65" s="39" t="s">
        <v>47</v>
      </c>
      <c r="Z65" s="39" t="s">
        <v>69</v>
      </c>
      <c r="AA65" s="39" t="s">
        <v>55</v>
      </c>
      <c r="AB65" s="22" t="s">
        <v>331</v>
      </c>
      <c r="AC65" s="56"/>
    </row>
    <row r="66" spans="1:29" x14ac:dyDescent="0.15">
      <c r="A66" s="22" t="s">
        <v>61</v>
      </c>
      <c r="B66" s="22" t="s">
        <v>384</v>
      </c>
      <c r="C66" s="22">
        <v>2020</v>
      </c>
      <c r="D66" s="116" t="s">
        <v>389</v>
      </c>
      <c r="E66" s="22" t="s">
        <v>390</v>
      </c>
      <c r="F66" s="22" t="s">
        <v>324</v>
      </c>
      <c r="G66" s="22" t="s">
        <v>36</v>
      </c>
      <c r="H66" s="39" t="s">
        <v>127</v>
      </c>
      <c r="I66" s="39" t="s">
        <v>142</v>
      </c>
      <c r="J66" s="22" t="s">
        <v>80</v>
      </c>
      <c r="K66" s="39" t="s">
        <v>54</v>
      </c>
      <c r="L66" s="39">
        <v>2</v>
      </c>
      <c r="N66" s="39">
        <v>1</v>
      </c>
      <c r="O66" s="39">
        <v>0.6</v>
      </c>
      <c r="P66" s="39">
        <v>0.7</v>
      </c>
      <c r="Q66" s="61">
        <f t="shared" ref="Q66:Q104" si="3">IF(OR(O66="",P66=""),"",AVERAGE(O66,P66))</f>
        <v>0.64999999999999991</v>
      </c>
      <c r="R66" s="39">
        <v>14.4</v>
      </c>
      <c r="S66" s="39">
        <v>115</v>
      </c>
      <c r="T66" s="45">
        <f t="shared" ref="T66:T104" si="4">IF(H66="","",IF(OR(H66="GREEN",H66="GK"),IF(S66&gt;=$AX$2,VLOOKUP(S66,$AX$2:$AY$15,2,1),""),IF(S66&gt;=$AZ$2,VLOOKUP(S66,$AZ$2:$BA$15,2,1),"")))</f>
        <v>30</v>
      </c>
      <c r="U66" s="39">
        <v>138</v>
      </c>
      <c r="V66" s="117">
        <f t="shared" si="2"/>
        <v>4140</v>
      </c>
      <c r="W66" s="39">
        <v>13</v>
      </c>
      <c r="X66" s="22" t="s">
        <v>46</v>
      </c>
      <c r="Y66" s="39" t="s">
        <v>47</v>
      </c>
      <c r="Z66" s="39" t="s">
        <v>69</v>
      </c>
      <c r="AA66" s="39" t="s">
        <v>55</v>
      </c>
      <c r="AB66" s="22" t="s">
        <v>331</v>
      </c>
      <c r="AC66" s="56"/>
    </row>
    <row r="67" spans="1:29" x14ac:dyDescent="0.15">
      <c r="A67" s="22" t="s">
        <v>61</v>
      </c>
      <c r="B67" s="22" t="s">
        <v>384</v>
      </c>
      <c r="C67" s="22">
        <v>2020</v>
      </c>
      <c r="D67" s="116" t="s">
        <v>389</v>
      </c>
      <c r="E67" s="22" t="s">
        <v>390</v>
      </c>
      <c r="F67" s="22" t="s">
        <v>324</v>
      </c>
      <c r="G67" s="22" t="s">
        <v>36</v>
      </c>
      <c r="H67" s="39" t="s">
        <v>127</v>
      </c>
      <c r="I67" s="39" t="s">
        <v>142</v>
      </c>
      <c r="J67" s="22" t="s">
        <v>80</v>
      </c>
      <c r="K67" s="39" t="s">
        <v>54</v>
      </c>
      <c r="L67" s="39">
        <v>3</v>
      </c>
      <c r="N67" s="39">
        <v>1</v>
      </c>
      <c r="O67" s="39">
        <v>0.75</v>
      </c>
      <c r="P67" s="39">
        <v>0.75</v>
      </c>
      <c r="Q67" s="61">
        <f t="shared" si="3"/>
        <v>0.75</v>
      </c>
      <c r="R67" s="56">
        <v>14.2</v>
      </c>
      <c r="S67" s="39">
        <v>121</v>
      </c>
      <c r="T67" s="45">
        <f t="shared" si="4"/>
        <v>27</v>
      </c>
      <c r="U67" s="39">
        <v>138</v>
      </c>
      <c r="V67" s="117">
        <f t="shared" ref="V67:V104" si="5">IF(OR(N67="",U67="",T67=""),"",U67/N67*T67)</f>
        <v>3726</v>
      </c>
      <c r="W67" s="39">
        <v>13</v>
      </c>
      <c r="X67" s="22" t="s">
        <v>46</v>
      </c>
      <c r="Y67" s="39" t="s">
        <v>47</v>
      </c>
      <c r="Z67" s="39" t="s">
        <v>69</v>
      </c>
      <c r="AA67" s="39" t="s">
        <v>55</v>
      </c>
      <c r="AB67" s="22" t="s">
        <v>331</v>
      </c>
      <c r="AC67" s="56"/>
    </row>
    <row r="68" spans="1:29" x14ac:dyDescent="0.15">
      <c r="A68" s="22" t="s">
        <v>61</v>
      </c>
      <c r="B68" s="22" t="s">
        <v>384</v>
      </c>
      <c r="C68" s="22">
        <v>2020</v>
      </c>
      <c r="D68" s="116" t="s">
        <v>389</v>
      </c>
      <c r="E68" s="22" t="s">
        <v>390</v>
      </c>
      <c r="F68" s="22" t="s">
        <v>324</v>
      </c>
      <c r="G68" s="22" t="s">
        <v>36</v>
      </c>
      <c r="H68" s="39" t="s">
        <v>127</v>
      </c>
      <c r="I68" s="39" t="s">
        <v>142</v>
      </c>
      <c r="J68" s="22" t="s">
        <v>80</v>
      </c>
      <c r="K68" s="39" t="s">
        <v>54</v>
      </c>
      <c r="L68" s="39">
        <v>1</v>
      </c>
      <c r="N68" s="39">
        <v>4</v>
      </c>
      <c r="O68" s="39">
        <v>2</v>
      </c>
      <c r="P68" s="39">
        <v>0.7</v>
      </c>
      <c r="Q68" s="61">
        <f t="shared" si="3"/>
        <v>1.35</v>
      </c>
      <c r="R68" s="56">
        <v>12.6</v>
      </c>
      <c r="S68" s="39">
        <v>84</v>
      </c>
      <c r="T68" s="45">
        <f t="shared" si="4"/>
        <v>36</v>
      </c>
      <c r="U68" s="39">
        <v>430</v>
      </c>
      <c r="V68" s="117">
        <f t="shared" si="5"/>
        <v>3870</v>
      </c>
      <c r="W68" s="39">
        <v>13</v>
      </c>
      <c r="X68" s="22" t="s">
        <v>46</v>
      </c>
      <c r="Y68" s="39" t="s">
        <v>47</v>
      </c>
      <c r="Z68" s="39" t="s">
        <v>69</v>
      </c>
      <c r="AA68" s="39" t="s">
        <v>55</v>
      </c>
      <c r="AB68" s="22" t="s">
        <v>331</v>
      </c>
      <c r="AC68" s="56"/>
    </row>
    <row r="69" spans="1:29" x14ac:dyDescent="0.15">
      <c r="A69" s="22" t="s">
        <v>61</v>
      </c>
      <c r="B69" s="22" t="s">
        <v>384</v>
      </c>
      <c r="C69" s="22">
        <v>2020</v>
      </c>
      <c r="D69" s="116" t="s">
        <v>389</v>
      </c>
      <c r="E69" s="22" t="s">
        <v>390</v>
      </c>
      <c r="F69" s="22" t="s">
        <v>324</v>
      </c>
      <c r="G69" s="22" t="s">
        <v>36</v>
      </c>
      <c r="H69" s="39" t="s">
        <v>127</v>
      </c>
      <c r="I69" s="39" t="s">
        <v>142</v>
      </c>
      <c r="J69" s="22" t="s">
        <v>80</v>
      </c>
      <c r="K69" s="39" t="s">
        <v>54</v>
      </c>
      <c r="L69" s="39">
        <v>2</v>
      </c>
      <c r="N69" s="39">
        <v>4</v>
      </c>
      <c r="O69" s="39">
        <v>0.9</v>
      </c>
      <c r="P69" s="39">
        <v>0.8</v>
      </c>
      <c r="Q69" s="61">
        <f t="shared" si="3"/>
        <v>0.85000000000000009</v>
      </c>
      <c r="R69" s="39">
        <v>13.5</v>
      </c>
      <c r="S69" s="39">
        <v>75</v>
      </c>
      <c r="T69" s="45">
        <f t="shared" si="4"/>
        <v>42</v>
      </c>
      <c r="U69" s="39">
        <v>430</v>
      </c>
      <c r="V69" s="117">
        <f t="shared" si="5"/>
        <v>4515</v>
      </c>
      <c r="W69" s="39">
        <v>13</v>
      </c>
      <c r="X69" s="22" t="s">
        <v>46</v>
      </c>
      <c r="Y69" s="39" t="s">
        <v>47</v>
      </c>
      <c r="Z69" s="39" t="s">
        <v>69</v>
      </c>
      <c r="AA69" s="39" t="s">
        <v>55</v>
      </c>
      <c r="AB69" s="22" t="s">
        <v>331</v>
      </c>
      <c r="AC69" s="56"/>
    </row>
    <row r="70" spans="1:29" x14ac:dyDescent="0.15">
      <c r="A70" s="22" t="s">
        <v>61</v>
      </c>
      <c r="B70" s="22" t="s">
        <v>384</v>
      </c>
      <c r="C70" s="22">
        <v>2020</v>
      </c>
      <c r="D70" s="116" t="s">
        <v>389</v>
      </c>
      <c r="E70" s="22" t="s">
        <v>390</v>
      </c>
      <c r="F70" s="22" t="s">
        <v>324</v>
      </c>
      <c r="G70" s="22" t="s">
        <v>36</v>
      </c>
      <c r="H70" s="39" t="s">
        <v>127</v>
      </c>
      <c r="I70" s="39" t="s">
        <v>142</v>
      </c>
      <c r="J70" s="22" t="s">
        <v>80</v>
      </c>
      <c r="K70" s="39" t="s">
        <v>54</v>
      </c>
      <c r="L70" s="39">
        <v>3</v>
      </c>
      <c r="N70" s="39">
        <v>4</v>
      </c>
      <c r="O70" s="39">
        <v>0.8</v>
      </c>
      <c r="P70" s="39">
        <v>0.9</v>
      </c>
      <c r="Q70" s="61">
        <f t="shared" si="3"/>
        <v>0.85000000000000009</v>
      </c>
      <c r="R70" s="39">
        <v>15</v>
      </c>
      <c r="S70" s="39">
        <v>86</v>
      </c>
      <c r="T70" s="45">
        <f t="shared" si="4"/>
        <v>36</v>
      </c>
      <c r="U70" s="39">
        <v>430</v>
      </c>
      <c r="V70" s="117">
        <f t="shared" si="5"/>
        <v>3870</v>
      </c>
      <c r="W70" s="39">
        <v>13</v>
      </c>
      <c r="X70" s="22" t="s">
        <v>46</v>
      </c>
      <c r="Y70" s="39" t="s">
        <v>47</v>
      </c>
      <c r="Z70" s="39" t="s">
        <v>69</v>
      </c>
      <c r="AA70" s="39" t="s">
        <v>55</v>
      </c>
      <c r="AB70" s="22" t="s">
        <v>331</v>
      </c>
      <c r="AC70" s="56"/>
    </row>
    <row r="71" spans="1:29" x14ac:dyDescent="0.15">
      <c r="A71" s="22" t="s">
        <v>61</v>
      </c>
      <c r="B71" s="22" t="s">
        <v>384</v>
      </c>
      <c r="C71" s="22">
        <v>2020</v>
      </c>
      <c r="D71" s="116" t="s">
        <v>389</v>
      </c>
      <c r="E71" s="39" t="s">
        <v>391</v>
      </c>
      <c r="F71" s="39" t="s">
        <v>323</v>
      </c>
      <c r="G71" s="22" t="s">
        <v>36</v>
      </c>
      <c r="H71" s="39" t="s">
        <v>146</v>
      </c>
      <c r="I71" s="39" t="s">
        <v>142</v>
      </c>
      <c r="J71" s="22" t="s">
        <v>38</v>
      </c>
      <c r="K71" s="39" t="s">
        <v>143</v>
      </c>
      <c r="L71" s="39">
        <v>1</v>
      </c>
      <c r="N71" s="39">
        <v>4</v>
      </c>
      <c r="O71" s="39">
        <v>0.65</v>
      </c>
      <c r="P71" s="39">
        <v>0.65</v>
      </c>
      <c r="Q71" s="61">
        <f t="shared" si="3"/>
        <v>0.65</v>
      </c>
      <c r="R71" s="39">
        <v>16.7</v>
      </c>
      <c r="S71" s="39">
        <v>95</v>
      </c>
      <c r="T71" s="45">
        <f t="shared" si="4"/>
        <v>36</v>
      </c>
      <c r="U71" s="39">
        <v>486</v>
      </c>
      <c r="V71" s="117">
        <f t="shared" si="5"/>
        <v>4374</v>
      </c>
      <c r="W71" s="39">
        <v>16</v>
      </c>
      <c r="X71" s="22" t="s">
        <v>46</v>
      </c>
      <c r="Y71" s="39" t="s">
        <v>78</v>
      </c>
      <c r="Z71" s="39" t="s">
        <v>55</v>
      </c>
      <c r="AA71" s="39" t="s">
        <v>47</v>
      </c>
      <c r="AB71" s="22" t="s">
        <v>331</v>
      </c>
      <c r="AC71" s="56"/>
    </row>
    <row r="72" spans="1:29" x14ac:dyDescent="0.15">
      <c r="A72" s="22" t="s">
        <v>61</v>
      </c>
      <c r="B72" s="22" t="s">
        <v>384</v>
      </c>
      <c r="C72" s="22">
        <v>2020</v>
      </c>
      <c r="D72" s="116" t="s">
        <v>389</v>
      </c>
      <c r="E72" s="39" t="s">
        <v>391</v>
      </c>
      <c r="F72" s="39" t="s">
        <v>323</v>
      </c>
      <c r="G72" s="22" t="s">
        <v>36</v>
      </c>
      <c r="H72" s="39" t="s">
        <v>146</v>
      </c>
      <c r="I72" s="39" t="s">
        <v>142</v>
      </c>
      <c r="J72" s="22" t="s">
        <v>38</v>
      </c>
      <c r="K72" s="39" t="s">
        <v>143</v>
      </c>
      <c r="L72" s="39">
        <v>2</v>
      </c>
      <c r="N72" s="39">
        <v>4</v>
      </c>
      <c r="O72" s="39">
        <v>0.6</v>
      </c>
      <c r="P72" s="39">
        <v>0.8</v>
      </c>
      <c r="Q72" s="61">
        <f t="shared" si="3"/>
        <v>0.7</v>
      </c>
      <c r="R72" s="39">
        <v>17</v>
      </c>
      <c r="S72" s="39">
        <v>93</v>
      </c>
      <c r="T72" s="45">
        <f t="shared" si="4"/>
        <v>36</v>
      </c>
      <c r="U72" s="39">
        <v>486</v>
      </c>
      <c r="V72" s="117">
        <f t="shared" si="5"/>
        <v>4374</v>
      </c>
      <c r="W72" s="39">
        <v>16</v>
      </c>
      <c r="X72" s="22" t="s">
        <v>46</v>
      </c>
      <c r="Y72" s="39" t="s">
        <v>78</v>
      </c>
      <c r="Z72" s="39" t="s">
        <v>55</v>
      </c>
      <c r="AA72" s="39" t="s">
        <v>47</v>
      </c>
      <c r="AB72" s="22" t="s">
        <v>331</v>
      </c>
      <c r="AC72" s="56"/>
    </row>
    <row r="73" spans="1:29" x14ac:dyDescent="0.15">
      <c r="A73" s="22" t="s">
        <v>61</v>
      </c>
      <c r="B73" s="22" t="s">
        <v>384</v>
      </c>
      <c r="C73" s="22">
        <v>2020</v>
      </c>
      <c r="D73" s="116" t="s">
        <v>389</v>
      </c>
      <c r="E73" s="39" t="s">
        <v>391</v>
      </c>
      <c r="F73" s="39" t="s">
        <v>323</v>
      </c>
      <c r="G73" s="22" t="s">
        <v>36</v>
      </c>
      <c r="H73" s="39" t="s">
        <v>146</v>
      </c>
      <c r="I73" s="39" t="s">
        <v>142</v>
      </c>
      <c r="J73" s="22" t="s">
        <v>38</v>
      </c>
      <c r="K73" s="39" t="s">
        <v>143</v>
      </c>
      <c r="L73" s="39">
        <v>3</v>
      </c>
      <c r="N73" s="39">
        <v>4</v>
      </c>
      <c r="O73" s="39">
        <v>0.7</v>
      </c>
      <c r="P73" s="39">
        <v>0.65</v>
      </c>
      <c r="Q73" s="61">
        <f t="shared" si="3"/>
        <v>0.67500000000000004</v>
      </c>
      <c r="R73" s="39">
        <v>16.5</v>
      </c>
      <c r="S73" s="39">
        <v>95</v>
      </c>
      <c r="T73" s="45">
        <f t="shared" si="4"/>
        <v>36</v>
      </c>
      <c r="U73" s="39">
        <v>486</v>
      </c>
      <c r="V73" s="117">
        <f t="shared" si="5"/>
        <v>4374</v>
      </c>
      <c r="W73" s="39">
        <v>16</v>
      </c>
      <c r="X73" s="22" t="s">
        <v>46</v>
      </c>
      <c r="Y73" s="39" t="s">
        <v>78</v>
      </c>
      <c r="Z73" s="39" t="s">
        <v>55</v>
      </c>
      <c r="AA73" s="39" t="s">
        <v>47</v>
      </c>
      <c r="AB73" s="22" t="s">
        <v>331</v>
      </c>
      <c r="AC73" s="56"/>
    </row>
    <row r="74" spans="1:29" x14ac:dyDescent="0.15">
      <c r="A74" s="22" t="s">
        <v>61</v>
      </c>
      <c r="B74" s="22" t="s">
        <v>384</v>
      </c>
      <c r="C74" s="22">
        <v>2020</v>
      </c>
      <c r="D74" s="116" t="s">
        <v>389</v>
      </c>
      <c r="E74" s="39" t="s">
        <v>391</v>
      </c>
      <c r="F74" s="39" t="s">
        <v>323</v>
      </c>
      <c r="G74" s="22" t="s">
        <v>36</v>
      </c>
      <c r="H74" s="39" t="s">
        <v>146</v>
      </c>
      <c r="I74" s="39" t="s">
        <v>142</v>
      </c>
      <c r="J74" s="22" t="s">
        <v>38</v>
      </c>
      <c r="K74" s="39" t="s">
        <v>143</v>
      </c>
      <c r="L74" s="39">
        <v>1</v>
      </c>
      <c r="N74" s="39">
        <v>8</v>
      </c>
      <c r="O74" s="39">
        <v>0.75</v>
      </c>
      <c r="P74" s="39">
        <v>0.65</v>
      </c>
      <c r="Q74" s="61">
        <f t="shared" si="3"/>
        <v>0.7</v>
      </c>
      <c r="R74" s="39">
        <v>20.2</v>
      </c>
      <c r="S74" s="39">
        <v>89</v>
      </c>
      <c r="T74" s="45">
        <f t="shared" si="4"/>
        <v>36</v>
      </c>
      <c r="U74" s="39">
        <v>950</v>
      </c>
      <c r="V74" s="117">
        <f t="shared" si="5"/>
        <v>4275</v>
      </c>
      <c r="W74" s="39">
        <v>16</v>
      </c>
      <c r="X74" s="22" t="s">
        <v>46</v>
      </c>
      <c r="Y74" s="39" t="s">
        <v>78</v>
      </c>
      <c r="Z74" s="39" t="s">
        <v>55</v>
      </c>
      <c r="AA74" s="39" t="s">
        <v>47</v>
      </c>
      <c r="AB74" s="22" t="s">
        <v>331</v>
      </c>
    </row>
    <row r="75" spans="1:29" x14ac:dyDescent="0.15">
      <c r="A75" s="22" t="s">
        <v>61</v>
      </c>
      <c r="B75" s="22" t="s">
        <v>384</v>
      </c>
      <c r="C75" s="22">
        <v>2020</v>
      </c>
      <c r="D75" s="116" t="s">
        <v>389</v>
      </c>
      <c r="E75" s="39" t="s">
        <v>391</v>
      </c>
      <c r="F75" s="39" t="s">
        <v>323</v>
      </c>
      <c r="G75" s="22" t="s">
        <v>36</v>
      </c>
      <c r="H75" s="39" t="s">
        <v>146</v>
      </c>
      <c r="I75" s="39" t="s">
        <v>142</v>
      </c>
      <c r="J75" s="22" t="s">
        <v>38</v>
      </c>
      <c r="K75" s="39" t="s">
        <v>143</v>
      </c>
      <c r="L75" s="39">
        <v>2</v>
      </c>
      <c r="N75" s="39">
        <v>8</v>
      </c>
      <c r="O75" s="39">
        <v>0.65</v>
      </c>
      <c r="P75" s="39">
        <v>0.6</v>
      </c>
      <c r="Q75" s="61">
        <f t="shared" si="3"/>
        <v>0.625</v>
      </c>
      <c r="R75" s="39">
        <v>17.600000000000001</v>
      </c>
      <c r="S75" s="39">
        <v>101</v>
      </c>
      <c r="T75" s="45">
        <f t="shared" si="4"/>
        <v>33</v>
      </c>
      <c r="U75" s="39">
        <v>950</v>
      </c>
      <c r="V75" s="117">
        <f t="shared" si="5"/>
        <v>3918.75</v>
      </c>
      <c r="W75" s="39">
        <v>16</v>
      </c>
      <c r="X75" s="22" t="s">
        <v>46</v>
      </c>
      <c r="Y75" s="39" t="s">
        <v>78</v>
      </c>
      <c r="Z75" s="39" t="s">
        <v>55</v>
      </c>
      <c r="AA75" s="39" t="s">
        <v>47</v>
      </c>
      <c r="AB75" s="22" t="s">
        <v>331</v>
      </c>
    </row>
    <row r="76" spans="1:29" x14ac:dyDescent="0.15">
      <c r="A76" s="22" t="s">
        <v>61</v>
      </c>
      <c r="B76" s="22" t="s">
        <v>384</v>
      </c>
      <c r="C76" s="22">
        <v>2020</v>
      </c>
      <c r="D76" s="116" t="s">
        <v>389</v>
      </c>
      <c r="E76" s="39" t="s">
        <v>391</v>
      </c>
      <c r="F76" s="39" t="s">
        <v>323</v>
      </c>
      <c r="G76" s="22" t="s">
        <v>36</v>
      </c>
      <c r="H76" s="39" t="s">
        <v>146</v>
      </c>
      <c r="I76" s="39" t="s">
        <v>142</v>
      </c>
      <c r="J76" s="22" t="s">
        <v>38</v>
      </c>
      <c r="K76" s="39" t="s">
        <v>143</v>
      </c>
      <c r="L76" s="39">
        <v>3</v>
      </c>
      <c r="N76" s="39">
        <v>8</v>
      </c>
      <c r="O76" s="39">
        <v>0.65</v>
      </c>
      <c r="P76" s="39">
        <v>0.65</v>
      </c>
      <c r="Q76" s="61">
        <f t="shared" si="3"/>
        <v>0.65</v>
      </c>
      <c r="R76" s="39">
        <v>16.7</v>
      </c>
      <c r="S76" s="39">
        <v>97</v>
      </c>
      <c r="T76" s="45">
        <f t="shared" si="4"/>
        <v>36</v>
      </c>
      <c r="U76" s="39">
        <v>950</v>
      </c>
      <c r="V76" s="117">
        <f t="shared" si="5"/>
        <v>4275</v>
      </c>
      <c r="W76" s="39">
        <v>16</v>
      </c>
      <c r="X76" s="22" t="s">
        <v>46</v>
      </c>
      <c r="Y76" s="39" t="s">
        <v>78</v>
      </c>
      <c r="Z76" s="39" t="s">
        <v>55</v>
      </c>
      <c r="AA76" s="39" t="s">
        <v>47</v>
      </c>
      <c r="AB76" s="22" t="s">
        <v>331</v>
      </c>
    </row>
    <row r="77" spans="1:29" x14ac:dyDescent="0.15">
      <c r="A77" s="22" t="s">
        <v>61</v>
      </c>
      <c r="B77" s="22" t="s">
        <v>384</v>
      </c>
      <c r="C77" s="22">
        <v>2020</v>
      </c>
      <c r="D77" s="116" t="s">
        <v>389</v>
      </c>
      <c r="E77" s="39" t="s">
        <v>391</v>
      </c>
      <c r="F77" s="39" t="s">
        <v>323</v>
      </c>
      <c r="G77" s="22" t="s">
        <v>36</v>
      </c>
      <c r="H77" s="39" t="s">
        <v>146</v>
      </c>
      <c r="I77" s="39" t="s">
        <v>142</v>
      </c>
      <c r="J77" s="22" t="s">
        <v>38</v>
      </c>
      <c r="K77" s="39" t="s">
        <v>143</v>
      </c>
      <c r="L77" s="39">
        <v>1</v>
      </c>
      <c r="N77" s="39">
        <v>3</v>
      </c>
      <c r="O77" s="39">
        <v>0.75</v>
      </c>
      <c r="P77" s="39">
        <v>0.7</v>
      </c>
      <c r="Q77" s="61">
        <f t="shared" si="3"/>
        <v>0.72499999999999998</v>
      </c>
      <c r="R77" s="39">
        <v>17.3</v>
      </c>
      <c r="S77" s="39">
        <v>125</v>
      </c>
      <c r="T77" s="45">
        <f t="shared" si="4"/>
        <v>27</v>
      </c>
      <c r="U77" s="39">
        <v>430</v>
      </c>
      <c r="V77" s="117">
        <f t="shared" si="5"/>
        <v>3870.0000000000005</v>
      </c>
      <c r="W77" s="39">
        <v>16</v>
      </c>
      <c r="X77" s="22" t="s">
        <v>46</v>
      </c>
      <c r="Y77" s="39" t="s">
        <v>78</v>
      </c>
      <c r="Z77" s="39" t="s">
        <v>55</v>
      </c>
      <c r="AA77" s="39" t="s">
        <v>47</v>
      </c>
      <c r="AB77" s="22" t="s">
        <v>331</v>
      </c>
    </row>
    <row r="78" spans="1:29" x14ac:dyDescent="0.15">
      <c r="A78" s="22" t="s">
        <v>61</v>
      </c>
      <c r="B78" s="22" t="s">
        <v>384</v>
      </c>
      <c r="C78" s="22">
        <v>2020</v>
      </c>
      <c r="D78" s="116" t="s">
        <v>389</v>
      </c>
      <c r="E78" s="39" t="s">
        <v>391</v>
      </c>
      <c r="F78" s="39" t="s">
        <v>323</v>
      </c>
      <c r="G78" s="22" t="s">
        <v>36</v>
      </c>
      <c r="H78" s="39" t="s">
        <v>146</v>
      </c>
      <c r="I78" s="39" t="s">
        <v>142</v>
      </c>
      <c r="J78" s="22" t="s">
        <v>38</v>
      </c>
      <c r="K78" s="39" t="s">
        <v>143</v>
      </c>
      <c r="L78" s="39">
        <v>2</v>
      </c>
      <c r="N78" s="39">
        <v>3</v>
      </c>
      <c r="O78" s="39">
        <v>0.75</v>
      </c>
      <c r="P78" s="39">
        <v>0.7</v>
      </c>
      <c r="Q78" s="61">
        <f t="shared" si="3"/>
        <v>0.72499999999999998</v>
      </c>
      <c r="R78" s="39">
        <v>19.8</v>
      </c>
      <c r="S78" s="39">
        <v>129</v>
      </c>
      <c r="T78" s="45">
        <f t="shared" si="4"/>
        <v>25</v>
      </c>
      <c r="U78" s="39">
        <v>430</v>
      </c>
      <c r="V78" s="117">
        <f t="shared" si="5"/>
        <v>3583.3333333333335</v>
      </c>
      <c r="W78" s="39">
        <v>16</v>
      </c>
      <c r="X78" s="22" t="s">
        <v>46</v>
      </c>
      <c r="Y78" s="39" t="s">
        <v>78</v>
      </c>
      <c r="Z78" s="39" t="s">
        <v>55</v>
      </c>
      <c r="AA78" s="39" t="s">
        <v>47</v>
      </c>
      <c r="AB78" s="22" t="s">
        <v>331</v>
      </c>
    </row>
    <row r="79" spans="1:29" x14ac:dyDescent="0.15">
      <c r="A79" s="22" t="s">
        <v>61</v>
      </c>
      <c r="B79" s="22" t="s">
        <v>384</v>
      </c>
      <c r="C79" s="22">
        <v>2020</v>
      </c>
      <c r="D79" s="116" t="s">
        <v>389</v>
      </c>
      <c r="E79" s="39" t="s">
        <v>391</v>
      </c>
      <c r="F79" s="39" t="s">
        <v>323</v>
      </c>
      <c r="G79" s="22" t="s">
        <v>36</v>
      </c>
      <c r="H79" s="39" t="s">
        <v>146</v>
      </c>
      <c r="I79" s="39" t="s">
        <v>142</v>
      </c>
      <c r="J79" s="22" t="s">
        <v>38</v>
      </c>
      <c r="K79" s="39" t="s">
        <v>143</v>
      </c>
      <c r="L79" s="39">
        <v>3</v>
      </c>
      <c r="N79" s="39">
        <v>3</v>
      </c>
      <c r="O79" s="39">
        <v>2</v>
      </c>
      <c r="P79" s="39">
        <v>0.8</v>
      </c>
      <c r="Q79" s="61">
        <f t="shared" si="3"/>
        <v>1.4</v>
      </c>
      <c r="R79" s="39">
        <v>16.600000000000001</v>
      </c>
      <c r="S79" s="39">
        <v>126</v>
      </c>
      <c r="T79" s="45">
        <f t="shared" si="4"/>
        <v>27</v>
      </c>
      <c r="U79" s="39">
        <v>430</v>
      </c>
      <c r="V79" s="117">
        <f t="shared" si="5"/>
        <v>3870.0000000000005</v>
      </c>
      <c r="W79" s="39">
        <v>16</v>
      </c>
      <c r="X79" s="22" t="s">
        <v>46</v>
      </c>
      <c r="Y79" s="39" t="s">
        <v>78</v>
      </c>
      <c r="Z79" s="39" t="s">
        <v>55</v>
      </c>
      <c r="AA79" s="39" t="s">
        <v>47</v>
      </c>
      <c r="AB79" s="22" t="s">
        <v>331</v>
      </c>
    </row>
    <row r="80" spans="1:29" x14ac:dyDescent="0.15">
      <c r="A80" s="22" t="s">
        <v>61</v>
      </c>
      <c r="B80" s="22" t="s">
        <v>384</v>
      </c>
      <c r="C80" s="22">
        <v>2020</v>
      </c>
      <c r="D80" s="116" t="s">
        <v>389</v>
      </c>
      <c r="E80" s="39" t="s">
        <v>391</v>
      </c>
      <c r="F80" s="39" t="s">
        <v>323</v>
      </c>
      <c r="G80" s="22" t="s">
        <v>36</v>
      </c>
      <c r="H80" s="39" t="s">
        <v>127</v>
      </c>
      <c r="I80" s="39" t="s">
        <v>142</v>
      </c>
      <c r="J80" s="22" t="s">
        <v>80</v>
      </c>
      <c r="K80" s="39" t="s">
        <v>59</v>
      </c>
      <c r="L80" s="39">
        <v>1</v>
      </c>
      <c r="N80" s="39">
        <v>8</v>
      </c>
      <c r="O80" s="39">
        <v>0.75</v>
      </c>
      <c r="P80" s="39">
        <v>0.8</v>
      </c>
      <c r="Q80" s="61">
        <f t="shared" si="3"/>
        <v>0.77500000000000002</v>
      </c>
      <c r="R80" s="39">
        <v>14</v>
      </c>
      <c r="S80" s="39">
        <v>69</v>
      </c>
      <c r="T80" s="45">
        <f t="shared" si="4"/>
        <v>50</v>
      </c>
      <c r="U80" s="39">
        <v>646</v>
      </c>
      <c r="V80" s="117">
        <f t="shared" si="5"/>
        <v>4037.5</v>
      </c>
      <c r="W80" s="39">
        <v>16</v>
      </c>
      <c r="X80" s="22" t="s">
        <v>46</v>
      </c>
      <c r="Y80" s="39" t="s">
        <v>78</v>
      </c>
      <c r="Z80" s="39" t="s">
        <v>55</v>
      </c>
      <c r="AA80" s="39" t="s">
        <v>47</v>
      </c>
      <c r="AB80" s="22" t="s">
        <v>331</v>
      </c>
    </row>
    <row r="81" spans="1:28" x14ac:dyDescent="0.15">
      <c r="A81" s="22" t="s">
        <v>61</v>
      </c>
      <c r="B81" s="22" t="s">
        <v>384</v>
      </c>
      <c r="C81" s="22">
        <v>2020</v>
      </c>
      <c r="D81" s="116" t="s">
        <v>389</v>
      </c>
      <c r="E81" s="39" t="s">
        <v>391</v>
      </c>
      <c r="F81" s="39" t="s">
        <v>323</v>
      </c>
      <c r="G81" s="22" t="s">
        <v>36</v>
      </c>
      <c r="H81" s="39" t="s">
        <v>127</v>
      </c>
      <c r="I81" s="39" t="s">
        <v>142</v>
      </c>
      <c r="J81" s="22" t="s">
        <v>80</v>
      </c>
      <c r="K81" s="39" t="s">
        <v>59</v>
      </c>
      <c r="L81" s="39">
        <v>2</v>
      </c>
      <c r="N81" s="39">
        <v>8</v>
      </c>
      <c r="O81" s="39">
        <v>0.85</v>
      </c>
      <c r="P81" s="39">
        <v>0.85</v>
      </c>
      <c r="Q81" s="61">
        <f t="shared" si="3"/>
        <v>0.85</v>
      </c>
      <c r="R81" s="39">
        <v>15.3</v>
      </c>
      <c r="S81" s="39">
        <v>86</v>
      </c>
      <c r="T81" s="45">
        <f t="shared" si="4"/>
        <v>36</v>
      </c>
      <c r="U81" s="39">
        <v>646</v>
      </c>
      <c r="V81" s="117">
        <f t="shared" si="5"/>
        <v>2907</v>
      </c>
      <c r="W81" s="39">
        <v>16</v>
      </c>
      <c r="X81" s="22" t="s">
        <v>46</v>
      </c>
      <c r="Y81" s="39" t="s">
        <v>78</v>
      </c>
      <c r="Z81" s="39" t="s">
        <v>55</v>
      </c>
      <c r="AA81" s="39" t="s">
        <v>47</v>
      </c>
      <c r="AB81" s="22" t="s">
        <v>331</v>
      </c>
    </row>
    <row r="82" spans="1:28" x14ac:dyDescent="0.15">
      <c r="A82" s="22" t="s">
        <v>61</v>
      </c>
      <c r="B82" s="22" t="s">
        <v>384</v>
      </c>
      <c r="C82" s="22">
        <v>2020</v>
      </c>
      <c r="D82" s="116" t="s">
        <v>389</v>
      </c>
      <c r="E82" s="39" t="s">
        <v>391</v>
      </c>
      <c r="F82" s="39" t="s">
        <v>323</v>
      </c>
      <c r="G82" s="22" t="s">
        <v>36</v>
      </c>
      <c r="H82" s="39" t="s">
        <v>127</v>
      </c>
      <c r="I82" s="39" t="s">
        <v>142</v>
      </c>
      <c r="J82" s="22" t="s">
        <v>80</v>
      </c>
      <c r="K82" s="39" t="s">
        <v>59</v>
      </c>
      <c r="L82" s="39">
        <v>3</v>
      </c>
      <c r="N82" s="39">
        <v>8</v>
      </c>
      <c r="O82" s="39">
        <v>0.7</v>
      </c>
      <c r="P82" s="39">
        <v>0.7</v>
      </c>
      <c r="Q82" s="61">
        <f t="shared" si="3"/>
        <v>0.7</v>
      </c>
      <c r="R82" s="39">
        <v>12.4</v>
      </c>
      <c r="S82" s="39">
        <v>81</v>
      </c>
      <c r="T82" s="45">
        <f t="shared" si="4"/>
        <v>39</v>
      </c>
      <c r="U82" s="39">
        <v>646</v>
      </c>
      <c r="V82" s="117">
        <f t="shared" si="5"/>
        <v>3149.25</v>
      </c>
      <c r="W82" s="39">
        <v>16</v>
      </c>
      <c r="X82" s="22" t="s">
        <v>46</v>
      </c>
      <c r="Y82" s="39" t="s">
        <v>78</v>
      </c>
      <c r="Z82" s="39" t="s">
        <v>55</v>
      </c>
      <c r="AA82" s="39" t="s">
        <v>47</v>
      </c>
      <c r="AB82" s="22" t="s">
        <v>331</v>
      </c>
    </row>
    <row r="83" spans="1:28" x14ac:dyDescent="0.15">
      <c r="A83" s="22" t="s">
        <v>61</v>
      </c>
      <c r="B83" s="22" t="s">
        <v>384</v>
      </c>
      <c r="C83" s="22">
        <v>2020</v>
      </c>
      <c r="D83" s="116" t="s">
        <v>389</v>
      </c>
      <c r="E83" s="39" t="s">
        <v>392</v>
      </c>
      <c r="F83" s="39" t="s">
        <v>219</v>
      </c>
      <c r="G83" s="22" t="s">
        <v>36</v>
      </c>
      <c r="H83" s="39" t="s">
        <v>146</v>
      </c>
      <c r="I83" s="39" t="s">
        <v>142</v>
      </c>
      <c r="J83" s="22" t="s">
        <v>38</v>
      </c>
      <c r="K83" s="39" t="s">
        <v>143</v>
      </c>
      <c r="L83" s="39">
        <v>1</v>
      </c>
      <c r="N83" s="39">
        <v>4</v>
      </c>
      <c r="O83" s="39">
        <v>0.6</v>
      </c>
      <c r="P83" s="39">
        <v>0.6</v>
      </c>
      <c r="Q83" s="61">
        <f t="shared" si="3"/>
        <v>0.6</v>
      </c>
      <c r="R83" s="39">
        <v>21.8</v>
      </c>
      <c r="S83" s="39">
        <v>99</v>
      </c>
      <c r="T83" s="45">
        <f t="shared" si="4"/>
        <v>33</v>
      </c>
      <c r="U83" s="39">
        <v>538</v>
      </c>
      <c r="V83" s="117">
        <f t="shared" si="5"/>
        <v>4438.5</v>
      </c>
      <c r="W83" s="39">
        <v>8</v>
      </c>
      <c r="X83" s="22" t="s">
        <v>46</v>
      </c>
      <c r="Y83" s="39" t="s">
        <v>47</v>
      </c>
      <c r="Z83" s="39" t="s">
        <v>69</v>
      </c>
      <c r="AA83" s="39" t="s">
        <v>55</v>
      </c>
      <c r="AB83" s="22" t="s">
        <v>331</v>
      </c>
    </row>
    <row r="84" spans="1:28" x14ac:dyDescent="0.15">
      <c r="A84" s="22" t="s">
        <v>61</v>
      </c>
      <c r="B84" s="22" t="s">
        <v>384</v>
      </c>
      <c r="C84" s="22">
        <v>2020</v>
      </c>
      <c r="D84" s="116" t="s">
        <v>389</v>
      </c>
      <c r="E84" s="39" t="s">
        <v>392</v>
      </c>
      <c r="F84" s="39" t="s">
        <v>219</v>
      </c>
      <c r="G84" s="22" t="s">
        <v>36</v>
      </c>
      <c r="H84" s="39" t="s">
        <v>146</v>
      </c>
      <c r="I84" s="39" t="s">
        <v>142</v>
      </c>
      <c r="J84" s="22" t="s">
        <v>38</v>
      </c>
      <c r="K84" s="39" t="s">
        <v>143</v>
      </c>
      <c r="L84" s="39">
        <v>2</v>
      </c>
      <c r="N84" s="39">
        <v>4</v>
      </c>
      <c r="O84" s="39">
        <v>0.6</v>
      </c>
      <c r="P84" s="39">
        <v>0.6</v>
      </c>
      <c r="Q84" s="61">
        <f t="shared" si="3"/>
        <v>0.6</v>
      </c>
      <c r="R84" s="39">
        <v>20.399999999999999</v>
      </c>
      <c r="S84" s="39">
        <v>96</v>
      </c>
      <c r="T84" s="45">
        <f t="shared" si="4"/>
        <v>36</v>
      </c>
      <c r="U84" s="39">
        <v>538</v>
      </c>
      <c r="V84" s="117">
        <f t="shared" si="5"/>
        <v>4842</v>
      </c>
      <c r="W84" s="39">
        <v>8</v>
      </c>
      <c r="X84" s="22" t="s">
        <v>46</v>
      </c>
      <c r="Y84" s="39" t="s">
        <v>47</v>
      </c>
      <c r="Z84" s="39" t="s">
        <v>69</v>
      </c>
      <c r="AA84" s="39" t="s">
        <v>55</v>
      </c>
      <c r="AB84" s="22" t="s">
        <v>331</v>
      </c>
    </row>
    <row r="85" spans="1:28" x14ac:dyDescent="0.15">
      <c r="A85" s="22" t="s">
        <v>61</v>
      </c>
      <c r="B85" s="22" t="s">
        <v>384</v>
      </c>
      <c r="C85" s="22">
        <v>2020</v>
      </c>
      <c r="D85" s="116" t="s">
        <v>389</v>
      </c>
      <c r="E85" s="39" t="s">
        <v>392</v>
      </c>
      <c r="F85" s="39" t="s">
        <v>219</v>
      </c>
      <c r="G85" s="22" t="s">
        <v>36</v>
      </c>
      <c r="H85" s="39" t="s">
        <v>146</v>
      </c>
      <c r="I85" s="39" t="s">
        <v>142</v>
      </c>
      <c r="J85" s="22" t="s">
        <v>38</v>
      </c>
      <c r="K85" s="39" t="s">
        <v>143</v>
      </c>
      <c r="L85" s="39">
        <v>3</v>
      </c>
      <c r="N85" s="39">
        <v>4</v>
      </c>
      <c r="O85" s="39">
        <v>0.75</v>
      </c>
      <c r="P85" s="39">
        <v>0.6</v>
      </c>
      <c r="Q85" s="61">
        <f t="shared" si="3"/>
        <v>0.67500000000000004</v>
      </c>
      <c r="R85" s="39">
        <v>17</v>
      </c>
      <c r="S85" s="39">
        <v>103</v>
      </c>
      <c r="T85" s="45">
        <f t="shared" si="4"/>
        <v>33</v>
      </c>
      <c r="U85" s="39">
        <v>538</v>
      </c>
      <c r="V85" s="117">
        <f t="shared" si="5"/>
        <v>4438.5</v>
      </c>
      <c r="W85" s="39">
        <v>8</v>
      </c>
      <c r="X85" s="22" t="s">
        <v>46</v>
      </c>
      <c r="Y85" s="39" t="s">
        <v>47</v>
      </c>
      <c r="Z85" s="39" t="s">
        <v>69</v>
      </c>
      <c r="AA85" s="39" t="s">
        <v>55</v>
      </c>
      <c r="AB85" s="22" t="s">
        <v>331</v>
      </c>
    </row>
    <row r="86" spans="1:28" x14ac:dyDescent="0.15">
      <c r="A86" s="22" t="s">
        <v>61</v>
      </c>
      <c r="B86" s="22" t="s">
        <v>384</v>
      </c>
      <c r="C86" s="22">
        <v>2020</v>
      </c>
      <c r="D86" s="116" t="s">
        <v>389</v>
      </c>
      <c r="E86" s="39" t="s">
        <v>392</v>
      </c>
      <c r="F86" s="39" t="s">
        <v>219</v>
      </c>
      <c r="G86" s="22" t="s">
        <v>36</v>
      </c>
      <c r="H86" s="39" t="s">
        <v>146</v>
      </c>
      <c r="I86" s="39" t="s">
        <v>142</v>
      </c>
      <c r="J86" s="22" t="s">
        <v>38</v>
      </c>
      <c r="K86" s="39" t="s">
        <v>143</v>
      </c>
      <c r="L86" s="39">
        <v>1</v>
      </c>
      <c r="N86" s="39">
        <v>1</v>
      </c>
      <c r="O86" s="39">
        <v>0.6</v>
      </c>
      <c r="P86" s="39">
        <v>0.6</v>
      </c>
      <c r="Q86" s="61">
        <f t="shared" si="3"/>
        <v>0.6</v>
      </c>
      <c r="R86" s="39">
        <v>17.600000000000001</v>
      </c>
      <c r="S86" s="39">
        <v>132</v>
      </c>
      <c r="T86" s="45">
        <f t="shared" si="4"/>
        <v>25</v>
      </c>
      <c r="U86" s="39">
        <v>171</v>
      </c>
      <c r="V86" s="117">
        <f t="shared" si="5"/>
        <v>4275</v>
      </c>
      <c r="W86" s="39">
        <v>8</v>
      </c>
      <c r="X86" s="22" t="s">
        <v>46</v>
      </c>
      <c r="Y86" s="39" t="s">
        <v>47</v>
      </c>
      <c r="Z86" s="39" t="s">
        <v>69</v>
      </c>
      <c r="AA86" s="39" t="s">
        <v>55</v>
      </c>
      <c r="AB86" s="22" t="s">
        <v>331</v>
      </c>
    </row>
    <row r="87" spans="1:28" x14ac:dyDescent="0.15">
      <c r="A87" s="22" t="s">
        <v>61</v>
      </c>
      <c r="B87" s="22" t="s">
        <v>384</v>
      </c>
      <c r="C87" s="22">
        <v>2020</v>
      </c>
      <c r="D87" s="116" t="s">
        <v>389</v>
      </c>
      <c r="E87" s="39" t="s">
        <v>392</v>
      </c>
      <c r="F87" s="39" t="s">
        <v>219</v>
      </c>
      <c r="G87" s="22" t="s">
        <v>36</v>
      </c>
      <c r="H87" s="39" t="s">
        <v>146</v>
      </c>
      <c r="I87" s="39" t="s">
        <v>142</v>
      </c>
      <c r="J87" s="22" t="s">
        <v>38</v>
      </c>
      <c r="K87" s="39" t="s">
        <v>143</v>
      </c>
      <c r="L87" s="39">
        <v>2</v>
      </c>
      <c r="N87" s="39">
        <v>1</v>
      </c>
      <c r="O87" s="39">
        <v>0.65</v>
      </c>
      <c r="P87" s="39">
        <v>0.65</v>
      </c>
      <c r="Q87" s="61">
        <f t="shared" si="3"/>
        <v>0.65</v>
      </c>
      <c r="R87" s="39">
        <v>17.8</v>
      </c>
      <c r="S87" s="39">
        <v>143</v>
      </c>
      <c r="T87" s="45">
        <f t="shared" si="4"/>
        <v>22</v>
      </c>
      <c r="U87" s="39">
        <v>171</v>
      </c>
      <c r="V87" s="117">
        <f t="shared" si="5"/>
        <v>3762</v>
      </c>
      <c r="W87" s="39">
        <v>8</v>
      </c>
      <c r="X87" s="22" t="s">
        <v>46</v>
      </c>
      <c r="Y87" s="39" t="s">
        <v>47</v>
      </c>
      <c r="Z87" s="39" t="s">
        <v>69</v>
      </c>
      <c r="AA87" s="39" t="s">
        <v>55</v>
      </c>
      <c r="AB87" s="22" t="s">
        <v>331</v>
      </c>
    </row>
    <row r="88" spans="1:28" x14ac:dyDescent="0.15">
      <c r="A88" s="22" t="s">
        <v>61</v>
      </c>
      <c r="B88" s="22" t="s">
        <v>384</v>
      </c>
      <c r="C88" s="22">
        <v>2020</v>
      </c>
      <c r="D88" s="116" t="s">
        <v>389</v>
      </c>
      <c r="E88" s="39" t="s">
        <v>392</v>
      </c>
      <c r="F88" s="39" t="s">
        <v>219</v>
      </c>
      <c r="G88" s="22" t="s">
        <v>36</v>
      </c>
      <c r="H88" s="39" t="s">
        <v>146</v>
      </c>
      <c r="I88" s="39" t="s">
        <v>142</v>
      </c>
      <c r="J88" s="22" t="s">
        <v>38</v>
      </c>
      <c r="K88" s="39" t="s">
        <v>143</v>
      </c>
      <c r="L88" s="39">
        <v>3</v>
      </c>
      <c r="N88" s="39">
        <v>1</v>
      </c>
      <c r="O88" s="39">
        <v>0.6</v>
      </c>
      <c r="P88" s="39">
        <v>0.65</v>
      </c>
      <c r="Q88" s="61">
        <f t="shared" si="3"/>
        <v>0.625</v>
      </c>
      <c r="R88" s="39">
        <v>17.600000000000001</v>
      </c>
      <c r="S88" s="39">
        <v>140</v>
      </c>
      <c r="T88" s="45">
        <f t="shared" si="4"/>
        <v>22</v>
      </c>
      <c r="U88" s="39">
        <v>171</v>
      </c>
      <c r="V88" s="117">
        <f t="shared" si="5"/>
        <v>3762</v>
      </c>
      <c r="W88" s="39">
        <v>8</v>
      </c>
      <c r="X88" s="22" t="s">
        <v>46</v>
      </c>
      <c r="Y88" s="39" t="s">
        <v>47</v>
      </c>
      <c r="Z88" s="39" t="s">
        <v>69</v>
      </c>
      <c r="AA88" s="39" t="s">
        <v>55</v>
      </c>
      <c r="AB88" s="22" t="s">
        <v>331</v>
      </c>
    </row>
    <row r="89" spans="1:28" x14ac:dyDescent="0.15">
      <c r="A89" s="22" t="s">
        <v>61</v>
      </c>
      <c r="B89" s="22" t="s">
        <v>384</v>
      </c>
      <c r="C89" s="22">
        <v>2020</v>
      </c>
      <c r="D89" s="116" t="s">
        <v>389</v>
      </c>
      <c r="E89" s="39" t="s">
        <v>392</v>
      </c>
      <c r="F89" s="39" t="s">
        <v>219</v>
      </c>
      <c r="G89" s="22" t="s">
        <v>36</v>
      </c>
      <c r="H89" s="39" t="s">
        <v>127</v>
      </c>
      <c r="I89" s="39" t="s">
        <v>142</v>
      </c>
      <c r="J89" s="22" t="s">
        <v>80</v>
      </c>
      <c r="K89" s="39" t="s">
        <v>54</v>
      </c>
      <c r="L89" s="39">
        <v>1</v>
      </c>
      <c r="N89" s="39">
        <v>1</v>
      </c>
      <c r="O89" s="39">
        <v>2</v>
      </c>
      <c r="P89" s="39">
        <v>2</v>
      </c>
      <c r="Q89" s="61">
        <f t="shared" si="3"/>
        <v>2</v>
      </c>
      <c r="R89" s="39">
        <v>15.1</v>
      </c>
      <c r="S89" s="39">
        <v>109</v>
      </c>
      <c r="T89" s="45">
        <f t="shared" si="4"/>
        <v>33</v>
      </c>
      <c r="U89" s="39">
        <v>149</v>
      </c>
      <c r="V89" s="117">
        <f t="shared" si="5"/>
        <v>4917</v>
      </c>
      <c r="W89" s="39">
        <v>8</v>
      </c>
      <c r="X89" s="22" t="s">
        <v>46</v>
      </c>
      <c r="Y89" s="39" t="s">
        <v>47</v>
      </c>
      <c r="Z89" s="39" t="s">
        <v>69</v>
      </c>
      <c r="AA89" s="39" t="s">
        <v>55</v>
      </c>
      <c r="AB89" s="22" t="s">
        <v>331</v>
      </c>
    </row>
    <row r="90" spans="1:28" x14ac:dyDescent="0.15">
      <c r="A90" s="22" t="s">
        <v>61</v>
      </c>
      <c r="B90" s="22" t="s">
        <v>384</v>
      </c>
      <c r="C90" s="22">
        <v>2020</v>
      </c>
      <c r="D90" s="116" t="s">
        <v>389</v>
      </c>
      <c r="E90" s="39" t="s">
        <v>392</v>
      </c>
      <c r="F90" s="39" t="s">
        <v>219</v>
      </c>
      <c r="G90" s="22" t="s">
        <v>36</v>
      </c>
      <c r="H90" s="39" t="s">
        <v>127</v>
      </c>
      <c r="I90" s="39" t="s">
        <v>142</v>
      </c>
      <c r="J90" s="22" t="s">
        <v>80</v>
      </c>
      <c r="K90" s="39" t="s">
        <v>54</v>
      </c>
      <c r="L90" s="39">
        <v>2</v>
      </c>
      <c r="N90" s="39">
        <v>1</v>
      </c>
      <c r="O90" s="39">
        <v>0.7</v>
      </c>
      <c r="P90" s="39">
        <v>0.75</v>
      </c>
      <c r="Q90" s="61">
        <f t="shared" si="3"/>
        <v>0.72499999999999998</v>
      </c>
      <c r="R90" s="39">
        <v>15.1</v>
      </c>
      <c r="S90" s="39">
        <v>114</v>
      </c>
      <c r="T90" s="45">
        <f t="shared" si="4"/>
        <v>30</v>
      </c>
      <c r="U90" s="39">
        <v>149</v>
      </c>
      <c r="V90" s="117">
        <f t="shared" si="5"/>
        <v>4470</v>
      </c>
      <c r="W90" s="39">
        <v>8</v>
      </c>
      <c r="X90" s="22" t="s">
        <v>46</v>
      </c>
      <c r="Y90" s="39" t="s">
        <v>47</v>
      </c>
      <c r="Z90" s="39" t="s">
        <v>69</v>
      </c>
      <c r="AA90" s="39" t="s">
        <v>55</v>
      </c>
      <c r="AB90" s="22" t="s">
        <v>331</v>
      </c>
    </row>
    <row r="91" spans="1:28" x14ac:dyDescent="0.15">
      <c r="A91" s="22" t="s">
        <v>61</v>
      </c>
      <c r="B91" s="22" t="s">
        <v>384</v>
      </c>
      <c r="C91" s="22">
        <v>2020</v>
      </c>
      <c r="D91" s="116" t="s">
        <v>389</v>
      </c>
      <c r="E91" s="39" t="s">
        <v>392</v>
      </c>
      <c r="F91" s="39" t="s">
        <v>219</v>
      </c>
      <c r="G91" s="22" t="s">
        <v>36</v>
      </c>
      <c r="H91" s="39" t="s">
        <v>127</v>
      </c>
      <c r="I91" s="39" t="s">
        <v>142</v>
      </c>
      <c r="J91" s="22" t="s">
        <v>80</v>
      </c>
      <c r="K91" s="39" t="s">
        <v>54</v>
      </c>
      <c r="L91" s="39">
        <v>3</v>
      </c>
      <c r="N91" s="39">
        <v>1</v>
      </c>
      <c r="O91" s="39">
        <v>0.65</v>
      </c>
      <c r="P91" s="39">
        <v>0.8</v>
      </c>
      <c r="Q91" s="61">
        <f t="shared" si="3"/>
        <v>0.72500000000000009</v>
      </c>
      <c r="R91" s="39">
        <v>14.6</v>
      </c>
      <c r="S91" s="39">
        <v>120</v>
      </c>
      <c r="T91" s="45">
        <f t="shared" si="4"/>
        <v>30</v>
      </c>
      <c r="U91" s="39">
        <v>149</v>
      </c>
      <c r="V91" s="117">
        <f t="shared" si="5"/>
        <v>4470</v>
      </c>
      <c r="W91" s="39">
        <v>8</v>
      </c>
      <c r="X91" s="22" t="s">
        <v>46</v>
      </c>
      <c r="Y91" s="39" t="s">
        <v>47</v>
      </c>
      <c r="Z91" s="39" t="s">
        <v>69</v>
      </c>
      <c r="AA91" s="39" t="s">
        <v>55</v>
      </c>
      <c r="AB91" s="22" t="s">
        <v>331</v>
      </c>
    </row>
    <row r="92" spans="1:28" x14ac:dyDescent="0.15">
      <c r="A92" s="22" t="s">
        <v>61</v>
      </c>
      <c r="B92" s="22" t="s">
        <v>384</v>
      </c>
      <c r="C92" s="22">
        <v>2020</v>
      </c>
      <c r="D92" s="116" t="s">
        <v>389</v>
      </c>
      <c r="E92" s="39" t="s">
        <v>392</v>
      </c>
      <c r="F92" s="39" t="s">
        <v>219</v>
      </c>
      <c r="G92" s="22" t="s">
        <v>36</v>
      </c>
      <c r="H92" s="39" t="s">
        <v>127</v>
      </c>
      <c r="I92" s="39" t="s">
        <v>142</v>
      </c>
      <c r="J92" s="22" t="s">
        <v>80</v>
      </c>
      <c r="K92" s="39" t="s">
        <v>54</v>
      </c>
      <c r="L92" s="39">
        <v>1</v>
      </c>
      <c r="N92" s="39">
        <v>4</v>
      </c>
      <c r="O92" s="39">
        <v>0.75</v>
      </c>
      <c r="P92" s="39">
        <v>0.8</v>
      </c>
      <c r="Q92" s="61">
        <f t="shared" si="3"/>
        <v>0.77500000000000002</v>
      </c>
      <c r="R92" s="39">
        <v>15.2</v>
      </c>
      <c r="S92" s="39">
        <v>94</v>
      </c>
      <c r="T92" s="45">
        <f t="shared" si="4"/>
        <v>36</v>
      </c>
      <c r="U92" s="39">
        <v>430</v>
      </c>
      <c r="V92" s="117">
        <f t="shared" si="5"/>
        <v>3870</v>
      </c>
      <c r="W92" s="39">
        <v>4</v>
      </c>
      <c r="X92" s="22" t="s">
        <v>46</v>
      </c>
      <c r="Y92" s="39" t="s">
        <v>40</v>
      </c>
      <c r="Z92" s="39" t="s">
        <v>78</v>
      </c>
      <c r="AA92" s="39" t="s">
        <v>69</v>
      </c>
      <c r="AB92" s="22" t="s">
        <v>331</v>
      </c>
    </row>
    <row r="93" spans="1:28" x14ac:dyDescent="0.15">
      <c r="A93" s="22" t="s">
        <v>61</v>
      </c>
      <c r="B93" s="22" t="s">
        <v>384</v>
      </c>
      <c r="C93" s="22">
        <v>2020</v>
      </c>
      <c r="D93" s="116" t="s">
        <v>389</v>
      </c>
      <c r="E93" s="39" t="s">
        <v>392</v>
      </c>
      <c r="F93" s="39" t="s">
        <v>219</v>
      </c>
      <c r="G93" s="22" t="s">
        <v>36</v>
      </c>
      <c r="H93" s="39" t="s">
        <v>127</v>
      </c>
      <c r="I93" s="39" t="s">
        <v>142</v>
      </c>
      <c r="J93" s="22" t="s">
        <v>80</v>
      </c>
      <c r="K93" s="39" t="s">
        <v>54</v>
      </c>
      <c r="L93" s="39">
        <v>2</v>
      </c>
      <c r="N93" s="39">
        <v>4</v>
      </c>
      <c r="O93" s="39">
        <v>0.8</v>
      </c>
      <c r="P93" s="39">
        <v>0.7</v>
      </c>
      <c r="Q93" s="61">
        <f t="shared" si="3"/>
        <v>0.75</v>
      </c>
      <c r="R93" s="39">
        <v>15</v>
      </c>
      <c r="S93" s="39">
        <v>76</v>
      </c>
      <c r="T93" s="45">
        <f t="shared" si="4"/>
        <v>39</v>
      </c>
      <c r="U93" s="39">
        <v>430</v>
      </c>
      <c r="V93" s="117">
        <f t="shared" si="5"/>
        <v>4192.5</v>
      </c>
      <c r="W93" s="39">
        <v>4</v>
      </c>
      <c r="X93" s="22" t="s">
        <v>46</v>
      </c>
      <c r="Y93" s="39" t="s">
        <v>40</v>
      </c>
      <c r="Z93" s="39" t="s">
        <v>78</v>
      </c>
      <c r="AA93" s="39" t="s">
        <v>69</v>
      </c>
      <c r="AB93" s="22" t="s">
        <v>331</v>
      </c>
    </row>
    <row r="94" spans="1:28" x14ac:dyDescent="0.15">
      <c r="A94" s="22" t="s">
        <v>61</v>
      </c>
      <c r="B94" s="22" t="s">
        <v>384</v>
      </c>
      <c r="C94" s="22">
        <v>2020</v>
      </c>
      <c r="D94" s="116" t="s">
        <v>389</v>
      </c>
      <c r="E94" s="39" t="s">
        <v>392</v>
      </c>
      <c r="F94" s="39" t="s">
        <v>219</v>
      </c>
      <c r="G94" s="22" t="s">
        <v>36</v>
      </c>
      <c r="H94" s="39" t="s">
        <v>127</v>
      </c>
      <c r="I94" s="39" t="s">
        <v>142</v>
      </c>
      <c r="J94" s="22" t="s">
        <v>80</v>
      </c>
      <c r="K94" s="39" t="s">
        <v>54</v>
      </c>
      <c r="L94" s="39">
        <v>3</v>
      </c>
      <c r="N94" s="39">
        <v>4</v>
      </c>
      <c r="O94" s="39">
        <v>2</v>
      </c>
      <c r="P94" s="39">
        <v>2</v>
      </c>
      <c r="Q94" s="61">
        <f t="shared" si="3"/>
        <v>2</v>
      </c>
      <c r="R94" s="39">
        <v>15.1</v>
      </c>
      <c r="S94" s="39">
        <v>76</v>
      </c>
      <c r="T94" s="45">
        <f t="shared" si="4"/>
        <v>39</v>
      </c>
      <c r="U94" s="39">
        <v>430</v>
      </c>
      <c r="V94" s="117">
        <f t="shared" si="5"/>
        <v>4192.5</v>
      </c>
      <c r="W94" s="39">
        <v>4</v>
      </c>
      <c r="X94" s="22" t="s">
        <v>46</v>
      </c>
      <c r="Y94" s="39" t="s">
        <v>40</v>
      </c>
      <c r="Z94" s="39" t="s">
        <v>78</v>
      </c>
      <c r="AA94" s="39" t="s">
        <v>69</v>
      </c>
      <c r="AB94" s="22" t="s">
        <v>331</v>
      </c>
    </row>
    <row r="95" spans="1:28" x14ac:dyDescent="0.15">
      <c r="A95" s="22" t="s">
        <v>61</v>
      </c>
      <c r="B95" s="22" t="s">
        <v>384</v>
      </c>
      <c r="C95" s="22">
        <v>2020</v>
      </c>
      <c r="D95" s="116" t="s">
        <v>389</v>
      </c>
      <c r="E95" s="39" t="s">
        <v>393</v>
      </c>
      <c r="F95" s="39" t="s">
        <v>219</v>
      </c>
      <c r="G95" s="22" t="s">
        <v>36</v>
      </c>
      <c r="H95" s="39" t="s">
        <v>146</v>
      </c>
      <c r="I95" s="39" t="s">
        <v>142</v>
      </c>
      <c r="J95" s="22" t="s">
        <v>38</v>
      </c>
      <c r="K95" s="39" t="s">
        <v>143</v>
      </c>
      <c r="L95" s="39">
        <v>1</v>
      </c>
      <c r="N95" s="39">
        <v>1</v>
      </c>
      <c r="O95" s="39">
        <v>0.65</v>
      </c>
      <c r="P95" s="39">
        <v>0.65</v>
      </c>
      <c r="Q95" s="61">
        <f t="shared" si="3"/>
        <v>0.65</v>
      </c>
      <c r="R95" s="39">
        <v>19.899999999999999</v>
      </c>
      <c r="S95" s="39">
        <v>155</v>
      </c>
      <c r="T95" s="45">
        <f t="shared" si="4"/>
        <v>18</v>
      </c>
      <c r="U95" s="39">
        <v>170</v>
      </c>
      <c r="V95" s="117">
        <f t="shared" si="5"/>
        <v>3060</v>
      </c>
      <c r="W95" s="39">
        <v>4</v>
      </c>
      <c r="X95" s="22" t="s">
        <v>46</v>
      </c>
      <c r="Y95" s="39" t="s">
        <v>40</v>
      </c>
      <c r="Z95" s="39" t="s">
        <v>78</v>
      </c>
      <c r="AA95" s="39" t="s">
        <v>69</v>
      </c>
      <c r="AB95" s="22" t="s">
        <v>331</v>
      </c>
    </row>
    <row r="96" spans="1:28" x14ac:dyDescent="0.15">
      <c r="A96" s="22" t="s">
        <v>61</v>
      </c>
      <c r="B96" s="22" t="s">
        <v>384</v>
      </c>
      <c r="C96" s="22">
        <v>2020</v>
      </c>
      <c r="D96" s="116" t="s">
        <v>389</v>
      </c>
      <c r="E96" s="39" t="s">
        <v>393</v>
      </c>
      <c r="F96" s="39" t="s">
        <v>219</v>
      </c>
      <c r="G96" s="22" t="s">
        <v>36</v>
      </c>
      <c r="H96" s="39" t="s">
        <v>146</v>
      </c>
      <c r="I96" s="39" t="s">
        <v>142</v>
      </c>
      <c r="J96" s="22" t="s">
        <v>38</v>
      </c>
      <c r="K96" s="39" t="s">
        <v>143</v>
      </c>
      <c r="L96" s="39">
        <v>2</v>
      </c>
      <c r="N96" s="39">
        <v>1</v>
      </c>
      <c r="O96" s="39">
        <v>0.7</v>
      </c>
      <c r="P96" s="39">
        <v>0.8</v>
      </c>
      <c r="Q96" s="61">
        <f t="shared" si="3"/>
        <v>0.75</v>
      </c>
      <c r="R96" s="39">
        <v>19.899999999999999</v>
      </c>
      <c r="S96" s="39">
        <v>157</v>
      </c>
      <c r="T96" s="45">
        <f t="shared" si="4"/>
        <v>18</v>
      </c>
      <c r="U96" s="39">
        <v>170</v>
      </c>
      <c r="V96" s="117">
        <f t="shared" si="5"/>
        <v>3060</v>
      </c>
      <c r="W96" s="39">
        <v>4</v>
      </c>
      <c r="X96" s="22" t="s">
        <v>46</v>
      </c>
      <c r="Y96" s="39" t="s">
        <v>40</v>
      </c>
      <c r="Z96" s="39" t="s">
        <v>78</v>
      </c>
      <c r="AA96" s="39" t="s">
        <v>69</v>
      </c>
      <c r="AB96" s="22" t="s">
        <v>331</v>
      </c>
    </row>
    <row r="97" spans="1:28" x14ac:dyDescent="0.15">
      <c r="A97" s="22" t="s">
        <v>61</v>
      </c>
      <c r="B97" s="22" t="s">
        <v>384</v>
      </c>
      <c r="C97" s="22">
        <v>2020</v>
      </c>
      <c r="D97" s="116" t="s">
        <v>389</v>
      </c>
      <c r="E97" s="39" t="s">
        <v>393</v>
      </c>
      <c r="F97" s="39" t="s">
        <v>219</v>
      </c>
      <c r="G97" s="22" t="s">
        <v>36</v>
      </c>
      <c r="H97" s="39" t="s">
        <v>146</v>
      </c>
      <c r="I97" s="39" t="s">
        <v>142</v>
      </c>
      <c r="J97" s="22" t="s">
        <v>38</v>
      </c>
      <c r="K97" s="39" t="s">
        <v>143</v>
      </c>
      <c r="L97" s="39">
        <v>3</v>
      </c>
      <c r="N97" s="39">
        <v>1</v>
      </c>
      <c r="O97" s="39">
        <v>0.75</v>
      </c>
      <c r="P97" s="39">
        <v>0.75</v>
      </c>
      <c r="Q97" s="61">
        <f t="shared" si="3"/>
        <v>0.75</v>
      </c>
      <c r="R97" s="39">
        <v>15.9</v>
      </c>
      <c r="S97" s="39">
        <v>149</v>
      </c>
      <c r="T97" s="45">
        <f t="shared" si="4"/>
        <v>22</v>
      </c>
      <c r="U97" s="39">
        <v>170</v>
      </c>
      <c r="V97" s="117">
        <f t="shared" si="5"/>
        <v>3740</v>
      </c>
      <c r="W97" s="39">
        <v>4</v>
      </c>
      <c r="X97" s="22" t="s">
        <v>46</v>
      </c>
      <c r="Y97" s="39" t="s">
        <v>40</v>
      </c>
      <c r="Z97" s="39" t="s">
        <v>78</v>
      </c>
      <c r="AA97" s="39" t="s">
        <v>69</v>
      </c>
      <c r="AB97" s="22" t="s">
        <v>331</v>
      </c>
    </row>
    <row r="98" spans="1:28" x14ac:dyDescent="0.15">
      <c r="A98" s="22" t="s">
        <v>61</v>
      </c>
      <c r="B98" s="22" t="s">
        <v>384</v>
      </c>
      <c r="C98" s="22">
        <v>2020</v>
      </c>
      <c r="D98" s="116" t="s">
        <v>389</v>
      </c>
      <c r="E98" s="39" t="s">
        <v>393</v>
      </c>
      <c r="F98" s="39" t="s">
        <v>219</v>
      </c>
      <c r="G98" s="22" t="s">
        <v>36</v>
      </c>
      <c r="H98" s="39" t="s">
        <v>127</v>
      </c>
      <c r="I98" s="39" t="s">
        <v>142</v>
      </c>
      <c r="J98" s="22" t="s">
        <v>80</v>
      </c>
      <c r="K98" s="39" t="s">
        <v>123</v>
      </c>
      <c r="L98" s="39">
        <v>1</v>
      </c>
      <c r="N98" s="39">
        <v>1</v>
      </c>
      <c r="O98" s="39">
        <v>0.6</v>
      </c>
      <c r="P98" s="39">
        <v>0.6</v>
      </c>
      <c r="Q98" s="61">
        <f t="shared" si="3"/>
        <v>0.6</v>
      </c>
      <c r="R98" s="39">
        <v>13.8</v>
      </c>
      <c r="S98" s="39">
        <v>127</v>
      </c>
      <c r="T98" s="45">
        <f t="shared" si="4"/>
        <v>27</v>
      </c>
      <c r="U98" s="39">
        <v>106</v>
      </c>
      <c r="V98" s="117">
        <f t="shared" si="5"/>
        <v>2862</v>
      </c>
      <c r="W98" s="39">
        <v>4</v>
      </c>
      <c r="X98" s="22" t="s">
        <v>46</v>
      </c>
      <c r="Y98" s="39" t="s">
        <v>40</v>
      </c>
      <c r="Z98" s="39" t="s">
        <v>78</v>
      </c>
      <c r="AA98" s="39" t="s">
        <v>69</v>
      </c>
      <c r="AB98" s="22" t="s">
        <v>331</v>
      </c>
    </row>
    <row r="99" spans="1:28" x14ac:dyDescent="0.15">
      <c r="A99" s="22" t="s">
        <v>61</v>
      </c>
      <c r="B99" s="22" t="s">
        <v>384</v>
      </c>
      <c r="C99" s="22">
        <v>2020</v>
      </c>
      <c r="D99" s="116" t="s">
        <v>389</v>
      </c>
      <c r="E99" s="39" t="s">
        <v>393</v>
      </c>
      <c r="F99" s="39" t="s">
        <v>219</v>
      </c>
      <c r="G99" s="22" t="s">
        <v>36</v>
      </c>
      <c r="H99" s="39" t="s">
        <v>127</v>
      </c>
      <c r="I99" s="39" t="s">
        <v>142</v>
      </c>
      <c r="J99" s="22" t="s">
        <v>80</v>
      </c>
      <c r="K99" s="39" t="s">
        <v>123</v>
      </c>
      <c r="L99" s="39">
        <v>2</v>
      </c>
      <c r="N99" s="39">
        <v>1</v>
      </c>
      <c r="O99" s="39">
        <v>0.65</v>
      </c>
      <c r="P99" s="39">
        <v>0.7</v>
      </c>
      <c r="Q99" s="61">
        <f t="shared" si="3"/>
        <v>0.67500000000000004</v>
      </c>
      <c r="R99" s="39">
        <v>13.5</v>
      </c>
      <c r="S99" s="39">
        <v>127</v>
      </c>
      <c r="T99" s="45">
        <f t="shared" si="4"/>
        <v>27</v>
      </c>
      <c r="U99" s="39">
        <v>106</v>
      </c>
      <c r="V99" s="117">
        <f t="shared" si="5"/>
        <v>2862</v>
      </c>
      <c r="W99" s="39">
        <v>4</v>
      </c>
      <c r="X99" s="22" t="s">
        <v>46</v>
      </c>
      <c r="Y99" s="39" t="s">
        <v>40</v>
      </c>
      <c r="Z99" s="39" t="s">
        <v>78</v>
      </c>
      <c r="AA99" s="39" t="s">
        <v>69</v>
      </c>
      <c r="AB99" s="22" t="s">
        <v>331</v>
      </c>
    </row>
    <row r="100" spans="1:28" x14ac:dyDescent="0.15">
      <c r="A100" s="22" t="s">
        <v>61</v>
      </c>
      <c r="B100" s="22" t="s">
        <v>384</v>
      </c>
      <c r="C100" s="22">
        <v>2020</v>
      </c>
      <c r="D100" s="116" t="s">
        <v>389</v>
      </c>
      <c r="E100" s="39" t="s">
        <v>393</v>
      </c>
      <c r="F100" s="39" t="s">
        <v>219</v>
      </c>
      <c r="G100" s="22" t="s">
        <v>36</v>
      </c>
      <c r="H100" s="39" t="s">
        <v>127</v>
      </c>
      <c r="I100" s="39" t="s">
        <v>142</v>
      </c>
      <c r="J100" s="22" t="s">
        <v>80</v>
      </c>
      <c r="K100" s="39" t="s">
        <v>123</v>
      </c>
      <c r="L100" s="39">
        <v>3</v>
      </c>
      <c r="N100" s="39">
        <v>1</v>
      </c>
      <c r="O100" s="39">
        <v>0.6</v>
      </c>
      <c r="P100" s="39">
        <v>0.6</v>
      </c>
      <c r="Q100" s="61">
        <f t="shared" si="3"/>
        <v>0.6</v>
      </c>
      <c r="R100" s="39">
        <v>13.4</v>
      </c>
      <c r="S100" s="39">
        <v>135</v>
      </c>
      <c r="T100" s="45">
        <f t="shared" si="4"/>
        <v>25</v>
      </c>
      <c r="U100" s="39">
        <v>106</v>
      </c>
      <c r="V100" s="117">
        <f t="shared" si="5"/>
        <v>2650</v>
      </c>
      <c r="W100" s="39">
        <v>4</v>
      </c>
      <c r="X100" s="22" t="s">
        <v>46</v>
      </c>
      <c r="Y100" s="39" t="s">
        <v>40</v>
      </c>
      <c r="Z100" s="39" t="s">
        <v>78</v>
      </c>
      <c r="AA100" s="39" t="s">
        <v>69</v>
      </c>
      <c r="AB100" s="22" t="s">
        <v>331</v>
      </c>
    </row>
    <row r="101" spans="1:28" x14ac:dyDescent="0.15">
      <c r="A101" s="22"/>
      <c r="B101" s="22"/>
      <c r="C101" s="22"/>
      <c r="D101" s="116"/>
      <c r="G101" s="22"/>
      <c r="J101" s="22"/>
      <c r="Q101" s="61" t="str">
        <f t="shared" si="3"/>
        <v/>
      </c>
      <c r="T101" s="45" t="str">
        <f t="shared" si="4"/>
        <v/>
      </c>
      <c r="V101" s="117" t="str">
        <f t="shared" si="5"/>
        <v/>
      </c>
      <c r="X101" s="22"/>
      <c r="AB101" s="22"/>
    </row>
    <row r="102" spans="1:28" x14ac:dyDescent="0.15">
      <c r="A102" s="22"/>
      <c r="B102" s="22"/>
      <c r="C102" s="22"/>
      <c r="D102" s="116"/>
      <c r="G102" s="22"/>
      <c r="J102" s="22"/>
      <c r="Q102" s="61" t="str">
        <f t="shared" si="3"/>
        <v/>
      </c>
      <c r="T102" s="45" t="str">
        <f t="shared" si="4"/>
        <v/>
      </c>
      <c r="V102" s="117" t="str">
        <f t="shared" si="5"/>
        <v/>
      </c>
      <c r="X102" s="22"/>
      <c r="AB102" s="22"/>
    </row>
    <row r="103" spans="1:28" x14ac:dyDescent="0.15">
      <c r="A103" s="22"/>
      <c r="B103" s="22"/>
      <c r="C103" s="22"/>
      <c r="D103" s="116"/>
      <c r="G103" s="22"/>
      <c r="J103" s="22"/>
      <c r="Q103" s="61" t="str">
        <f t="shared" si="3"/>
        <v/>
      </c>
      <c r="T103" s="45" t="str">
        <f t="shared" si="4"/>
        <v/>
      </c>
      <c r="V103" s="117" t="str">
        <f t="shared" si="5"/>
        <v/>
      </c>
      <c r="X103" s="22"/>
      <c r="AB103" s="22"/>
    </row>
    <row r="104" spans="1:28" x14ac:dyDescent="0.15">
      <c r="A104" s="22"/>
      <c r="B104" s="22"/>
      <c r="C104" s="22"/>
      <c r="D104" s="116"/>
      <c r="G104" s="22"/>
      <c r="J104" s="22"/>
      <c r="Q104" s="61" t="str">
        <f t="shared" si="3"/>
        <v/>
      </c>
      <c r="T104" s="45" t="str">
        <f t="shared" si="4"/>
        <v/>
      </c>
      <c r="V104" s="117" t="str">
        <f t="shared" si="5"/>
        <v/>
      </c>
      <c r="X104" s="22"/>
      <c r="AB104" s="22"/>
    </row>
    <row r="105" spans="1:28" x14ac:dyDescent="0.15">
      <c r="A105" s="22"/>
      <c r="B105" s="22"/>
      <c r="C105" s="22"/>
      <c r="D105" s="116"/>
      <c r="G105" s="22"/>
      <c r="J105" s="22"/>
      <c r="Q105" s="61"/>
      <c r="V105" s="117"/>
      <c r="X105" s="22"/>
      <c r="AB105" s="22"/>
    </row>
    <row r="106" spans="1:28" x14ac:dyDescent="0.15">
      <c r="A106" s="22"/>
      <c r="B106" s="22"/>
      <c r="C106" s="22"/>
      <c r="D106" s="116"/>
      <c r="G106" s="22"/>
      <c r="J106" s="22"/>
      <c r="Q106" s="61"/>
      <c r="V106" s="117"/>
      <c r="X106" s="22"/>
      <c r="AB106" s="22"/>
    </row>
    <row r="107" spans="1:28" x14ac:dyDescent="0.15">
      <c r="A107" s="22"/>
      <c r="B107" s="22"/>
      <c r="C107" s="22"/>
      <c r="D107" s="116"/>
      <c r="G107" s="22"/>
      <c r="J107" s="22"/>
      <c r="Q107" s="61"/>
      <c r="V107" s="117"/>
      <c r="X107" s="22"/>
      <c r="AB107" s="22"/>
    </row>
    <row r="108" spans="1:28" x14ac:dyDescent="0.15">
      <c r="A108" s="22"/>
      <c r="B108" s="22"/>
      <c r="C108" s="22"/>
      <c r="D108" s="116"/>
      <c r="G108" s="22"/>
      <c r="J108" s="22"/>
      <c r="Q108" s="61"/>
      <c r="V108" s="117"/>
      <c r="X108" s="22"/>
      <c r="AB108" s="22"/>
    </row>
    <row r="109" spans="1:28" x14ac:dyDescent="0.15">
      <c r="A109" s="22"/>
      <c r="B109" s="22"/>
      <c r="C109" s="22"/>
      <c r="D109" s="116"/>
      <c r="G109" s="22"/>
      <c r="J109" s="22"/>
      <c r="Q109" s="61"/>
      <c r="V109" s="117"/>
      <c r="X109" s="22"/>
      <c r="AB109" s="22"/>
    </row>
    <row r="110" spans="1:28" x14ac:dyDescent="0.15">
      <c r="A110" s="22"/>
      <c r="B110" s="22"/>
      <c r="C110" s="22"/>
      <c r="D110" s="116"/>
      <c r="G110" s="22"/>
      <c r="J110" s="22"/>
      <c r="Q110" s="61"/>
      <c r="V110" s="117"/>
      <c r="X110" s="22"/>
      <c r="AB110" s="22"/>
    </row>
    <row r="111" spans="1:28" x14ac:dyDescent="0.15">
      <c r="A111" s="22"/>
      <c r="B111" s="22"/>
      <c r="C111" s="22"/>
      <c r="D111" s="116"/>
      <c r="G111" s="22"/>
      <c r="J111" s="22"/>
      <c r="Q111" s="61"/>
      <c r="V111" s="117"/>
      <c r="X111" s="22"/>
      <c r="AB111" s="22"/>
    </row>
    <row r="112" spans="1:28" x14ac:dyDescent="0.15">
      <c r="A112" s="22"/>
      <c r="B112" s="22"/>
      <c r="C112" s="22"/>
      <c r="D112" s="116"/>
      <c r="G112" s="22"/>
      <c r="J112" s="22"/>
      <c r="Q112" s="61"/>
      <c r="V112" s="117"/>
      <c r="X112" s="22"/>
      <c r="AB112" s="22"/>
    </row>
    <row r="113" spans="1:4" x14ac:dyDescent="0.15">
      <c r="A113" s="22"/>
      <c r="B113" s="22"/>
      <c r="C113" s="22"/>
      <c r="D113" s="116"/>
    </row>
    <row r="114" spans="1:4" x14ac:dyDescent="0.15">
      <c r="A114" s="22"/>
      <c r="B114" s="22"/>
      <c r="C114" s="22"/>
      <c r="D114" s="116"/>
    </row>
    <row r="115" spans="1:4" x14ac:dyDescent="0.15">
      <c r="A115" s="22"/>
      <c r="B115" s="22"/>
      <c r="C115" s="22"/>
      <c r="D115" s="116"/>
    </row>
    <row r="116" spans="1:4" x14ac:dyDescent="0.15">
      <c r="A116" s="22"/>
      <c r="B116" s="22"/>
      <c r="C116" s="22"/>
      <c r="D116" s="116"/>
    </row>
    <row r="117" spans="1:4" x14ac:dyDescent="0.15">
      <c r="A117" s="22"/>
      <c r="B117" s="22"/>
      <c r="C117" s="22"/>
      <c r="D117" s="116"/>
    </row>
  </sheetData>
  <autoFilter ref="A1:BA104" xr:uid="{00000000-0009-0000-0000-000004000000}"/>
  <dataConsolidate/>
  <phoneticPr fontId="3"/>
  <dataValidations count="23">
    <dataValidation type="list" allowBlank="1" showInputMessage="1" showErrorMessage="1" sqref="K54:K55 K53 K2 K3" xr:uid="{FC9AC539-957F-4C0D-8487-BE1C9D186EC0}">
      <formula1>$AR$2:$AR$27</formula1>
    </dataValidation>
    <dataValidation type="decimal" allowBlank="1" showInputMessage="1" showErrorMessage="1" error="硬度を正しく入力して下さい。" sqref="O39:P90 P33:P38 O5:P10 P11:P14 O15:P32 O92:P500" xr:uid="{BDABAD34-1402-4301-BD7E-77EFFFC418D3}">
      <formula1>0</formula1>
      <formula2>7</formula2>
    </dataValidation>
    <dataValidation type="list" allowBlank="1" showInputMessage="1" showErrorMessage="1" sqref="Y2:AA500" xr:uid="{CE1B822D-A8C5-468C-8F6D-2075F490EC2D}">
      <formula1>$AV$2:$AV$21</formula1>
    </dataValidation>
    <dataValidation type="list" allowBlank="1" showInputMessage="1" showErrorMessage="1" sqref="A2:A500" xr:uid="{F8058FCF-CD51-48DA-AFDF-80EE276F04AA}">
      <formula1>$AE$2:$AE$19</formula1>
    </dataValidation>
    <dataValidation type="list" allowBlank="1" showInputMessage="1" showErrorMessage="1" sqref="E2:E500" xr:uid="{37E24F02-ABF0-4E17-A905-3447AB876C85}">
      <formula1>$AG$2:$AG$11</formula1>
    </dataValidation>
    <dataValidation type="list" allowBlank="1" showInputMessage="1" showErrorMessage="1" sqref="F2:F500" xr:uid="{38FD644B-C8E4-4894-B112-F1C3088397D7}">
      <formula1>$AH$2:$AH$10</formula1>
    </dataValidation>
    <dataValidation type="list" allowBlank="1" showInputMessage="1" showErrorMessage="1" sqref="J4:J500" xr:uid="{BB44F233-D9BF-49EC-8382-51549013EA81}">
      <formula1>$AP$2:$AP$27</formula1>
    </dataValidation>
    <dataValidation type="list" allowBlank="1" showInputMessage="1" showErrorMessage="1" sqref="K121:K500" xr:uid="{11CB98E5-68C2-4E23-AF4D-239F491C375A}">
      <formula1>$AR$2:$AR$25</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5EC56CAD-23B3-4698-B755-14F7A4AC01A4}">
      <formula1>$AV$2:$AV$22</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2A7A68CF-B0B4-4271-89E6-04950520A3CC}">
      <formula1>$AN$5:$AN$6</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A12B0DB8-6C19-400B-B4C6-F915DD568981}">
      <formula1>$AL$8:$AL$13</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500" xr:uid="{8C95E956-F352-4D8A-B419-F08A0CEA6ED4}">
      <formula1>$AJ$2:$AJ$4</formula1>
    </dataValidation>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9827F5DB-496C-4BBF-99EF-ED209324C35B}">
      <formula1>$AE$2:$AE$22</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2:B117" xr:uid="{FA90B83C-1797-4957-B2F5-EC1F2263E5BE}"/>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0AAA4A8F-BD7C-487B-816F-0230A55AA415}">
      <formula1>$AT$2:$AT$3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EAF5D50B-FB15-461D-AAB8-8DD915DCC45F}">
      <formula1>$AG$2:$AG$13</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95B925C3-0E72-476E-ABC9-355DA40AAB40}">
      <formula1>$AH$2:$AH$13</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4E204D85-050D-4D88-B8AB-EF9C871A6A6C}">
      <formula1>$AP$2:$AP$15</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E27D9E79-53C3-46DB-BBD6-2F32852685B9}">
      <formula1>$AR$2:$AR$24</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2A3171D8-347D-42FC-ABC2-C23C0059E946}">
      <formula1>$AN$8:$AN$9</formula1>
    </dataValidation>
    <dataValidation type="list" allowBlank="1" showInputMessage="1" showErrorMessage="1" sqref="K56:K120 K4:K52" xr:uid="{FE94F555-B6D9-4C7E-B51A-FEAA0EB1095D}">
      <formula1>$AR$2:$AR$26</formula1>
    </dataValidation>
    <dataValidation type="list" allowBlank="1" showInputMessage="1" showErrorMessage="1" sqref="H2:H1429" xr:uid="{8C79DD22-85CD-4323-A0A5-3030D5E6DD53}">
      <formula1>$AL$2:$AL$9</formula1>
    </dataValidation>
    <dataValidation type="list" allowBlank="1" showInputMessage="1" showErrorMessage="1" sqref="J2 J3" xr:uid="{453F558B-FE89-4196-9BA4-F0FE1610AB70}">
      <formula1>$AP$2:$AP$28</formula1>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C180-86B7-4497-8772-F3398CF313C2}">
  <dimension ref="A1:BA152"/>
  <sheetViews>
    <sheetView zoomScale="70" zoomScaleNormal="70" workbookViewId="0"/>
  </sheetViews>
  <sheetFormatPr defaultColWidth="8.875" defaultRowHeight="13.5" x14ac:dyDescent="0.15"/>
  <cols>
    <col min="1" max="3" width="8.875" style="39"/>
    <col min="4" max="4" width="13.5" style="39" bestFit="1" customWidth="1"/>
    <col min="5" max="5" width="9.625" style="39" bestFit="1" customWidth="1"/>
    <col min="6" max="16" width="8.875" style="39"/>
    <col min="17" max="17" width="8.875" style="45"/>
    <col min="18" max="19" width="8.875" style="39"/>
    <col min="20" max="20" width="8.875" style="45"/>
    <col min="21" max="21" width="8.875" style="39"/>
    <col min="22" max="22" width="8.875" style="45"/>
    <col min="23" max="32" width="8.875" style="39"/>
    <col min="33" max="33" width="19.625" style="39" bestFit="1" customWidth="1"/>
    <col min="34" max="259" width="8.875" style="39"/>
    <col min="260" max="260" width="10.5" style="39" bestFit="1" customWidth="1"/>
    <col min="261" max="261" width="9.625" style="39" bestFit="1" customWidth="1"/>
    <col min="262" max="515" width="8.875" style="39"/>
    <col min="516" max="516" width="10.5" style="39" bestFit="1" customWidth="1"/>
    <col min="517" max="517" width="9.625" style="39" bestFit="1" customWidth="1"/>
    <col min="518" max="771" width="8.875" style="39"/>
    <col min="772" max="772" width="10.5" style="39" bestFit="1" customWidth="1"/>
    <col min="773" max="773" width="9.625" style="39" bestFit="1" customWidth="1"/>
    <col min="774" max="1027" width="8.875" style="39"/>
    <col min="1028" max="1028" width="10.5" style="39" bestFit="1" customWidth="1"/>
    <col min="1029" max="1029" width="9.625" style="39" bestFit="1" customWidth="1"/>
    <col min="1030" max="1283" width="8.875" style="39"/>
    <col min="1284" max="1284" width="10.5" style="39" bestFit="1" customWidth="1"/>
    <col min="1285" max="1285" width="9.625" style="39" bestFit="1" customWidth="1"/>
    <col min="1286" max="1539" width="8.875" style="39"/>
    <col min="1540" max="1540" width="10.5" style="39" bestFit="1" customWidth="1"/>
    <col min="1541" max="1541" width="9.625" style="39" bestFit="1" customWidth="1"/>
    <col min="1542" max="1795" width="8.875" style="39"/>
    <col min="1796" max="1796" width="10.5" style="39" bestFit="1" customWidth="1"/>
    <col min="1797" max="1797" width="9.625" style="39" bestFit="1" customWidth="1"/>
    <col min="1798" max="2051" width="8.875" style="39"/>
    <col min="2052" max="2052" width="10.5" style="39" bestFit="1" customWidth="1"/>
    <col min="2053" max="2053" width="9.625" style="39" bestFit="1" customWidth="1"/>
    <col min="2054" max="2307" width="8.875" style="39"/>
    <col min="2308" max="2308" width="10.5" style="39" bestFit="1" customWidth="1"/>
    <col min="2309" max="2309" width="9.625" style="39" bestFit="1" customWidth="1"/>
    <col min="2310" max="2563" width="8.875" style="39"/>
    <col min="2564" max="2564" width="10.5" style="39" bestFit="1" customWidth="1"/>
    <col min="2565" max="2565" width="9.625" style="39" bestFit="1" customWidth="1"/>
    <col min="2566" max="2819" width="8.875" style="39"/>
    <col min="2820" max="2820" width="10.5" style="39" bestFit="1" customWidth="1"/>
    <col min="2821" max="2821" width="9.625" style="39" bestFit="1" customWidth="1"/>
    <col min="2822" max="3075" width="8.875" style="39"/>
    <col min="3076" max="3076" width="10.5" style="39" bestFit="1" customWidth="1"/>
    <col min="3077" max="3077" width="9.625" style="39" bestFit="1" customWidth="1"/>
    <col min="3078" max="3331" width="8.875" style="39"/>
    <col min="3332" max="3332" width="10.5" style="39" bestFit="1" customWidth="1"/>
    <col min="3333" max="3333" width="9.625" style="39" bestFit="1" customWidth="1"/>
    <col min="3334" max="3587" width="8.875" style="39"/>
    <col min="3588" max="3588" width="10.5" style="39" bestFit="1" customWidth="1"/>
    <col min="3589" max="3589" width="9.625" style="39" bestFit="1" customWidth="1"/>
    <col min="3590" max="3843" width="8.875" style="39"/>
    <col min="3844" max="3844" width="10.5" style="39" bestFit="1" customWidth="1"/>
    <col min="3845" max="3845" width="9.625" style="39" bestFit="1" customWidth="1"/>
    <col min="3846" max="4099" width="8.875" style="39"/>
    <col min="4100" max="4100" width="10.5" style="39" bestFit="1" customWidth="1"/>
    <col min="4101" max="4101" width="9.625" style="39" bestFit="1" customWidth="1"/>
    <col min="4102" max="4355" width="8.875" style="39"/>
    <col min="4356" max="4356" width="10.5" style="39" bestFit="1" customWidth="1"/>
    <col min="4357" max="4357" width="9.625" style="39" bestFit="1" customWidth="1"/>
    <col min="4358" max="4611" width="8.875" style="39"/>
    <col min="4612" max="4612" width="10.5" style="39" bestFit="1" customWidth="1"/>
    <col min="4613" max="4613" width="9.625" style="39" bestFit="1" customWidth="1"/>
    <col min="4614" max="4867" width="8.875" style="39"/>
    <col min="4868" max="4868" width="10.5" style="39" bestFit="1" customWidth="1"/>
    <col min="4869" max="4869" width="9.625" style="39" bestFit="1" customWidth="1"/>
    <col min="4870" max="5123" width="8.875" style="39"/>
    <col min="5124" max="5124" width="10.5" style="39" bestFit="1" customWidth="1"/>
    <col min="5125" max="5125" width="9.625" style="39" bestFit="1" customWidth="1"/>
    <col min="5126" max="5379" width="8.875" style="39"/>
    <col min="5380" max="5380" width="10.5" style="39" bestFit="1" customWidth="1"/>
    <col min="5381" max="5381" width="9.625" style="39" bestFit="1" customWidth="1"/>
    <col min="5382" max="5635" width="8.875" style="39"/>
    <col min="5636" max="5636" width="10.5" style="39" bestFit="1" customWidth="1"/>
    <col min="5637" max="5637" width="9.625" style="39" bestFit="1" customWidth="1"/>
    <col min="5638" max="5891" width="8.875" style="39"/>
    <col min="5892" max="5892" width="10.5" style="39" bestFit="1" customWidth="1"/>
    <col min="5893" max="5893" width="9.625" style="39" bestFit="1" customWidth="1"/>
    <col min="5894" max="6147" width="8.875" style="39"/>
    <col min="6148" max="6148" width="10.5" style="39" bestFit="1" customWidth="1"/>
    <col min="6149" max="6149" width="9.625" style="39" bestFit="1" customWidth="1"/>
    <col min="6150" max="6403" width="8.875" style="39"/>
    <col min="6404" max="6404" width="10.5" style="39" bestFit="1" customWidth="1"/>
    <col min="6405" max="6405" width="9.625" style="39" bestFit="1" customWidth="1"/>
    <col min="6406" max="6659" width="8.875" style="39"/>
    <col min="6660" max="6660" width="10.5" style="39" bestFit="1" customWidth="1"/>
    <col min="6661" max="6661" width="9.625" style="39" bestFit="1" customWidth="1"/>
    <col min="6662" max="6915" width="8.875" style="39"/>
    <col min="6916" max="6916" width="10.5" style="39" bestFit="1" customWidth="1"/>
    <col min="6917" max="6917" width="9.625" style="39" bestFit="1" customWidth="1"/>
    <col min="6918" max="7171" width="8.875" style="39"/>
    <col min="7172" max="7172" width="10.5" style="39" bestFit="1" customWidth="1"/>
    <col min="7173" max="7173" width="9.625" style="39" bestFit="1" customWidth="1"/>
    <col min="7174" max="7427" width="8.875" style="39"/>
    <col min="7428" max="7428" width="10.5" style="39" bestFit="1" customWidth="1"/>
    <col min="7429" max="7429" width="9.625" style="39" bestFit="1" customWidth="1"/>
    <col min="7430" max="7683" width="8.875" style="39"/>
    <col min="7684" max="7684" width="10.5" style="39" bestFit="1" customWidth="1"/>
    <col min="7685" max="7685" width="9.625" style="39" bestFit="1" customWidth="1"/>
    <col min="7686" max="7939" width="8.875" style="39"/>
    <col min="7940" max="7940" width="10.5" style="39" bestFit="1" customWidth="1"/>
    <col min="7941" max="7941" width="9.625" style="39" bestFit="1" customWidth="1"/>
    <col min="7942" max="8195" width="8.875" style="39"/>
    <col min="8196" max="8196" width="10.5" style="39" bestFit="1" customWidth="1"/>
    <col min="8197" max="8197" width="9.625" style="39" bestFit="1" customWidth="1"/>
    <col min="8198" max="8451" width="8.875" style="39"/>
    <col min="8452" max="8452" width="10.5" style="39" bestFit="1" customWidth="1"/>
    <col min="8453" max="8453" width="9.625" style="39" bestFit="1" customWidth="1"/>
    <col min="8454" max="8707" width="8.875" style="39"/>
    <col min="8708" max="8708" width="10.5" style="39" bestFit="1" customWidth="1"/>
    <col min="8709" max="8709" width="9.625" style="39" bestFit="1" customWidth="1"/>
    <col min="8710" max="8963" width="8.875" style="39"/>
    <col min="8964" max="8964" width="10.5" style="39" bestFit="1" customWidth="1"/>
    <col min="8965" max="8965" width="9.625" style="39" bestFit="1" customWidth="1"/>
    <col min="8966" max="9219" width="8.875" style="39"/>
    <col min="9220" max="9220" width="10.5" style="39" bestFit="1" customWidth="1"/>
    <col min="9221" max="9221" width="9.625" style="39" bestFit="1" customWidth="1"/>
    <col min="9222" max="9475" width="8.875" style="39"/>
    <col min="9476" max="9476" width="10.5" style="39" bestFit="1" customWidth="1"/>
    <col min="9477" max="9477" width="9.625" style="39" bestFit="1" customWidth="1"/>
    <col min="9478" max="9731" width="8.875" style="39"/>
    <col min="9732" max="9732" width="10.5" style="39" bestFit="1" customWidth="1"/>
    <col min="9733" max="9733" width="9.625" style="39" bestFit="1" customWidth="1"/>
    <col min="9734" max="9987" width="8.875" style="39"/>
    <col min="9988" max="9988" width="10.5" style="39" bestFit="1" customWidth="1"/>
    <col min="9989" max="9989" width="9.625" style="39" bestFit="1" customWidth="1"/>
    <col min="9990" max="10243" width="8.875" style="39"/>
    <col min="10244" max="10244" width="10.5" style="39" bestFit="1" customWidth="1"/>
    <col min="10245" max="10245" width="9.625" style="39" bestFit="1" customWidth="1"/>
    <col min="10246" max="10499" width="8.875" style="39"/>
    <col min="10500" max="10500" width="10.5" style="39" bestFit="1" customWidth="1"/>
    <col min="10501" max="10501" width="9.625" style="39" bestFit="1" customWidth="1"/>
    <col min="10502" max="10755" width="8.875" style="39"/>
    <col min="10756" max="10756" width="10.5" style="39" bestFit="1" customWidth="1"/>
    <col min="10757" max="10757" width="9.625" style="39" bestFit="1" customWidth="1"/>
    <col min="10758" max="11011" width="8.875" style="39"/>
    <col min="11012" max="11012" width="10.5" style="39" bestFit="1" customWidth="1"/>
    <col min="11013" max="11013" width="9.625" style="39" bestFit="1" customWidth="1"/>
    <col min="11014" max="11267" width="8.875" style="39"/>
    <col min="11268" max="11268" width="10.5" style="39" bestFit="1" customWidth="1"/>
    <col min="11269" max="11269" width="9.625" style="39" bestFit="1" customWidth="1"/>
    <col min="11270" max="11523" width="8.875" style="39"/>
    <col min="11524" max="11524" width="10.5" style="39" bestFit="1" customWidth="1"/>
    <col min="11525" max="11525" width="9.625" style="39" bestFit="1" customWidth="1"/>
    <col min="11526" max="11779" width="8.875" style="39"/>
    <col min="11780" max="11780" width="10.5" style="39" bestFit="1" customWidth="1"/>
    <col min="11781" max="11781" width="9.625" style="39" bestFit="1" customWidth="1"/>
    <col min="11782" max="12035" width="8.875" style="39"/>
    <col min="12036" max="12036" width="10.5" style="39" bestFit="1" customWidth="1"/>
    <col min="12037" max="12037" width="9.625" style="39" bestFit="1" customWidth="1"/>
    <col min="12038" max="12291" width="8.875" style="39"/>
    <col min="12292" max="12292" width="10.5" style="39" bestFit="1" customWidth="1"/>
    <col min="12293" max="12293" width="9.625" style="39" bestFit="1" customWidth="1"/>
    <col min="12294" max="12547" width="8.875" style="39"/>
    <col min="12548" max="12548" width="10.5" style="39" bestFit="1" customWidth="1"/>
    <col min="12549" max="12549" width="9.625" style="39" bestFit="1" customWidth="1"/>
    <col min="12550" max="12803" width="8.875" style="39"/>
    <col min="12804" max="12804" width="10.5" style="39" bestFit="1" customWidth="1"/>
    <col min="12805" max="12805" width="9.625" style="39" bestFit="1" customWidth="1"/>
    <col min="12806" max="13059" width="8.875" style="39"/>
    <col min="13060" max="13060" width="10.5" style="39" bestFit="1" customWidth="1"/>
    <col min="13061" max="13061" width="9.625" style="39" bestFit="1" customWidth="1"/>
    <col min="13062" max="13315" width="8.875" style="39"/>
    <col min="13316" max="13316" width="10.5" style="39" bestFit="1" customWidth="1"/>
    <col min="13317" max="13317" width="9.625" style="39" bestFit="1" customWidth="1"/>
    <col min="13318" max="13571" width="8.875" style="39"/>
    <col min="13572" max="13572" width="10.5" style="39" bestFit="1" customWidth="1"/>
    <col min="13573" max="13573" width="9.625" style="39" bestFit="1" customWidth="1"/>
    <col min="13574" max="13827" width="8.875" style="39"/>
    <col min="13828" max="13828" width="10.5" style="39" bestFit="1" customWidth="1"/>
    <col min="13829" max="13829" width="9.625" style="39" bestFit="1" customWidth="1"/>
    <col min="13830" max="14083" width="8.875" style="39"/>
    <col min="14084" max="14084" width="10.5" style="39" bestFit="1" customWidth="1"/>
    <col min="14085" max="14085" width="9.625" style="39" bestFit="1" customWidth="1"/>
    <col min="14086" max="14339" width="8.875" style="39"/>
    <col min="14340" max="14340" width="10.5" style="39" bestFit="1" customWidth="1"/>
    <col min="14341" max="14341" width="9.625" style="39" bestFit="1" customWidth="1"/>
    <col min="14342" max="14595" width="8.875" style="39"/>
    <col min="14596" max="14596" width="10.5" style="39" bestFit="1" customWidth="1"/>
    <col min="14597" max="14597" width="9.625" style="39" bestFit="1" customWidth="1"/>
    <col min="14598" max="14851" width="8.875" style="39"/>
    <col min="14852" max="14852" width="10.5" style="39" bestFit="1" customWidth="1"/>
    <col min="14853" max="14853" width="9.625" style="39" bestFit="1" customWidth="1"/>
    <col min="14854" max="15107" width="8.875" style="39"/>
    <col min="15108" max="15108" width="10.5" style="39" bestFit="1" customWidth="1"/>
    <col min="15109" max="15109" width="9.625" style="39" bestFit="1" customWidth="1"/>
    <col min="15110" max="15363" width="8.875" style="39"/>
    <col min="15364" max="15364" width="10.5" style="39" bestFit="1" customWidth="1"/>
    <col min="15365" max="15365" width="9.625" style="39" bestFit="1" customWidth="1"/>
    <col min="15366" max="15619" width="8.875" style="39"/>
    <col min="15620" max="15620" width="10.5" style="39" bestFit="1" customWidth="1"/>
    <col min="15621" max="15621" width="9.625" style="39" bestFit="1" customWidth="1"/>
    <col min="15622" max="15875" width="8.875" style="39"/>
    <col min="15876" max="15876" width="10.5" style="39" bestFit="1" customWidth="1"/>
    <col min="15877" max="15877" width="9.625" style="39" bestFit="1" customWidth="1"/>
    <col min="15878" max="16131" width="8.875" style="39"/>
    <col min="16132" max="16132" width="10.5" style="39" bestFit="1" customWidth="1"/>
    <col min="16133" max="16133" width="9.625" style="39" bestFit="1" customWidth="1"/>
    <col min="16134" max="16384" width="8.875" style="39"/>
  </cols>
  <sheetData>
    <row r="1" spans="1:53" ht="45" x14ac:dyDescent="0.15">
      <c r="A1" s="58" t="s">
        <v>0</v>
      </c>
      <c r="B1" s="74" t="s">
        <v>1</v>
      </c>
      <c r="C1" s="74" t="s">
        <v>2</v>
      </c>
      <c r="D1" s="72" t="s">
        <v>3</v>
      </c>
      <c r="E1" s="59" t="s">
        <v>4</v>
      </c>
      <c r="F1" s="59" t="s">
        <v>5</v>
      </c>
      <c r="G1" s="59" t="s">
        <v>6</v>
      </c>
      <c r="H1" s="59" t="s">
        <v>7</v>
      </c>
      <c r="I1" s="59" t="s">
        <v>8</v>
      </c>
      <c r="J1" s="59" t="s">
        <v>9</v>
      </c>
      <c r="K1" s="59" t="s">
        <v>10</v>
      </c>
      <c r="L1" s="72" t="s">
        <v>11</v>
      </c>
      <c r="M1" s="72" t="s">
        <v>12</v>
      </c>
      <c r="N1" s="72" t="s">
        <v>231</v>
      </c>
      <c r="O1" s="72" t="s">
        <v>14</v>
      </c>
      <c r="P1" s="72" t="s">
        <v>15</v>
      </c>
      <c r="Q1" s="37" t="s">
        <v>16</v>
      </c>
      <c r="R1" s="72" t="s">
        <v>17</v>
      </c>
      <c r="S1" s="72" t="s">
        <v>18</v>
      </c>
      <c r="T1" s="37" t="s">
        <v>19</v>
      </c>
      <c r="U1" s="73" t="s">
        <v>232</v>
      </c>
      <c r="V1" s="38" t="s">
        <v>20</v>
      </c>
      <c r="W1" s="72" t="s">
        <v>21</v>
      </c>
      <c r="X1" s="59" t="s">
        <v>22</v>
      </c>
      <c r="Y1" s="59" t="s">
        <v>23</v>
      </c>
      <c r="Z1" s="59" t="s">
        <v>24</v>
      </c>
      <c r="AA1" s="60" t="s">
        <v>25</v>
      </c>
      <c r="AB1" s="71" t="s">
        <v>26</v>
      </c>
      <c r="AE1" s="70" t="s">
        <v>0</v>
      </c>
      <c r="AF1" s="69"/>
      <c r="AG1" s="70" t="s">
        <v>4</v>
      </c>
      <c r="AH1" s="70" t="s">
        <v>5</v>
      </c>
      <c r="AI1" s="69"/>
      <c r="AJ1" s="70" t="s">
        <v>6</v>
      </c>
      <c r="AK1" s="69"/>
      <c r="AL1" s="40" t="s">
        <v>7</v>
      </c>
      <c r="AM1" s="69"/>
      <c r="AN1" s="40" t="s">
        <v>8</v>
      </c>
      <c r="AO1" s="69"/>
      <c r="AP1" s="40" t="s">
        <v>27</v>
      </c>
      <c r="AQ1" s="69"/>
      <c r="AR1" s="40" t="s">
        <v>10</v>
      </c>
      <c r="AS1" s="69"/>
      <c r="AT1" s="41" t="s">
        <v>28</v>
      </c>
      <c r="AU1" s="69"/>
      <c r="AV1" s="40" t="s">
        <v>29</v>
      </c>
      <c r="AX1" s="42" t="s">
        <v>30</v>
      </c>
      <c r="AY1" s="43" t="s">
        <v>31</v>
      </c>
      <c r="AZ1" s="43" t="s">
        <v>32</v>
      </c>
      <c r="BA1" s="44" t="s">
        <v>33</v>
      </c>
    </row>
    <row r="2" spans="1:53" x14ac:dyDescent="0.15">
      <c r="A2" s="39" t="s">
        <v>59</v>
      </c>
      <c r="B2" s="39" t="s">
        <v>337</v>
      </c>
      <c r="C2" s="118">
        <v>2020</v>
      </c>
      <c r="D2" s="30" t="s">
        <v>394</v>
      </c>
      <c r="E2" s="39" t="s">
        <v>278</v>
      </c>
      <c r="F2" s="39" t="s">
        <v>270</v>
      </c>
      <c r="G2" s="39" t="s">
        <v>36</v>
      </c>
      <c r="H2" s="39" t="s">
        <v>146</v>
      </c>
      <c r="I2" s="39" t="s">
        <v>142</v>
      </c>
      <c r="J2" s="39" t="s">
        <v>38</v>
      </c>
      <c r="K2" s="39" t="s">
        <v>143</v>
      </c>
      <c r="L2" s="39">
        <v>1</v>
      </c>
      <c r="N2" s="39">
        <v>4</v>
      </c>
      <c r="O2" s="39">
        <v>0.35</v>
      </c>
      <c r="P2" s="39">
        <v>0.38</v>
      </c>
      <c r="Q2" s="61">
        <f>IF(OR(O2="",P2=""),"",AVERAGE(O2,P2))</f>
        <v>0.36499999999999999</v>
      </c>
      <c r="R2" s="39">
        <v>16.3</v>
      </c>
      <c r="S2" s="39">
        <v>93</v>
      </c>
      <c r="T2" s="45">
        <f t="shared" ref="T2:T57" si="0">IF(H2="","",IF(OR(H2="GREEN",H2="GK"),IF(S2&gt;=$AX$2,VLOOKUP(S2,$AX$2:$AY$12,2,1),""),IF(S2&gt;=$AZ$2,VLOOKUP(S2,$AZ$2:$BA$12,2,1),"")))</f>
        <v>36</v>
      </c>
      <c r="U2" s="39">
        <v>480</v>
      </c>
      <c r="V2" s="45">
        <f t="shared" ref="V2:V65" si="1">IF(J2="","",IF(OR(J2="GREEN",J2="GK"),IF(U2&gt;=$AX$2,VLOOKUP(U2,$AX$2:$AY$12,2,1),""),IF(U2&gt;=$AZ$2,VLOOKUP(U2,$AZ$2:$BA$12,2,1),"")))</f>
        <v>16</v>
      </c>
      <c r="W2" s="39">
        <v>1</v>
      </c>
      <c r="X2" s="39" t="s">
        <v>46</v>
      </c>
      <c r="Y2" s="39" t="s">
        <v>40</v>
      </c>
      <c r="Z2" s="39" t="s">
        <v>90</v>
      </c>
      <c r="AA2" s="39" t="s">
        <v>47</v>
      </c>
      <c r="AB2" s="39" t="s">
        <v>335</v>
      </c>
      <c r="AE2" s="68" t="s">
        <v>35</v>
      </c>
      <c r="AG2" s="119" t="s">
        <v>277</v>
      </c>
      <c r="AH2" s="120" t="s">
        <v>269</v>
      </c>
      <c r="AJ2" s="62" t="s">
        <v>36</v>
      </c>
      <c r="AL2" s="80" t="s">
        <v>127</v>
      </c>
      <c r="AN2" s="62" t="s">
        <v>233</v>
      </c>
      <c r="AP2" s="62" t="s">
        <v>38</v>
      </c>
      <c r="AR2" s="62" t="s">
        <v>120</v>
      </c>
      <c r="AT2" s="62" t="s">
        <v>39</v>
      </c>
      <c r="AV2" s="47" t="s">
        <v>55</v>
      </c>
      <c r="AX2" s="31">
        <v>1</v>
      </c>
      <c r="AY2" s="32">
        <v>50</v>
      </c>
      <c r="AZ2" s="32">
        <v>1</v>
      </c>
      <c r="BA2" s="33">
        <v>50</v>
      </c>
    </row>
    <row r="3" spans="1:53" x14ac:dyDescent="0.15">
      <c r="A3" s="39" t="s">
        <v>59</v>
      </c>
      <c r="B3" s="39" t="s">
        <v>337</v>
      </c>
      <c r="C3" s="118">
        <v>2020</v>
      </c>
      <c r="D3" s="30" t="s">
        <v>394</v>
      </c>
      <c r="E3" s="39" t="s">
        <v>278</v>
      </c>
      <c r="F3" s="39" t="s">
        <v>270</v>
      </c>
      <c r="G3" s="39" t="s">
        <v>36</v>
      </c>
      <c r="H3" s="39" t="s">
        <v>146</v>
      </c>
      <c r="I3" s="39" t="s">
        <v>142</v>
      </c>
      <c r="J3" s="39" t="s">
        <v>38</v>
      </c>
      <c r="K3" s="39" t="s">
        <v>143</v>
      </c>
      <c r="L3" s="39">
        <v>2</v>
      </c>
      <c r="N3" s="39">
        <v>4</v>
      </c>
      <c r="O3" s="39">
        <v>0.38</v>
      </c>
      <c r="P3" s="39">
        <v>0.39</v>
      </c>
      <c r="Q3" s="61">
        <f t="shared" ref="Q3:Q66" si="2">IF(OR(O3="",P3=""),"",AVERAGE(O3,P3))</f>
        <v>0.38500000000000001</v>
      </c>
      <c r="R3" s="39">
        <v>15.7</v>
      </c>
      <c r="S3" s="39">
        <v>95</v>
      </c>
      <c r="T3" s="45">
        <f t="shared" si="0"/>
        <v>36</v>
      </c>
      <c r="U3" s="39">
        <v>480</v>
      </c>
      <c r="V3" s="45">
        <f t="shared" si="1"/>
        <v>16</v>
      </c>
      <c r="W3" s="39">
        <v>1</v>
      </c>
      <c r="X3" s="39" t="s">
        <v>46</v>
      </c>
      <c r="Y3" s="39" t="s">
        <v>40</v>
      </c>
      <c r="Z3" s="39" t="s">
        <v>90</v>
      </c>
      <c r="AA3" s="39" t="s">
        <v>47</v>
      </c>
      <c r="AB3" s="39" t="s">
        <v>335</v>
      </c>
      <c r="AE3" s="46" t="s">
        <v>41</v>
      </c>
      <c r="AG3" s="119" t="s">
        <v>278</v>
      </c>
      <c r="AH3" s="120" t="s">
        <v>270</v>
      </c>
      <c r="AJ3" s="47" t="s">
        <v>42</v>
      </c>
      <c r="AL3" s="47" t="s">
        <v>128</v>
      </c>
      <c r="AN3" s="47" t="s">
        <v>43</v>
      </c>
      <c r="AP3" s="47" t="s">
        <v>44</v>
      </c>
      <c r="AR3" s="47" t="s">
        <v>45</v>
      </c>
      <c r="AT3" s="47" t="s">
        <v>46</v>
      </c>
      <c r="AV3" s="47" t="s">
        <v>234</v>
      </c>
      <c r="AX3" s="48">
        <v>72</v>
      </c>
      <c r="AY3" s="49">
        <v>46</v>
      </c>
      <c r="AZ3" s="49">
        <v>71</v>
      </c>
      <c r="BA3" s="50">
        <v>42</v>
      </c>
    </row>
    <row r="4" spans="1:53" x14ac:dyDescent="0.15">
      <c r="A4" s="39" t="s">
        <v>59</v>
      </c>
      <c r="B4" s="39" t="s">
        <v>337</v>
      </c>
      <c r="C4" s="118">
        <v>2020</v>
      </c>
      <c r="D4" s="30" t="s">
        <v>394</v>
      </c>
      <c r="E4" s="39" t="s">
        <v>278</v>
      </c>
      <c r="F4" s="39" t="s">
        <v>270</v>
      </c>
      <c r="G4" s="39" t="s">
        <v>36</v>
      </c>
      <c r="H4" s="39" t="s">
        <v>146</v>
      </c>
      <c r="I4" s="39" t="s">
        <v>142</v>
      </c>
      <c r="J4" s="39" t="s">
        <v>38</v>
      </c>
      <c r="K4" s="39" t="s">
        <v>143</v>
      </c>
      <c r="L4" s="39">
        <v>3</v>
      </c>
      <c r="N4" s="39">
        <v>4</v>
      </c>
      <c r="O4" s="39">
        <v>0.34</v>
      </c>
      <c r="P4" s="39">
        <v>0.38</v>
      </c>
      <c r="Q4" s="61">
        <f t="shared" si="2"/>
        <v>0.36</v>
      </c>
      <c r="R4" s="39">
        <v>15.5</v>
      </c>
      <c r="S4" s="39">
        <v>106</v>
      </c>
      <c r="T4" s="45">
        <f t="shared" si="0"/>
        <v>33</v>
      </c>
      <c r="U4" s="39">
        <v>480</v>
      </c>
      <c r="V4" s="45">
        <f t="shared" si="1"/>
        <v>16</v>
      </c>
      <c r="W4" s="39">
        <v>1</v>
      </c>
      <c r="X4" s="39" t="s">
        <v>46</v>
      </c>
      <c r="Y4" s="39" t="s">
        <v>40</v>
      </c>
      <c r="Z4" s="39" t="s">
        <v>90</v>
      </c>
      <c r="AA4" s="39" t="s">
        <v>47</v>
      </c>
      <c r="AB4" s="39" t="s">
        <v>335</v>
      </c>
      <c r="AE4" s="46" t="s">
        <v>34</v>
      </c>
      <c r="AG4" s="119" t="s">
        <v>279</v>
      </c>
      <c r="AH4" s="120" t="s">
        <v>271</v>
      </c>
      <c r="AJ4" s="51" t="s">
        <v>48</v>
      </c>
      <c r="AL4" s="47" t="s">
        <v>129</v>
      </c>
      <c r="AN4" s="52" t="s">
        <v>49</v>
      </c>
      <c r="AP4" s="47" t="s">
        <v>93</v>
      </c>
      <c r="AR4" s="47" t="s">
        <v>235</v>
      </c>
      <c r="AT4" s="52"/>
      <c r="AV4" s="47" t="s">
        <v>236</v>
      </c>
      <c r="AX4" s="48">
        <v>75</v>
      </c>
      <c r="AY4" s="49">
        <v>42</v>
      </c>
      <c r="AZ4" s="49">
        <v>76</v>
      </c>
      <c r="BA4" s="50">
        <v>39</v>
      </c>
    </row>
    <row r="5" spans="1:53" x14ac:dyDescent="0.15">
      <c r="A5" s="39" t="s">
        <v>59</v>
      </c>
      <c r="B5" s="39" t="s">
        <v>337</v>
      </c>
      <c r="C5" s="118">
        <v>2020</v>
      </c>
      <c r="D5" s="30" t="s">
        <v>394</v>
      </c>
      <c r="E5" s="39" t="s">
        <v>278</v>
      </c>
      <c r="F5" s="39" t="s">
        <v>270</v>
      </c>
      <c r="G5" s="39" t="s">
        <v>36</v>
      </c>
      <c r="H5" s="39" t="s">
        <v>127</v>
      </c>
      <c r="I5" s="39" t="s">
        <v>142</v>
      </c>
      <c r="J5" s="39" t="s">
        <v>212</v>
      </c>
      <c r="K5" s="39" t="s">
        <v>235</v>
      </c>
      <c r="L5" s="39">
        <v>1</v>
      </c>
      <c r="N5" s="39">
        <v>5</v>
      </c>
      <c r="O5" s="39">
        <v>0.88</v>
      </c>
      <c r="P5" s="39">
        <v>0.86</v>
      </c>
      <c r="Q5" s="61">
        <f t="shared" si="2"/>
        <v>0.87</v>
      </c>
      <c r="R5" s="39">
        <v>13.3</v>
      </c>
      <c r="S5" s="39">
        <v>87</v>
      </c>
      <c r="T5" s="45">
        <f t="shared" si="0"/>
        <v>36</v>
      </c>
      <c r="U5" s="39">
        <v>398</v>
      </c>
      <c r="V5" s="45">
        <f t="shared" si="1"/>
        <v>16</v>
      </c>
      <c r="W5" s="39">
        <v>1</v>
      </c>
      <c r="X5" s="39" t="s">
        <v>46</v>
      </c>
      <c r="Y5" s="39" t="s">
        <v>40</v>
      </c>
      <c r="Z5" s="39" t="s">
        <v>90</v>
      </c>
      <c r="AA5" s="39" t="s">
        <v>47</v>
      </c>
      <c r="AB5" s="39" t="s">
        <v>335</v>
      </c>
      <c r="AE5" s="46" t="s">
        <v>51</v>
      </c>
      <c r="AG5" s="119" t="s">
        <v>237</v>
      </c>
      <c r="AH5" s="120" t="s">
        <v>272</v>
      </c>
      <c r="AJ5" s="52"/>
      <c r="AL5" s="47" t="s">
        <v>66</v>
      </c>
      <c r="AN5" s="27" t="s">
        <v>52</v>
      </c>
      <c r="AP5" s="47" t="s">
        <v>151</v>
      </c>
      <c r="AR5" s="47" t="s">
        <v>54</v>
      </c>
      <c r="AV5" s="47" t="s">
        <v>238</v>
      </c>
      <c r="AX5" s="48">
        <v>84</v>
      </c>
      <c r="AY5" s="49">
        <v>39</v>
      </c>
      <c r="AZ5" s="49">
        <v>84</v>
      </c>
      <c r="BA5" s="50">
        <v>36</v>
      </c>
    </row>
    <row r="6" spans="1:53" x14ac:dyDescent="0.15">
      <c r="A6" s="39" t="s">
        <v>59</v>
      </c>
      <c r="B6" s="39" t="s">
        <v>337</v>
      </c>
      <c r="C6" s="118">
        <v>2020</v>
      </c>
      <c r="D6" s="30" t="s">
        <v>394</v>
      </c>
      <c r="E6" s="39" t="s">
        <v>278</v>
      </c>
      <c r="F6" s="39" t="s">
        <v>270</v>
      </c>
      <c r="G6" s="39" t="s">
        <v>36</v>
      </c>
      <c r="H6" s="39" t="s">
        <v>127</v>
      </c>
      <c r="I6" s="39" t="s">
        <v>142</v>
      </c>
      <c r="J6" s="39" t="s">
        <v>212</v>
      </c>
      <c r="K6" s="39" t="s">
        <v>235</v>
      </c>
      <c r="L6" s="39">
        <v>2</v>
      </c>
      <c r="N6" s="39">
        <v>5</v>
      </c>
      <c r="O6" s="39">
        <v>0.98</v>
      </c>
      <c r="P6" s="39">
        <v>0.97</v>
      </c>
      <c r="Q6" s="61">
        <f t="shared" si="2"/>
        <v>0.97499999999999998</v>
      </c>
      <c r="R6" s="39">
        <v>12.2</v>
      </c>
      <c r="S6" s="39">
        <v>90</v>
      </c>
      <c r="T6" s="45">
        <f t="shared" si="0"/>
        <v>36</v>
      </c>
      <c r="U6" s="39">
        <v>398</v>
      </c>
      <c r="V6" s="45">
        <f t="shared" si="1"/>
        <v>16</v>
      </c>
      <c r="W6" s="39">
        <v>1</v>
      </c>
      <c r="X6" s="39" t="s">
        <v>46</v>
      </c>
      <c r="Y6" s="39" t="s">
        <v>40</v>
      </c>
      <c r="Z6" s="39" t="s">
        <v>90</v>
      </c>
      <c r="AA6" s="39" t="s">
        <v>47</v>
      </c>
      <c r="AB6" s="39" t="s">
        <v>335</v>
      </c>
      <c r="AE6" s="46" t="s">
        <v>56</v>
      </c>
      <c r="AG6" s="119" t="s">
        <v>280</v>
      </c>
      <c r="AH6" s="120" t="s">
        <v>273</v>
      </c>
      <c r="AL6" s="47" t="s">
        <v>99</v>
      </c>
      <c r="AN6" s="27" t="s">
        <v>57</v>
      </c>
      <c r="AP6" s="47" t="s">
        <v>53</v>
      </c>
      <c r="AR6" s="47" t="s">
        <v>147</v>
      </c>
      <c r="AV6" s="47" t="s">
        <v>60</v>
      </c>
      <c r="AX6" s="48">
        <v>97</v>
      </c>
      <c r="AY6" s="49">
        <v>36</v>
      </c>
      <c r="AZ6" s="49">
        <v>99</v>
      </c>
      <c r="BA6" s="50">
        <v>33</v>
      </c>
    </row>
    <row r="7" spans="1:53" x14ac:dyDescent="0.15">
      <c r="A7" s="39" t="s">
        <v>59</v>
      </c>
      <c r="B7" s="39" t="s">
        <v>337</v>
      </c>
      <c r="C7" s="118">
        <v>2020</v>
      </c>
      <c r="D7" s="30" t="s">
        <v>394</v>
      </c>
      <c r="E7" s="39" t="s">
        <v>278</v>
      </c>
      <c r="F7" s="39" t="s">
        <v>270</v>
      </c>
      <c r="G7" s="39" t="s">
        <v>36</v>
      </c>
      <c r="H7" s="39" t="s">
        <v>127</v>
      </c>
      <c r="I7" s="39" t="s">
        <v>142</v>
      </c>
      <c r="J7" s="39" t="s">
        <v>212</v>
      </c>
      <c r="K7" s="39" t="s">
        <v>235</v>
      </c>
      <c r="L7" s="39">
        <v>3</v>
      </c>
      <c r="N7" s="39">
        <v>5</v>
      </c>
      <c r="O7" s="39">
        <v>0.73</v>
      </c>
      <c r="P7" s="39">
        <v>0.86</v>
      </c>
      <c r="Q7" s="61">
        <f t="shared" si="2"/>
        <v>0.79499999999999993</v>
      </c>
      <c r="R7" s="39">
        <v>11.8</v>
      </c>
      <c r="S7" s="39">
        <v>86</v>
      </c>
      <c r="T7" s="45">
        <f t="shared" si="0"/>
        <v>36</v>
      </c>
      <c r="U7" s="39">
        <v>398</v>
      </c>
      <c r="V7" s="45">
        <f t="shared" si="1"/>
        <v>16</v>
      </c>
      <c r="W7" s="39">
        <v>1</v>
      </c>
      <c r="X7" s="39" t="s">
        <v>46</v>
      </c>
      <c r="Y7" s="39" t="s">
        <v>40</v>
      </c>
      <c r="Z7" s="39" t="s">
        <v>90</v>
      </c>
      <c r="AA7" s="39" t="s">
        <v>47</v>
      </c>
      <c r="AB7" s="39" t="s">
        <v>335</v>
      </c>
      <c r="AE7" s="46" t="s">
        <v>61</v>
      </c>
      <c r="AG7" s="119" t="s">
        <v>281</v>
      </c>
      <c r="AH7" s="120" t="s">
        <v>274</v>
      </c>
      <c r="AL7" s="64" t="s">
        <v>109</v>
      </c>
      <c r="AP7" s="47" t="s">
        <v>58</v>
      </c>
      <c r="AR7" s="47" t="s">
        <v>239</v>
      </c>
      <c r="AV7" s="47" t="s">
        <v>64</v>
      </c>
      <c r="AX7" s="48">
        <v>109</v>
      </c>
      <c r="AY7" s="49">
        <v>33</v>
      </c>
      <c r="AZ7" s="49">
        <v>113</v>
      </c>
      <c r="BA7" s="50">
        <v>30</v>
      </c>
    </row>
    <row r="8" spans="1:53" x14ac:dyDescent="0.15">
      <c r="A8" s="39" t="s">
        <v>59</v>
      </c>
      <c r="B8" s="39" t="s">
        <v>337</v>
      </c>
      <c r="C8" s="118">
        <v>2020</v>
      </c>
      <c r="D8" s="30" t="s">
        <v>394</v>
      </c>
      <c r="E8" s="39" t="s">
        <v>277</v>
      </c>
      <c r="F8" s="39" t="s">
        <v>269</v>
      </c>
      <c r="G8" s="39" t="s">
        <v>36</v>
      </c>
      <c r="H8" s="39" t="s">
        <v>146</v>
      </c>
      <c r="I8" s="39" t="s">
        <v>142</v>
      </c>
      <c r="J8" s="39" t="s">
        <v>38</v>
      </c>
      <c r="K8" s="39" t="s">
        <v>143</v>
      </c>
      <c r="L8" s="39">
        <v>1</v>
      </c>
      <c r="N8" s="39">
        <v>4</v>
      </c>
      <c r="O8" s="39">
        <v>0.52</v>
      </c>
      <c r="P8" s="39">
        <v>0.44</v>
      </c>
      <c r="Q8" s="61">
        <f t="shared" si="2"/>
        <v>0.48</v>
      </c>
      <c r="R8" s="39">
        <v>19.3</v>
      </c>
      <c r="S8" s="39">
        <v>116</v>
      </c>
      <c r="T8" s="45">
        <f t="shared" si="0"/>
        <v>30</v>
      </c>
      <c r="U8" s="39">
        <v>397</v>
      </c>
      <c r="V8" s="45">
        <f t="shared" si="1"/>
        <v>16</v>
      </c>
      <c r="W8" s="39">
        <v>2</v>
      </c>
      <c r="X8" s="39" t="s">
        <v>46</v>
      </c>
      <c r="Y8" s="39" t="s">
        <v>40</v>
      </c>
      <c r="Z8" s="39" t="s">
        <v>47</v>
      </c>
      <c r="AA8" s="39" t="s">
        <v>90</v>
      </c>
      <c r="AB8" s="39" t="s">
        <v>335</v>
      </c>
      <c r="AE8" s="46" t="s">
        <v>59</v>
      </c>
      <c r="AG8" s="121" t="s">
        <v>282</v>
      </c>
      <c r="AH8" s="120" t="s">
        <v>275</v>
      </c>
      <c r="AL8" s="64" t="s">
        <v>134</v>
      </c>
      <c r="AP8" s="47" t="s">
        <v>62</v>
      </c>
      <c r="AR8" s="47" t="s">
        <v>81</v>
      </c>
      <c r="AV8" s="47" t="s">
        <v>97</v>
      </c>
      <c r="AX8" s="48">
        <v>119</v>
      </c>
      <c r="AY8" s="49">
        <v>30</v>
      </c>
      <c r="AZ8" s="49">
        <v>121</v>
      </c>
      <c r="BA8" s="50">
        <v>27</v>
      </c>
    </row>
    <row r="9" spans="1:53" x14ac:dyDescent="0.15">
      <c r="A9" s="39" t="s">
        <v>59</v>
      </c>
      <c r="B9" s="39" t="s">
        <v>337</v>
      </c>
      <c r="C9" s="118">
        <v>2020</v>
      </c>
      <c r="D9" s="30" t="s">
        <v>394</v>
      </c>
      <c r="E9" s="39" t="s">
        <v>277</v>
      </c>
      <c r="F9" s="39" t="s">
        <v>269</v>
      </c>
      <c r="G9" s="39" t="s">
        <v>36</v>
      </c>
      <c r="H9" s="39" t="s">
        <v>146</v>
      </c>
      <c r="I9" s="39" t="s">
        <v>142</v>
      </c>
      <c r="J9" s="39" t="s">
        <v>38</v>
      </c>
      <c r="K9" s="39" t="s">
        <v>143</v>
      </c>
      <c r="L9" s="39">
        <v>2</v>
      </c>
      <c r="N9" s="39">
        <v>4</v>
      </c>
      <c r="O9" s="39">
        <v>0.62</v>
      </c>
      <c r="P9" s="39">
        <v>0.56999999999999995</v>
      </c>
      <c r="Q9" s="61">
        <f t="shared" si="2"/>
        <v>0.59499999999999997</v>
      </c>
      <c r="R9" s="39">
        <v>16.399999999999999</v>
      </c>
      <c r="S9" s="39">
        <v>116</v>
      </c>
      <c r="T9" s="45">
        <f t="shared" si="0"/>
        <v>30</v>
      </c>
      <c r="U9" s="39">
        <v>397</v>
      </c>
      <c r="V9" s="45">
        <f t="shared" si="1"/>
        <v>16</v>
      </c>
      <c r="W9" s="39">
        <v>2</v>
      </c>
      <c r="X9" s="39" t="s">
        <v>46</v>
      </c>
      <c r="Y9" s="39" t="s">
        <v>40</v>
      </c>
      <c r="Z9" s="39" t="s">
        <v>47</v>
      </c>
      <c r="AA9" s="39" t="s">
        <v>90</v>
      </c>
      <c r="AB9" s="39" t="s">
        <v>335</v>
      </c>
      <c r="AE9" s="46" t="s">
        <v>98</v>
      </c>
      <c r="AG9" s="121" t="s">
        <v>283</v>
      </c>
      <c r="AH9" s="120" t="s">
        <v>275</v>
      </c>
      <c r="AL9" s="47" t="s">
        <v>329</v>
      </c>
      <c r="AP9" s="47" t="s">
        <v>241</v>
      </c>
      <c r="AR9" s="47" t="s">
        <v>89</v>
      </c>
      <c r="AV9" s="47" t="s">
        <v>102</v>
      </c>
      <c r="AX9" s="48">
        <v>128</v>
      </c>
      <c r="AY9" s="49">
        <v>27</v>
      </c>
      <c r="AZ9" s="49">
        <v>129</v>
      </c>
      <c r="BA9" s="50">
        <v>25</v>
      </c>
    </row>
    <row r="10" spans="1:53" x14ac:dyDescent="0.15">
      <c r="A10" s="39" t="s">
        <v>59</v>
      </c>
      <c r="B10" s="39" t="s">
        <v>337</v>
      </c>
      <c r="C10" s="118">
        <v>2020</v>
      </c>
      <c r="D10" s="30" t="s">
        <v>394</v>
      </c>
      <c r="E10" s="39" t="s">
        <v>277</v>
      </c>
      <c r="F10" s="39" t="s">
        <v>269</v>
      </c>
      <c r="G10" s="39" t="s">
        <v>36</v>
      </c>
      <c r="H10" s="39" t="s">
        <v>146</v>
      </c>
      <c r="I10" s="39" t="s">
        <v>142</v>
      </c>
      <c r="J10" s="39" t="s">
        <v>38</v>
      </c>
      <c r="K10" s="39" t="s">
        <v>143</v>
      </c>
      <c r="L10" s="39">
        <v>3</v>
      </c>
      <c r="N10" s="39">
        <v>4</v>
      </c>
      <c r="O10" s="39">
        <v>0.55000000000000004</v>
      </c>
      <c r="P10" s="39">
        <v>0.61</v>
      </c>
      <c r="Q10" s="61">
        <f t="shared" si="2"/>
        <v>0.58000000000000007</v>
      </c>
      <c r="R10" s="39">
        <v>16.7</v>
      </c>
      <c r="S10" s="39">
        <v>115</v>
      </c>
      <c r="T10" s="45">
        <f t="shared" si="0"/>
        <v>30</v>
      </c>
      <c r="U10" s="39">
        <v>397</v>
      </c>
      <c r="V10" s="45">
        <f t="shared" si="1"/>
        <v>16</v>
      </c>
      <c r="W10" s="39">
        <v>2</v>
      </c>
      <c r="X10" s="39" t="s">
        <v>46</v>
      </c>
      <c r="Y10" s="39" t="s">
        <v>40</v>
      </c>
      <c r="Z10" s="39" t="s">
        <v>47</v>
      </c>
      <c r="AA10" s="39" t="s">
        <v>90</v>
      </c>
      <c r="AB10" s="39" t="s">
        <v>335</v>
      </c>
      <c r="AE10" s="46" t="s">
        <v>103</v>
      </c>
      <c r="AG10" s="119" t="s">
        <v>284</v>
      </c>
      <c r="AH10" s="120" t="s">
        <v>272</v>
      </c>
      <c r="AL10" s="7"/>
      <c r="AP10" s="47" t="s">
        <v>100</v>
      </c>
      <c r="AR10" s="47" t="s">
        <v>123</v>
      </c>
      <c r="AV10" s="47" t="s">
        <v>106</v>
      </c>
      <c r="AX10" s="48">
        <v>138</v>
      </c>
      <c r="AY10" s="49">
        <v>25</v>
      </c>
      <c r="AZ10" s="49">
        <v>138</v>
      </c>
      <c r="BA10" s="50">
        <v>22</v>
      </c>
    </row>
    <row r="11" spans="1:53" x14ac:dyDescent="0.15">
      <c r="A11" s="39" t="s">
        <v>59</v>
      </c>
      <c r="B11" s="39" t="s">
        <v>337</v>
      </c>
      <c r="C11" s="118">
        <v>2020</v>
      </c>
      <c r="D11" s="30" t="s">
        <v>394</v>
      </c>
      <c r="E11" s="39" t="s">
        <v>277</v>
      </c>
      <c r="F11" s="39" t="s">
        <v>269</v>
      </c>
      <c r="G11" s="39" t="s">
        <v>36</v>
      </c>
      <c r="H11" s="39" t="s">
        <v>146</v>
      </c>
      <c r="I11" s="39" t="s">
        <v>142</v>
      </c>
      <c r="J11" s="39" t="s">
        <v>38</v>
      </c>
      <c r="K11" s="39" t="s">
        <v>143</v>
      </c>
      <c r="L11" s="39">
        <v>1</v>
      </c>
      <c r="N11" s="39">
        <v>1</v>
      </c>
      <c r="O11" s="39">
        <v>0.45</v>
      </c>
      <c r="P11" s="39">
        <v>0.51</v>
      </c>
      <c r="Q11" s="61">
        <f t="shared" si="2"/>
        <v>0.48</v>
      </c>
      <c r="R11" s="39">
        <v>17.899999999999999</v>
      </c>
      <c r="S11" s="39">
        <v>165</v>
      </c>
      <c r="T11" s="45">
        <f t="shared" si="0"/>
        <v>18</v>
      </c>
      <c r="U11" s="39">
        <v>127</v>
      </c>
      <c r="V11" s="45">
        <f t="shared" si="1"/>
        <v>27</v>
      </c>
      <c r="W11" s="39">
        <v>6</v>
      </c>
      <c r="X11" s="39" t="s">
        <v>46</v>
      </c>
      <c r="Y11" s="39" t="s">
        <v>40</v>
      </c>
      <c r="Z11" s="39" t="s">
        <v>47</v>
      </c>
      <c r="AA11" s="39" t="s">
        <v>90</v>
      </c>
      <c r="AB11" s="39" t="s">
        <v>335</v>
      </c>
      <c r="AE11" s="46" t="s">
        <v>65</v>
      </c>
      <c r="AG11" s="121" t="s">
        <v>285</v>
      </c>
      <c r="AH11" s="120" t="s">
        <v>276</v>
      </c>
      <c r="AL11" s="7"/>
      <c r="AP11" s="47" t="s">
        <v>240</v>
      </c>
      <c r="AR11" s="47" t="s">
        <v>242</v>
      </c>
      <c r="AV11" s="47" t="s">
        <v>243</v>
      </c>
      <c r="AX11" s="48">
        <v>151</v>
      </c>
      <c r="AY11" s="49">
        <v>22</v>
      </c>
      <c r="AZ11" s="49">
        <v>152</v>
      </c>
      <c r="BA11" s="50">
        <v>18</v>
      </c>
    </row>
    <row r="12" spans="1:53" x14ac:dyDescent="0.15">
      <c r="A12" s="39" t="s">
        <v>59</v>
      </c>
      <c r="B12" s="39" t="s">
        <v>337</v>
      </c>
      <c r="C12" s="118">
        <v>2020</v>
      </c>
      <c r="D12" s="30" t="s">
        <v>394</v>
      </c>
      <c r="E12" s="39" t="s">
        <v>277</v>
      </c>
      <c r="F12" s="39" t="s">
        <v>269</v>
      </c>
      <c r="G12" s="39" t="s">
        <v>36</v>
      </c>
      <c r="H12" s="39" t="s">
        <v>146</v>
      </c>
      <c r="I12" s="39" t="s">
        <v>142</v>
      </c>
      <c r="J12" s="39" t="s">
        <v>38</v>
      </c>
      <c r="K12" s="39" t="s">
        <v>143</v>
      </c>
      <c r="L12" s="39">
        <v>2</v>
      </c>
      <c r="N12" s="39">
        <v>1</v>
      </c>
      <c r="O12" s="39">
        <v>0.66</v>
      </c>
      <c r="P12" s="39">
        <v>0.64</v>
      </c>
      <c r="Q12" s="61">
        <f t="shared" si="2"/>
        <v>0.65</v>
      </c>
      <c r="R12" s="39">
        <v>16.8</v>
      </c>
      <c r="S12" s="39">
        <v>160</v>
      </c>
      <c r="T12" s="45">
        <f t="shared" si="0"/>
        <v>18</v>
      </c>
      <c r="U12" s="39">
        <v>127</v>
      </c>
      <c r="V12" s="45">
        <f t="shared" si="1"/>
        <v>27</v>
      </c>
      <c r="W12" s="39">
        <v>6</v>
      </c>
      <c r="X12" s="39" t="s">
        <v>46</v>
      </c>
      <c r="Y12" s="39" t="s">
        <v>40</v>
      </c>
      <c r="Z12" s="39" t="s">
        <v>47</v>
      </c>
      <c r="AA12" s="39" t="s">
        <v>90</v>
      </c>
      <c r="AB12" s="39" t="s">
        <v>335</v>
      </c>
      <c r="AE12" s="46" t="s">
        <v>70</v>
      </c>
      <c r="AG12" s="47"/>
      <c r="AH12" s="122"/>
      <c r="AL12" s="7"/>
      <c r="AP12" s="47" t="s">
        <v>67</v>
      </c>
      <c r="AR12" s="47" t="s">
        <v>124</v>
      </c>
      <c r="AV12" s="47" t="s">
        <v>72</v>
      </c>
      <c r="AX12" s="53">
        <v>180</v>
      </c>
      <c r="AY12" s="54">
        <v>18</v>
      </c>
      <c r="AZ12" s="54">
        <v>181</v>
      </c>
      <c r="BA12" s="55">
        <v>16</v>
      </c>
    </row>
    <row r="13" spans="1:53" x14ac:dyDescent="0.15">
      <c r="A13" s="39" t="s">
        <v>59</v>
      </c>
      <c r="B13" s="39" t="s">
        <v>337</v>
      </c>
      <c r="C13" s="118">
        <v>2020</v>
      </c>
      <c r="D13" s="30" t="s">
        <v>394</v>
      </c>
      <c r="E13" s="39" t="s">
        <v>277</v>
      </c>
      <c r="F13" s="39" t="s">
        <v>269</v>
      </c>
      <c r="G13" s="39" t="s">
        <v>36</v>
      </c>
      <c r="H13" s="39" t="s">
        <v>146</v>
      </c>
      <c r="I13" s="39" t="s">
        <v>142</v>
      </c>
      <c r="J13" s="39" t="s">
        <v>38</v>
      </c>
      <c r="K13" s="39" t="s">
        <v>143</v>
      </c>
      <c r="L13" s="39">
        <v>3</v>
      </c>
      <c r="N13" s="39">
        <v>1</v>
      </c>
      <c r="O13" s="39">
        <v>0.43</v>
      </c>
      <c r="P13" s="39">
        <v>0.49</v>
      </c>
      <c r="Q13" s="61">
        <f t="shared" si="2"/>
        <v>0.45999999999999996</v>
      </c>
      <c r="R13" s="39">
        <v>17</v>
      </c>
      <c r="S13" s="39">
        <v>155</v>
      </c>
      <c r="T13" s="45">
        <f t="shared" si="0"/>
        <v>18</v>
      </c>
      <c r="U13" s="39">
        <v>127</v>
      </c>
      <c r="V13" s="45">
        <f t="shared" si="1"/>
        <v>27</v>
      </c>
      <c r="W13" s="39">
        <v>6</v>
      </c>
      <c r="X13" s="39" t="s">
        <v>46</v>
      </c>
      <c r="Y13" s="39" t="s">
        <v>40</v>
      </c>
      <c r="Z13" s="39" t="s">
        <v>47</v>
      </c>
      <c r="AA13" s="39" t="s">
        <v>90</v>
      </c>
      <c r="AB13" s="39" t="s">
        <v>335</v>
      </c>
      <c r="AE13" s="46" t="s">
        <v>73</v>
      </c>
      <c r="AG13" s="47"/>
      <c r="AH13" s="47"/>
      <c r="AP13" s="47" t="s">
        <v>71</v>
      </c>
      <c r="AR13" s="47" t="s">
        <v>103</v>
      </c>
      <c r="AV13" s="47" t="s">
        <v>75</v>
      </c>
    </row>
    <row r="14" spans="1:53" x14ac:dyDescent="0.15">
      <c r="A14" s="39" t="s">
        <v>59</v>
      </c>
      <c r="B14" s="39" t="s">
        <v>337</v>
      </c>
      <c r="C14" s="118">
        <v>2020</v>
      </c>
      <c r="D14" s="30" t="s">
        <v>394</v>
      </c>
      <c r="E14" s="39" t="s">
        <v>277</v>
      </c>
      <c r="F14" s="39" t="s">
        <v>269</v>
      </c>
      <c r="G14" s="39" t="s">
        <v>36</v>
      </c>
      <c r="H14" s="39" t="s">
        <v>127</v>
      </c>
      <c r="I14" s="39" t="s">
        <v>142</v>
      </c>
      <c r="J14" s="39" t="s">
        <v>80</v>
      </c>
      <c r="K14" s="39" t="s">
        <v>235</v>
      </c>
      <c r="L14" s="39">
        <v>1</v>
      </c>
      <c r="N14" s="39">
        <v>5</v>
      </c>
      <c r="O14" s="39">
        <v>0.97</v>
      </c>
      <c r="P14" s="39">
        <v>0.95</v>
      </c>
      <c r="Q14" s="61">
        <f t="shared" si="2"/>
        <v>0.96</v>
      </c>
      <c r="R14" s="39">
        <v>12.6</v>
      </c>
      <c r="S14" s="39">
        <v>88</v>
      </c>
      <c r="T14" s="45">
        <f t="shared" si="0"/>
        <v>36</v>
      </c>
      <c r="U14" s="39">
        <v>397</v>
      </c>
      <c r="V14" s="45">
        <f t="shared" si="1"/>
        <v>16</v>
      </c>
      <c r="W14" s="39">
        <v>4</v>
      </c>
      <c r="X14" s="39" t="s">
        <v>39</v>
      </c>
      <c r="Y14" s="39" t="s">
        <v>40</v>
      </c>
      <c r="Z14" s="39" t="s">
        <v>47</v>
      </c>
      <c r="AA14" s="39" t="s">
        <v>90</v>
      </c>
      <c r="AB14" s="39" t="s">
        <v>335</v>
      </c>
      <c r="AE14" s="46" t="s">
        <v>76</v>
      </c>
      <c r="AG14" s="47"/>
      <c r="AH14" s="47"/>
      <c r="AP14" s="47" t="s">
        <v>244</v>
      </c>
      <c r="AR14" s="47" t="s">
        <v>125</v>
      </c>
      <c r="AV14" s="47" t="s">
        <v>78</v>
      </c>
    </row>
    <row r="15" spans="1:53" x14ac:dyDescent="0.15">
      <c r="A15" s="39" t="s">
        <v>59</v>
      </c>
      <c r="B15" s="39" t="s">
        <v>337</v>
      </c>
      <c r="C15" s="118">
        <v>2020</v>
      </c>
      <c r="D15" s="30" t="s">
        <v>394</v>
      </c>
      <c r="E15" s="39" t="s">
        <v>277</v>
      </c>
      <c r="F15" s="39" t="s">
        <v>269</v>
      </c>
      <c r="G15" s="39" t="s">
        <v>36</v>
      </c>
      <c r="H15" s="39" t="s">
        <v>127</v>
      </c>
      <c r="I15" s="39" t="s">
        <v>142</v>
      </c>
      <c r="J15" s="39" t="s">
        <v>80</v>
      </c>
      <c r="K15" s="39" t="s">
        <v>235</v>
      </c>
      <c r="L15" s="39">
        <v>2</v>
      </c>
      <c r="N15" s="39">
        <v>5</v>
      </c>
      <c r="O15" s="39">
        <v>0.91</v>
      </c>
      <c r="P15" s="39">
        <v>0.98</v>
      </c>
      <c r="Q15" s="61">
        <f t="shared" si="2"/>
        <v>0.94500000000000006</v>
      </c>
      <c r="R15" s="39">
        <v>12.9</v>
      </c>
      <c r="S15" s="39">
        <v>96</v>
      </c>
      <c r="T15" s="45">
        <f t="shared" si="0"/>
        <v>36</v>
      </c>
      <c r="U15" s="39">
        <v>397</v>
      </c>
      <c r="V15" s="45">
        <f t="shared" si="1"/>
        <v>16</v>
      </c>
      <c r="W15" s="39">
        <v>4</v>
      </c>
      <c r="X15" s="39" t="s">
        <v>39</v>
      </c>
      <c r="Y15" s="39" t="s">
        <v>40</v>
      </c>
      <c r="Z15" s="39" t="s">
        <v>47</v>
      </c>
      <c r="AA15" s="39" t="s">
        <v>90</v>
      </c>
      <c r="AB15" s="39" t="s">
        <v>335</v>
      </c>
      <c r="AE15" s="46" t="s">
        <v>79</v>
      </c>
      <c r="AG15" s="47"/>
      <c r="AH15" s="47"/>
      <c r="AP15" s="47" t="s">
        <v>245</v>
      </c>
      <c r="AR15" s="47" t="s">
        <v>94</v>
      </c>
      <c r="AV15" s="47" t="s">
        <v>107</v>
      </c>
    </row>
    <row r="16" spans="1:53" x14ac:dyDescent="0.15">
      <c r="A16" s="39" t="s">
        <v>59</v>
      </c>
      <c r="B16" s="39" t="s">
        <v>337</v>
      </c>
      <c r="C16" s="118">
        <v>2020</v>
      </c>
      <c r="D16" s="30" t="s">
        <v>394</v>
      </c>
      <c r="E16" s="39" t="s">
        <v>277</v>
      </c>
      <c r="F16" s="39" t="s">
        <v>269</v>
      </c>
      <c r="G16" s="39" t="s">
        <v>36</v>
      </c>
      <c r="H16" s="39" t="s">
        <v>127</v>
      </c>
      <c r="I16" s="39" t="s">
        <v>142</v>
      </c>
      <c r="J16" s="39" t="s">
        <v>80</v>
      </c>
      <c r="K16" s="39" t="s">
        <v>235</v>
      </c>
      <c r="L16" s="39">
        <v>3</v>
      </c>
      <c r="N16" s="39">
        <v>5</v>
      </c>
      <c r="O16" s="39">
        <v>0.92</v>
      </c>
      <c r="P16" s="39">
        <v>0.93</v>
      </c>
      <c r="Q16" s="61">
        <f t="shared" si="2"/>
        <v>0.92500000000000004</v>
      </c>
      <c r="R16" s="39">
        <v>11.8</v>
      </c>
      <c r="S16" s="39">
        <v>91</v>
      </c>
      <c r="T16" s="45">
        <f t="shared" si="0"/>
        <v>36</v>
      </c>
      <c r="U16" s="39">
        <v>397</v>
      </c>
      <c r="V16" s="45">
        <f t="shared" si="1"/>
        <v>16</v>
      </c>
      <c r="W16" s="39">
        <v>4</v>
      </c>
      <c r="X16" s="39" t="s">
        <v>39</v>
      </c>
      <c r="Y16" s="39" t="s">
        <v>40</v>
      </c>
      <c r="Z16" s="39" t="s">
        <v>47</v>
      </c>
      <c r="AA16" s="39" t="s">
        <v>90</v>
      </c>
      <c r="AB16" s="39" t="s">
        <v>335</v>
      </c>
      <c r="AE16" s="46" t="s">
        <v>82</v>
      </c>
      <c r="AG16" s="52"/>
      <c r="AH16" s="52"/>
      <c r="AP16" s="47" t="s">
        <v>80</v>
      </c>
      <c r="AR16" s="47" t="s">
        <v>63</v>
      </c>
      <c r="AV16" s="47" t="s">
        <v>84</v>
      </c>
    </row>
    <row r="17" spans="1:48" x14ac:dyDescent="0.15">
      <c r="A17" s="39" t="s">
        <v>59</v>
      </c>
      <c r="B17" s="39" t="s">
        <v>337</v>
      </c>
      <c r="C17" s="118">
        <v>2020</v>
      </c>
      <c r="D17" s="30" t="s">
        <v>394</v>
      </c>
      <c r="E17" s="39" t="s">
        <v>237</v>
      </c>
      <c r="F17" s="39" t="s">
        <v>272</v>
      </c>
      <c r="G17" s="39" t="s">
        <v>36</v>
      </c>
      <c r="H17" s="39" t="s">
        <v>146</v>
      </c>
      <c r="I17" s="39" t="s">
        <v>142</v>
      </c>
      <c r="J17" s="39" t="s">
        <v>38</v>
      </c>
      <c r="K17" s="39" t="s">
        <v>143</v>
      </c>
      <c r="L17" s="39">
        <v>1</v>
      </c>
      <c r="N17" s="39">
        <v>2</v>
      </c>
      <c r="O17" s="39">
        <v>0.38</v>
      </c>
      <c r="P17" s="39">
        <v>0.4</v>
      </c>
      <c r="Q17" s="61">
        <f t="shared" si="2"/>
        <v>0.39</v>
      </c>
      <c r="R17" s="39">
        <v>17.100000000000001</v>
      </c>
      <c r="S17" s="39">
        <v>165</v>
      </c>
      <c r="T17" s="45">
        <f t="shared" si="0"/>
        <v>18</v>
      </c>
      <c r="U17" s="39">
        <v>380</v>
      </c>
      <c r="V17" s="45">
        <f t="shared" si="1"/>
        <v>16</v>
      </c>
      <c r="W17" s="39">
        <v>3</v>
      </c>
      <c r="X17" s="39" t="s">
        <v>46</v>
      </c>
      <c r="Y17" s="39" t="s">
        <v>90</v>
      </c>
      <c r="Z17" s="39" t="s">
        <v>55</v>
      </c>
      <c r="AA17" s="39" t="s">
        <v>40</v>
      </c>
      <c r="AB17" s="39" t="s">
        <v>335</v>
      </c>
      <c r="AE17" s="46" t="s">
        <v>85</v>
      </c>
      <c r="AP17" s="51" t="s">
        <v>110</v>
      </c>
      <c r="AR17" s="47" t="s">
        <v>96</v>
      </c>
      <c r="AV17" s="47" t="s">
        <v>86</v>
      </c>
    </row>
    <row r="18" spans="1:48" x14ac:dyDescent="0.15">
      <c r="A18" s="39" t="s">
        <v>59</v>
      </c>
      <c r="B18" s="39" t="s">
        <v>337</v>
      </c>
      <c r="C18" s="118">
        <v>2020</v>
      </c>
      <c r="D18" s="30" t="s">
        <v>394</v>
      </c>
      <c r="E18" s="39" t="s">
        <v>237</v>
      </c>
      <c r="F18" s="39" t="s">
        <v>272</v>
      </c>
      <c r="G18" s="39" t="s">
        <v>36</v>
      </c>
      <c r="H18" s="39" t="s">
        <v>146</v>
      </c>
      <c r="I18" s="39" t="s">
        <v>142</v>
      </c>
      <c r="J18" s="39" t="s">
        <v>38</v>
      </c>
      <c r="K18" s="39" t="s">
        <v>143</v>
      </c>
      <c r="L18" s="39">
        <v>2</v>
      </c>
      <c r="N18" s="39">
        <v>2</v>
      </c>
      <c r="O18" s="39">
        <v>0.45</v>
      </c>
      <c r="P18" s="39">
        <v>0.43</v>
      </c>
      <c r="Q18" s="61">
        <f t="shared" si="2"/>
        <v>0.44</v>
      </c>
      <c r="R18" s="39">
        <v>16.3</v>
      </c>
      <c r="S18" s="39">
        <v>156</v>
      </c>
      <c r="T18" s="45">
        <f t="shared" si="0"/>
        <v>18</v>
      </c>
      <c r="U18" s="39">
        <v>380</v>
      </c>
      <c r="V18" s="45">
        <f t="shared" si="1"/>
        <v>16</v>
      </c>
      <c r="W18" s="39">
        <v>3</v>
      </c>
      <c r="X18" s="39" t="s">
        <v>46</v>
      </c>
      <c r="Y18" s="39" t="s">
        <v>90</v>
      </c>
      <c r="Z18" s="39" t="s">
        <v>55</v>
      </c>
      <c r="AA18" s="39" t="s">
        <v>40</v>
      </c>
      <c r="AB18" s="39" t="s">
        <v>335</v>
      </c>
      <c r="AE18" s="46" t="s">
        <v>87</v>
      </c>
      <c r="AP18" s="51" t="s">
        <v>247</v>
      </c>
      <c r="AR18" s="47" t="s">
        <v>101</v>
      </c>
      <c r="AV18" s="47" t="s">
        <v>88</v>
      </c>
    </row>
    <row r="19" spans="1:48" x14ac:dyDescent="0.15">
      <c r="A19" s="39" t="s">
        <v>59</v>
      </c>
      <c r="B19" s="39" t="s">
        <v>337</v>
      </c>
      <c r="C19" s="118">
        <v>2020</v>
      </c>
      <c r="D19" s="30" t="s">
        <v>394</v>
      </c>
      <c r="E19" s="39" t="s">
        <v>237</v>
      </c>
      <c r="F19" s="39" t="s">
        <v>272</v>
      </c>
      <c r="G19" s="39" t="s">
        <v>36</v>
      </c>
      <c r="H19" s="39" t="s">
        <v>146</v>
      </c>
      <c r="I19" s="39" t="s">
        <v>142</v>
      </c>
      <c r="J19" s="39" t="s">
        <v>38</v>
      </c>
      <c r="K19" s="39" t="s">
        <v>143</v>
      </c>
      <c r="L19" s="39">
        <v>3</v>
      </c>
      <c r="N19" s="39">
        <v>2</v>
      </c>
      <c r="O19" s="39">
        <v>0.44</v>
      </c>
      <c r="P19" s="39">
        <v>0.44</v>
      </c>
      <c r="Q19" s="61">
        <f t="shared" si="2"/>
        <v>0.44</v>
      </c>
      <c r="R19" s="39">
        <v>16.2</v>
      </c>
      <c r="S19" s="39">
        <v>155</v>
      </c>
      <c r="T19" s="45">
        <f t="shared" si="0"/>
        <v>18</v>
      </c>
      <c r="U19" s="39">
        <v>380</v>
      </c>
      <c r="V19" s="45">
        <f t="shared" si="1"/>
        <v>16</v>
      </c>
      <c r="W19" s="39">
        <v>3</v>
      </c>
      <c r="X19" s="39" t="s">
        <v>46</v>
      </c>
      <c r="Y19" s="39" t="s">
        <v>90</v>
      </c>
      <c r="Z19" s="39" t="s">
        <v>55</v>
      </c>
      <c r="AA19" s="39" t="s">
        <v>40</v>
      </c>
      <c r="AB19" s="39" t="s">
        <v>335</v>
      </c>
      <c r="AE19" s="57" t="s">
        <v>89</v>
      </c>
      <c r="AP19" s="51" t="s">
        <v>112</v>
      </c>
      <c r="AR19" s="47" t="s">
        <v>126</v>
      </c>
      <c r="AV19" s="47" t="s">
        <v>248</v>
      </c>
    </row>
    <row r="20" spans="1:48" x14ac:dyDescent="0.15">
      <c r="A20" s="39" t="s">
        <v>59</v>
      </c>
      <c r="B20" s="39" t="s">
        <v>337</v>
      </c>
      <c r="C20" s="118">
        <v>2020</v>
      </c>
      <c r="D20" s="30" t="s">
        <v>394</v>
      </c>
      <c r="E20" s="39" t="s">
        <v>237</v>
      </c>
      <c r="F20" s="39" t="s">
        <v>272</v>
      </c>
      <c r="G20" s="39" t="s">
        <v>36</v>
      </c>
      <c r="H20" s="39" t="s">
        <v>146</v>
      </c>
      <c r="I20" s="39" t="s">
        <v>142</v>
      </c>
      <c r="J20" s="39" t="s">
        <v>38</v>
      </c>
      <c r="K20" s="39" t="s">
        <v>143</v>
      </c>
      <c r="L20" s="39">
        <v>1</v>
      </c>
      <c r="N20" s="39">
        <v>4</v>
      </c>
      <c r="O20" s="39">
        <v>0.57999999999999996</v>
      </c>
      <c r="P20" s="39">
        <v>0.63</v>
      </c>
      <c r="Q20" s="61">
        <f t="shared" si="2"/>
        <v>0.60499999999999998</v>
      </c>
      <c r="R20" s="39">
        <v>17.5</v>
      </c>
      <c r="S20" s="39">
        <v>106</v>
      </c>
      <c r="T20" s="45">
        <f t="shared" si="0"/>
        <v>33</v>
      </c>
      <c r="U20" s="39">
        <v>480</v>
      </c>
      <c r="V20" s="45">
        <f t="shared" si="1"/>
        <v>16</v>
      </c>
      <c r="W20" s="39">
        <v>4</v>
      </c>
      <c r="X20" s="39" t="s">
        <v>46</v>
      </c>
      <c r="Y20" s="39" t="s">
        <v>90</v>
      </c>
      <c r="Z20" s="39" t="s">
        <v>55</v>
      </c>
      <c r="AA20" s="39" t="s">
        <v>40</v>
      </c>
      <c r="AB20" s="39" t="s">
        <v>335</v>
      </c>
      <c r="AE20" s="57"/>
      <c r="AP20" s="51" t="s">
        <v>113</v>
      </c>
      <c r="AR20" s="47" t="s">
        <v>105</v>
      </c>
      <c r="AV20" s="51" t="s">
        <v>135</v>
      </c>
    </row>
    <row r="21" spans="1:48" x14ac:dyDescent="0.15">
      <c r="A21" s="39" t="s">
        <v>59</v>
      </c>
      <c r="B21" s="39" t="s">
        <v>337</v>
      </c>
      <c r="C21" s="118">
        <v>2020</v>
      </c>
      <c r="D21" s="30" t="s">
        <v>394</v>
      </c>
      <c r="E21" s="39" t="s">
        <v>237</v>
      </c>
      <c r="F21" s="39" t="s">
        <v>272</v>
      </c>
      <c r="G21" s="39" t="s">
        <v>36</v>
      </c>
      <c r="H21" s="39" t="s">
        <v>146</v>
      </c>
      <c r="I21" s="39" t="s">
        <v>142</v>
      </c>
      <c r="J21" s="39" t="s">
        <v>38</v>
      </c>
      <c r="K21" s="39" t="s">
        <v>143</v>
      </c>
      <c r="L21" s="39">
        <v>2</v>
      </c>
      <c r="N21" s="39">
        <v>4</v>
      </c>
      <c r="O21" s="39">
        <v>0.62</v>
      </c>
      <c r="P21" s="39">
        <v>0.63</v>
      </c>
      <c r="Q21" s="61">
        <f t="shared" si="2"/>
        <v>0.625</v>
      </c>
      <c r="R21" s="39">
        <v>16.399999999999999</v>
      </c>
      <c r="S21" s="39">
        <v>108</v>
      </c>
      <c r="T21" s="45">
        <f t="shared" si="0"/>
        <v>33</v>
      </c>
      <c r="U21" s="39">
        <v>480</v>
      </c>
      <c r="V21" s="45">
        <f t="shared" si="1"/>
        <v>16</v>
      </c>
      <c r="W21" s="39">
        <v>4</v>
      </c>
      <c r="X21" s="39" t="s">
        <v>46</v>
      </c>
      <c r="Y21" s="39" t="s">
        <v>90</v>
      </c>
      <c r="Z21" s="39" t="s">
        <v>55</v>
      </c>
      <c r="AA21" s="39" t="s">
        <v>40</v>
      </c>
      <c r="AB21" s="39" t="s">
        <v>335</v>
      </c>
      <c r="AE21" s="52"/>
      <c r="AP21" s="51" t="s">
        <v>249</v>
      </c>
      <c r="AR21" s="47" t="s">
        <v>68</v>
      </c>
      <c r="AV21" s="51" t="s">
        <v>136</v>
      </c>
    </row>
    <row r="22" spans="1:48" x14ac:dyDescent="0.15">
      <c r="A22" s="39" t="s">
        <v>59</v>
      </c>
      <c r="B22" s="39" t="s">
        <v>337</v>
      </c>
      <c r="C22" s="118">
        <v>2020</v>
      </c>
      <c r="D22" s="30" t="s">
        <v>394</v>
      </c>
      <c r="E22" s="39" t="s">
        <v>237</v>
      </c>
      <c r="F22" s="39" t="s">
        <v>272</v>
      </c>
      <c r="G22" s="39" t="s">
        <v>36</v>
      </c>
      <c r="H22" s="39" t="s">
        <v>146</v>
      </c>
      <c r="I22" s="39" t="s">
        <v>142</v>
      </c>
      <c r="J22" s="39" t="s">
        <v>38</v>
      </c>
      <c r="K22" s="39" t="s">
        <v>143</v>
      </c>
      <c r="L22" s="39">
        <v>3</v>
      </c>
      <c r="N22" s="39">
        <v>4</v>
      </c>
      <c r="O22" s="39">
        <v>0.59</v>
      </c>
      <c r="P22" s="39">
        <v>0.62</v>
      </c>
      <c r="Q22" s="61">
        <f t="shared" si="2"/>
        <v>0.60499999999999998</v>
      </c>
      <c r="R22" s="39">
        <v>16.5</v>
      </c>
      <c r="S22" s="39">
        <v>116</v>
      </c>
      <c r="T22" s="45">
        <f t="shared" si="0"/>
        <v>30</v>
      </c>
      <c r="U22" s="39">
        <v>480</v>
      </c>
      <c r="V22" s="45">
        <f t="shared" si="1"/>
        <v>16</v>
      </c>
      <c r="W22" s="39">
        <v>4</v>
      </c>
      <c r="X22" s="39" t="s">
        <v>46</v>
      </c>
      <c r="Y22" s="39" t="s">
        <v>90</v>
      </c>
      <c r="Z22" s="39" t="s">
        <v>55</v>
      </c>
      <c r="AA22" s="39" t="s">
        <v>40</v>
      </c>
      <c r="AB22" s="39" t="s">
        <v>335</v>
      </c>
      <c r="AP22" s="51" t="s">
        <v>246</v>
      </c>
      <c r="AR22" s="47" t="s">
        <v>83</v>
      </c>
      <c r="AV22" s="51" t="s">
        <v>250</v>
      </c>
    </row>
    <row r="23" spans="1:48" x14ac:dyDescent="0.15">
      <c r="A23" s="39" t="s">
        <v>59</v>
      </c>
      <c r="B23" s="39" t="s">
        <v>337</v>
      </c>
      <c r="C23" s="118">
        <v>2020</v>
      </c>
      <c r="D23" s="30" t="s">
        <v>394</v>
      </c>
      <c r="E23" s="39" t="s">
        <v>237</v>
      </c>
      <c r="F23" s="39" t="s">
        <v>272</v>
      </c>
      <c r="G23" s="39" t="s">
        <v>36</v>
      </c>
      <c r="H23" s="39" t="s">
        <v>146</v>
      </c>
      <c r="I23" s="39" t="s">
        <v>142</v>
      </c>
      <c r="J23" s="39" t="s">
        <v>38</v>
      </c>
      <c r="K23" s="39" t="s">
        <v>143</v>
      </c>
      <c r="L23" s="39">
        <v>1</v>
      </c>
      <c r="N23" s="39">
        <v>3</v>
      </c>
      <c r="O23" s="39">
        <v>0.49</v>
      </c>
      <c r="P23" s="39">
        <v>0.44</v>
      </c>
      <c r="Q23" s="61">
        <f t="shared" si="2"/>
        <v>0.46499999999999997</v>
      </c>
      <c r="R23" s="39">
        <v>18.3</v>
      </c>
      <c r="S23" s="39">
        <v>116</v>
      </c>
      <c r="T23" s="45">
        <f t="shared" si="0"/>
        <v>30</v>
      </c>
      <c r="U23" s="39">
        <v>399</v>
      </c>
      <c r="V23" s="45">
        <f t="shared" si="1"/>
        <v>16</v>
      </c>
      <c r="W23" s="39">
        <v>2</v>
      </c>
      <c r="X23" s="39" t="s">
        <v>46</v>
      </c>
      <c r="Y23" s="39" t="s">
        <v>90</v>
      </c>
      <c r="Z23" s="39" t="s">
        <v>55</v>
      </c>
      <c r="AA23" s="39" t="s">
        <v>40</v>
      </c>
      <c r="AB23" s="39" t="s">
        <v>335</v>
      </c>
      <c r="AP23" s="51" t="s">
        <v>137</v>
      </c>
      <c r="AR23" s="47" t="s">
        <v>61</v>
      </c>
      <c r="AV23" s="51" t="s">
        <v>251</v>
      </c>
    </row>
    <row r="24" spans="1:48" x14ac:dyDescent="0.15">
      <c r="A24" s="39" t="s">
        <v>59</v>
      </c>
      <c r="B24" s="39" t="s">
        <v>337</v>
      </c>
      <c r="C24" s="118">
        <v>2020</v>
      </c>
      <c r="D24" s="30" t="s">
        <v>394</v>
      </c>
      <c r="E24" s="39" t="s">
        <v>237</v>
      </c>
      <c r="F24" s="39" t="s">
        <v>272</v>
      </c>
      <c r="G24" s="39" t="s">
        <v>36</v>
      </c>
      <c r="H24" s="39" t="s">
        <v>146</v>
      </c>
      <c r="I24" s="39" t="s">
        <v>142</v>
      </c>
      <c r="J24" s="39" t="s">
        <v>38</v>
      </c>
      <c r="K24" s="39" t="s">
        <v>143</v>
      </c>
      <c r="L24" s="39">
        <v>2</v>
      </c>
      <c r="N24" s="39">
        <v>3</v>
      </c>
      <c r="O24" s="39">
        <v>0.52</v>
      </c>
      <c r="P24" s="39">
        <v>0.5</v>
      </c>
      <c r="Q24" s="61">
        <f t="shared" si="2"/>
        <v>0.51</v>
      </c>
      <c r="R24" s="39">
        <v>18</v>
      </c>
      <c r="S24" s="39">
        <v>120</v>
      </c>
      <c r="T24" s="45">
        <f t="shared" si="0"/>
        <v>30</v>
      </c>
      <c r="U24" s="39">
        <v>399</v>
      </c>
      <c r="V24" s="45">
        <f t="shared" si="1"/>
        <v>16</v>
      </c>
      <c r="W24" s="39">
        <v>2</v>
      </c>
      <c r="X24" s="39" t="s">
        <v>46</v>
      </c>
      <c r="Y24" s="39" t="s">
        <v>90</v>
      </c>
      <c r="Z24" s="39" t="s">
        <v>55</v>
      </c>
      <c r="AA24" s="39" t="s">
        <v>40</v>
      </c>
      <c r="AB24" s="39" t="s">
        <v>335</v>
      </c>
      <c r="AP24" s="51" t="s">
        <v>138</v>
      </c>
      <c r="AR24" s="47" t="s">
        <v>91</v>
      </c>
      <c r="AV24" s="51" t="s">
        <v>252</v>
      </c>
    </row>
    <row r="25" spans="1:48" x14ac:dyDescent="0.15">
      <c r="A25" s="39" t="s">
        <v>59</v>
      </c>
      <c r="B25" s="39" t="s">
        <v>337</v>
      </c>
      <c r="C25" s="118">
        <v>2020</v>
      </c>
      <c r="D25" s="30" t="s">
        <v>394</v>
      </c>
      <c r="E25" s="39" t="s">
        <v>237</v>
      </c>
      <c r="F25" s="39" t="s">
        <v>272</v>
      </c>
      <c r="G25" s="39" t="s">
        <v>36</v>
      </c>
      <c r="H25" s="39" t="s">
        <v>146</v>
      </c>
      <c r="I25" s="39" t="s">
        <v>142</v>
      </c>
      <c r="J25" s="39" t="s">
        <v>38</v>
      </c>
      <c r="K25" s="39" t="s">
        <v>143</v>
      </c>
      <c r="L25" s="39">
        <v>3</v>
      </c>
      <c r="N25" s="39">
        <v>3</v>
      </c>
      <c r="O25" s="39">
        <v>0.53</v>
      </c>
      <c r="P25" s="39">
        <v>0.48</v>
      </c>
      <c r="Q25" s="61">
        <f t="shared" si="2"/>
        <v>0.505</v>
      </c>
      <c r="R25" s="39">
        <v>17.7</v>
      </c>
      <c r="S25" s="39">
        <v>124</v>
      </c>
      <c r="T25" s="45">
        <f t="shared" si="0"/>
        <v>27</v>
      </c>
      <c r="U25" s="39">
        <v>399</v>
      </c>
      <c r="V25" s="45">
        <f t="shared" si="1"/>
        <v>16</v>
      </c>
      <c r="W25" s="39">
        <v>2</v>
      </c>
      <c r="X25" s="39" t="s">
        <v>46</v>
      </c>
      <c r="Y25" s="39" t="s">
        <v>90</v>
      </c>
      <c r="Z25" s="39" t="s">
        <v>55</v>
      </c>
      <c r="AA25" s="39" t="s">
        <v>40</v>
      </c>
      <c r="AB25" s="39" t="s">
        <v>335</v>
      </c>
      <c r="AP25" s="51" t="s">
        <v>116</v>
      </c>
      <c r="AR25" s="51" t="s">
        <v>92</v>
      </c>
      <c r="AV25" s="51" t="s">
        <v>253</v>
      </c>
    </row>
    <row r="26" spans="1:48" x14ac:dyDescent="0.15">
      <c r="A26" s="39" t="s">
        <v>59</v>
      </c>
      <c r="B26" s="39" t="s">
        <v>337</v>
      </c>
      <c r="C26" s="118">
        <v>2020</v>
      </c>
      <c r="D26" s="30" t="s">
        <v>394</v>
      </c>
      <c r="E26" s="39" t="s">
        <v>237</v>
      </c>
      <c r="F26" s="39" t="s">
        <v>272</v>
      </c>
      <c r="G26" s="39" t="s">
        <v>36</v>
      </c>
      <c r="H26" s="39" t="s">
        <v>127</v>
      </c>
      <c r="I26" s="39" t="s">
        <v>142</v>
      </c>
      <c r="J26" s="39" t="s">
        <v>212</v>
      </c>
      <c r="K26" s="39" t="s">
        <v>235</v>
      </c>
      <c r="L26" s="39">
        <v>1</v>
      </c>
      <c r="N26" s="39">
        <v>4</v>
      </c>
      <c r="O26" s="39">
        <v>0.61</v>
      </c>
      <c r="P26" s="39">
        <v>0.57999999999999996</v>
      </c>
      <c r="Q26" s="61">
        <f t="shared" si="2"/>
        <v>0.59499999999999997</v>
      </c>
      <c r="R26" s="39">
        <v>13.8</v>
      </c>
      <c r="S26" s="39">
        <v>104</v>
      </c>
      <c r="T26" s="45">
        <f t="shared" si="0"/>
        <v>33</v>
      </c>
      <c r="U26" s="39">
        <v>399</v>
      </c>
      <c r="V26" s="45">
        <f t="shared" si="1"/>
        <v>16</v>
      </c>
      <c r="W26" s="39">
        <v>1</v>
      </c>
      <c r="X26" s="39" t="s">
        <v>39</v>
      </c>
      <c r="Y26" s="39" t="s">
        <v>90</v>
      </c>
      <c r="Z26" s="39" t="s">
        <v>55</v>
      </c>
      <c r="AA26" s="39" t="s">
        <v>40</v>
      </c>
      <c r="AB26" s="39" t="s">
        <v>335</v>
      </c>
      <c r="AP26" s="51" t="s">
        <v>117</v>
      </c>
      <c r="AR26" s="51" t="s">
        <v>254</v>
      </c>
      <c r="AV26" s="51"/>
    </row>
    <row r="27" spans="1:48" x14ac:dyDescent="0.15">
      <c r="A27" s="39" t="s">
        <v>59</v>
      </c>
      <c r="B27" s="39" t="s">
        <v>337</v>
      </c>
      <c r="C27" s="118">
        <v>2020</v>
      </c>
      <c r="D27" s="30" t="s">
        <v>394</v>
      </c>
      <c r="E27" s="39" t="s">
        <v>237</v>
      </c>
      <c r="F27" s="39" t="s">
        <v>272</v>
      </c>
      <c r="G27" s="39" t="s">
        <v>36</v>
      </c>
      <c r="H27" s="39" t="s">
        <v>127</v>
      </c>
      <c r="I27" s="39" t="s">
        <v>142</v>
      </c>
      <c r="J27" s="39" t="s">
        <v>212</v>
      </c>
      <c r="K27" s="39" t="s">
        <v>235</v>
      </c>
      <c r="L27" s="39">
        <v>2</v>
      </c>
      <c r="N27" s="39">
        <v>4</v>
      </c>
      <c r="O27" s="39">
        <v>0.87</v>
      </c>
      <c r="P27" s="39">
        <v>0.91</v>
      </c>
      <c r="Q27" s="61">
        <f t="shared" si="2"/>
        <v>0.89</v>
      </c>
      <c r="R27" s="39">
        <v>13.2</v>
      </c>
      <c r="S27" s="39">
        <v>103</v>
      </c>
      <c r="T27" s="45">
        <f t="shared" si="0"/>
        <v>33</v>
      </c>
      <c r="U27" s="39">
        <v>399</v>
      </c>
      <c r="V27" s="45">
        <f t="shared" si="1"/>
        <v>16</v>
      </c>
      <c r="W27" s="39">
        <v>1</v>
      </c>
      <c r="X27" s="39" t="s">
        <v>39</v>
      </c>
      <c r="Y27" s="39" t="s">
        <v>90</v>
      </c>
      <c r="Z27" s="39" t="s">
        <v>55</v>
      </c>
      <c r="AA27" s="39" t="s">
        <v>40</v>
      </c>
      <c r="AB27" s="39" t="s">
        <v>335</v>
      </c>
      <c r="AP27" s="51" t="s">
        <v>118</v>
      </c>
      <c r="AR27" s="52" t="s">
        <v>257</v>
      </c>
      <c r="AV27" s="51"/>
    </row>
    <row r="28" spans="1:48" x14ac:dyDescent="0.15">
      <c r="A28" s="39" t="s">
        <v>59</v>
      </c>
      <c r="B28" s="39" t="s">
        <v>337</v>
      </c>
      <c r="C28" s="118">
        <v>2020</v>
      </c>
      <c r="D28" s="30" t="s">
        <v>394</v>
      </c>
      <c r="E28" s="39" t="s">
        <v>237</v>
      </c>
      <c r="F28" s="39" t="s">
        <v>272</v>
      </c>
      <c r="G28" s="39" t="s">
        <v>36</v>
      </c>
      <c r="H28" s="39" t="s">
        <v>127</v>
      </c>
      <c r="I28" s="39" t="s">
        <v>142</v>
      </c>
      <c r="J28" s="39" t="s">
        <v>212</v>
      </c>
      <c r="K28" s="39" t="s">
        <v>235</v>
      </c>
      <c r="L28" s="39">
        <v>3</v>
      </c>
      <c r="N28" s="39">
        <v>4</v>
      </c>
      <c r="O28" s="39">
        <v>0.79</v>
      </c>
      <c r="P28" s="39">
        <v>0.74</v>
      </c>
      <c r="Q28" s="61">
        <f t="shared" si="2"/>
        <v>0.76500000000000001</v>
      </c>
      <c r="R28" s="39">
        <v>12.2</v>
      </c>
      <c r="S28" s="39">
        <v>105</v>
      </c>
      <c r="T28" s="45">
        <f t="shared" si="0"/>
        <v>33</v>
      </c>
      <c r="U28" s="39">
        <v>399</v>
      </c>
      <c r="V28" s="45">
        <f t="shared" si="1"/>
        <v>16</v>
      </c>
      <c r="W28" s="39">
        <v>1</v>
      </c>
      <c r="X28" s="39" t="s">
        <v>39</v>
      </c>
      <c r="Y28" s="39" t="s">
        <v>90</v>
      </c>
      <c r="Z28" s="39" t="s">
        <v>55</v>
      </c>
      <c r="AA28" s="39" t="s">
        <v>40</v>
      </c>
      <c r="AB28" s="39" t="s">
        <v>335</v>
      </c>
      <c r="AV28" s="51"/>
    </row>
    <row r="29" spans="1:48" x14ac:dyDescent="0.15">
      <c r="A29" s="39" t="s">
        <v>59</v>
      </c>
      <c r="B29" s="39" t="s">
        <v>337</v>
      </c>
      <c r="C29" s="118">
        <v>2020</v>
      </c>
      <c r="D29" s="30" t="s">
        <v>394</v>
      </c>
      <c r="E29" s="39" t="s">
        <v>284</v>
      </c>
      <c r="F29" s="39" t="s">
        <v>272</v>
      </c>
      <c r="G29" s="39" t="s">
        <v>36</v>
      </c>
      <c r="H29" s="39" t="s">
        <v>146</v>
      </c>
      <c r="I29" s="39" t="s">
        <v>142</v>
      </c>
      <c r="J29" s="39" t="s">
        <v>38</v>
      </c>
      <c r="K29" s="39" t="s">
        <v>143</v>
      </c>
      <c r="L29" s="39">
        <v>1</v>
      </c>
      <c r="N29" s="39">
        <v>4</v>
      </c>
      <c r="O29" s="39">
        <v>0.55000000000000004</v>
      </c>
      <c r="P29" s="39">
        <v>0.48</v>
      </c>
      <c r="Q29" s="61">
        <f t="shared" si="2"/>
        <v>0.51500000000000001</v>
      </c>
      <c r="R29" s="39">
        <v>15.2</v>
      </c>
      <c r="S29" s="39">
        <v>98</v>
      </c>
      <c r="T29" s="45">
        <f t="shared" si="0"/>
        <v>36</v>
      </c>
      <c r="U29" s="39">
        <v>645</v>
      </c>
      <c r="V29" s="45">
        <f t="shared" si="1"/>
        <v>16</v>
      </c>
      <c r="W29" s="39">
        <v>1</v>
      </c>
      <c r="X29" s="39" t="s">
        <v>46</v>
      </c>
      <c r="Y29" s="39" t="s">
        <v>250</v>
      </c>
      <c r="Z29" s="39" t="s">
        <v>40</v>
      </c>
      <c r="AA29" s="39" t="s">
        <v>90</v>
      </c>
      <c r="AB29" s="39" t="s">
        <v>335</v>
      </c>
      <c r="AV29" s="51"/>
    </row>
    <row r="30" spans="1:48" x14ac:dyDescent="0.15">
      <c r="A30" s="39" t="s">
        <v>59</v>
      </c>
      <c r="B30" s="39" t="s">
        <v>337</v>
      </c>
      <c r="C30" s="118">
        <v>2020</v>
      </c>
      <c r="D30" s="30" t="s">
        <v>394</v>
      </c>
      <c r="E30" s="39" t="s">
        <v>284</v>
      </c>
      <c r="F30" s="39" t="s">
        <v>272</v>
      </c>
      <c r="G30" s="39" t="s">
        <v>36</v>
      </c>
      <c r="H30" s="39" t="s">
        <v>146</v>
      </c>
      <c r="I30" s="39" t="s">
        <v>142</v>
      </c>
      <c r="J30" s="39" t="s">
        <v>38</v>
      </c>
      <c r="K30" s="39" t="s">
        <v>143</v>
      </c>
      <c r="L30" s="39">
        <v>2</v>
      </c>
      <c r="N30" s="39">
        <v>4</v>
      </c>
      <c r="O30" s="39">
        <v>0.61</v>
      </c>
      <c r="P30" s="39">
        <v>0.68</v>
      </c>
      <c r="Q30" s="61">
        <f t="shared" si="2"/>
        <v>0.64500000000000002</v>
      </c>
      <c r="R30" s="39">
        <v>14.2</v>
      </c>
      <c r="S30" s="39">
        <v>100</v>
      </c>
      <c r="T30" s="45">
        <f t="shared" si="0"/>
        <v>33</v>
      </c>
      <c r="U30" s="39">
        <v>645</v>
      </c>
      <c r="V30" s="45">
        <f t="shared" si="1"/>
        <v>16</v>
      </c>
      <c r="W30" s="39">
        <v>1</v>
      </c>
      <c r="X30" s="39" t="s">
        <v>46</v>
      </c>
      <c r="Y30" s="39" t="s">
        <v>250</v>
      </c>
      <c r="Z30" s="39" t="s">
        <v>40</v>
      </c>
      <c r="AA30" s="39" t="s">
        <v>90</v>
      </c>
      <c r="AB30" s="39" t="s">
        <v>335</v>
      </c>
      <c r="AV30" s="51"/>
    </row>
    <row r="31" spans="1:48" x14ac:dyDescent="0.15">
      <c r="A31" s="39" t="s">
        <v>59</v>
      </c>
      <c r="B31" s="39" t="s">
        <v>337</v>
      </c>
      <c r="C31" s="118">
        <v>2020</v>
      </c>
      <c r="D31" s="30" t="s">
        <v>394</v>
      </c>
      <c r="E31" s="39" t="s">
        <v>284</v>
      </c>
      <c r="F31" s="39" t="s">
        <v>272</v>
      </c>
      <c r="G31" s="39" t="s">
        <v>36</v>
      </c>
      <c r="H31" s="39" t="s">
        <v>146</v>
      </c>
      <c r="I31" s="39" t="s">
        <v>142</v>
      </c>
      <c r="J31" s="39" t="s">
        <v>38</v>
      </c>
      <c r="K31" s="39" t="s">
        <v>143</v>
      </c>
      <c r="L31" s="39">
        <v>3</v>
      </c>
      <c r="N31" s="39">
        <v>4</v>
      </c>
      <c r="O31" s="39">
        <v>0.57999999999999996</v>
      </c>
      <c r="P31" s="39">
        <v>0.52</v>
      </c>
      <c r="Q31" s="61">
        <f t="shared" si="2"/>
        <v>0.55000000000000004</v>
      </c>
      <c r="R31" s="39">
        <v>15.6</v>
      </c>
      <c r="S31" s="39">
        <v>105</v>
      </c>
      <c r="T31" s="45">
        <f t="shared" si="0"/>
        <v>33</v>
      </c>
      <c r="U31" s="39">
        <v>645</v>
      </c>
      <c r="V31" s="45">
        <f t="shared" si="1"/>
        <v>16</v>
      </c>
      <c r="W31" s="39">
        <v>1</v>
      </c>
      <c r="X31" s="39" t="s">
        <v>46</v>
      </c>
      <c r="Y31" s="39" t="s">
        <v>250</v>
      </c>
      <c r="Z31" s="39" t="s">
        <v>40</v>
      </c>
      <c r="AA31" s="39" t="s">
        <v>90</v>
      </c>
      <c r="AB31" s="39" t="s">
        <v>335</v>
      </c>
      <c r="AV31" s="51"/>
    </row>
    <row r="32" spans="1:48" x14ac:dyDescent="0.15">
      <c r="A32" s="39" t="s">
        <v>59</v>
      </c>
      <c r="B32" s="39" t="s">
        <v>337</v>
      </c>
      <c r="C32" s="118">
        <v>2020</v>
      </c>
      <c r="D32" s="30" t="s">
        <v>394</v>
      </c>
      <c r="E32" s="39" t="s">
        <v>284</v>
      </c>
      <c r="F32" s="39" t="s">
        <v>272</v>
      </c>
      <c r="G32" s="39" t="s">
        <v>36</v>
      </c>
      <c r="H32" s="39" t="s">
        <v>146</v>
      </c>
      <c r="I32" s="39" t="s">
        <v>142</v>
      </c>
      <c r="J32" s="39" t="s">
        <v>38</v>
      </c>
      <c r="K32" s="39" t="s">
        <v>143</v>
      </c>
      <c r="L32" s="39">
        <v>1</v>
      </c>
      <c r="N32" s="39">
        <v>2</v>
      </c>
      <c r="O32" s="39">
        <v>0.53</v>
      </c>
      <c r="P32" s="39">
        <v>0.56999999999999995</v>
      </c>
      <c r="Q32" s="61">
        <f t="shared" si="2"/>
        <v>0.55000000000000004</v>
      </c>
      <c r="R32" s="39">
        <v>15.4</v>
      </c>
      <c r="S32" s="39">
        <v>145</v>
      </c>
      <c r="T32" s="45">
        <f t="shared" si="0"/>
        <v>22</v>
      </c>
      <c r="U32" s="39">
        <v>429</v>
      </c>
      <c r="V32" s="45">
        <f t="shared" si="1"/>
        <v>16</v>
      </c>
      <c r="W32" s="39">
        <v>1</v>
      </c>
      <c r="X32" s="39" t="s">
        <v>46</v>
      </c>
      <c r="Y32" s="39" t="s">
        <v>250</v>
      </c>
      <c r="Z32" s="39" t="s">
        <v>40</v>
      </c>
      <c r="AA32" s="39" t="s">
        <v>90</v>
      </c>
      <c r="AB32" s="39" t="s">
        <v>335</v>
      </c>
      <c r="AV32" s="51"/>
    </row>
    <row r="33" spans="1:48" x14ac:dyDescent="0.15">
      <c r="A33" s="39" t="s">
        <v>59</v>
      </c>
      <c r="B33" s="39" t="s">
        <v>337</v>
      </c>
      <c r="C33" s="118">
        <v>2020</v>
      </c>
      <c r="D33" s="30" t="s">
        <v>394</v>
      </c>
      <c r="E33" s="39" t="s">
        <v>284</v>
      </c>
      <c r="F33" s="39" t="s">
        <v>272</v>
      </c>
      <c r="G33" s="39" t="s">
        <v>36</v>
      </c>
      <c r="H33" s="39" t="s">
        <v>146</v>
      </c>
      <c r="I33" s="39" t="s">
        <v>142</v>
      </c>
      <c r="J33" s="39" t="s">
        <v>38</v>
      </c>
      <c r="K33" s="39" t="s">
        <v>143</v>
      </c>
      <c r="L33" s="39">
        <v>2</v>
      </c>
      <c r="N33" s="39">
        <v>2</v>
      </c>
      <c r="O33" s="39">
        <v>0.48</v>
      </c>
      <c r="P33" s="39">
        <v>0.53</v>
      </c>
      <c r="Q33" s="61">
        <f t="shared" si="2"/>
        <v>0.505</v>
      </c>
      <c r="R33" s="39">
        <v>16.399999999999999</v>
      </c>
      <c r="S33" s="39">
        <v>150</v>
      </c>
      <c r="T33" s="45">
        <f t="shared" si="0"/>
        <v>22</v>
      </c>
      <c r="U33" s="39">
        <v>429</v>
      </c>
      <c r="V33" s="45">
        <f t="shared" si="1"/>
        <v>16</v>
      </c>
      <c r="W33" s="39">
        <v>1</v>
      </c>
      <c r="X33" s="39" t="s">
        <v>46</v>
      </c>
      <c r="Y33" s="39" t="s">
        <v>250</v>
      </c>
      <c r="Z33" s="39" t="s">
        <v>40</v>
      </c>
      <c r="AA33" s="39" t="s">
        <v>90</v>
      </c>
      <c r="AB33" s="39" t="s">
        <v>335</v>
      </c>
      <c r="AV33" s="51"/>
    </row>
    <row r="34" spans="1:48" x14ac:dyDescent="0.15">
      <c r="A34" s="39" t="s">
        <v>59</v>
      </c>
      <c r="B34" s="39" t="s">
        <v>337</v>
      </c>
      <c r="C34" s="118">
        <v>2020</v>
      </c>
      <c r="D34" s="30" t="s">
        <v>394</v>
      </c>
      <c r="E34" s="39" t="s">
        <v>284</v>
      </c>
      <c r="F34" s="39" t="s">
        <v>272</v>
      </c>
      <c r="G34" s="39" t="s">
        <v>36</v>
      </c>
      <c r="H34" s="39" t="s">
        <v>146</v>
      </c>
      <c r="I34" s="39" t="s">
        <v>142</v>
      </c>
      <c r="J34" s="39" t="s">
        <v>38</v>
      </c>
      <c r="K34" s="39" t="s">
        <v>143</v>
      </c>
      <c r="L34" s="39">
        <v>3</v>
      </c>
      <c r="N34" s="39">
        <v>2</v>
      </c>
      <c r="O34" s="39">
        <v>0.52</v>
      </c>
      <c r="P34" s="39">
        <v>0.47</v>
      </c>
      <c r="Q34" s="61">
        <f t="shared" si="2"/>
        <v>0.495</v>
      </c>
      <c r="R34" s="39">
        <v>16.2</v>
      </c>
      <c r="S34" s="39">
        <v>151</v>
      </c>
      <c r="T34" s="45">
        <f t="shared" si="0"/>
        <v>22</v>
      </c>
      <c r="U34" s="39">
        <v>429</v>
      </c>
      <c r="V34" s="45">
        <f t="shared" si="1"/>
        <v>16</v>
      </c>
      <c r="W34" s="39">
        <v>1</v>
      </c>
      <c r="X34" s="39" t="s">
        <v>46</v>
      </c>
      <c r="Y34" s="39" t="s">
        <v>250</v>
      </c>
      <c r="Z34" s="39" t="s">
        <v>40</v>
      </c>
      <c r="AA34" s="39" t="s">
        <v>90</v>
      </c>
      <c r="AB34" s="39" t="s">
        <v>335</v>
      </c>
      <c r="AV34" s="51"/>
    </row>
    <row r="35" spans="1:48" x14ac:dyDescent="0.15">
      <c r="A35" s="39" t="s">
        <v>59</v>
      </c>
      <c r="B35" s="39" t="s">
        <v>337</v>
      </c>
      <c r="C35" s="118">
        <v>2020</v>
      </c>
      <c r="D35" s="30" t="s">
        <v>394</v>
      </c>
      <c r="E35" s="39" t="s">
        <v>284</v>
      </c>
      <c r="F35" s="39" t="s">
        <v>272</v>
      </c>
      <c r="G35" s="39" t="s">
        <v>36</v>
      </c>
      <c r="H35" s="39" t="s">
        <v>146</v>
      </c>
      <c r="I35" s="39" t="s">
        <v>142</v>
      </c>
      <c r="J35" s="39" t="s">
        <v>38</v>
      </c>
      <c r="K35" s="39" t="s">
        <v>143</v>
      </c>
      <c r="L35" s="39">
        <v>1</v>
      </c>
      <c r="N35" s="39">
        <v>1</v>
      </c>
      <c r="O35" s="39">
        <v>0.57999999999999996</v>
      </c>
      <c r="P35" s="39">
        <v>0.57999999999999996</v>
      </c>
      <c r="Q35" s="61">
        <f t="shared" si="2"/>
        <v>0.57999999999999996</v>
      </c>
      <c r="R35" s="39">
        <v>16.399999999999999</v>
      </c>
      <c r="S35" s="39">
        <v>146</v>
      </c>
      <c r="T35" s="45">
        <f t="shared" si="0"/>
        <v>22</v>
      </c>
      <c r="U35" s="39">
        <v>162</v>
      </c>
      <c r="V35" s="45">
        <f t="shared" si="1"/>
        <v>18</v>
      </c>
      <c r="W35" s="39">
        <v>1</v>
      </c>
      <c r="X35" s="39" t="s">
        <v>46</v>
      </c>
      <c r="Y35" s="39" t="s">
        <v>250</v>
      </c>
      <c r="Z35" s="39" t="s">
        <v>40</v>
      </c>
      <c r="AA35" s="39" t="s">
        <v>90</v>
      </c>
      <c r="AB35" s="39" t="s">
        <v>335</v>
      </c>
      <c r="AV35" s="51"/>
    </row>
    <row r="36" spans="1:48" x14ac:dyDescent="0.15">
      <c r="A36" s="39" t="s">
        <v>59</v>
      </c>
      <c r="B36" s="39" t="s">
        <v>337</v>
      </c>
      <c r="C36" s="118">
        <v>2020</v>
      </c>
      <c r="D36" s="30" t="s">
        <v>394</v>
      </c>
      <c r="E36" s="39" t="s">
        <v>284</v>
      </c>
      <c r="F36" s="39" t="s">
        <v>272</v>
      </c>
      <c r="G36" s="39" t="s">
        <v>36</v>
      </c>
      <c r="H36" s="39" t="s">
        <v>146</v>
      </c>
      <c r="I36" s="39" t="s">
        <v>142</v>
      </c>
      <c r="J36" s="39" t="s">
        <v>38</v>
      </c>
      <c r="K36" s="39" t="s">
        <v>143</v>
      </c>
      <c r="L36" s="39">
        <v>2</v>
      </c>
      <c r="N36" s="39">
        <v>1</v>
      </c>
      <c r="O36" s="39">
        <v>0.57999999999999996</v>
      </c>
      <c r="P36" s="39">
        <v>0.61</v>
      </c>
      <c r="Q36" s="61">
        <f t="shared" si="2"/>
        <v>0.59499999999999997</v>
      </c>
      <c r="R36" s="39">
        <v>15.5</v>
      </c>
      <c r="S36" s="39">
        <v>161</v>
      </c>
      <c r="T36" s="45">
        <f t="shared" si="0"/>
        <v>18</v>
      </c>
      <c r="U36" s="39">
        <v>162</v>
      </c>
      <c r="V36" s="45">
        <f t="shared" si="1"/>
        <v>18</v>
      </c>
      <c r="W36" s="39">
        <v>1</v>
      </c>
      <c r="X36" s="39" t="s">
        <v>46</v>
      </c>
      <c r="Y36" s="39" t="s">
        <v>250</v>
      </c>
      <c r="Z36" s="39" t="s">
        <v>40</v>
      </c>
      <c r="AA36" s="39" t="s">
        <v>90</v>
      </c>
      <c r="AB36" s="39" t="s">
        <v>335</v>
      </c>
      <c r="AV36" s="51"/>
    </row>
    <row r="37" spans="1:48" x14ac:dyDescent="0.15">
      <c r="A37" s="39" t="s">
        <v>59</v>
      </c>
      <c r="B37" s="39" t="s">
        <v>337</v>
      </c>
      <c r="C37" s="118">
        <v>2020</v>
      </c>
      <c r="D37" s="30" t="s">
        <v>394</v>
      </c>
      <c r="E37" s="39" t="s">
        <v>284</v>
      </c>
      <c r="F37" s="39" t="s">
        <v>272</v>
      </c>
      <c r="G37" s="39" t="s">
        <v>36</v>
      </c>
      <c r="H37" s="39" t="s">
        <v>146</v>
      </c>
      <c r="I37" s="39" t="s">
        <v>142</v>
      </c>
      <c r="J37" s="39" t="s">
        <v>38</v>
      </c>
      <c r="K37" s="39" t="s">
        <v>143</v>
      </c>
      <c r="L37" s="39">
        <v>3</v>
      </c>
      <c r="N37" s="39">
        <v>1</v>
      </c>
      <c r="O37" s="39">
        <v>0.55000000000000004</v>
      </c>
      <c r="P37" s="39">
        <v>0.56999999999999995</v>
      </c>
      <c r="Q37" s="61">
        <f t="shared" si="2"/>
        <v>0.56000000000000005</v>
      </c>
      <c r="R37" s="39">
        <v>15.4</v>
      </c>
      <c r="S37" s="39">
        <v>144</v>
      </c>
      <c r="T37" s="45">
        <f t="shared" si="0"/>
        <v>22</v>
      </c>
      <c r="U37" s="39">
        <v>162</v>
      </c>
      <c r="V37" s="45">
        <f t="shared" si="1"/>
        <v>18</v>
      </c>
      <c r="W37" s="39">
        <v>1</v>
      </c>
      <c r="X37" s="39" t="s">
        <v>46</v>
      </c>
      <c r="Y37" s="39" t="s">
        <v>250</v>
      </c>
      <c r="Z37" s="39" t="s">
        <v>40</v>
      </c>
      <c r="AA37" s="39" t="s">
        <v>90</v>
      </c>
      <c r="AB37" s="39" t="s">
        <v>335</v>
      </c>
      <c r="AV37" s="51"/>
    </row>
    <row r="38" spans="1:48" x14ac:dyDescent="0.15">
      <c r="A38" s="39" t="s">
        <v>59</v>
      </c>
      <c r="B38" s="39" t="s">
        <v>337</v>
      </c>
      <c r="C38" s="118">
        <v>2020</v>
      </c>
      <c r="D38" s="30" t="s">
        <v>394</v>
      </c>
      <c r="E38" s="39" t="s">
        <v>284</v>
      </c>
      <c r="F38" s="39" t="s">
        <v>272</v>
      </c>
      <c r="G38" s="39" t="s">
        <v>36</v>
      </c>
      <c r="H38" s="39" t="s">
        <v>127</v>
      </c>
      <c r="I38" s="39" t="s">
        <v>142</v>
      </c>
      <c r="J38" s="39" t="s">
        <v>80</v>
      </c>
      <c r="K38" s="39" t="s">
        <v>235</v>
      </c>
      <c r="L38" s="39">
        <v>1</v>
      </c>
      <c r="N38" s="39">
        <v>1</v>
      </c>
      <c r="O38" s="39">
        <v>0.78</v>
      </c>
      <c r="P38" s="39">
        <v>0.81</v>
      </c>
      <c r="Q38" s="61">
        <f t="shared" si="2"/>
        <v>0.79500000000000004</v>
      </c>
      <c r="R38" s="39">
        <v>10.199999999999999</v>
      </c>
      <c r="S38" s="39">
        <v>105</v>
      </c>
      <c r="T38" s="45">
        <f t="shared" si="0"/>
        <v>33</v>
      </c>
      <c r="U38" s="39">
        <v>108</v>
      </c>
      <c r="V38" s="45">
        <f t="shared" si="1"/>
        <v>33</v>
      </c>
      <c r="W38" s="39">
        <v>1</v>
      </c>
      <c r="X38" s="39" t="s">
        <v>46</v>
      </c>
      <c r="Y38" s="39" t="s">
        <v>250</v>
      </c>
      <c r="Z38" s="39" t="s">
        <v>40</v>
      </c>
      <c r="AA38" s="39" t="s">
        <v>90</v>
      </c>
      <c r="AB38" s="39" t="s">
        <v>335</v>
      </c>
      <c r="AV38" s="52"/>
    </row>
    <row r="39" spans="1:48" x14ac:dyDescent="0.15">
      <c r="A39" s="39" t="s">
        <v>59</v>
      </c>
      <c r="B39" s="39" t="s">
        <v>337</v>
      </c>
      <c r="C39" s="118">
        <v>2020</v>
      </c>
      <c r="D39" s="30" t="s">
        <v>394</v>
      </c>
      <c r="E39" s="39" t="s">
        <v>284</v>
      </c>
      <c r="F39" s="39" t="s">
        <v>272</v>
      </c>
      <c r="G39" s="39" t="s">
        <v>36</v>
      </c>
      <c r="H39" s="39" t="s">
        <v>127</v>
      </c>
      <c r="I39" s="39" t="s">
        <v>142</v>
      </c>
      <c r="J39" s="39" t="s">
        <v>80</v>
      </c>
      <c r="K39" s="39" t="s">
        <v>235</v>
      </c>
      <c r="L39" s="39">
        <v>2</v>
      </c>
      <c r="N39" s="39">
        <v>1</v>
      </c>
      <c r="O39" s="39">
        <v>0.54</v>
      </c>
      <c r="P39" s="39">
        <v>0.44</v>
      </c>
      <c r="Q39" s="61">
        <f t="shared" si="2"/>
        <v>0.49</v>
      </c>
      <c r="R39" s="39">
        <v>12.2</v>
      </c>
      <c r="S39" s="39">
        <v>105</v>
      </c>
      <c r="T39" s="45">
        <f t="shared" si="0"/>
        <v>33</v>
      </c>
      <c r="U39" s="39">
        <v>108</v>
      </c>
      <c r="V39" s="45">
        <f t="shared" si="1"/>
        <v>33</v>
      </c>
      <c r="W39" s="39">
        <v>1</v>
      </c>
      <c r="X39" s="39" t="s">
        <v>46</v>
      </c>
      <c r="Y39" s="39" t="s">
        <v>250</v>
      </c>
      <c r="Z39" s="39" t="s">
        <v>40</v>
      </c>
      <c r="AA39" s="39" t="s">
        <v>90</v>
      </c>
      <c r="AB39" s="39" t="s">
        <v>335</v>
      </c>
    </row>
    <row r="40" spans="1:48" x14ac:dyDescent="0.15">
      <c r="A40" s="39" t="s">
        <v>59</v>
      </c>
      <c r="B40" s="39" t="s">
        <v>337</v>
      </c>
      <c r="C40" s="118">
        <v>2020</v>
      </c>
      <c r="D40" s="30" t="s">
        <v>394</v>
      </c>
      <c r="E40" s="39" t="s">
        <v>284</v>
      </c>
      <c r="F40" s="39" t="s">
        <v>272</v>
      </c>
      <c r="G40" s="39" t="s">
        <v>36</v>
      </c>
      <c r="H40" s="39" t="s">
        <v>127</v>
      </c>
      <c r="I40" s="39" t="s">
        <v>142</v>
      </c>
      <c r="J40" s="39" t="s">
        <v>80</v>
      </c>
      <c r="K40" s="39" t="s">
        <v>235</v>
      </c>
      <c r="L40" s="39">
        <v>3</v>
      </c>
      <c r="N40" s="39">
        <v>1</v>
      </c>
      <c r="O40" s="39">
        <v>0.71</v>
      </c>
      <c r="P40" s="39">
        <v>0.62</v>
      </c>
      <c r="Q40" s="61">
        <f t="shared" si="2"/>
        <v>0.66500000000000004</v>
      </c>
      <c r="R40" s="39">
        <v>11.3</v>
      </c>
      <c r="S40" s="39">
        <v>106</v>
      </c>
      <c r="T40" s="45">
        <f t="shared" si="0"/>
        <v>33</v>
      </c>
      <c r="U40" s="39">
        <v>108</v>
      </c>
      <c r="V40" s="45">
        <f t="shared" si="1"/>
        <v>33</v>
      </c>
      <c r="W40" s="39">
        <v>1</v>
      </c>
      <c r="X40" s="39" t="s">
        <v>46</v>
      </c>
      <c r="Y40" s="39" t="s">
        <v>250</v>
      </c>
      <c r="Z40" s="39" t="s">
        <v>40</v>
      </c>
      <c r="AA40" s="39" t="s">
        <v>90</v>
      </c>
      <c r="AB40" s="39" t="s">
        <v>335</v>
      </c>
    </row>
    <row r="41" spans="1:48" x14ac:dyDescent="0.15">
      <c r="A41" s="39" t="s">
        <v>59</v>
      </c>
      <c r="B41" s="39" t="s">
        <v>337</v>
      </c>
      <c r="C41" s="118">
        <v>2020</v>
      </c>
      <c r="D41" s="30" t="s">
        <v>394</v>
      </c>
      <c r="E41" s="39" t="s">
        <v>283</v>
      </c>
      <c r="F41" s="39" t="s">
        <v>275</v>
      </c>
      <c r="G41" s="39" t="s">
        <v>42</v>
      </c>
      <c r="H41" s="39" t="s">
        <v>146</v>
      </c>
      <c r="I41" s="39" t="s">
        <v>142</v>
      </c>
      <c r="J41" s="39" t="s">
        <v>38</v>
      </c>
      <c r="K41" s="39" t="s">
        <v>143</v>
      </c>
      <c r="L41" s="39">
        <v>1</v>
      </c>
      <c r="N41" s="39">
        <v>1</v>
      </c>
      <c r="O41" s="39">
        <v>0.76</v>
      </c>
      <c r="P41" s="39">
        <v>0.77</v>
      </c>
      <c r="Q41" s="61">
        <f t="shared" si="2"/>
        <v>0.76500000000000001</v>
      </c>
      <c r="R41" s="39">
        <v>16.5</v>
      </c>
      <c r="S41" s="39">
        <v>140</v>
      </c>
      <c r="T41" s="45">
        <f t="shared" si="0"/>
        <v>22</v>
      </c>
      <c r="U41" s="39">
        <v>138</v>
      </c>
      <c r="V41" s="45">
        <f t="shared" si="1"/>
        <v>22</v>
      </c>
      <c r="W41" s="39">
        <v>2</v>
      </c>
      <c r="X41" s="39" t="s">
        <v>39</v>
      </c>
      <c r="Y41" s="39" t="s">
        <v>40</v>
      </c>
      <c r="Z41" s="39" t="s">
        <v>250</v>
      </c>
      <c r="AA41" s="39" t="s">
        <v>86</v>
      </c>
      <c r="AB41" s="39" t="s">
        <v>335</v>
      </c>
    </row>
    <row r="42" spans="1:48" x14ac:dyDescent="0.15">
      <c r="A42" s="39" t="s">
        <v>59</v>
      </c>
      <c r="B42" s="39" t="s">
        <v>337</v>
      </c>
      <c r="C42" s="118">
        <v>2020</v>
      </c>
      <c r="D42" s="30" t="s">
        <v>394</v>
      </c>
      <c r="E42" s="39" t="s">
        <v>283</v>
      </c>
      <c r="F42" s="39" t="s">
        <v>275</v>
      </c>
      <c r="G42" s="39" t="s">
        <v>42</v>
      </c>
      <c r="H42" s="39" t="s">
        <v>146</v>
      </c>
      <c r="I42" s="39" t="s">
        <v>142</v>
      </c>
      <c r="J42" s="39" t="s">
        <v>38</v>
      </c>
      <c r="K42" s="39" t="s">
        <v>143</v>
      </c>
      <c r="L42" s="39">
        <v>2</v>
      </c>
      <c r="N42" s="39">
        <v>1</v>
      </c>
      <c r="O42" s="39">
        <v>0.83</v>
      </c>
      <c r="P42" s="39">
        <v>0.85</v>
      </c>
      <c r="Q42" s="61">
        <f t="shared" si="2"/>
        <v>0.84</v>
      </c>
      <c r="R42" s="39">
        <v>14.3</v>
      </c>
      <c r="S42" s="39">
        <v>145</v>
      </c>
      <c r="T42" s="45">
        <f t="shared" si="0"/>
        <v>22</v>
      </c>
      <c r="U42" s="39">
        <v>138</v>
      </c>
      <c r="V42" s="45">
        <f t="shared" si="1"/>
        <v>22</v>
      </c>
      <c r="W42" s="39">
        <v>2</v>
      </c>
      <c r="X42" s="39" t="s">
        <v>39</v>
      </c>
      <c r="Y42" s="39" t="s">
        <v>40</v>
      </c>
      <c r="Z42" s="39" t="s">
        <v>250</v>
      </c>
      <c r="AA42" s="39" t="s">
        <v>86</v>
      </c>
      <c r="AB42" s="39" t="s">
        <v>335</v>
      </c>
    </row>
    <row r="43" spans="1:48" x14ac:dyDescent="0.15">
      <c r="A43" s="39" t="s">
        <v>59</v>
      </c>
      <c r="B43" s="39" t="s">
        <v>337</v>
      </c>
      <c r="C43" s="118">
        <v>2020</v>
      </c>
      <c r="D43" s="30" t="s">
        <v>394</v>
      </c>
      <c r="E43" s="39" t="s">
        <v>283</v>
      </c>
      <c r="F43" s="39" t="s">
        <v>275</v>
      </c>
      <c r="G43" s="39" t="s">
        <v>42</v>
      </c>
      <c r="H43" s="39" t="s">
        <v>146</v>
      </c>
      <c r="I43" s="39" t="s">
        <v>142</v>
      </c>
      <c r="J43" s="39" t="s">
        <v>38</v>
      </c>
      <c r="K43" s="39" t="s">
        <v>143</v>
      </c>
      <c r="L43" s="39">
        <v>3</v>
      </c>
      <c r="N43" s="39">
        <v>1</v>
      </c>
      <c r="O43" s="39">
        <v>0.79</v>
      </c>
      <c r="P43" s="39">
        <v>0.81</v>
      </c>
      <c r="Q43" s="61">
        <f t="shared" si="2"/>
        <v>0.8</v>
      </c>
      <c r="R43" s="39">
        <v>14.9</v>
      </c>
      <c r="S43" s="39">
        <v>142</v>
      </c>
      <c r="T43" s="45">
        <f t="shared" si="0"/>
        <v>22</v>
      </c>
      <c r="U43" s="39">
        <v>138</v>
      </c>
      <c r="V43" s="45">
        <f t="shared" si="1"/>
        <v>22</v>
      </c>
      <c r="W43" s="39">
        <v>2</v>
      </c>
      <c r="X43" s="39" t="s">
        <v>39</v>
      </c>
      <c r="Y43" s="39" t="s">
        <v>40</v>
      </c>
      <c r="Z43" s="39" t="s">
        <v>250</v>
      </c>
      <c r="AA43" s="39" t="s">
        <v>86</v>
      </c>
      <c r="AB43" s="39" t="s">
        <v>335</v>
      </c>
    </row>
    <row r="44" spans="1:48" x14ac:dyDescent="0.15">
      <c r="A44" s="39" t="s">
        <v>59</v>
      </c>
      <c r="B44" s="39" t="s">
        <v>337</v>
      </c>
      <c r="C44" s="118">
        <v>2020</v>
      </c>
      <c r="D44" s="30" t="s">
        <v>394</v>
      </c>
      <c r="E44" s="39" t="s">
        <v>283</v>
      </c>
      <c r="F44" s="39" t="s">
        <v>275</v>
      </c>
      <c r="G44" s="39" t="s">
        <v>42</v>
      </c>
      <c r="H44" s="39" t="s">
        <v>144</v>
      </c>
      <c r="I44" s="39" t="s">
        <v>142</v>
      </c>
      <c r="J44" s="39" t="s">
        <v>38</v>
      </c>
      <c r="K44" s="39" t="s">
        <v>143</v>
      </c>
      <c r="L44" s="39">
        <v>1</v>
      </c>
      <c r="N44" s="39">
        <v>1</v>
      </c>
      <c r="O44" s="39">
        <v>0.46</v>
      </c>
      <c r="P44" s="39">
        <v>0.46</v>
      </c>
      <c r="Q44" s="61">
        <f t="shared" si="2"/>
        <v>0.46</v>
      </c>
      <c r="R44" s="39">
        <v>12.1</v>
      </c>
      <c r="S44" s="39">
        <v>139</v>
      </c>
      <c r="T44" s="45">
        <f t="shared" si="0"/>
        <v>22</v>
      </c>
      <c r="U44" s="39">
        <v>138</v>
      </c>
      <c r="V44" s="45">
        <f t="shared" si="1"/>
        <v>22</v>
      </c>
      <c r="W44" s="39">
        <v>1</v>
      </c>
      <c r="X44" s="39" t="s">
        <v>39</v>
      </c>
      <c r="Y44" s="39" t="s">
        <v>40</v>
      </c>
      <c r="Z44" s="39" t="s">
        <v>250</v>
      </c>
      <c r="AA44" s="39" t="s">
        <v>86</v>
      </c>
      <c r="AB44" s="39" t="s">
        <v>335</v>
      </c>
    </row>
    <row r="45" spans="1:48" x14ac:dyDescent="0.15">
      <c r="A45" s="39" t="s">
        <v>59</v>
      </c>
      <c r="B45" s="39" t="s">
        <v>337</v>
      </c>
      <c r="C45" s="118">
        <v>2020</v>
      </c>
      <c r="D45" s="30" t="s">
        <v>394</v>
      </c>
      <c r="E45" s="39" t="s">
        <v>283</v>
      </c>
      <c r="F45" s="39" t="s">
        <v>275</v>
      </c>
      <c r="G45" s="39" t="s">
        <v>42</v>
      </c>
      <c r="H45" s="39" t="s">
        <v>144</v>
      </c>
      <c r="I45" s="39" t="s">
        <v>142</v>
      </c>
      <c r="J45" s="39" t="s">
        <v>38</v>
      </c>
      <c r="K45" s="39" t="s">
        <v>143</v>
      </c>
      <c r="L45" s="39">
        <v>2</v>
      </c>
      <c r="N45" s="39">
        <v>1</v>
      </c>
      <c r="O45" s="39">
        <v>0.56999999999999995</v>
      </c>
      <c r="P45" s="39">
        <v>0.56000000000000005</v>
      </c>
      <c r="Q45" s="61">
        <f t="shared" si="2"/>
        <v>0.56499999999999995</v>
      </c>
      <c r="R45" s="39">
        <v>12.7</v>
      </c>
      <c r="S45" s="39">
        <v>153</v>
      </c>
      <c r="T45" s="45">
        <f t="shared" si="0"/>
        <v>18</v>
      </c>
      <c r="U45" s="39">
        <v>138</v>
      </c>
      <c r="V45" s="45">
        <f t="shared" si="1"/>
        <v>22</v>
      </c>
      <c r="W45" s="39">
        <v>1</v>
      </c>
      <c r="X45" s="39" t="s">
        <v>39</v>
      </c>
      <c r="Y45" s="39" t="s">
        <v>40</v>
      </c>
      <c r="Z45" s="39" t="s">
        <v>250</v>
      </c>
      <c r="AA45" s="39" t="s">
        <v>86</v>
      </c>
      <c r="AB45" s="39" t="s">
        <v>335</v>
      </c>
    </row>
    <row r="46" spans="1:48" x14ac:dyDescent="0.15">
      <c r="A46" s="39" t="s">
        <v>59</v>
      </c>
      <c r="B46" s="39" t="s">
        <v>337</v>
      </c>
      <c r="C46" s="118">
        <v>2020</v>
      </c>
      <c r="D46" s="30" t="s">
        <v>394</v>
      </c>
      <c r="E46" s="39" t="s">
        <v>283</v>
      </c>
      <c r="F46" s="39" t="s">
        <v>275</v>
      </c>
      <c r="G46" s="39" t="s">
        <v>42</v>
      </c>
      <c r="H46" s="39" t="s">
        <v>144</v>
      </c>
      <c r="I46" s="39" t="s">
        <v>142</v>
      </c>
      <c r="J46" s="39" t="s">
        <v>38</v>
      </c>
      <c r="K46" s="39" t="s">
        <v>143</v>
      </c>
      <c r="L46" s="39">
        <v>3</v>
      </c>
      <c r="N46" s="39">
        <v>1</v>
      </c>
      <c r="O46" s="39">
        <v>0.73</v>
      </c>
      <c r="P46" s="39">
        <v>0.6</v>
      </c>
      <c r="Q46" s="61">
        <f t="shared" si="2"/>
        <v>0.66500000000000004</v>
      </c>
      <c r="R46" s="39">
        <v>14.1</v>
      </c>
      <c r="S46" s="39">
        <v>140</v>
      </c>
      <c r="T46" s="45">
        <f t="shared" si="0"/>
        <v>22</v>
      </c>
      <c r="U46" s="39">
        <v>138</v>
      </c>
      <c r="V46" s="45">
        <f t="shared" si="1"/>
        <v>22</v>
      </c>
      <c r="W46" s="39">
        <v>1</v>
      </c>
      <c r="X46" s="39" t="s">
        <v>39</v>
      </c>
      <c r="Y46" s="39" t="s">
        <v>40</v>
      </c>
      <c r="Z46" s="39" t="s">
        <v>250</v>
      </c>
      <c r="AA46" s="39" t="s">
        <v>86</v>
      </c>
      <c r="AB46" s="39" t="s">
        <v>335</v>
      </c>
    </row>
    <row r="47" spans="1:48" x14ac:dyDescent="0.15">
      <c r="A47" s="39" t="s">
        <v>59</v>
      </c>
      <c r="B47" s="39" t="s">
        <v>337</v>
      </c>
      <c r="C47" s="118">
        <v>2020</v>
      </c>
      <c r="D47" s="30" t="s">
        <v>394</v>
      </c>
      <c r="E47" s="39" t="s">
        <v>283</v>
      </c>
      <c r="F47" s="39" t="s">
        <v>275</v>
      </c>
      <c r="G47" s="39" t="s">
        <v>42</v>
      </c>
      <c r="H47" s="39" t="s">
        <v>127</v>
      </c>
      <c r="I47" s="39" t="s">
        <v>142</v>
      </c>
      <c r="J47" s="39" t="s">
        <v>212</v>
      </c>
      <c r="K47" s="39" t="s">
        <v>235</v>
      </c>
      <c r="L47" s="39">
        <v>1</v>
      </c>
      <c r="N47" s="39">
        <v>4</v>
      </c>
      <c r="O47" s="39">
        <v>0.85</v>
      </c>
      <c r="P47" s="39">
        <v>0.87</v>
      </c>
      <c r="Q47" s="61">
        <f t="shared" si="2"/>
        <v>0.86</v>
      </c>
      <c r="R47" s="39">
        <v>13.3</v>
      </c>
      <c r="S47" s="39">
        <v>75</v>
      </c>
      <c r="T47" s="45">
        <f t="shared" si="0"/>
        <v>42</v>
      </c>
      <c r="U47" s="39">
        <v>138</v>
      </c>
      <c r="V47" s="45">
        <f t="shared" si="1"/>
        <v>22</v>
      </c>
      <c r="W47" s="39">
        <v>1</v>
      </c>
      <c r="X47" s="39" t="s">
        <v>39</v>
      </c>
      <c r="Y47" s="39" t="s">
        <v>40</v>
      </c>
      <c r="Z47" s="39" t="s">
        <v>250</v>
      </c>
      <c r="AA47" s="39" t="s">
        <v>86</v>
      </c>
      <c r="AB47" s="39" t="s">
        <v>335</v>
      </c>
    </row>
    <row r="48" spans="1:48" x14ac:dyDescent="0.15">
      <c r="A48" s="39" t="s">
        <v>59</v>
      </c>
      <c r="B48" s="39" t="s">
        <v>337</v>
      </c>
      <c r="C48" s="118">
        <v>2020</v>
      </c>
      <c r="D48" s="30" t="s">
        <v>394</v>
      </c>
      <c r="E48" s="39" t="s">
        <v>283</v>
      </c>
      <c r="F48" s="39" t="s">
        <v>275</v>
      </c>
      <c r="G48" s="39" t="s">
        <v>42</v>
      </c>
      <c r="H48" s="39" t="s">
        <v>127</v>
      </c>
      <c r="I48" s="39" t="s">
        <v>142</v>
      </c>
      <c r="J48" s="39" t="s">
        <v>212</v>
      </c>
      <c r="K48" s="39" t="s">
        <v>235</v>
      </c>
      <c r="L48" s="39">
        <v>2</v>
      </c>
      <c r="N48" s="39">
        <v>4</v>
      </c>
      <c r="O48" s="39">
        <v>0.98</v>
      </c>
      <c r="P48" s="39">
        <v>1.01</v>
      </c>
      <c r="Q48" s="61">
        <f t="shared" si="2"/>
        <v>0.995</v>
      </c>
      <c r="R48" s="39">
        <v>12.1</v>
      </c>
      <c r="S48" s="39">
        <v>70</v>
      </c>
      <c r="T48" s="45">
        <f t="shared" si="0"/>
        <v>50</v>
      </c>
      <c r="U48" s="39">
        <v>138</v>
      </c>
      <c r="V48" s="45">
        <f t="shared" si="1"/>
        <v>22</v>
      </c>
      <c r="W48" s="39">
        <v>1</v>
      </c>
      <c r="X48" s="39" t="s">
        <v>39</v>
      </c>
      <c r="Y48" s="39" t="s">
        <v>40</v>
      </c>
      <c r="Z48" s="39" t="s">
        <v>250</v>
      </c>
      <c r="AA48" s="39" t="s">
        <v>86</v>
      </c>
      <c r="AB48" s="39" t="s">
        <v>335</v>
      </c>
    </row>
    <row r="49" spans="1:28" x14ac:dyDescent="0.15">
      <c r="A49" s="39" t="s">
        <v>59</v>
      </c>
      <c r="B49" s="39" t="s">
        <v>337</v>
      </c>
      <c r="C49" s="118">
        <v>2020</v>
      </c>
      <c r="D49" s="30" t="s">
        <v>394</v>
      </c>
      <c r="E49" s="39" t="s">
        <v>283</v>
      </c>
      <c r="F49" s="39" t="s">
        <v>275</v>
      </c>
      <c r="G49" s="39" t="s">
        <v>42</v>
      </c>
      <c r="H49" s="39" t="s">
        <v>127</v>
      </c>
      <c r="I49" s="39" t="s">
        <v>142</v>
      </c>
      <c r="J49" s="39" t="s">
        <v>212</v>
      </c>
      <c r="K49" s="39" t="s">
        <v>235</v>
      </c>
      <c r="L49" s="39">
        <v>3</v>
      </c>
      <c r="N49" s="39">
        <v>4</v>
      </c>
      <c r="O49" s="39">
        <v>0.84</v>
      </c>
      <c r="P49" s="39">
        <v>0.86</v>
      </c>
      <c r="Q49" s="61">
        <f t="shared" si="2"/>
        <v>0.85</v>
      </c>
      <c r="R49" s="39">
        <v>9.8000000000000007</v>
      </c>
      <c r="S49" s="39">
        <v>79</v>
      </c>
      <c r="T49" s="45">
        <f t="shared" si="0"/>
        <v>39</v>
      </c>
      <c r="U49" s="39">
        <v>138</v>
      </c>
      <c r="V49" s="45">
        <f t="shared" si="1"/>
        <v>22</v>
      </c>
      <c r="W49" s="39">
        <v>1</v>
      </c>
      <c r="X49" s="39" t="s">
        <v>39</v>
      </c>
      <c r="Y49" s="39" t="s">
        <v>40</v>
      </c>
      <c r="Z49" s="39" t="s">
        <v>250</v>
      </c>
      <c r="AA49" s="39" t="s">
        <v>86</v>
      </c>
      <c r="AB49" s="39" t="s">
        <v>335</v>
      </c>
    </row>
    <row r="50" spans="1:28" x14ac:dyDescent="0.15">
      <c r="A50" s="39" t="s">
        <v>59</v>
      </c>
      <c r="B50" s="39" t="s">
        <v>337</v>
      </c>
      <c r="C50" s="118">
        <v>2020</v>
      </c>
      <c r="D50" s="30" t="s">
        <v>394</v>
      </c>
      <c r="E50" s="39" t="s">
        <v>282</v>
      </c>
      <c r="F50" s="39" t="s">
        <v>275</v>
      </c>
      <c r="G50" s="39" t="s">
        <v>36</v>
      </c>
      <c r="H50" s="39" t="s">
        <v>146</v>
      </c>
      <c r="I50" s="39" t="s">
        <v>142</v>
      </c>
      <c r="J50" s="39" t="s">
        <v>38</v>
      </c>
      <c r="K50" s="39" t="s">
        <v>143</v>
      </c>
      <c r="L50" s="39">
        <v>1</v>
      </c>
      <c r="N50" s="39">
        <v>1</v>
      </c>
      <c r="O50" s="39">
        <v>0.5</v>
      </c>
      <c r="P50" s="39">
        <v>0.49</v>
      </c>
      <c r="Q50" s="61">
        <f t="shared" si="2"/>
        <v>0.495</v>
      </c>
      <c r="R50" s="39">
        <v>15.9</v>
      </c>
      <c r="S50" s="39">
        <v>136</v>
      </c>
      <c r="T50" s="45">
        <f t="shared" si="0"/>
        <v>25</v>
      </c>
      <c r="U50" s="39">
        <v>98</v>
      </c>
      <c r="V50" s="45">
        <f t="shared" si="1"/>
        <v>36</v>
      </c>
      <c r="W50" s="39">
        <v>6</v>
      </c>
      <c r="X50" s="39" t="s">
        <v>46</v>
      </c>
      <c r="Y50" s="39" t="s">
        <v>40</v>
      </c>
      <c r="Z50" s="39" t="s">
        <v>69</v>
      </c>
      <c r="AA50" s="39" t="s">
        <v>55</v>
      </c>
      <c r="AB50" s="39" t="s">
        <v>335</v>
      </c>
    </row>
    <row r="51" spans="1:28" x14ac:dyDescent="0.15">
      <c r="A51" s="39" t="s">
        <v>59</v>
      </c>
      <c r="B51" s="39" t="s">
        <v>337</v>
      </c>
      <c r="C51" s="118">
        <v>2020</v>
      </c>
      <c r="D51" s="30" t="s">
        <v>394</v>
      </c>
      <c r="E51" s="39" t="s">
        <v>282</v>
      </c>
      <c r="F51" s="39" t="s">
        <v>275</v>
      </c>
      <c r="G51" s="39" t="s">
        <v>36</v>
      </c>
      <c r="H51" s="39" t="s">
        <v>146</v>
      </c>
      <c r="I51" s="39" t="s">
        <v>142</v>
      </c>
      <c r="J51" s="39" t="s">
        <v>38</v>
      </c>
      <c r="K51" s="39" t="s">
        <v>143</v>
      </c>
      <c r="L51" s="39">
        <v>2</v>
      </c>
      <c r="N51" s="39">
        <v>1</v>
      </c>
      <c r="O51" s="39">
        <v>0.67</v>
      </c>
      <c r="P51" s="39">
        <v>0.65</v>
      </c>
      <c r="Q51" s="61">
        <f t="shared" si="2"/>
        <v>0.66</v>
      </c>
      <c r="R51" s="39">
        <v>15.5</v>
      </c>
      <c r="S51" s="39">
        <v>145</v>
      </c>
      <c r="T51" s="45">
        <f t="shared" si="0"/>
        <v>22</v>
      </c>
      <c r="U51" s="39">
        <v>98</v>
      </c>
      <c r="V51" s="45">
        <f t="shared" si="1"/>
        <v>36</v>
      </c>
      <c r="W51" s="39">
        <v>6</v>
      </c>
      <c r="X51" s="39" t="s">
        <v>46</v>
      </c>
      <c r="Y51" s="39" t="s">
        <v>40</v>
      </c>
      <c r="Z51" s="39" t="s">
        <v>69</v>
      </c>
      <c r="AA51" s="39" t="s">
        <v>55</v>
      </c>
      <c r="AB51" s="39" t="s">
        <v>335</v>
      </c>
    </row>
    <row r="52" spans="1:28" x14ac:dyDescent="0.15">
      <c r="A52" s="39" t="s">
        <v>59</v>
      </c>
      <c r="B52" s="39" t="s">
        <v>337</v>
      </c>
      <c r="C52" s="118">
        <v>2020</v>
      </c>
      <c r="D52" s="30" t="s">
        <v>394</v>
      </c>
      <c r="E52" s="39" t="s">
        <v>282</v>
      </c>
      <c r="F52" s="39" t="s">
        <v>275</v>
      </c>
      <c r="G52" s="39" t="s">
        <v>36</v>
      </c>
      <c r="H52" s="39" t="s">
        <v>146</v>
      </c>
      <c r="I52" s="39" t="s">
        <v>142</v>
      </c>
      <c r="J52" s="39" t="s">
        <v>38</v>
      </c>
      <c r="K52" s="39" t="s">
        <v>143</v>
      </c>
      <c r="L52" s="39">
        <v>3</v>
      </c>
      <c r="N52" s="39">
        <v>1</v>
      </c>
      <c r="O52" s="39">
        <v>0.59</v>
      </c>
      <c r="P52" s="39">
        <v>0.62</v>
      </c>
      <c r="Q52" s="61">
        <f t="shared" si="2"/>
        <v>0.60499999999999998</v>
      </c>
      <c r="R52" s="39">
        <v>15.3</v>
      </c>
      <c r="S52" s="39">
        <v>140</v>
      </c>
      <c r="T52" s="45">
        <f t="shared" si="0"/>
        <v>22</v>
      </c>
      <c r="U52" s="39">
        <v>98</v>
      </c>
      <c r="V52" s="45">
        <f t="shared" si="1"/>
        <v>36</v>
      </c>
      <c r="W52" s="39">
        <v>6</v>
      </c>
      <c r="X52" s="39" t="s">
        <v>46</v>
      </c>
      <c r="Y52" s="39" t="s">
        <v>40</v>
      </c>
      <c r="Z52" s="39" t="s">
        <v>69</v>
      </c>
      <c r="AA52" s="39" t="s">
        <v>55</v>
      </c>
      <c r="AB52" s="39" t="s">
        <v>335</v>
      </c>
    </row>
    <row r="53" spans="1:28" x14ac:dyDescent="0.15">
      <c r="A53" s="39" t="s">
        <v>59</v>
      </c>
      <c r="B53" s="39" t="s">
        <v>337</v>
      </c>
      <c r="C53" s="118">
        <v>2020</v>
      </c>
      <c r="D53" s="30" t="s">
        <v>394</v>
      </c>
      <c r="E53" s="39" t="s">
        <v>282</v>
      </c>
      <c r="F53" s="39" t="s">
        <v>275</v>
      </c>
      <c r="G53" s="39" t="s">
        <v>36</v>
      </c>
      <c r="H53" s="39" t="s">
        <v>127</v>
      </c>
      <c r="I53" s="39" t="s">
        <v>142</v>
      </c>
      <c r="J53" s="39" t="s">
        <v>80</v>
      </c>
      <c r="K53" s="39" t="s">
        <v>235</v>
      </c>
      <c r="L53" s="39">
        <v>1</v>
      </c>
      <c r="N53" s="39">
        <v>3</v>
      </c>
      <c r="O53" s="39">
        <v>0.55000000000000004</v>
      </c>
      <c r="P53" s="39">
        <v>0.66</v>
      </c>
      <c r="Q53" s="61">
        <f t="shared" si="2"/>
        <v>0.60499999999999998</v>
      </c>
      <c r="R53" s="39">
        <v>14.3</v>
      </c>
      <c r="S53" s="39">
        <v>96</v>
      </c>
      <c r="T53" s="45">
        <f t="shared" si="0"/>
        <v>36</v>
      </c>
      <c r="U53" s="39">
        <v>298</v>
      </c>
      <c r="V53" s="45">
        <f t="shared" si="1"/>
        <v>16</v>
      </c>
      <c r="W53" s="39">
        <v>1</v>
      </c>
      <c r="X53" s="39" t="s">
        <v>46</v>
      </c>
      <c r="Y53" s="39" t="s">
        <v>40</v>
      </c>
      <c r="Z53" s="39" t="s">
        <v>69</v>
      </c>
      <c r="AA53" s="39" t="s">
        <v>55</v>
      </c>
      <c r="AB53" s="39" t="s">
        <v>335</v>
      </c>
    </row>
    <row r="54" spans="1:28" x14ac:dyDescent="0.15">
      <c r="A54" s="39" t="s">
        <v>59</v>
      </c>
      <c r="B54" s="39" t="s">
        <v>337</v>
      </c>
      <c r="C54" s="118">
        <v>2020</v>
      </c>
      <c r="D54" s="30" t="s">
        <v>394</v>
      </c>
      <c r="E54" s="39" t="s">
        <v>282</v>
      </c>
      <c r="F54" s="39" t="s">
        <v>275</v>
      </c>
      <c r="G54" s="39" t="s">
        <v>36</v>
      </c>
      <c r="H54" s="39" t="s">
        <v>127</v>
      </c>
      <c r="I54" s="39" t="s">
        <v>142</v>
      </c>
      <c r="J54" s="39" t="s">
        <v>80</v>
      </c>
      <c r="K54" s="39" t="s">
        <v>235</v>
      </c>
      <c r="L54" s="39">
        <v>2</v>
      </c>
      <c r="N54" s="39">
        <v>3</v>
      </c>
      <c r="O54" s="39">
        <v>0.42</v>
      </c>
      <c r="P54" s="39">
        <v>0.51</v>
      </c>
      <c r="Q54" s="61">
        <f t="shared" si="2"/>
        <v>0.46499999999999997</v>
      </c>
      <c r="R54" s="39">
        <v>13.1</v>
      </c>
      <c r="S54" s="39">
        <v>100</v>
      </c>
      <c r="T54" s="45">
        <f t="shared" si="0"/>
        <v>33</v>
      </c>
      <c r="U54" s="39">
        <v>298</v>
      </c>
      <c r="V54" s="45">
        <f t="shared" si="1"/>
        <v>16</v>
      </c>
      <c r="W54" s="39">
        <v>1</v>
      </c>
      <c r="X54" s="39" t="s">
        <v>46</v>
      </c>
      <c r="Y54" s="39" t="s">
        <v>40</v>
      </c>
      <c r="Z54" s="39" t="s">
        <v>69</v>
      </c>
      <c r="AA54" s="39" t="s">
        <v>55</v>
      </c>
      <c r="AB54" s="39" t="s">
        <v>335</v>
      </c>
    </row>
    <row r="55" spans="1:28" x14ac:dyDescent="0.15">
      <c r="A55" s="39" t="s">
        <v>59</v>
      </c>
      <c r="B55" s="39" t="s">
        <v>337</v>
      </c>
      <c r="C55" s="118">
        <v>2020</v>
      </c>
      <c r="D55" s="30" t="s">
        <v>394</v>
      </c>
      <c r="E55" s="39" t="s">
        <v>282</v>
      </c>
      <c r="F55" s="39" t="s">
        <v>275</v>
      </c>
      <c r="G55" s="39" t="s">
        <v>36</v>
      </c>
      <c r="H55" s="39" t="s">
        <v>127</v>
      </c>
      <c r="I55" s="39" t="s">
        <v>142</v>
      </c>
      <c r="J55" s="39" t="s">
        <v>80</v>
      </c>
      <c r="K55" s="39" t="s">
        <v>235</v>
      </c>
      <c r="L55" s="39">
        <v>3</v>
      </c>
      <c r="N55" s="39">
        <v>3</v>
      </c>
      <c r="O55" s="39">
        <v>0.52</v>
      </c>
      <c r="P55" s="39">
        <v>0.6</v>
      </c>
      <c r="Q55" s="61">
        <f t="shared" si="2"/>
        <v>0.56000000000000005</v>
      </c>
      <c r="R55" s="39">
        <v>14.1</v>
      </c>
      <c r="S55" s="39">
        <v>91</v>
      </c>
      <c r="T55" s="45">
        <f t="shared" si="0"/>
        <v>36</v>
      </c>
      <c r="U55" s="39">
        <v>298</v>
      </c>
      <c r="V55" s="45">
        <f t="shared" si="1"/>
        <v>16</v>
      </c>
      <c r="W55" s="39">
        <v>1</v>
      </c>
      <c r="X55" s="39" t="s">
        <v>46</v>
      </c>
      <c r="Y55" s="39" t="s">
        <v>40</v>
      </c>
      <c r="Z55" s="39" t="s">
        <v>69</v>
      </c>
      <c r="AA55" s="39" t="s">
        <v>55</v>
      </c>
      <c r="AB55" s="39" t="s">
        <v>335</v>
      </c>
    </row>
    <row r="56" spans="1:28" x14ac:dyDescent="0.15">
      <c r="A56" s="39" t="s">
        <v>59</v>
      </c>
      <c r="B56" s="39" t="s">
        <v>337</v>
      </c>
      <c r="C56" s="118">
        <v>2020</v>
      </c>
      <c r="D56" s="30" t="s">
        <v>394</v>
      </c>
      <c r="E56" s="39" t="s">
        <v>282</v>
      </c>
      <c r="F56" s="39" t="s">
        <v>275</v>
      </c>
      <c r="G56" s="39" t="s">
        <v>36</v>
      </c>
      <c r="H56" s="39" t="s">
        <v>127</v>
      </c>
      <c r="I56" s="39" t="s">
        <v>142</v>
      </c>
      <c r="J56" s="39" t="s">
        <v>240</v>
      </c>
      <c r="K56" s="39" t="s">
        <v>235</v>
      </c>
      <c r="L56" s="39">
        <v>1</v>
      </c>
      <c r="N56" s="39">
        <v>1</v>
      </c>
      <c r="O56" s="39">
        <v>0.76</v>
      </c>
      <c r="P56" s="39">
        <v>0.75</v>
      </c>
      <c r="Q56" s="61">
        <f t="shared" si="2"/>
        <v>0.755</v>
      </c>
      <c r="R56" s="39">
        <v>14.3</v>
      </c>
      <c r="S56" s="39">
        <v>103</v>
      </c>
      <c r="T56" s="45">
        <f t="shared" si="0"/>
        <v>33</v>
      </c>
      <c r="U56" s="39">
        <v>98</v>
      </c>
      <c r="V56" s="45">
        <f t="shared" si="1"/>
        <v>36</v>
      </c>
      <c r="W56" s="39">
        <v>3</v>
      </c>
      <c r="X56" s="39" t="s">
        <v>46</v>
      </c>
      <c r="Y56" s="39" t="s">
        <v>40</v>
      </c>
      <c r="Z56" s="39" t="s">
        <v>69</v>
      </c>
      <c r="AA56" s="39" t="s">
        <v>55</v>
      </c>
      <c r="AB56" s="39" t="s">
        <v>335</v>
      </c>
    </row>
    <row r="57" spans="1:28" x14ac:dyDescent="0.15">
      <c r="A57" s="39" t="s">
        <v>59</v>
      </c>
      <c r="B57" s="39" t="s">
        <v>337</v>
      </c>
      <c r="C57" s="118">
        <v>2020</v>
      </c>
      <c r="D57" s="30" t="s">
        <v>394</v>
      </c>
      <c r="E57" s="39" t="s">
        <v>282</v>
      </c>
      <c r="F57" s="39" t="s">
        <v>275</v>
      </c>
      <c r="G57" s="39" t="s">
        <v>36</v>
      </c>
      <c r="H57" s="39" t="s">
        <v>127</v>
      </c>
      <c r="I57" s="39" t="s">
        <v>142</v>
      </c>
      <c r="J57" s="39" t="s">
        <v>240</v>
      </c>
      <c r="K57" s="39" t="s">
        <v>235</v>
      </c>
      <c r="L57" s="39">
        <v>2</v>
      </c>
      <c r="N57" s="39">
        <v>1</v>
      </c>
      <c r="O57" s="39">
        <v>0.71</v>
      </c>
      <c r="P57" s="39">
        <v>0.74</v>
      </c>
      <c r="Q57" s="61">
        <f t="shared" si="2"/>
        <v>0.72499999999999998</v>
      </c>
      <c r="R57" s="39">
        <v>13.3</v>
      </c>
      <c r="S57" s="39">
        <v>102</v>
      </c>
      <c r="T57" s="45">
        <f t="shared" si="0"/>
        <v>33</v>
      </c>
      <c r="U57" s="39">
        <v>98</v>
      </c>
      <c r="V57" s="45">
        <f t="shared" si="1"/>
        <v>36</v>
      </c>
      <c r="W57" s="39">
        <v>3</v>
      </c>
      <c r="X57" s="39" t="s">
        <v>46</v>
      </c>
      <c r="Y57" s="39" t="s">
        <v>40</v>
      </c>
      <c r="Z57" s="39" t="s">
        <v>69</v>
      </c>
      <c r="AA57" s="39" t="s">
        <v>55</v>
      </c>
      <c r="AB57" s="39" t="s">
        <v>335</v>
      </c>
    </row>
    <row r="58" spans="1:28" x14ac:dyDescent="0.15">
      <c r="A58" s="39" t="s">
        <v>59</v>
      </c>
      <c r="B58" s="39" t="s">
        <v>337</v>
      </c>
      <c r="C58" s="118">
        <v>2020</v>
      </c>
      <c r="D58" s="30" t="s">
        <v>394</v>
      </c>
      <c r="E58" s="39" t="s">
        <v>282</v>
      </c>
      <c r="F58" s="39" t="s">
        <v>275</v>
      </c>
      <c r="G58" s="39" t="s">
        <v>36</v>
      </c>
      <c r="H58" s="39" t="s">
        <v>127</v>
      </c>
      <c r="I58" s="39" t="s">
        <v>142</v>
      </c>
      <c r="J58" s="39" t="s">
        <v>240</v>
      </c>
      <c r="K58" s="39" t="s">
        <v>235</v>
      </c>
      <c r="L58" s="39">
        <v>3</v>
      </c>
      <c r="N58" s="39">
        <v>1</v>
      </c>
      <c r="O58" s="39">
        <v>0.75</v>
      </c>
      <c r="P58" s="39">
        <v>0.75</v>
      </c>
      <c r="Q58" s="61">
        <f t="shared" si="2"/>
        <v>0.75</v>
      </c>
      <c r="R58" s="39">
        <v>14.1</v>
      </c>
      <c r="S58" s="39">
        <v>95</v>
      </c>
      <c r="T58" s="45">
        <f>IF(H58="","",IF(OR(H58="GREEN",H58="GK"),IF(S58&gt;=$AX$2,VLOOKUP(S58,$AX$2:$AY$12,2,1),""),IF(S58&gt;=$AZ$2,VLOOKUP(S58,$AZ$2:$BA$12,2,1),"")))</f>
        <v>36</v>
      </c>
      <c r="U58" s="39">
        <v>98</v>
      </c>
      <c r="V58" s="45">
        <f t="shared" si="1"/>
        <v>36</v>
      </c>
      <c r="W58" s="39">
        <v>3</v>
      </c>
      <c r="X58" s="39" t="s">
        <v>46</v>
      </c>
      <c r="Y58" s="39" t="s">
        <v>40</v>
      </c>
      <c r="Z58" s="39" t="s">
        <v>69</v>
      </c>
      <c r="AA58" s="39" t="s">
        <v>55</v>
      </c>
      <c r="AB58" s="39" t="s">
        <v>335</v>
      </c>
    </row>
    <row r="59" spans="1:28" x14ac:dyDescent="0.15">
      <c r="A59" s="39" t="s">
        <v>59</v>
      </c>
      <c r="B59" s="39" t="s">
        <v>337</v>
      </c>
      <c r="C59" s="118">
        <v>2020</v>
      </c>
      <c r="D59" s="30" t="s">
        <v>394</v>
      </c>
      <c r="E59" s="39" t="s">
        <v>281</v>
      </c>
      <c r="F59" s="39" t="s">
        <v>274</v>
      </c>
      <c r="G59" s="39" t="s">
        <v>36</v>
      </c>
      <c r="H59" s="39" t="s">
        <v>146</v>
      </c>
      <c r="I59" s="39" t="s">
        <v>142</v>
      </c>
      <c r="J59" s="39" t="s">
        <v>38</v>
      </c>
      <c r="K59" s="39" t="s">
        <v>143</v>
      </c>
      <c r="L59" s="39">
        <v>1</v>
      </c>
      <c r="N59" s="39">
        <v>3</v>
      </c>
      <c r="O59" s="39">
        <v>0.51</v>
      </c>
      <c r="P59" s="39">
        <v>0.47</v>
      </c>
      <c r="Q59" s="61">
        <f t="shared" si="2"/>
        <v>0.49</v>
      </c>
      <c r="R59" s="39">
        <v>16.899999999999999</v>
      </c>
      <c r="S59" s="39">
        <v>133</v>
      </c>
      <c r="T59" s="45">
        <f>IF(H59="","",IF(OR(H59="GREEN",H59="GK"),IF(S59&gt;=$AX$2,VLOOKUP(S59,$AX$2:$AY$12,2,1),""),IF(S59&gt;=$AZ$2,VLOOKUP(S59,$AZ$2:$BA$12,2,1),"")))</f>
        <v>25</v>
      </c>
      <c r="U59" s="39">
        <v>399</v>
      </c>
      <c r="V59" s="45">
        <f t="shared" si="1"/>
        <v>16</v>
      </c>
      <c r="W59" s="39">
        <v>2</v>
      </c>
      <c r="X59" s="39" t="s">
        <v>46</v>
      </c>
      <c r="Y59" s="39" t="s">
        <v>40</v>
      </c>
      <c r="Z59" s="39" t="s">
        <v>90</v>
      </c>
      <c r="AA59" s="39" t="s">
        <v>69</v>
      </c>
      <c r="AB59" s="39" t="s">
        <v>335</v>
      </c>
    </row>
    <row r="60" spans="1:28" x14ac:dyDescent="0.15">
      <c r="A60" s="39" t="s">
        <v>59</v>
      </c>
      <c r="B60" s="39" t="s">
        <v>337</v>
      </c>
      <c r="C60" s="118">
        <v>2020</v>
      </c>
      <c r="D60" s="30" t="s">
        <v>394</v>
      </c>
      <c r="E60" s="39" t="s">
        <v>281</v>
      </c>
      <c r="F60" s="39" t="s">
        <v>274</v>
      </c>
      <c r="G60" s="39" t="s">
        <v>36</v>
      </c>
      <c r="H60" s="39" t="s">
        <v>146</v>
      </c>
      <c r="I60" s="39" t="s">
        <v>142</v>
      </c>
      <c r="J60" s="39" t="s">
        <v>38</v>
      </c>
      <c r="K60" s="39" t="s">
        <v>143</v>
      </c>
      <c r="L60" s="39">
        <v>2</v>
      </c>
      <c r="N60" s="39">
        <v>3</v>
      </c>
      <c r="O60" s="39">
        <v>0.57999999999999996</v>
      </c>
      <c r="P60" s="39">
        <v>0.74</v>
      </c>
      <c r="Q60" s="61">
        <f t="shared" si="2"/>
        <v>0.65999999999999992</v>
      </c>
      <c r="R60" s="39">
        <v>16.399999999999999</v>
      </c>
      <c r="S60" s="39">
        <v>132</v>
      </c>
      <c r="T60" s="45">
        <f>IF(H60="","",IF(OR(H60="GREEN",H60="GK"),IF(S60&gt;=$AX$2,VLOOKUP(S60,$AX$2:$AY$12,2,1),""),IF(S60&gt;=$AZ$2,VLOOKUP(S60,$AZ$2:$BA$12,2,1),"")))</f>
        <v>25</v>
      </c>
      <c r="U60" s="39">
        <v>399</v>
      </c>
      <c r="V60" s="45">
        <f t="shared" si="1"/>
        <v>16</v>
      </c>
      <c r="W60" s="39">
        <v>2</v>
      </c>
      <c r="X60" s="39" t="s">
        <v>46</v>
      </c>
      <c r="Y60" s="39" t="s">
        <v>40</v>
      </c>
      <c r="Z60" s="39" t="s">
        <v>90</v>
      </c>
      <c r="AA60" s="39" t="s">
        <v>69</v>
      </c>
      <c r="AB60" s="39" t="s">
        <v>335</v>
      </c>
    </row>
    <row r="61" spans="1:28" x14ac:dyDescent="0.15">
      <c r="A61" s="39" t="s">
        <v>59</v>
      </c>
      <c r="B61" s="39" t="s">
        <v>337</v>
      </c>
      <c r="C61" s="118">
        <v>2020</v>
      </c>
      <c r="D61" s="30" t="s">
        <v>394</v>
      </c>
      <c r="E61" s="39" t="s">
        <v>281</v>
      </c>
      <c r="F61" s="39" t="s">
        <v>274</v>
      </c>
      <c r="G61" s="39" t="s">
        <v>36</v>
      </c>
      <c r="H61" s="39" t="s">
        <v>146</v>
      </c>
      <c r="I61" s="39" t="s">
        <v>142</v>
      </c>
      <c r="J61" s="39" t="s">
        <v>38</v>
      </c>
      <c r="K61" s="39" t="s">
        <v>143</v>
      </c>
      <c r="L61" s="39">
        <v>3</v>
      </c>
      <c r="N61" s="39">
        <v>3</v>
      </c>
      <c r="O61" s="39">
        <v>0.56999999999999995</v>
      </c>
      <c r="P61" s="39">
        <v>0.63</v>
      </c>
      <c r="Q61" s="61">
        <f t="shared" si="2"/>
        <v>0.6</v>
      </c>
      <c r="R61" s="39">
        <v>16.899999999999999</v>
      </c>
      <c r="S61" s="39">
        <v>132</v>
      </c>
      <c r="T61" s="45">
        <f>IF(H61="","",IF(OR(H61="GREEN",H61="GK"),IF(S61&gt;=$AX$2,VLOOKUP(S61,$AX$2:$AY$12,2,1),""),IF(S61&gt;=$AZ$2,VLOOKUP(S61,$AZ$2:$BA$12,2,1),"")))</f>
        <v>25</v>
      </c>
      <c r="U61" s="39">
        <v>399</v>
      </c>
      <c r="V61" s="45">
        <f t="shared" si="1"/>
        <v>16</v>
      </c>
      <c r="W61" s="39">
        <v>2</v>
      </c>
      <c r="X61" s="39" t="s">
        <v>46</v>
      </c>
      <c r="Y61" s="39" t="s">
        <v>40</v>
      </c>
      <c r="Z61" s="39" t="s">
        <v>90</v>
      </c>
      <c r="AA61" s="39" t="s">
        <v>69</v>
      </c>
      <c r="AB61" s="39" t="s">
        <v>335</v>
      </c>
    </row>
    <row r="62" spans="1:28" x14ac:dyDescent="0.15">
      <c r="A62" s="39" t="s">
        <v>59</v>
      </c>
      <c r="B62" s="39" t="s">
        <v>337</v>
      </c>
      <c r="C62" s="118">
        <v>2020</v>
      </c>
      <c r="D62" s="30" t="s">
        <v>394</v>
      </c>
      <c r="E62" s="39" t="s">
        <v>281</v>
      </c>
      <c r="F62" s="39" t="s">
        <v>274</v>
      </c>
      <c r="G62" s="39" t="s">
        <v>36</v>
      </c>
      <c r="H62" s="39" t="s">
        <v>127</v>
      </c>
      <c r="I62" s="39" t="s">
        <v>142</v>
      </c>
      <c r="J62" s="39" t="s">
        <v>80</v>
      </c>
      <c r="K62" s="39" t="s">
        <v>235</v>
      </c>
      <c r="L62" s="39">
        <v>1</v>
      </c>
      <c r="N62" s="39">
        <v>1</v>
      </c>
      <c r="O62" s="39">
        <v>0.78</v>
      </c>
      <c r="P62" s="39">
        <v>0.8</v>
      </c>
      <c r="Q62" s="61">
        <f t="shared" si="2"/>
        <v>0.79</v>
      </c>
      <c r="R62" s="39">
        <v>13.3</v>
      </c>
      <c r="S62" s="39">
        <v>104</v>
      </c>
      <c r="T62" s="45">
        <f>IF(H62="","",IF(OR(H62="GREEN",H62="GK"),IF(S62&gt;=$AX$2,VLOOKUP(S62,$AX$2:$AY$12,2,1),""),IF(S62&gt;=$AZ$2,VLOOKUP(S62,$AZ$2:$BA$12,2,1),"")))</f>
        <v>33</v>
      </c>
      <c r="U62" s="39">
        <v>100</v>
      </c>
      <c r="V62" s="45">
        <f t="shared" si="1"/>
        <v>33</v>
      </c>
      <c r="W62" s="39">
        <v>2</v>
      </c>
      <c r="X62" s="39" t="s">
        <v>46</v>
      </c>
      <c r="Y62" s="39" t="s">
        <v>40</v>
      </c>
      <c r="Z62" s="39" t="s">
        <v>90</v>
      </c>
      <c r="AA62" s="39" t="s">
        <v>69</v>
      </c>
      <c r="AB62" s="39" t="s">
        <v>335</v>
      </c>
    </row>
    <row r="63" spans="1:28" x14ac:dyDescent="0.15">
      <c r="A63" s="39" t="s">
        <v>59</v>
      </c>
      <c r="B63" s="39" t="s">
        <v>337</v>
      </c>
      <c r="C63" s="118">
        <v>2020</v>
      </c>
      <c r="D63" s="30" t="s">
        <v>394</v>
      </c>
      <c r="E63" s="39" t="s">
        <v>281</v>
      </c>
      <c r="F63" s="39" t="s">
        <v>274</v>
      </c>
      <c r="G63" s="39" t="s">
        <v>36</v>
      </c>
      <c r="H63" s="39" t="s">
        <v>127</v>
      </c>
      <c r="I63" s="39" t="s">
        <v>142</v>
      </c>
      <c r="J63" s="39" t="s">
        <v>80</v>
      </c>
      <c r="K63" s="39" t="s">
        <v>235</v>
      </c>
      <c r="L63" s="39">
        <v>2</v>
      </c>
      <c r="N63" s="39">
        <v>1</v>
      </c>
      <c r="O63" s="39">
        <v>0.83</v>
      </c>
      <c r="P63" s="39">
        <v>0.73</v>
      </c>
      <c r="Q63" s="61">
        <f t="shared" si="2"/>
        <v>0.78</v>
      </c>
      <c r="R63" s="39">
        <v>11.9</v>
      </c>
      <c r="S63" s="39">
        <v>102</v>
      </c>
      <c r="T63" s="45">
        <f t="shared" ref="T63:T137" si="3">IF(H63="","",IF(OR(H63="GREEN",H63="GK"),IF(S63&gt;=$AX$2,VLOOKUP(S63,$AX$2:$AY$12,2,1),""),IF(S63&gt;=$AZ$2,VLOOKUP(S63,$AZ$2:$BA$12,2,1),"")))</f>
        <v>33</v>
      </c>
      <c r="U63" s="39">
        <v>100</v>
      </c>
      <c r="V63" s="45">
        <f t="shared" si="1"/>
        <v>33</v>
      </c>
      <c r="W63" s="39">
        <v>2</v>
      </c>
      <c r="X63" s="39" t="s">
        <v>46</v>
      </c>
      <c r="Y63" s="39" t="s">
        <v>40</v>
      </c>
      <c r="Z63" s="39" t="s">
        <v>90</v>
      </c>
      <c r="AA63" s="39" t="s">
        <v>69</v>
      </c>
      <c r="AB63" s="39" t="s">
        <v>335</v>
      </c>
    </row>
    <row r="64" spans="1:28" x14ac:dyDescent="0.15">
      <c r="A64" s="39" t="s">
        <v>59</v>
      </c>
      <c r="B64" s="39" t="s">
        <v>337</v>
      </c>
      <c r="C64" s="118">
        <v>2020</v>
      </c>
      <c r="D64" s="30" t="s">
        <v>394</v>
      </c>
      <c r="E64" s="39" t="s">
        <v>281</v>
      </c>
      <c r="F64" s="39" t="s">
        <v>274</v>
      </c>
      <c r="G64" s="39" t="s">
        <v>36</v>
      </c>
      <c r="H64" s="39" t="s">
        <v>127</v>
      </c>
      <c r="I64" s="39" t="s">
        <v>142</v>
      </c>
      <c r="J64" s="39" t="s">
        <v>80</v>
      </c>
      <c r="K64" s="39" t="s">
        <v>235</v>
      </c>
      <c r="L64" s="39">
        <v>3</v>
      </c>
      <c r="N64" s="39">
        <v>1</v>
      </c>
      <c r="O64" s="39">
        <v>0.82</v>
      </c>
      <c r="P64" s="39">
        <v>0.77</v>
      </c>
      <c r="Q64" s="61">
        <f t="shared" si="2"/>
        <v>0.79499999999999993</v>
      </c>
      <c r="R64" s="39">
        <v>11.4</v>
      </c>
      <c r="S64" s="39">
        <v>100</v>
      </c>
      <c r="T64" s="45">
        <f t="shared" si="3"/>
        <v>33</v>
      </c>
      <c r="U64" s="39">
        <v>100</v>
      </c>
      <c r="V64" s="45">
        <f t="shared" si="1"/>
        <v>33</v>
      </c>
      <c r="W64" s="39">
        <v>2</v>
      </c>
      <c r="X64" s="39" t="s">
        <v>46</v>
      </c>
      <c r="Y64" s="39" t="s">
        <v>40</v>
      </c>
      <c r="Z64" s="39" t="s">
        <v>90</v>
      </c>
      <c r="AA64" s="39" t="s">
        <v>69</v>
      </c>
      <c r="AB64" s="39" t="s">
        <v>335</v>
      </c>
    </row>
    <row r="65" spans="1:28" x14ac:dyDescent="0.15">
      <c r="A65" s="39" t="s">
        <v>59</v>
      </c>
      <c r="B65" s="39" t="s">
        <v>337</v>
      </c>
      <c r="C65" s="118">
        <v>2020</v>
      </c>
      <c r="D65" s="30" t="s">
        <v>394</v>
      </c>
      <c r="E65" s="39" t="s">
        <v>279</v>
      </c>
      <c r="F65" s="39" t="s">
        <v>271</v>
      </c>
      <c r="G65" s="39" t="s">
        <v>42</v>
      </c>
      <c r="H65" s="39" t="s">
        <v>146</v>
      </c>
      <c r="I65" s="39" t="s">
        <v>142</v>
      </c>
      <c r="J65" s="39" t="s">
        <v>38</v>
      </c>
      <c r="K65" s="39" t="s">
        <v>143</v>
      </c>
      <c r="L65" s="39">
        <v>1</v>
      </c>
      <c r="N65" s="39">
        <v>1</v>
      </c>
      <c r="O65" s="39">
        <v>0.25</v>
      </c>
      <c r="P65" s="39">
        <v>0.24</v>
      </c>
      <c r="Q65" s="61">
        <f t="shared" si="2"/>
        <v>0.245</v>
      </c>
      <c r="R65" s="39">
        <v>17.5</v>
      </c>
      <c r="S65" s="39">
        <v>134</v>
      </c>
      <c r="T65" s="45">
        <f t="shared" si="3"/>
        <v>25</v>
      </c>
      <c r="U65" s="39">
        <v>128</v>
      </c>
      <c r="V65" s="45">
        <f t="shared" si="1"/>
        <v>27</v>
      </c>
      <c r="W65" s="39">
        <v>2</v>
      </c>
      <c r="X65" s="39" t="s">
        <v>39</v>
      </c>
      <c r="Y65" s="39" t="s">
        <v>69</v>
      </c>
      <c r="Z65" s="39" t="s">
        <v>90</v>
      </c>
      <c r="AA65" s="39" t="s">
        <v>40</v>
      </c>
      <c r="AB65" s="39" t="s">
        <v>335</v>
      </c>
    </row>
    <row r="66" spans="1:28" x14ac:dyDescent="0.15">
      <c r="A66" s="39" t="s">
        <v>59</v>
      </c>
      <c r="B66" s="39" t="s">
        <v>337</v>
      </c>
      <c r="C66" s="118">
        <v>2020</v>
      </c>
      <c r="D66" s="30" t="s">
        <v>394</v>
      </c>
      <c r="E66" s="39" t="s">
        <v>279</v>
      </c>
      <c r="F66" s="39" t="s">
        <v>271</v>
      </c>
      <c r="G66" s="39" t="s">
        <v>42</v>
      </c>
      <c r="H66" s="39" t="s">
        <v>146</v>
      </c>
      <c r="I66" s="39" t="s">
        <v>142</v>
      </c>
      <c r="J66" s="39" t="s">
        <v>38</v>
      </c>
      <c r="K66" s="39" t="s">
        <v>143</v>
      </c>
      <c r="L66" s="39">
        <v>2</v>
      </c>
      <c r="N66" s="39">
        <v>1</v>
      </c>
      <c r="O66" s="39">
        <v>0.26</v>
      </c>
      <c r="P66" s="39">
        <v>0.24</v>
      </c>
      <c r="Q66" s="61">
        <f t="shared" si="2"/>
        <v>0.25</v>
      </c>
      <c r="R66" s="39">
        <v>17.5</v>
      </c>
      <c r="S66" s="39">
        <v>130</v>
      </c>
      <c r="T66" s="45">
        <f t="shared" si="3"/>
        <v>25</v>
      </c>
      <c r="U66" s="39">
        <v>128</v>
      </c>
      <c r="V66" s="45">
        <f t="shared" ref="V66:V152" si="4">IF(J66="","",IF(OR(J66="GREEN",J66="GK"),IF(U66&gt;=$AX$2,VLOOKUP(U66,$AX$2:$AY$12,2,1),""),IF(U66&gt;=$AZ$2,VLOOKUP(U66,$AZ$2:$BA$12,2,1),"")))</f>
        <v>27</v>
      </c>
      <c r="W66" s="39">
        <v>2</v>
      </c>
      <c r="X66" s="39" t="s">
        <v>39</v>
      </c>
      <c r="Y66" s="39" t="s">
        <v>69</v>
      </c>
      <c r="Z66" s="39" t="s">
        <v>90</v>
      </c>
      <c r="AA66" s="39" t="s">
        <v>40</v>
      </c>
      <c r="AB66" s="39" t="s">
        <v>335</v>
      </c>
    </row>
    <row r="67" spans="1:28" x14ac:dyDescent="0.15">
      <c r="A67" s="39" t="s">
        <v>59</v>
      </c>
      <c r="B67" s="39" t="s">
        <v>337</v>
      </c>
      <c r="C67" s="118">
        <v>2020</v>
      </c>
      <c r="D67" s="30" t="s">
        <v>394</v>
      </c>
      <c r="E67" s="39" t="s">
        <v>279</v>
      </c>
      <c r="F67" s="39" t="s">
        <v>271</v>
      </c>
      <c r="G67" s="39" t="s">
        <v>42</v>
      </c>
      <c r="H67" s="39" t="s">
        <v>146</v>
      </c>
      <c r="I67" s="39" t="s">
        <v>142</v>
      </c>
      <c r="J67" s="39" t="s">
        <v>38</v>
      </c>
      <c r="K67" s="39" t="s">
        <v>143</v>
      </c>
      <c r="L67" s="39">
        <v>3</v>
      </c>
      <c r="N67" s="39">
        <v>1</v>
      </c>
      <c r="O67" s="39">
        <v>0.24</v>
      </c>
      <c r="P67" s="39">
        <v>0.25</v>
      </c>
      <c r="Q67" s="61">
        <f t="shared" ref="Q67:Q150" si="5">IF(OR(O67="",P67=""),"",AVERAGE(O67,P67))</f>
        <v>0.245</v>
      </c>
      <c r="R67" s="39">
        <v>17.8</v>
      </c>
      <c r="S67" s="39">
        <v>138</v>
      </c>
      <c r="T67" s="45">
        <f t="shared" si="3"/>
        <v>22</v>
      </c>
      <c r="U67" s="39">
        <v>128</v>
      </c>
      <c r="V67" s="45">
        <f t="shared" si="4"/>
        <v>27</v>
      </c>
      <c r="W67" s="39">
        <v>2</v>
      </c>
      <c r="X67" s="39" t="s">
        <v>39</v>
      </c>
      <c r="Y67" s="39" t="s">
        <v>69</v>
      </c>
      <c r="Z67" s="39" t="s">
        <v>90</v>
      </c>
      <c r="AA67" s="39" t="s">
        <v>40</v>
      </c>
      <c r="AB67" s="39" t="s">
        <v>335</v>
      </c>
    </row>
    <row r="68" spans="1:28" x14ac:dyDescent="0.15">
      <c r="A68" s="39" t="s">
        <v>59</v>
      </c>
      <c r="B68" s="39" t="s">
        <v>337</v>
      </c>
      <c r="C68" s="118">
        <v>2020</v>
      </c>
      <c r="D68" s="30" t="s">
        <v>394</v>
      </c>
      <c r="E68" s="39" t="s">
        <v>279</v>
      </c>
      <c r="F68" s="39" t="s">
        <v>271</v>
      </c>
      <c r="G68" s="39" t="s">
        <v>42</v>
      </c>
      <c r="H68" s="39" t="s">
        <v>127</v>
      </c>
      <c r="I68" s="39" t="s">
        <v>142</v>
      </c>
      <c r="J68" s="39" t="s">
        <v>80</v>
      </c>
      <c r="K68" s="39" t="s">
        <v>235</v>
      </c>
      <c r="L68" s="39">
        <v>1</v>
      </c>
      <c r="N68" s="39">
        <v>1</v>
      </c>
      <c r="O68" s="39">
        <v>0.45</v>
      </c>
      <c r="P68" s="39">
        <v>0.43</v>
      </c>
      <c r="Q68" s="61">
        <f t="shared" si="5"/>
        <v>0.44</v>
      </c>
      <c r="R68" s="39">
        <v>13.5</v>
      </c>
      <c r="S68" s="39">
        <v>105</v>
      </c>
      <c r="T68" s="45">
        <f t="shared" si="3"/>
        <v>33</v>
      </c>
      <c r="U68" s="39">
        <v>98</v>
      </c>
      <c r="V68" s="45">
        <f t="shared" si="4"/>
        <v>36</v>
      </c>
      <c r="W68" s="39">
        <v>1</v>
      </c>
      <c r="X68" s="39" t="s">
        <v>39</v>
      </c>
      <c r="Y68" s="39" t="s">
        <v>69</v>
      </c>
      <c r="Z68" s="39" t="s">
        <v>90</v>
      </c>
      <c r="AA68" s="39" t="s">
        <v>40</v>
      </c>
      <c r="AB68" s="39" t="s">
        <v>335</v>
      </c>
    </row>
    <row r="69" spans="1:28" x14ac:dyDescent="0.15">
      <c r="A69" s="39" t="s">
        <v>59</v>
      </c>
      <c r="B69" s="39" t="s">
        <v>337</v>
      </c>
      <c r="C69" s="118">
        <v>2020</v>
      </c>
      <c r="D69" s="30" t="s">
        <v>394</v>
      </c>
      <c r="E69" s="39" t="s">
        <v>279</v>
      </c>
      <c r="F69" s="39" t="s">
        <v>271</v>
      </c>
      <c r="G69" s="39" t="s">
        <v>42</v>
      </c>
      <c r="H69" s="39" t="s">
        <v>127</v>
      </c>
      <c r="I69" s="39" t="s">
        <v>142</v>
      </c>
      <c r="J69" s="39" t="s">
        <v>80</v>
      </c>
      <c r="K69" s="39" t="s">
        <v>235</v>
      </c>
      <c r="L69" s="39">
        <v>2</v>
      </c>
      <c r="N69" s="39">
        <v>1</v>
      </c>
      <c r="O69" s="39">
        <v>0.35</v>
      </c>
      <c r="P69" s="39">
        <v>0.35</v>
      </c>
      <c r="Q69" s="61">
        <f t="shared" si="5"/>
        <v>0.35</v>
      </c>
      <c r="R69" s="39">
        <v>13.3</v>
      </c>
      <c r="S69" s="39">
        <v>118</v>
      </c>
      <c r="T69" s="45">
        <f t="shared" si="3"/>
        <v>30</v>
      </c>
      <c r="U69" s="39">
        <v>98</v>
      </c>
      <c r="V69" s="45">
        <f t="shared" si="4"/>
        <v>36</v>
      </c>
      <c r="W69" s="39">
        <v>1</v>
      </c>
      <c r="X69" s="39" t="s">
        <v>39</v>
      </c>
      <c r="Y69" s="39" t="s">
        <v>69</v>
      </c>
      <c r="Z69" s="39" t="s">
        <v>90</v>
      </c>
      <c r="AA69" s="39" t="s">
        <v>40</v>
      </c>
      <c r="AB69" s="39" t="s">
        <v>335</v>
      </c>
    </row>
    <row r="70" spans="1:28" x14ac:dyDescent="0.15">
      <c r="A70" s="39" t="s">
        <v>59</v>
      </c>
      <c r="B70" s="39" t="s">
        <v>337</v>
      </c>
      <c r="C70" s="118">
        <v>2020</v>
      </c>
      <c r="D70" s="30" t="s">
        <v>394</v>
      </c>
      <c r="E70" s="39" t="s">
        <v>279</v>
      </c>
      <c r="F70" s="39" t="s">
        <v>271</v>
      </c>
      <c r="G70" s="39" t="s">
        <v>42</v>
      </c>
      <c r="H70" s="39" t="s">
        <v>127</v>
      </c>
      <c r="I70" s="39" t="s">
        <v>142</v>
      </c>
      <c r="J70" s="39" t="s">
        <v>80</v>
      </c>
      <c r="K70" s="39" t="s">
        <v>235</v>
      </c>
      <c r="L70" s="39">
        <v>3</v>
      </c>
      <c r="N70" s="39">
        <v>1</v>
      </c>
      <c r="O70" s="39">
        <v>0.41</v>
      </c>
      <c r="P70" s="39">
        <v>0.42</v>
      </c>
      <c r="Q70" s="61">
        <f t="shared" si="5"/>
        <v>0.41499999999999998</v>
      </c>
      <c r="R70" s="39">
        <v>13.1</v>
      </c>
      <c r="S70" s="39">
        <v>110</v>
      </c>
      <c r="T70" s="45">
        <f t="shared" si="3"/>
        <v>33</v>
      </c>
      <c r="U70" s="39">
        <v>98</v>
      </c>
      <c r="V70" s="45">
        <f t="shared" si="4"/>
        <v>36</v>
      </c>
      <c r="W70" s="39">
        <v>1</v>
      </c>
      <c r="X70" s="39" t="s">
        <v>39</v>
      </c>
      <c r="Y70" s="39" t="s">
        <v>69</v>
      </c>
      <c r="Z70" s="39" t="s">
        <v>90</v>
      </c>
      <c r="AA70" s="39" t="s">
        <v>40</v>
      </c>
      <c r="AB70" s="39" t="s">
        <v>335</v>
      </c>
    </row>
    <row r="71" spans="1:28" x14ac:dyDescent="0.15">
      <c r="A71" s="39" t="s">
        <v>59</v>
      </c>
      <c r="B71" s="39" t="s">
        <v>337</v>
      </c>
      <c r="C71" s="118">
        <v>2020</v>
      </c>
      <c r="D71" s="30" t="s">
        <v>394</v>
      </c>
      <c r="E71" s="39" t="s">
        <v>285</v>
      </c>
      <c r="F71" s="39" t="s">
        <v>276</v>
      </c>
      <c r="G71" s="39" t="s">
        <v>42</v>
      </c>
      <c r="H71" s="39" t="s">
        <v>146</v>
      </c>
      <c r="I71" s="39" t="s">
        <v>142</v>
      </c>
      <c r="J71" s="39" t="s">
        <v>38</v>
      </c>
      <c r="K71" s="39" t="s">
        <v>143</v>
      </c>
      <c r="L71" s="39">
        <v>1</v>
      </c>
      <c r="N71" s="39">
        <v>4</v>
      </c>
      <c r="O71" s="39">
        <v>0.6</v>
      </c>
      <c r="P71" s="39">
        <v>0.57999999999999996</v>
      </c>
      <c r="Q71" s="61">
        <f t="shared" si="5"/>
        <v>0.59</v>
      </c>
      <c r="R71" s="39">
        <v>16.3</v>
      </c>
      <c r="S71" s="39">
        <v>101</v>
      </c>
      <c r="T71" s="45">
        <f t="shared" si="3"/>
        <v>33</v>
      </c>
      <c r="U71" s="39">
        <v>480</v>
      </c>
      <c r="V71" s="45">
        <f t="shared" si="4"/>
        <v>16</v>
      </c>
      <c r="W71" s="39">
        <v>2</v>
      </c>
      <c r="X71" s="39" t="s">
        <v>46</v>
      </c>
      <c r="Y71" s="39" t="s">
        <v>40</v>
      </c>
      <c r="Z71" s="39" t="s">
        <v>90</v>
      </c>
      <c r="AA71" s="39" t="s">
        <v>55</v>
      </c>
      <c r="AB71" s="39" t="s">
        <v>335</v>
      </c>
    </row>
    <row r="72" spans="1:28" x14ac:dyDescent="0.15">
      <c r="A72" s="39" t="s">
        <v>59</v>
      </c>
      <c r="B72" s="39" t="s">
        <v>337</v>
      </c>
      <c r="C72" s="118">
        <v>2020</v>
      </c>
      <c r="D72" s="30" t="s">
        <v>394</v>
      </c>
      <c r="E72" s="39" t="s">
        <v>285</v>
      </c>
      <c r="F72" s="39" t="s">
        <v>276</v>
      </c>
      <c r="G72" s="39" t="s">
        <v>42</v>
      </c>
      <c r="H72" s="39" t="s">
        <v>146</v>
      </c>
      <c r="I72" s="39" t="s">
        <v>142</v>
      </c>
      <c r="J72" s="39" t="s">
        <v>38</v>
      </c>
      <c r="K72" s="39" t="s">
        <v>143</v>
      </c>
      <c r="L72" s="39">
        <v>2</v>
      </c>
      <c r="N72" s="39">
        <v>4</v>
      </c>
      <c r="O72" s="39">
        <v>0.55000000000000004</v>
      </c>
      <c r="P72" s="39">
        <v>0.61</v>
      </c>
      <c r="Q72" s="61">
        <f t="shared" si="5"/>
        <v>0.58000000000000007</v>
      </c>
      <c r="R72" s="39">
        <v>17.3</v>
      </c>
      <c r="S72" s="39">
        <v>104</v>
      </c>
      <c r="T72" s="45">
        <f t="shared" si="3"/>
        <v>33</v>
      </c>
      <c r="U72" s="39">
        <v>480</v>
      </c>
      <c r="V72" s="45">
        <f t="shared" si="4"/>
        <v>16</v>
      </c>
      <c r="W72" s="39">
        <v>2</v>
      </c>
      <c r="X72" s="39" t="s">
        <v>46</v>
      </c>
      <c r="Y72" s="39" t="s">
        <v>40</v>
      </c>
      <c r="Z72" s="39" t="s">
        <v>90</v>
      </c>
      <c r="AA72" s="39" t="s">
        <v>55</v>
      </c>
      <c r="AB72" s="39" t="s">
        <v>335</v>
      </c>
    </row>
    <row r="73" spans="1:28" x14ac:dyDescent="0.15">
      <c r="A73" s="39" t="s">
        <v>59</v>
      </c>
      <c r="B73" s="39" t="s">
        <v>337</v>
      </c>
      <c r="C73" s="118">
        <v>2020</v>
      </c>
      <c r="D73" s="30" t="s">
        <v>394</v>
      </c>
      <c r="E73" s="39" t="s">
        <v>285</v>
      </c>
      <c r="F73" s="39" t="s">
        <v>276</v>
      </c>
      <c r="G73" s="39" t="s">
        <v>42</v>
      </c>
      <c r="H73" s="39" t="s">
        <v>146</v>
      </c>
      <c r="I73" s="39" t="s">
        <v>142</v>
      </c>
      <c r="J73" s="39" t="s">
        <v>38</v>
      </c>
      <c r="K73" s="39" t="s">
        <v>143</v>
      </c>
      <c r="L73" s="39">
        <v>3</v>
      </c>
      <c r="N73" s="39">
        <v>4</v>
      </c>
      <c r="O73" s="39">
        <v>0.63</v>
      </c>
      <c r="P73" s="39">
        <v>0.56999999999999995</v>
      </c>
      <c r="Q73" s="61">
        <f t="shared" si="5"/>
        <v>0.6</v>
      </c>
      <c r="R73" s="39">
        <v>16.8</v>
      </c>
      <c r="S73" s="39">
        <v>100</v>
      </c>
      <c r="T73" s="45">
        <f t="shared" si="3"/>
        <v>33</v>
      </c>
      <c r="U73" s="39">
        <v>480</v>
      </c>
      <c r="V73" s="45">
        <f t="shared" si="4"/>
        <v>16</v>
      </c>
      <c r="W73" s="39">
        <v>2</v>
      </c>
      <c r="X73" s="39" t="s">
        <v>46</v>
      </c>
      <c r="Y73" s="39" t="s">
        <v>40</v>
      </c>
      <c r="Z73" s="39" t="s">
        <v>90</v>
      </c>
      <c r="AA73" s="39" t="s">
        <v>55</v>
      </c>
      <c r="AB73" s="39" t="s">
        <v>335</v>
      </c>
    </row>
    <row r="74" spans="1:28" x14ac:dyDescent="0.15">
      <c r="A74" s="39" t="s">
        <v>59</v>
      </c>
      <c r="B74" s="39" t="s">
        <v>337</v>
      </c>
      <c r="C74" s="118">
        <v>2020</v>
      </c>
      <c r="D74" s="30" t="s">
        <v>394</v>
      </c>
      <c r="E74" s="39" t="s">
        <v>285</v>
      </c>
      <c r="F74" s="39" t="s">
        <v>276</v>
      </c>
      <c r="G74" s="39" t="s">
        <v>42</v>
      </c>
      <c r="H74" s="39" t="s">
        <v>146</v>
      </c>
      <c r="I74" s="39" t="s">
        <v>142</v>
      </c>
      <c r="J74" s="39" t="s">
        <v>38</v>
      </c>
      <c r="K74" s="39" t="s">
        <v>143</v>
      </c>
      <c r="L74" s="39">
        <v>1</v>
      </c>
      <c r="N74" s="39">
        <v>1</v>
      </c>
      <c r="O74" s="39">
        <v>0.56999999999999995</v>
      </c>
      <c r="P74" s="39">
        <v>0.57999999999999996</v>
      </c>
      <c r="Q74" s="61">
        <f t="shared" si="5"/>
        <v>0.57499999999999996</v>
      </c>
      <c r="R74" s="39">
        <v>16.600000000000001</v>
      </c>
      <c r="S74" s="39">
        <v>130</v>
      </c>
      <c r="T74" s="45">
        <f t="shared" si="3"/>
        <v>25</v>
      </c>
      <c r="U74" s="39">
        <v>138</v>
      </c>
      <c r="V74" s="45">
        <f t="shared" si="4"/>
        <v>22</v>
      </c>
      <c r="W74" s="39">
        <v>4</v>
      </c>
      <c r="X74" s="39" t="s">
        <v>46</v>
      </c>
      <c r="Y74" s="39" t="s">
        <v>40</v>
      </c>
      <c r="Z74" s="39" t="s">
        <v>90</v>
      </c>
      <c r="AA74" s="39" t="s">
        <v>55</v>
      </c>
      <c r="AB74" s="39" t="s">
        <v>335</v>
      </c>
    </row>
    <row r="75" spans="1:28" x14ac:dyDescent="0.15">
      <c r="A75" s="39" t="s">
        <v>59</v>
      </c>
      <c r="B75" s="39" t="s">
        <v>337</v>
      </c>
      <c r="C75" s="118">
        <v>2020</v>
      </c>
      <c r="D75" s="30" t="s">
        <v>394</v>
      </c>
      <c r="E75" s="39" t="s">
        <v>285</v>
      </c>
      <c r="F75" s="39" t="s">
        <v>276</v>
      </c>
      <c r="G75" s="39" t="s">
        <v>42</v>
      </c>
      <c r="H75" s="39" t="s">
        <v>146</v>
      </c>
      <c r="I75" s="39" t="s">
        <v>142</v>
      </c>
      <c r="J75" s="39" t="s">
        <v>38</v>
      </c>
      <c r="K75" s="39" t="s">
        <v>143</v>
      </c>
      <c r="L75" s="39">
        <v>2</v>
      </c>
      <c r="N75" s="39">
        <v>1</v>
      </c>
      <c r="O75" s="39">
        <v>0.53</v>
      </c>
      <c r="P75" s="39">
        <v>0.56999999999999995</v>
      </c>
      <c r="Q75" s="61">
        <f t="shared" si="5"/>
        <v>0.55000000000000004</v>
      </c>
      <c r="R75" s="39">
        <v>16.3</v>
      </c>
      <c r="S75" s="39">
        <v>135</v>
      </c>
      <c r="T75" s="45">
        <f t="shared" si="3"/>
        <v>25</v>
      </c>
      <c r="U75" s="39">
        <v>138</v>
      </c>
      <c r="V75" s="45">
        <f t="shared" si="4"/>
        <v>22</v>
      </c>
      <c r="W75" s="39">
        <v>4</v>
      </c>
      <c r="X75" s="39" t="s">
        <v>46</v>
      </c>
      <c r="Y75" s="39" t="s">
        <v>40</v>
      </c>
      <c r="Z75" s="39" t="s">
        <v>90</v>
      </c>
      <c r="AA75" s="39" t="s">
        <v>55</v>
      </c>
      <c r="AB75" s="39" t="s">
        <v>335</v>
      </c>
    </row>
    <row r="76" spans="1:28" x14ac:dyDescent="0.15">
      <c r="A76" s="39" t="s">
        <v>59</v>
      </c>
      <c r="B76" s="39" t="s">
        <v>337</v>
      </c>
      <c r="C76" s="118">
        <v>2020</v>
      </c>
      <c r="D76" s="30" t="s">
        <v>394</v>
      </c>
      <c r="E76" s="39" t="s">
        <v>285</v>
      </c>
      <c r="F76" s="39" t="s">
        <v>276</v>
      </c>
      <c r="G76" s="39" t="s">
        <v>42</v>
      </c>
      <c r="H76" s="39" t="s">
        <v>146</v>
      </c>
      <c r="I76" s="39" t="s">
        <v>142</v>
      </c>
      <c r="J76" s="39" t="s">
        <v>38</v>
      </c>
      <c r="K76" s="39" t="s">
        <v>143</v>
      </c>
      <c r="L76" s="39">
        <v>3</v>
      </c>
      <c r="N76" s="39">
        <v>1</v>
      </c>
      <c r="O76" s="39">
        <v>0.52</v>
      </c>
      <c r="P76" s="39">
        <v>0.55000000000000004</v>
      </c>
      <c r="Q76" s="61">
        <f t="shared" si="5"/>
        <v>0.53500000000000003</v>
      </c>
      <c r="R76" s="39">
        <v>16.399999999999999</v>
      </c>
      <c r="S76" s="39">
        <v>134</v>
      </c>
      <c r="T76" s="45">
        <f t="shared" si="3"/>
        <v>25</v>
      </c>
      <c r="U76" s="39">
        <v>138</v>
      </c>
      <c r="V76" s="45">
        <f t="shared" si="4"/>
        <v>22</v>
      </c>
      <c r="W76" s="39">
        <v>4</v>
      </c>
      <c r="X76" s="39" t="s">
        <v>46</v>
      </c>
      <c r="Y76" s="39" t="s">
        <v>40</v>
      </c>
      <c r="Z76" s="39" t="s">
        <v>90</v>
      </c>
      <c r="AA76" s="39" t="s">
        <v>55</v>
      </c>
      <c r="AB76" s="39" t="s">
        <v>335</v>
      </c>
    </row>
    <row r="77" spans="1:28" x14ac:dyDescent="0.15">
      <c r="A77" s="39" t="s">
        <v>59</v>
      </c>
      <c r="B77" s="39" t="s">
        <v>337</v>
      </c>
      <c r="C77" s="118">
        <v>2020</v>
      </c>
      <c r="D77" s="30" t="s">
        <v>394</v>
      </c>
      <c r="E77" s="39" t="s">
        <v>280</v>
      </c>
      <c r="F77" s="39" t="s">
        <v>273</v>
      </c>
      <c r="G77" s="39" t="s">
        <v>36</v>
      </c>
      <c r="H77" s="39" t="s">
        <v>146</v>
      </c>
      <c r="I77" s="39" t="s">
        <v>142</v>
      </c>
      <c r="J77" s="39" t="s">
        <v>38</v>
      </c>
      <c r="K77" s="39" t="s">
        <v>143</v>
      </c>
      <c r="L77" s="39">
        <v>1</v>
      </c>
      <c r="N77" s="39">
        <v>1</v>
      </c>
      <c r="O77" s="39">
        <v>0.48</v>
      </c>
      <c r="P77" s="39">
        <v>0.46</v>
      </c>
      <c r="Q77" s="61">
        <f t="shared" si="5"/>
        <v>0.47</v>
      </c>
      <c r="R77" s="39">
        <v>15.6</v>
      </c>
      <c r="S77" s="39">
        <v>120</v>
      </c>
      <c r="T77" s="45">
        <f t="shared" si="3"/>
        <v>30</v>
      </c>
      <c r="U77" s="39">
        <v>128</v>
      </c>
      <c r="V77" s="45">
        <f t="shared" si="4"/>
        <v>27</v>
      </c>
      <c r="W77" s="39">
        <v>4</v>
      </c>
      <c r="X77" s="39" t="s">
        <v>46</v>
      </c>
      <c r="Y77" s="39" t="s">
        <v>90</v>
      </c>
      <c r="Z77" s="39" t="s">
        <v>69</v>
      </c>
      <c r="AA77" s="39" t="s">
        <v>40</v>
      </c>
      <c r="AB77" s="39" t="s">
        <v>335</v>
      </c>
    </row>
    <row r="78" spans="1:28" x14ac:dyDescent="0.15">
      <c r="A78" s="39" t="s">
        <v>59</v>
      </c>
      <c r="B78" s="39" t="s">
        <v>337</v>
      </c>
      <c r="C78" s="118">
        <v>2020</v>
      </c>
      <c r="D78" s="30" t="s">
        <v>394</v>
      </c>
      <c r="E78" s="39" t="s">
        <v>280</v>
      </c>
      <c r="F78" s="39" t="s">
        <v>273</v>
      </c>
      <c r="G78" s="39" t="s">
        <v>36</v>
      </c>
      <c r="H78" s="39" t="s">
        <v>146</v>
      </c>
      <c r="I78" s="39" t="s">
        <v>142</v>
      </c>
      <c r="J78" s="39" t="s">
        <v>38</v>
      </c>
      <c r="K78" s="39" t="s">
        <v>143</v>
      </c>
      <c r="L78" s="39">
        <v>2</v>
      </c>
      <c r="N78" s="39">
        <v>1</v>
      </c>
      <c r="O78" s="39">
        <v>0.54</v>
      </c>
      <c r="P78" s="39">
        <v>0.47</v>
      </c>
      <c r="Q78" s="61">
        <f t="shared" si="5"/>
        <v>0.505</v>
      </c>
      <c r="R78" s="39">
        <v>14.9</v>
      </c>
      <c r="S78" s="39">
        <v>111</v>
      </c>
      <c r="T78" s="45">
        <f t="shared" si="3"/>
        <v>33</v>
      </c>
      <c r="U78" s="39">
        <v>128</v>
      </c>
      <c r="V78" s="45">
        <f t="shared" si="4"/>
        <v>27</v>
      </c>
      <c r="W78" s="39">
        <v>4</v>
      </c>
      <c r="X78" s="39" t="s">
        <v>46</v>
      </c>
      <c r="Y78" s="39" t="s">
        <v>90</v>
      </c>
      <c r="Z78" s="39" t="s">
        <v>69</v>
      </c>
      <c r="AA78" s="39" t="s">
        <v>40</v>
      </c>
      <c r="AB78" s="39" t="s">
        <v>335</v>
      </c>
    </row>
    <row r="79" spans="1:28" x14ac:dyDescent="0.15">
      <c r="A79" s="39" t="s">
        <v>59</v>
      </c>
      <c r="B79" s="39" t="s">
        <v>337</v>
      </c>
      <c r="C79" s="118">
        <v>2020</v>
      </c>
      <c r="D79" s="30" t="s">
        <v>394</v>
      </c>
      <c r="E79" s="39" t="s">
        <v>280</v>
      </c>
      <c r="F79" s="39" t="s">
        <v>273</v>
      </c>
      <c r="G79" s="39" t="s">
        <v>36</v>
      </c>
      <c r="H79" s="39" t="s">
        <v>146</v>
      </c>
      <c r="I79" s="39" t="s">
        <v>142</v>
      </c>
      <c r="J79" s="39" t="s">
        <v>38</v>
      </c>
      <c r="K79" s="39" t="s">
        <v>143</v>
      </c>
      <c r="L79" s="39">
        <v>3</v>
      </c>
      <c r="N79" s="39">
        <v>1</v>
      </c>
      <c r="O79" s="39">
        <v>0.48</v>
      </c>
      <c r="P79" s="39">
        <v>0.52</v>
      </c>
      <c r="Q79" s="61">
        <f t="shared" si="5"/>
        <v>0.5</v>
      </c>
      <c r="R79" s="39">
        <v>15.8</v>
      </c>
      <c r="S79" s="39">
        <v>111</v>
      </c>
      <c r="T79" s="45">
        <f t="shared" si="3"/>
        <v>33</v>
      </c>
      <c r="U79" s="39">
        <v>128</v>
      </c>
      <c r="V79" s="45">
        <f t="shared" si="4"/>
        <v>27</v>
      </c>
      <c r="W79" s="39">
        <v>4</v>
      </c>
      <c r="X79" s="39" t="s">
        <v>46</v>
      </c>
      <c r="Y79" s="39" t="s">
        <v>90</v>
      </c>
      <c r="Z79" s="39" t="s">
        <v>69</v>
      </c>
      <c r="AA79" s="39" t="s">
        <v>40</v>
      </c>
      <c r="AB79" s="39" t="s">
        <v>335</v>
      </c>
    </row>
    <row r="80" spans="1:28" x14ac:dyDescent="0.15">
      <c r="A80" s="39" t="s">
        <v>59</v>
      </c>
      <c r="B80" s="39" t="s">
        <v>337</v>
      </c>
      <c r="C80" s="118">
        <v>2020</v>
      </c>
      <c r="D80" s="30" t="s">
        <v>394</v>
      </c>
      <c r="E80" s="39" t="s">
        <v>280</v>
      </c>
      <c r="F80" s="39" t="s">
        <v>273</v>
      </c>
      <c r="G80" s="39" t="s">
        <v>36</v>
      </c>
      <c r="H80" s="39" t="s">
        <v>127</v>
      </c>
      <c r="I80" s="39" t="s">
        <v>142</v>
      </c>
      <c r="J80" s="39" t="s">
        <v>212</v>
      </c>
      <c r="K80" s="39" t="s">
        <v>235</v>
      </c>
      <c r="L80" s="39">
        <v>1</v>
      </c>
      <c r="N80" s="39">
        <v>1</v>
      </c>
      <c r="O80" s="39">
        <v>0.4</v>
      </c>
      <c r="P80" s="39">
        <v>0.53</v>
      </c>
      <c r="Q80" s="61">
        <f t="shared" si="5"/>
        <v>0.46500000000000002</v>
      </c>
      <c r="R80" s="39">
        <v>13.3</v>
      </c>
      <c r="S80" s="39">
        <v>94</v>
      </c>
      <c r="T80" s="45">
        <f t="shared" si="3"/>
        <v>36</v>
      </c>
      <c r="U80" s="39">
        <v>98</v>
      </c>
      <c r="V80" s="45">
        <f t="shared" si="4"/>
        <v>36</v>
      </c>
      <c r="W80" s="39">
        <v>1</v>
      </c>
      <c r="X80" s="39" t="s">
        <v>46</v>
      </c>
      <c r="Y80" s="39" t="s">
        <v>90</v>
      </c>
      <c r="Z80" s="39" t="s">
        <v>69</v>
      </c>
      <c r="AA80" s="39" t="s">
        <v>40</v>
      </c>
      <c r="AB80" s="39" t="s">
        <v>335</v>
      </c>
    </row>
    <row r="81" spans="1:28" x14ac:dyDescent="0.15">
      <c r="A81" s="39" t="s">
        <v>59</v>
      </c>
      <c r="B81" s="39" t="s">
        <v>337</v>
      </c>
      <c r="C81" s="118">
        <v>2020</v>
      </c>
      <c r="D81" s="30" t="s">
        <v>394</v>
      </c>
      <c r="E81" s="39" t="s">
        <v>280</v>
      </c>
      <c r="F81" s="39" t="s">
        <v>273</v>
      </c>
      <c r="G81" s="39" t="s">
        <v>36</v>
      </c>
      <c r="H81" s="39" t="s">
        <v>127</v>
      </c>
      <c r="I81" s="39" t="s">
        <v>142</v>
      </c>
      <c r="J81" s="39" t="s">
        <v>212</v>
      </c>
      <c r="K81" s="39" t="s">
        <v>235</v>
      </c>
      <c r="L81" s="39">
        <v>2</v>
      </c>
      <c r="N81" s="39">
        <v>1</v>
      </c>
      <c r="O81" s="39">
        <v>0.38</v>
      </c>
      <c r="P81" s="39">
        <v>0.44</v>
      </c>
      <c r="Q81" s="61">
        <f t="shared" si="5"/>
        <v>0.41000000000000003</v>
      </c>
      <c r="R81" s="39">
        <v>12.9</v>
      </c>
      <c r="S81" s="39">
        <v>93</v>
      </c>
      <c r="T81" s="45">
        <f t="shared" si="3"/>
        <v>36</v>
      </c>
      <c r="U81" s="39">
        <v>98</v>
      </c>
      <c r="V81" s="45">
        <f t="shared" si="4"/>
        <v>36</v>
      </c>
      <c r="W81" s="39">
        <v>1</v>
      </c>
      <c r="X81" s="39" t="s">
        <v>46</v>
      </c>
      <c r="Y81" s="39" t="s">
        <v>90</v>
      </c>
      <c r="Z81" s="39" t="s">
        <v>69</v>
      </c>
      <c r="AA81" s="39" t="s">
        <v>40</v>
      </c>
      <c r="AB81" s="39" t="s">
        <v>335</v>
      </c>
    </row>
    <row r="82" spans="1:28" x14ac:dyDescent="0.15">
      <c r="A82" s="39" t="s">
        <v>59</v>
      </c>
      <c r="B82" s="39" t="s">
        <v>337</v>
      </c>
      <c r="C82" s="118">
        <v>2020</v>
      </c>
      <c r="D82" s="30" t="s">
        <v>394</v>
      </c>
      <c r="E82" s="39" t="s">
        <v>280</v>
      </c>
      <c r="F82" s="39" t="s">
        <v>273</v>
      </c>
      <c r="G82" s="39" t="s">
        <v>36</v>
      </c>
      <c r="H82" s="39" t="s">
        <v>127</v>
      </c>
      <c r="I82" s="39" t="s">
        <v>142</v>
      </c>
      <c r="J82" s="39" t="s">
        <v>212</v>
      </c>
      <c r="K82" s="39" t="s">
        <v>235</v>
      </c>
      <c r="L82" s="39">
        <v>3</v>
      </c>
      <c r="N82" s="39">
        <v>1</v>
      </c>
      <c r="O82" s="39">
        <v>0.43</v>
      </c>
      <c r="P82" s="39">
        <v>0.41</v>
      </c>
      <c r="Q82" s="61">
        <f t="shared" si="5"/>
        <v>0.42</v>
      </c>
      <c r="R82" s="39">
        <v>13.5</v>
      </c>
      <c r="S82" s="39">
        <v>90</v>
      </c>
      <c r="T82" s="45">
        <f t="shared" si="3"/>
        <v>36</v>
      </c>
      <c r="U82" s="39">
        <v>98</v>
      </c>
      <c r="V82" s="45">
        <f t="shared" si="4"/>
        <v>36</v>
      </c>
      <c r="W82" s="39">
        <v>1</v>
      </c>
      <c r="X82" s="39" t="s">
        <v>46</v>
      </c>
      <c r="Y82" s="39" t="s">
        <v>90</v>
      </c>
      <c r="Z82" s="39" t="s">
        <v>69</v>
      </c>
      <c r="AA82" s="39" t="s">
        <v>40</v>
      </c>
      <c r="AB82" s="39" t="s">
        <v>335</v>
      </c>
    </row>
    <row r="83" spans="1:28" x14ac:dyDescent="0.15">
      <c r="D83" s="30"/>
      <c r="Q83" s="61" t="str">
        <f t="shared" si="5"/>
        <v/>
      </c>
      <c r="T83" s="45" t="str">
        <f t="shared" ref="T83:T96" si="6">IF(H83="","",IF(OR(H83="GREEN",H83="GK"),IF(S89&gt;=$AX$2,VLOOKUP(S89,$AX$2:$AY$12,2,1),""),IF(S89&gt;=$AZ$2,VLOOKUP(S89,$AZ$2:$BA$12,2,1),"")))</f>
        <v/>
      </c>
      <c r="V83" s="45" t="str">
        <f t="shared" si="4"/>
        <v/>
      </c>
    </row>
    <row r="84" spans="1:28" x14ac:dyDescent="0.15">
      <c r="D84" s="30"/>
      <c r="Q84" s="61" t="str">
        <f t="shared" si="5"/>
        <v/>
      </c>
      <c r="T84" s="45" t="str">
        <f t="shared" si="6"/>
        <v/>
      </c>
      <c r="V84" s="45" t="str">
        <f t="shared" si="4"/>
        <v/>
      </c>
    </row>
    <row r="85" spans="1:28" x14ac:dyDescent="0.15">
      <c r="D85" s="30"/>
      <c r="Q85" s="61" t="str">
        <f t="shared" si="5"/>
        <v/>
      </c>
      <c r="T85" s="45" t="str">
        <f t="shared" si="6"/>
        <v/>
      </c>
      <c r="V85" s="45" t="str">
        <f t="shared" si="4"/>
        <v/>
      </c>
    </row>
    <row r="86" spans="1:28" x14ac:dyDescent="0.15">
      <c r="D86" s="30"/>
      <c r="Q86" s="61" t="str">
        <f t="shared" si="5"/>
        <v/>
      </c>
      <c r="T86" s="45" t="str">
        <f t="shared" si="6"/>
        <v/>
      </c>
      <c r="V86" s="45" t="str">
        <f t="shared" si="4"/>
        <v/>
      </c>
    </row>
    <row r="87" spans="1:28" x14ac:dyDescent="0.15">
      <c r="Q87" s="61" t="str">
        <f t="shared" si="5"/>
        <v/>
      </c>
      <c r="T87" s="45" t="str">
        <f t="shared" si="6"/>
        <v/>
      </c>
      <c r="V87" s="45" t="str">
        <f t="shared" si="4"/>
        <v/>
      </c>
    </row>
    <row r="88" spans="1:28" x14ac:dyDescent="0.15">
      <c r="Q88" s="61" t="str">
        <f t="shared" si="5"/>
        <v/>
      </c>
      <c r="T88" s="45" t="str">
        <f t="shared" si="6"/>
        <v/>
      </c>
      <c r="V88" s="45" t="str">
        <f t="shared" si="4"/>
        <v/>
      </c>
    </row>
    <row r="89" spans="1:28" x14ac:dyDescent="0.15">
      <c r="Q89" s="61" t="str">
        <f t="shared" si="5"/>
        <v/>
      </c>
      <c r="T89" s="45" t="str">
        <f t="shared" si="6"/>
        <v/>
      </c>
      <c r="V89" s="45" t="str">
        <f t="shared" si="4"/>
        <v/>
      </c>
    </row>
    <row r="90" spans="1:28" x14ac:dyDescent="0.15">
      <c r="Q90" s="61" t="str">
        <f t="shared" si="5"/>
        <v/>
      </c>
      <c r="T90" s="45" t="str">
        <f t="shared" si="6"/>
        <v/>
      </c>
      <c r="V90" s="45" t="str">
        <f t="shared" si="4"/>
        <v/>
      </c>
    </row>
    <row r="91" spans="1:28" x14ac:dyDescent="0.15">
      <c r="Q91" s="61" t="str">
        <f t="shared" si="5"/>
        <v/>
      </c>
      <c r="T91" s="45" t="str">
        <f t="shared" si="6"/>
        <v/>
      </c>
      <c r="V91" s="45" t="str">
        <f t="shared" si="4"/>
        <v/>
      </c>
    </row>
    <row r="92" spans="1:28" x14ac:dyDescent="0.15">
      <c r="Q92" s="61" t="str">
        <f t="shared" si="5"/>
        <v/>
      </c>
      <c r="T92" s="45" t="str">
        <f t="shared" si="6"/>
        <v/>
      </c>
      <c r="V92" s="45" t="str">
        <f t="shared" si="4"/>
        <v/>
      </c>
    </row>
    <row r="93" spans="1:28" x14ac:dyDescent="0.15">
      <c r="Q93" s="61" t="str">
        <f t="shared" si="5"/>
        <v/>
      </c>
      <c r="T93" s="45" t="str">
        <f t="shared" si="6"/>
        <v/>
      </c>
      <c r="V93" s="45" t="str">
        <f t="shared" si="4"/>
        <v/>
      </c>
    </row>
    <row r="94" spans="1:28" x14ac:dyDescent="0.15">
      <c r="Q94" s="61" t="str">
        <f t="shared" si="5"/>
        <v/>
      </c>
      <c r="T94" s="45" t="str">
        <f t="shared" si="6"/>
        <v/>
      </c>
      <c r="V94" s="45" t="str">
        <f t="shared" si="4"/>
        <v/>
      </c>
    </row>
    <row r="95" spans="1:28" x14ac:dyDescent="0.15">
      <c r="Q95" s="61" t="str">
        <f t="shared" si="5"/>
        <v/>
      </c>
      <c r="T95" s="45" t="str">
        <f t="shared" si="6"/>
        <v/>
      </c>
      <c r="V95" s="45" t="str">
        <f t="shared" si="4"/>
        <v/>
      </c>
    </row>
    <row r="96" spans="1:28" x14ac:dyDescent="0.15">
      <c r="Q96" s="61" t="str">
        <f t="shared" si="5"/>
        <v/>
      </c>
      <c r="T96" s="45" t="str">
        <f t="shared" si="6"/>
        <v/>
      </c>
      <c r="V96" s="45" t="str">
        <f t="shared" si="4"/>
        <v/>
      </c>
    </row>
    <row r="97" spans="17:22" x14ac:dyDescent="0.15">
      <c r="Q97" s="61" t="str">
        <f t="shared" si="5"/>
        <v/>
      </c>
      <c r="T97" s="45" t="str">
        <f t="shared" si="3"/>
        <v/>
      </c>
      <c r="V97" s="45" t="str">
        <f t="shared" si="4"/>
        <v/>
      </c>
    </row>
    <row r="98" spans="17:22" x14ac:dyDescent="0.15">
      <c r="Q98" s="61" t="str">
        <f t="shared" si="5"/>
        <v/>
      </c>
      <c r="T98" s="45" t="str">
        <f t="shared" si="3"/>
        <v/>
      </c>
      <c r="V98" s="45" t="str">
        <f t="shared" si="4"/>
        <v/>
      </c>
    </row>
    <row r="99" spans="17:22" x14ac:dyDescent="0.15">
      <c r="Q99" s="45" t="str">
        <f t="shared" si="5"/>
        <v/>
      </c>
      <c r="T99" s="45" t="str">
        <f t="shared" si="3"/>
        <v/>
      </c>
      <c r="V99" s="45" t="str">
        <f t="shared" si="4"/>
        <v/>
      </c>
    </row>
    <row r="100" spans="17:22" x14ac:dyDescent="0.15">
      <c r="Q100" s="45" t="str">
        <f t="shared" si="5"/>
        <v/>
      </c>
      <c r="T100" s="45" t="str">
        <f t="shared" si="3"/>
        <v/>
      </c>
      <c r="V100" s="45" t="str">
        <f t="shared" si="4"/>
        <v/>
      </c>
    </row>
    <row r="101" spans="17:22" x14ac:dyDescent="0.15">
      <c r="Q101" s="45" t="str">
        <f t="shared" si="5"/>
        <v/>
      </c>
      <c r="T101" s="45" t="str">
        <f t="shared" si="3"/>
        <v/>
      </c>
      <c r="V101" s="45" t="str">
        <f t="shared" si="4"/>
        <v/>
      </c>
    </row>
    <row r="102" spans="17:22" x14ac:dyDescent="0.15">
      <c r="Q102" s="45" t="str">
        <f t="shared" si="5"/>
        <v/>
      </c>
      <c r="T102" s="45" t="str">
        <f t="shared" si="3"/>
        <v/>
      </c>
      <c r="V102" s="45" t="str">
        <f t="shared" si="4"/>
        <v/>
      </c>
    </row>
    <row r="103" spans="17:22" x14ac:dyDescent="0.15">
      <c r="Q103" s="45" t="str">
        <f t="shared" si="5"/>
        <v/>
      </c>
      <c r="T103" s="45" t="str">
        <f t="shared" si="3"/>
        <v/>
      </c>
      <c r="V103" s="45" t="str">
        <f t="shared" si="4"/>
        <v/>
      </c>
    </row>
    <row r="104" spans="17:22" x14ac:dyDescent="0.15">
      <c r="Q104" s="45" t="str">
        <f t="shared" si="5"/>
        <v/>
      </c>
      <c r="T104" s="45" t="str">
        <f t="shared" si="3"/>
        <v/>
      </c>
      <c r="V104" s="45" t="str">
        <f t="shared" si="4"/>
        <v/>
      </c>
    </row>
    <row r="105" spans="17:22" x14ac:dyDescent="0.15">
      <c r="Q105" s="45" t="str">
        <f t="shared" si="5"/>
        <v/>
      </c>
      <c r="T105" s="45" t="str">
        <f t="shared" si="3"/>
        <v/>
      </c>
      <c r="V105" s="45" t="str">
        <f t="shared" si="4"/>
        <v/>
      </c>
    </row>
    <row r="106" spans="17:22" x14ac:dyDescent="0.15">
      <c r="Q106" s="45" t="str">
        <f t="shared" si="5"/>
        <v/>
      </c>
      <c r="T106" s="45" t="str">
        <f t="shared" si="3"/>
        <v/>
      </c>
      <c r="V106" s="45" t="str">
        <f t="shared" si="4"/>
        <v/>
      </c>
    </row>
    <row r="107" spans="17:22" x14ac:dyDescent="0.15">
      <c r="Q107" s="45" t="str">
        <f t="shared" si="5"/>
        <v/>
      </c>
      <c r="T107" s="45" t="str">
        <f t="shared" si="3"/>
        <v/>
      </c>
      <c r="V107" s="45" t="str">
        <f t="shared" si="4"/>
        <v/>
      </c>
    </row>
    <row r="108" spans="17:22" x14ac:dyDescent="0.15">
      <c r="Q108" s="45" t="str">
        <f t="shared" si="5"/>
        <v/>
      </c>
      <c r="T108" s="45" t="str">
        <f t="shared" si="3"/>
        <v/>
      </c>
      <c r="V108" s="45" t="str">
        <f t="shared" si="4"/>
        <v/>
      </c>
    </row>
    <row r="109" spans="17:22" x14ac:dyDescent="0.15">
      <c r="Q109" s="45" t="str">
        <f t="shared" si="5"/>
        <v/>
      </c>
      <c r="T109" s="45" t="str">
        <f t="shared" si="3"/>
        <v/>
      </c>
      <c r="V109" s="45" t="str">
        <f t="shared" si="4"/>
        <v/>
      </c>
    </row>
    <row r="110" spans="17:22" x14ac:dyDescent="0.15">
      <c r="Q110" s="45" t="str">
        <f t="shared" si="5"/>
        <v/>
      </c>
      <c r="T110" s="45" t="str">
        <f t="shared" si="3"/>
        <v/>
      </c>
      <c r="V110" s="45" t="str">
        <f t="shared" si="4"/>
        <v/>
      </c>
    </row>
    <row r="111" spans="17:22" x14ac:dyDescent="0.15">
      <c r="Q111" s="45" t="str">
        <f t="shared" si="5"/>
        <v/>
      </c>
      <c r="T111" s="45" t="str">
        <f t="shared" si="3"/>
        <v/>
      </c>
      <c r="V111" s="45" t="str">
        <f t="shared" si="4"/>
        <v/>
      </c>
    </row>
    <row r="112" spans="17:22" x14ac:dyDescent="0.15">
      <c r="Q112" s="45" t="str">
        <f t="shared" si="5"/>
        <v/>
      </c>
      <c r="T112" s="45" t="str">
        <f t="shared" si="3"/>
        <v/>
      </c>
      <c r="V112" s="45" t="str">
        <f t="shared" si="4"/>
        <v/>
      </c>
    </row>
    <row r="113" spans="17:22" x14ac:dyDescent="0.15">
      <c r="Q113" s="45" t="str">
        <f t="shared" si="5"/>
        <v/>
      </c>
      <c r="T113" s="45" t="str">
        <f t="shared" si="3"/>
        <v/>
      </c>
      <c r="V113" s="45" t="str">
        <f t="shared" si="4"/>
        <v/>
      </c>
    </row>
    <row r="114" spans="17:22" x14ac:dyDescent="0.15">
      <c r="Q114" s="45" t="str">
        <f t="shared" si="5"/>
        <v/>
      </c>
      <c r="T114" s="45" t="str">
        <f t="shared" si="3"/>
        <v/>
      </c>
      <c r="V114" s="45" t="str">
        <f t="shared" si="4"/>
        <v/>
      </c>
    </row>
    <row r="115" spans="17:22" x14ac:dyDescent="0.15">
      <c r="Q115" s="45" t="str">
        <f t="shared" si="5"/>
        <v/>
      </c>
      <c r="T115" s="45" t="str">
        <f t="shared" si="3"/>
        <v/>
      </c>
      <c r="V115" s="45" t="str">
        <f t="shared" si="4"/>
        <v/>
      </c>
    </row>
    <row r="116" spans="17:22" x14ac:dyDescent="0.15">
      <c r="Q116" s="45" t="str">
        <f t="shared" si="5"/>
        <v/>
      </c>
      <c r="T116" s="45" t="str">
        <f t="shared" si="3"/>
        <v/>
      </c>
      <c r="V116" s="45" t="str">
        <f t="shared" si="4"/>
        <v/>
      </c>
    </row>
    <row r="117" spans="17:22" x14ac:dyDescent="0.15">
      <c r="Q117" s="45" t="str">
        <f t="shared" si="5"/>
        <v/>
      </c>
      <c r="T117" s="45" t="str">
        <f t="shared" si="3"/>
        <v/>
      </c>
      <c r="V117" s="45" t="str">
        <f t="shared" si="4"/>
        <v/>
      </c>
    </row>
    <row r="118" spans="17:22" x14ac:dyDescent="0.15">
      <c r="Q118" s="45" t="str">
        <f t="shared" si="5"/>
        <v/>
      </c>
      <c r="T118" s="45" t="str">
        <f t="shared" si="3"/>
        <v/>
      </c>
      <c r="V118" s="45" t="str">
        <f t="shared" si="4"/>
        <v/>
      </c>
    </row>
    <row r="119" spans="17:22" x14ac:dyDescent="0.15">
      <c r="Q119" s="45" t="str">
        <f t="shared" si="5"/>
        <v/>
      </c>
      <c r="T119" s="45" t="str">
        <f t="shared" si="3"/>
        <v/>
      </c>
      <c r="V119" s="45" t="str">
        <f t="shared" si="4"/>
        <v/>
      </c>
    </row>
    <row r="120" spans="17:22" x14ac:dyDescent="0.15">
      <c r="Q120" s="45" t="str">
        <f t="shared" si="5"/>
        <v/>
      </c>
      <c r="T120" s="45" t="str">
        <f t="shared" si="3"/>
        <v/>
      </c>
      <c r="V120" s="45" t="str">
        <f t="shared" si="4"/>
        <v/>
      </c>
    </row>
    <row r="121" spans="17:22" x14ac:dyDescent="0.15">
      <c r="Q121" s="45" t="str">
        <f t="shared" si="5"/>
        <v/>
      </c>
      <c r="T121" s="45" t="str">
        <f t="shared" si="3"/>
        <v/>
      </c>
      <c r="V121" s="45" t="str">
        <f t="shared" si="4"/>
        <v/>
      </c>
    </row>
    <row r="122" spans="17:22" x14ac:dyDescent="0.15">
      <c r="Q122" s="45" t="str">
        <f t="shared" si="5"/>
        <v/>
      </c>
      <c r="T122" s="45" t="str">
        <f t="shared" si="3"/>
        <v/>
      </c>
      <c r="V122" s="45" t="str">
        <f t="shared" si="4"/>
        <v/>
      </c>
    </row>
    <row r="123" spans="17:22" x14ac:dyDescent="0.15">
      <c r="Q123" s="45" t="str">
        <f t="shared" si="5"/>
        <v/>
      </c>
      <c r="T123" s="45" t="str">
        <f t="shared" si="3"/>
        <v/>
      </c>
      <c r="V123" s="45" t="str">
        <f t="shared" si="4"/>
        <v/>
      </c>
    </row>
    <row r="124" spans="17:22" x14ac:dyDescent="0.15">
      <c r="Q124" s="45" t="str">
        <f t="shared" si="5"/>
        <v/>
      </c>
      <c r="T124" s="45" t="str">
        <f t="shared" si="3"/>
        <v/>
      </c>
      <c r="V124" s="45" t="str">
        <f t="shared" si="4"/>
        <v/>
      </c>
    </row>
    <row r="125" spans="17:22" x14ac:dyDescent="0.15">
      <c r="Q125" s="45" t="str">
        <f t="shared" si="5"/>
        <v/>
      </c>
      <c r="T125" s="45" t="str">
        <f t="shared" si="3"/>
        <v/>
      </c>
      <c r="V125" s="45" t="str">
        <f t="shared" si="4"/>
        <v/>
      </c>
    </row>
    <row r="126" spans="17:22" x14ac:dyDescent="0.15">
      <c r="Q126" s="45" t="str">
        <f t="shared" si="5"/>
        <v/>
      </c>
      <c r="T126" s="45" t="str">
        <f t="shared" si="3"/>
        <v/>
      </c>
      <c r="V126" s="45" t="str">
        <f t="shared" si="4"/>
        <v/>
      </c>
    </row>
    <row r="127" spans="17:22" x14ac:dyDescent="0.15">
      <c r="Q127" s="45" t="str">
        <f t="shared" si="5"/>
        <v/>
      </c>
      <c r="T127" s="45" t="str">
        <f t="shared" si="3"/>
        <v/>
      </c>
      <c r="V127" s="45" t="str">
        <f t="shared" si="4"/>
        <v/>
      </c>
    </row>
    <row r="128" spans="17:22" x14ac:dyDescent="0.15">
      <c r="Q128" s="45" t="str">
        <f t="shared" si="5"/>
        <v/>
      </c>
      <c r="T128" s="45" t="str">
        <f t="shared" si="3"/>
        <v/>
      </c>
      <c r="V128" s="45" t="str">
        <f t="shared" si="4"/>
        <v/>
      </c>
    </row>
    <row r="129" spans="17:22" x14ac:dyDescent="0.15">
      <c r="Q129" s="45" t="str">
        <f t="shared" si="5"/>
        <v/>
      </c>
      <c r="T129" s="45" t="str">
        <f t="shared" si="3"/>
        <v/>
      </c>
      <c r="V129" s="45" t="str">
        <f t="shared" si="4"/>
        <v/>
      </c>
    </row>
    <row r="130" spans="17:22" x14ac:dyDescent="0.15">
      <c r="Q130" s="45" t="str">
        <f t="shared" si="5"/>
        <v/>
      </c>
      <c r="T130" s="45" t="str">
        <f t="shared" si="3"/>
        <v/>
      </c>
      <c r="V130" s="45" t="str">
        <f t="shared" si="4"/>
        <v/>
      </c>
    </row>
    <row r="131" spans="17:22" x14ac:dyDescent="0.15">
      <c r="Q131" s="45" t="str">
        <f t="shared" si="5"/>
        <v/>
      </c>
      <c r="T131" s="45" t="str">
        <f t="shared" si="3"/>
        <v/>
      </c>
      <c r="V131" s="45" t="str">
        <f t="shared" si="4"/>
        <v/>
      </c>
    </row>
    <row r="132" spans="17:22" x14ac:dyDescent="0.15">
      <c r="Q132" s="45" t="str">
        <f t="shared" si="5"/>
        <v/>
      </c>
      <c r="T132" s="45" t="str">
        <f t="shared" si="3"/>
        <v/>
      </c>
      <c r="V132" s="45" t="str">
        <f t="shared" si="4"/>
        <v/>
      </c>
    </row>
    <row r="133" spans="17:22" x14ac:dyDescent="0.15">
      <c r="Q133" s="45" t="str">
        <f t="shared" si="5"/>
        <v/>
      </c>
      <c r="T133" s="45" t="str">
        <f t="shared" si="3"/>
        <v/>
      </c>
      <c r="V133" s="45" t="str">
        <f t="shared" si="4"/>
        <v/>
      </c>
    </row>
    <row r="134" spans="17:22" x14ac:dyDescent="0.15">
      <c r="Q134" s="45" t="str">
        <f t="shared" si="5"/>
        <v/>
      </c>
      <c r="T134" s="45" t="str">
        <f t="shared" si="3"/>
        <v/>
      </c>
      <c r="V134" s="45" t="str">
        <f t="shared" si="4"/>
        <v/>
      </c>
    </row>
    <row r="135" spans="17:22" x14ac:dyDescent="0.15">
      <c r="Q135" s="45" t="str">
        <f t="shared" si="5"/>
        <v/>
      </c>
      <c r="T135" s="45" t="str">
        <f t="shared" si="3"/>
        <v/>
      </c>
      <c r="V135" s="45" t="str">
        <f t="shared" si="4"/>
        <v/>
      </c>
    </row>
    <row r="136" spans="17:22" x14ac:dyDescent="0.15">
      <c r="Q136" s="45" t="str">
        <f t="shared" si="5"/>
        <v/>
      </c>
      <c r="T136" s="45" t="str">
        <f t="shared" si="3"/>
        <v/>
      </c>
      <c r="V136" s="45" t="str">
        <f t="shared" si="4"/>
        <v/>
      </c>
    </row>
    <row r="137" spans="17:22" x14ac:dyDescent="0.15">
      <c r="Q137" s="45" t="str">
        <f t="shared" si="5"/>
        <v/>
      </c>
      <c r="T137" s="45" t="str">
        <f t="shared" si="3"/>
        <v/>
      </c>
      <c r="V137" s="45" t="str">
        <f t="shared" si="4"/>
        <v/>
      </c>
    </row>
    <row r="138" spans="17:22" x14ac:dyDescent="0.15">
      <c r="Q138" s="45" t="str">
        <f t="shared" si="5"/>
        <v/>
      </c>
      <c r="T138" s="45" t="str">
        <f t="shared" ref="T138:T152" si="7">IF(H138="","",IF(OR(H138="GREEN",H138="GK"),IF(S138&gt;=$AX$2,VLOOKUP(S138,$AX$2:$AY$12,2,1),""),IF(S138&gt;=$AZ$2,VLOOKUP(S138,$AZ$2:$BA$12,2,1),"")))</f>
        <v/>
      </c>
      <c r="V138" s="45" t="str">
        <f t="shared" si="4"/>
        <v/>
      </c>
    </row>
    <row r="139" spans="17:22" x14ac:dyDescent="0.15">
      <c r="Q139" s="45" t="str">
        <f t="shared" si="5"/>
        <v/>
      </c>
      <c r="T139" s="45" t="str">
        <f t="shared" si="7"/>
        <v/>
      </c>
      <c r="V139" s="45" t="str">
        <f t="shared" si="4"/>
        <v/>
      </c>
    </row>
    <row r="140" spans="17:22" x14ac:dyDescent="0.15">
      <c r="Q140" s="45" t="str">
        <f t="shared" si="5"/>
        <v/>
      </c>
      <c r="T140" s="45" t="str">
        <f t="shared" si="7"/>
        <v/>
      </c>
      <c r="V140" s="45" t="str">
        <f t="shared" si="4"/>
        <v/>
      </c>
    </row>
    <row r="141" spans="17:22" x14ac:dyDescent="0.15">
      <c r="Q141" s="45" t="str">
        <f t="shared" si="5"/>
        <v/>
      </c>
      <c r="T141" s="45" t="str">
        <f t="shared" si="7"/>
        <v/>
      </c>
      <c r="V141" s="45" t="str">
        <f t="shared" si="4"/>
        <v/>
      </c>
    </row>
    <row r="142" spans="17:22" x14ac:dyDescent="0.15">
      <c r="Q142" s="45" t="str">
        <f t="shared" si="5"/>
        <v/>
      </c>
      <c r="T142" s="45" t="str">
        <f t="shared" si="7"/>
        <v/>
      </c>
      <c r="V142" s="45" t="str">
        <f t="shared" si="4"/>
        <v/>
      </c>
    </row>
    <row r="143" spans="17:22" x14ac:dyDescent="0.15">
      <c r="Q143" s="45" t="str">
        <f t="shared" si="5"/>
        <v/>
      </c>
      <c r="T143" s="45" t="str">
        <f t="shared" si="7"/>
        <v/>
      </c>
      <c r="V143" s="45" t="str">
        <f t="shared" si="4"/>
        <v/>
      </c>
    </row>
    <row r="144" spans="17:22" x14ac:dyDescent="0.15">
      <c r="Q144" s="45" t="str">
        <f t="shared" si="5"/>
        <v/>
      </c>
      <c r="T144" s="45" t="str">
        <f t="shared" si="7"/>
        <v/>
      </c>
      <c r="V144" s="45" t="str">
        <f t="shared" si="4"/>
        <v/>
      </c>
    </row>
    <row r="145" spans="17:22" x14ac:dyDescent="0.15">
      <c r="Q145" s="45" t="str">
        <f t="shared" si="5"/>
        <v/>
      </c>
      <c r="T145" s="45" t="str">
        <f t="shared" si="7"/>
        <v/>
      </c>
      <c r="V145" s="45" t="str">
        <f t="shared" si="4"/>
        <v/>
      </c>
    </row>
    <row r="146" spans="17:22" x14ac:dyDescent="0.15">
      <c r="Q146" s="45" t="str">
        <f t="shared" si="5"/>
        <v/>
      </c>
      <c r="T146" s="45" t="str">
        <f t="shared" si="7"/>
        <v/>
      </c>
      <c r="V146" s="45" t="str">
        <f t="shared" si="4"/>
        <v/>
      </c>
    </row>
    <row r="147" spans="17:22" x14ac:dyDescent="0.15">
      <c r="Q147" s="45" t="str">
        <f t="shared" si="5"/>
        <v/>
      </c>
      <c r="T147" s="45" t="str">
        <f t="shared" si="7"/>
        <v/>
      </c>
      <c r="V147" s="45" t="str">
        <f t="shared" si="4"/>
        <v/>
      </c>
    </row>
    <row r="148" spans="17:22" x14ac:dyDescent="0.15">
      <c r="Q148" s="45" t="str">
        <f t="shared" si="5"/>
        <v/>
      </c>
      <c r="T148" s="45" t="str">
        <f t="shared" si="7"/>
        <v/>
      </c>
      <c r="V148" s="45" t="str">
        <f t="shared" si="4"/>
        <v/>
      </c>
    </row>
    <row r="149" spans="17:22" x14ac:dyDescent="0.15">
      <c r="Q149" s="45" t="str">
        <f t="shared" si="5"/>
        <v/>
      </c>
      <c r="T149" s="45" t="str">
        <f t="shared" si="7"/>
        <v/>
      </c>
      <c r="V149" s="45" t="str">
        <f t="shared" si="4"/>
        <v/>
      </c>
    </row>
    <row r="150" spans="17:22" x14ac:dyDescent="0.15">
      <c r="Q150" s="45" t="str">
        <f t="shared" si="5"/>
        <v/>
      </c>
      <c r="T150" s="45" t="str">
        <f t="shared" si="7"/>
        <v/>
      </c>
      <c r="V150" s="45" t="str">
        <f t="shared" si="4"/>
        <v/>
      </c>
    </row>
    <row r="151" spans="17:22" x14ac:dyDescent="0.15">
      <c r="Q151" s="45" t="str">
        <f t="shared" ref="Q151:Q152" si="8">IF(OR(O151="",P151=""),"",AVERAGE(O151,P151))</f>
        <v/>
      </c>
      <c r="T151" s="45" t="str">
        <f t="shared" si="7"/>
        <v/>
      </c>
      <c r="V151" s="45" t="str">
        <f t="shared" si="4"/>
        <v/>
      </c>
    </row>
    <row r="152" spans="17:22" x14ac:dyDescent="0.15">
      <c r="Q152" s="45" t="str">
        <f t="shared" si="8"/>
        <v/>
      </c>
      <c r="T152" s="45" t="str">
        <f t="shared" si="7"/>
        <v/>
      </c>
      <c r="V152" s="45" t="str">
        <f t="shared" si="4"/>
        <v/>
      </c>
    </row>
  </sheetData>
  <autoFilter ref="A1:BA152" xr:uid="{00000000-0009-0000-0000-000005000000}"/>
  <phoneticPr fontId="3"/>
  <dataValidations count="19">
    <dataValidation type="list" allowBlank="1" showInputMessage="1" showErrorMessage="1" sqref="H2:H1307" xr:uid="{4B55A7ED-2284-4966-BA60-887DCB40DB13}">
      <formula1>$AL$2:$AL$9</formula1>
    </dataValidation>
    <dataValidation type="list" allowBlank="1" showInputMessage="1" showErrorMessage="1" sqref="K2:K434" xr:uid="{215DBB6B-4D3A-4F4F-AC96-16BF84DC02AB}">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xr:uid="{49679B3D-EE9F-4F85-B1E5-9429DBE035D6}">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80:J492" xr:uid="{FE7D528E-52C3-4E92-A91D-E7F14B704FA7}">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FB486B44-AABE-414A-BCE0-48C6054D128F}">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11F9C745-635D-4ADC-A36B-643A5B543F54}">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4B05A8C9-EFA4-48D4-A96D-B9F1BDA75F78}">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5F2632E6-6E54-41BD-BEE1-312072A59295}">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72FEEAF9-69D0-4B07-ACC2-BF3843133FDF}">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66ABEC16-E882-4252-A0E9-A4CA53B2CCA7}">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415952E0-B9C1-489E-A2DA-D6EB7A5594A6}">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FCFD1A92-62D9-4C4A-BEE0-381327E3EAA4}">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C82F4D52-90C7-4A2D-86E7-178ACF4530E1}">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74DDC1FF-D267-46EB-859C-6F1DBD212E45}">
      <formula1>#REF!</formula1>
    </dataValidation>
    <dataValidation type="list" allowBlank="1" showInputMessage="1" showErrorMessage="1" sqref="E2:E492" xr:uid="{D51A1BAA-B7EE-48C0-96C3-E3AE479CD454}">
      <formula1>$AG$2:$AG$11</formula1>
    </dataValidation>
    <dataValidation type="decimal" allowBlank="1" showInputMessage="1" showErrorMessage="1" error="硬度を正しく入力して下さい。" sqref="O2:P492" xr:uid="{389330DF-8A26-4705-A0BB-744098C3878B}">
      <formula1>0</formula1>
      <formula2>7</formula2>
    </dataValidation>
    <dataValidation type="list" allowBlank="1" showInputMessage="1" showErrorMessage="1" sqref="F2:F1446" xr:uid="{03573BC5-6DA6-438D-8E0F-C90EC39E3770}">
      <formula1>$AH$2:$AH$11</formula1>
    </dataValidation>
    <dataValidation type="list" allowBlank="1" showInputMessage="1" showErrorMessage="1" sqref="AC38 Y2:AA583" xr:uid="{2736C2FB-713D-4764-BF0A-4C188AAEDACA}">
      <formula1>$AV$2:$AV$38</formula1>
    </dataValidation>
    <dataValidation type="list" allowBlank="1" showInputMessage="1" showErrorMessage="1" sqref="J2:J79" xr:uid="{F9EBCAEE-B673-427D-86FC-928FA4B5CB68}">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262C-4836-498C-B4DB-6B9BD8EA2053}">
  <dimension ref="A1:BA1317"/>
  <sheetViews>
    <sheetView zoomScale="70" zoomScaleNormal="70" zoomScaleSheetLayoutView="100" workbookViewId="0">
      <pane ySplit="1" topLeftCell="A2" activePane="bottomLeft" state="frozen"/>
      <selection pane="bottomLeft" activeCell="A2" sqref="A2"/>
    </sheetView>
  </sheetViews>
  <sheetFormatPr defaultColWidth="9" defaultRowHeight="13.5" x14ac:dyDescent="0.15"/>
  <cols>
    <col min="1" max="3" width="9" style="39"/>
    <col min="4" max="4" width="10.5" style="39" bestFit="1" customWidth="1"/>
    <col min="5" max="16" width="9" style="39"/>
    <col min="17" max="17" width="9" style="45"/>
    <col min="18" max="19" width="9" style="39"/>
    <col min="20" max="20" width="9" style="45"/>
    <col min="21" max="21" width="9" style="39"/>
    <col min="22" max="22" width="9" style="45"/>
    <col min="23" max="32" width="9" style="39"/>
    <col min="33" max="33" width="16.875" style="39" bestFit="1" customWidth="1"/>
    <col min="34" max="34" width="15.625" style="39" customWidth="1"/>
    <col min="35" max="39" width="9" style="22"/>
    <col min="40" max="16384" width="9" style="39"/>
  </cols>
  <sheetData>
    <row r="1" spans="1:53" ht="45" x14ac:dyDescent="0.15">
      <c r="A1" s="58" t="s">
        <v>0</v>
      </c>
      <c r="B1" s="74" t="s">
        <v>1</v>
      </c>
      <c r="C1" s="74" t="s">
        <v>2</v>
      </c>
      <c r="D1" s="72" t="s">
        <v>3</v>
      </c>
      <c r="E1" s="59" t="s">
        <v>4</v>
      </c>
      <c r="F1" s="59" t="s">
        <v>344</v>
      </c>
      <c r="G1" s="59" t="s">
        <v>6</v>
      </c>
      <c r="H1" s="59" t="s">
        <v>7</v>
      </c>
      <c r="I1" s="59" t="s">
        <v>8</v>
      </c>
      <c r="J1" s="59" t="s">
        <v>9</v>
      </c>
      <c r="K1" s="83" t="s">
        <v>10</v>
      </c>
      <c r="L1" s="72" t="s">
        <v>11</v>
      </c>
      <c r="M1" s="72" t="s">
        <v>12</v>
      </c>
      <c r="N1" s="72" t="s">
        <v>13</v>
      </c>
      <c r="O1" s="72" t="s">
        <v>14</v>
      </c>
      <c r="P1" s="72" t="s">
        <v>15</v>
      </c>
      <c r="Q1" s="37" t="s">
        <v>16</v>
      </c>
      <c r="R1" s="72" t="s">
        <v>17</v>
      </c>
      <c r="S1" s="72" t="s">
        <v>18</v>
      </c>
      <c r="T1" s="37" t="s">
        <v>19</v>
      </c>
      <c r="U1" s="73" t="s">
        <v>108</v>
      </c>
      <c r="V1" s="38" t="s">
        <v>20</v>
      </c>
      <c r="W1" s="72" t="s">
        <v>21</v>
      </c>
      <c r="X1" s="59" t="s">
        <v>22</v>
      </c>
      <c r="Y1" s="59" t="s">
        <v>23</v>
      </c>
      <c r="Z1" s="59" t="s">
        <v>24</v>
      </c>
      <c r="AA1" s="60" t="s">
        <v>25</v>
      </c>
      <c r="AB1" s="71" t="s">
        <v>26</v>
      </c>
      <c r="AE1" s="70" t="s">
        <v>0</v>
      </c>
      <c r="AF1" s="69"/>
      <c r="AG1" s="70" t="s">
        <v>4</v>
      </c>
      <c r="AH1" s="70" t="s">
        <v>5</v>
      </c>
      <c r="AI1" s="84"/>
      <c r="AJ1" s="34" t="s">
        <v>6</v>
      </c>
      <c r="AK1" s="84"/>
      <c r="AL1" s="35" t="s">
        <v>7</v>
      </c>
      <c r="AM1" s="84"/>
      <c r="AN1" s="40" t="s">
        <v>8</v>
      </c>
      <c r="AO1" s="69"/>
      <c r="AP1" s="40" t="s">
        <v>27</v>
      </c>
      <c r="AQ1" s="69"/>
      <c r="AR1" s="40" t="s">
        <v>10</v>
      </c>
      <c r="AS1" s="69"/>
      <c r="AT1" s="41" t="s">
        <v>28</v>
      </c>
      <c r="AU1" s="69"/>
      <c r="AV1" s="40" t="s">
        <v>29</v>
      </c>
      <c r="AX1" s="42" t="s">
        <v>30</v>
      </c>
      <c r="AY1" s="43" t="s">
        <v>31</v>
      </c>
      <c r="AZ1" s="43" t="s">
        <v>32</v>
      </c>
      <c r="BA1" s="44" t="s">
        <v>33</v>
      </c>
    </row>
    <row r="2" spans="1:53" x14ac:dyDescent="0.15">
      <c r="A2" s="39" t="s">
        <v>34</v>
      </c>
      <c r="B2" s="39" t="s">
        <v>337</v>
      </c>
      <c r="C2" s="39">
        <v>2020</v>
      </c>
      <c r="D2" s="85" t="s">
        <v>345</v>
      </c>
      <c r="E2" s="39" t="s">
        <v>346</v>
      </c>
      <c r="F2" s="39" t="s">
        <v>330</v>
      </c>
      <c r="G2" s="39" t="s">
        <v>36</v>
      </c>
      <c r="H2" s="39" t="s">
        <v>146</v>
      </c>
      <c r="I2" s="39" t="s">
        <v>142</v>
      </c>
      <c r="J2" s="39" t="s">
        <v>38</v>
      </c>
      <c r="K2" s="39" t="s">
        <v>143</v>
      </c>
      <c r="L2" s="39">
        <v>1</v>
      </c>
      <c r="N2" s="39">
        <v>1</v>
      </c>
      <c r="O2" s="39">
        <v>1.35</v>
      </c>
      <c r="P2" s="39">
        <v>1.3</v>
      </c>
      <c r="Q2" s="61">
        <f t="shared" ref="Q2:Q65" si="0">IF(OR(O2="",P2=""),"",AVERAGE(O2,P2))</f>
        <v>1.3250000000000002</v>
      </c>
      <c r="R2" s="39">
        <v>15.1</v>
      </c>
      <c r="S2" s="39">
        <v>114.5</v>
      </c>
      <c r="T2" s="45">
        <f t="shared" ref="T2:T65" si="1">IF(H2="","",IF(OR(H2="GREEN",H2="GK"),IF(S2&gt;=$AX$2,VLOOKUP(S2,$AX$2:$AY$7,2,1),""),IF(S2&gt;=$AZ$2,VLOOKUP(S2,$AZ$2:$BA$7,2,1),"")))</f>
        <v>30</v>
      </c>
      <c r="U2" s="39">
        <v>149</v>
      </c>
      <c r="V2" s="45">
        <f t="shared" ref="V2:V65" si="2">IF(OR(N2="",U2="",T2=""),"",U2/N2*T2)</f>
        <v>4470</v>
      </c>
      <c r="W2" s="39">
        <v>6</v>
      </c>
      <c r="X2" s="39" t="s">
        <v>46</v>
      </c>
      <c r="Y2" s="39" t="s">
        <v>47</v>
      </c>
      <c r="Z2" s="39" t="s">
        <v>69</v>
      </c>
      <c r="AA2" s="39" t="s">
        <v>55</v>
      </c>
      <c r="AB2" s="39" t="s">
        <v>335</v>
      </c>
      <c r="AE2" s="68" t="s">
        <v>35</v>
      </c>
      <c r="AG2" s="47" t="s">
        <v>348</v>
      </c>
      <c r="AH2" s="86" t="s">
        <v>349</v>
      </c>
      <c r="AI2" s="39"/>
      <c r="AJ2" s="62" t="s">
        <v>36</v>
      </c>
      <c r="AK2" s="39"/>
      <c r="AL2" s="80" t="s">
        <v>127</v>
      </c>
      <c r="AM2" s="39"/>
      <c r="AN2" s="62" t="s">
        <v>37</v>
      </c>
      <c r="AP2" s="62" t="s">
        <v>38</v>
      </c>
      <c r="AR2" s="62" t="s">
        <v>120</v>
      </c>
      <c r="AT2" s="62" t="s">
        <v>39</v>
      </c>
      <c r="AV2" s="62" t="s">
        <v>40</v>
      </c>
      <c r="AX2" s="31">
        <v>1</v>
      </c>
      <c r="AY2" s="32">
        <v>50</v>
      </c>
      <c r="AZ2" s="32">
        <v>1</v>
      </c>
      <c r="BA2" s="33">
        <v>50</v>
      </c>
    </row>
    <row r="3" spans="1:53" x14ac:dyDescent="0.15">
      <c r="A3" s="39" t="s">
        <v>34</v>
      </c>
      <c r="B3" s="39" t="s">
        <v>337</v>
      </c>
      <c r="C3" s="39">
        <v>2020</v>
      </c>
      <c r="D3" s="85" t="s">
        <v>345</v>
      </c>
      <c r="E3" s="39" t="s">
        <v>346</v>
      </c>
      <c r="F3" s="39" t="s">
        <v>330</v>
      </c>
      <c r="G3" s="39" t="s">
        <v>36</v>
      </c>
      <c r="H3" s="39" t="s">
        <v>134</v>
      </c>
      <c r="I3" s="39" t="s">
        <v>142</v>
      </c>
      <c r="J3" s="39" t="s">
        <v>38</v>
      </c>
      <c r="K3" s="39" t="s">
        <v>143</v>
      </c>
      <c r="L3" s="39">
        <v>2</v>
      </c>
      <c r="N3" s="39">
        <v>1</v>
      </c>
      <c r="O3" s="39">
        <v>0.9</v>
      </c>
      <c r="P3" s="39">
        <v>1.1000000000000001</v>
      </c>
      <c r="Q3" s="61">
        <f t="shared" si="0"/>
        <v>1</v>
      </c>
      <c r="R3" s="39">
        <v>15.7</v>
      </c>
      <c r="S3" s="39">
        <v>106.5</v>
      </c>
      <c r="T3" s="45">
        <f t="shared" si="1"/>
        <v>33</v>
      </c>
      <c r="U3" s="39">
        <v>149</v>
      </c>
      <c r="V3" s="45">
        <f t="shared" si="2"/>
        <v>4917</v>
      </c>
      <c r="W3" s="39">
        <v>6</v>
      </c>
      <c r="X3" s="39" t="s">
        <v>46</v>
      </c>
      <c r="Y3" s="39" t="s">
        <v>47</v>
      </c>
      <c r="Z3" s="39" t="s">
        <v>69</v>
      </c>
      <c r="AA3" s="39" t="s">
        <v>55</v>
      </c>
      <c r="AB3" s="39" t="s">
        <v>335</v>
      </c>
      <c r="AE3" s="46" t="s">
        <v>41</v>
      </c>
      <c r="AG3" s="47" t="s">
        <v>350</v>
      </c>
      <c r="AH3" s="86" t="s">
        <v>351</v>
      </c>
      <c r="AI3" s="39"/>
      <c r="AJ3" s="47" t="s">
        <v>42</v>
      </c>
      <c r="AK3" s="39"/>
      <c r="AL3" s="47" t="s">
        <v>128</v>
      </c>
      <c r="AM3" s="39"/>
      <c r="AN3" s="47" t="s">
        <v>43</v>
      </c>
      <c r="AP3" s="47" t="s">
        <v>44</v>
      </c>
      <c r="AR3" s="47" t="s">
        <v>45</v>
      </c>
      <c r="AT3" s="47" t="s">
        <v>46</v>
      </c>
      <c r="AV3" s="47" t="s">
        <v>47</v>
      </c>
      <c r="AX3" s="48">
        <v>72</v>
      </c>
      <c r="AY3" s="49">
        <v>46</v>
      </c>
      <c r="AZ3" s="49">
        <v>71</v>
      </c>
      <c r="BA3" s="50">
        <v>42</v>
      </c>
    </row>
    <row r="4" spans="1:53" x14ac:dyDescent="0.15">
      <c r="A4" s="39" t="s">
        <v>34</v>
      </c>
      <c r="B4" s="39" t="s">
        <v>337</v>
      </c>
      <c r="C4" s="39">
        <v>2020</v>
      </c>
      <c r="D4" s="85" t="s">
        <v>345</v>
      </c>
      <c r="E4" s="39" t="s">
        <v>346</v>
      </c>
      <c r="F4" s="39" t="s">
        <v>330</v>
      </c>
      <c r="G4" s="39" t="s">
        <v>36</v>
      </c>
      <c r="H4" s="39" t="s">
        <v>146</v>
      </c>
      <c r="I4" s="39" t="s">
        <v>142</v>
      </c>
      <c r="J4" s="39" t="s">
        <v>38</v>
      </c>
      <c r="K4" s="39" t="s">
        <v>143</v>
      </c>
      <c r="L4" s="39">
        <v>3</v>
      </c>
      <c r="N4" s="39">
        <v>1</v>
      </c>
      <c r="O4" s="39">
        <v>1.3</v>
      </c>
      <c r="P4" s="39">
        <v>1.25</v>
      </c>
      <c r="Q4" s="61">
        <f>IF(OR(O4="",P4=""),"",AVERAGE(O4,P4))</f>
        <v>1.2749999999999999</v>
      </c>
      <c r="R4" s="39">
        <v>15.3</v>
      </c>
      <c r="S4" s="39">
        <v>112</v>
      </c>
      <c r="T4" s="45">
        <f t="shared" si="1"/>
        <v>33</v>
      </c>
      <c r="U4" s="39">
        <v>149</v>
      </c>
      <c r="V4" s="45">
        <f t="shared" si="2"/>
        <v>4917</v>
      </c>
      <c r="W4" s="39">
        <v>6</v>
      </c>
      <c r="X4" s="39" t="s">
        <v>46</v>
      </c>
      <c r="Y4" s="39" t="s">
        <v>47</v>
      </c>
      <c r="Z4" s="39" t="s">
        <v>69</v>
      </c>
      <c r="AA4" s="39" t="s">
        <v>55</v>
      </c>
      <c r="AB4" s="39" t="s">
        <v>335</v>
      </c>
      <c r="AE4" s="46" t="s">
        <v>34</v>
      </c>
      <c r="AG4" s="47" t="s">
        <v>352</v>
      </c>
      <c r="AH4" s="86" t="s">
        <v>353</v>
      </c>
      <c r="AI4" s="39"/>
      <c r="AJ4" s="51" t="s">
        <v>48</v>
      </c>
      <c r="AK4" s="39"/>
      <c r="AL4" s="47" t="s">
        <v>150</v>
      </c>
      <c r="AM4" s="39"/>
      <c r="AN4" s="52" t="s">
        <v>49</v>
      </c>
      <c r="AP4" s="47" t="s">
        <v>93</v>
      </c>
      <c r="AR4" s="47" t="s">
        <v>121</v>
      </c>
      <c r="AT4" s="52"/>
      <c r="AV4" s="47" t="s">
        <v>50</v>
      </c>
      <c r="AX4" s="48">
        <v>75</v>
      </c>
      <c r="AY4" s="49">
        <v>42</v>
      </c>
      <c r="AZ4" s="49">
        <v>76</v>
      </c>
      <c r="BA4" s="50">
        <v>39</v>
      </c>
    </row>
    <row r="5" spans="1:53" x14ac:dyDescent="0.15">
      <c r="A5" s="39" t="s">
        <v>34</v>
      </c>
      <c r="B5" s="39" t="s">
        <v>337</v>
      </c>
      <c r="C5" s="39">
        <v>2020</v>
      </c>
      <c r="D5" s="85" t="s">
        <v>345</v>
      </c>
      <c r="E5" s="39" t="s">
        <v>346</v>
      </c>
      <c r="F5" s="39" t="s">
        <v>330</v>
      </c>
      <c r="G5" s="39" t="s">
        <v>36</v>
      </c>
      <c r="H5" s="39" t="s">
        <v>146</v>
      </c>
      <c r="I5" s="39" t="s">
        <v>142</v>
      </c>
      <c r="J5" s="39" t="s">
        <v>38</v>
      </c>
      <c r="K5" s="39" t="s">
        <v>143</v>
      </c>
      <c r="L5" s="39">
        <v>1</v>
      </c>
      <c r="N5" s="39">
        <v>4</v>
      </c>
      <c r="O5" s="39">
        <v>0.75</v>
      </c>
      <c r="P5" s="39">
        <v>0.7</v>
      </c>
      <c r="Q5" s="61">
        <f t="shared" si="0"/>
        <v>0.72499999999999998</v>
      </c>
      <c r="R5" s="39">
        <v>15.1</v>
      </c>
      <c r="S5" s="39">
        <v>97.5</v>
      </c>
      <c r="T5" s="45">
        <f t="shared" si="1"/>
        <v>36</v>
      </c>
      <c r="U5" s="39">
        <v>537</v>
      </c>
      <c r="V5" s="45">
        <f t="shared" si="2"/>
        <v>4833</v>
      </c>
      <c r="W5" s="39">
        <v>6</v>
      </c>
      <c r="X5" s="39" t="s">
        <v>46</v>
      </c>
      <c r="Y5" s="39" t="s">
        <v>47</v>
      </c>
      <c r="Z5" s="39" t="s">
        <v>69</v>
      </c>
      <c r="AA5" s="39" t="s">
        <v>55</v>
      </c>
      <c r="AB5" s="39" t="s">
        <v>335</v>
      </c>
      <c r="AE5" s="46" t="s">
        <v>51</v>
      </c>
      <c r="AG5" s="47" t="s">
        <v>354</v>
      </c>
      <c r="AH5" s="86" t="s">
        <v>355</v>
      </c>
      <c r="AI5" s="39"/>
      <c r="AJ5" s="52"/>
      <c r="AK5" s="39"/>
      <c r="AL5" s="47" t="s">
        <v>66</v>
      </c>
      <c r="AM5" s="39"/>
      <c r="AN5" s="27" t="s">
        <v>52</v>
      </c>
      <c r="AP5" s="47" t="s">
        <v>151</v>
      </c>
      <c r="AR5" s="47" t="s">
        <v>54</v>
      </c>
      <c r="AV5" s="47" t="s">
        <v>55</v>
      </c>
      <c r="AX5" s="48">
        <v>84</v>
      </c>
      <c r="AY5" s="49">
        <v>39</v>
      </c>
      <c r="AZ5" s="49">
        <v>84</v>
      </c>
      <c r="BA5" s="50">
        <v>36</v>
      </c>
    </row>
    <row r="6" spans="1:53" x14ac:dyDescent="0.15">
      <c r="A6" s="39" t="s">
        <v>34</v>
      </c>
      <c r="B6" s="39" t="s">
        <v>337</v>
      </c>
      <c r="C6" s="39">
        <v>2020</v>
      </c>
      <c r="D6" s="85" t="s">
        <v>345</v>
      </c>
      <c r="E6" s="39" t="s">
        <v>346</v>
      </c>
      <c r="F6" s="39" t="s">
        <v>330</v>
      </c>
      <c r="G6" s="39" t="s">
        <v>36</v>
      </c>
      <c r="H6" s="39" t="s">
        <v>146</v>
      </c>
      <c r="I6" s="39" t="s">
        <v>142</v>
      </c>
      <c r="J6" s="39" t="s">
        <v>38</v>
      </c>
      <c r="K6" s="39" t="s">
        <v>143</v>
      </c>
      <c r="L6" s="39">
        <v>2</v>
      </c>
      <c r="N6" s="39">
        <v>4</v>
      </c>
      <c r="O6" s="39">
        <v>0.75</v>
      </c>
      <c r="P6" s="39">
        <v>0.7</v>
      </c>
      <c r="Q6" s="61">
        <f t="shared" si="0"/>
        <v>0.72499999999999998</v>
      </c>
      <c r="R6" s="39">
        <v>16.7</v>
      </c>
      <c r="S6" s="39">
        <v>100.5</v>
      </c>
      <c r="T6" s="45">
        <f t="shared" si="1"/>
        <v>33</v>
      </c>
      <c r="U6" s="39">
        <v>537</v>
      </c>
      <c r="V6" s="45">
        <f t="shared" si="2"/>
        <v>4430.25</v>
      </c>
      <c r="W6" s="39">
        <v>6</v>
      </c>
      <c r="X6" s="39" t="s">
        <v>46</v>
      </c>
      <c r="Y6" s="39" t="s">
        <v>47</v>
      </c>
      <c r="Z6" s="39" t="s">
        <v>69</v>
      </c>
      <c r="AA6" s="39" t="s">
        <v>55</v>
      </c>
      <c r="AB6" s="39" t="s">
        <v>335</v>
      </c>
      <c r="AE6" s="46" t="s">
        <v>56</v>
      </c>
      <c r="AG6" s="47" t="s">
        <v>356</v>
      </c>
      <c r="AH6" s="86" t="s">
        <v>357</v>
      </c>
      <c r="AI6" s="39"/>
      <c r="AJ6" s="39"/>
      <c r="AK6" s="39"/>
      <c r="AL6" s="47" t="s">
        <v>99</v>
      </c>
      <c r="AM6" s="39"/>
      <c r="AN6" s="27" t="s">
        <v>57</v>
      </c>
      <c r="AP6" s="47" t="s">
        <v>53</v>
      </c>
      <c r="AR6" s="47" t="s">
        <v>59</v>
      </c>
      <c r="AV6" s="47" t="s">
        <v>60</v>
      </c>
      <c r="AX6" s="48">
        <v>97</v>
      </c>
      <c r="AY6" s="49">
        <v>36</v>
      </c>
      <c r="AZ6" s="49">
        <v>99</v>
      </c>
      <c r="BA6" s="50">
        <v>33</v>
      </c>
    </row>
    <row r="7" spans="1:53" x14ac:dyDescent="0.15">
      <c r="A7" s="39" t="s">
        <v>34</v>
      </c>
      <c r="B7" s="39" t="s">
        <v>337</v>
      </c>
      <c r="C7" s="39">
        <v>2020</v>
      </c>
      <c r="D7" s="85" t="s">
        <v>345</v>
      </c>
      <c r="E7" s="39" t="s">
        <v>346</v>
      </c>
      <c r="F7" s="39" t="s">
        <v>330</v>
      </c>
      <c r="G7" s="39" t="s">
        <v>36</v>
      </c>
      <c r="H7" s="39" t="s">
        <v>146</v>
      </c>
      <c r="I7" s="39" t="s">
        <v>142</v>
      </c>
      <c r="J7" s="39" t="s">
        <v>38</v>
      </c>
      <c r="K7" s="39" t="s">
        <v>143</v>
      </c>
      <c r="L7" s="39">
        <v>3</v>
      </c>
      <c r="N7" s="39">
        <v>4</v>
      </c>
      <c r="O7" s="39">
        <v>0.8</v>
      </c>
      <c r="P7" s="39">
        <v>0.75</v>
      </c>
      <c r="Q7" s="61">
        <f t="shared" si="0"/>
        <v>0.77500000000000002</v>
      </c>
      <c r="R7" s="39">
        <v>15.2</v>
      </c>
      <c r="S7" s="39">
        <v>101.5</v>
      </c>
      <c r="T7" s="45">
        <f t="shared" si="1"/>
        <v>33</v>
      </c>
      <c r="U7" s="39">
        <v>537</v>
      </c>
      <c r="V7" s="45">
        <f t="shared" si="2"/>
        <v>4430.25</v>
      </c>
      <c r="W7" s="39">
        <v>6</v>
      </c>
      <c r="X7" s="39" t="s">
        <v>46</v>
      </c>
      <c r="Y7" s="39" t="s">
        <v>47</v>
      </c>
      <c r="Z7" s="39" t="s">
        <v>69</v>
      </c>
      <c r="AA7" s="39" t="s">
        <v>55</v>
      </c>
      <c r="AB7" s="39" t="s">
        <v>335</v>
      </c>
      <c r="AE7" s="46" t="s">
        <v>61</v>
      </c>
      <c r="AG7" s="47" t="s">
        <v>358</v>
      </c>
      <c r="AH7" s="86" t="s">
        <v>355</v>
      </c>
      <c r="AI7" s="39"/>
      <c r="AJ7" s="39"/>
      <c r="AK7" s="39"/>
      <c r="AL7" s="65" t="s">
        <v>109</v>
      </c>
      <c r="AM7" s="39"/>
      <c r="AP7" s="47" t="s">
        <v>58</v>
      </c>
      <c r="AR7" s="47" t="s">
        <v>122</v>
      </c>
      <c r="AV7" s="47" t="s">
        <v>64</v>
      </c>
      <c r="AX7" s="48">
        <v>109</v>
      </c>
      <c r="AY7" s="49">
        <v>33</v>
      </c>
      <c r="AZ7" s="49">
        <v>113</v>
      </c>
      <c r="BA7" s="50">
        <v>30</v>
      </c>
    </row>
    <row r="8" spans="1:53" x14ac:dyDescent="0.15">
      <c r="A8" s="39" t="s">
        <v>34</v>
      </c>
      <c r="B8" s="39" t="s">
        <v>337</v>
      </c>
      <c r="C8" s="39">
        <v>2020</v>
      </c>
      <c r="D8" s="85" t="s">
        <v>345</v>
      </c>
      <c r="E8" s="39" t="s">
        <v>346</v>
      </c>
      <c r="F8" s="39" t="s">
        <v>330</v>
      </c>
      <c r="G8" s="39" t="s">
        <v>36</v>
      </c>
      <c r="H8" s="39" t="s">
        <v>146</v>
      </c>
      <c r="I8" s="39" t="s">
        <v>142</v>
      </c>
      <c r="J8" s="39" t="s">
        <v>38</v>
      </c>
      <c r="K8" s="39" t="s">
        <v>143</v>
      </c>
      <c r="L8" s="39">
        <v>1</v>
      </c>
      <c r="N8" s="39">
        <v>8</v>
      </c>
      <c r="O8" s="39">
        <v>1.68</v>
      </c>
      <c r="P8" s="39">
        <v>0.95</v>
      </c>
      <c r="Q8" s="61">
        <f t="shared" si="0"/>
        <v>1.3149999999999999</v>
      </c>
      <c r="R8" s="39">
        <v>15.3</v>
      </c>
      <c r="S8" s="39">
        <v>99</v>
      </c>
      <c r="T8" s="45">
        <f t="shared" si="1"/>
        <v>33</v>
      </c>
      <c r="U8" s="39">
        <v>1058</v>
      </c>
      <c r="V8" s="45">
        <f t="shared" si="2"/>
        <v>4364.25</v>
      </c>
      <c r="W8" s="39">
        <v>6</v>
      </c>
      <c r="X8" s="39" t="s">
        <v>46</v>
      </c>
      <c r="Y8" s="39" t="s">
        <v>47</v>
      </c>
      <c r="Z8" s="39" t="s">
        <v>69</v>
      </c>
      <c r="AA8" s="39" t="s">
        <v>55</v>
      </c>
      <c r="AB8" s="39" t="s">
        <v>335</v>
      </c>
      <c r="AE8" s="46" t="s">
        <v>59</v>
      </c>
      <c r="AG8" s="47" t="s">
        <v>359</v>
      </c>
      <c r="AH8" s="86" t="s">
        <v>355</v>
      </c>
      <c r="AI8" s="39"/>
      <c r="AJ8" s="39"/>
      <c r="AK8" s="39"/>
      <c r="AL8" s="65" t="s">
        <v>134</v>
      </c>
      <c r="AM8" s="39"/>
      <c r="AP8" s="47" t="s">
        <v>62</v>
      </c>
      <c r="AR8" s="47" t="s">
        <v>81</v>
      </c>
      <c r="AV8" s="47" t="s">
        <v>97</v>
      </c>
      <c r="AX8" s="48">
        <v>151</v>
      </c>
      <c r="AY8" s="49">
        <v>22</v>
      </c>
      <c r="AZ8" s="49">
        <v>152</v>
      </c>
      <c r="BA8" s="50">
        <v>18</v>
      </c>
    </row>
    <row r="9" spans="1:53" x14ac:dyDescent="0.15">
      <c r="A9" s="39" t="s">
        <v>34</v>
      </c>
      <c r="B9" s="39" t="s">
        <v>337</v>
      </c>
      <c r="C9" s="39">
        <v>2020</v>
      </c>
      <c r="D9" s="85" t="s">
        <v>345</v>
      </c>
      <c r="E9" s="39" t="s">
        <v>346</v>
      </c>
      <c r="F9" s="39" t="s">
        <v>330</v>
      </c>
      <c r="G9" s="39" t="s">
        <v>36</v>
      </c>
      <c r="H9" s="39" t="s">
        <v>411</v>
      </c>
      <c r="I9" s="39" t="s">
        <v>142</v>
      </c>
      <c r="J9" s="39" t="s">
        <v>38</v>
      </c>
      <c r="K9" s="39" t="s">
        <v>143</v>
      </c>
      <c r="L9" s="39">
        <v>2</v>
      </c>
      <c r="N9" s="39">
        <v>8</v>
      </c>
      <c r="O9" s="39">
        <v>1.1000000000000001</v>
      </c>
      <c r="P9" s="39">
        <v>1.25</v>
      </c>
      <c r="Q9" s="61">
        <f t="shared" si="0"/>
        <v>1.175</v>
      </c>
      <c r="R9" s="39">
        <v>15</v>
      </c>
      <c r="S9" s="39">
        <v>105.5</v>
      </c>
      <c r="T9" s="45">
        <f t="shared" si="1"/>
        <v>33</v>
      </c>
      <c r="U9" s="39">
        <v>1058</v>
      </c>
      <c r="V9" s="45">
        <f t="shared" si="2"/>
        <v>4364.25</v>
      </c>
      <c r="W9" s="39">
        <v>6</v>
      </c>
      <c r="X9" s="39" t="s">
        <v>46</v>
      </c>
      <c r="Y9" s="39" t="s">
        <v>47</v>
      </c>
      <c r="Z9" s="39" t="s">
        <v>69</v>
      </c>
      <c r="AA9" s="39" t="s">
        <v>55</v>
      </c>
      <c r="AB9" s="39" t="s">
        <v>335</v>
      </c>
      <c r="AE9" s="46" t="s">
        <v>98</v>
      </c>
      <c r="AG9" s="47" t="s">
        <v>360</v>
      </c>
      <c r="AH9" s="47" t="s">
        <v>355</v>
      </c>
      <c r="AI9" s="39"/>
      <c r="AJ9" s="39"/>
      <c r="AK9" s="39"/>
      <c r="AL9" s="47" t="s">
        <v>329</v>
      </c>
      <c r="AM9" s="39"/>
      <c r="AP9" s="47" t="s">
        <v>95</v>
      </c>
      <c r="AR9" s="47" t="s">
        <v>89</v>
      </c>
      <c r="AV9" s="47" t="s">
        <v>102</v>
      </c>
      <c r="AX9" s="48">
        <v>180</v>
      </c>
      <c r="AY9" s="49">
        <v>18</v>
      </c>
      <c r="AZ9" s="49">
        <v>181</v>
      </c>
      <c r="BA9" s="50">
        <v>16</v>
      </c>
    </row>
    <row r="10" spans="1:53" x14ac:dyDescent="0.15">
      <c r="A10" s="39" t="s">
        <v>34</v>
      </c>
      <c r="B10" s="39" t="s">
        <v>337</v>
      </c>
      <c r="C10" s="39">
        <v>2020</v>
      </c>
      <c r="D10" s="85" t="s">
        <v>345</v>
      </c>
      <c r="E10" s="39" t="s">
        <v>346</v>
      </c>
      <c r="F10" s="39" t="s">
        <v>330</v>
      </c>
      <c r="G10" s="39" t="s">
        <v>36</v>
      </c>
      <c r="H10" s="39" t="s">
        <v>146</v>
      </c>
      <c r="I10" s="39" t="s">
        <v>142</v>
      </c>
      <c r="J10" s="39" t="s">
        <v>38</v>
      </c>
      <c r="K10" s="39" t="s">
        <v>143</v>
      </c>
      <c r="L10" s="39">
        <v>3</v>
      </c>
      <c r="N10" s="39">
        <v>8</v>
      </c>
      <c r="O10" s="39">
        <v>1.2</v>
      </c>
      <c r="P10" s="39">
        <v>1.1000000000000001</v>
      </c>
      <c r="Q10" s="61">
        <f t="shared" si="0"/>
        <v>1.1499999999999999</v>
      </c>
      <c r="R10" s="39">
        <v>15.5</v>
      </c>
      <c r="S10" s="39">
        <v>93</v>
      </c>
      <c r="T10" s="45">
        <f t="shared" si="1"/>
        <v>36</v>
      </c>
      <c r="U10" s="39">
        <v>1058</v>
      </c>
      <c r="V10" s="45">
        <f t="shared" si="2"/>
        <v>4761</v>
      </c>
      <c r="W10" s="39">
        <v>6</v>
      </c>
      <c r="X10" s="39" t="s">
        <v>46</v>
      </c>
      <c r="Y10" s="39" t="s">
        <v>47</v>
      </c>
      <c r="Z10" s="39" t="s">
        <v>69</v>
      </c>
      <c r="AA10" s="39" t="s">
        <v>55</v>
      </c>
      <c r="AB10" s="39" t="s">
        <v>335</v>
      </c>
      <c r="AE10" s="46" t="s">
        <v>103</v>
      </c>
      <c r="AG10" s="47" t="s">
        <v>361</v>
      </c>
      <c r="AH10" s="86" t="s">
        <v>362</v>
      </c>
      <c r="AI10" s="39"/>
      <c r="AJ10" s="39"/>
      <c r="AK10" s="39"/>
      <c r="AL10" s="7"/>
      <c r="AM10" s="39"/>
      <c r="AP10" s="47" t="s">
        <v>100</v>
      </c>
      <c r="AR10" s="47" t="s">
        <v>123</v>
      </c>
      <c r="AV10" s="47" t="s">
        <v>106</v>
      </c>
      <c r="AX10" s="48"/>
      <c r="AY10" s="49"/>
      <c r="AZ10" s="49"/>
      <c r="BA10" s="50"/>
    </row>
    <row r="11" spans="1:53" x14ac:dyDescent="0.15">
      <c r="A11" s="39" t="s">
        <v>34</v>
      </c>
      <c r="B11" s="39" t="s">
        <v>337</v>
      </c>
      <c r="C11" s="39">
        <v>2020</v>
      </c>
      <c r="D11" s="85" t="s">
        <v>345</v>
      </c>
      <c r="E11" s="39" t="s">
        <v>346</v>
      </c>
      <c r="F11" s="39" t="s">
        <v>330</v>
      </c>
      <c r="G11" s="39" t="s">
        <v>36</v>
      </c>
      <c r="H11" s="39" t="s">
        <v>128</v>
      </c>
      <c r="I11" s="39" t="s">
        <v>142</v>
      </c>
      <c r="J11" s="39" t="s">
        <v>80</v>
      </c>
      <c r="K11" s="39" t="s">
        <v>363</v>
      </c>
      <c r="L11" s="39">
        <v>1</v>
      </c>
      <c r="N11" s="39">
        <v>1</v>
      </c>
      <c r="O11" s="39">
        <v>0.65</v>
      </c>
      <c r="P11" s="39">
        <v>0.7</v>
      </c>
      <c r="Q11" s="61">
        <f t="shared" si="0"/>
        <v>0.67500000000000004</v>
      </c>
      <c r="R11" s="39">
        <v>14.8</v>
      </c>
      <c r="S11" s="39">
        <v>114</v>
      </c>
      <c r="T11" s="45">
        <f t="shared" si="1"/>
        <v>30</v>
      </c>
      <c r="U11" s="39">
        <v>105</v>
      </c>
      <c r="V11" s="45">
        <f t="shared" si="2"/>
        <v>3150</v>
      </c>
      <c r="W11" s="39">
        <v>6</v>
      </c>
      <c r="X11" s="39" t="s">
        <v>46</v>
      </c>
      <c r="Y11" s="39" t="s">
        <v>47</v>
      </c>
      <c r="Z11" s="39" t="s">
        <v>69</v>
      </c>
      <c r="AA11" s="39" t="s">
        <v>55</v>
      </c>
      <c r="AB11" s="39" t="s">
        <v>335</v>
      </c>
      <c r="AE11" s="46" t="s">
        <v>65</v>
      </c>
      <c r="AG11" s="47" t="s">
        <v>356</v>
      </c>
      <c r="AH11" s="86" t="s">
        <v>364</v>
      </c>
      <c r="AI11" s="39"/>
      <c r="AJ11" s="7"/>
      <c r="AK11" s="39"/>
      <c r="AL11" s="39"/>
      <c r="AM11" s="39"/>
      <c r="AP11" s="47" t="s">
        <v>104</v>
      </c>
      <c r="AR11" s="47" t="s">
        <v>87</v>
      </c>
      <c r="AV11" s="47" t="s">
        <v>69</v>
      </c>
    </row>
    <row r="12" spans="1:53" x14ac:dyDescent="0.15">
      <c r="A12" s="39" t="s">
        <v>34</v>
      </c>
      <c r="B12" s="39" t="s">
        <v>337</v>
      </c>
      <c r="C12" s="39">
        <v>2020</v>
      </c>
      <c r="D12" s="85" t="s">
        <v>345</v>
      </c>
      <c r="E12" s="39" t="s">
        <v>346</v>
      </c>
      <c r="F12" s="39" t="s">
        <v>330</v>
      </c>
      <c r="G12" s="39" t="s">
        <v>36</v>
      </c>
      <c r="H12" s="39" t="s">
        <v>128</v>
      </c>
      <c r="I12" s="39" t="s">
        <v>142</v>
      </c>
      <c r="J12" s="39" t="s">
        <v>80</v>
      </c>
      <c r="K12" s="39" t="s">
        <v>363</v>
      </c>
      <c r="L12" s="39">
        <v>2</v>
      </c>
      <c r="N12" s="39">
        <v>1</v>
      </c>
      <c r="O12" s="39">
        <v>0.9</v>
      </c>
      <c r="P12" s="39">
        <v>0.8</v>
      </c>
      <c r="Q12" s="61">
        <f t="shared" si="0"/>
        <v>0.85000000000000009</v>
      </c>
      <c r="R12" s="39">
        <v>14.3</v>
      </c>
      <c r="S12" s="39">
        <v>111</v>
      </c>
      <c r="T12" s="45">
        <f t="shared" si="1"/>
        <v>33</v>
      </c>
      <c r="U12" s="39">
        <v>105</v>
      </c>
      <c r="V12" s="45">
        <f t="shared" si="2"/>
        <v>3465</v>
      </c>
      <c r="W12" s="39">
        <v>6</v>
      </c>
      <c r="X12" s="39" t="s">
        <v>46</v>
      </c>
      <c r="Y12" s="39" t="s">
        <v>47</v>
      </c>
      <c r="Z12" s="39" t="s">
        <v>69</v>
      </c>
      <c r="AA12" s="39" t="s">
        <v>55</v>
      </c>
      <c r="AB12" s="39" t="s">
        <v>335</v>
      </c>
      <c r="AE12" s="46" t="s">
        <v>70</v>
      </c>
      <c r="AG12" s="47"/>
      <c r="AH12" s="86"/>
      <c r="AI12" s="39"/>
      <c r="AJ12" s="7"/>
      <c r="AK12" s="39"/>
      <c r="AL12" s="39"/>
      <c r="AM12" s="39"/>
      <c r="AP12" s="47" t="s">
        <v>67</v>
      </c>
      <c r="AR12" s="47" t="s">
        <v>124</v>
      </c>
      <c r="AV12" s="47" t="s">
        <v>72</v>
      </c>
    </row>
    <row r="13" spans="1:53" x14ac:dyDescent="0.15">
      <c r="A13" s="39" t="s">
        <v>34</v>
      </c>
      <c r="B13" s="39" t="s">
        <v>337</v>
      </c>
      <c r="C13" s="39">
        <v>2020</v>
      </c>
      <c r="D13" s="85" t="s">
        <v>345</v>
      </c>
      <c r="E13" s="39" t="s">
        <v>346</v>
      </c>
      <c r="F13" s="39" t="s">
        <v>330</v>
      </c>
      <c r="G13" s="39" t="s">
        <v>36</v>
      </c>
      <c r="H13" s="39" t="s">
        <v>128</v>
      </c>
      <c r="I13" s="39" t="s">
        <v>142</v>
      </c>
      <c r="J13" s="39" t="s">
        <v>80</v>
      </c>
      <c r="K13" s="39" t="s">
        <v>363</v>
      </c>
      <c r="L13" s="39">
        <v>3</v>
      </c>
      <c r="N13" s="39">
        <v>1</v>
      </c>
      <c r="O13" s="39">
        <v>0.8</v>
      </c>
      <c r="P13" s="39">
        <v>0.75</v>
      </c>
      <c r="Q13" s="61">
        <f t="shared" si="0"/>
        <v>0.77500000000000002</v>
      </c>
      <c r="R13" s="39">
        <v>14.4</v>
      </c>
      <c r="S13" s="39">
        <v>122.5</v>
      </c>
      <c r="T13" s="45">
        <f t="shared" si="1"/>
        <v>30</v>
      </c>
      <c r="U13" s="39">
        <v>105</v>
      </c>
      <c r="V13" s="45">
        <f t="shared" si="2"/>
        <v>3150</v>
      </c>
      <c r="W13" s="39">
        <v>6</v>
      </c>
      <c r="X13" s="39" t="s">
        <v>46</v>
      </c>
      <c r="Y13" s="39" t="s">
        <v>47</v>
      </c>
      <c r="Z13" s="39" t="s">
        <v>69</v>
      </c>
      <c r="AA13" s="39" t="s">
        <v>55</v>
      </c>
      <c r="AB13" s="39" t="s">
        <v>335</v>
      </c>
      <c r="AE13" s="46" t="s">
        <v>73</v>
      </c>
      <c r="AI13" s="39"/>
      <c r="AJ13" s="39"/>
      <c r="AK13" s="39"/>
      <c r="AL13" s="39"/>
      <c r="AM13" s="39"/>
      <c r="AP13" s="47" t="s">
        <v>71</v>
      </c>
      <c r="AR13" s="47" t="s">
        <v>103</v>
      </c>
      <c r="AV13" s="47" t="s">
        <v>75</v>
      </c>
    </row>
    <row r="14" spans="1:53" x14ac:dyDescent="0.15">
      <c r="A14" s="39" t="s">
        <v>34</v>
      </c>
      <c r="B14" s="39" t="s">
        <v>337</v>
      </c>
      <c r="C14" s="39">
        <v>2020</v>
      </c>
      <c r="D14" s="85" t="s">
        <v>345</v>
      </c>
      <c r="E14" s="39" t="s">
        <v>346</v>
      </c>
      <c r="F14" s="39" t="s">
        <v>330</v>
      </c>
      <c r="G14" s="39" t="s">
        <v>36</v>
      </c>
      <c r="H14" s="39" t="s">
        <v>128</v>
      </c>
      <c r="I14" s="39" t="s">
        <v>142</v>
      </c>
      <c r="J14" s="39" t="s">
        <v>80</v>
      </c>
      <c r="K14" s="39" t="s">
        <v>59</v>
      </c>
      <c r="L14" s="39">
        <v>1</v>
      </c>
      <c r="N14" s="39">
        <v>3</v>
      </c>
      <c r="O14" s="39">
        <v>0.9</v>
      </c>
      <c r="P14" s="39">
        <v>1</v>
      </c>
      <c r="Q14" s="61">
        <f t="shared" si="0"/>
        <v>0.95</v>
      </c>
      <c r="R14" s="39">
        <v>14.8</v>
      </c>
      <c r="S14" s="39">
        <v>95.5</v>
      </c>
      <c r="T14" s="45">
        <f t="shared" si="1"/>
        <v>36</v>
      </c>
      <c r="U14" s="39">
        <v>429</v>
      </c>
      <c r="V14" s="45">
        <f t="shared" si="2"/>
        <v>5148</v>
      </c>
      <c r="W14" s="39">
        <v>6</v>
      </c>
      <c r="X14" s="39" t="s">
        <v>46</v>
      </c>
      <c r="Y14" s="39" t="s">
        <v>47</v>
      </c>
      <c r="Z14" s="39" t="s">
        <v>69</v>
      </c>
      <c r="AA14" s="39" t="s">
        <v>55</v>
      </c>
      <c r="AB14" s="39" t="s">
        <v>335</v>
      </c>
      <c r="AE14" s="46" t="s">
        <v>76</v>
      </c>
      <c r="AI14" s="39"/>
      <c r="AJ14" s="39"/>
      <c r="AK14" s="39"/>
      <c r="AL14" s="39"/>
      <c r="AM14" s="39"/>
      <c r="AP14" s="47" t="s">
        <v>74</v>
      </c>
      <c r="AR14" s="47" t="s">
        <v>125</v>
      </c>
      <c r="AV14" s="47" t="s">
        <v>78</v>
      </c>
    </row>
    <row r="15" spans="1:53" x14ac:dyDescent="0.15">
      <c r="A15" s="39" t="s">
        <v>34</v>
      </c>
      <c r="B15" s="39" t="s">
        <v>337</v>
      </c>
      <c r="C15" s="39">
        <v>2020</v>
      </c>
      <c r="D15" s="85" t="s">
        <v>345</v>
      </c>
      <c r="E15" s="39" t="s">
        <v>346</v>
      </c>
      <c r="F15" s="39" t="s">
        <v>330</v>
      </c>
      <c r="G15" s="39" t="s">
        <v>36</v>
      </c>
      <c r="H15" s="39" t="s">
        <v>128</v>
      </c>
      <c r="I15" s="39" t="s">
        <v>142</v>
      </c>
      <c r="J15" s="39" t="s">
        <v>80</v>
      </c>
      <c r="K15" s="39" t="s">
        <v>59</v>
      </c>
      <c r="L15" s="39">
        <v>2</v>
      </c>
      <c r="N15" s="39">
        <v>3</v>
      </c>
      <c r="O15" s="39">
        <v>0.9</v>
      </c>
      <c r="P15" s="39">
        <v>0.85</v>
      </c>
      <c r="Q15" s="61">
        <f t="shared" si="0"/>
        <v>0.875</v>
      </c>
      <c r="R15" s="39">
        <v>12.3</v>
      </c>
      <c r="S15" s="39">
        <v>85</v>
      </c>
      <c r="T15" s="45">
        <f t="shared" si="1"/>
        <v>36</v>
      </c>
      <c r="U15" s="39">
        <v>429</v>
      </c>
      <c r="V15" s="45">
        <f t="shared" si="2"/>
        <v>5148</v>
      </c>
      <c r="W15" s="39">
        <v>6</v>
      </c>
      <c r="X15" s="39" t="s">
        <v>46</v>
      </c>
      <c r="Y15" s="39" t="s">
        <v>47</v>
      </c>
      <c r="Z15" s="39" t="s">
        <v>69</v>
      </c>
      <c r="AA15" s="39" t="s">
        <v>55</v>
      </c>
      <c r="AB15" s="39" t="s">
        <v>335</v>
      </c>
      <c r="AE15" s="46" t="s">
        <v>79</v>
      </c>
      <c r="AI15" s="39"/>
      <c r="AJ15" s="39"/>
      <c r="AK15" s="39"/>
      <c r="AL15" s="39"/>
      <c r="AM15" s="39"/>
      <c r="AP15" s="47" t="s">
        <v>77</v>
      </c>
      <c r="AR15" s="47" t="s">
        <v>94</v>
      </c>
      <c r="AV15" s="47" t="s">
        <v>107</v>
      </c>
    </row>
    <row r="16" spans="1:53" x14ac:dyDescent="0.15">
      <c r="A16" s="39" t="s">
        <v>34</v>
      </c>
      <c r="B16" s="39" t="s">
        <v>337</v>
      </c>
      <c r="C16" s="39">
        <v>2020</v>
      </c>
      <c r="D16" s="85" t="s">
        <v>345</v>
      </c>
      <c r="E16" s="39" t="s">
        <v>346</v>
      </c>
      <c r="F16" s="39" t="s">
        <v>330</v>
      </c>
      <c r="G16" s="39" t="s">
        <v>36</v>
      </c>
      <c r="H16" s="39" t="s">
        <v>128</v>
      </c>
      <c r="I16" s="39" t="s">
        <v>142</v>
      </c>
      <c r="J16" s="39" t="s">
        <v>80</v>
      </c>
      <c r="K16" s="39" t="s">
        <v>59</v>
      </c>
      <c r="L16" s="39">
        <v>3</v>
      </c>
      <c r="N16" s="39">
        <v>3</v>
      </c>
      <c r="O16" s="39">
        <v>0.8</v>
      </c>
      <c r="P16" s="39">
        <v>0.75</v>
      </c>
      <c r="Q16" s="61">
        <f t="shared" si="0"/>
        <v>0.77500000000000002</v>
      </c>
      <c r="R16" s="39">
        <v>14.8</v>
      </c>
      <c r="S16" s="39">
        <v>91</v>
      </c>
      <c r="T16" s="45">
        <f t="shared" si="1"/>
        <v>36</v>
      </c>
      <c r="U16" s="39">
        <v>429</v>
      </c>
      <c r="V16" s="45">
        <f t="shared" si="2"/>
        <v>5148</v>
      </c>
      <c r="W16" s="39">
        <v>6</v>
      </c>
      <c r="X16" s="39" t="s">
        <v>46</v>
      </c>
      <c r="Y16" s="39" t="s">
        <v>47</v>
      </c>
      <c r="Z16" s="39" t="s">
        <v>69</v>
      </c>
      <c r="AA16" s="39" t="s">
        <v>55</v>
      </c>
      <c r="AB16" s="39" t="s">
        <v>335</v>
      </c>
      <c r="AE16" s="46" t="s">
        <v>82</v>
      </c>
      <c r="AI16" s="39"/>
      <c r="AJ16" s="39"/>
      <c r="AK16" s="39"/>
      <c r="AL16" s="39"/>
      <c r="AM16" s="39"/>
      <c r="AP16" s="47" t="s">
        <v>80</v>
      </c>
      <c r="AR16" s="47" t="s">
        <v>63</v>
      </c>
      <c r="AV16" s="47" t="s">
        <v>84</v>
      </c>
    </row>
    <row r="17" spans="1:48" x14ac:dyDescent="0.15">
      <c r="A17" s="39" t="s">
        <v>34</v>
      </c>
      <c r="B17" s="39" t="s">
        <v>337</v>
      </c>
      <c r="C17" s="39">
        <v>2020</v>
      </c>
      <c r="D17" s="85" t="s">
        <v>345</v>
      </c>
      <c r="E17" s="39" t="s">
        <v>365</v>
      </c>
      <c r="F17" s="39" t="s">
        <v>355</v>
      </c>
      <c r="G17" s="39" t="s">
        <v>36</v>
      </c>
      <c r="H17" s="39" t="s">
        <v>146</v>
      </c>
      <c r="I17" s="39" t="s">
        <v>142</v>
      </c>
      <c r="J17" s="39" t="s">
        <v>38</v>
      </c>
      <c r="K17" s="39" t="s">
        <v>120</v>
      </c>
      <c r="L17" s="39">
        <v>1</v>
      </c>
      <c r="N17" s="39">
        <v>1</v>
      </c>
      <c r="O17" s="39">
        <v>0.2</v>
      </c>
      <c r="P17" s="39">
        <v>0.2</v>
      </c>
      <c r="Q17" s="61">
        <f t="shared" si="0"/>
        <v>0.2</v>
      </c>
      <c r="R17" s="39">
        <v>16.5</v>
      </c>
      <c r="S17" s="39">
        <v>200</v>
      </c>
      <c r="T17" s="45">
        <f t="shared" si="1"/>
        <v>30</v>
      </c>
      <c r="U17" s="39">
        <v>346</v>
      </c>
      <c r="V17" s="45">
        <f t="shared" si="2"/>
        <v>10380</v>
      </c>
      <c r="W17" s="39">
        <v>16</v>
      </c>
      <c r="X17" s="39" t="s">
        <v>46</v>
      </c>
      <c r="Y17" s="39" t="s">
        <v>55</v>
      </c>
      <c r="Z17" s="39" t="s">
        <v>47</v>
      </c>
      <c r="AA17" s="39" t="s">
        <v>69</v>
      </c>
      <c r="AB17" s="39" t="s">
        <v>335</v>
      </c>
      <c r="AE17" s="46" t="s">
        <v>85</v>
      </c>
      <c r="AI17" s="39"/>
      <c r="AJ17" s="39"/>
      <c r="AK17" s="39"/>
      <c r="AL17" s="39"/>
      <c r="AM17" s="39"/>
      <c r="AP17" s="51" t="s">
        <v>110</v>
      </c>
      <c r="AR17" s="47" t="s">
        <v>96</v>
      </c>
      <c r="AV17" s="47" t="s">
        <v>86</v>
      </c>
    </row>
    <row r="18" spans="1:48" x14ac:dyDescent="0.15">
      <c r="A18" s="39" t="s">
        <v>34</v>
      </c>
      <c r="B18" s="39" t="s">
        <v>337</v>
      </c>
      <c r="C18" s="39">
        <v>2020</v>
      </c>
      <c r="D18" s="85" t="s">
        <v>345</v>
      </c>
      <c r="E18" s="39" t="s">
        <v>365</v>
      </c>
      <c r="F18" s="39" t="s">
        <v>355</v>
      </c>
      <c r="G18" s="39" t="s">
        <v>36</v>
      </c>
      <c r="H18" s="39" t="s">
        <v>146</v>
      </c>
      <c r="I18" s="39" t="s">
        <v>142</v>
      </c>
      <c r="J18" s="39" t="s">
        <v>38</v>
      </c>
      <c r="K18" s="39" t="s">
        <v>143</v>
      </c>
      <c r="L18" s="39">
        <v>2</v>
      </c>
      <c r="N18" s="39">
        <v>1</v>
      </c>
      <c r="O18" s="39">
        <v>0.2</v>
      </c>
      <c r="P18" s="39">
        <v>0.2</v>
      </c>
      <c r="Q18" s="61">
        <f t="shared" si="0"/>
        <v>0.2</v>
      </c>
      <c r="R18" s="39">
        <v>16.600000000000001</v>
      </c>
      <c r="S18" s="39">
        <v>195.5</v>
      </c>
      <c r="T18" s="45">
        <f t="shared" si="1"/>
        <v>30</v>
      </c>
      <c r="U18" s="39">
        <v>346</v>
      </c>
      <c r="V18" s="45">
        <f t="shared" si="2"/>
        <v>10380</v>
      </c>
      <c r="W18" s="39">
        <v>16</v>
      </c>
      <c r="X18" s="39" t="s">
        <v>46</v>
      </c>
      <c r="Y18" s="39" t="s">
        <v>55</v>
      </c>
      <c r="Z18" s="39" t="s">
        <v>47</v>
      </c>
      <c r="AA18" s="39" t="s">
        <v>69</v>
      </c>
      <c r="AB18" s="39" t="s">
        <v>335</v>
      </c>
      <c r="AE18" s="46" t="s">
        <v>87</v>
      </c>
      <c r="AI18" s="39"/>
      <c r="AJ18" s="39"/>
      <c r="AK18" s="39"/>
      <c r="AL18" s="39"/>
      <c r="AM18" s="39"/>
      <c r="AP18" s="51" t="s">
        <v>111</v>
      </c>
      <c r="AR18" s="47" t="s">
        <v>101</v>
      </c>
      <c r="AV18" s="47" t="s">
        <v>88</v>
      </c>
    </row>
    <row r="19" spans="1:48" x14ac:dyDescent="0.15">
      <c r="A19" s="39" t="s">
        <v>34</v>
      </c>
      <c r="B19" s="39" t="s">
        <v>337</v>
      </c>
      <c r="C19" s="39">
        <v>2020</v>
      </c>
      <c r="D19" s="85" t="s">
        <v>345</v>
      </c>
      <c r="E19" s="39" t="s">
        <v>365</v>
      </c>
      <c r="F19" s="39" t="s">
        <v>355</v>
      </c>
      <c r="G19" s="39" t="s">
        <v>36</v>
      </c>
      <c r="H19" s="39" t="s">
        <v>146</v>
      </c>
      <c r="I19" s="39" t="s">
        <v>142</v>
      </c>
      <c r="J19" s="39" t="s">
        <v>38</v>
      </c>
      <c r="K19" s="39" t="s">
        <v>143</v>
      </c>
      <c r="L19" s="39">
        <v>3</v>
      </c>
      <c r="N19" s="39">
        <v>1</v>
      </c>
      <c r="O19" s="39">
        <v>0.2</v>
      </c>
      <c r="P19" s="39">
        <v>0.2</v>
      </c>
      <c r="Q19" s="61">
        <f t="shared" si="0"/>
        <v>0.2</v>
      </c>
      <c r="R19" s="39">
        <v>18.7</v>
      </c>
      <c r="S19" s="39">
        <v>177.5</v>
      </c>
      <c r="T19" s="45">
        <f t="shared" si="1"/>
        <v>30</v>
      </c>
      <c r="U19" s="39">
        <v>346</v>
      </c>
      <c r="V19" s="45">
        <f t="shared" si="2"/>
        <v>10380</v>
      </c>
      <c r="W19" s="39">
        <v>16</v>
      </c>
      <c r="X19" s="39" t="s">
        <v>46</v>
      </c>
      <c r="Y19" s="39" t="s">
        <v>55</v>
      </c>
      <c r="Z19" s="39" t="s">
        <v>47</v>
      </c>
      <c r="AA19" s="39" t="s">
        <v>69</v>
      </c>
      <c r="AB19" s="39" t="s">
        <v>335</v>
      </c>
      <c r="AE19" s="57" t="s">
        <v>89</v>
      </c>
      <c r="AI19" s="39"/>
      <c r="AJ19" s="39"/>
      <c r="AK19" s="39"/>
      <c r="AL19" s="39"/>
      <c r="AM19" s="39"/>
      <c r="AP19" s="51" t="s">
        <v>112</v>
      </c>
      <c r="AR19" s="47" t="s">
        <v>126</v>
      </c>
      <c r="AV19" s="47" t="s">
        <v>90</v>
      </c>
    </row>
    <row r="20" spans="1:48" x14ac:dyDescent="0.15">
      <c r="A20" s="39" t="s">
        <v>34</v>
      </c>
      <c r="B20" s="39" t="s">
        <v>337</v>
      </c>
      <c r="C20" s="39">
        <v>2020</v>
      </c>
      <c r="D20" s="85" t="s">
        <v>345</v>
      </c>
      <c r="E20" s="39" t="s">
        <v>365</v>
      </c>
      <c r="F20" s="39" t="s">
        <v>355</v>
      </c>
      <c r="G20" s="39" t="s">
        <v>36</v>
      </c>
      <c r="H20" s="39" t="s">
        <v>146</v>
      </c>
      <c r="I20" s="39" t="s">
        <v>142</v>
      </c>
      <c r="J20" s="39" t="s">
        <v>38</v>
      </c>
      <c r="K20" s="39" t="s">
        <v>143</v>
      </c>
      <c r="L20" s="39">
        <v>1</v>
      </c>
      <c r="N20" s="39">
        <v>1</v>
      </c>
      <c r="O20" s="39">
        <v>0.75</v>
      </c>
      <c r="P20" s="39">
        <v>0.75</v>
      </c>
      <c r="Q20" s="61">
        <f t="shared" si="0"/>
        <v>0.75</v>
      </c>
      <c r="R20" s="39">
        <v>17.7</v>
      </c>
      <c r="S20" s="39">
        <v>144</v>
      </c>
      <c r="T20" s="45">
        <f t="shared" si="1"/>
        <v>30</v>
      </c>
      <c r="U20" s="39">
        <v>207</v>
      </c>
      <c r="V20" s="45">
        <f t="shared" si="2"/>
        <v>6210</v>
      </c>
      <c r="W20" s="39">
        <v>16</v>
      </c>
      <c r="X20" s="39" t="s">
        <v>46</v>
      </c>
      <c r="Y20" s="39" t="s">
        <v>55</v>
      </c>
      <c r="Z20" s="39" t="s">
        <v>47</v>
      </c>
      <c r="AA20" s="39" t="s">
        <v>69</v>
      </c>
      <c r="AB20" s="39" t="s">
        <v>335</v>
      </c>
      <c r="AI20" s="39"/>
      <c r="AJ20" s="39"/>
      <c r="AK20" s="39"/>
      <c r="AL20" s="39"/>
      <c r="AM20" s="39"/>
      <c r="AP20" s="51" t="s">
        <v>113</v>
      </c>
      <c r="AR20" s="47" t="s">
        <v>105</v>
      </c>
      <c r="AV20" s="51" t="s">
        <v>135</v>
      </c>
    </row>
    <row r="21" spans="1:48" x14ac:dyDescent="0.15">
      <c r="A21" s="39" t="s">
        <v>34</v>
      </c>
      <c r="B21" s="39" t="s">
        <v>337</v>
      </c>
      <c r="C21" s="39">
        <v>2020</v>
      </c>
      <c r="D21" s="85" t="s">
        <v>345</v>
      </c>
      <c r="E21" s="39" t="s">
        <v>365</v>
      </c>
      <c r="F21" s="39" t="s">
        <v>355</v>
      </c>
      <c r="G21" s="39" t="s">
        <v>36</v>
      </c>
      <c r="H21" s="39" t="s">
        <v>146</v>
      </c>
      <c r="I21" s="39" t="s">
        <v>142</v>
      </c>
      <c r="J21" s="39" t="s">
        <v>366</v>
      </c>
      <c r="K21" s="39" t="s">
        <v>143</v>
      </c>
      <c r="L21" s="39">
        <v>2</v>
      </c>
      <c r="N21" s="39">
        <v>1</v>
      </c>
      <c r="O21" s="39">
        <v>0.6</v>
      </c>
      <c r="P21" s="39">
        <v>0.7</v>
      </c>
      <c r="Q21" s="61">
        <f t="shared" si="0"/>
        <v>0.64999999999999991</v>
      </c>
      <c r="R21" s="39">
        <v>17.7</v>
      </c>
      <c r="S21" s="39">
        <v>144</v>
      </c>
      <c r="T21" s="45">
        <f t="shared" si="1"/>
        <v>30</v>
      </c>
      <c r="U21" s="39">
        <v>207</v>
      </c>
      <c r="V21" s="45">
        <f t="shared" si="2"/>
        <v>6210</v>
      </c>
      <c r="W21" s="39">
        <v>16</v>
      </c>
      <c r="X21" s="39" t="s">
        <v>46</v>
      </c>
      <c r="Y21" s="39" t="s">
        <v>55</v>
      </c>
      <c r="Z21" s="39" t="s">
        <v>47</v>
      </c>
      <c r="AA21" s="39" t="s">
        <v>69</v>
      </c>
      <c r="AB21" s="39" t="s">
        <v>335</v>
      </c>
      <c r="AI21" s="39"/>
      <c r="AJ21" s="39"/>
      <c r="AK21" s="39"/>
      <c r="AL21" s="39"/>
      <c r="AM21" s="39"/>
      <c r="AP21" s="51" t="s">
        <v>114</v>
      </c>
      <c r="AR21" s="47" t="s">
        <v>68</v>
      </c>
      <c r="AV21" s="52" t="s">
        <v>152</v>
      </c>
    </row>
    <row r="22" spans="1:48" x14ac:dyDescent="0.15">
      <c r="A22" s="39" t="s">
        <v>34</v>
      </c>
      <c r="B22" s="39" t="s">
        <v>337</v>
      </c>
      <c r="C22" s="39">
        <v>2020</v>
      </c>
      <c r="D22" s="85" t="s">
        <v>345</v>
      </c>
      <c r="E22" s="39" t="s">
        <v>365</v>
      </c>
      <c r="F22" s="39" t="s">
        <v>355</v>
      </c>
      <c r="G22" s="39" t="s">
        <v>36</v>
      </c>
      <c r="H22" s="39" t="s">
        <v>146</v>
      </c>
      <c r="I22" s="39" t="s">
        <v>142</v>
      </c>
      <c r="J22" s="39" t="s">
        <v>38</v>
      </c>
      <c r="K22" s="39" t="s">
        <v>143</v>
      </c>
      <c r="L22" s="39">
        <v>3</v>
      </c>
      <c r="N22" s="39">
        <v>1</v>
      </c>
      <c r="O22" s="39">
        <v>0.55000000000000004</v>
      </c>
      <c r="P22" s="39">
        <v>0.6</v>
      </c>
      <c r="Q22" s="61">
        <f t="shared" si="0"/>
        <v>0.57499999999999996</v>
      </c>
      <c r="R22" s="39">
        <v>16.5</v>
      </c>
      <c r="S22" s="39">
        <v>148.5</v>
      </c>
      <c r="T22" s="45">
        <f t="shared" si="1"/>
        <v>30</v>
      </c>
      <c r="U22" s="39">
        <v>207</v>
      </c>
      <c r="V22" s="45">
        <f t="shared" si="2"/>
        <v>6210</v>
      </c>
      <c r="W22" s="39">
        <v>16</v>
      </c>
      <c r="X22" s="39" t="s">
        <v>46</v>
      </c>
      <c r="Y22" s="39" t="s">
        <v>55</v>
      </c>
      <c r="Z22" s="39" t="s">
        <v>47</v>
      </c>
      <c r="AA22" s="39" t="s">
        <v>69</v>
      </c>
      <c r="AB22" s="39" t="s">
        <v>335</v>
      </c>
      <c r="AI22" s="39"/>
      <c r="AJ22" s="39"/>
      <c r="AK22" s="39"/>
      <c r="AL22" s="39"/>
      <c r="AM22" s="39"/>
      <c r="AP22" s="51" t="s">
        <v>115</v>
      </c>
      <c r="AR22" s="47" t="s">
        <v>83</v>
      </c>
    </row>
    <row r="23" spans="1:48" x14ac:dyDescent="0.15">
      <c r="A23" s="39" t="s">
        <v>34</v>
      </c>
      <c r="B23" s="39" t="s">
        <v>337</v>
      </c>
      <c r="C23" s="39">
        <v>2020</v>
      </c>
      <c r="D23" s="85" t="s">
        <v>345</v>
      </c>
      <c r="E23" s="39" t="s">
        <v>365</v>
      </c>
      <c r="F23" s="39" t="s">
        <v>355</v>
      </c>
      <c r="G23" s="39" t="s">
        <v>36</v>
      </c>
      <c r="H23" s="39" t="s">
        <v>146</v>
      </c>
      <c r="I23" s="39" t="s">
        <v>142</v>
      </c>
      <c r="J23" s="39" t="s">
        <v>38</v>
      </c>
      <c r="K23" s="39" t="s">
        <v>143</v>
      </c>
      <c r="L23" s="39">
        <v>1</v>
      </c>
      <c r="N23" s="39">
        <v>4</v>
      </c>
      <c r="O23" s="39">
        <v>0.75</v>
      </c>
      <c r="P23" s="39">
        <v>0.75</v>
      </c>
      <c r="Q23" s="61">
        <f t="shared" si="0"/>
        <v>0.75</v>
      </c>
      <c r="R23" s="39">
        <v>16.7</v>
      </c>
      <c r="S23" s="39">
        <v>107.5</v>
      </c>
      <c r="T23" s="45">
        <f t="shared" si="1"/>
        <v>33</v>
      </c>
      <c r="U23" s="39">
        <v>463</v>
      </c>
      <c r="V23" s="45">
        <f t="shared" si="2"/>
        <v>3819.75</v>
      </c>
      <c r="W23" s="39">
        <v>16</v>
      </c>
      <c r="X23" s="39" t="s">
        <v>46</v>
      </c>
      <c r="Y23" s="39" t="s">
        <v>55</v>
      </c>
      <c r="Z23" s="39" t="s">
        <v>47</v>
      </c>
      <c r="AA23" s="39" t="s">
        <v>69</v>
      </c>
      <c r="AB23" s="39" t="s">
        <v>335</v>
      </c>
      <c r="AI23" s="39"/>
      <c r="AJ23" s="39"/>
      <c r="AK23" s="39"/>
      <c r="AL23" s="39"/>
      <c r="AM23" s="39"/>
      <c r="AP23" s="51" t="s">
        <v>137</v>
      </c>
      <c r="AR23" s="47" t="s">
        <v>61</v>
      </c>
    </row>
    <row r="24" spans="1:48" x14ac:dyDescent="0.15">
      <c r="A24" s="39" t="s">
        <v>34</v>
      </c>
      <c r="B24" s="39" t="s">
        <v>337</v>
      </c>
      <c r="C24" s="39">
        <v>2020</v>
      </c>
      <c r="D24" s="85" t="s">
        <v>345</v>
      </c>
      <c r="E24" s="39" t="s">
        <v>365</v>
      </c>
      <c r="F24" s="39" t="s">
        <v>355</v>
      </c>
      <c r="G24" s="39" t="s">
        <v>36</v>
      </c>
      <c r="H24" s="39" t="s">
        <v>146</v>
      </c>
      <c r="I24" s="39" t="s">
        <v>142</v>
      </c>
      <c r="J24" s="39" t="s">
        <v>38</v>
      </c>
      <c r="K24" s="39" t="s">
        <v>143</v>
      </c>
      <c r="L24" s="39">
        <v>2</v>
      </c>
      <c r="N24" s="39">
        <v>4</v>
      </c>
      <c r="O24" s="39">
        <v>0.8</v>
      </c>
      <c r="P24" s="39">
        <v>0.85</v>
      </c>
      <c r="Q24" s="61">
        <f t="shared" si="0"/>
        <v>0.82499999999999996</v>
      </c>
      <c r="R24" s="39">
        <v>15.5</v>
      </c>
      <c r="S24" s="39">
        <v>94.5</v>
      </c>
      <c r="T24" s="45">
        <f t="shared" si="1"/>
        <v>36</v>
      </c>
      <c r="U24" s="39">
        <v>463</v>
      </c>
      <c r="V24" s="45">
        <f t="shared" si="2"/>
        <v>4167</v>
      </c>
      <c r="W24" s="39">
        <v>16</v>
      </c>
      <c r="X24" s="39" t="s">
        <v>46</v>
      </c>
      <c r="Y24" s="39" t="s">
        <v>55</v>
      </c>
      <c r="Z24" s="39" t="s">
        <v>47</v>
      </c>
      <c r="AA24" s="39" t="s">
        <v>69</v>
      </c>
      <c r="AB24" s="39" t="s">
        <v>335</v>
      </c>
      <c r="AI24" s="39"/>
      <c r="AJ24" s="39"/>
      <c r="AK24" s="39"/>
      <c r="AL24" s="39"/>
      <c r="AM24" s="39"/>
      <c r="AP24" s="51" t="s">
        <v>138</v>
      </c>
      <c r="AR24" s="47" t="s">
        <v>91</v>
      </c>
    </row>
    <row r="25" spans="1:48" x14ac:dyDescent="0.15">
      <c r="A25" s="39" t="s">
        <v>34</v>
      </c>
      <c r="B25" s="39" t="s">
        <v>337</v>
      </c>
      <c r="C25" s="39">
        <v>2020</v>
      </c>
      <c r="D25" s="85" t="s">
        <v>345</v>
      </c>
      <c r="E25" s="39" t="s">
        <v>365</v>
      </c>
      <c r="F25" s="39" t="s">
        <v>355</v>
      </c>
      <c r="G25" s="39" t="s">
        <v>36</v>
      </c>
      <c r="H25" s="39" t="s">
        <v>146</v>
      </c>
      <c r="I25" s="39" t="s">
        <v>142</v>
      </c>
      <c r="J25" s="39" t="s">
        <v>38</v>
      </c>
      <c r="K25" s="39" t="s">
        <v>143</v>
      </c>
      <c r="L25" s="39">
        <v>3</v>
      </c>
      <c r="N25" s="39">
        <v>4</v>
      </c>
      <c r="O25" s="39">
        <v>0.95</v>
      </c>
      <c r="P25" s="39">
        <v>0.8</v>
      </c>
      <c r="Q25" s="61">
        <f t="shared" si="0"/>
        <v>0.875</v>
      </c>
      <c r="R25" s="39">
        <v>15.8</v>
      </c>
      <c r="S25" s="39">
        <v>101</v>
      </c>
      <c r="T25" s="45">
        <f t="shared" si="1"/>
        <v>33</v>
      </c>
      <c r="U25" s="39">
        <v>463</v>
      </c>
      <c r="V25" s="45">
        <f t="shared" si="2"/>
        <v>3819.75</v>
      </c>
      <c r="W25" s="39">
        <v>16</v>
      </c>
      <c r="X25" s="39" t="s">
        <v>46</v>
      </c>
      <c r="Y25" s="39" t="s">
        <v>55</v>
      </c>
      <c r="Z25" s="39" t="s">
        <v>47</v>
      </c>
      <c r="AA25" s="39" t="s">
        <v>69</v>
      </c>
      <c r="AB25" s="39" t="s">
        <v>335</v>
      </c>
      <c r="AI25" s="39"/>
      <c r="AJ25" s="39"/>
      <c r="AK25" s="39"/>
      <c r="AL25" s="39"/>
      <c r="AM25" s="39"/>
      <c r="AP25" s="51" t="s">
        <v>116</v>
      </c>
      <c r="AR25" s="51" t="s">
        <v>92</v>
      </c>
    </row>
    <row r="26" spans="1:48" x14ac:dyDescent="0.15">
      <c r="A26" s="39" t="s">
        <v>34</v>
      </c>
      <c r="B26" s="39" t="s">
        <v>337</v>
      </c>
      <c r="C26" s="39">
        <v>2020</v>
      </c>
      <c r="D26" s="85" t="s">
        <v>345</v>
      </c>
      <c r="E26" s="39" t="s">
        <v>365</v>
      </c>
      <c r="F26" s="39" t="s">
        <v>355</v>
      </c>
      <c r="G26" s="39" t="s">
        <v>36</v>
      </c>
      <c r="H26" s="39" t="s">
        <v>146</v>
      </c>
      <c r="I26" s="39" t="s">
        <v>142</v>
      </c>
      <c r="J26" s="39" t="s">
        <v>38</v>
      </c>
      <c r="K26" s="39" t="s">
        <v>120</v>
      </c>
      <c r="L26" s="39">
        <v>1</v>
      </c>
      <c r="N26" s="39">
        <v>8</v>
      </c>
      <c r="O26" s="39">
        <v>0.8</v>
      </c>
      <c r="P26" s="39">
        <v>0.85</v>
      </c>
      <c r="Q26" s="61">
        <f t="shared" si="0"/>
        <v>0.82499999999999996</v>
      </c>
      <c r="R26" s="39">
        <v>15.7</v>
      </c>
      <c r="S26" s="39">
        <v>109</v>
      </c>
      <c r="T26" s="45">
        <f t="shared" si="1"/>
        <v>33</v>
      </c>
      <c r="U26" s="39">
        <v>929</v>
      </c>
      <c r="V26" s="45">
        <f t="shared" si="2"/>
        <v>3832.125</v>
      </c>
      <c r="W26" s="39">
        <v>16</v>
      </c>
      <c r="X26" s="39" t="s">
        <v>46</v>
      </c>
      <c r="Y26" s="39" t="s">
        <v>55</v>
      </c>
      <c r="Z26" s="39" t="s">
        <v>47</v>
      </c>
      <c r="AA26" s="39" t="s">
        <v>69</v>
      </c>
      <c r="AB26" s="39" t="s">
        <v>335</v>
      </c>
      <c r="AI26" s="39"/>
      <c r="AJ26" s="39"/>
      <c r="AK26" s="39"/>
      <c r="AL26" s="39"/>
      <c r="AM26" s="39"/>
      <c r="AP26" s="51" t="s">
        <v>117</v>
      </c>
      <c r="AR26" s="39" t="s">
        <v>257</v>
      </c>
    </row>
    <row r="27" spans="1:48" x14ac:dyDescent="0.15">
      <c r="A27" s="39" t="s">
        <v>34</v>
      </c>
      <c r="B27" s="39" t="s">
        <v>337</v>
      </c>
      <c r="C27" s="39">
        <v>2020</v>
      </c>
      <c r="D27" s="85" t="s">
        <v>345</v>
      </c>
      <c r="E27" s="39" t="s">
        <v>365</v>
      </c>
      <c r="F27" s="39" t="s">
        <v>355</v>
      </c>
      <c r="G27" s="39" t="s">
        <v>36</v>
      </c>
      <c r="H27" s="39" t="s">
        <v>146</v>
      </c>
      <c r="I27" s="39" t="s">
        <v>142</v>
      </c>
      <c r="J27" s="39" t="s">
        <v>38</v>
      </c>
      <c r="K27" s="39" t="s">
        <v>143</v>
      </c>
      <c r="L27" s="39">
        <v>2</v>
      </c>
      <c r="N27" s="39">
        <v>8</v>
      </c>
      <c r="O27" s="39">
        <v>0.8</v>
      </c>
      <c r="P27" s="39">
        <v>0.75</v>
      </c>
      <c r="Q27" s="61">
        <f t="shared" si="0"/>
        <v>0.77500000000000002</v>
      </c>
      <c r="R27" s="39">
        <v>16.899999999999999</v>
      </c>
      <c r="S27" s="39">
        <v>108</v>
      </c>
      <c r="T27" s="45">
        <f t="shared" si="1"/>
        <v>33</v>
      </c>
      <c r="U27" s="39">
        <v>929</v>
      </c>
      <c r="V27" s="45">
        <f t="shared" si="2"/>
        <v>3832.125</v>
      </c>
      <c r="W27" s="39">
        <v>16</v>
      </c>
      <c r="X27" s="39" t="s">
        <v>46</v>
      </c>
      <c r="Y27" s="39" t="s">
        <v>55</v>
      </c>
      <c r="Z27" s="39" t="s">
        <v>47</v>
      </c>
      <c r="AA27" s="39" t="s">
        <v>69</v>
      </c>
      <c r="AB27" s="39" t="s">
        <v>335</v>
      </c>
      <c r="AI27" s="39"/>
      <c r="AJ27" s="39"/>
      <c r="AK27" s="39"/>
      <c r="AL27" s="39"/>
      <c r="AM27" s="39"/>
      <c r="AP27" s="51" t="s">
        <v>118</v>
      </c>
    </row>
    <row r="28" spans="1:48" x14ac:dyDescent="0.15">
      <c r="A28" s="39" t="s">
        <v>34</v>
      </c>
      <c r="B28" s="39" t="s">
        <v>337</v>
      </c>
      <c r="C28" s="39">
        <v>2020</v>
      </c>
      <c r="D28" s="85" t="s">
        <v>345</v>
      </c>
      <c r="E28" s="39" t="s">
        <v>365</v>
      </c>
      <c r="F28" s="39" t="s">
        <v>355</v>
      </c>
      <c r="G28" s="39" t="s">
        <v>36</v>
      </c>
      <c r="H28" s="39" t="s">
        <v>146</v>
      </c>
      <c r="I28" s="39" t="s">
        <v>142</v>
      </c>
      <c r="J28" s="39" t="s">
        <v>38</v>
      </c>
      <c r="K28" s="39" t="s">
        <v>143</v>
      </c>
      <c r="L28" s="39">
        <v>3</v>
      </c>
      <c r="N28" s="39">
        <v>8</v>
      </c>
      <c r="O28" s="39">
        <v>0.75</v>
      </c>
      <c r="P28" s="39">
        <v>0.8</v>
      </c>
      <c r="Q28" s="61">
        <f t="shared" si="0"/>
        <v>0.77500000000000002</v>
      </c>
      <c r="R28" s="39">
        <v>15.4</v>
      </c>
      <c r="S28" s="39">
        <v>114.5</v>
      </c>
      <c r="T28" s="45">
        <f t="shared" si="1"/>
        <v>30</v>
      </c>
      <c r="U28" s="39">
        <v>929</v>
      </c>
      <c r="V28" s="45">
        <f t="shared" si="2"/>
        <v>3483.75</v>
      </c>
      <c r="W28" s="39">
        <v>16</v>
      </c>
      <c r="X28" s="39" t="s">
        <v>46</v>
      </c>
      <c r="Y28" s="39" t="s">
        <v>55</v>
      </c>
      <c r="Z28" s="39" t="s">
        <v>47</v>
      </c>
      <c r="AA28" s="39" t="s">
        <v>69</v>
      </c>
      <c r="AB28" s="39" t="s">
        <v>335</v>
      </c>
      <c r="AI28" s="39"/>
      <c r="AJ28" s="39"/>
      <c r="AK28" s="39"/>
      <c r="AL28" s="39"/>
      <c r="AM28" s="39"/>
    </row>
    <row r="29" spans="1:48" x14ac:dyDescent="0.15">
      <c r="A29" s="39" t="s">
        <v>34</v>
      </c>
      <c r="B29" s="39" t="s">
        <v>337</v>
      </c>
      <c r="C29" s="39">
        <v>2020</v>
      </c>
      <c r="D29" s="85" t="s">
        <v>345</v>
      </c>
      <c r="E29" s="39" t="s">
        <v>365</v>
      </c>
      <c r="F29" s="39" t="s">
        <v>355</v>
      </c>
      <c r="G29" s="39" t="s">
        <v>36</v>
      </c>
      <c r="H29" s="39" t="s">
        <v>334</v>
      </c>
      <c r="I29" s="39" t="s">
        <v>142</v>
      </c>
      <c r="J29" s="39" t="s">
        <v>38</v>
      </c>
      <c r="K29" s="39" t="s">
        <v>143</v>
      </c>
      <c r="L29" s="39">
        <v>1</v>
      </c>
      <c r="N29" s="39">
        <v>4</v>
      </c>
      <c r="O29" s="39">
        <v>0.2</v>
      </c>
      <c r="P29" s="39">
        <v>0.2</v>
      </c>
      <c r="Q29" s="61">
        <f t="shared" si="0"/>
        <v>0.2</v>
      </c>
      <c r="R29" s="39">
        <v>19.7</v>
      </c>
      <c r="S29" s="39">
        <v>79</v>
      </c>
      <c r="T29" s="45">
        <f t="shared" si="1"/>
        <v>39</v>
      </c>
      <c r="U29" s="39">
        <v>579</v>
      </c>
      <c r="V29" s="45">
        <f t="shared" si="2"/>
        <v>5645.25</v>
      </c>
      <c r="W29" s="39">
        <v>16</v>
      </c>
      <c r="X29" s="39" t="s">
        <v>46</v>
      </c>
      <c r="Y29" s="39" t="s">
        <v>55</v>
      </c>
      <c r="Z29" s="39" t="s">
        <v>47</v>
      </c>
      <c r="AA29" s="39" t="s">
        <v>69</v>
      </c>
      <c r="AB29" s="39" t="s">
        <v>335</v>
      </c>
      <c r="AI29" s="39"/>
      <c r="AJ29" s="39"/>
      <c r="AK29" s="39"/>
      <c r="AL29" s="39"/>
      <c r="AM29" s="39"/>
    </row>
    <row r="30" spans="1:48" x14ac:dyDescent="0.15">
      <c r="A30" s="39" t="s">
        <v>34</v>
      </c>
      <c r="B30" s="39" t="s">
        <v>337</v>
      </c>
      <c r="C30" s="39">
        <v>2020</v>
      </c>
      <c r="D30" s="85" t="s">
        <v>345</v>
      </c>
      <c r="E30" s="39" t="s">
        <v>365</v>
      </c>
      <c r="F30" s="39" t="s">
        <v>355</v>
      </c>
      <c r="G30" s="39" t="s">
        <v>36</v>
      </c>
      <c r="H30" s="39" t="s">
        <v>334</v>
      </c>
      <c r="I30" s="39" t="s">
        <v>142</v>
      </c>
      <c r="J30" s="39" t="s">
        <v>366</v>
      </c>
      <c r="K30" s="39" t="s">
        <v>143</v>
      </c>
      <c r="L30" s="39">
        <v>2</v>
      </c>
      <c r="N30" s="39">
        <v>4</v>
      </c>
      <c r="O30" s="39">
        <v>0.2</v>
      </c>
      <c r="P30" s="39">
        <v>0.2</v>
      </c>
      <c r="Q30" s="61">
        <f t="shared" si="0"/>
        <v>0.2</v>
      </c>
      <c r="R30" s="39">
        <v>19.5</v>
      </c>
      <c r="S30" s="39">
        <v>71</v>
      </c>
      <c r="T30" s="45">
        <f t="shared" si="1"/>
        <v>42</v>
      </c>
      <c r="U30" s="39">
        <v>579</v>
      </c>
      <c r="V30" s="45">
        <f t="shared" si="2"/>
        <v>6079.5</v>
      </c>
      <c r="W30" s="39">
        <v>16</v>
      </c>
      <c r="X30" s="39" t="s">
        <v>46</v>
      </c>
      <c r="Y30" s="39" t="s">
        <v>55</v>
      </c>
      <c r="Z30" s="39" t="s">
        <v>47</v>
      </c>
      <c r="AA30" s="39" t="s">
        <v>69</v>
      </c>
      <c r="AB30" s="39" t="s">
        <v>335</v>
      </c>
      <c r="AI30" s="39"/>
      <c r="AJ30" s="39"/>
      <c r="AK30" s="39"/>
      <c r="AL30" s="39"/>
      <c r="AM30" s="39"/>
    </row>
    <row r="31" spans="1:48" x14ac:dyDescent="0.15">
      <c r="A31" s="39" t="s">
        <v>34</v>
      </c>
      <c r="B31" s="39" t="s">
        <v>337</v>
      </c>
      <c r="C31" s="39">
        <v>2020</v>
      </c>
      <c r="D31" s="85" t="s">
        <v>345</v>
      </c>
      <c r="E31" s="39" t="s">
        <v>365</v>
      </c>
      <c r="F31" s="39" t="s">
        <v>355</v>
      </c>
      <c r="G31" s="39" t="s">
        <v>36</v>
      </c>
      <c r="H31" s="39" t="s">
        <v>334</v>
      </c>
      <c r="I31" s="39" t="s">
        <v>142</v>
      </c>
      <c r="J31" s="39" t="s">
        <v>38</v>
      </c>
      <c r="K31" s="39" t="s">
        <v>143</v>
      </c>
      <c r="L31" s="39">
        <v>3</v>
      </c>
      <c r="N31" s="39">
        <v>4</v>
      </c>
      <c r="O31" s="39">
        <v>0.2</v>
      </c>
      <c r="P31" s="39">
        <v>0.2</v>
      </c>
      <c r="Q31" s="61">
        <f t="shared" si="0"/>
        <v>0.2</v>
      </c>
      <c r="R31" s="39">
        <v>19.399999999999999</v>
      </c>
      <c r="S31" s="39">
        <v>70</v>
      </c>
      <c r="T31" s="45">
        <f t="shared" si="1"/>
        <v>50</v>
      </c>
      <c r="U31" s="39">
        <v>579</v>
      </c>
      <c r="V31" s="45">
        <f t="shared" si="2"/>
        <v>7237.5</v>
      </c>
      <c r="W31" s="39">
        <v>16</v>
      </c>
      <c r="X31" s="39" t="s">
        <v>46</v>
      </c>
      <c r="Y31" s="39" t="s">
        <v>55</v>
      </c>
      <c r="Z31" s="39" t="s">
        <v>47</v>
      </c>
      <c r="AA31" s="39" t="s">
        <v>69</v>
      </c>
      <c r="AB31" s="39" t="s">
        <v>335</v>
      </c>
      <c r="AI31" s="39"/>
      <c r="AJ31" s="39"/>
      <c r="AK31" s="39"/>
      <c r="AL31" s="39"/>
      <c r="AM31" s="39"/>
    </row>
    <row r="32" spans="1:48" x14ac:dyDescent="0.15">
      <c r="A32" s="39" t="s">
        <v>34</v>
      </c>
      <c r="B32" s="39" t="s">
        <v>337</v>
      </c>
      <c r="C32" s="39">
        <v>2020</v>
      </c>
      <c r="D32" s="85" t="s">
        <v>345</v>
      </c>
      <c r="E32" s="39" t="s">
        <v>365</v>
      </c>
      <c r="F32" s="39" t="s">
        <v>355</v>
      </c>
      <c r="G32" s="39" t="s">
        <v>36</v>
      </c>
      <c r="H32" s="39" t="s">
        <v>128</v>
      </c>
      <c r="I32" s="39" t="s">
        <v>142</v>
      </c>
      <c r="J32" s="39" t="s">
        <v>80</v>
      </c>
      <c r="K32" s="39" t="s">
        <v>45</v>
      </c>
      <c r="L32" s="39">
        <v>1</v>
      </c>
      <c r="N32" s="39">
        <v>5</v>
      </c>
      <c r="O32" s="39">
        <v>0.2</v>
      </c>
      <c r="P32" s="39">
        <v>0.2</v>
      </c>
      <c r="Q32" s="61">
        <f t="shared" si="0"/>
        <v>0.2</v>
      </c>
      <c r="R32" s="39">
        <v>14.4</v>
      </c>
      <c r="S32" s="39">
        <v>74.5</v>
      </c>
      <c r="T32" s="45">
        <f t="shared" si="1"/>
        <v>42</v>
      </c>
      <c r="U32" s="39">
        <v>463</v>
      </c>
      <c r="V32" s="45">
        <f t="shared" si="2"/>
        <v>3889.2</v>
      </c>
      <c r="W32" s="39">
        <v>16</v>
      </c>
      <c r="X32" s="39" t="s">
        <v>46</v>
      </c>
      <c r="Y32" s="39" t="s">
        <v>55</v>
      </c>
      <c r="Z32" s="39" t="s">
        <v>47</v>
      </c>
      <c r="AA32" s="39" t="s">
        <v>69</v>
      </c>
      <c r="AB32" s="39" t="s">
        <v>335</v>
      </c>
      <c r="AI32" s="39"/>
      <c r="AJ32" s="39"/>
      <c r="AK32" s="39"/>
      <c r="AL32" s="39"/>
      <c r="AM32" s="39"/>
    </row>
    <row r="33" spans="1:28" s="39" customFormat="1" x14ac:dyDescent="0.15">
      <c r="A33" s="39" t="s">
        <v>34</v>
      </c>
      <c r="B33" s="39" t="s">
        <v>337</v>
      </c>
      <c r="C33" s="39">
        <v>2020</v>
      </c>
      <c r="D33" s="85" t="s">
        <v>345</v>
      </c>
      <c r="E33" s="39" t="s">
        <v>365</v>
      </c>
      <c r="F33" s="39" t="s">
        <v>355</v>
      </c>
      <c r="G33" s="39" t="s">
        <v>36</v>
      </c>
      <c r="H33" s="39" t="s">
        <v>128</v>
      </c>
      <c r="I33" s="39" t="s">
        <v>142</v>
      </c>
      <c r="J33" s="39" t="s">
        <v>80</v>
      </c>
      <c r="K33" s="39" t="s">
        <v>45</v>
      </c>
      <c r="L33" s="39">
        <v>2</v>
      </c>
      <c r="N33" s="39">
        <v>5</v>
      </c>
      <c r="O33" s="39">
        <v>0.2</v>
      </c>
      <c r="P33" s="39">
        <v>0.2</v>
      </c>
      <c r="Q33" s="61">
        <f t="shared" si="0"/>
        <v>0.2</v>
      </c>
      <c r="R33" s="39">
        <v>15.1</v>
      </c>
      <c r="S33" s="39">
        <v>75.5</v>
      </c>
      <c r="T33" s="45">
        <f t="shared" si="1"/>
        <v>42</v>
      </c>
      <c r="U33" s="39">
        <v>463</v>
      </c>
      <c r="V33" s="45">
        <f t="shared" si="2"/>
        <v>3889.2</v>
      </c>
      <c r="W33" s="39">
        <v>16</v>
      </c>
      <c r="X33" s="39" t="s">
        <v>46</v>
      </c>
      <c r="Y33" s="39" t="s">
        <v>55</v>
      </c>
      <c r="Z33" s="39" t="s">
        <v>47</v>
      </c>
      <c r="AA33" s="39" t="s">
        <v>69</v>
      </c>
      <c r="AB33" s="39" t="s">
        <v>335</v>
      </c>
    </row>
    <row r="34" spans="1:28" s="39" customFormat="1" x14ac:dyDescent="0.15">
      <c r="A34" s="39" t="s">
        <v>34</v>
      </c>
      <c r="B34" s="39" t="s">
        <v>337</v>
      </c>
      <c r="C34" s="39">
        <v>2020</v>
      </c>
      <c r="D34" s="85" t="s">
        <v>345</v>
      </c>
      <c r="E34" s="39" t="s">
        <v>365</v>
      </c>
      <c r="F34" s="39" t="s">
        <v>355</v>
      </c>
      <c r="G34" s="39" t="s">
        <v>36</v>
      </c>
      <c r="H34" s="39" t="s">
        <v>128</v>
      </c>
      <c r="I34" s="39" t="s">
        <v>142</v>
      </c>
      <c r="J34" s="39" t="s">
        <v>80</v>
      </c>
      <c r="K34" s="39" t="s">
        <v>45</v>
      </c>
      <c r="L34" s="39">
        <v>3</v>
      </c>
      <c r="N34" s="39">
        <v>5</v>
      </c>
      <c r="O34" s="39">
        <v>0.2</v>
      </c>
      <c r="P34" s="39">
        <v>0.2</v>
      </c>
      <c r="Q34" s="61">
        <f t="shared" si="0"/>
        <v>0.2</v>
      </c>
      <c r="R34" s="39">
        <v>14.9</v>
      </c>
      <c r="S34" s="39">
        <v>75.5</v>
      </c>
      <c r="T34" s="45">
        <f t="shared" si="1"/>
        <v>42</v>
      </c>
      <c r="U34" s="39">
        <v>463</v>
      </c>
      <c r="V34" s="45">
        <f t="shared" si="2"/>
        <v>3889.2</v>
      </c>
      <c r="W34" s="39">
        <v>16</v>
      </c>
      <c r="X34" s="39" t="s">
        <v>46</v>
      </c>
      <c r="Y34" s="39" t="s">
        <v>55</v>
      </c>
      <c r="Z34" s="39" t="s">
        <v>47</v>
      </c>
      <c r="AA34" s="39" t="s">
        <v>69</v>
      </c>
      <c r="AB34" s="39" t="s">
        <v>335</v>
      </c>
    </row>
    <row r="35" spans="1:28" s="39" customFormat="1" x14ac:dyDescent="0.15">
      <c r="A35" s="39" t="s">
        <v>34</v>
      </c>
      <c r="B35" s="39" t="s">
        <v>337</v>
      </c>
      <c r="C35" s="39">
        <v>2020</v>
      </c>
      <c r="D35" s="85" t="s">
        <v>345</v>
      </c>
      <c r="E35" s="39" t="s">
        <v>365</v>
      </c>
      <c r="F35" s="39" t="s">
        <v>355</v>
      </c>
      <c r="G35" s="39" t="s">
        <v>36</v>
      </c>
      <c r="H35" s="39" t="s">
        <v>127</v>
      </c>
      <c r="I35" s="39" t="s">
        <v>142</v>
      </c>
      <c r="J35" s="39" t="s">
        <v>80</v>
      </c>
      <c r="K35" s="39" t="s">
        <v>59</v>
      </c>
      <c r="L35" s="39">
        <v>1</v>
      </c>
      <c r="N35" s="39">
        <v>4</v>
      </c>
      <c r="O35" s="39">
        <v>0.8</v>
      </c>
      <c r="P35" s="39">
        <v>0.9</v>
      </c>
      <c r="Q35" s="45">
        <f t="shared" si="0"/>
        <v>0.85000000000000009</v>
      </c>
      <c r="R35" s="39">
        <v>14.4</v>
      </c>
      <c r="S35" s="39">
        <v>71</v>
      </c>
      <c r="T35" s="45">
        <f t="shared" si="1"/>
        <v>42</v>
      </c>
      <c r="U35" s="39">
        <v>463</v>
      </c>
      <c r="V35" s="45">
        <f t="shared" si="2"/>
        <v>4861.5</v>
      </c>
      <c r="W35" s="39">
        <v>16</v>
      </c>
      <c r="X35" s="39" t="s">
        <v>46</v>
      </c>
      <c r="Y35" s="39" t="s">
        <v>55</v>
      </c>
      <c r="Z35" s="39" t="s">
        <v>47</v>
      </c>
      <c r="AA35" s="39" t="s">
        <v>69</v>
      </c>
      <c r="AB35" s="39" t="s">
        <v>335</v>
      </c>
    </row>
    <row r="36" spans="1:28" s="39" customFormat="1" x14ac:dyDescent="0.15">
      <c r="A36" s="39" t="s">
        <v>34</v>
      </c>
      <c r="B36" s="39" t="s">
        <v>337</v>
      </c>
      <c r="C36" s="39">
        <v>2020</v>
      </c>
      <c r="D36" s="85" t="s">
        <v>345</v>
      </c>
      <c r="E36" s="39" t="s">
        <v>365</v>
      </c>
      <c r="F36" s="39" t="s">
        <v>355</v>
      </c>
      <c r="G36" s="39" t="s">
        <v>36</v>
      </c>
      <c r="H36" s="39" t="s">
        <v>127</v>
      </c>
      <c r="I36" s="39" t="s">
        <v>142</v>
      </c>
      <c r="J36" s="39" t="s">
        <v>80</v>
      </c>
      <c r="K36" s="39" t="s">
        <v>59</v>
      </c>
      <c r="L36" s="39">
        <v>2</v>
      </c>
      <c r="N36" s="39">
        <v>4</v>
      </c>
      <c r="O36" s="39">
        <v>0.65</v>
      </c>
      <c r="P36" s="39">
        <v>0.5</v>
      </c>
      <c r="Q36" s="45">
        <f t="shared" si="0"/>
        <v>0.57499999999999996</v>
      </c>
      <c r="R36" s="39">
        <v>10.8</v>
      </c>
      <c r="S36" s="39">
        <v>74</v>
      </c>
      <c r="T36" s="45">
        <f t="shared" si="1"/>
        <v>42</v>
      </c>
      <c r="U36" s="39">
        <v>463</v>
      </c>
      <c r="V36" s="45">
        <f t="shared" si="2"/>
        <v>4861.5</v>
      </c>
      <c r="W36" s="39">
        <v>16</v>
      </c>
      <c r="X36" s="39" t="s">
        <v>46</v>
      </c>
      <c r="Y36" s="39" t="s">
        <v>55</v>
      </c>
      <c r="Z36" s="39" t="s">
        <v>47</v>
      </c>
      <c r="AA36" s="39" t="s">
        <v>69</v>
      </c>
      <c r="AB36" s="39" t="s">
        <v>335</v>
      </c>
    </row>
    <row r="37" spans="1:28" s="39" customFormat="1" x14ac:dyDescent="0.15">
      <c r="A37" s="39" t="s">
        <v>34</v>
      </c>
      <c r="B37" s="39" t="s">
        <v>337</v>
      </c>
      <c r="C37" s="39">
        <v>2020</v>
      </c>
      <c r="D37" s="85" t="s">
        <v>345</v>
      </c>
      <c r="E37" s="39" t="s">
        <v>365</v>
      </c>
      <c r="F37" s="39" t="s">
        <v>355</v>
      </c>
      <c r="G37" s="39" t="s">
        <v>36</v>
      </c>
      <c r="H37" s="39" t="s">
        <v>127</v>
      </c>
      <c r="I37" s="39" t="s">
        <v>142</v>
      </c>
      <c r="J37" s="39" t="s">
        <v>80</v>
      </c>
      <c r="K37" s="39" t="s">
        <v>367</v>
      </c>
      <c r="L37" s="39">
        <v>3</v>
      </c>
      <c r="N37" s="39">
        <v>4</v>
      </c>
      <c r="O37" s="39">
        <v>0.8</v>
      </c>
      <c r="P37" s="39">
        <v>1.1000000000000001</v>
      </c>
      <c r="Q37" s="45">
        <f t="shared" si="0"/>
        <v>0.95000000000000007</v>
      </c>
      <c r="R37" s="39">
        <v>13.5</v>
      </c>
      <c r="S37" s="39">
        <v>84</v>
      </c>
      <c r="T37" s="45">
        <f t="shared" si="1"/>
        <v>36</v>
      </c>
      <c r="U37" s="39">
        <v>463</v>
      </c>
      <c r="V37" s="45">
        <f t="shared" si="2"/>
        <v>4167</v>
      </c>
      <c r="W37" s="39">
        <v>16</v>
      </c>
      <c r="X37" s="39" t="s">
        <v>46</v>
      </c>
      <c r="Y37" s="39" t="s">
        <v>55</v>
      </c>
      <c r="Z37" s="39" t="s">
        <v>47</v>
      </c>
      <c r="AA37" s="39" t="s">
        <v>69</v>
      </c>
      <c r="AB37" s="39" t="s">
        <v>335</v>
      </c>
    </row>
    <row r="38" spans="1:28" s="39" customFormat="1" x14ac:dyDescent="0.15">
      <c r="A38" s="39" t="s">
        <v>34</v>
      </c>
      <c r="B38" s="39" t="s">
        <v>337</v>
      </c>
      <c r="C38" s="39">
        <v>2020</v>
      </c>
      <c r="D38" s="85" t="s">
        <v>345</v>
      </c>
      <c r="E38" s="39" t="s">
        <v>359</v>
      </c>
      <c r="F38" s="39" t="s">
        <v>355</v>
      </c>
      <c r="G38" s="39" t="s">
        <v>36</v>
      </c>
      <c r="H38" s="39" t="s">
        <v>146</v>
      </c>
      <c r="I38" s="39" t="s">
        <v>142</v>
      </c>
      <c r="J38" s="39" t="s">
        <v>38</v>
      </c>
      <c r="K38" s="39" t="s">
        <v>143</v>
      </c>
      <c r="L38" s="39">
        <v>1</v>
      </c>
      <c r="N38" s="39">
        <v>1</v>
      </c>
      <c r="O38" s="39">
        <v>0.55000000000000004</v>
      </c>
      <c r="P38" s="39">
        <v>0.5</v>
      </c>
      <c r="Q38" s="45">
        <f t="shared" si="0"/>
        <v>0.52500000000000002</v>
      </c>
      <c r="R38" s="39">
        <v>18.5</v>
      </c>
      <c r="S38" s="39">
        <v>173.5</v>
      </c>
      <c r="T38" s="45">
        <f t="shared" si="1"/>
        <v>30</v>
      </c>
      <c r="U38" s="39">
        <v>137</v>
      </c>
      <c r="V38" s="45">
        <f t="shared" si="2"/>
        <v>4110</v>
      </c>
      <c r="W38" s="39">
        <v>13</v>
      </c>
      <c r="X38" s="39" t="s">
        <v>46</v>
      </c>
      <c r="Y38" s="39" t="s">
        <v>40</v>
      </c>
      <c r="Z38" s="39" t="s">
        <v>55</v>
      </c>
      <c r="AA38" s="39" t="s">
        <v>60</v>
      </c>
      <c r="AB38" s="39" t="s">
        <v>335</v>
      </c>
    </row>
    <row r="39" spans="1:28" s="39" customFormat="1" x14ac:dyDescent="0.15">
      <c r="A39" s="39" t="s">
        <v>34</v>
      </c>
      <c r="B39" s="39" t="s">
        <v>337</v>
      </c>
      <c r="C39" s="39">
        <v>2020</v>
      </c>
      <c r="D39" s="85" t="s">
        <v>345</v>
      </c>
      <c r="E39" s="39" t="s">
        <v>359</v>
      </c>
      <c r="F39" s="39" t="s">
        <v>355</v>
      </c>
      <c r="G39" s="39" t="s">
        <v>36</v>
      </c>
      <c r="H39" s="39" t="s">
        <v>146</v>
      </c>
      <c r="I39" s="39" t="s">
        <v>142</v>
      </c>
      <c r="J39" s="39" t="s">
        <v>38</v>
      </c>
      <c r="K39" s="39" t="s">
        <v>143</v>
      </c>
      <c r="L39" s="39">
        <v>2</v>
      </c>
      <c r="N39" s="39">
        <v>1</v>
      </c>
      <c r="O39" s="39">
        <v>0.7</v>
      </c>
      <c r="P39" s="39">
        <v>0.65</v>
      </c>
      <c r="Q39" s="45">
        <f t="shared" si="0"/>
        <v>0.67500000000000004</v>
      </c>
      <c r="R39" s="39">
        <v>15.6</v>
      </c>
      <c r="S39" s="39">
        <v>152</v>
      </c>
      <c r="T39" s="45">
        <f t="shared" si="1"/>
        <v>30</v>
      </c>
      <c r="U39" s="39">
        <v>137</v>
      </c>
      <c r="V39" s="45">
        <f t="shared" si="2"/>
        <v>4110</v>
      </c>
      <c r="W39" s="39">
        <v>13</v>
      </c>
      <c r="X39" s="39" t="s">
        <v>46</v>
      </c>
      <c r="Y39" s="39" t="s">
        <v>40</v>
      </c>
      <c r="Z39" s="39" t="s">
        <v>55</v>
      </c>
      <c r="AA39" s="39" t="s">
        <v>60</v>
      </c>
      <c r="AB39" s="39" t="s">
        <v>335</v>
      </c>
    </row>
    <row r="40" spans="1:28" s="39" customFormat="1" x14ac:dyDescent="0.15">
      <c r="A40" s="39" t="s">
        <v>34</v>
      </c>
      <c r="B40" s="39" t="s">
        <v>337</v>
      </c>
      <c r="C40" s="39">
        <v>2020</v>
      </c>
      <c r="D40" s="85" t="s">
        <v>345</v>
      </c>
      <c r="E40" s="39" t="s">
        <v>359</v>
      </c>
      <c r="F40" s="39" t="s">
        <v>355</v>
      </c>
      <c r="G40" s="39" t="s">
        <v>36</v>
      </c>
      <c r="H40" s="39" t="s">
        <v>146</v>
      </c>
      <c r="I40" s="39" t="s">
        <v>142</v>
      </c>
      <c r="J40" s="39" t="s">
        <v>38</v>
      </c>
      <c r="K40" s="39" t="s">
        <v>143</v>
      </c>
      <c r="L40" s="39">
        <v>3</v>
      </c>
      <c r="N40" s="39">
        <v>1</v>
      </c>
      <c r="O40" s="39">
        <v>0.7</v>
      </c>
      <c r="P40" s="39">
        <v>0.75</v>
      </c>
      <c r="Q40" s="45">
        <f t="shared" si="0"/>
        <v>0.72499999999999998</v>
      </c>
      <c r="R40" s="39">
        <v>16.7</v>
      </c>
      <c r="S40" s="39">
        <v>165.5</v>
      </c>
      <c r="T40" s="45">
        <f t="shared" si="1"/>
        <v>30</v>
      </c>
      <c r="U40" s="39">
        <v>137</v>
      </c>
      <c r="V40" s="45">
        <f t="shared" si="2"/>
        <v>4110</v>
      </c>
      <c r="W40" s="39">
        <v>13</v>
      </c>
      <c r="X40" s="39" t="s">
        <v>46</v>
      </c>
      <c r="Y40" s="39" t="s">
        <v>40</v>
      </c>
      <c r="Z40" s="39" t="s">
        <v>55</v>
      </c>
      <c r="AA40" s="39" t="s">
        <v>60</v>
      </c>
      <c r="AB40" s="39" t="s">
        <v>335</v>
      </c>
    </row>
    <row r="41" spans="1:28" s="39" customFormat="1" x14ac:dyDescent="0.15">
      <c r="A41" s="39" t="s">
        <v>34</v>
      </c>
      <c r="B41" s="39" t="s">
        <v>337</v>
      </c>
      <c r="C41" s="39">
        <v>2020</v>
      </c>
      <c r="D41" s="85" t="s">
        <v>345</v>
      </c>
      <c r="E41" s="39" t="s">
        <v>359</v>
      </c>
      <c r="F41" s="39" t="s">
        <v>355</v>
      </c>
      <c r="G41" s="39" t="s">
        <v>36</v>
      </c>
      <c r="H41" s="39" t="s">
        <v>146</v>
      </c>
      <c r="I41" s="39" t="s">
        <v>142</v>
      </c>
      <c r="J41" s="39" t="s">
        <v>38</v>
      </c>
      <c r="K41" s="39" t="s">
        <v>143</v>
      </c>
      <c r="L41" s="39">
        <v>1</v>
      </c>
      <c r="N41" s="39">
        <v>4</v>
      </c>
      <c r="O41" s="39">
        <v>0.6</v>
      </c>
      <c r="P41" s="39">
        <v>0.75</v>
      </c>
      <c r="Q41" s="45">
        <f t="shared" si="0"/>
        <v>0.67500000000000004</v>
      </c>
      <c r="R41" s="39">
        <v>15.8</v>
      </c>
      <c r="S41" s="39">
        <v>113</v>
      </c>
      <c r="T41" s="45">
        <f t="shared" si="1"/>
        <v>30</v>
      </c>
      <c r="U41" s="39">
        <v>428</v>
      </c>
      <c r="V41" s="45">
        <f t="shared" si="2"/>
        <v>3210</v>
      </c>
      <c r="W41" s="39">
        <v>13</v>
      </c>
      <c r="X41" s="39" t="s">
        <v>46</v>
      </c>
      <c r="Y41" s="39" t="s">
        <v>40</v>
      </c>
      <c r="Z41" s="39" t="s">
        <v>55</v>
      </c>
      <c r="AA41" s="39" t="s">
        <v>60</v>
      </c>
      <c r="AB41" s="39" t="s">
        <v>335</v>
      </c>
    </row>
    <row r="42" spans="1:28" s="39" customFormat="1" x14ac:dyDescent="0.15">
      <c r="A42" s="39" t="s">
        <v>34</v>
      </c>
      <c r="B42" s="39" t="s">
        <v>337</v>
      </c>
      <c r="C42" s="39">
        <v>2020</v>
      </c>
      <c r="D42" s="85" t="s">
        <v>345</v>
      </c>
      <c r="E42" s="39" t="s">
        <v>359</v>
      </c>
      <c r="F42" s="39" t="s">
        <v>355</v>
      </c>
      <c r="G42" s="39" t="s">
        <v>36</v>
      </c>
      <c r="H42" s="39" t="s">
        <v>146</v>
      </c>
      <c r="I42" s="39" t="s">
        <v>142</v>
      </c>
      <c r="J42" s="39" t="s">
        <v>38</v>
      </c>
      <c r="K42" s="39" t="s">
        <v>143</v>
      </c>
      <c r="L42" s="39">
        <v>2</v>
      </c>
      <c r="N42" s="39">
        <v>4</v>
      </c>
      <c r="O42" s="39">
        <v>0.75</v>
      </c>
      <c r="P42" s="39">
        <v>0.85</v>
      </c>
      <c r="Q42" s="45">
        <f t="shared" si="0"/>
        <v>0.8</v>
      </c>
      <c r="R42" s="39">
        <v>17</v>
      </c>
      <c r="S42" s="39">
        <v>112.5</v>
      </c>
      <c r="T42" s="45">
        <f t="shared" si="1"/>
        <v>33</v>
      </c>
      <c r="U42" s="39">
        <v>428</v>
      </c>
      <c r="V42" s="45">
        <f t="shared" si="2"/>
        <v>3531</v>
      </c>
      <c r="W42" s="39">
        <v>13</v>
      </c>
      <c r="X42" s="39" t="s">
        <v>46</v>
      </c>
      <c r="Y42" s="39" t="s">
        <v>40</v>
      </c>
      <c r="Z42" s="39" t="s">
        <v>55</v>
      </c>
      <c r="AA42" s="39" t="s">
        <v>60</v>
      </c>
      <c r="AB42" s="39" t="s">
        <v>335</v>
      </c>
    </row>
    <row r="43" spans="1:28" s="39" customFormat="1" x14ac:dyDescent="0.15">
      <c r="A43" s="39" t="s">
        <v>34</v>
      </c>
      <c r="B43" s="39" t="s">
        <v>337</v>
      </c>
      <c r="C43" s="39">
        <v>2020</v>
      </c>
      <c r="D43" s="85" t="s">
        <v>345</v>
      </c>
      <c r="E43" s="39" t="s">
        <v>359</v>
      </c>
      <c r="F43" s="39" t="s">
        <v>355</v>
      </c>
      <c r="G43" s="39" t="s">
        <v>36</v>
      </c>
      <c r="H43" s="39" t="s">
        <v>146</v>
      </c>
      <c r="I43" s="39" t="s">
        <v>142</v>
      </c>
      <c r="J43" s="39" t="s">
        <v>38</v>
      </c>
      <c r="K43" s="39" t="s">
        <v>143</v>
      </c>
      <c r="L43" s="39">
        <v>3</v>
      </c>
      <c r="N43" s="39">
        <v>4</v>
      </c>
      <c r="O43" s="39">
        <v>0.85</v>
      </c>
      <c r="P43" s="39">
        <v>0.75</v>
      </c>
      <c r="Q43" s="45">
        <f t="shared" si="0"/>
        <v>0.8</v>
      </c>
      <c r="R43" s="39">
        <v>16.5</v>
      </c>
      <c r="S43" s="39">
        <v>104.5</v>
      </c>
      <c r="T43" s="45">
        <f t="shared" si="1"/>
        <v>33</v>
      </c>
      <c r="U43" s="39">
        <v>428</v>
      </c>
      <c r="V43" s="45">
        <f t="shared" si="2"/>
        <v>3531</v>
      </c>
      <c r="W43" s="39">
        <v>13</v>
      </c>
      <c r="X43" s="39" t="s">
        <v>46</v>
      </c>
      <c r="Y43" s="39" t="s">
        <v>40</v>
      </c>
      <c r="Z43" s="39" t="s">
        <v>55</v>
      </c>
      <c r="AA43" s="39" t="s">
        <v>60</v>
      </c>
      <c r="AB43" s="39" t="s">
        <v>335</v>
      </c>
    </row>
    <row r="44" spans="1:28" s="39" customFormat="1" x14ac:dyDescent="0.15">
      <c r="A44" s="39" t="s">
        <v>34</v>
      </c>
      <c r="B44" s="39" t="s">
        <v>337</v>
      </c>
      <c r="C44" s="39">
        <v>2020</v>
      </c>
      <c r="D44" s="85" t="s">
        <v>345</v>
      </c>
      <c r="E44" s="39" t="s">
        <v>359</v>
      </c>
      <c r="F44" s="39" t="s">
        <v>355</v>
      </c>
      <c r="G44" s="39" t="s">
        <v>36</v>
      </c>
      <c r="H44" s="39" t="s">
        <v>127</v>
      </c>
      <c r="I44" s="39" t="s">
        <v>142</v>
      </c>
      <c r="J44" s="39" t="s">
        <v>80</v>
      </c>
      <c r="K44" s="39" t="s">
        <v>54</v>
      </c>
      <c r="L44" s="39">
        <v>1</v>
      </c>
      <c r="N44" s="39">
        <v>1</v>
      </c>
      <c r="O44" s="39">
        <v>1.4</v>
      </c>
      <c r="P44" s="39">
        <v>1</v>
      </c>
      <c r="Q44" s="45">
        <f t="shared" si="0"/>
        <v>1.2</v>
      </c>
      <c r="R44" s="39">
        <v>15.1</v>
      </c>
      <c r="S44" s="39">
        <v>107</v>
      </c>
      <c r="T44" s="45">
        <f t="shared" si="1"/>
        <v>33</v>
      </c>
      <c r="U44" s="39">
        <v>137</v>
      </c>
      <c r="V44" s="45">
        <f t="shared" si="2"/>
        <v>4521</v>
      </c>
      <c r="W44" s="39">
        <v>13</v>
      </c>
      <c r="X44" s="39" t="s">
        <v>46</v>
      </c>
      <c r="Y44" s="39" t="s">
        <v>40</v>
      </c>
      <c r="Z44" s="39" t="s">
        <v>55</v>
      </c>
      <c r="AA44" s="39" t="s">
        <v>60</v>
      </c>
      <c r="AB44" s="39" t="s">
        <v>335</v>
      </c>
    </row>
    <row r="45" spans="1:28" s="39" customFormat="1" x14ac:dyDescent="0.15">
      <c r="A45" s="39" t="s">
        <v>34</v>
      </c>
      <c r="B45" s="39" t="s">
        <v>337</v>
      </c>
      <c r="C45" s="39">
        <v>2020</v>
      </c>
      <c r="D45" s="85" t="s">
        <v>345</v>
      </c>
      <c r="E45" s="39" t="s">
        <v>359</v>
      </c>
      <c r="F45" s="39" t="s">
        <v>355</v>
      </c>
      <c r="G45" s="39" t="s">
        <v>36</v>
      </c>
      <c r="H45" s="39" t="s">
        <v>127</v>
      </c>
      <c r="I45" s="39" t="s">
        <v>142</v>
      </c>
      <c r="J45" s="39" t="s">
        <v>80</v>
      </c>
      <c r="K45" s="39" t="s">
        <v>54</v>
      </c>
      <c r="L45" s="39">
        <v>2</v>
      </c>
      <c r="N45" s="39">
        <v>1</v>
      </c>
      <c r="O45" s="39">
        <v>0.7</v>
      </c>
      <c r="P45" s="39">
        <v>0.6</v>
      </c>
      <c r="Q45" s="45">
        <f t="shared" si="0"/>
        <v>0.64999999999999991</v>
      </c>
      <c r="R45" s="39">
        <v>15</v>
      </c>
      <c r="S45" s="39">
        <v>102</v>
      </c>
      <c r="T45" s="45">
        <f t="shared" si="1"/>
        <v>33</v>
      </c>
      <c r="U45" s="39">
        <v>137</v>
      </c>
      <c r="V45" s="45">
        <f t="shared" si="2"/>
        <v>4521</v>
      </c>
      <c r="W45" s="39">
        <v>13</v>
      </c>
      <c r="X45" s="39" t="s">
        <v>46</v>
      </c>
      <c r="Y45" s="39" t="s">
        <v>40</v>
      </c>
      <c r="Z45" s="39" t="s">
        <v>55</v>
      </c>
      <c r="AA45" s="39" t="s">
        <v>60</v>
      </c>
      <c r="AB45" s="39" t="s">
        <v>335</v>
      </c>
    </row>
    <row r="46" spans="1:28" s="39" customFormat="1" x14ac:dyDescent="0.15">
      <c r="A46" s="39" t="s">
        <v>34</v>
      </c>
      <c r="B46" s="39" t="s">
        <v>337</v>
      </c>
      <c r="C46" s="39">
        <v>2020</v>
      </c>
      <c r="D46" s="85" t="s">
        <v>345</v>
      </c>
      <c r="E46" s="39" t="s">
        <v>359</v>
      </c>
      <c r="F46" s="39" t="s">
        <v>355</v>
      </c>
      <c r="G46" s="39" t="s">
        <v>36</v>
      </c>
      <c r="H46" s="39" t="s">
        <v>127</v>
      </c>
      <c r="I46" s="39" t="s">
        <v>142</v>
      </c>
      <c r="J46" s="39" t="s">
        <v>80</v>
      </c>
      <c r="K46" s="39" t="s">
        <v>54</v>
      </c>
      <c r="L46" s="39">
        <v>3</v>
      </c>
      <c r="N46" s="39">
        <v>1</v>
      </c>
      <c r="O46" s="39">
        <v>0.95</v>
      </c>
      <c r="P46" s="39">
        <v>0.8</v>
      </c>
      <c r="Q46" s="45">
        <f t="shared" si="0"/>
        <v>0.875</v>
      </c>
      <c r="R46" s="39">
        <v>14.9</v>
      </c>
      <c r="S46" s="39">
        <v>96</v>
      </c>
      <c r="T46" s="45">
        <f t="shared" si="1"/>
        <v>36</v>
      </c>
      <c r="U46" s="39">
        <v>137</v>
      </c>
      <c r="V46" s="45">
        <f t="shared" si="2"/>
        <v>4932</v>
      </c>
      <c r="W46" s="39">
        <v>13</v>
      </c>
      <c r="X46" s="39" t="s">
        <v>46</v>
      </c>
      <c r="Y46" s="39" t="s">
        <v>40</v>
      </c>
      <c r="Z46" s="39" t="s">
        <v>55</v>
      </c>
      <c r="AA46" s="39" t="s">
        <v>60</v>
      </c>
      <c r="AB46" s="39" t="s">
        <v>335</v>
      </c>
    </row>
    <row r="47" spans="1:28" s="39" customFormat="1" x14ac:dyDescent="0.15">
      <c r="A47" s="39" t="s">
        <v>34</v>
      </c>
      <c r="B47" s="39" t="s">
        <v>337</v>
      </c>
      <c r="C47" s="39">
        <v>2020</v>
      </c>
      <c r="D47" s="85" t="s">
        <v>345</v>
      </c>
      <c r="E47" s="39" t="s">
        <v>368</v>
      </c>
      <c r="F47" s="39" t="s">
        <v>364</v>
      </c>
      <c r="G47" s="39" t="s">
        <v>36</v>
      </c>
      <c r="H47" s="39" t="s">
        <v>146</v>
      </c>
      <c r="I47" s="39" t="s">
        <v>142</v>
      </c>
      <c r="J47" s="39" t="s">
        <v>38</v>
      </c>
      <c r="K47" s="39" t="s">
        <v>143</v>
      </c>
      <c r="L47" s="39">
        <v>1</v>
      </c>
      <c r="N47" s="39">
        <v>1</v>
      </c>
      <c r="O47" s="39">
        <v>0.6</v>
      </c>
      <c r="P47" s="39">
        <v>0.65</v>
      </c>
      <c r="Q47" s="45">
        <f t="shared" si="0"/>
        <v>0.625</v>
      </c>
      <c r="R47" s="39">
        <v>16.600000000000001</v>
      </c>
      <c r="S47" s="39">
        <v>169.5</v>
      </c>
      <c r="T47" s="45">
        <f t="shared" si="1"/>
        <v>30</v>
      </c>
      <c r="U47" s="39">
        <v>482</v>
      </c>
      <c r="V47" s="45">
        <f t="shared" si="2"/>
        <v>14460</v>
      </c>
      <c r="W47" s="39">
        <v>4</v>
      </c>
      <c r="X47" s="39" t="s">
        <v>46</v>
      </c>
      <c r="Y47" s="39" t="s">
        <v>47</v>
      </c>
      <c r="Z47" s="39" t="s">
        <v>90</v>
      </c>
      <c r="AA47" s="39" t="s">
        <v>40</v>
      </c>
      <c r="AB47" s="39" t="s">
        <v>335</v>
      </c>
    </row>
    <row r="48" spans="1:28" s="39" customFormat="1" x14ac:dyDescent="0.15">
      <c r="A48" s="39" t="s">
        <v>34</v>
      </c>
      <c r="B48" s="39" t="s">
        <v>337</v>
      </c>
      <c r="C48" s="39">
        <v>2020</v>
      </c>
      <c r="D48" s="85" t="s">
        <v>345</v>
      </c>
      <c r="E48" s="39" t="s">
        <v>368</v>
      </c>
      <c r="F48" s="39" t="s">
        <v>364</v>
      </c>
      <c r="G48" s="39" t="s">
        <v>36</v>
      </c>
      <c r="H48" s="39" t="s">
        <v>146</v>
      </c>
      <c r="I48" s="39" t="s">
        <v>142</v>
      </c>
      <c r="J48" s="39" t="s">
        <v>38</v>
      </c>
      <c r="K48" s="39" t="s">
        <v>143</v>
      </c>
      <c r="L48" s="39">
        <v>2</v>
      </c>
      <c r="N48" s="39">
        <v>1</v>
      </c>
      <c r="O48" s="39">
        <v>0.75</v>
      </c>
      <c r="P48" s="39">
        <v>0.75</v>
      </c>
      <c r="Q48" s="45">
        <f t="shared" si="0"/>
        <v>0.75</v>
      </c>
      <c r="R48" s="39">
        <v>16.8</v>
      </c>
      <c r="S48" s="39">
        <v>148.5</v>
      </c>
      <c r="T48" s="45">
        <f t="shared" si="1"/>
        <v>30</v>
      </c>
      <c r="U48" s="39">
        <v>482</v>
      </c>
      <c r="V48" s="45">
        <f t="shared" si="2"/>
        <v>14460</v>
      </c>
      <c r="W48" s="39">
        <v>4</v>
      </c>
      <c r="X48" s="39" t="s">
        <v>46</v>
      </c>
      <c r="Y48" s="39" t="s">
        <v>47</v>
      </c>
      <c r="Z48" s="39" t="s">
        <v>90</v>
      </c>
      <c r="AA48" s="39" t="s">
        <v>40</v>
      </c>
      <c r="AB48" s="39" t="s">
        <v>335</v>
      </c>
    </row>
    <row r="49" spans="1:28" s="39" customFormat="1" x14ac:dyDescent="0.15">
      <c r="A49" s="39" t="s">
        <v>34</v>
      </c>
      <c r="B49" s="39" t="s">
        <v>337</v>
      </c>
      <c r="C49" s="39">
        <v>2020</v>
      </c>
      <c r="D49" s="85" t="s">
        <v>345</v>
      </c>
      <c r="E49" s="39" t="s">
        <v>368</v>
      </c>
      <c r="F49" s="39" t="s">
        <v>364</v>
      </c>
      <c r="G49" s="39" t="s">
        <v>36</v>
      </c>
      <c r="H49" s="39" t="s">
        <v>146</v>
      </c>
      <c r="I49" s="39" t="s">
        <v>142</v>
      </c>
      <c r="J49" s="39" t="s">
        <v>38</v>
      </c>
      <c r="K49" s="39" t="s">
        <v>143</v>
      </c>
      <c r="L49" s="39">
        <v>3</v>
      </c>
      <c r="N49" s="39">
        <v>1</v>
      </c>
      <c r="O49" s="39">
        <v>0.75</v>
      </c>
      <c r="P49" s="39">
        <v>0.7</v>
      </c>
      <c r="Q49" s="45">
        <f t="shared" si="0"/>
        <v>0.72499999999999998</v>
      </c>
      <c r="R49" s="39">
        <v>21.8</v>
      </c>
      <c r="S49" s="39">
        <v>154</v>
      </c>
      <c r="T49" s="45">
        <f t="shared" si="1"/>
        <v>30</v>
      </c>
      <c r="U49" s="39">
        <v>482</v>
      </c>
      <c r="V49" s="45">
        <f t="shared" si="2"/>
        <v>14460</v>
      </c>
      <c r="W49" s="39">
        <v>4</v>
      </c>
      <c r="X49" s="39" t="s">
        <v>46</v>
      </c>
      <c r="Y49" s="39" t="s">
        <v>47</v>
      </c>
      <c r="Z49" s="39" t="s">
        <v>90</v>
      </c>
      <c r="AA49" s="39" t="s">
        <v>40</v>
      </c>
      <c r="AB49" s="39" t="s">
        <v>335</v>
      </c>
    </row>
    <row r="50" spans="1:28" s="39" customFormat="1" x14ac:dyDescent="0.15">
      <c r="A50" s="39" t="s">
        <v>34</v>
      </c>
      <c r="B50" s="39" t="s">
        <v>337</v>
      </c>
      <c r="C50" s="39">
        <v>2020</v>
      </c>
      <c r="D50" s="85" t="s">
        <v>345</v>
      </c>
      <c r="E50" s="39" t="s">
        <v>361</v>
      </c>
      <c r="F50" s="39" t="s">
        <v>362</v>
      </c>
      <c r="G50" s="39" t="s">
        <v>36</v>
      </c>
      <c r="H50" s="39" t="s">
        <v>146</v>
      </c>
      <c r="I50" s="39" t="s">
        <v>142</v>
      </c>
      <c r="J50" s="39" t="s">
        <v>38</v>
      </c>
      <c r="K50" s="39" t="s">
        <v>143</v>
      </c>
      <c r="L50" s="39">
        <v>1</v>
      </c>
      <c r="N50" s="39">
        <v>4</v>
      </c>
      <c r="O50" s="39">
        <v>0.5</v>
      </c>
      <c r="P50" s="39">
        <v>0.45</v>
      </c>
      <c r="Q50" s="45">
        <f t="shared" si="0"/>
        <v>0.47499999999999998</v>
      </c>
      <c r="R50" s="39">
        <v>17.600000000000001</v>
      </c>
      <c r="S50" s="39">
        <v>101</v>
      </c>
      <c r="T50" s="45">
        <f t="shared" si="1"/>
        <v>33</v>
      </c>
      <c r="U50" s="39">
        <v>615</v>
      </c>
      <c r="V50" s="45">
        <f t="shared" si="2"/>
        <v>5073.75</v>
      </c>
      <c r="W50" s="39">
        <v>1</v>
      </c>
      <c r="X50" s="39" t="s">
        <v>46</v>
      </c>
      <c r="Y50" s="39" t="s">
        <v>40</v>
      </c>
      <c r="Z50" s="39" t="s">
        <v>69</v>
      </c>
      <c r="AA50" s="39" t="s">
        <v>60</v>
      </c>
      <c r="AB50" s="39" t="s">
        <v>335</v>
      </c>
    </row>
    <row r="51" spans="1:28" s="39" customFormat="1" x14ac:dyDescent="0.15">
      <c r="A51" s="39" t="s">
        <v>34</v>
      </c>
      <c r="B51" s="39" t="s">
        <v>337</v>
      </c>
      <c r="C51" s="39">
        <v>2020</v>
      </c>
      <c r="D51" s="85" t="s">
        <v>345</v>
      </c>
      <c r="E51" s="39" t="s">
        <v>361</v>
      </c>
      <c r="F51" s="39" t="s">
        <v>362</v>
      </c>
      <c r="G51" s="39" t="s">
        <v>36</v>
      </c>
      <c r="H51" s="39" t="s">
        <v>146</v>
      </c>
      <c r="I51" s="39" t="s">
        <v>142</v>
      </c>
      <c r="J51" s="39" t="s">
        <v>38</v>
      </c>
      <c r="K51" s="39" t="s">
        <v>143</v>
      </c>
      <c r="L51" s="39">
        <v>2</v>
      </c>
      <c r="N51" s="39">
        <v>4</v>
      </c>
      <c r="O51" s="39">
        <v>0.2</v>
      </c>
      <c r="P51" s="39">
        <v>0.2</v>
      </c>
      <c r="Q51" s="45">
        <f t="shared" si="0"/>
        <v>0.2</v>
      </c>
      <c r="R51" s="39">
        <v>16.899999999999999</v>
      </c>
      <c r="S51" s="39">
        <v>95</v>
      </c>
      <c r="T51" s="45">
        <f t="shared" si="1"/>
        <v>36</v>
      </c>
      <c r="U51" s="39">
        <v>615</v>
      </c>
      <c r="V51" s="45">
        <f t="shared" si="2"/>
        <v>5535</v>
      </c>
      <c r="W51" s="39">
        <v>1</v>
      </c>
      <c r="X51" s="39" t="s">
        <v>46</v>
      </c>
      <c r="Y51" s="39" t="s">
        <v>40</v>
      </c>
      <c r="Z51" s="39" t="s">
        <v>69</v>
      </c>
      <c r="AA51" s="39" t="s">
        <v>60</v>
      </c>
      <c r="AB51" s="39" t="s">
        <v>335</v>
      </c>
    </row>
    <row r="52" spans="1:28" s="39" customFormat="1" x14ac:dyDescent="0.15">
      <c r="A52" s="39" t="s">
        <v>34</v>
      </c>
      <c r="B52" s="39" t="s">
        <v>337</v>
      </c>
      <c r="C52" s="39">
        <v>2020</v>
      </c>
      <c r="D52" s="85" t="s">
        <v>345</v>
      </c>
      <c r="E52" s="39" t="s">
        <v>361</v>
      </c>
      <c r="F52" s="39" t="s">
        <v>362</v>
      </c>
      <c r="G52" s="39" t="s">
        <v>36</v>
      </c>
      <c r="H52" s="39" t="s">
        <v>146</v>
      </c>
      <c r="I52" s="39" t="s">
        <v>142</v>
      </c>
      <c r="J52" s="39" t="s">
        <v>38</v>
      </c>
      <c r="K52" s="39" t="s">
        <v>143</v>
      </c>
      <c r="L52" s="39">
        <v>3</v>
      </c>
      <c r="N52" s="39">
        <v>4</v>
      </c>
      <c r="O52" s="39">
        <v>0.5</v>
      </c>
      <c r="P52" s="39">
        <v>0.55000000000000004</v>
      </c>
      <c r="Q52" s="45">
        <f t="shared" si="0"/>
        <v>0.52500000000000002</v>
      </c>
      <c r="R52" s="39">
        <v>19.3</v>
      </c>
      <c r="S52" s="39">
        <v>103.5</v>
      </c>
      <c r="T52" s="45">
        <f t="shared" si="1"/>
        <v>33</v>
      </c>
      <c r="U52" s="39">
        <v>615</v>
      </c>
      <c r="V52" s="45">
        <f t="shared" si="2"/>
        <v>5073.75</v>
      </c>
      <c r="W52" s="39">
        <v>1</v>
      </c>
      <c r="X52" s="39" t="s">
        <v>46</v>
      </c>
      <c r="Y52" s="39" t="s">
        <v>40</v>
      </c>
      <c r="Z52" s="39" t="s">
        <v>69</v>
      </c>
      <c r="AA52" s="39" t="s">
        <v>60</v>
      </c>
      <c r="AB52" s="39" t="s">
        <v>335</v>
      </c>
    </row>
    <row r="53" spans="1:28" s="39" customFormat="1" x14ac:dyDescent="0.15">
      <c r="A53" s="39" t="s">
        <v>34</v>
      </c>
      <c r="B53" s="39" t="s">
        <v>337</v>
      </c>
      <c r="C53" s="39">
        <v>2020</v>
      </c>
      <c r="D53" s="85" t="s">
        <v>345</v>
      </c>
      <c r="E53" s="39" t="s">
        <v>360</v>
      </c>
      <c r="F53" s="39" t="s">
        <v>355</v>
      </c>
      <c r="G53" s="39" t="s">
        <v>36</v>
      </c>
      <c r="H53" s="39" t="s">
        <v>146</v>
      </c>
      <c r="I53" s="39" t="s">
        <v>142</v>
      </c>
      <c r="J53" s="39" t="s">
        <v>38</v>
      </c>
      <c r="K53" s="39" t="s">
        <v>143</v>
      </c>
      <c r="L53" s="39">
        <v>1</v>
      </c>
      <c r="N53" s="39">
        <v>1</v>
      </c>
      <c r="O53" s="39">
        <v>0.75</v>
      </c>
      <c r="P53" s="39">
        <v>0.6</v>
      </c>
      <c r="Q53" s="45">
        <f t="shared" si="0"/>
        <v>0.67500000000000004</v>
      </c>
      <c r="R53" s="39">
        <v>18.600000000000001</v>
      </c>
      <c r="S53" s="39">
        <v>127</v>
      </c>
      <c r="T53" s="45">
        <f t="shared" si="1"/>
        <v>30</v>
      </c>
      <c r="U53" s="39">
        <v>149</v>
      </c>
      <c r="V53" s="45">
        <f t="shared" si="2"/>
        <v>4470</v>
      </c>
      <c r="W53" s="39">
        <v>15</v>
      </c>
      <c r="X53" s="39" t="s">
        <v>46</v>
      </c>
      <c r="Y53" s="39" t="s">
        <v>69</v>
      </c>
      <c r="Z53" s="39" t="s">
        <v>55</v>
      </c>
      <c r="AA53" s="39" t="s">
        <v>40</v>
      </c>
      <c r="AB53" s="39" t="s">
        <v>335</v>
      </c>
    </row>
    <row r="54" spans="1:28" s="39" customFormat="1" x14ac:dyDescent="0.15">
      <c r="A54" s="39" t="s">
        <v>34</v>
      </c>
      <c r="B54" s="39" t="s">
        <v>337</v>
      </c>
      <c r="C54" s="39">
        <v>2020</v>
      </c>
      <c r="D54" s="85" t="s">
        <v>345</v>
      </c>
      <c r="E54" s="39" t="s">
        <v>360</v>
      </c>
      <c r="F54" s="39" t="s">
        <v>355</v>
      </c>
      <c r="G54" s="39" t="s">
        <v>36</v>
      </c>
      <c r="H54" s="39" t="s">
        <v>146</v>
      </c>
      <c r="I54" s="39" t="s">
        <v>142</v>
      </c>
      <c r="J54" s="39" t="s">
        <v>38</v>
      </c>
      <c r="K54" s="39" t="s">
        <v>143</v>
      </c>
      <c r="L54" s="39">
        <v>2</v>
      </c>
      <c r="N54" s="39">
        <v>1</v>
      </c>
      <c r="O54" s="39">
        <v>0.2</v>
      </c>
      <c r="P54" s="39">
        <v>0.2</v>
      </c>
      <c r="Q54" s="45">
        <f t="shared" si="0"/>
        <v>0.2</v>
      </c>
      <c r="R54" s="39">
        <v>19.2</v>
      </c>
      <c r="S54" s="39">
        <v>123.5</v>
      </c>
      <c r="T54" s="45">
        <f t="shared" si="1"/>
        <v>30</v>
      </c>
      <c r="U54" s="39">
        <v>149</v>
      </c>
      <c r="V54" s="45">
        <f t="shared" si="2"/>
        <v>4470</v>
      </c>
      <c r="W54" s="39">
        <v>15</v>
      </c>
      <c r="X54" s="39" t="s">
        <v>46</v>
      </c>
      <c r="Y54" s="39" t="s">
        <v>69</v>
      </c>
      <c r="Z54" s="39" t="s">
        <v>55</v>
      </c>
      <c r="AA54" s="39" t="s">
        <v>40</v>
      </c>
      <c r="AB54" s="39" t="s">
        <v>335</v>
      </c>
    </row>
    <row r="55" spans="1:28" s="39" customFormat="1" x14ac:dyDescent="0.15">
      <c r="A55" s="39" t="s">
        <v>34</v>
      </c>
      <c r="B55" s="39" t="s">
        <v>337</v>
      </c>
      <c r="C55" s="39">
        <v>2020</v>
      </c>
      <c r="D55" s="85" t="s">
        <v>345</v>
      </c>
      <c r="E55" s="39" t="s">
        <v>360</v>
      </c>
      <c r="F55" s="39" t="s">
        <v>355</v>
      </c>
      <c r="G55" s="39" t="s">
        <v>36</v>
      </c>
      <c r="H55" s="39" t="s">
        <v>146</v>
      </c>
      <c r="I55" s="39" t="s">
        <v>142</v>
      </c>
      <c r="J55" s="39" t="s">
        <v>366</v>
      </c>
      <c r="K55" s="39" t="s">
        <v>143</v>
      </c>
      <c r="L55" s="39">
        <v>3</v>
      </c>
      <c r="N55" s="39">
        <v>1</v>
      </c>
      <c r="O55" s="39">
        <v>0.45</v>
      </c>
      <c r="P55" s="39">
        <v>0.45</v>
      </c>
      <c r="Q55" s="45">
        <f t="shared" si="0"/>
        <v>0.45</v>
      </c>
      <c r="R55" s="39">
        <v>19.7</v>
      </c>
      <c r="S55" s="39">
        <v>127</v>
      </c>
      <c r="T55" s="45">
        <f t="shared" si="1"/>
        <v>30</v>
      </c>
      <c r="U55" s="39">
        <v>149</v>
      </c>
      <c r="V55" s="45">
        <f t="shared" si="2"/>
        <v>4470</v>
      </c>
      <c r="W55" s="39">
        <v>15</v>
      </c>
      <c r="X55" s="39" t="s">
        <v>46</v>
      </c>
      <c r="Y55" s="39" t="s">
        <v>69</v>
      </c>
      <c r="Z55" s="39" t="s">
        <v>55</v>
      </c>
      <c r="AA55" s="39" t="s">
        <v>40</v>
      </c>
      <c r="AB55" s="39" t="s">
        <v>335</v>
      </c>
    </row>
    <row r="56" spans="1:28" s="39" customFormat="1" x14ac:dyDescent="0.15">
      <c r="A56" s="39" t="s">
        <v>34</v>
      </c>
      <c r="B56" s="39" t="s">
        <v>337</v>
      </c>
      <c r="C56" s="39">
        <v>2020</v>
      </c>
      <c r="D56" s="85" t="s">
        <v>345</v>
      </c>
      <c r="E56" s="39" t="s">
        <v>360</v>
      </c>
      <c r="F56" s="39" t="s">
        <v>355</v>
      </c>
      <c r="G56" s="39" t="s">
        <v>36</v>
      </c>
      <c r="H56" s="39" t="s">
        <v>146</v>
      </c>
      <c r="I56" s="39" t="s">
        <v>142</v>
      </c>
      <c r="J56" s="39" t="s">
        <v>38</v>
      </c>
      <c r="K56" s="39" t="s">
        <v>143</v>
      </c>
      <c r="L56" s="39">
        <v>1</v>
      </c>
      <c r="N56" s="39">
        <v>1</v>
      </c>
      <c r="O56" s="39">
        <v>0.6</v>
      </c>
      <c r="P56" s="39">
        <v>0.55000000000000004</v>
      </c>
      <c r="Q56" s="45">
        <f t="shared" si="0"/>
        <v>0.57499999999999996</v>
      </c>
      <c r="R56" s="39">
        <v>16.7</v>
      </c>
      <c r="S56" s="39">
        <v>175</v>
      </c>
      <c r="T56" s="45">
        <f t="shared" si="1"/>
        <v>30</v>
      </c>
      <c r="U56" s="39">
        <v>213</v>
      </c>
      <c r="V56" s="45">
        <f t="shared" si="2"/>
        <v>6390</v>
      </c>
      <c r="W56" s="39">
        <v>15</v>
      </c>
      <c r="X56" s="39" t="s">
        <v>46</v>
      </c>
      <c r="Y56" s="39" t="s">
        <v>69</v>
      </c>
      <c r="Z56" s="39" t="s">
        <v>55</v>
      </c>
      <c r="AA56" s="39" t="s">
        <v>40</v>
      </c>
      <c r="AB56" s="39" t="s">
        <v>335</v>
      </c>
    </row>
    <row r="57" spans="1:28" s="39" customFormat="1" x14ac:dyDescent="0.15">
      <c r="A57" s="39" t="s">
        <v>34</v>
      </c>
      <c r="B57" s="39" t="s">
        <v>337</v>
      </c>
      <c r="C57" s="39">
        <v>2020</v>
      </c>
      <c r="D57" s="85" t="s">
        <v>345</v>
      </c>
      <c r="E57" s="39" t="s">
        <v>360</v>
      </c>
      <c r="F57" s="39" t="s">
        <v>355</v>
      </c>
      <c r="G57" s="39" t="s">
        <v>36</v>
      </c>
      <c r="H57" s="39" t="s">
        <v>146</v>
      </c>
      <c r="I57" s="39" t="s">
        <v>142</v>
      </c>
      <c r="J57" s="39" t="s">
        <v>38</v>
      </c>
      <c r="K57" s="39" t="s">
        <v>143</v>
      </c>
      <c r="L57" s="39">
        <v>2</v>
      </c>
      <c r="N57" s="39">
        <v>1</v>
      </c>
      <c r="O57" s="39">
        <v>0.7</v>
      </c>
      <c r="P57" s="39">
        <v>0.6</v>
      </c>
      <c r="Q57" s="45">
        <f t="shared" si="0"/>
        <v>0.64999999999999991</v>
      </c>
      <c r="R57" s="39">
        <v>18.7</v>
      </c>
      <c r="S57" s="39">
        <v>178.5</v>
      </c>
      <c r="T57" s="45">
        <f t="shared" si="1"/>
        <v>30</v>
      </c>
      <c r="U57" s="39">
        <v>213</v>
      </c>
      <c r="V57" s="45">
        <f t="shared" si="2"/>
        <v>6390</v>
      </c>
      <c r="W57" s="39">
        <v>15</v>
      </c>
      <c r="X57" s="39" t="s">
        <v>46</v>
      </c>
      <c r="Y57" s="39" t="s">
        <v>69</v>
      </c>
      <c r="Z57" s="39" t="s">
        <v>55</v>
      </c>
      <c r="AA57" s="39" t="s">
        <v>40</v>
      </c>
      <c r="AB57" s="39" t="s">
        <v>335</v>
      </c>
    </row>
    <row r="58" spans="1:28" s="39" customFormat="1" x14ac:dyDescent="0.15">
      <c r="A58" s="39" t="s">
        <v>34</v>
      </c>
      <c r="B58" s="39" t="s">
        <v>337</v>
      </c>
      <c r="C58" s="39">
        <v>2020</v>
      </c>
      <c r="D58" s="85" t="s">
        <v>345</v>
      </c>
      <c r="E58" s="39" t="s">
        <v>360</v>
      </c>
      <c r="F58" s="39" t="s">
        <v>355</v>
      </c>
      <c r="G58" s="39" t="s">
        <v>36</v>
      </c>
      <c r="H58" s="39" t="s">
        <v>146</v>
      </c>
      <c r="I58" s="39" t="s">
        <v>142</v>
      </c>
      <c r="J58" s="39" t="s">
        <v>38</v>
      </c>
      <c r="K58" s="39" t="s">
        <v>143</v>
      </c>
      <c r="L58" s="39">
        <v>3</v>
      </c>
      <c r="N58" s="39">
        <v>1</v>
      </c>
      <c r="O58" s="39">
        <v>0.65</v>
      </c>
      <c r="P58" s="39">
        <v>0.75</v>
      </c>
      <c r="Q58" s="45">
        <f t="shared" si="0"/>
        <v>0.7</v>
      </c>
      <c r="R58" s="39">
        <v>17.600000000000001</v>
      </c>
      <c r="S58" s="39">
        <v>177.5</v>
      </c>
      <c r="T58" s="45">
        <f t="shared" si="1"/>
        <v>30</v>
      </c>
      <c r="U58" s="39">
        <v>213</v>
      </c>
      <c r="V58" s="45">
        <f t="shared" si="2"/>
        <v>6390</v>
      </c>
      <c r="W58" s="39">
        <v>15</v>
      </c>
      <c r="X58" s="39" t="s">
        <v>46</v>
      </c>
      <c r="Y58" s="39" t="s">
        <v>69</v>
      </c>
      <c r="Z58" s="39" t="s">
        <v>55</v>
      </c>
      <c r="AA58" s="39" t="s">
        <v>40</v>
      </c>
      <c r="AB58" s="39" t="s">
        <v>335</v>
      </c>
    </row>
    <row r="59" spans="1:28" s="39" customFormat="1" x14ac:dyDescent="0.15">
      <c r="A59" s="39" t="s">
        <v>34</v>
      </c>
      <c r="B59" s="39" t="s">
        <v>337</v>
      </c>
      <c r="C59" s="39">
        <v>2020</v>
      </c>
      <c r="D59" s="85" t="s">
        <v>345</v>
      </c>
      <c r="E59" s="39" t="s">
        <v>360</v>
      </c>
      <c r="F59" s="39" t="s">
        <v>355</v>
      </c>
      <c r="G59" s="39" t="s">
        <v>36</v>
      </c>
      <c r="H59" s="39" t="s">
        <v>146</v>
      </c>
      <c r="I59" s="39" t="s">
        <v>142</v>
      </c>
      <c r="J59" s="39" t="s">
        <v>38</v>
      </c>
      <c r="K59" s="39" t="s">
        <v>143</v>
      </c>
      <c r="L59" s="39">
        <v>1</v>
      </c>
      <c r="N59" s="39">
        <v>4</v>
      </c>
      <c r="O59" s="39">
        <v>0.45</v>
      </c>
      <c r="P59" s="39">
        <v>0.55000000000000004</v>
      </c>
      <c r="Q59" s="45">
        <f t="shared" si="0"/>
        <v>0.5</v>
      </c>
      <c r="R59" s="39">
        <v>17.8</v>
      </c>
      <c r="S59" s="39">
        <v>97.5</v>
      </c>
      <c r="T59" s="45">
        <f t="shared" si="1"/>
        <v>36</v>
      </c>
      <c r="U59" s="39">
        <v>537</v>
      </c>
      <c r="V59" s="45">
        <f t="shared" si="2"/>
        <v>4833</v>
      </c>
      <c r="W59" s="39">
        <v>15</v>
      </c>
      <c r="X59" s="39" t="s">
        <v>46</v>
      </c>
      <c r="Y59" s="39" t="s">
        <v>69</v>
      </c>
      <c r="Z59" s="39" t="s">
        <v>55</v>
      </c>
      <c r="AA59" s="39" t="s">
        <v>40</v>
      </c>
      <c r="AB59" s="39" t="s">
        <v>335</v>
      </c>
    </row>
    <row r="60" spans="1:28" s="39" customFormat="1" x14ac:dyDescent="0.15">
      <c r="A60" s="39" t="s">
        <v>34</v>
      </c>
      <c r="B60" s="39" t="s">
        <v>337</v>
      </c>
      <c r="C60" s="39">
        <v>2020</v>
      </c>
      <c r="D60" s="85" t="s">
        <v>345</v>
      </c>
      <c r="E60" s="39" t="s">
        <v>360</v>
      </c>
      <c r="F60" s="39" t="s">
        <v>355</v>
      </c>
      <c r="G60" s="39" t="s">
        <v>36</v>
      </c>
      <c r="H60" s="39" t="s">
        <v>146</v>
      </c>
      <c r="I60" s="39" t="s">
        <v>142</v>
      </c>
      <c r="J60" s="39" t="s">
        <v>38</v>
      </c>
      <c r="K60" s="39" t="s">
        <v>143</v>
      </c>
      <c r="L60" s="39">
        <v>2</v>
      </c>
      <c r="N60" s="39">
        <v>4</v>
      </c>
      <c r="O60" s="39">
        <v>0.2</v>
      </c>
      <c r="P60" s="39">
        <v>0.2</v>
      </c>
      <c r="Q60" s="45">
        <f t="shared" si="0"/>
        <v>0.2</v>
      </c>
      <c r="R60" s="39">
        <v>17.3</v>
      </c>
      <c r="S60" s="39">
        <v>94</v>
      </c>
      <c r="T60" s="45">
        <f t="shared" si="1"/>
        <v>36</v>
      </c>
      <c r="U60" s="39">
        <v>537</v>
      </c>
      <c r="V60" s="45">
        <f t="shared" si="2"/>
        <v>4833</v>
      </c>
      <c r="W60" s="39">
        <v>15</v>
      </c>
      <c r="X60" s="39" t="s">
        <v>46</v>
      </c>
      <c r="Y60" s="39" t="s">
        <v>69</v>
      </c>
      <c r="Z60" s="39" t="s">
        <v>55</v>
      </c>
      <c r="AA60" s="39" t="s">
        <v>40</v>
      </c>
      <c r="AB60" s="39" t="s">
        <v>335</v>
      </c>
    </row>
    <row r="61" spans="1:28" s="39" customFormat="1" x14ac:dyDescent="0.15">
      <c r="A61" s="39" t="s">
        <v>34</v>
      </c>
      <c r="B61" s="39" t="s">
        <v>337</v>
      </c>
      <c r="C61" s="39">
        <v>2020</v>
      </c>
      <c r="D61" s="85" t="s">
        <v>345</v>
      </c>
      <c r="E61" s="39" t="s">
        <v>360</v>
      </c>
      <c r="F61" s="39" t="s">
        <v>355</v>
      </c>
      <c r="G61" s="39" t="s">
        <v>36</v>
      </c>
      <c r="H61" s="39" t="s">
        <v>146</v>
      </c>
      <c r="I61" s="39" t="s">
        <v>142</v>
      </c>
      <c r="J61" s="39" t="s">
        <v>38</v>
      </c>
      <c r="K61" s="39" t="s">
        <v>143</v>
      </c>
      <c r="L61" s="39">
        <v>3</v>
      </c>
      <c r="N61" s="39">
        <v>4</v>
      </c>
      <c r="O61" s="39">
        <v>0.55000000000000004</v>
      </c>
      <c r="P61" s="39">
        <v>0.9</v>
      </c>
      <c r="Q61" s="45">
        <f t="shared" si="0"/>
        <v>0.72500000000000009</v>
      </c>
      <c r="R61" s="39">
        <v>16.399999999999999</v>
      </c>
      <c r="S61" s="39">
        <v>98.5</v>
      </c>
      <c r="T61" s="45">
        <f t="shared" si="1"/>
        <v>36</v>
      </c>
      <c r="U61" s="39">
        <v>537</v>
      </c>
      <c r="V61" s="45">
        <f t="shared" si="2"/>
        <v>4833</v>
      </c>
      <c r="W61" s="39">
        <v>15</v>
      </c>
      <c r="X61" s="39" t="s">
        <v>46</v>
      </c>
      <c r="Y61" s="39" t="s">
        <v>69</v>
      </c>
      <c r="Z61" s="39" t="s">
        <v>55</v>
      </c>
      <c r="AA61" s="39" t="s">
        <v>40</v>
      </c>
      <c r="AB61" s="39" t="s">
        <v>335</v>
      </c>
    </row>
    <row r="62" spans="1:28" s="39" customFormat="1" x14ac:dyDescent="0.15">
      <c r="A62" s="39" t="s">
        <v>34</v>
      </c>
      <c r="B62" s="39" t="s">
        <v>337</v>
      </c>
      <c r="C62" s="39">
        <v>2020</v>
      </c>
      <c r="D62" s="85" t="s">
        <v>345</v>
      </c>
      <c r="E62" s="39" t="s">
        <v>360</v>
      </c>
      <c r="F62" s="39" t="s">
        <v>355</v>
      </c>
      <c r="G62" s="39" t="s">
        <v>36</v>
      </c>
      <c r="H62" s="39" t="s">
        <v>127</v>
      </c>
      <c r="I62" s="39" t="s">
        <v>142</v>
      </c>
      <c r="J62" s="39" t="s">
        <v>80</v>
      </c>
      <c r="K62" s="39" t="s">
        <v>54</v>
      </c>
      <c r="L62" s="39">
        <v>1</v>
      </c>
      <c r="N62" s="39">
        <v>1</v>
      </c>
      <c r="O62" s="39">
        <v>0.6</v>
      </c>
      <c r="P62" s="39">
        <v>0.85</v>
      </c>
      <c r="Q62" s="45">
        <f t="shared" si="0"/>
        <v>0.72499999999999998</v>
      </c>
      <c r="R62" s="39">
        <v>15.2</v>
      </c>
      <c r="S62" s="39">
        <v>110.5</v>
      </c>
      <c r="T62" s="45">
        <f t="shared" si="1"/>
        <v>33</v>
      </c>
      <c r="U62" s="39">
        <v>105</v>
      </c>
      <c r="V62" s="45">
        <f t="shared" si="2"/>
        <v>3465</v>
      </c>
      <c r="W62" s="39">
        <v>15</v>
      </c>
      <c r="X62" s="39" t="s">
        <v>46</v>
      </c>
      <c r="Y62" s="39" t="s">
        <v>69</v>
      </c>
      <c r="Z62" s="39" t="s">
        <v>55</v>
      </c>
      <c r="AA62" s="39" t="s">
        <v>40</v>
      </c>
      <c r="AB62" s="39" t="s">
        <v>335</v>
      </c>
    </row>
    <row r="63" spans="1:28" s="39" customFormat="1" x14ac:dyDescent="0.15">
      <c r="A63" s="39" t="s">
        <v>34</v>
      </c>
      <c r="B63" s="39" t="s">
        <v>337</v>
      </c>
      <c r="C63" s="39">
        <v>2020</v>
      </c>
      <c r="D63" s="85" t="s">
        <v>345</v>
      </c>
      <c r="E63" s="39" t="s">
        <v>360</v>
      </c>
      <c r="F63" s="39" t="s">
        <v>355</v>
      </c>
      <c r="G63" s="39" t="s">
        <v>36</v>
      </c>
      <c r="H63" s="39" t="s">
        <v>127</v>
      </c>
      <c r="I63" s="39" t="s">
        <v>142</v>
      </c>
      <c r="J63" s="39" t="s">
        <v>80</v>
      </c>
      <c r="K63" s="39" t="s">
        <v>54</v>
      </c>
      <c r="L63" s="39">
        <v>2</v>
      </c>
      <c r="N63" s="39">
        <v>1</v>
      </c>
      <c r="O63" s="39">
        <v>0.45</v>
      </c>
      <c r="P63" s="39">
        <v>0.6</v>
      </c>
      <c r="Q63" s="45">
        <f t="shared" si="0"/>
        <v>0.52500000000000002</v>
      </c>
      <c r="R63" s="39">
        <v>16</v>
      </c>
      <c r="S63" s="39">
        <v>116</v>
      </c>
      <c r="T63" s="45">
        <f t="shared" si="1"/>
        <v>30</v>
      </c>
      <c r="U63" s="39">
        <v>105</v>
      </c>
      <c r="V63" s="45">
        <f t="shared" si="2"/>
        <v>3150</v>
      </c>
      <c r="W63" s="39">
        <v>15</v>
      </c>
      <c r="X63" s="39" t="s">
        <v>46</v>
      </c>
      <c r="Y63" s="39" t="s">
        <v>69</v>
      </c>
      <c r="Z63" s="39" t="s">
        <v>55</v>
      </c>
      <c r="AA63" s="39" t="s">
        <v>40</v>
      </c>
      <c r="AB63" s="39" t="s">
        <v>335</v>
      </c>
    </row>
    <row r="64" spans="1:28" s="39" customFormat="1" x14ac:dyDescent="0.15">
      <c r="A64" s="39" t="s">
        <v>34</v>
      </c>
      <c r="B64" s="39" t="s">
        <v>337</v>
      </c>
      <c r="C64" s="39">
        <v>2020</v>
      </c>
      <c r="D64" s="85" t="s">
        <v>345</v>
      </c>
      <c r="E64" s="39" t="s">
        <v>360</v>
      </c>
      <c r="F64" s="39" t="s">
        <v>355</v>
      </c>
      <c r="G64" s="39" t="s">
        <v>36</v>
      </c>
      <c r="H64" s="39" t="s">
        <v>127</v>
      </c>
      <c r="I64" s="39" t="s">
        <v>142</v>
      </c>
      <c r="J64" s="39" t="s">
        <v>80</v>
      </c>
      <c r="K64" s="39" t="s">
        <v>54</v>
      </c>
      <c r="L64" s="39">
        <v>3</v>
      </c>
      <c r="N64" s="39">
        <v>1</v>
      </c>
      <c r="O64" s="39">
        <v>0.7</v>
      </c>
      <c r="P64" s="39">
        <v>0.65</v>
      </c>
      <c r="Q64" s="45">
        <f t="shared" si="0"/>
        <v>0.67500000000000004</v>
      </c>
      <c r="R64" s="39">
        <v>14.5</v>
      </c>
      <c r="S64" s="39">
        <v>120</v>
      </c>
      <c r="T64" s="45">
        <f t="shared" si="1"/>
        <v>30</v>
      </c>
      <c r="U64" s="39">
        <v>105</v>
      </c>
      <c r="V64" s="45">
        <f t="shared" si="2"/>
        <v>3150</v>
      </c>
      <c r="W64" s="39">
        <v>15</v>
      </c>
      <c r="X64" s="39" t="s">
        <v>46</v>
      </c>
      <c r="Y64" s="39" t="s">
        <v>69</v>
      </c>
      <c r="Z64" s="39" t="s">
        <v>55</v>
      </c>
      <c r="AA64" s="39" t="s">
        <v>40</v>
      </c>
      <c r="AB64" s="39" t="s">
        <v>335</v>
      </c>
    </row>
    <row r="65" spans="1:28" s="39" customFormat="1" x14ac:dyDescent="0.15">
      <c r="A65" s="39" t="s">
        <v>34</v>
      </c>
      <c r="B65" s="39" t="s">
        <v>337</v>
      </c>
      <c r="C65" s="39">
        <v>2020</v>
      </c>
      <c r="D65" s="85" t="s">
        <v>345</v>
      </c>
      <c r="E65" s="39" t="s">
        <v>368</v>
      </c>
      <c r="F65" s="39" t="s">
        <v>357</v>
      </c>
      <c r="G65" s="39" t="s">
        <v>36</v>
      </c>
      <c r="H65" s="39" t="s">
        <v>146</v>
      </c>
      <c r="I65" s="39" t="s">
        <v>142</v>
      </c>
      <c r="J65" s="39" t="s">
        <v>38</v>
      </c>
      <c r="K65" s="39" t="s">
        <v>143</v>
      </c>
      <c r="L65" s="39">
        <v>1</v>
      </c>
      <c r="N65" s="39">
        <v>1</v>
      </c>
      <c r="O65" s="39">
        <v>0.6</v>
      </c>
      <c r="P65" s="39">
        <v>0.65</v>
      </c>
      <c r="Q65" s="45">
        <f t="shared" si="0"/>
        <v>0.625</v>
      </c>
      <c r="R65" s="39">
        <v>17</v>
      </c>
      <c r="S65" s="39">
        <v>126</v>
      </c>
      <c r="T65" s="45">
        <f t="shared" si="1"/>
        <v>30</v>
      </c>
      <c r="U65" s="39">
        <v>116</v>
      </c>
      <c r="V65" s="45">
        <f t="shared" si="2"/>
        <v>3480</v>
      </c>
      <c r="W65" s="39">
        <v>6</v>
      </c>
      <c r="X65" s="39" t="s">
        <v>46</v>
      </c>
      <c r="Y65" s="39" t="s">
        <v>40</v>
      </c>
      <c r="Z65" s="39" t="s">
        <v>55</v>
      </c>
      <c r="AA65" s="39" t="s">
        <v>69</v>
      </c>
      <c r="AB65" s="39" t="s">
        <v>335</v>
      </c>
    </row>
    <row r="66" spans="1:28" s="39" customFormat="1" x14ac:dyDescent="0.15">
      <c r="A66" s="39" t="s">
        <v>34</v>
      </c>
      <c r="B66" s="39" t="s">
        <v>337</v>
      </c>
      <c r="C66" s="39">
        <v>2020</v>
      </c>
      <c r="D66" s="85" t="s">
        <v>345</v>
      </c>
      <c r="E66" s="39" t="s">
        <v>368</v>
      </c>
      <c r="F66" s="39" t="s">
        <v>357</v>
      </c>
      <c r="G66" s="39" t="s">
        <v>36</v>
      </c>
      <c r="H66" s="39" t="s">
        <v>146</v>
      </c>
      <c r="I66" s="39" t="s">
        <v>142</v>
      </c>
      <c r="J66" s="39" t="s">
        <v>38</v>
      </c>
      <c r="K66" s="39" t="s">
        <v>143</v>
      </c>
      <c r="L66" s="39">
        <v>2</v>
      </c>
      <c r="N66" s="39">
        <v>1</v>
      </c>
      <c r="O66" s="39">
        <v>0.6</v>
      </c>
      <c r="P66" s="39">
        <v>0.55000000000000004</v>
      </c>
      <c r="Q66" s="45">
        <f t="shared" ref="Q66:Q129" si="3">IF(OR(O66="",P66=""),"",AVERAGE(O66,P66))</f>
        <v>0.57499999999999996</v>
      </c>
      <c r="R66" s="39">
        <v>18</v>
      </c>
      <c r="S66" s="39">
        <v>122.5</v>
      </c>
      <c r="T66" s="45">
        <f t="shared" ref="T66:T129" si="4">IF(H66="","",IF(OR(H66="GREEN",H66="GK"),IF(S66&gt;=$AX$2,VLOOKUP(S66,$AX$2:$AY$7,2,1),""),IF(S66&gt;=$AZ$2,VLOOKUP(S66,$AZ$2:$BA$7,2,1),"")))</f>
        <v>30</v>
      </c>
      <c r="U66" s="39">
        <v>116</v>
      </c>
      <c r="V66" s="45">
        <f t="shared" ref="V66:V129" si="5">IF(OR(N66="",U66="",T66=""),"",U66/N66*T66)</f>
        <v>3480</v>
      </c>
      <c r="W66" s="39">
        <v>6</v>
      </c>
      <c r="X66" s="39" t="s">
        <v>46</v>
      </c>
      <c r="Y66" s="39" t="s">
        <v>40</v>
      </c>
      <c r="Z66" s="39" t="s">
        <v>55</v>
      </c>
      <c r="AA66" s="39" t="s">
        <v>69</v>
      </c>
      <c r="AB66" s="39" t="s">
        <v>335</v>
      </c>
    </row>
    <row r="67" spans="1:28" s="39" customFormat="1" x14ac:dyDescent="0.15">
      <c r="A67" s="39" t="s">
        <v>34</v>
      </c>
      <c r="B67" s="39" t="s">
        <v>337</v>
      </c>
      <c r="C67" s="39">
        <v>2020</v>
      </c>
      <c r="D67" s="85" t="s">
        <v>345</v>
      </c>
      <c r="E67" s="39" t="s">
        <v>368</v>
      </c>
      <c r="F67" s="39" t="s">
        <v>357</v>
      </c>
      <c r="G67" s="39" t="s">
        <v>36</v>
      </c>
      <c r="H67" s="39" t="s">
        <v>146</v>
      </c>
      <c r="I67" s="39" t="s">
        <v>142</v>
      </c>
      <c r="J67" s="39" t="s">
        <v>38</v>
      </c>
      <c r="K67" s="39" t="s">
        <v>143</v>
      </c>
      <c r="L67" s="39">
        <v>3</v>
      </c>
      <c r="N67" s="39">
        <v>1</v>
      </c>
      <c r="O67" s="39">
        <v>0.55000000000000004</v>
      </c>
      <c r="P67" s="39">
        <v>0.75</v>
      </c>
      <c r="Q67" s="45">
        <f t="shared" si="3"/>
        <v>0.65</v>
      </c>
      <c r="R67" s="39">
        <v>18.399999999999999</v>
      </c>
      <c r="S67" s="39">
        <v>133</v>
      </c>
      <c r="T67" s="45">
        <f t="shared" si="4"/>
        <v>30</v>
      </c>
      <c r="U67" s="39">
        <v>116</v>
      </c>
      <c r="V67" s="45">
        <f t="shared" si="5"/>
        <v>3480</v>
      </c>
      <c r="W67" s="39">
        <v>6</v>
      </c>
      <c r="X67" s="39" t="s">
        <v>46</v>
      </c>
      <c r="Y67" s="39" t="s">
        <v>40</v>
      </c>
      <c r="Z67" s="39" t="s">
        <v>55</v>
      </c>
      <c r="AA67" s="39" t="s">
        <v>69</v>
      </c>
      <c r="AB67" s="39" t="s">
        <v>335</v>
      </c>
    </row>
    <row r="68" spans="1:28" s="39" customFormat="1" x14ac:dyDescent="0.15">
      <c r="A68" s="39" t="s">
        <v>34</v>
      </c>
      <c r="B68" s="39" t="s">
        <v>337</v>
      </c>
      <c r="C68" s="39">
        <v>2020</v>
      </c>
      <c r="D68" s="85" t="s">
        <v>345</v>
      </c>
      <c r="E68" s="39" t="s">
        <v>181</v>
      </c>
      <c r="F68" s="39" t="s">
        <v>353</v>
      </c>
      <c r="G68" s="39" t="s">
        <v>36</v>
      </c>
      <c r="H68" s="39" t="s">
        <v>144</v>
      </c>
      <c r="I68" s="39" t="s">
        <v>142</v>
      </c>
      <c r="J68" s="39" t="s">
        <v>38</v>
      </c>
      <c r="K68" s="39" t="s">
        <v>143</v>
      </c>
      <c r="L68" s="39">
        <v>1</v>
      </c>
      <c r="N68" s="39">
        <v>1</v>
      </c>
      <c r="O68" s="39">
        <v>0.7</v>
      </c>
      <c r="P68" s="39">
        <v>0.8</v>
      </c>
      <c r="Q68" s="45">
        <f t="shared" si="3"/>
        <v>0.75</v>
      </c>
      <c r="R68" s="39">
        <v>15</v>
      </c>
      <c r="S68" s="39">
        <v>115</v>
      </c>
      <c r="T68" s="45">
        <f t="shared" si="4"/>
        <v>30</v>
      </c>
      <c r="U68" s="39">
        <v>138</v>
      </c>
      <c r="V68" s="45">
        <f t="shared" si="5"/>
        <v>4140</v>
      </c>
      <c r="W68" s="39">
        <v>15</v>
      </c>
      <c r="X68" s="39" t="s">
        <v>46</v>
      </c>
      <c r="Y68" s="39" t="s">
        <v>55</v>
      </c>
      <c r="Z68" s="39" t="s">
        <v>40</v>
      </c>
      <c r="AA68" s="39" t="s">
        <v>78</v>
      </c>
      <c r="AB68" s="39" t="s">
        <v>335</v>
      </c>
    </row>
    <row r="69" spans="1:28" s="39" customFormat="1" x14ac:dyDescent="0.15">
      <c r="A69" s="39" t="s">
        <v>34</v>
      </c>
      <c r="B69" s="39" t="s">
        <v>337</v>
      </c>
      <c r="C69" s="39">
        <v>2020</v>
      </c>
      <c r="D69" s="85" t="s">
        <v>345</v>
      </c>
      <c r="E69" s="39" t="s">
        <v>181</v>
      </c>
      <c r="F69" s="39" t="s">
        <v>353</v>
      </c>
      <c r="G69" s="39" t="s">
        <v>36</v>
      </c>
      <c r="H69" s="39" t="s">
        <v>144</v>
      </c>
      <c r="I69" s="39" t="s">
        <v>142</v>
      </c>
      <c r="J69" s="39" t="s">
        <v>38</v>
      </c>
      <c r="K69" s="39" t="s">
        <v>143</v>
      </c>
      <c r="L69" s="39">
        <v>2</v>
      </c>
      <c r="N69" s="39">
        <v>1</v>
      </c>
      <c r="O69" s="39">
        <v>0.8</v>
      </c>
      <c r="P69" s="39">
        <v>0.7</v>
      </c>
      <c r="Q69" s="45">
        <f t="shared" si="3"/>
        <v>0.75</v>
      </c>
      <c r="R69" s="39">
        <v>13.3</v>
      </c>
      <c r="S69" s="39">
        <v>123</v>
      </c>
      <c r="T69" s="45">
        <f t="shared" si="4"/>
        <v>30</v>
      </c>
      <c r="U69" s="39">
        <v>138</v>
      </c>
      <c r="V69" s="45">
        <f t="shared" si="5"/>
        <v>4140</v>
      </c>
      <c r="W69" s="39">
        <v>15</v>
      </c>
      <c r="X69" s="39" t="s">
        <v>46</v>
      </c>
      <c r="Y69" s="39" t="s">
        <v>55</v>
      </c>
      <c r="Z69" s="39" t="s">
        <v>40</v>
      </c>
      <c r="AA69" s="39" t="s">
        <v>78</v>
      </c>
      <c r="AB69" s="39" t="s">
        <v>335</v>
      </c>
    </row>
    <row r="70" spans="1:28" s="39" customFormat="1" x14ac:dyDescent="0.15">
      <c r="A70" s="39" t="s">
        <v>34</v>
      </c>
      <c r="B70" s="39" t="s">
        <v>337</v>
      </c>
      <c r="C70" s="39">
        <v>2020</v>
      </c>
      <c r="D70" s="85" t="s">
        <v>345</v>
      </c>
      <c r="E70" s="39" t="s">
        <v>181</v>
      </c>
      <c r="F70" s="39" t="s">
        <v>353</v>
      </c>
      <c r="G70" s="39" t="s">
        <v>36</v>
      </c>
      <c r="H70" s="39" t="s">
        <v>144</v>
      </c>
      <c r="I70" s="39" t="s">
        <v>142</v>
      </c>
      <c r="J70" s="39" t="s">
        <v>38</v>
      </c>
      <c r="K70" s="39" t="s">
        <v>143</v>
      </c>
      <c r="L70" s="39">
        <v>3</v>
      </c>
      <c r="N70" s="39">
        <v>1</v>
      </c>
      <c r="O70" s="39">
        <v>0.8</v>
      </c>
      <c r="P70" s="39">
        <v>0.75</v>
      </c>
      <c r="Q70" s="45">
        <f t="shared" si="3"/>
        <v>0.77500000000000002</v>
      </c>
      <c r="R70" s="39">
        <v>15</v>
      </c>
      <c r="S70" s="39">
        <v>113</v>
      </c>
      <c r="T70" s="45">
        <f t="shared" si="4"/>
        <v>30</v>
      </c>
      <c r="U70" s="39">
        <v>138</v>
      </c>
      <c r="V70" s="45">
        <f t="shared" si="5"/>
        <v>4140</v>
      </c>
      <c r="W70" s="39">
        <v>15</v>
      </c>
      <c r="X70" s="39" t="s">
        <v>46</v>
      </c>
      <c r="Y70" s="39" t="s">
        <v>55</v>
      </c>
      <c r="Z70" s="39" t="s">
        <v>40</v>
      </c>
      <c r="AA70" s="39" t="s">
        <v>78</v>
      </c>
      <c r="AB70" s="39" t="s">
        <v>335</v>
      </c>
    </row>
    <row r="71" spans="1:28" s="39" customFormat="1" x14ac:dyDescent="0.15">
      <c r="A71" s="39" t="s">
        <v>34</v>
      </c>
      <c r="B71" s="39" t="s">
        <v>337</v>
      </c>
      <c r="C71" s="39">
        <v>2020</v>
      </c>
      <c r="D71" s="85" t="s">
        <v>345</v>
      </c>
      <c r="E71" s="39" t="s">
        <v>181</v>
      </c>
      <c r="F71" s="39" t="s">
        <v>353</v>
      </c>
      <c r="G71" s="39" t="s">
        <v>36</v>
      </c>
      <c r="H71" s="39" t="s">
        <v>144</v>
      </c>
      <c r="I71" s="39" t="s">
        <v>142</v>
      </c>
      <c r="J71" s="39" t="s">
        <v>38</v>
      </c>
      <c r="K71" s="39" t="s">
        <v>143</v>
      </c>
      <c r="L71" s="39">
        <v>1</v>
      </c>
      <c r="N71" s="39">
        <v>4</v>
      </c>
      <c r="O71" s="39">
        <v>0.65</v>
      </c>
      <c r="P71" s="39">
        <v>0.75</v>
      </c>
      <c r="Q71" s="45">
        <f t="shared" si="3"/>
        <v>0.7</v>
      </c>
      <c r="R71" s="39">
        <v>15.1</v>
      </c>
      <c r="S71" s="39">
        <v>91</v>
      </c>
      <c r="T71" s="45">
        <f t="shared" si="4"/>
        <v>36</v>
      </c>
      <c r="U71" s="39">
        <v>429</v>
      </c>
      <c r="V71" s="45">
        <f t="shared" si="5"/>
        <v>3861</v>
      </c>
      <c r="W71" s="39">
        <v>15</v>
      </c>
      <c r="X71" s="39" t="s">
        <v>46</v>
      </c>
      <c r="Y71" s="39" t="s">
        <v>55</v>
      </c>
      <c r="Z71" s="39" t="s">
        <v>40</v>
      </c>
      <c r="AA71" s="39" t="s">
        <v>78</v>
      </c>
      <c r="AB71" s="39" t="s">
        <v>335</v>
      </c>
    </row>
    <row r="72" spans="1:28" s="39" customFormat="1" x14ac:dyDescent="0.15">
      <c r="A72" s="39" t="s">
        <v>34</v>
      </c>
      <c r="B72" s="39" t="s">
        <v>337</v>
      </c>
      <c r="C72" s="39">
        <v>2020</v>
      </c>
      <c r="D72" s="85" t="s">
        <v>345</v>
      </c>
      <c r="E72" s="39" t="s">
        <v>181</v>
      </c>
      <c r="F72" s="39" t="s">
        <v>353</v>
      </c>
      <c r="G72" s="39" t="s">
        <v>36</v>
      </c>
      <c r="H72" s="39" t="s">
        <v>144</v>
      </c>
      <c r="I72" s="39" t="s">
        <v>142</v>
      </c>
      <c r="J72" s="39" t="s">
        <v>38</v>
      </c>
      <c r="K72" s="39" t="s">
        <v>143</v>
      </c>
      <c r="L72" s="39">
        <v>2</v>
      </c>
      <c r="N72" s="39">
        <v>4</v>
      </c>
      <c r="O72" s="39">
        <v>0.7</v>
      </c>
      <c r="P72" s="39">
        <v>0.5</v>
      </c>
      <c r="Q72" s="45">
        <f t="shared" si="3"/>
        <v>0.6</v>
      </c>
      <c r="R72" s="39">
        <v>15.1</v>
      </c>
      <c r="S72" s="39">
        <v>91</v>
      </c>
      <c r="T72" s="45">
        <f t="shared" si="4"/>
        <v>36</v>
      </c>
      <c r="U72" s="39">
        <v>429</v>
      </c>
      <c r="V72" s="45">
        <f t="shared" si="5"/>
        <v>3861</v>
      </c>
      <c r="W72" s="39">
        <v>15</v>
      </c>
      <c r="X72" s="39" t="s">
        <v>46</v>
      </c>
      <c r="Y72" s="39" t="s">
        <v>55</v>
      </c>
      <c r="Z72" s="39" t="s">
        <v>40</v>
      </c>
      <c r="AA72" s="39" t="s">
        <v>78</v>
      </c>
      <c r="AB72" s="39" t="s">
        <v>335</v>
      </c>
    </row>
    <row r="73" spans="1:28" s="39" customFormat="1" x14ac:dyDescent="0.15">
      <c r="A73" s="39" t="s">
        <v>34</v>
      </c>
      <c r="B73" s="39" t="s">
        <v>337</v>
      </c>
      <c r="C73" s="39">
        <v>2020</v>
      </c>
      <c r="D73" s="85" t="s">
        <v>345</v>
      </c>
      <c r="E73" s="39" t="s">
        <v>181</v>
      </c>
      <c r="F73" s="39" t="s">
        <v>353</v>
      </c>
      <c r="G73" s="39" t="s">
        <v>36</v>
      </c>
      <c r="H73" s="39" t="s">
        <v>144</v>
      </c>
      <c r="I73" s="39" t="s">
        <v>142</v>
      </c>
      <c r="J73" s="39" t="s">
        <v>38</v>
      </c>
      <c r="K73" s="39" t="s">
        <v>143</v>
      </c>
      <c r="L73" s="39">
        <v>3</v>
      </c>
      <c r="N73" s="39">
        <v>4</v>
      </c>
      <c r="O73" s="39">
        <v>0.45</v>
      </c>
      <c r="P73" s="39">
        <v>0.55000000000000004</v>
      </c>
      <c r="Q73" s="45">
        <f t="shared" si="3"/>
        <v>0.5</v>
      </c>
      <c r="R73" s="39">
        <v>13.9</v>
      </c>
      <c r="S73" s="39">
        <v>83.5</v>
      </c>
      <c r="T73" s="45">
        <f t="shared" si="4"/>
        <v>39</v>
      </c>
      <c r="U73" s="39">
        <v>429</v>
      </c>
      <c r="V73" s="45">
        <f t="shared" si="5"/>
        <v>4182.75</v>
      </c>
      <c r="W73" s="39">
        <v>15</v>
      </c>
      <c r="X73" s="39" t="s">
        <v>46</v>
      </c>
      <c r="Y73" s="39" t="s">
        <v>55</v>
      </c>
      <c r="Z73" s="39" t="s">
        <v>40</v>
      </c>
      <c r="AA73" s="39" t="s">
        <v>78</v>
      </c>
      <c r="AB73" s="39" t="s">
        <v>335</v>
      </c>
    </row>
    <row r="74" spans="1:28" s="39" customFormat="1" x14ac:dyDescent="0.15">
      <c r="A74" s="39" t="s">
        <v>34</v>
      </c>
      <c r="B74" s="39" t="s">
        <v>337</v>
      </c>
      <c r="C74" s="39">
        <v>2020</v>
      </c>
      <c r="D74" s="85" t="s">
        <v>345</v>
      </c>
      <c r="E74" s="39" t="s">
        <v>181</v>
      </c>
      <c r="F74" s="39" t="s">
        <v>353</v>
      </c>
      <c r="G74" s="39" t="s">
        <v>36</v>
      </c>
      <c r="H74" s="39" t="s">
        <v>146</v>
      </c>
      <c r="I74" s="39" t="s">
        <v>142</v>
      </c>
      <c r="J74" s="39" t="s">
        <v>38</v>
      </c>
      <c r="K74" s="39" t="s">
        <v>143</v>
      </c>
      <c r="L74" s="39">
        <v>1</v>
      </c>
      <c r="N74" s="39">
        <v>1</v>
      </c>
      <c r="O74" s="39">
        <v>0.55000000000000004</v>
      </c>
      <c r="P74" s="39">
        <v>0.45</v>
      </c>
      <c r="Q74" s="45">
        <f t="shared" si="3"/>
        <v>0.5</v>
      </c>
      <c r="R74" s="39">
        <v>18.5</v>
      </c>
      <c r="S74" s="39">
        <v>123.5</v>
      </c>
      <c r="T74" s="45">
        <f t="shared" si="4"/>
        <v>30</v>
      </c>
      <c r="U74" s="39">
        <v>149</v>
      </c>
      <c r="V74" s="45">
        <f t="shared" si="5"/>
        <v>4470</v>
      </c>
      <c r="W74" s="39">
        <v>15</v>
      </c>
      <c r="X74" s="39" t="s">
        <v>46</v>
      </c>
      <c r="Y74" s="39" t="s">
        <v>55</v>
      </c>
      <c r="Z74" s="39" t="s">
        <v>40</v>
      </c>
      <c r="AA74" s="39" t="s">
        <v>78</v>
      </c>
      <c r="AB74" s="39" t="s">
        <v>335</v>
      </c>
    </row>
    <row r="75" spans="1:28" s="39" customFormat="1" x14ac:dyDescent="0.15">
      <c r="A75" s="39" t="s">
        <v>34</v>
      </c>
      <c r="B75" s="39" t="s">
        <v>337</v>
      </c>
      <c r="C75" s="39">
        <v>2020</v>
      </c>
      <c r="D75" s="85" t="s">
        <v>345</v>
      </c>
      <c r="E75" s="39" t="s">
        <v>181</v>
      </c>
      <c r="F75" s="39" t="s">
        <v>353</v>
      </c>
      <c r="G75" s="39" t="s">
        <v>36</v>
      </c>
      <c r="H75" s="39" t="s">
        <v>146</v>
      </c>
      <c r="I75" s="39" t="s">
        <v>142</v>
      </c>
      <c r="J75" s="39" t="s">
        <v>38</v>
      </c>
      <c r="K75" s="39" t="s">
        <v>143</v>
      </c>
      <c r="L75" s="39">
        <v>2</v>
      </c>
      <c r="N75" s="39">
        <v>1</v>
      </c>
      <c r="O75" s="39">
        <v>0.55000000000000004</v>
      </c>
      <c r="P75" s="39">
        <v>0.65</v>
      </c>
      <c r="Q75" s="45">
        <f t="shared" si="3"/>
        <v>0.60000000000000009</v>
      </c>
      <c r="R75" s="39">
        <v>18.899999999999999</v>
      </c>
      <c r="S75" s="39">
        <v>132</v>
      </c>
      <c r="T75" s="45">
        <f t="shared" si="4"/>
        <v>30</v>
      </c>
      <c r="U75" s="39">
        <v>149</v>
      </c>
      <c r="V75" s="45">
        <f t="shared" si="5"/>
        <v>4470</v>
      </c>
      <c r="W75" s="39">
        <v>15</v>
      </c>
      <c r="X75" s="39" t="s">
        <v>46</v>
      </c>
      <c r="Y75" s="39" t="s">
        <v>55</v>
      </c>
      <c r="Z75" s="39" t="s">
        <v>40</v>
      </c>
      <c r="AA75" s="39" t="s">
        <v>78</v>
      </c>
      <c r="AB75" s="39" t="s">
        <v>335</v>
      </c>
    </row>
    <row r="76" spans="1:28" s="39" customFormat="1" x14ac:dyDescent="0.15">
      <c r="A76" s="39" t="s">
        <v>34</v>
      </c>
      <c r="B76" s="39" t="s">
        <v>337</v>
      </c>
      <c r="C76" s="39">
        <v>2020</v>
      </c>
      <c r="D76" s="85" t="s">
        <v>345</v>
      </c>
      <c r="E76" s="39" t="s">
        <v>181</v>
      </c>
      <c r="F76" s="39" t="s">
        <v>353</v>
      </c>
      <c r="G76" s="39" t="s">
        <v>36</v>
      </c>
      <c r="H76" s="39" t="s">
        <v>146</v>
      </c>
      <c r="I76" s="39" t="s">
        <v>142</v>
      </c>
      <c r="J76" s="39" t="s">
        <v>38</v>
      </c>
      <c r="K76" s="39" t="s">
        <v>143</v>
      </c>
      <c r="L76" s="39">
        <v>3</v>
      </c>
      <c r="N76" s="39">
        <v>1</v>
      </c>
      <c r="O76" s="39">
        <v>0.65</v>
      </c>
      <c r="P76" s="39">
        <v>0.6</v>
      </c>
      <c r="Q76" s="45">
        <f t="shared" si="3"/>
        <v>0.625</v>
      </c>
      <c r="R76" s="39">
        <v>18.8</v>
      </c>
      <c r="S76" s="39">
        <v>124.5</v>
      </c>
      <c r="T76" s="45">
        <f t="shared" si="4"/>
        <v>30</v>
      </c>
      <c r="U76" s="39">
        <v>149</v>
      </c>
      <c r="V76" s="45">
        <f t="shared" si="5"/>
        <v>4470</v>
      </c>
      <c r="W76" s="39">
        <v>15</v>
      </c>
      <c r="X76" s="39" t="s">
        <v>46</v>
      </c>
      <c r="Y76" s="39" t="s">
        <v>55</v>
      </c>
      <c r="Z76" s="39" t="s">
        <v>40</v>
      </c>
      <c r="AA76" s="39" t="s">
        <v>78</v>
      </c>
      <c r="AB76" s="39" t="s">
        <v>335</v>
      </c>
    </row>
    <row r="77" spans="1:28" s="39" customFormat="1" x14ac:dyDescent="0.15">
      <c r="A77" s="39" t="s">
        <v>34</v>
      </c>
      <c r="B77" s="39" t="s">
        <v>337</v>
      </c>
      <c r="C77" s="39">
        <v>2020</v>
      </c>
      <c r="D77" s="85" t="s">
        <v>345</v>
      </c>
      <c r="E77" s="39" t="s">
        <v>181</v>
      </c>
      <c r="F77" s="39" t="s">
        <v>353</v>
      </c>
      <c r="G77" s="39" t="s">
        <v>36</v>
      </c>
      <c r="H77" s="39" t="s">
        <v>146</v>
      </c>
      <c r="I77" s="39" t="s">
        <v>142</v>
      </c>
      <c r="J77" s="39" t="s">
        <v>38</v>
      </c>
      <c r="K77" s="39" t="s">
        <v>143</v>
      </c>
      <c r="L77" s="39">
        <v>1</v>
      </c>
      <c r="N77" s="39">
        <v>1</v>
      </c>
      <c r="O77" s="39">
        <v>0.7</v>
      </c>
      <c r="P77" s="39">
        <v>0.65</v>
      </c>
      <c r="Q77" s="45">
        <f t="shared" si="3"/>
        <v>0.67500000000000004</v>
      </c>
      <c r="R77" s="39">
        <v>17.5</v>
      </c>
      <c r="S77" s="39">
        <v>149.5</v>
      </c>
      <c r="T77" s="45">
        <f t="shared" si="4"/>
        <v>30</v>
      </c>
      <c r="U77" s="39">
        <v>203</v>
      </c>
      <c r="V77" s="45">
        <f t="shared" si="5"/>
        <v>6090</v>
      </c>
      <c r="W77" s="39">
        <v>15</v>
      </c>
      <c r="X77" s="39" t="s">
        <v>46</v>
      </c>
      <c r="Y77" s="39" t="s">
        <v>55</v>
      </c>
      <c r="Z77" s="39" t="s">
        <v>40</v>
      </c>
      <c r="AA77" s="39" t="s">
        <v>78</v>
      </c>
      <c r="AB77" s="39" t="s">
        <v>335</v>
      </c>
    </row>
    <row r="78" spans="1:28" s="39" customFormat="1" x14ac:dyDescent="0.15">
      <c r="A78" s="39" t="s">
        <v>34</v>
      </c>
      <c r="B78" s="39" t="s">
        <v>337</v>
      </c>
      <c r="C78" s="39">
        <v>2020</v>
      </c>
      <c r="D78" s="85" t="s">
        <v>345</v>
      </c>
      <c r="E78" s="39" t="s">
        <v>181</v>
      </c>
      <c r="F78" s="39" t="s">
        <v>353</v>
      </c>
      <c r="G78" s="39" t="s">
        <v>36</v>
      </c>
      <c r="H78" s="39" t="s">
        <v>146</v>
      </c>
      <c r="I78" s="39" t="s">
        <v>142</v>
      </c>
      <c r="J78" s="39" t="s">
        <v>38</v>
      </c>
      <c r="K78" s="39" t="s">
        <v>143</v>
      </c>
      <c r="L78" s="39">
        <v>2</v>
      </c>
      <c r="N78" s="39">
        <v>1</v>
      </c>
      <c r="O78" s="39">
        <v>0.6</v>
      </c>
      <c r="P78" s="39">
        <v>0.6</v>
      </c>
      <c r="Q78" s="45">
        <f t="shared" si="3"/>
        <v>0.6</v>
      </c>
      <c r="R78" s="39">
        <v>18.100000000000001</v>
      </c>
      <c r="S78" s="39">
        <v>150</v>
      </c>
      <c r="T78" s="45">
        <f t="shared" si="4"/>
        <v>30</v>
      </c>
      <c r="U78" s="39">
        <v>203</v>
      </c>
      <c r="V78" s="45">
        <f t="shared" si="5"/>
        <v>6090</v>
      </c>
      <c r="W78" s="39">
        <v>15</v>
      </c>
      <c r="X78" s="39" t="s">
        <v>46</v>
      </c>
      <c r="Y78" s="39" t="s">
        <v>55</v>
      </c>
      <c r="Z78" s="39" t="s">
        <v>40</v>
      </c>
      <c r="AA78" s="39" t="s">
        <v>78</v>
      </c>
      <c r="AB78" s="39" t="s">
        <v>335</v>
      </c>
    </row>
    <row r="79" spans="1:28" s="39" customFormat="1" x14ac:dyDescent="0.15">
      <c r="A79" s="39" t="s">
        <v>34</v>
      </c>
      <c r="B79" s="39" t="s">
        <v>337</v>
      </c>
      <c r="C79" s="39">
        <v>2020</v>
      </c>
      <c r="D79" s="85" t="s">
        <v>345</v>
      </c>
      <c r="E79" s="39" t="s">
        <v>181</v>
      </c>
      <c r="F79" s="39" t="s">
        <v>353</v>
      </c>
      <c r="G79" s="39" t="s">
        <v>36</v>
      </c>
      <c r="H79" s="39" t="s">
        <v>146</v>
      </c>
      <c r="I79" s="39" t="s">
        <v>142</v>
      </c>
      <c r="J79" s="39" t="s">
        <v>38</v>
      </c>
      <c r="K79" s="39" t="s">
        <v>143</v>
      </c>
      <c r="L79" s="39">
        <v>3</v>
      </c>
      <c r="N79" s="39">
        <v>1</v>
      </c>
      <c r="O79" s="39">
        <v>0.6</v>
      </c>
      <c r="P79" s="39">
        <v>0.6</v>
      </c>
      <c r="Q79" s="45">
        <f t="shared" si="3"/>
        <v>0.6</v>
      </c>
      <c r="R79" s="39">
        <v>18.100000000000001</v>
      </c>
      <c r="S79" s="39">
        <v>150</v>
      </c>
      <c r="T79" s="45">
        <f t="shared" si="4"/>
        <v>30</v>
      </c>
      <c r="U79" s="39">
        <v>203</v>
      </c>
      <c r="V79" s="45">
        <f t="shared" si="5"/>
        <v>6090</v>
      </c>
      <c r="W79" s="39">
        <v>15</v>
      </c>
      <c r="X79" s="39" t="s">
        <v>46</v>
      </c>
      <c r="Y79" s="39" t="s">
        <v>55</v>
      </c>
      <c r="Z79" s="39" t="s">
        <v>40</v>
      </c>
      <c r="AA79" s="39" t="s">
        <v>78</v>
      </c>
      <c r="AB79" s="39" t="s">
        <v>335</v>
      </c>
    </row>
    <row r="80" spans="1:28" s="39" customFormat="1" x14ac:dyDescent="0.15">
      <c r="A80" s="39" t="s">
        <v>34</v>
      </c>
      <c r="B80" s="39" t="s">
        <v>337</v>
      </c>
      <c r="C80" s="39">
        <v>2020</v>
      </c>
      <c r="D80" s="85" t="s">
        <v>345</v>
      </c>
      <c r="E80" s="39" t="s">
        <v>181</v>
      </c>
      <c r="F80" s="39" t="s">
        <v>353</v>
      </c>
      <c r="G80" s="39" t="s">
        <v>36</v>
      </c>
      <c r="H80" s="39" t="s">
        <v>146</v>
      </c>
      <c r="I80" s="39" t="s">
        <v>142</v>
      </c>
      <c r="J80" s="39" t="s">
        <v>38</v>
      </c>
      <c r="K80" s="39" t="s">
        <v>143</v>
      </c>
      <c r="L80" s="39">
        <v>1</v>
      </c>
      <c r="N80" s="39">
        <v>3</v>
      </c>
      <c r="O80" s="39">
        <v>0.2</v>
      </c>
      <c r="P80" s="39">
        <v>0.2</v>
      </c>
      <c r="Q80" s="45">
        <f t="shared" si="3"/>
        <v>0.2</v>
      </c>
      <c r="R80" s="39">
        <v>17.600000000000001</v>
      </c>
      <c r="S80" s="39">
        <v>149</v>
      </c>
      <c r="T80" s="45">
        <f t="shared" si="4"/>
        <v>30</v>
      </c>
      <c r="U80" s="39">
        <v>537</v>
      </c>
      <c r="V80" s="45">
        <f t="shared" si="5"/>
        <v>5370</v>
      </c>
      <c r="W80" s="39">
        <v>15</v>
      </c>
      <c r="X80" s="39" t="s">
        <v>46</v>
      </c>
      <c r="Y80" s="39" t="s">
        <v>55</v>
      </c>
      <c r="Z80" s="39" t="s">
        <v>40</v>
      </c>
      <c r="AA80" s="39" t="s">
        <v>78</v>
      </c>
      <c r="AB80" s="39" t="s">
        <v>335</v>
      </c>
    </row>
    <row r="81" spans="1:28" s="39" customFormat="1" x14ac:dyDescent="0.15">
      <c r="A81" s="39" t="s">
        <v>34</v>
      </c>
      <c r="B81" s="39" t="s">
        <v>337</v>
      </c>
      <c r="C81" s="39">
        <v>2020</v>
      </c>
      <c r="D81" s="85" t="s">
        <v>345</v>
      </c>
      <c r="E81" s="39" t="s">
        <v>181</v>
      </c>
      <c r="F81" s="39" t="s">
        <v>353</v>
      </c>
      <c r="G81" s="39" t="s">
        <v>36</v>
      </c>
      <c r="H81" s="39" t="s">
        <v>146</v>
      </c>
      <c r="I81" s="39" t="s">
        <v>142</v>
      </c>
      <c r="J81" s="39" t="s">
        <v>38</v>
      </c>
      <c r="K81" s="39" t="s">
        <v>143</v>
      </c>
      <c r="L81" s="39">
        <v>2</v>
      </c>
      <c r="N81" s="39">
        <v>3</v>
      </c>
      <c r="O81" s="39">
        <v>0.55000000000000004</v>
      </c>
      <c r="P81" s="39">
        <v>0.6</v>
      </c>
      <c r="Q81" s="45">
        <f t="shared" si="3"/>
        <v>0.57499999999999996</v>
      </c>
      <c r="R81" s="39">
        <v>12.3</v>
      </c>
      <c r="S81" s="39">
        <v>164.5</v>
      </c>
      <c r="T81" s="45">
        <f t="shared" si="4"/>
        <v>30</v>
      </c>
      <c r="U81" s="39">
        <v>537</v>
      </c>
      <c r="V81" s="45">
        <f t="shared" si="5"/>
        <v>5370</v>
      </c>
      <c r="W81" s="39">
        <v>15</v>
      </c>
      <c r="X81" s="39" t="s">
        <v>46</v>
      </c>
      <c r="Y81" s="39" t="s">
        <v>55</v>
      </c>
      <c r="Z81" s="39" t="s">
        <v>40</v>
      </c>
      <c r="AA81" s="39" t="s">
        <v>78</v>
      </c>
      <c r="AB81" s="39" t="s">
        <v>335</v>
      </c>
    </row>
    <row r="82" spans="1:28" s="39" customFormat="1" x14ac:dyDescent="0.15">
      <c r="A82" s="39" t="s">
        <v>34</v>
      </c>
      <c r="B82" s="39" t="s">
        <v>337</v>
      </c>
      <c r="C82" s="39">
        <v>2020</v>
      </c>
      <c r="D82" s="85" t="s">
        <v>345</v>
      </c>
      <c r="E82" s="39" t="s">
        <v>181</v>
      </c>
      <c r="F82" s="39" t="s">
        <v>353</v>
      </c>
      <c r="G82" s="39" t="s">
        <v>36</v>
      </c>
      <c r="H82" s="39" t="s">
        <v>146</v>
      </c>
      <c r="I82" s="39" t="s">
        <v>142</v>
      </c>
      <c r="J82" s="39" t="s">
        <v>38</v>
      </c>
      <c r="K82" s="39" t="s">
        <v>143</v>
      </c>
      <c r="L82" s="39">
        <v>3</v>
      </c>
      <c r="N82" s="39">
        <v>3</v>
      </c>
      <c r="O82" s="39">
        <v>0.2</v>
      </c>
      <c r="P82" s="39">
        <v>0.2</v>
      </c>
      <c r="Q82" s="45">
        <f t="shared" si="3"/>
        <v>0.2</v>
      </c>
      <c r="R82" s="39">
        <v>16.899999999999999</v>
      </c>
      <c r="S82" s="39">
        <v>155.5</v>
      </c>
      <c r="T82" s="45">
        <f t="shared" si="4"/>
        <v>30</v>
      </c>
      <c r="U82" s="39">
        <v>537</v>
      </c>
      <c r="V82" s="45">
        <f t="shared" si="5"/>
        <v>5370</v>
      </c>
      <c r="W82" s="39">
        <v>15</v>
      </c>
      <c r="X82" s="39" t="s">
        <v>46</v>
      </c>
      <c r="Y82" s="39" t="s">
        <v>55</v>
      </c>
      <c r="Z82" s="39" t="s">
        <v>40</v>
      </c>
      <c r="AA82" s="39" t="s">
        <v>78</v>
      </c>
      <c r="AB82" s="39" t="s">
        <v>335</v>
      </c>
    </row>
    <row r="83" spans="1:28" s="39" customFormat="1" x14ac:dyDescent="0.15">
      <c r="A83" s="39" t="s">
        <v>34</v>
      </c>
      <c r="B83" s="39" t="s">
        <v>337</v>
      </c>
      <c r="C83" s="39">
        <v>2020</v>
      </c>
      <c r="D83" s="85" t="s">
        <v>345</v>
      </c>
      <c r="E83" s="39" t="s">
        <v>181</v>
      </c>
      <c r="F83" s="39" t="s">
        <v>353</v>
      </c>
      <c r="G83" s="39" t="s">
        <v>36</v>
      </c>
      <c r="H83" s="39" t="s">
        <v>127</v>
      </c>
      <c r="I83" s="39" t="s">
        <v>142</v>
      </c>
      <c r="J83" s="39" t="s">
        <v>80</v>
      </c>
      <c r="K83" s="39" t="s">
        <v>101</v>
      </c>
      <c r="L83" s="39">
        <v>1</v>
      </c>
      <c r="N83" s="39">
        <v>1</v>
      </c>
      <c r="O83" s="39">
        <v>0.6</v>
      </c>
      <c r="P83" s="39">
        <v>0.55000000000000004</v>
      </c>
      <c r="Q83" s="45">
        <f t="shared" si="3"/>
        <v>0.57499999999999996</v>
      </c>
      <c r="R83" s="39">
        <v>12.1</v>
      </c>
      <c r="S83" s="39">
        <v>96</v>
      </c>
      <c r="T83" s="45">
        <f t="shared" si="4"/>
        <v>36</v>
      </c>
      <c r="U83" s="39">
        <v>429</v>
      </c>
      <c r="V83" s="45">
        <f t="shared" si="5"/>
        <v>15444</v>
      </c>
      <c r="W83" s="39">
        <v>15</v>
      </c>
      <c r="X83" s="39" t="s">
        <v>46</v>
      </c>
      <c r="Y83" s="39" t="s">
        <v>55</v>
      </c>
      <c r="Z83" s="39" t="s">
        <v>40</v>
      </c>
      <c r="AA83" s="39" t="s">
        <v>78</v>
      </c>
      <c r="AB83" s="39" t="s">
        <v>335</v>
      </c>
    </row>
    <row r="84" spans="1:28" s="39" customFormat="1" x14ac:dyDescent="0.15">
      <c r="A84" s="39" t="s">
        <v>34</v>
      </c>
      <c r="B84" s="39" t="s">
        <v>337</v>
      </c>
      <c r="C84" s="39">
        <v>2020</v>
      </c>
      <c r="D84" s="85" t="s">
        <v>345</v>
      </c>
      <c r="E84" s="39" t="s">
        <v>181</v>
      </c>
      <c r="F84" s="39" t="s">
        <v>353</v>
      </c>
      <c r="G84" s="39" t="s">
        <v>36</v>
      </c>
      <c r="H84" s="39" t="s">
        <v>127</v>
      </c>
      <c r="I84" s="39" t="s">
        <v>142</v>
      </c>
      <c r="J84" s="39" t="s">
        <v>80</v>
      </c>
      <c r="K84" s="39" t="s">
        <v>101</v>
      </c>
      <c r="L84" s="39">
        <v>2</v>
      </c>
      <c r="N84" s="39">
        <v>1</v>
      </c>
      <c r="O84" s="39">
        <v>0.55000000000000004</v>
      </c>
      <c r="P84" s="39">
        <v>0.75</v>
      </c>
      <c r="Q84" s="45">
        <f t="shared" si="3"/>
        <v>0.65</v>
      </c>
      <c r="R84" s="39">
        <v>14.5</v>
      </c>
      <c r="S84" s="39">
        <v>96</v>
      </c>
      <c r="T84" s="45">
        <f t="shared" si="4"/>
        <v>36</v>
      </c>
      <c r="U84" s="39">
        <v>429</v>
      </c>
      <c r="V84" s="45">
        <f t="shared" si="5"/>
        <v>15444</v>
      </c>
      <c r="W84" s="39">
        <v>15</v>
      </c>
      <c r="X84" s="39" t="s">
        <v>46</v>
      </c>
      <c r="Y84" s="39" t="s">
        <v>55</v>
      </c>
      <c r="Z84" s="39" t="s">
        <v>40</v>
      </c>
      <c r="AA84" s="39" t="s">
        <v>78</v>
      </c>
      <c r="AB84" s="39" t="s">
        <v>335</v>
      </c>
    </row>
    <row r="85" spans="1:28" s="39" customFormat="1" x14ac:dyDescent="0.15">
      <c r="A85" s="39" t="s">
        <v>34</v>
      </c>
      <c r="B85" s="39" t="s">
        <v>337</v>
      </c>
      <c r="C85" s="39">
        <v>2020</v>
      </c>
      <c r="D85" s="85" t="s">
        <v>345</v>
      </c>
      <c r="E85" s="39" t="s">
        <v>181</v>
      </c>
      <c r="F85" s="39" t="s">
        <v>353</v>
      </c>
      <c r="G85" s="39" t="s">
        <v>36</v>
      </c>
      <c r="H85" s="39" t="s">
        <v>127</v>
      </c>
      <c r="I85" s="39" t="s">
        <v>142</v>
      </c>
      <c r="J85" s="39" t="s">
        <v>80</v>
      </c>
      <c r="K85" s="39" t="s">
        <v>101</v>
      </c>
      <c r="L85" s="39">
        <v>3</v>
      </c>
      <c r="N85" s="39">
        <v>1</v>
      </c>
      <c r="O85" s="39">
        <v>0.55000000000000004</v>
      </c>
      <c r="P85" s="39">
        <v>0.55000000000000004</v>
      </c>
      <c r="Q85" s="45">
        <f t="shared" si="3"/>
        <v>0.55000000000000004</v>
      </c>
      <c r="R85" s="39">
        <v>13.2</v>
      </c>
      <c r="S85" s="39">
        <v>96</v>
      </c>
      <c r="T85" s="45">
        <f t="shared" si="4"/>
        <v>36</v>
      </c>
      <c r="U85" s="39">
        <v>429</v>
      </c>
      <c r="V85" s="45">
        <f t="shared" si="5"/>
        <v>15444</v>
      </c>
      <c r="W85" s="39">
        <v>15</v>
      </c>
      <c r="X85" s="39" t="s">
        <v>46</v>
      </c>
      <c r="Y85" s="39" t="s">
        <v>55</v>
      </c>
      <c r="Z85" s="39" t="s">
        <v>40</v>
      </c>
      <c r="AA85" s="39" t="s">
        <v>78</v>
      </c>
      <c r="AB85" s="39" t="s">
        <v>335</v>
      </c>
    </row>
    <row r="86" spans="1:28" s="39" customFormat="1" x14ac:dyDescent="0.15">
      <c r="A86" s="39" t="s">
        <v>34</v>
      </c>
      <c r="B86" s="39" t="s">
        <v>337</v>
      </c>
      <c r="C86" s="39">
        <v>2020</v>
      </c>
      <c r="D86" s="85" t="s">
        <v>345</v>
      </c>
      <c r="E86" s="39" t="s">
        <v>354</v>
      </c>
      <c r="F86" s="39" t="s">
        <v>355</v>
      </c>
      <c r="G86" s="39" t="s">
        <v>36</v>
      </c>
      <c r="H86" s="39" t="s">
        <v>146</v>
      </c>
      <c r="I86" s="39" t="s">
        <v>142</v>
      </c>
      <c r="J86" s="39" t="s">
        <v>38</v>
      </c>
      <c r="K86" s="39" t="s">
        <v>143</v>
      </c>
      <c r="L86" s="39">
        <v>1</v>
      </c>
      <c r="N86" s="39">
        <v>1</v>
      </c>
      <c r="O86" s="39">
        <v>0.5</v>
      </c>
      <c r="P86" s="39">
        <v>0.5</v>
      </c>
      <c r="Q86" s="45">
        <f t="shared" si="3"/>
        <v>0.5</v>
      </c>
      <c r="R86" s="39">
        <v>21.5</v>
      </c>
      <c r="S86" s="39">
        <v>134.5</v>
      </c>
      <c r="T86" s="45">
        <f t="shared" si="4"/>
        <v>30</v>
      </c>
      <c r="U86" s="39">
        <v>113</v>
      </c>
      <c r="V86" s="45">
        <f t="shared" si="5"/>
        <v>3390</v>
      </c>
      <c r="W86" s="39">
        <v>4</v>
      </c>
      <c r="X86" s="39" t="s">
        <v>46</v>
      </c>
      <c r="Y86" s="39" t="s">
        <v>40</v>
      </c>
      <c r="Z86" s="39" t="s">
        <v>78</v>
      </c>
      <c r="AA86" s="39" t="s">
        <v>60</v>
      </c>
      <c r="AB86" s="39" t="s">
        <v>335</v>
      </c>
    </row>
    <row r="87" spans="1:28" s="39" customFormat="1" x14ac:dyDescent="0.15">
      <c r="A87" s="39" t="s">
        <v>34</v>
      </c>
      <c r="B87" s="39" t="s">
        <v>337</v>
      </c>
      <c r="C87" s="39">
        <v>2020</v>
      </c>
      <c r="D87" s="85" t="s">
        <v>345</v>
      </c>
      <c r="E87" s="39" t="s">
        <v>354</v>
      </c>
      <c r="F87" s="39" t="s">
        <v>355</v>
      </c>
      <c r="G87" s="39" t="s">
        <v>36</v>
      </c>
      <c r="H87" s="39" t="s">
        <v>146</v>
      </c>
      <c r="I87" s="39" t="s">
        <v>142</v>
      </c>
      <c r="J87" s="39" t="s">
        <v>38</v>
      </c>
      <c r="K87" s="39" t="s">
        <v>143</v>
      </c>
      <c r="L87" s="39">
        <v>2</v>
      </c>
      <c r="N87" s="39">
        <v>1</v>
      </c>
      <c r="O87" s="39">
        <v>0.45</v>
      </c>
      <c r="P87" s="39">
        <v>0.55000000000000004</v>
      </c>
      <c r="Q87" s="45">
        <f t="shared" si="3"/>
        <v>0.5</v>
      </c>
      <c r="R87" s="39">
        <v>16.7</v>
      </c>
      <c r="S87" s="39">
        <v>140.5</v>
      </c>
      <c r="T87" s="45">
        <f t="shared" si="4"/>
        <v>30</v>
      </c>
      <c r="U87" s="39">
        <v>113</v>
      </c>
      <c r="V87" s="45">
        <f t="shared" si="5"/>
        <v>3390</v>
      </c>
      <c r="W87" s="39">
        <v>4</v>
      </c>
      <c r="X87" s="39" t="s">
        <v>46</v>
      </c>
      <c r="Y87" s="39" t="s">
        <v>40</v>
      </c>
      <c r="Z87" s="39" t="s">
        <v>78</v>
      </c>
      <c r="AA87" s="39" t="s">
        <v>60</v>
      </c>
      <c r="AB87" s="39" t="s">
        <v>335</v>
      </c>
    </row>
    <row r="88" spans="1:28" s="39" customFormat="1" x14ac:dyDescent="0.15">
      <c r="A88" s="39" t="s">
        <v>34</v>
      </c>
      <c r="B88" s="39" t="s">
        <v>337</v>
      </c>
      <c r="C88" s="39">
        <v>2020</v>
      </c>
      <c r="D88" s="85" t="s">
        <v>345</v>
      </c>
      <c r="E88" s="39" t="s">
        <v>354</v>
      </c>
      <c r="F88" s="39" t="s">
        <v>355</v>
      </c>
      <c r="G88" s="39" t="s">
        <v>36</v>
      </c>
      <c r="H88" s="39" t="s">
        <v>146</v>
      </c>
      <c r="I88" s="39" t="s">
        <v>142</v>
      </c>
      <c r="J88" s="39" t="s">
        <v>38</v>
      </c>
      <c r="K88" s="39" t="s">
        <v>143</v>
      </c>
      <c r="L88" s="39">
        <v>3</v>
      </c>
      <c r="N88" s="39">
        <v>1</v>
      </c>
      <c r="O88" s="39">
        <v>0.75</v>
      </c>
      <c r="P88" s="39">
        <v>0.75</v>
      </c>
      <c r="Q88" s="45">
        <f t="shared" si="3"/>
        <v>0.75</v>
      </c>
      <c r="R88" s="39">
        <v>16.600000000000001</v>
      </c>
      <c r="S88" s="39">
        <v>136</v>
      </c>
      <c r="T88" s="45">
        <f t="shared" si="4"/>
        <v>30</v>
      </c>
      <c r="U88" s="39">
        <v>113</v>
      </c>
      <c r="V88" s="45">
        <f t="shared" si="5"/>
        <v>3390</v>
      </c>
      <c r="W88" s="39">
        <v>4</v>
      </c>
      <c r="X88" s="39" t="s">
        <v>46</v>
      </c>
      <c r="Y88" s="39" t="s">
        <v>40</v>
      </c>
      <c r="Z88" s="39" t="s">
        <v>78</v>
      </c>
      <c r="AA88" s="39" t="s">
        <v>60</v>
      </c>
      <c r="AB88" s="39" t="s">
        <v>335</v>
      </c>
    </row>
    <row r="89" spans="1:28" s="39" customFormat="1" x14ac:dyDescent="0.15">
      <c r="A89" s="39" t="s">
        <v>34</v>
      </c>
      <c r="B89" s="39" t="s">
        <v>337</v>
      </c>
      <c r="C89" s="39">
        <v>2020</v>
      </c>
      <c r="D89" s="85" t="s">
        <v>345</v>
      </c>
      <c r="E89" s="39" t="s">
        <v>354</v>
      </c>
      <c r="F89" s="39" t="s">
        <v>355</v>
      </c>
      <c r="G89" s="39" t="s">
        <v>36</v>
      </c>
      <c r="H89" s="39" t="s">
        <v>127</v>
      </c>
      <c r="I89" s="39" t="s">
        <v>142</v>
      </c>
      <c r="J89" s="39" t="s">
        <v>80</v>
      </c>
      <c r="K89" s="39" t="s">
        <v>63</v>
      </c>
      <c r="L89" s="39">
        <v>1</v>
      </c>
      <c r="N89" s="39">
        <v>7</v>
      </c>
      <c r="O89" s="39">
        <v>0.8</v>
      </c>
      <c r="P89" s="39">
        <v>0.9</v>
      </c>
      <c r="Q89" s="45">
        <f t="shared" si="3"/>
        <v>0.85000000000000009</v>
      </c>
      <c r="R89" s="39">
        <v>11.5</v>
      </c>
      <c r="S89" s="39">
        <v>90.5</v>
      </c>
      <c r="T89" s="45">
        <f t="shared" si="4"/>
        <v>36</v>
      </c>
      <c r="U89" s="39">
        <v>463</v>
      </c>
      <c r="V89" s="45">
        <f t="shared" si="5"/>
        <v>2381.1428571428569</v>
      </c>
      <c r="W89" s="39">
        <v>4</v>
      </c>
      <c r="X89" s="39" t="s">
        <v>46</v>
      </c>
      <c r="Y89" s="39" t="s">
        <v>40</v>
      </c>
      <c r="Z89" s="39" t="s">
        <v>78</v>
      </c>
      <c r="AA89" s="39" t="s">
        <v>60</v>
      </c>
      <c r="AB89" s="39" t="s">
        <v>335</v>
      </c>
    </row>
    <row r="90" spans="1:28" s="39" customFormat="1" x14ac:dyDescent="0.15">
      <c r="A90" s="39" t="s">
        <v>34</v>
      </c>
      <c r="B90" s="39" t="s">
        <v>337</v>
      </c>
      <c r="C90" s="39">
        <v>2020</v>
      </c>
      <c r="D90" s="85" t="s">
        <v>345</v>
      </c>
      <c r="E90" s="39" t="s">
        <v>354</v>
      </c>
      <c r="F90" s="39" t="s">
        <v>355</v>
      </c>
      <c r="G90" s="39" t="s">
        <v>36</v>
      </c>
      <c r="H90" s="39" t="s">
        <v>127</v>
      </c>
      <c r="I90" s="39" t="s">
        <v>142</v>
      </c>
      <c r="J90" s="39" t="s">
        <v>80</v>
      </c>
      <c r="K90" s="39" t="s">
        <v>63</v>
      </c>
      <c r="L90" s="39">
        <v>2</v>
      </c>
      <c r="N90" s="39">
        <v>7</v>
      </c>
      <c r="O90" s="39">
        <v>0.9</v>
      </c>
      <c r="P90" s="39">
        <v>1</v>
      </c>
      <c r="Q90" s="45">
        <f t="shared" si="3"/>
        <v>0.95</v>
      </c>
      <c r="R90" s="39">
        <v>10.4</v>
      </c>
      <c r="S90" s="39">
        <v>82</v>
      </c>
      <c r="T90" s="45">
        <f t="shared" si="4"/>
        <v>39</v>
      </c>
      <c r="U90" s="39">
        <v>463</v>
      </c>
      <c r="V90" s="45">
        <f t="shared" si="5"/>
        <v>2579.5714285714284</v>
      </c>
      <c r="W90" s="39">
        <v>4</v>
      </c>
      <c r="X90" s="39" t="s">
        <v>46</v>
      </c>
      <c r="Y90" s="39" t="s">
        <v>40</v>
      </c>
      <c r="Z90" s="39" t="s">
        <v>78</v>
      </c>
      <c r="AA90" s="39" t="s">
        <v>60</v>
      </c>
      <c r="AB90" s="39" t="s">
        <v>335</v>
      </c>
    </row>
    <row r="91" spans="1:28" s="39" customFormat="1" x14ac:dyDescent="0.15">
      <c r="A91" s="39" t="s">
        <v>34</v>
      </c>
      <c r="B91" s="39" t="s">
        <v>337</v>
      </c>
      <c r="C91" s="39">
        <v>2020</v>
      </c>
      <c r="D91" s="85" t="s">
        <v>345</v>
      </c>
      <c r="E91" s="39" t="s">
        <v>354</v>
      </c>
      <c r="F91" s="39" t="s">
        <v>355</v>
      </c>
      <c r="G91" s="39" t="s">
        <v>36</v>
      </c>
      <c r="H91" s="39" t="s">
        <v>127</v>
      </c>
      <c r="I91" s="39" t="s">
        <v>142</v>
      </c>
      <c r="J91" s="39" t="s">
        <v>80</v>
      </c>
      <c r="K91" s="39" t="s">
        <v>63</v>
      </c>
      <c r="L91" s="39">
        <v>3</v>
      </c>
      <c r="N91" s="39">
        <v>7</v>
      </c>
      <c r="O91" s="39">
        <v>0.7</v>
      </c>
      <c r="P91" s="39">
        <v>0.75</v>
      </c>
      <c r="Q91" s="45">
        <f t="shared" si="3"/>
        <v>0.72499999999999998</v>
      </c>
      <c r="R91" s="39">
        <v>13.5</v>
      </c>
      <c r="S91" s="39">
        <v>86.5</v>
      </c>
      <c r="T91" s="45">
        <f t="shared" si="4"/>
        <v>36</v>
      </c>
      <c r="U91" s="39">
        <v>463</v>
      </c>
      <c r="V91" s="45">
        <f t="shared" si="5"/>
        <v>2381.1428571428569</v>
      </c>
      <c r="W91" s="39">
        <v>4</v>
      </c>
      <c r="X91" s="39" t="s">
        <v>46</v>
      </c>
      <c r="Y91" s="39" t="s">
        <v>40</v>
      </c>
      <c r="Z91" s="39" t="s">
        <v>78</v>
      </c>
      <c r="AA91" s="39" t="s">
        <v>60</v>
      </c>
      <c r="AB91" s="39" t="s">
        <v>335</v>
      </c>
    </row>
    <row r="92" spans="1:28" s="39" customFormat="1" x14ac:dyDescent="0.15">
      <c r="A92" s="39" t="s">
        <v>34</v>
      </c>
      <c r="B92" s="39" t="s">
        <v>337</v>
      </c>
      <c r="C92" s="39">
        <v>2020</v>
      </c>
      <c r="D92" s="85" t="s">
        <v>345</v>
      </c>
      <c r="E92" s="39" t="s">
        <v>354</v>
      </c>
      <c r="F92" s="39" t="s">
        <v>355</v>
      </c>
      <c r="G92" s="39" t="s">
        <v>36</v>
      </c>
      <c r="H92" s="39" t="s">
        <v>127</v>
      </c>
      <c r="I92" s="39" t="s">
        <v>142</v>
      </c>
      <c r="J92" s="39" t="s">
        <v>80</v>
      </c>
      <c r="K92" s="39" t="s">
        <v>63</v>
      </c>
      <c r="L92" s="39">
        <v>1</v>
      </c>
      <c r="N92" s="39">
        <v>1</v>
      </c>
      <c r="O92" s="39">
        <v>0.9</v>
      </c>
      <c r="P92" s="39">
        <v>0.95</v>
      </c>
      <c r="Q92" s="45">
        <f t="shared" si="3"/>
        <v>0.92500000000000004</v>
      </c>
      <c r="R92" s="39">
        <v>12.2</v>
      </c>
      <c r="S92" s="39">
        <v>129.5</v>
      </c>
      <c r="T92" s="45">
        <f t="shared" si="4"/>
        <v>30</v>
      </c>
      <c r="U92" s="39">
        <v>113</v>
      </c>
      <c r="V92" s="45">
        <f t="shared" si="5"/>
        <v>3390</v>
      </c>
      <c r="W92" s="39">
        <v>4</v>
      </c>
      <c r="X92" s="39" t="s">
        <v>46</v>
      </c>
      <c r="Y92" s="39" t="s">
        <v>40</v>
      </c>
      <c r="Z92" s="39" t="s">
        <v>78</v>
      </c>
      <c r="AA92" s="39" t="s">
        <v>60</v>
      </c>
      <c r="AB92" s="39" t="s">
        <v>335</v>
      </c>
    </row>
    <row r="93" spans="1:28" s="39" customFormat="1" x14ac:dyDescent="0.15">
      <c r="A93" s="39" t="s">
        <v>34</v>
      </c>
      <c r="B93" s="39" t="s">
        <v>337</v>
      </c>
      <c r="C93" s="39">
        <v>2020</v>
      </c>
      <c r="D93" s="85" t="s">
        <v>345</v>
      </c>
      <c r="E93" s="39" t="s">
        <v>354</v>
      </c>
      <c r="F93" s="39" t="s">
        <v>355</v>
      </c>
      <c r="G93" s="39" t="s">
        <v>36</v>
      </c>
      <c r="H93" s="39" t="s">
        <v>127</v>
      </c>
      <c r="I93" s="39" t="s">
        <v>142</v>
      </c>
      <c r="J93" s="39" t="s">
        <v>80</v>
      </c>
      <c r="K93" s="39" t="s">
        <v>63</v>
      </c>
      <c r="L93" s="39">
        <v>2</v>
      </c>
      <c r="N93" s="39">
        <v>1</v>
      </c>
      <c r="O93" s="39">
        <v>0.8</v>
      </c>
      <c r="P93" s="39">
        <v>0.8</v>
      </c>
      <c r="Q93" s="45">
        <f t="shared" si="3"/>
        <v>0.8</v>
      </c>
      <c r="R93" s="39">
        <v>12</v>
      </c>
      <c r="S93" s="39">
        <v>119.5</v>
      </c>
      <c r="T93" s="45">
        <f t="shared" si="4"/>
        <v>30</v>
      </c>
      <c r="U93" s="39">
        <v>113</v>
      </c>
      <c r="V93" s="45">
        <f t="shared" si="5"/>
        <v>3390</v>
      </c>
      <c r="W93" s="39">
        <v>4</v>
      </c>
      <c r="X93" s="39" t="s">
        <v>46</v>
      </c>
      <c r="Y93" s="39" t="s">
        <v>40</v>
      </c>
      <c r="Z93" s="39" t="s">
        <v>78</v>
      </c>
      <c r="AA93" s="39" t="s">
        <v>60</v>
      </c>
      <c r="AB93" s="39" t="s">
        <v>335</v>
      </c>
    </row>
    <row r="94" spans="1:28" s="39" customFormat="1" x14ac:dyDescent="0.15">
      <c r="A94" s="39" t="s">
        <v>34</v>
      </c>
      <c r="B94" s="39" t="s">
        <v>337</v>
      </c>
      <c r="C94" s="39">
        <v>2020</v>
      </c>
      <c r="D94" s="85" t="s">
        <v>345</v>
      </c>
      <c r="E94" s="39" t="s">
        <v>354</v>
      </c>
      <c r="F94" s="39" t="s">
        <v>355</v>
      </c>
      <c r="G94" s="39" t="s">
        <v>36</v>
      </c>
      <c r="H94" s="39" t="s">
        <v>127</v>
      </c>
      <c r="I94" s="39" t="s">
        <v>142</v>
      </c>
      <c r="J94" s="39" t="s">
        <v>80</v>
      </c>
      <c r="K94" s="39" t="s">
        <v>63</v>
      </c>
      <c r="L94" s="39">
        <v>3</v>
      </c>
      <c r="N94" s="39">
        <v>1</v>
      </c>
      <c r="O94" s="39">
        <v>0.9</v>
      </c>
      <c r="P94" s="39">
        <v>1</v>
      </c>
      <c r="Q94" s="45">
        <f t="shared" si="3"/>
        <v>0.95</v>
      </c>
      <c r="R94" s="39">
        <v>10.7</v>
      </c>
      <c r="S94" s="39">
        <v>120.5</v>
      </c>
      <c r="T94" s="45">
        <f t="shared" si="4"/>
        <v>30</v>
      </c>
      <c r="U94" s="39">
        <v>113</v>
      </c>
      <c r="V94" s="45">
        <f t="shared" si="5"/>
        <v>3390</v>
      </c>
      <c r="W94" s="39">
        <v>4</v>
      </c>
      <c r="X94" s="39" t="s">
        <v>46</v>
      </c>
      <c r="Y94" s="39" t="s">
        <v>40</v>
      </c>
      <c r="Z94" s="39" t="s">
        <v>78</v>
      </c>
      <c r="AA94" s="39" t="s">
        <v>60</v>
      </c>
      <c r="AB94" s="39" t="s">
        <v>335</v>
      </c>
    </row>
    <row r="95" spans="1:28" s="39" customFormat="1" x14ac:dyDescent="0.15">
      <c r="A95" s="39" t="s">
        <v>34</v>
      </c>
      <c r="B95" s="39" t="s">
        <v>337</v>
      </c>
      <c r="C95" s="39">
        <v>2020</v>
      </c>
      <c r="D95" s="85" t="s">
        <v>345</v>
      </c>
      <c r="E95" s="39" t="s">
        <v>354</v>
      </c>
      <c r="F95" s="39" t="s">
        <v>355</v>
      </c>
      <c r="G95" s="39" t="s">
        <v>36</v>
      </c>
      <c r="H95" s="39" t="s">
        <v>127</v>
      </c>
      <c r="I95" s="39" t="s">
        <v>142</v>
      </c>
      <c r="J95" s="39" t="s">
        <v>80</v>
      </c>
      <c r="K95" s="39" t="s">
        <v>63</v>
      </c>
      <c r="L95" s="39">
        <v>1</v>
      </c>
      <c r="N95" s="39">
        <v>4</v>
      </c>
      <c r="O95" s="39">
        <v>0.65</v>
      </c>
      <c r="P95" s="39">
        <v>0.75</v>
      </c>
      <c r="Q95" s="45">
        <f t="shared" si="3"/>
        <v>0.7</v>
      </c>
      <c r="R95" s="39">
        <v>13</v>
      </c>
      <c r="S95" s="39">
        <v>128</v>
      </c>
      <c r="T95" s="45">
        <f t="shared" si="4"/>
        <v>30</v>
      </c>
      <c r="U95" s="39">
        <v>408</v>
      </c>
      <c r="V95" s="45">
        <f t="shared" si="5"/>
        <v>3060</v>
      </c>
      <c r="W95" s="39">
        <v>4</v>
      </c>
      <c r="X95" s="39" t="s">
        <v>46</v>
      </c>
      <c r="Y95" s="39" t="s">
        <v>40</v>
      </c>
      <c r="Z95" s="39" t="s">
        <v>78</v>
      </c>
      <c r="AA95" s="39" t="s">
        <v>60</v>
      </c>
      <c r="AB95" s="39" t="s">
        <v>335</v>
      </c>
    </row>
    <row r="96" spans="1:28" s="39" customFormat="1" x14ac:dyDescent="0.15">
      <c r="A96" s="39" t="s">
        <v>34</v>
      </c>
      <c r="B96" s="39" t="s">
        <v>337</v>
      </c>
      <c r="C96" s="39">
        <v>2020</v>
      </c>
      <c r="D96" s="85" t="s">
        <v>345</v>
      </c>
      <c r="E96" s="39" t="s">
        <v>354</v>
      </c>
      <c r="F96" s="39" t="s">
        <v>355</v>
      </c>
      <c r="G96" s="39" t="s">
        <v>36</v>
      </c>
      <c r="H96" s="39" t="s">
        <v>127</v>
      </c>
      <c r="I96" s="39" t="s">
        <v>142</v>
      </c>
      <c r="J96" s="39" t="s">
        <v>80</v>
      </c>
      <c r="K96" s="39" t="s">
        <v>63</v>
      </c>
      <c r="L96" s="39">
        <v>2</v>
      </c>
      <c r="N96" s="39">
        <v>4</v>
      </c>
      <c r="O96" s="39">
        <v>0.75</v>
      </c>
      <c r="P96" s="39">
        <v>0.7</v>
      </c>
      <c r="Q96" s="45">
        <f t="shared" si="3"/>
        <v>0.72499999999999998</v>
      </c>
      <c r="R96" s="39">
        <v>14.4</v>
      </c>
      <c r="S96" s="39">
        <v>125.5</v>
      </c>
      <c r="T96" s="45">
        <f t="shared" si="4"/>
        <v>30</v>
      </c>
      <c r="U96" s="39">
        <v>408</v>
      </c>
      <c r="V96" s="45">
        <f t="shared" si="5"/>
        <v>3060</v>
      </c>
      <c r="W96" s="39">
        <v>4</v>
      </c>
      <c r="X96" s="39" t="s">
        <v>46</v>
      </c>
      <c r="Y96" s="39" t="s">
        <v>40</v>
      </c>
      <c r="Z96" s="39" t="s">
        <v>78</v>
      </c>
      <c r="AA96" s="39" t="s">
        <v>60</v>
      </c>
      <c r="AB96" s="39" t="s">
        <v>335</v>
      </c>
    </row>
    <row r="97" spans="1:28" s="39" customFormat="1" x14ac:dyDescent="0.15">
      <c r="A97" s="39" t="s">
        <v>34</v>
      </c>
      <c r="B97" s="39" t="s">
        <v>337</v>
      </c>
      <c r="C97" s="39">
        <v>2020</v>
      </c>
      <c r="D97" s="85" t="s">
        <v>345</v>
      </c>
      <c r="E97" s="39" t="s">
        <v>354</v>
      </c>
      <c r="F97" s="39" t="s">
        <v>355</v>
      </c>
      <c r="G97" s="39" t="s">
        <v>36</v>
      </c>
      <c r="H97" s="39" t="s">
        <v>127</v>
      </c>
      <c r="I97" s="39" t="s">
        <v>142</v>
      </c>
      <c r="J97" s="39" t="s">
        <v>80</v>
      </c>
      <c r="K97" s="39" t="s">
        <v>63</v>
      </c>
      <c r="L97" s="39">
        <v>3</v>
      </c>
      <c r="N97" s="39">
        <v>4</v>
      </c>
      <c r="O97" s="39">
        <v>0.7</v>
      </c>
      <c r="P97" s="39">
        <v>0.85</v>
      </c>
      <c r="Q97" s="45">
        <f t="shared" si="3"/>
        <v>0.77499999999999991</v>
      </c>
      <c r="R97" s="39">
        <v>11.7</v>
      </c>
      <c r="S97" s="39">
        <v>125</v>
      </c>
      <c r="T97" s="45">
        <f t="shared" si="4"/>
        <v>30</v>
      </c>
      <c r="U97" s="39">
        <v>408</v>
      </c>
      <c r="V97" s="45">
        <f t="shared" si="5"/>
        <v>3060</v>
      </c>
      <c r="W97" s="39">
        <v>4</v>
      </c>
      <c r="X97" s="39" t="s">
        <v>46</v>
      </c>
      <c r="Y97" s="39" t="s">
        <v>40</v>
      </c>
      <c r="Z97" s="39" t="s">
        <v>78</v>
      </c>
      <c r="AA97" s="39" t="s">
        <v>60</v>
      </c>
      <c r="AB97" s="39" t="s">
        <v>335</v>
      </c>
    </row>
    <row r="98" spans="1:28" s="39" customFormat="1" x14ac:dyDescent="0.15">
      <c r="A98" s="39" t="s">
        <v>34</v>
      </c>
      <c r="B98" s="39" t="s">
        <v>337</v>
      </c>
      <c r="C98" s="39">
        <v>2020</v>
      </c>
      <c r="D98" s="85" t="s">
        <v>345</v>
      </c>
      <c r="E98" s="39" t="s">
        <v>255</v>
      </c>
      <c r="F98" s="39" t="s">
        <v>349</v>
      </c>
      <c r="G98" s="39" t="s">
        <v>36</v>
      </c>
      <c r="H98" s="39" t="s">
        <v>146</v>
      </c>
      <c r="I98" s="39" t="s">
        <v>142</v>
      </c>
      <c r="J98" s="39" t="s">
        <v>38</v>
      </c>
      <c r="K98" s="39" t="s">
        <v>143</v>
      </c>
      <c r="L98" s="39">
        <v>1</v>
      </c>
      <c r="N98" s="39">
        <v>1</v>
      </c>
      <c r="O98" s="39">
        <v>0.7</v>
      </c>
      <c r="P98" s="39">
        <v>0.5</v>
      </c>
      <c r="Q98" s="45">
        <f t="shared" si="3"/>
        <v>0.6</v>
      </c>
      <c r="R98" s="39">
        <v>18.8</v>
      </c>
      <c r="S98" s="39">
        <v>104</v>
      </c>
      <c r="T98" s="45">
        <f t="shared" si="4"/>
        <v>33</v>
      </c>
      <c r="U98" s="39">
        <v>105</v>
      </c>
      <c r="V98" s="45">
        <f t="shared" si="5"/>
        <v>3465</v>
      </c>
      <c r="W98" s="39">
        <v>4</v>
      </c>
      <c r="X98" s="39" t="s">
        <v>46</v>
      </c>
      <c r="Y98" s="39" t="s">
        <v>69</v>
      </c>
      <c r="Z98" s="39" t="s">
        <v>40</v>
      </c>
      <c r="AA98" s="39" t="s">
        <v>55</v>
      </c>
      <c r="AB98" s="39" t="s">
        <v>335</v>
      </c>
    </row>
    <row r="99" spans="1:28" s="39" customFormat="1" x14ac:dyDescent="0.15">
      <c r="A99" s="39" t="s">
        <v>34</v>
      </c>
      <c r="B99" s="39" t="s">
        <v>337</v>
      </c>
      <c r="C99" s="39">
        <v>2020</v>
      </c>
      <c r="D99" s="85" t="s">
        <v>345</v>
      </c>
      <c r="E99" s="39" t="s">
        <v>255</v>
      </c>
      <c r="F99" s="39" t="s">
        <v>349</v>
      </c>
      <c r="G99" s="39" t="s">
        <v>36</v>
      </c>
      <c r="H99" s="39" t="s">
        <v>146</v>
      </c>
      <c r="I99" s="39" t="s">
        <v>142</v>
      </c>
      <c r="J99" s="39" t="s">
        <v>38</v>
      </c>
      <c r="K99" s="39" t="s">
        <v>143</v>
      </c>
      <c r="L99" s="39">
        <v>2</v>
      </c>
      <c r="N99" s="39">
        <v>1</v>
      </c>
      <c r="O99" s="39">
        <v>0.7</v>
      </c>
      <c r="P99" s="39">
        <v>0.7</v>
      </c>
      <c r="Q99" s="45">
        <f t="shared" si="3"/>
        <v>0.7</v>
      </c>
      <c r="R99" s="39">
        <v>18.899999999999999</v>
      </c>
      <c r="S99" s="39">
        <v>111.5</v>
      </c>
      <c r="T99" s="45">
        <f t="shared" si="4"/>
        <v>33</v>
      </c>
      <c r="U99" s="39">
        <v>105</v>
      </c>
      <c r="V99" s="45">
        <f t="shared" si="5"/>
        <v>3465</v>
      </c>
      <c r="W99" s="39">
        <v>4</v>
      </c>
      <c r="X99" s="39" t="s">
        <v>46</v>
      </c>
      <c r="Y99" s="39" t="s">
        <v>69</v>
      </c>
      <c r="Z99" s="39" t="s">
        <v>40</v>
      </c>
      <c r="AA99" s="39" t="s">
        <v>55</v>
      </c>
      <c r="AB99" s="39" t="s">
        <v>335</v>
      </c>
    </row>
    <row r="100" spans="1:28" s="39" customFormat="1" x14ac:dyDescent="0.15">
      <c r="A100" s="39" t="s">
        <v>34</v>
      </c>
      <c r="B100" s="39" t="s">
        <v>337</v>
      </c>
      <c r="C100" s="39">
        <v>2020</v>
      </c>
      <c r="D100" s="85" t="s">
        <v>345</v>
      </c>
      <c r="E100" s="39" t="s">
        <v>255</v>
      </c>
      <c r="F100" s="39" t="s">
        <v>349</v>
      </c>
      <c r="G100" s="39" t="s">
        <v>36</v>
      </c>
      <c r="H100" s="39" t="s">
        <v>146</v>
      </c>
      <c r="I100" s="39" t="s">
        <v>142</v>
      </c>
      <c r="J100" s="39" t="s">
        <v>38</v>
      </c>
      <c r="K100" s="39" t="s">
        <v>143</v>
      </c>
      <c r="L100" s="39">
        <v>3</v>
      </c>
      <c r="N100" s="39">
        <v>1</v>
      </c>
      <c r="O100" s="39">
        <v>0.5</v>
      </c>
      <c r="P100" s="39">
        <v>0.65</v>
      </c>
      <c r="Q100" s="45">
        <f t="shared" si="3"/>
        <v>0.57499999999999996</v>
      </c>
      <c r="R100" s="39">
        <v>18.100000000000001</v>
      </c>
      <c r="S100" s="39">
        <v>105.5</v>
      </c>
      <c r="T100" s="45">
        <f t="shared" si="4"/>
        <v>33</v>
      </c>
      <c r="U100" s="39">
        <v>105</v>
      </c>
      <c r="V100" s="45">
        <f t="shared" si="5"/>
        <v>3465</v>
      </c>
      <c r="W100" s="39">
        <v>4</v>
      </c>
      <c r="X100" s="39" t="s">
        <v>46</v>
      </c>
      <c r="Y100" s="39" t="s">
        <v>69</v>
      </c>
      <c r="Z100" s="39" t="s">
        <v>40</v>
      </c>
      <c r="AA100" s="39" t="s">
        <v>55</v>
      </c>
      <c r="AB100" s="39" t="s">
        <v>335</v>
      </c>
    </row>
    <row r="101" spans="1:28" s="39" customFormat="1" x14ac:dyDescent="0.15">
      <c r="A101" s="39" t="s">
        <v>34</v>
      </c>
      <c r="B101" s="39" t="s">
        <v>337</v>
      </c>
      <c r="C101" s="39">
        <v>2020</v>
      </c>
      <c r="D101" s="85" t="s">
        <v>345</v>
      </c>
      <c r="E101" s="39" t="s">
        <v>255</v>
      </c>
      <c r="F101" s="39" t="s">
        <v>349</v>
      </c>
      <c r="G101" s="39" t="s">
        <v>36</v>
      </c>
      <c r="H101" s="39" t="s">
        <v>146</v>
      </c>
      <c r="I101" s="39" t="s">
        <v>142</v>
      </c>
      <c r="J101" s="39" t="s">
        <v>38</v>
      </c>
      <c r="K101" s="39" t="s">
        <v>143</v>
      </c>
      <c r="L101" s="39">
        <v>1</v>
      </c>
      <c r="N101" s="39">
        <v>1</v>
      </c>
      <c r="O101" s="39">
        <v>0.2</v>
      </c>
      <c r="P101" s="39">
        <v>0.2</v>
      </c>
      <c r="Q101" s="45">
        <f t="shared" si="3"/>
        <v>0.2</v>
      </c>
      <c r="R101" s="39">
        <v>17.3</v>
      </c>
      <c r="S101" s="39">
        <v>155</v>
      </c>
      <c r="T101" s="45">
        <f t="shared" si="4"/>
        <v>30</v>
      </c>
      <c r="U101" s="39">
        <v>213</v>
      </c>
      <c r="V101" s="45">
        <f t="shared" si="5"/>
        <v>6390</v>
      </c>
      <c r="W101" s="39">
        <v>4</v>
      </c>
      <c r="X101" s="39" t="s">
        <v>46</v>
      </c>
      <c r="Y101" s="39" t="s">
        <v>69</v>
      </c>
      <c r="Z101" s="39" t="s">
        <v>40</v>
      </c>
      <c r="AA101" s="39" t="s">
        <v>55</v>
      </c>
      <c r="AB101" s="39" t="s">
        <v>335</v>
      </c>
    </row>
    <row r="102" spans="1:28" s="39" customFormat="1" x14ac:dyDescent="0.15">
      <c r="A102" s="39" t="s">
        <v>34</v>
      </c>
      <c r="B102" s="39" t="s">
        <v>337</v>
      </c>
      <c r="C102" s="39">
        <v>2020</v>
      </c>
      <c r="D102" s="85" t="s">
        <v>345</v>
      </c>
      <c r="E102" s="39" t="s">
        <v>255</v>
      </c>
      <c r="F102" s="39" t="s">
        <v>349</v>
      </c>
      <c r="G102" s="39" t="s">
        <v>36</v>
      </c>
      <c r="H102" s="39" t="s">
        <v>146</v>
      </c>
      <c r="I102" s="39" t="s">
        <v>142</v>
      </c>
      <c r="J102" s="39" t="s">
        <v>38</v>
      </c>
      <c r="K102" s="39" t="s">
        <v>143</v>
      </c>
      <c r="L102" s="39">
        <v>2</v>
      </c>
      <c r="N102" s="39">
        <v>1</v>
      </c>
      <c r="O102" s="39">
        <v>0.2</v>
      </c>
      <c r="P102" s="39">
        <v>0.2</v>
      </c>
      <c r="Q102" s="45">
        <f t="shared" si="3"/>
        <v>0.2</v>
      </c>
      <c r="R102" s="39">
        <v>17.5</v>
      </c>
      <c r="S102" s="39">
        <v>163</v>
      </c>
      <c r="T102" s="45">
        <f t="shared" si="4"/>
        <v>30</v>
      </c>
      <c r="U102" s="39">
        <v>213</v>
      </c>
      <c r="V102" s="45">
        <f t="shared" si="5"/>
        <v>6390</v>
      </c>
      <c r="W102" s="39">
        <v>4</v>
      </c>
      <c r="X102" s="39" t="s">
        <v>46</v>
      </c>
      <c r="Y102" s="39" t="s">
        <v>69</v>
      </c>
      <c r="Z102" s="39" t="s">
        <v>40</v>
      </c>
      <c r="AA102" s="39" t="s">
        <v>55</v>
      </c>
      <c r="AB102" s="39" t="s">
        <v>335</v>
      </c>
    </row>
    <row r="103" spans="1:28" s="39" customFormat="1" x14ac:dyDescent="0.15">
      <c r="A103" s="39" t="s">
        <v>34</v>
      </c>
      <c r="B103" s="39" t="s">
        <v>337</v>
      </c>
      <c r="C103" s="39">
        <v>2020</v>
      </c>
      <c r="D103" s="85" t="s">
        <v>345</v>
      </c>
      <c r="E103" s="39" t="s">
        <v>255</v>
      </c>
      <c r="F103" s="39" t="s">
        <v>349</v>
      </c>
      <c r="G103" s="39" t="s">
        <v>36</v>
      </c>
      <c r="H103" s="39" t="s">
        <v>146</v>
      </c>
      <c r="I103" s="39" t="s">
        <v>142</v>
      </c>
      <c r="J103" s="39" t="s">
        <v>38</v>
      </c>
      <c r="K103" s="39" t="s">
        <v>143</v>
      </c>
      <c r="L103" s="39">
        <v>3</v>
      </c>
      <c r="N103" s="39">
        <v>1</v>
      </c>
      <c r="O103" s="39">
        <v>0.6</v>
      </c>
      <c r="P103" s="39">
        <v>0.6</v>
      </c>
      <c r="Q103" s="45">
        <f t="shared" si="3"/>
        <v>0.6</v>
      </c>
      <c r="R103" s="39">
        <v>17.100000000000001</v>
      </c>
      <c r="S103" s="39">
        <v>157</v>
      </c>
      <c r="T103" s="45">
        <f t="shared" si="4"/>
        <v>30</v>
      </c>
      <c r="U103" s="39">
        <v>213</v>
      </c>
      <c r="V103" s="45">
        <f t="shared" si="5"/>
        <v>6390</v>
      </c>
      <c r="W103" s="39">
        <v>4</v>
      </c>
      <c r="X103" s="39" t="s">
        <v>46</v>
      </c>
      <c r="Y103" s="39" t="s">
        <v>69</v>
      </c>
      <c r="Z103" s="39" t="s">
        <v>40</v>
      </c>
      <c r="AA103" s="39" t="s">
        <v>55</v>
      </c>
      <c r="AB103" s="39" t="s">
        <v>335</v>
      </c>
    </row>
    <row r="104" spans="1:28" s="39" customFormat="1" x14ac:dyDescent="0.15">
      <c r="A104" s="39" t="s">
        <v>34</v>
      </c>
      <c r="B104" s="39" t="s">
        <v>337</v>
      </c>
      <c r="C104" s="39">
        <v>2020</v>
      </c>
      <c r="D104" s="85" t="s">
        <v>345</v>
      </c>
      <c r="E104" s="39" t="s">
        <v>255</v>
      </c>
      <c r="F104" s="39" t="s">
        <v>349</v>
      </c>
      <c r="G104" s="39" t="s">
        <v>36</v>
      </c>
      <c r="H104" s="39" t="s">
        <v>146</v>
      </c>
      <c r="I104" s="39" t="s">
        <v>142</v>
      </c>
      <c r="J104" s="39" t="s">
        <v>38</v>
      </c>
      <c r="K104" s="39" t="s">
        <v>143</v>
      </c>
      <c r="L104" s="39">
        <v>1</v>
      </c>
      <c r="N104" s="39">
        <v>4</v>
      </c>
      <c r="O104" s="39">
        <v>0.7</v>
      </c>
      <c r="P104" s="39">
        <v>0.7</v>
      </c>
      <c r="Q104" s="45">
        <f t="shared" si="3"/>
        <v>0.7</v>
      </c>
      <c r="R104" s="39">
        <v>17.2</v>
      </c>
      <c r="S104" s="39">
        <v>103</v>
      </c>
      <c r="T104" s="45">
        <f t="shared" si="4"/>
        <v>33</v>
      </c>
      <c r="U104" s="39">
        <v>537</v>
      </c>
      <c r="V104" s="45">
        <f t="shared" si="5"/>
        <v>4430.25</v>
      </c>
      <c r="W104" s="39">
        <v>4</v>
      </c>
      <c r="X104" s="39" t="s">
        <v>46</v>
      </c>
      <c r="Y104" s="39" t="s">
        <v>69</v>
      </c>
      <c r="Z104" s="39" t="s">
        <v>40</v>
      </c>
      <c r="AA104" s="39" t="s">
        <v>55</v>
      </c>
      <c r="AB104" s="39" t="s">
        <v>335</v>
      </c>
    </row>
    <row r="105" spans="1:28" s="39" customFormat="1" x14ac:dyDescent="0.15">
      <c r="A105" s="39" t="s">
        <v>34</v>
      </c>
      <c r="B105" s="39" t="s">
        <v>337</v>
      </c>
      <c r="C105" s="39">
        <v>2020</v>
      </c>
      <c r="D105" s="85" t="s">
        <v>345</v>
      </c>
      <c r="E105" s="39" t="s">
        <v>255</v>
      </c>
      <c r="F105" s="39" t="s">
        <v>349</v>
      </c>
      <c r="G105" s="39" t="s">
        <v>36</v>
      </c>
      <c r="H105" s="39" t="s">
        <v>146</v>
      </c>
      <c r="I105" s="39" t="s">
        <v>142</v>
      </c>
      <c r="J105" s="39" t="s">
        <v>38</v>
      </c>
      <c r="K105" s="39" t="s">
        <v>143</v>
      </c>
      <c r="L105" s="39">
        <v>2</v>
      </c>
      <c r="N105" s="39">
        <v>4</v>
      </c>
      <c r="O105" s="39">
        <v>0.7</v>
      </c>
      <c r="P105" s="39">
        <v>0.55000000000000004</v>
      </c>
      <c r="Q105" s="45">
        <f t="shared" si="3"/>
        <v>0.625</v>
      </c>
      <c r="R105" s="39">
        <v>18.3</v>
      </c>
      <c r="S105" s="39">
        <v>97.5</v>
      </c>
      <c r="T105" s="45">
        <f t="shared" si="4"/>
        <v>36</v>
      </c>
      <c r="U105" s="39">
        <v>537</v>
      </c>
      <c r="V105" s="45">
        <f t="shared" si="5"/>
        <v>4833</v>
      </c>
      <c r="W105" s="39">
        <v>4</v>
      </c>
      <c r="X105" s="39" t="s">
        <v>46</v>
      </c>
      <c r="Y105" s="39" t="s">
        <v>69</v>
      </c>
      <c r="Z105" s="39" t="s">
        <v>40</v>
      </c>
      <c r="AA105" s="39" t="s">
        <v>55</v>
      </c>
      <c r="AB105" s="39" t="s">
        <v>335</v>
      </c>
    </row>
    <row r="106" spans="1:28" s="39" customFormat="1" x14ac:dyDescent="0.15">
      <c r="A106" s="39" t="s">
        <v>34</v>
      </c>
      <c r="B106" s="39" t="s">
        <v>337</v>
      </c>
      <c r="C106" s="39">
        <v>2020</v>
      </c>
      <c r="D106" s="85" t="s">
        <v>345</v>
      </c>
      <c r="E106" s="39" t="s">
        <v>255</v>
      </c>
      <c r="F106" s="39" t="s">
        <v>349</v>
      </c>
      <c r="G106" s="39" t="s">
        <v>36</v>
      </c>
      <c r="H106" s="39" t="s">
        <v>146</v>
      </c>
      <c r="I106" s="39" t="s">
        <v>142</v>
      </c>
      <c r="J106" s="39" t="s">
        <v>38</v>
      </c>
      <c r="K106" s="39" t="s">
        <v>143</v>
      </c>
      <c r="L106" s="39">
        <v>3</v>
      </c>
      <c r="N106" s="39">
        <v>4</v>
      </c>
      <c r="O106" s="39">
        <v>0.95</v>
      </c>
      <c r="P106" s="39">
        <v>0.95</v>
      </c>
      <c r="Q106" s="45">
        <f t="shared" si="3"/>
        <v>0.95</v>
      </c>
      <c r="R106" s="39">
        <v>15.1</v>
      </c>
      <c r="S106" s="39">
        <v>93.5</v>
      </c>
      <c r="T106" s="45">
        <f t="shared" si="4"/>
        <v>36</v>
      </c>
      <c r="U106" s="39">
        <v>537</v>
      </c>
      <c r="V106" s="45">
        <f t="shared" si="5"/>
        <v>4833</v>
      </c>
      <c r="W106" s="39">
        <v>4</v>
      </c>
      <c r="X106" s="39" t="s">
        <v>46</v>
      </c>
      <c r="Y106" s="39" t="s">
        <v>69</v>
      </c>
      <c r="Z106" s="39" t="s">
        <v>40</v>
      </c>
      <c r="AA106" s="39" t="s">
        <v>55</v>
      </c>
      <c r="AB106" s="39" t="s">
        <v>335</v>
      </c>
    </row>
    <row r="107" spans="1:28" s="39" customFormat="1" x14ac:dyDescent="0.15">
      <c r="A107" s="39" t="s">
        <v>34</v>
      </c>
      <c r="B107" s="39" t="s">
        <v>337</v>
      </c>
      <c r="C107" s="39">
        <v>2020</v>
      </c>
      <c r="D107" s="85" t="s">
        <v>345</v>
      </c>
      <c r="E107" s="39" t="s">
        <v>255</v>
      </c>
      <c r="F107" s="39" t="s">
        <v>349</v>
      </c>
      <c r="G107" s="39" t="s">
        <v>36</v>
      </c>
      <c r="H107" s="39" t="s">
        <v>127</v>
      </c>
      <c r="I107" s="39" t="s">
        <v>142</v>
      </c>
      <c r="J107" s="39" t="s">
        <v>80</v>
      </c>
      <c r="K107" s="39" t="s">
        <v>63</v>
      </c>
      <c r="L107" s="39">
        <v>1</v>
      </c>
      <c r="N107" s="39">
        <v>1</v>
      </c>
      <c r="O107" s="39">
        <v>1.35</v>
      </c>
      <c r="P107" s="39">
        <v>1.4</v>
      </c>
      <c r="Q107" s="45">
        <f t="shared" si="3"/>
        <v>1.375</v>
      </c>
      <c r="R107" s="39">
        <v>11.2</v>
      </c>
      <c r="S107" s="39">
        <v>137</v>
      </c>
      <c r="T107" s="45">
        <f t="shared" si="4"/>
        <v>30</v>
      </c>
      <c r="U107" s="39">
        <v>105</v>
      </c>
      <c r="V107" s="45">
        <f t="shared" si="5"/>
        <v>3150</v>
      </c>
      <c r="W107" s="39">
        <v>4</v>
      </c>
      <c r="X107" s="39" t="s">
        <v>46</v>
      </c>
      <c r="Y107" s="39" t="s">
        <v>69</v>
      </c>
      <c r="Z107" s="39" t="s">
        <v>40</v>
      </c>
      <c r="AA107" s="39" t="s">
        <v>55</v>
      </c>
      <c r="AB107" s="39" t="s">
        <v>335</v>
      </c>
    </row>
    <row r="108" spans="1:28" s="39" customFormat="1" x14ac:dyDescent="0.15">
      <c r="A108" s="39" t="s">
        <v>34</v>
      </c>
      <c r="B108" s="39" t="s">
        <v>337</v>
      </c>
      <c r="C108" s="39">
        <v>2020</v>
      </c>
      <c r="D108" s="85" t="s">
        <v>345</v>
      </c>
      <c r="E108" s="39" t="s">
        <v>255</v>
      </c>
      <c r="F108" s="39" t="s">
        <v>349</v>
      </c>
      <c r="G108" s="39" t="s">
        <v>36</v>
      </c>
      <c r="H108" s="39" t="s">
        <v>127</v>
      </c>
      <c r="I108" s="39" t="s">
        <v>142</v>
      </c>
      <c r="J108" s="39" t="s">
        <v>80</v>
      </c>
      <c r="K108" s="39" t="s">
        <v>63</v>
      </c>
      <c r="L108" s="39">
        <v>2</v>
      </c>
      <c r="N108" s="39">
        <v>1</v>
      </c>
      <c r="O108" s="39">
        <v>1.35</v>
      </c>
      <c r="P108" s="39">
        <v>1.45</v>
      </c>
      <c r="Q108" s="45">
        <f t="shared" si="3"/>
        <v>1.4</v>
      </c>
      <c r="R108" s="39">
        <v>10.1</v>
      </c>
      <c r="S108" s="39">
        <v>135</v>
      </c>
      <c r="T108" s="45">
        <f t="shared" si="4"/>
        <v>30</v>
      </c>
      <c r="U108" s="39">
        <v>105</v>
      </c>
      <c r="V108" s="45">
        <f t="shared" si="5"/>
        <v>3150</v>
      </c>
      <c r="W108" s="39">
        <v>4</v>
      </c>
      <c r="X108" s="39" t="s">
        <v>46</v>
      </c>
      <c r="Y108" s="39" t="s">
        <v>69</v>
      </c>
      <c r="Z108" s="39" t="s">
        <v>40</v>
      </c>
      <c r="AA108" s="39" t="s">
        <v>55</v>
      </c>
      <c r="AB108" s="39" t="s">
        <v>335</v>
      </c>
    </row>
    <row r="109" spans="1:28" s="39" customFormat="1" x14ac:dyDescent="0.15">
      <c r="A109" s="39" t="s">
        <v>34</v>
      </c>
      <c r="B109" s="39" t="s">
        <v>337</v>
      </c>
      <c r="C109" s="39">
        <v>2020</v>
      </c>
      <c r="D109" s="85" t="s">
        <v>345</v>
      </c>
      <c r="E109" s="39" t="s">
        <v>255</v>
      </c>
      <c r="F109" s="39" t="s">
        <v>349</v>
      </c>
      <c r="G109" s="39" t="s">
        <v>36</v>
      </c>
      <c r="H109" s="39" t="s">
        <v>127</v>
      </c>
      <c r="I109" s="39" t="s">
        <v>142</v>
      </c>
      <c r="J109" s="39" t="s">
        <v>80</v>
      </c>
      <c r="K109" s="39" t="s">
        <v>63</v>
      </c>
      <c r="L109" s="39">
        <v>3</v>
      </c>
      <c r="N109" s="39">
        <v>1</v>
      </c>
      <c r="O109" s="39">
        <v>1.8</v>
      </c>
      <c r="P109" s="39">
        <v>1.75</v>
      </c>
      <c r="Q109" s="45">
        <f t="shared" si="3"/>
        <v>1.7749999999999999</v>
      </c>
      <c r="R109" s="39">
        <v>9.9</v>
      </c>
      <c r="S109" s="39">
        <v>129</v>
      </c>
      <c r="T109" s="45">
        <f t="shared" si="4"/>
        <v>30</v>
      </c>
      <c r="U109" s="39">
        <v>105</v>
      </c>
      <c r="V109" s="45">
        <f t="shared" si="5"/>
        <v>3150</v>
      </c>
      <c r="W109" s="39">
        <v>4</v>
      </c>
      <c r="X109" s="39" t="s">
        <v>46</v>
      </c>
      <c r="Y109" s="39" t="s">
        <v>69</v>
      </c>
      <c r="Z109" s="39" t="s">
        <v>40</v>
      </c>
      <c r="AA109" s="39" t="s">
        <v>55</v>
      </c>
      <c r="AB109" s="39" t="s">
        <v>335</v>
      </c>
    </row>
    <row r="110" spans="1:28" s="39" customFormat="1" x14ac:dyDescent="0.15">
      <c r="Q110" s="45" t="str">
        <f t="shared" si="3"/>
        <v/>
      </c>
      <c r="T110" s="45" t="str">
        <f t="shared" si="4"/>
        <v/>
      </c>
      <c r="V110" s="45" t="str">
        <f t="shared" si="5"/>
        <v/>
      </c>
    </row>
    <row r="111" spans="1:28" s="39" customFormat="1" x14ac:dyDescent="0.15">
      <c r="Q111" s="45" t="str">
        <f t="shared" si="3"/>
        <v/>
      </c>
      <c r="T111" s="45" t="str">
        <f t="shared" si="4"/>
        <v/>
      </c>
      <c r="V111" s="45" t="str">
        <f t="shared" si="5"/>
        <v/>
      </c>
    </row>
    <row r="112" spans="1:28" s="39" customFormat="1" x14ac:dyDescent="0.15">
      <c r="Q112" s="45" t="str">
        <f t="shared" si="3"/>
        <v/>
      </c>
      <c r="T112" s="45" t="str">
        <f t="shared" si="4"/>
        <v/>
      </c>
      <c r="V112" s="45" t="str">
        <f t="shared" si="5"/>
        <v/>
      </c>
    </row>
    <row r="113" spans="17:39" x14ac:dyDescent="0.15">
      <c r="Q113" s="45" t="str">
        <f t="shared" si="3"/>
        <v/>
      </c>
      <c r="T113" s="45" t="str">
        <f t="shared" si="4"/>
        <v/>
      </c>
      <c r="V113" s="45" t="str">
        <f t="shared" si="5"/>
        <v/>
      </c>
      <c r="AI113" s="39"/>
      <c r="AJ113" s="39"/>
      <c r="AK113" s="39"/>
      <c r="AL113" s="39"/>
      <c r="AM113" s="39"/>
    </row>
    <row r="114" spans="17:39" x14ac:dyDescent="0.15">
      <c r="Q114" s="45" t="str">
        <f t="shared" si="3"/>
        <v/>
      </c>
      <c r="T114" s="45" t="str">
        <f t="shared" si="4"/>
        <v/>
      </c>
      <c r="V114" s="45" t="str">
        <f t="shared" si="5"/>
        <v/>
      </c>
      <c r="AI114" s="39"/>
      <c r="AJ114" s="39"/>
      <c r="AK114" s="39"/>
      <c r="AL114" s="39"/>
      <c r="AM114" s="39"/>
    </row>
    <row r="115" spans="17:39" x14ac:dyDescent="0.15">
      <c r="Q115" s="45" t="str">
        <f t="shared" si="3"/>
        <v/>
      </c>
      <c r="T115" s="45" t="str">
        <f t="shared" si="4"/>
        <v/>
      </c>
      <c r="V115" s="45" t="str">
        <f t="shared" si="5"/>
        <v/>
      </c>
      <c r="AI115" s="39"/>
      <c r="AJ115" s="39"/>
      <c r="AK115" s="39"/>
      <c r="AL115" s="39"/>
      <c r="AM115" s="39"/>
    </row>
    <row r="116" spans="17:39" x14ac:dyDescent="0.15">
      <c r="Q116" s="45" t="str">
        <f t="shared" si="3"/>
        <v/>
      </c>
      <c r="T116" s="45" t="str">
        <f t="shared" si="4"/>
        <v/>
      </c>
      <c r="V116" s="45" t="str">
        <f t="shared" si="5"/>
        <v/>
      </c>
      <c r="AI116" s="39"/>
      <c r="AJ116" s="39"/>
      <c r="AK116" s="39"/>
      <c r="AL116" s="39"/>
      <c r="AM116" s="39"/>
    </row>
    <row r="117" spans="17:39" x14ac:dyDescent="0.15">
      <c r="Q117" s="45" t="str">
        <f t="shared" si="3"/>
        <v/>
      </c>
      <c r="T117" s="45" t="str">
        <f t="shared" si="4"/>
        <v/>
      </c>
      <c r="V117" s="45" t="str">
        <f t="shared" si="5"/>
        <v/>
      </c>
      <c r="AI117" s="39"/>
      <c r="AJ117" s="39"/>
      <c r="AK117" s="39"/>
      <c r="AL117" s="39"/>
      <c r="AM117" s="39"/>
    </row>
    <row r="118" spans="17:39" x14ac:dyDescent="0.15">
      <c r="Q118" s="45" t="str">
        <f t="shared" si="3"/>
        <v/>
      </c>
      <c r="T118" s="45" t="str">
        <f t="shared" si="4"/>
        <v/>
      </c>
      <c r="V118" s="45" t="str">
        <f t="shared" si="5"/>
        <v/>
      </c>
      <c r="AI118" s="39"/>
      <c r="AJ118" s="39"/>
      <c r="AK118" s="39"/>
      <c r="AL118" s="39"/>
      <c r="AM118" s="39"/>
    </row>
    <row r="119" spans="17:39" x14ac:dyDescent="0.15">
      <c r="Q119" s="45" t="str">
        <f t="shared" si="3"/>
        <v/>
      </c>
      <c r="T119" s="45" t="str">
        <f t="shared" si="4"/>
        <v/>
      </c>
      <c r="V119" s="45" t="str">
        <f t="shared" si="5"/>
        <v/>
      </c>
      <c r="AI119" s="39"/>
      <c r="AJ119" s="39"/>
      <c r="AK119" s="39"/>
      <c r="AL119" s="39"/>
      <c r="AM119" s="39"/>
    </row>
    <row r="120" spans="17:39" x14ac:dyDescent="0.15">
      <c r="Q120" s="45" t="str">
        <f t="shared" si="3"/>
        <v/>
      </c>
      <c r="T120" s="45" t="str">
        <f t="shared" si="4"/>
        <v/>
      </c>
      <c r="V120" s="45" t="str">
        <f t="shared" si="5"/>
        <v/>
      </c>
      <c r="AI120" s="39"/>
      <c r="AJ120" s="39"/>
      <c r="AK120" s="39"/>
      <c r="AL120" s="39"/>
      <c r="AM120" s="39"/>
    </row>
    <row r="121" spans="17:39" x14ac:dyDescent="0.15">
      <c r="Q121" s="45" t="str">
        <f t="shared" si="3"/>
        <v/>
      </c>
      <c r="T121" s="45" t="str">
        <f t="shared" si="4"/>
        <v/>
      </c>
      <c r="V121" s="45" t="str">
        <f t="shared" si="5"/>
        <v/>
      </c>
      <c r="AI121" s="39"/>
      <c r="AJ121" s="39"/>
      <c r="AK121" s="39"/>
      <c r="AL121" s="39"/>
      <c r="AM121" s="39"/>
    </row>
    <row r="122" spans="17:39" x14ac:dyDescent="0.15">
      <c r="Q122" s="45" t="str">
        <f t="shared" si="3"/>
        <v/>
      </c>
      <c r="T122" s="45" t="str">
        <f t="shared" si="4"/>
        <v/>
      </c>
      <c r="V122" s="45" t="str">
        <f t="shared" si="5"/>
        <v/>
      </c>
      <c r="AI122" s="39"/>
      <c r="AJ122" s="39"/>
      <c r="AK122" s="39"/>
      <c r="AL122" s="39"/>
      <c r="AM122" s="39"/>
    </row>
    <row r="123" spans="17:39" x14ac:dyDescent="0.15">
      <c r="Q123" s="45" t="str">
        <f t="shared" si="3"/>
        <v/>
      </c>
      <c r="T123" s="45" t="str">
        <f t="shared" si="4"/>
        <v/>
      </c>
      <c r="V123" s="45" t="str">
        <f t="shared" si="5"/>
        <v/>
      </c>
      <c r="AI123" s="39"/>
      <c r="AJ123" s="39"/>
      <c r="AK123" s="39"/>
      <c r="AL123" s="39"/>
      <c r="AM123" s="39"/>
    </row>
    <row r="124" spans="17:39" x14ac:dyDescent="0.15">
      <c r="Q124" s="45" t="str">
        <f t="shared" si="3"/>
        <v/>
      </c>
      <c r="T124" s="45" t="str">
        <f t="shared" si="4"/>
        <v/>
      </c>
      <c r="V124" s="45" t="str">
        <f t="shared" si="5"/>
        <v/>
      </c>
      <c r="AI124" s="39"/>
      <c r="AJ124" s="39"/>
      <c r="AK124" s="39"/>
      <c r="AL124" s="39"/>
      <c r="AM124" s="39"/>
    </row>
    <row r="125" spans="17:39" x14ac:dyDescent="0.15">
      <c r="Q125" s="45" t="str">
        <f t="shared" si="3"/>
        <v/>
      </c>
      <c r="T125" s="45" t="str">
        <f t="shared" si="4"/>
        <v/>
      </c>
      <c r="V125" s="45" t="str">
        <f t="shared" si="5"/>
        <v/>
      </c>
      <c r="AI125" s="39"/>
      <c r="AJ125" s="39"/>
      <c r="AK125" s="39"/>
      <c r="AL125" s="39"/>
      <c r="AM125" s="39"/>
    </row>
    <row r="126" spans="17:39" x14ac:dyDescent="0.15">
      <c r="Q126" s="45" t="str">
        <f t="shared" si="3"/>
        <v/>
      </c>
      <c r="T126" s="45" t="str">
        <f t="shared" si="4"/>
        <v/>
      </c>
      <c r="V126" s="45" t="str">
        <f t="shared" si="5"/>
        <v/>
      </c>
      <c r="AI126" s="39"/>
      <c r="AJ126" s="39"/>
      <c r="AK126" s="39"/>
      <c r="AL126" s="39"/>
      <c r="AM126" s="39"/>
    </row>
    <row r="127" spans="17:39" x14ac:dyDescent="0.15">
      <c r="Q127" s="45" t="str">
        <f t="shared" si="3"/>
        <v/>
      </c>
      <c r="T127" s="45" t="str">
        <f t="shared" si="4"/>
        <v/>
      </c>
      <c r="V127" s="45" t="str">
        <f t="shared" si="5"/>
        <v/>
      </c>
      <c r="AI127" s="39"/>
      <c r="AJ127" s="39"/>
      <c r="AK127" s="39"/>
      <c r="AL127" s="39"/>
      <c r="AM127" s="39"/>
    </row>
    <row r="128" spans="17:39" x14ac:dyDescent="0.15">
      <c r="Q128" s="45" t="str">
        <f t="shared" si="3"/>
        <v/>
      </c>
      <c r="T128" s="45" t="str">
        <f t="shared" si="4"/>
        <v/>
      </c>
      <c r="V128" s="45" t="str">
        <f t="shared" si="5"/>
        <v/>
      </c>
      <c r="AI128" s="39"/>
      <c r="AJ128" s="39"/>
      <c r="AK128" s="39"/>
      <c r="AL128" s="39"/>
      <c r="AM128" s="39"/>
    </row>
    <row r="129" spans="17:22" s="39" customFormat="1" x14ac:dyDescent="0.15">
      <c r="Q129" s="45" t="str">
        <f t="shared" si="3"/>
        <v/>
      </c>
      <c r="T129" s="45" t="str">
        <f t="shared" si="4"/>
        <v/>
      </c>
      <c r="V129" s="45" t="str">
        <f t="shared" si="5"/>
        <v/>
      </c>
    </row>
    <row r="130" spans="17:22" s="39" customFormat="1" x14ac:dyDescent="0.15">
      <c r="Q130" s="45" t="str">
        <f t="shared" ref="Q130:Q193" si="6">IF(OR(O130="",P130=""),"",AVERAGE(O130,P130))</f>
        <v/>
      </c>
      <c r="T130" s="45" t="str">
        <f t="shared" ref="T130:T193" si="7">IF(H130="","",IF(OR(H130="GREEN",H130="GK"),IF(S130&gt;=$AX$2,VLOOKUP(S130,$AX$2:$AY$7,2,1),""),IF(S130&gt;=$AZ$2,VLOOKUP(S130,$AZ$2:$BA$7,2,1),"")))</f>
        <v/>
      </c>
      <c r="V130" s="45" t="str">
        <f t="shared" ref="V130:V193" si="8">IF(OR(N130="",U130="",T130=""),"",U130/N130*T130)</f>
        <v/>
      </c>
    </row>
    <row r="131" spans="17:22" s="39" customFormat="1" x14ac:dyDescent="0.15">
      <c r="Q131" s="45" t="str">
        <f t="shared" si="6"/>
        <v/>
      </c>
      <c r="T131" s="45" t="str">
        <f t="shared" si="7"/>
        <v/>
      </c>
      <c r="V131" s="45" t="str">
        <f t="shared" si="8"/>
        <v/>
      </c>
    </row>
    <row r="132" spans="17:22" s="39" customFormat="1" x14ac:dyDescent="0.15">
      <c r="Q132" s="45" t="str">
        <f t="shared" si="6"/>
        <v/>
      </c>
      <c r="T132" s="45" t="str">
        <f t="shared" si="7"/>
        <v/>
      </c>
      <c r="V132" s="45" t="str">
        <f t="shared" si="8"/>
        <v/>
      </c>
    </row>
    <row r="133" spans="17:22" s="39" customFormat="1" x14ac:dyDescent="0.15">
      <c r="Q133" s="45" t="str">
        <f t="shared" si="6"/>
        <v/>
      </c>
      <c r="T133" s="45" t="str">
        <f t="shared" si="7"/>
        <v/>
      </c>
      <c r="V133" s="45" t="str">
        <f t="shared" si="8"/>
        <v/>
      </c>
    </row>
    <row r="134" spans="17:22" s="39" customFormat="1" x14ac:dyDescent="0.15">
      <c r="Q134" s="45" t="str">
        <f t="shared" si="6"/>
        <v/>
      </c>
      <c r="T134" s="45" t="str">
        <f t="shared" si="7"/>
        <v/>
      </c>
      <c r="V134" s="45" t="str">
        <f t="shared" si="8"/>
        <v/>
      </c>
    </row>
    <row r="135" spans="17:22" s="39" customFormat="1" x14ac:dyDescent="0.15">
      <c r="Q135" s="45" t="str">
        <f t="shared" si="6"/>
        <v/>
      </c>
      <c r="T135" s="45" t="str">
        <f t="shared" si="7"/>
        <v/>
      </c>
      <c r="V135" s="45" t="str">
        <f t="shared" si="8"/>
        <v/>
      </c>
    </row>
    <row r="136" spans="17:22" s="39" customFormat="1" x14ac:dyDescent="0.15">
      <c r="Q136" s="45" t="str">
        <f t="shared" si="6"/>
        <v/>
      </c>
      <c r="T136" s="45" t="str">
        <f t="shared" si="7"/>
        <v/>
      </c>
      <c r="V136" s="45" t="str">
        <f t="shared" si="8"/>
        <v/>
      </c>
    </row>
    <row r="137" spans="17:22" s="39" customFormat="1" x14ac:dyDescent="0.15">
      <c r="Q137" s="45" t="str">
        <f t="shared" si="6"/>
        <v/>
      </c>
      <c r="T137" s="45" t="str">
        <f t="shared" si="7"/>
        <v/>
      </c>
      <c r="V137" s="45" t="str">
        <f t="shared" si="8"/>
        <v/>
      </c>
    </row>
    <row r="138" spans="17:22" s="39" customFormat="1" x14ac:dyDescent="0.15">
      <c r="Q138" s="45" t="str">
        <f t="shared" si="6"/>
        <v/>
      </c>
      <c r="T138" s="45" t="str">
        <f t="shared" si="7"/>
        <v/>
      </c>
      <c r="V138" s="45" t="str">
        <f t="shared" si="8"/>
        <v/>
      </c>
    </row>
    <row r="139" spans="17:22" s="39" customFormat="1" x14ac:dyDescent="0.15">
      <c r="Q139" s="45" t="str">
        <f t="shared" si="6"/>
        <v/>
      </c>
      <c r="T139" s="45" t="str">
        <f t="shared" si="7"/>
        <v/>
      </c>
      <c r="V139" s="45" t="str">
        <f t="shared" si="8"/>
        <v/>
      </c>
    </row>
    <row r="140" spans="17:22" s="39" customFormat="1" x14ac:dyDescent="0.15">
      <c r="Q140" s="45" t="str">
        <f t="shared" si="6"/>
        <v/>
      </c>
      <c r="T140" s="45" t="str">
        <f t="shared" si="7"/>
        <v/>
      </c>
      <c r="V140" s="45" t="str">
        <f t="shared" si="8"/>
        <v/>
      </c>
    </row>
    <row r="141" spans="17:22" s="39" customFormat="1" x14ac:dyDescent="0.15">
      <c r="Q141" s="45" t="str">
        <f t="shared" si="6"/>
        <v/>
      </c>
      <c r="T141" s="45" t="str">
        <f t="shared" si="7"/>
        <v/>
      </c>
      <c r="V141" s="45" t="str">
        <f t="shared" si="8"/>
        <v/>
      </c>
    </row>
    <row r="142" spans="17:22" s="39" customFormat="1" x14ac:dyDescent="0.15">
      <c r="Q142" s="45" t="str">
        <f t="shared" si="6"/>
        <v/>
      </c>
      <c r="T142" s="45" t="str">
        <f t="shared" si="7"/>
        <v/>
      </c>
      <c r="V142" s="45" t="str">
        <f t="shared" si="8"/>
        <v/>
      </c>
    </row>
    <row r="143" spans="17:22" s="39" customFormat="1" x14ac:dyDescent="0.15">
      <c r="Q143" s="45" t="str">
        <f t="shared" si="6"/>
        <v/>
      </c>
      <c r="T143" s="45" t="str">
        <f t="shared" si="7"/>
        <v/>
      </c>
      <c r="V143" s="45" t="str">
        <f t="shared" si="8"/>
        <v/>
      </c>
    </row>
    <row r="144" spans="17:22" s="39" customFormat="1" x14ac:dyDescent="0.15">
      <c r="Q144" s="45" t="str">
        <f t="shared" si="6"/>
        <v/>
      </c>
      <c r="T144" s="45" t="str">
        <f t="shared" si="7"/>
        <v/>
      </c>
      <c r="V144" s="45" t="str">
        <f t="shared" si="8"/>
        <v/>
      </c>
    </row>
    <row r="145" spans="17:22" s="39" customFormat="1" x14ac:dyDescent="0.15">
      <c r="Q145" s="45" t="str">
        <f t="shared" si="6"/>
        <v/>
      </c>
      <c r="T145" s="45" t="str">
        <f t="shared" si="7"/>
        <v/>
      </c>
      <c r="V145" s="45" t="str">
        <f t="shared" si="8"/>
        <v/>
      </c>
    </row>
    <row r="146" spans="17:22" s="39" customFormat="1" x14ac:dyDescent="0.15">
      <c r="Q146" s="45" t="str">
        <f t="shared" si="6"/>
        <v/>
      </c>
      <c r="T146" s="45" t="str">
        <f t="shared" si="7"/>
        <v/>
      </c>
      <c r="V146" s="45" t="str">
        <f t="shared" si="8"/>
        <v/>
      </c>
    </row>
    <row r="147" spans="17:22" s="39" customFormat="1" x14ac:dyDescent="0.15">
      <c r="Q147" s="45" t="str">
        <f t="shared" si="6"/>
        <v/>
      </c>
      <c r="T147" s="45" t="str">
        <f t="shared" si="7"/>
        <v/>
      </c>
      <c r="V147" s="45" t="str">
        <f t="shared" si="8"/>
        <v/>
      </c>
    </row>
    <row r="148" spans="17:22" s="39" customFormat="1" x14ac:dyDescent="0.15">
      <c r="Q148" s="45" t="str">
        <f t="shared" si="6"/>
        <v/>
      </c>
      <c r="T148" s="45" t="str">
        <f t="shared" si="7"/>
        <v/>
      </c>
      <c r="V148" s="45" t="str">
        <f t="shared" si="8"/>
        <v/>
      </c>
    </row>
    <row r="149" spans="17:22" s="39" customFormat="1" x14ac:dyDescent="0.15">
      <c r="Q149" s="45" t="str">
        <f t="shared" si="6"/>
        <v/>
      </c>
      <c r="T149" s="45" t="str">
        <f t="shared" si="7"/>
        <v/>
      </c>
      <c r="V149" s="45" t="str">
        <f t="shared" si="8"/>
        <v/>
      </c>
    </row>
    <row r="150" spans="17:22" s="39" customFormat="1" x14ac:dyDescent="0.15">
      <c r="Q150" s="45" t="str">
        <f t="shared" si="6"/>
        <v/>
      </c>
      <c r="T150" s="45" t="str">
        <f t="shared" si="7"/>
        <v/>
      </c>
      <c r="V150" s="45" t="str">
        <f t="shared" si="8"/>
        <v/>
      </c>
    </row>
    <row r="151" spans="17:22" s="39" customFormat="1" x14ac:dyDescent="0.15">
      <c r="Q151" s="45" t="str">
        <f t="shared" si="6"/>
        <v/>
      </c>
      <c r="T151" s="45" t="str">
        <f t="shared" si="7"/>
        <v/>
      </c>
      <c r="V151" s="45" t="str">
        <f t="shared" si="8"/>
        <v/>
      </c>
    </row>
    <row r="152" spans="17:22" s="39" customFormat="1" x14ac:dyDescent="0.15">
      <c r="Q152" s="45" t="str">
        <f t="shared" si="6"/>
        <v/>
      </c>
      <c r="T152" s="45" t="str">
        <f t="shared" si="7"/>
        <v/>
      </c>
      <c r="V152" s="45" t="str">
        <f t="shared" si="8"/>
        <v/>
      </c>
    </row>
    <row r="153" spans="17:22" s="39" customFormat="1" x14ac:dyDescent="0.15">
      <c r="Q153" s="45" t="str">
        <f t="shared" si="6"/>
        <v/>
      </c>
      <c r="T153" s="45" t="str">
        <f t="shared" si="7"/>
        <v/>
      </c>
      <c r="V153" s="45" t="str">
        <f t="shared" si="8"/>
        <v/>
      </c>
    </row>
    <row r="154" spans="17:22" s="39" customFormat="1" x14ac:dyDescent="0.15">
      <c r="Q154" s="45" t="str">
        <f t="shared" si="6"/>
        <v/>
      </c>
      <c r="T154" s="45" t="str">
        <f t="shared" si="7"/>
        <v/>
      </c>
      <c r="V154" s="45" t="str">
        <f t="shared" si="8"/>
        <v/>
      </c>
    </row>
    <row r="155" spans="17:22" s="39" customFormat="1" x14ac:dyDescent="0.15">
      <c r="Q155" s="45" t="str">
        <f t="shared" si="6"/>
        <v/>
      </c>
      <c r="T155" s="45" t="str">
        <f t="shared" si="7"/>
        <v/>
      </c>
      <c r="V155" s="45" t="str">
        <f t="shared" si="8"/>
        <v/>
      </c>
    </row>
    <row r="156" spans="17:22" s="39" customFormat="1" x14ac:dyDescent="0.15">
      <c r="Q156" s="45" t="str">
        <f t="shared" si="6"/>
        <v/>
      </c>
      <c r="T156" s="45" t="str">
        <f t="shared" si="7"/>
        <v/>
      </c>
      <c r="V156" s="45" t="str">
        <f t="shared" si="8"/>
        <v/>
      </c>
    </row>
    <row r="157" spans="17:22" s="39" customFormat="1" x14ac:dyDescent="0.15">
      <c r="Q157" s="45" t="str">
        <f t="shared" si="6"/>
        <v/>
      </c>
      <c r="T157" s="45" t="str">
        <f t="shared" si="7"/>
        <v/>
      </c>
      <c r="V157" s="45" t="str">
        <f t="shared" si="8"/>
        <v/>
      </c>
    </row>
    <row r="158" spans="17:22" s="39" customFormat="1" x14ac:dyDescent="0.15">
      <c r="Q158" s="45" t="str">
        <f t="shared" si="6"/>
        <v/>
      </c>
      <c r="T158" s="45" t="str">
        <f t="shared" si="7"/>
        <v/>
      </c>
      <c r="V158" s="45" t="str">
        <f t="shared" si="8"/>
        <v/>
      </c>
    </row>
    <row r="159" spans="17:22" s="39" customFormat="1" x14ac:dyDescent="0.15">
      <c r="Q159" s="45" t="str">
        <f t="shared" si="6"/>
        <v/>
      </c>
      <c r="T159" s="45" t="str">
        <f t="shared" si="7"/>
        <v/>
      </c>
      <c r="V159" s="45" t="str">
        <f t="shared" si="8"/>
        <v/>
      </c>
    </row>
    <row r="160" spans="17:22" s="39" customFormat="1" x14ac:dyDescent="0.15">
      <c r="Q160" s="45" t="str">
        <f t="shared" si="6"/>
        <v/>
      </c>
      <c r="T160" s="45" t="str">
        <f t="shared" si="7"/>
        <v/>
      </c>
      <c r="V160" s="45" t="str">
        <f t="shared" si="8"/>
        <v/>
      </c>
    </row>
    <row r="161" spans="17:22" s="39" customFormat="1" x14ac:dyDescent="0.15">
      <c r="Q161" s="45" t="str">
        <f t="shared" si="6"/>
        <v/>
      </c>
      <c r="T161" s="45" t="str">
        <f t="shared" si="7"/>
        <v/>
      </c>
      <c r="V161" s="45" t="str">
        <f t="shared" si="8"/>
        <v/>
      </c>
    </row>
    <row r="162" spans="17:22" s="39" customFormat="1" x14ac:dyDescent="0.15">
      <c r="Q162" s="45" t="str">
        <f t="shared" si="6"/>
        <v/>
      </c>
      <c r="T162" s="45" t="str">
        <f t="shared" si="7"/>
        <v/>
      </c>
      <c r="V162" s="45" t="str">
        <f t="shared" si="8"/>
        <v/>
      </c>
    </row>
    <row r="163" spans="17:22" s="39" customFormat="1" x14ac:dyDescent="0.15">
      <c r="Q163" s="45" t="str">
        <f t="shared" si="6"/>
        <v/>
      </c>
      <c r="T163" s="45" t="str">
        <f t="shared" si="7"/>
        <v/>
      </c>
      <c r="V163" s="45" t="str">
        <f t="shared" si="8"/>
        <v/>
      </c>
    </row>
    <row r="164" spans="17:22" s="39" customFormat="1" x14ac:dyDescent="0.15">
      <c r="Q164" s="45" t="str">
        <f t="shared" si="6"/>
        <v/>
      </c>
      <c r="T164" s="45" t="str">
        <f t="shared" si="7"/>
        <v/>
      </c>
      <c r="V164" s="45" t="str">
        <f t="shared" si="8"/>
        <v/>
      </c>
    </row>
    <row r="165" spans="17:22" s="39" customFormat="1" x14ac:dyDescent="0.15">
      <c r="Q165" s="45" t="str">
        <f t="shared" si="6"/>
        <v/>
      </c>
      <c r="T165" s="45" t="str">
        <f t="shared" si="7"/>
        <v/>
      </c>
      <c r="V165" s="45" t="str">
        <f t="shared" si="8"/>
        <v/>
      </c>
    </row>
    <row r="166" spans="17:22" s="39" customFormat="1" x14ac:dyDescent="0.15">
      <c r="Q166" s="45" t="str">
        <f t="shared" si="6"/>
        <v/>
      </c>
      <c r="T166" s="45" t="str">
        <f t="shared" si="7"/>
        <v/>
      </c>
      <c r="V166" s="45" t="str">
        <f t="shared" si="8"/>
        <v/>
      </c>
    </row>
    <row r="167" spans="17:22" s="39" customFormat="1" x14ac:dyDescent="0.15">
      <c r="Q167" s="45" t="str">
        <f t="shared" si="6"/>
        <v/>
      </c>
      <c r="T167" s="45" t="str">
        <f t="shared" si="7"/>
        <v/>
      </c>
      <c r="V167" s="45" t="str">
        <f t="shared" si="8"/>
        <v/>
      </c>
    </row>
    <row r="168" spans="17:22" s="39" customFormat="1" x14ac:dyDescent="0.15">
      <c r="Q168" s="45" t="str">
        <f t="shared" si="6"/>
        <v/>
      </c>
      <c r="T168" s="45" t="str">
        <f t="shared" si="7"/>
        <v/>
      </c>
      <c r="V168" s="45" t="str">
        <f t="shared" si="8"/>
        <v/>
      </c>
    </row>
    <row r="169" spans="17:22" s="39" customFormat="1" x14ac:dyDescent="0.15">
      <c r="Q169" s="45" t="str">
        <f t="shared" si="6"/>
        <v/>
      </c>
      <c r="T169" s="45" t="str">
        <f t="shared" si="7"/>
        <v/>
      </c>
      <c r="V169" s="45" t="str">
        <f t="shared" si="8"/>
        <v/>
      </c>
    </row>
    <row r="170" spans="17:22" s="39" customFormat="1" x14ac:dyDescent="0.15">
      <c r="Q170" s="45" t="str">
        <f t="shared" si="6"/>
        <v/>
      </c>
      <c r="T170" s="45" t="str">
        <f t="shared" si="7"/>
        <v/>
      </c>
      <c r="V170" s="45" t="str">
        <f t="shared" si="8"/>
        <v/>
      </c>
    </row>
    <row r="171" spans="17:22" s="39" customFormat="1" x14ac:dyDescent="0.15">
      <c r="Q171" s="45" t="str">
        <f t="shared" si="6"/>
        <v/>
      </c>
      <c r="T171" s="45" t="str">
        <f t="shared" si="7"/>
        <v/>
      </c>
      <c r="V171" s="45" t="str">
        <f t="shared" si="8"/>
        <v/>
      </c>
    </row>
    <row r="172" spans="17:22" s="39" customFormat="1" x14ac:dyDescent="0.15">
      <c r="Q172" s="45" t="str">
        <f t="shared" si="6"/>
        <v/>
      </c>
      <c r="T172" s="45" t="str">
        <f t="shared" si="7"/>
        <v/>
      </c>
      <c r="V172" s="45" t="str">
        <f t="shared" si="8"/>
        <v/>
      </c>
    </row>
    <row r="173" spans="17:22" s="39" customFormat="1" x14ac:dyDescent="0.15">
      <c r="Q173" s="45" t="str">
        <f t="shared" si="6"/>
        <v/>
      </c>
      <c r="T173" s="45" t="str">
        <f t="shared" si="7"/>
        <v/>
      </c>
      <c r="V173" s="45" t="str">
        <f t="shared" si="8"/>
        <v/>
      </c>
    </row>
    <row r="174" spans="17:22" s="39" customFormat="1" x14ac:dyDescent="0.15">
      <c r="Q174" s="45" t="str">
        <f t="shared" si="6"/>
        <v/>
      </c>
      <c r="T174" s="45" t="str">
        <f t="shared" si="7"/>
        <v/>
      </c>
      <c r="V174" s="45" t="str">
        <f t="shared" si="8"/>
        <v/>
      </c>
    </row>
    <row r="175" spans="17:22" s="39" customFormat="1" x14ac:dyDescent="0.15">
      <c r="Q175" s="45" t="str">
        <f t="shared" si="6"/>
        <v/>
      </c>
      <c r="T175" s="45" t="str">
        <f t="shared" si="7"/>
        <v/>
      </c>
      <c r="V175" s="45" t="str">
        <f t="shared" si="8"/>
        <v/>
      </c>
    </row>
    <row r="176" spans="17:22" s="39" customFormat="1" x14ac:dyDescent="0.15">
      <c r="Q176" s="45" t="str">
        <f t="shared" si="6"/>
        <v/>
      </c>
      <c r="T176" s="45" t="str">
        <f t="shared" si="7"/>
        <v/>
      </c>
      <c r="V176" s="45" t="str">
        <f t="shared" si="8"/>
        <v/>
      </c>
    </row>
    <row r="177" spans="17:22" s="39" customFormat="1" x14ac:dyDescent="0.15">
      <c r="Q177" s="45" t="str">
        <f t="shared" si="6"/>
        <v/>
      </c>
      <c r="T177" s="45" t="str">
        <f t="shared" si="7"/>
        <v/>
      </c>
      <c r="V177" s="45" t="str">
        <f t="shared" si="8"/>
        <v/>
      </c>
    </row>
    <row r="178" spans="17:22" s="39" customFormat="1" x14ac:dyDescent="0.15">
      <c r="Q178" s="45" t="str">
        <f t="shared" si="6"/>
        <v/>
      </c>
      <c r="T178" s="45" t="str">
        <f t="shared" si="7"/>
        <v/>
      </c>
      <c r="V178" s="45" t="str">
        <f t="shared" si="8"/>
        <v/>
      </c>
    </row>
    <row r="179" spans="17:22" s="39" customFormat="1" x14ac:dyDescent="0.15">
      <c r="Q179" s="45" t="str">
        <f t="shared" si="6"/>
        <v/>
      </c>
      <c r="T179" s="45" t="str">
        <f t="shared" si="7"/>
        <v/>
      </c>
      <c r="V179" s="45" t="str">
        <f t="shared" si="8"/>
        <v/>
      </c>
    </row>
    <row r="180" spans="17:22" s="39" customFormat="1" x14ac:dyDescent="0.15">
      <c r="Q180" s="45" t="str">
        <f t="shared" si="6"/>
        <v/>
      </c>
      <c r="T180" s="45" t="str">
        <f t="shared" si="7"/>
        <v/>
      </c>
      <c r="V180" s="45" t="str">
        <f t="shared" si="8"/>
        <v/>
      </c>
    </row>
    <row r="181" spans="17:22" s="39" customFormat="1" x14ac:dyDescent="0.15">
      <c r="Q181" s="45" t="str">
        <f t="shared" si="6"/>
        <v/>
      </c>
      <c r="T181" s="45" t="str">
        <f t="shared" si="7"/>
        <v/>
      </c>
      <c r="V181" s="45" t="str">
        <f t="shared" si="8"/>
        <v/>
      </c>
    </row>
    <row r="182" spans="17:22" s="39" customFormat="1" x14ac:dyDescent="0.15">
      <c r="Q182" s="45" t="str">
        <f t="shared" si="6"/>
        <v/>
      </c>
      <c r="T182" s="45" t="str">
        <f t="shared" si="7"/>
        <v/>
      </c>
      <c r="V182" s="45" t="str">
        <f t="shared" si="8"/>
        <v/>
      </c>
    </row>
    <row r="183" spans="17:22" s="39" customFormat="1" x14ac:dyDescent="0.15">
      <c r="Q183" s="45" t="str">
        <f t="shared" si="6"/>
        <v/>
      </c>
      <c r="T183" s="45" t="str">
        <f t="shared" si="7"/>
        <v/>
      </c>
      <c r="V183" s="45" t="str">
        <f t="shared" si="8"/>
        <v/>
      </c>
    </row>
    <row r="184" spans="17:22" s="39" customFormat="1" x14ac:dyDescent="0.15">
      <c r="Q184" s="45" t="str">
        <f t="shared" si="6"/>
        <v/>
      </c>
      <c r="T184" s="45" t="str">
        <f t="shared" si="7"/>
        <v/>
      </c>
      <c r="V184" s="45" t="str">
        <f t="shared" si="8"/>
        <v/>
      </c>
    </row>
    <row r="185" spans="17:22" s="39" customFormat="1" x14ac:dyDescent="0.15">
      <c r="Q185" s="45" t="str">
        <f t="shared" si="6"/>
        <v/>
      </c>
      <c r="T185" s="45" t="str">
        <f t="shared" si="7"/>
        <v/>
      </c>
      <c r="V185" s="45" t="str">
        <f t="shared" si="8"/>
        <v/>
      </c>
    </row>
    <row r="186" spans="17:22" s="39" customFormat="1" x14ac:dyDescent="0.15">
      <c r="Q186" s="45" t="str">
        <f t="shared" si="6"/>
        <v/>
      </c>
      <c r="T186" s="45" t="str">
        <f t="shared" si="7"/>
        <v/>
      </c>
      <c r="V186" s="45" t="str">
        <f t="shared" si="8"/>
        <v/>
      </c>
    </row>
    <row r="187" spans="17:22" s="39" customFormat="1" x14ac:dyDescent="0.15">
      <c r="Q187" s="45" t="str">
        <f t="shared" si="6"/>
        <v/>
      </c>
      <c r="T187" s="45" t="str">
        <f t="shared" si="7"/>
        <v/>
      </c>
      <c r="V187" s="45" t="str">
        <f t="shared" si="8"/>
        <v/>
      </c>
    </row>
    <row r="188" spans="17:22" s="39" customFormat="1" x14ac:dyDescent="0.15">
      <c r="Q188" s="45" t="str">
        <f t="shared" si="6"/>
        <v/>
      </c>
      <c r="T188" s="45" t="str">
        <f t="shared" si="7"/>
        <v/>
      </c>
      <c r="V188" s="45" t="str">
        <f t="shared" si="8"/>
        <v/>
      </c>
    </row>
    <row r="189" spans="17:22" s="39" customFormat="1" x14ac:dyDescent="0.15">
      <c r="Q189" s="45" t="str">
        <f t="shared" si="6"/>
        <v/>
      </c>
      <c r="T189" s="45" t="str">
        <f t="shared" si="7"/>
        <v/>
      </c>
      <c r="V189" s="45" t="str">
        <f t="shared" si="8"/>
        <v/>
      </c>
    </row>
    <row r="190" spans="17:22" s="39" customFormat="1" x14ac:dyDescent="0.15">
      <c r="Q190" s="45" t="str">
        <f t="shared" si="6"/>
        <v/>
      </c>
      <c r="T190" s="45" t="str">
        <f t="shared" si="7"/>
        <v/>
      </c>
      <c r="V190" s="45" t="str">
        <f t="shared" si="8"/>
        <v/>
      </c>
    </row>
    <row r="191" spans="17:22" s="39" customFormat="1" x14ac:dyDescent="0.15">
      <c r="Q191" s="45" t="str">
        <f t="shared" si="6"/>
        <v/>
      </c>
      <c r="T191" s="45" t="str">
        <f t="shared" si="7"/>
        <v/>
      </c>
      <c r="V191" s="45" t="str">
        <f t="shared" si="8"/>
        <v/>
      </c>
    </row>
    <row r="192" spans="17:22" s="39" customFormat="1" x14ac:dyDescent="0.15">
      <c r="Q192" s="45" t="str">
        <f t="shared" si="6"/>
        <v/>
      </c>
      <c r="T192" s="45" t="str">
        <f t="shared" si="7"/>
        <v/>
      </c>
      <c r="V192" s="45" t="str">
        <f t="shared" si="8"/>
        <v/>
      </c>
    </row>
    <row r="193" spans="17:22" s="39" customFormat="1" x14ac:dyDescent="0.15">
      <c r="Q193" s="45" t="str">
        <f t="shared" si="6"/>
        <v/>
      </c>
      <c r="T193" s="45" t="str">
        <f t="shared" si="7"/>
        <v/>
      </c>
      <c r="V193" s="45" t="str">
        <f t="shared" si="8"/>
        <v/>
      </c>
    </row>
    <row r="194" spans="17:22" s="39" customFormat="1" x14ac:dyDescent="0.15">
      <c r="Q194" s="45" t="str">
        <f t="shared" ref="Q194:Q211" si="9">IF(OR(O194="",P194=""),"",AVERAGE(O194,P194))</f>
        <v/>
      </c>
      <c r="T194" s="45" t="str">
        <f t="shared" ref="T194:T211" si="10">IF(H194="","",IF(OR(H194="GREEN",H194="GK"),IF(S194&gt;=$AX$2,VLOOKUP(S194,$AX$2:$AY$7,2,1),""),IF(S194&gt;=$AZ$2,VLOOKUP(S194,$AZ$2:$BA$7,2,1),"")))</f>
        <v/>
      </c>
      <c r="V194" s="45" t="str">
        <f t="shared" ref="V194:V211" si="11">IF(OR(N194="",U194="",T194=""),"",U194/N194*T194)</f>
        <v/>
      </c>
    </row>
    <row r="195" spans="17:22" s="39" customFormat="1" x14ac:dyDescent="0.15">
      <c r="Q195" s="45" t="str">
        <f t="shared" si="9"/>
        <v/>
      </c>
      <c r="T195" s="45" t="str">
        <f t="shared" si="10"/>
        <v/>
      </c>
      <c r="V195" s="45" t="str">
        <f t="shared" si="11"/>
        <v/>
      </c>
    </row>
    <row r="196" spans="17:22" s="39" customFormat="1" x14ac:dyDescent="0.15">
      <c r="Q196" s="45" t="str">
        <f t="shared" si="9"/>
        <v/>
      </c>
      <c r="T196" s="45" t="str">
        <f t="shared" si="10"/>
        <v/>
      </c>
      <c r="V196" s="45" t="str">
        <f t="shared" si="11"/>
        <v/>
      </c>
    </row>
    <row r="197" spans="17:22" s="39" customFormat="1" x14ac:dyDescent="0.15">
      <c r="Q197" s="45" t="str">
        <f t="shared" si="9"/>
        <v/>
      </c>
      <c r="T197" s="45" t="str">
        <f t="shared" si="10"/>
        <v/>
      </c>
      <c r="V197" s="45" t="str">
        <f t="shared" si="11"/>
        <v/>
      </c>
    </row>
    <row r="198" spans="17:22" s="39" customFormat="1" x14ac:dyDescent="0.15">
      <c r="Q198" s="45" t="str">
        <f t="shared" si="9"/>
        <v/>
      </c>
      <c r="T198" s="45" t="str">
        <f t="shared" si="10"/>
        <v/>
      </c>
      <c r="V198" s="45" t="str">
        <f t="shared" si="11"/>
        <v/>
      </c>
    </row>
    <row r="199" spans="17:22" s="39" customFormat="1" x14ac:dyDescent="0.15">
      <c r="Q199" s="45" t="str">
        <f t="shared" si="9"/>
        <v/>
      </c>
      <c r="T199" s="45" t="str">
        <f t="shared" si="10"/>
        <v/>
      </c>
      <c r="V199" s="45" t="str">
        <f t="shared" si="11"/>
        <v/>
      </c>
    </row>
    <row r="200" spans="17:22" s="39" customFormat="1" x14ac:dyDescent="0.15">
      <c r="Q200" s="45" t="str">
        <f t="shared" si="9"/>
        <v/>
      </c>
      <c r="T200" s="45" t="str">
        <f t="shared" si="10"/>
        <v/>
      </c>
      <c r="V200" s="45" t="str">
        <f t="shared" si="11"/>
        <v/>
      </c>
    </row>
    <row r="201" spans="17:22" s="39" customFormat="1" x14ac:dyDescent="0.15">
      <c r="Q201" s="45" t="str">
        <f t="shared" si="9"/>
        <v/>
      </c>
      <c r="T201" s="45" t="str">
        <f t="shared" si="10"/>
        <v/>
      </c>
      <c r="V201" s="45" t="str">
        <f t="shared" si="11"/>
        <v/>
      </c>
    </row>
    <row r="202" spans="17:22" s="39" customFormat="1" x14ac:dyDescent="0.15">
      <c r="Q202" s="45" t="str">
        <f t="shared" si="9"/>
        <v/>
      </c>
      <c r="T202" s="45" t="str">
        <f t="shared" si="10"/>
        <v/>
      </c>
      <c r="V202" s="45" t="str">
        <f t="shared" si="11"/>
        <v/>
      </c>
    </row>
    <row r="203" spans="17:22" s="39" customFormat="1" x14ac:dyDescent="0.15">
      <c r="Q203" s="45" t="str">
        <f t="shared" si="9"/>
        <v/>
      </c>
      <c r="T203" s="45" t="str">
        <f t="shared" si="10"/>
        <v/>
      </c>
      <c r="V203" s="45" t="str">
        <f t="shared" si="11"/>
        <v/>
      </c>
    </row>
    <row r="204" spans="17:22" s="39" customFormat="1" x14ac:dyDescent="0.15">
      <c r="Q204" s="45" t="str">
        <f t="shared" si="9"/>
        <v/>
      </c>
      <c r="T204" s="45" t="str">
        <f t="shared" si="10"/>
        <v/>
      </c>
      <c r="V204" s="45" t="str">
        <f t="shared" si="11"/>
        <v/>
      </c>
    </row>
    <row r="205" spans="17:22" s="39" customFormat="1" x14ac:dyDescent="0.15">
      <c r="Q205" s="45" t="str">
        <f t="shared" si="9"/>
        <v/>
      </c>
      <c r="T205" s="45" t="str">
        <f t="shared" si="10"/>
        <v/>
      </c>
      <c r="V205" s="45" t="str">
        <f t="shared" si="11"/>
        <v/>
      </c>
    </row>
    <row r="206" spans="17:22" s="39" customFormat="1" x14ac:dyDescent="0.15">
      <c r="Q206" s="45" t="str">
        <f t="shared" si="9"/>
        <v/>
      </c>
      <c r="T206" s="45" t="str">
        <f t="shared" si="10"/>
        <v/>
      </c>
      <c r="V206" s="45" t="str">
        <f t="shared" si="11"/>
        <v/>
      </c>
    </row>
    <row r="207" spans="17:22" s="39" customFormat="1" x14ac:dyDescent="0.15">
      <c r="Q207" s="45" t="str">
        <f t="shared" si="9"/>
        <v/>
      </c>
      <c r="T207" s="45" t="str">
        <f t="shared" si="10"/>
        <v/>
      </c>
      <c r="V207" s="45" t="str">
        <f t="shared" si="11"/>
        <v/>
      </c>
    </row>
    <row r="208" spans="17:22" s="39" customFormat="1" x14ac:dyDescent="0.15">
      <c r="Q208" s="45" t="str">
        <f t="shared" si="9"/>
        <v/>
      </c>
      <c r="T208" s="45" t="str">
        <f t="shared" si="10"/>
        <v/>
      </c>
      <c r="V208" s="45" t="str">
        <f t="shared" si="11"/>
        <v/>
      </c>
    </row>
    <row r="209" spans="17:22" s="39" customFormat="1" x14ac:dyDescent="0.15">
      <c r="Q209" s="45" t="str">
        <f t="shared" si="9"/>
        <v/>
      </c>
      <c r="T209" s="45" t="str">
        <f t="shared" si="10"/>
        <v/>
      </c>
      <c r="V209" s="45" t="str">
        <f t="shared" si="11"/>
        <v/>
      </c>
    </row>
    <row r="210" spans="17:22" s="39" customFormat="1" x14ac:dyDescent="0.15">
      <c r="Q210" s="45" t="str">
        <f t="shared" si="9"/>
        <v/>
      </c>
      <c r="T210" s="45" t="str">
        <f t="shared" si="10"/>
        <v/>
      </c>
      <c r="V210" s="45" t="str">
        <f t="shared" si="11"/>
        <v/>
      </c>
    </row>
    <row r="211" spans="17:22" s="39" customFormat="1" x14ac:dyDescent="0.15">
      <c r="Q211" s="45" t="str">
        <f t="shared" si="9"/>
        <v/>
      </c>
      <c r="T211" s="45" t="str">
        <f t="shared" si="10"/>
        <v/>
      </c>
      <c r="V211" s="45" t="str">
        <f t="shared" si="11"/>
        <v/>
      </c>
    </row>
    <row r="212" spans="17:22" s="39" customFormat="1" x14ac:dyDescent="0.15">
      <c r="Q212" s="45"/>
      <c r="T212" s="45"/>
      <c r="V212" s="45"/>
    </row>
    <row r="213" spans="17:22" s="39" customFormat="1" x14ac:dyDescent="0.15">
      <c r="Q213" s="45"/>
      <c r="T213" s="45"/>
      <c r="V213" s="45"/>
    </row>
    <row r="214" spans="17:22" s="39" customFormat="1" x14ac:dyDescent="0.15">
      <c r="Q214" s="45"/>
      <c r="T214" s="45"/>
      <c r="V214" s="45"/>
    </row>
    <row r="215" spans="17:22" s="39" customFormat="1" x14ac:dyDescent="0.15">
      <c r="Q215" s="45"/>
      <c r="T215" s="45"/>
      <c r="V215" s="45"/>
    </row>
    <row r="216" spans="17:22" s="39" customFormat="1" x14ac:dyDescent="0.15">
      <c r="Q216" s="45"/>
      <c r="T216" s="45"/>
      <c r="V216" s="45"/>
    </row>
    <row r="217" spans="17:22" s="39" customFormat="1" x14ac:dyDescent="0.15">
      <c r="Q217" s="45"/>
      <c r="T217" s="45"/>
      <c r="V217" s="45"/>
    </row>
    <row r="218" spans="17:22" s="39" customFormat="1" x14ac:dyDescent="0.15">
      <c r="Q218" s="45"/>
      <c r="T218" s="45"/>
      <c r="V218" s="45"/>
    </row>
    <row r="219" spans="17:22" s="39" customFormat="1" x14ac:dyDescent="0.15">
      <c r="Q219" s="45"/>
      <c r="T219" s="45"/>
      <c r="V219" s="45"/>
    </row>
    <row r="220" spans="17:22" s="39" customFormat="1" x14ac:dyDescent="0.15">
      <c r="Q220" s="45"/>
      <c r="T220" s="45"/>
      <c r="V220" s="45"/>
    </row>
    <row r="221" spans="17:22" s="39" customFormat="1" x14ac:dyDescent="0.15">
      <c r="Q221" s="45"/>
      <c r="T221" s="45"/>
      <c r="V221" s="45"/>
    </row>
    <row r="222" spans="17:22" s="39" customFormat="1" x14ac:dyDescent="0.15">
      <c r="Q222" s="45"/>
      <c r="T222" s="45"/>
      <c r="V222" s="45"/>
    </row>
    <row r="223" spans="17:22" s="39" customFormat="1" x14ac:dyDescent="0.15">
      <c r="Q223" s="45"/>
      <c r="T223" s="45"/>
      <c r="V223" s="45"/>
    </row>
    <row r="224" spans="17:22" s="39" customFormat="1" x14ac:dyDescent="0.15">
      <c r="Q224" s="45"/>
      <c r="T224" s="45"/>
      <c r="V224" s="45"/>
    </row>
    <row r="225" spans="17:22" s="39" customFormat="1" x14ac:dyDescent="0.15">
      <c r="Q225" s="45"/>
      <c r="T225" s="45"/>
      <c r="V225" s="45"/>
    </row>
    <row r="226" spans="17:22" s="39" customFormat="1" x14ac:dyDescent="0.15">
      <c r="Q226" s="45"/>
      <c r="T226" s="45"/>
      <c r="V226" s="45"/>
    </row>
    <row r="227" spans="17:22" s="39" customFormat="1" x14ac:dyDescent="0.15">
      <c r="Q227" s="45"/>
      <c r="T227" s="45"/>
      <c r="V227" s="45"/>
    </row>
    <row r="228" spans="17:22" s="39" customFormat="1" x14ac:dyDescent="0.15">
      <c r="Q228" s="45"/>
      <c r="T228" s="45"/>
      <c r="V228" s="45"/>
    </row>
    <row r="229" spans="17:22" s="39" customFormat="1" x14ac:dyDescent="0.15">
      <c r="Q229" s="45"/>
      <c r="T229" s="45"/>
      <c r="V229" s="45"/>
    </row>
    <row r="230" spans="17:22" s="39" customFormat="1" x14ac:dyDescent="0.15">
      <c r="Q230" s="45"/>
      <c r="T230" s="45"/>
      <c r="V230" s="45"/>
    </row>
    <row r="231" spans="17:22" s="39" customFormat="1" x14ac:dyDescent="0.15">
      <c r="Q231" s="45"/>
      <c r="T231" s="45"/>
      <c r="V231" s="45"/>
    </row>
    <row r="232" spans="17:22" s="39" customFormat="1" x14ac:dyDescent="0.15">
      <c r="Q232" s="45"/>
      <c r="T232" s="45"/>
      <c r="V232" s="45"/>
    </row>
    <row r="233" spans="17:22" s="39" customFormat="1" x14ac:dyDescent="0.15">
      <c r="Q233" s="45"/>
      <c r="T233" s="45"/>
      <c r="V233" s="45"/>
    </row>
    <row r="234" spans="17:22" s="39" customFormat="1" x14ac:dyDescent="0.15">
      <c r="Q234" s="45"/>
      <c r="T234" s="45"/>
      <c r="V234" s="45"/>
    </row>
    <row r="235" spans="17:22" s="39" customFormat="1" x14ac:dyDescent="0.15">
      <c r="Q235" s="45"/>
      <c r="T235" s="45"/>
      <c r="V235" s="45"/>
    </row>
    <row r="236" spans="17:22" s="39" customFormat="1" x14ac:dyDescent="0.15">
      <c r="Q236" s="45"/>
      <c r="T236" s="45"/>
      <c r="V236" s="45"/>
    </row>
    <row r="237" spans="17:22" s="39" customFormat="1" x14ac:dyDescent="0.15">
      <c r="Q237" s="45"/>
      <c r="T237" s="45"/>
      <c r="V237" s="45"/>
    </row>
    <row r="238" spans="17:22" s="39" customFormat="1" x14ac:dyDescent="0.15">
      <c r="Q238" s="45"/>
      <c r="T238" s="45"/>
      <c r="V238" s="45"/>
    </row>
    <row r="239" spans="17:22" s="39" customFormat="1" x14ac:dyDescent="0.15">
      <c r="Q239" s="45"/>
      <c r="T239" s="45"/>
      <c r="V239" s="45"/>
    </row>
    <row r="240" spans="17:22" s="39" customFormat="1" x14ac:dyDescent="0.15">
      <c r="Q240" s="45"/>
      <c r="T240" s="45"/>
      <c r="V240" s="45"/>
    </row>
    <row r="241" spans="4:53" x14ac:dyDescent="0.15">
      <c r="AI241" s="39"/>
      <c r="AJ241" s="39"/>
      <c r="AK241" s="39"/>
      <c r="AL241" s="39"/>
      <c r="AM241" s="39"/>
    </row>
    <row r="242" spans="4:53" x14ac:dyDescent="0.15">
      <c r="AI242" s="39"/>
      <c r="AJ242" s="39"/>
      <c r="AK242" s="39"/>
      <c r="AL242" s="39"/>
      <c r="AM242" s="39"/>
    </row>
    <row r="243" spans="4:53" x14ac:dyDescent="0.15">
      <c r="AI243" s="39"/>
      <c r="AJ243" s="39"/>
      <c r="AK243" s="39"/>
      <c r="AL243" s="39"/>
      <c r="AM243" s="39"/>
    </row>
    <row r="244" spans="4:53" x14ac:dyDescent="0.15">
      <c r="AI244" s="39"/>
      <c r="AJ244" s="39"/>
      <c r="AK244" s="39"/>
      <c r="AL244" s="39"/>
      <c r="AM244" s="39"/>
    </row>
    <row r="245" spans="4:53" x14ac:dyDescent="0.15">
      <c r="AI245" s="39"/>
      <c r="AJ245" s="39"/>
      <c r="AK245" s="39"/>
      <c r="AL245" s="39"/>
      <c r="AM245" s="39"/>
    </row>
    <row r="246" spans="4:53" x14ac:dyDescent="0.15">
      <c r="D246" s="85"/>
      <c r="Q246" s="61"/>
      <c r="AE246" s="68"/>
      <c r="AG246" s="47"/>
      <c r="AH246" s="86"/>
      <c r="AI246" s="39"/>
      <c r="AJ246" s="62"/>
      <c r="AK246" s="39"/>
      <c r="AL246" s="80"/>
      <c r="AM246" s="39"/>
      <c r="AN246" s="62"/>
      <c r="AP246" s="62"/>
      <c r="AR246" s="62"/>
      <c r="AT246" s="62"/>
      <c r="AV246" s="62"/>
      <c r="AX246" s="31"/>
      <c r="AY246" s="32"/>
      <c r="AZ246" s="32"/>
      <c r="BA246" s="33"/>
    </row>
    <row r="247" spans="4:53" x14ac:dyDescent="0.15">
      <c r="D247" s="85"/>
      <c r="Q247" s="61"/>
      <c r="AE247" s="46"/>
      <c r="AG247" s="47"/>
      <c r="AH247" s="86"/>
      <c r="AI247" s="39"/>
      <c r="AJ247" s="47"/>
      <c r="AK247" s="39"/>
      <c r="AL247" s="47"/>
      <c r="AM247" s="39"/>
      <c r="AN247" s="47"/>
      <c r="AP247" s="47"/>
      <c r="AR247" s="47"/>
      <c r="AT247" s="47"/>
      <c r="AV247" s="47"/>
      <c r="AX247" s="48"/>
      <c r="AY247" s="49"/>
      <c r="AZ247" s="49"/>
      <c r="BA247" s="50"/>
    </row>
    <row r="248" spans="4:53" x14ac:dyDescent="0.15">
      <c r="D248" s="85"/>
      <c r="Q248" s="61"/>
      <c r="AE248" s="46"/>
      <c r="AG248" s="47"/>
      <c r="AH248" s="86"/>
      <c r="AI248" s="39"/>
      <c r="AJ248" s="51"/>
      <c r="AK248" s="39"/>
      <c r="AL248" s="47"/>
      <c r="AM248" s="39"/>
      <c r="AN248" s="52"/>
      <c r="AP248" s="47"/>
      <c r="AR248" s="47"/>
      <c r="AT248" s="52"/>
      <c r="AV248" s="47"/>
      <c r="AX248" s="48"/>
      <c r="AY248" s="49"/>
      <c r="AZ248" s="49"/>
      <c r="BA248" s="50"/>
    </row>
    <row r="249" spans="4:53" x14ac:dyDescent="0.15">
      <c r="D249" s="85"/>
      <c r="Q249" s="61"/>
      <c r="AE249" s="46"/>
      <c r="AG249" s="47"/>
      <c r="AH249" s="86"/>
      <c r="AI249" s="39"/>
      <c r="AJ249" s="52"/>
      <c r="AK249" s="39"/>
      <c r="AL249" s="47"/>
      <c r="AM249" s="39"/>
      <c r="AN249" s="27"/>
      <c r="AP249" s="47"/>
      <c r="AR249" s="47"/>
      <c r="AV249" s="47"/>
      <c r="AX249" s="48"/>
      <c r="AY249" s="49"/>
      <c r="AZ249" s="49"/>
      <c r="BA249" s="50"/>
    </row>
    <row r="250" spans="4:53" x14ac:dyDescent="0.15">
      <c r="D250" s="85"/>
      <c r="Q250" s="61"/>
      <c r="AE250" s="46"/>
      <c r="AG250" s="47"/>
      <c r="AH250" s="86"/>
      <c r="AI250" s="39"/>
      <c r="AJ250" s="39"/>
      <c r="AK250" s="39"/>
      <c r="AL250" s="47"/>
      <c r="AM250" s="39"/>
      <c r="AN250" s="27"/>
      <c r="AP250" s="47"/>
      <c r="AR250" s="47"/>
      <c r="AV250" s="47"/>
      <c r="AX250" s="48"/>
      <c r="AY250" s="49"/>
      <c r="AZ250" s="49"/>
      <c r="BA250" s="50"/>
    </row>
    <row r="251" spans="4:53" x14ac:dyDescent="0.15">
      <c r="D251" s="85"/>
      <c r="Q251" s="61"/>
      <c r="AE251" s="46"/>
      <c r="AG251" s="47"/>
      <c r="AH251" s="86"/>
      <c r="AI251" s="39"/>
      <c r="AJ251" s="39"/>
      <c r="AK251" s="39"/>
      <c r="AL251" s="65"/>
      <c r="AM251" s="39"/>
      <c r="AP251" s="47"/>
      <c r="AR251" s="47"/>
      <c r="AV251" s="47"/>
      <c r="AX251" s="48"/>
      <c r="AY251" s="49"/>
      <c r="AZ251" s="49"/>
      <c r="BA251" s="50"/>
    </row>
    <row r="252" spans="4:53" x14ac:dyDescent="0.15">
      <c r="D252" s="85"/>
      <c r="Q252" s="61"/>
      <c r="AE252" s="46"/>
      <c r="AG252" s="47"/>
      <c r="AH252" s="86"/>
      <c r="AI252" s="39"/>
      <c r="AJ252" s="39"/>
      <c r="AK252" s="39"/>
      <c r="AL252" s="65"/>
      <c r="AM252" s="39"/>
      <c r="AP252" s="47"/>
      <c r="AR252" s="47"/>
      <c r="AV252" s="47"/>
      <c r="AX252" s="48"/>
      <c r="AY252" s="49"/>
      <c r="AZ252" s="49"/>
      <c r="BA252" s="50"/>
    </row>
    <row r="253" spans="4:53" x14ac:dyDescent="0.15">
      <c r="D253" s="85"/>
      <c r="Q253" s="61"/>
      <c r="AE253" s="46"/>
      <c r="AG253" s="47"/>
      <c r="AH253" s="47"/>
      <c r="AI253" s="39"/>
      <c r="AJ253" s="39"/>
      <c r="AK253" s="39"/>
      <c r="AL253" s="47"/>
      <c r="AM253" s="39"/>
      <c r="AP253" s="47"/>
      <c r="AR253" s="47"/>
      <c r="AV253" s="47"/>
      <c r="AX253" s="48"/>
      <c r="AY253" s="49"/>
      <c r="AZ253" s="49"/>
      <c r="BA253" s="50"/>
    </row>
    <row r="254" spans="4:53" x14ac:dyDescent="0.15">
      <c r="D254" s="85"/>
      <c r="Q254" s="61"/>
      <c r="AE254" s="46"/>
      <c r="AG254" s="47"/>
      <c r="AH254" s="86"/>
      <c r="AI254" s="39"/>
      <c r="AJ254" s="39"/>
      <c r="AK254" s="39"/>
      <c r="AL254" s="7"/>
      <c r="AM254" s="39"/>
      <c r="AP254" s="47"/>
      <c r="AR254" s="47"/>
      <c r="AV254" s="47"/>
      <c r="AX254" s="48"/>
      <c r="AY254" s="49"/>
      <c r="AZ254" s="49"/>
      <c r="BA254" s="50"/>
    </row>
    <row r="255" spans="4:53" x14ac:dyDescent="0.15">
      <c r="D255" s="85"/>
      <c r="Q255" s="61"/>
      <c r="AE255" s="46"/>
      <c r="AG255" s="47"/>
      <c r="AH255" s="86"/>
      <c r="AI255" s="39"/>
      <c r="AJ255" s="7"/>
      <c r="AK255" s="39"/>
      <c r="AL255" s="39"/>
      <c r="AM255" s="39"/>
      <c r="AP255" s="47"/>
      <c r="AR255" s="47"/>
      <c r="AV255" s="47"/>
    </row>
    <row r="256" spans="4:53" x14ac:dyDescent="0.15">
      <c r="D256" s="85"/>
      <c r="Q256" s="61"/>
      <c r="AE256" s="46"/>
      <c r="AG256" s="47"/>
      <c r="AH256" s="86"/>
      <c r="AI256" s="39"/>
      <c r="AJ256" s="7"/>
      <c r="AK256" s="39"/>
      <c r="AL256" s="39"/>
      <c r="AM256" s="39"/>
      <c r="AP256" s="47"/>
      <c r="AR256" s="47"/>
      <c r="AV256" s="47"/>
    </row>
    <row r="257" spans="4:48" x14ac:dyDescent="0.15">
      <c r="D257" s="85"/>
      <c r="Q257" s="61"/>
      <c r="AE257" s="46"/>
      <c r="AI257" s="39"/>
      <c r="AJ257" s="39"/>
      <c r="AK257" s="39"/>
      <c r="AL257" s="39"/>
      <c r="AM257" s="39"/>
      <c r="AP257" s="47"/>
      <c r="AR257" s="47"/>
      <c r="AV257" s="47"/>
    </row>
    <row r="258" spans="4:48" x14ac:dyDescent="0.15">
      <c r="D258" s="85"/>
      <c r="Q258" s="61"/>
      <c r="AE258" s="46"/>
      <c r="AI258" s="39"/>
      <c r="AJ258" s="39"/>
      <c r="AK258" s="39"/>
      <c r="AL258" s="39"/>
      <c r="AM258" s="39"/>
      <c r="AP258" s="47"/>
      <c r="AR258" s="47"/>
      <c r="AV258" s="47"/>
    </row>
    <row r="259" spans="4:48" x14ac:dyDescent="0.15">
      <c r="D259" s="85"/>
      <c r="Q259" s="61"/>
      <c r="AE259" s="46"/>
      <c r="AI259" s="39"/>
      <c r="AJ259" s="39"/>
      <c r="AK259" s="39"/>
      <c r="AL259" s="39"/>
      <c r="AM259" s="39"/>
      <c r="AP259" s="47"/>
      <c r="AR259" s="47"/>
      <c r="AV259" s="47"/>
    </row>
    <row r="260" spans="4:48" x14ac:dyDescent="0.15">
      <c r="D260" s="85"/>
      <c r="Q260" s="61"/>
      <c r="AE260" s="46"/>
      <c r="AI260" s="39"/>
      <c r="AJ260" s="39"/>
      <c r="AK260" s="39"/>
      <c r="AL260" s="39"/>
      <c r="AM260" s="39"/>
      <c r="AP260" s="47"/>
      <c r="AR260" s="47"/>
      <c r="AV260" s="47"/>
    </row>
    <row r="261" spans="4:48" x14ac:dyDescent="0.15">
      <c r="D261" s="85"/>
      <c r="Q261" s="61"/>
      <c r="AE261" s="46"/>
      <c r="AI261" s="39"/>
      <c r="AJ261" s="39"/>
      <c r="AK261" s="39"/>
      <c r="AL261" s="39"/>
      <c r="AM261" s="39"/>
      <c r="AP261" s="51"/>
      <c r="AR261" s="47"/>
      <c r="AV261" s="47"/>
    </row>
    <row r="262" spans="4:48" x14ac:dyDescent="0.15">
      <c r="D262" s="85"/>
      <c r="Q262" s="61"/>
      <c r="AE262" s="46"/>
      <c r="AI262" s="39"/>
      <c r="AJ262" s="39"/>
      <c r="AK262" s="39"/>
      <c r="AL262" s="39"/>
      <c r="AM262" s="39"/>
      <c r="AP262" s="51"/>
      <c r="AR262" s="47"/>
      <c r="AV262" s="47"/>
    </row>
    <row r="263" spans="4:48" x14ac:dyDescent="0.15">
      <c r="D263" s="85"/>
      <c r="Q263" s="61"/>
      <c r="AE263" s="57"/>
      <c r="AI263" s="39"/>
      <c r="AJ263" s="39"/>
      <c r="AK263" s="39"/>
      <c r="AL263" s="39"/>
      <c r="AM263" s="39"/>
      <c r="AP263" s="51"/>
      <c r="AR263" s="47"/>
      <c r="AV263" s="47"/>
    </row>
    <row r="264" spans="4:48" x14ac:dyDescent="0.15">
      <c r="D264" s="85"/>
      <c r="Q264" s="61"/>
      <c r="AI264" s="39"/>
      <c r="AJ264" s="39"/>
      <c r="AK264" s="39"/>
      <c r="AL264" s="39"/>
      <c r="AM264" s="39"/>
      <c r="AP264" s="51"/>
      <c r="AR264" s="47"/>
      <c r="AV264" s="51"/>
    </row>
    <row r="265" spans="4:48" x14ac:dyDescent="0.15">
      <c r="D265" s="85"/>
      <c r="Q265" s="61"/>
      <c r="AI265" s="39"/>
      <c r="AJ265" s="39"/>
      <c r="AK265" s="39"/>
      <c r="AL265" s="39"/>
      <c r="AM265" s="39"/>
      <c r="AP265" s="51"/>
      <c r="AR265" s="47"/>
      <c r="AV265" s="52"/>
    </row>
    <row r="266" spans="4:48" x14ac:dyDescent="0.15">
      <c r="D266" s="85"/>
      <c r="Q266" s="61"/>
      <c r="AI266" s="39"/>
      <c r="AJ266" s="39"/>
      <c r="AK266" s="39"/>
      <c r="AL266" s="39"/>
      <c r="AM266" s="39"/>
      <c r="AP266" s="51"/>
      <c r="AR266" s="47"/>
    </row>
    <row r="267" spans="4:48" x14ac:dyDescent="0.15">
      <c r="D267" s="85"/>
      <c r="Q267" s="61"/>
      <c r="AI267" s="39"/>
      <c r="AJ267" s="39"/>
      <c r="AK267" s="39"/>
      <c r="AL267" s="39"/>
      <c r="AM267" s="39"/>
      <c r="AP267" s="51"/>
      <c r="AR267" s="47"/>
    </row>
    <row r="268" spans="4:48" x14ac:dyDescent="0.15">
      <c r="D268" s="85"/>
      <c r="Q268" s="61"/>
      <c r="AI268" s="39"/>
      <c r="AJ268" s="39"/>
      <c r="AK268" s="39"/>
      <c r="AL268" s="39"/>
      <c r="AM268" s="39"/>
      <c r="AP268" s="51"/>
      <c r="AR268" s="47"/>
    </row>
    <row r="269" spans="4:48" x14ac:dyDescent="0.15">
      <c r="D269" s="85"/>
      <c r="Q269" s="61"/>
      <c r="AI269" s="39"/>
      <c r="AJ269" s="39"/>
      <c r="AK269" s="39"/>
      <c r="AL269" s="39"/>
      <c r="AM269" s="39"/>
      <c r="AP269" s="51"/>
      <c r="AR269" s="51"/>
    </row>
    <row r="270" spans="4:48" x14ac:dyDescent="0.15">
      <c r="H270" s="22"/>
      <c r="K270" s="22"/>
      <c r="Q270" s="61"/>
    </row>
    <row r="271" spans="4:48" x14ac:dyDescent="0.15">
      <c r="H271" s="22"/>
      <c r="K271" s="22"/>
      <c r="Q271" s="61"/>
    </row>
    <row r="272" spans="4:48" x14ac:dyDescent="0.15">
      <c r="H272" s="22"/>
      <c r="K272" s="22"/>
      <c r="Q272" s="61"/>
    </row>
    <row r="273" spans="8:17" x14ac:dyDescent="0.15">
      <c r="H273" s="22"/>
      <c r="K273" s="22"/>
      <c r="Q273" s="61"/>
    </row>
    <row r="274" spans="8:17" x14ac:dyDescent="0.15">
      <c r="H274" s="22"/>
      <c r="K274" s="22"/>
      <c r="Q274" s="61"/>
    </row>
    <row r="275" spans="8:17" x14ac:dyDescent="0.15">
      <c r="H275" s="22"/>
      <c r="K275" s="22"/>
      <c r="Q275" s="61"/>
    </row>
    <row r="276" spans="8:17" x14ac:dyDescent="0.15">
      <c r="H276" s="22"/>
      <c r="K276" s="22"/>
      <c r="Q276" s="61"/>
    </row>
    <row r="277" spans="8:17" x14ac:dyDescent="0.15">
      <c r="H277" s="22"/>
      <c r="K277" s="22"/>
      <c r="Q277" s="61"/>
    </row>
    <row r="278" spans="8:17" x14ac:dyDescent="0.15">
      <c r="H278" s="22"/>
      <c r="K278" s="22"/>
      <c r="Q278" s="61"/>
    </row>
    <row r="279" spans="8:17" x14ac:dyDescent="0.15">
      <c r="H279" s="22"/>
      <c r="K279" s="22"/>
      <c r="Q279" s="61"/>
    </row>
    <row r="280" spans="8:17" x14ac:dyDescent="0.15">
      <c r="H280" s="22"/>
      <c r="K280" s="22"/>
      <c r="Q280" s="61"/>
    </row>
    <row r="281" spans="8:17" x14ac:dyDescent="0.15">
      <c r="H281" s="22"/>
      <c r="K281" s="22"/>
      <c r="Q281" s="61"/>
    </row>
    <row r="282" spans="8:17" x14ac:dyDescent="0.15">
      <c r="H282" s="22"/>
      <c r="K282" s="22"/>
      <c r="Q282" s="61"/>
    </row>
    <row r="283" spans="8:17" x14ac:dyDescent="0.15">
      <c r="H283" s="22"/>
      <c r="K283" s="22"/>
      <c r="Q283" s="61"/>
    </row>
    <row r="284" spans="8:17" x14ac:dyDescent="0.15">
      <c r="H284" s="22"/>
      <c r="K284" s="22"/>
      <c r="Q284" s="61"/>
    </row>
    <row r="285" spans="8:17" x14ac:dyDescent="0.15">
      <c r="H285" s="22"/>
      <c r="K285" s="22"/>
      <c r="Q285" s="61"/>
    </row>
    <row r="286" spans="8:17" x14ac:dyDescent="0.15">
      <c r="H286" s="22"/>
      <c r="K286" s="22"/>
      <c r="Q286" s="61"/>
    </row>
    <row r="287" spans="8:17" x14ac:dyDescent="0.15">
      <c r="H287" s="22"/>
      <c r="K287" s="22"/>
      <c r="Q287" s="61"/>
    </row>
    <row r="288" spans="8:17" x14ac:dyDescent="0.15">
      <c r="H288" s="22"/>
      <c r="K288" s="22"/>
      <c r="Q288" s="61"/>
    </row>
    <row r="289" spans="8:17" x14ac:dyDescent="0.15">
      <c r="H289" s="22"/>
      <c r="K289" s="22"/>
      <c r="Q289" s="61"/>
    </row>
    <row r="290" spans="8:17" x14ac:dyDescent="0.15">
      <c r="H290" s="22"/>
      <c r="K290" s="22"/>
      <c r="Q290" s="61"/>
    </row>
    <row r="291" spans="8:17" x14ac:dyDescent="0.15">
      <c r="H291" s="22"/>
      <c r="K291" s="22"/>
      <c r="Q291" s="61"/>
    </row>
    <row r="292" spans="8:17" x14ac:dyDescent="0.15">
      <c r="H292" s="22"/>
      <c r="K292" s="22"/>
    </row>
    <row r="293" spans="8:17" x14ac:dyDescent="0.15">
      <c r="H293" s="22"/>
      <c r="K293" s="22"/>
    </row>
    <row r="294" spans="8:17" x14ac:dyDescent="0.15">
      <c r="H294" s="22"/>
      <c r="K294" s="22"/>
    </row>
    <row r="295" spans="8:17" x14ac:dyDescent="0.15">
      <c r="H295" s="22"/>
      <c r="K295" s="22"/>
    </row>
    <row r="296" spans="8:17" x14ac:dyDescent="0.15">
      <c r="H296" s="22"/>
      <c r="K296" s="22"/>
    </row>
    <row r="297" spans="8:17" x14ac:dyDescent="0.15">
      <c r="H297" s="22"/>
      <c r="K297" s="22"/>
    </row>
    <row r="298" spans="8:17" x14ac:dyDescent="0.15">
      <c r="H298" s="22"/>
      <c r="K298" s="22"/>
    </row>
    <row r="299" spans="8:17" x14ac:dyDescent="0.15">
      <c r="H299" s="22"/>
      <c r="K299" s="22"/>
    </row>
    <row r="300" spans="8:17" x14ac:dyDescent="0.15">
      <c r="H300" s="22"/>
      <c r="K300" s="22"/>
    </row>
    <row r="301" spans="8:17" x14ac:dyDescent="0.15">
      <c r="H301" s="22"/>
      <c r="K301" s="22"/>
    </row>
    <row r="302" spans="8:17" x14ac:dyDescent="0.15">
      <c r="H302" s="22"/>
      <c r="K302" s="22"/>
    </row>
    <row r="303" spans="8:17" x14ac:dyDescent="0.15">
      <c r="H303" s="22"/>
      <c r="K303" s="22"/>
    </row>
    <row r="304" spans="8:17" x14ac:dyDescent="0.15">
      <c r="H304" s="22"/>
      <c r="K304" s="22"/>
    </row>
    <row r="305" spans="8:11" x14ac:dyDescent="0.15">
      <c r="H305" s="22"/>
      <c r="K305" s="22"/>
    </row>
    <row r="306" spans="8:11" x14ac:dyDescent="0.15">
      <c r="H306" s="22"/>
      <c r="K306" s="22"/>
    </row>
    <row r="307" spans="8:11" x14ac:dyDescent="0.15">
      <c r="H307" s="22"/>
      <c r="K307" s="22"/>
    </row>
    <row r="308" spans="8:11" x14ac:dyDescent="0.15">
      <c r="H308" s="22"/>
      <c r="K308" s="22"/>
    </row>
    <row r="309" spans="8:11" x14ac:dyDescent="0.15">
      <c r="H309" s="22"/>
      <c r="K309" s="22"/>
    </row>
    <row r="310" spans="8:11" x14ac:dyDescent="0.15">
      <c r="H310" s="22"/>
      <c r="K310" s="22"/>
    </row>
    <row r="311" spans="8:11" x14ac:dyDescent="0.15">
      <c r="H311" s="22"/>
      <c r="K311" s="22"/>
    </row>
    <row r="312" spans="8:11" x14ac:dyDescent="0.15">
      <c r="H312" s="22"/>
      <c r="K312" s="22"/>
    </row>
    <row r="313" spans="8:11" x14ac:dyDescent="0.15">
      <c r="H313" s="22"/>
      <c r="K313" s="22"/>
    </row>
    <row r="314" spans="8:11" x14ac:dyDescent="0.15">
      <c r="H314" s="22"/>
      <c r="K314" s="22"/>
    </row>
    <row r="315" spans="8:11" x14ac:dyDescent="0.15">
      <c r="H315" s="22"/>
      <c r="K315" s="22"/>
    </row>
    <row r="316" spans="8:11" x14ac:dyDescent="0.15">
      <c r="H316" s="22"/>
      <c r="K316" s="22"/>
    </row>
    <row r="317" spans="8:11" x14ac:dyDescent="0.15">
      <c r="H317" s="22"/>
      <c r="K317" s="22"/>
    </row>
    <row r="318" spans="8:11" x14ac:dyDescent="0.15">
      <c r="H318" s="22"/>
      <c r="K318" s="22"/>
    </row>
    <row r="319" spans="8:11" x14ac:dyDescent="0.15">
      <c r="H319" s="22"/>
      <c r="K319" s="22"/>
    </row>
    <row r="320" spans="8:11" x14ac:dyDescent="0.15">
      <c r="H320" s="22"/>
      <c r="K320" s="22"/>
    </row>
    <row r="321" spans="8:11" x14ac:dyDescent="0.15">
      <c r="H321" s="22"/>
      <c r="K321" s="22"/>
    </row>
    <row r="322" spans="8:11" x14ac:dyDescent="0.15">
      <c r="H322" s="22"/>
      <c r="K322" s="22"/>
    </row>
    <row r="323" spans="8:11" x14ac:dyDescent="0.15">
      <c r="H323" s="22"/>
      <c r="K323" s="22"/>
    </row>
    <row r="324" spans="8:11" x14ac:dyDescent="0.15">
      <c r="H324" s="22"/>
      <c r="K324" s="22"/>
    </row>
    <row r="325" spans="8:11" x14ac:dyDescent="0.15">
      <c r="H325" s="22"/>
      <c r="K325" s="22"/>
    </row>
    <row r="326" spans="8:11" x14ac:dyDescent="0.15">
      <c r="H326" s="22"/>
      <c r="K326" s="22"/>
    </row>
    <row r="327" spans="8:11" x14ac:dyDescent="0.15">
      <c r="H327" s="22"/>
      <c r="K327" s="22"/>
    </row>
    <row r="328" spans="8:11" x14ac:dyDescent="0.15">
      <c r="H328" s="22"/>
      <c r="K328" s="22"/>
    </row>
    <row r="329" spans="8:11" x14ac:dyDescent="0.15">
      <c r="H329" s="22"/>
      <c r="K329" s="22"/>
    </row>
    <row r="330" spans="8:11" x14ac:dyDescent="0.15">
      <c r="H330" s="22"/>
      <c r="K330" s="22"/>
    </row>
    <row r="331" spans="8:11" x14ac:dyDescent="0.15">
      <c r="H331" s="22"/>
      <c r="K331" s="22"/>
    </row>
    <row r="332" spans="8:11" x14ac:dyDescent="0.15">
      <c r="H332" s="22"/>
      <c r="K332" s="22"/>
    </row>
    <row r="333" spans="8:11" x14ac:dyDescent="0.15">
      <c r="H333" s="22"/>
      <c r="K333" s="22"/>
    </row>
    <row r="334" spans="8:11" x14ac:dyDescent="0.15">
      <c r="H334" s="22"/>
      <c r="K334" s="22"/>
    </row>
    <row r="335" spans="8:11" x14ac:dyDescent="0.15">
      <c r="H335" s="22"/>
      <c r="K335" s="22"/>
    </row>
    <row r="336" spans="8:11" x14ac:dyDescent="0.15">
      <c r="H336" s="22"/>
      <c r="K336" s="22"/>
    </row>
    <row r="337" spans="8:11" x14ac:dyDescent="0.15">
      <c r="H337" s="22"/>
      <c r="K337" s="22"/>
    </row>
    <row r="338" spans="8:11" x14ac:dyDescent="0.15">
      <c r="H338" s="22"/>
      <c r="K338" s="22"/>
    </row>
    <row r="339" spans="8:11" x14ac:dyDescent="0.15">
      <c r="H339" s="22"/>
      <c r="K339" s="22"/>
    </row>
    <row r="340" spans="8:11" x14ac:dyDescent="0.15">
      <c r="H340" s="22"/>
      <c r="K340" s="22"/>
    </row>
    <row r="341" spans="8:11" x14ac:dyDescent="0.15">
      <c r="H341" s="22"/>
      <c r="K341" s="22"/>
    </row>
    <row r="342" spans="8:11" x14ac:dyDescent="0.15">
      <c r="H342" s="22"/>
      <c r="K342" s="22"/>
    </row>
    <row r="343" spans="8:11" x14ac:dyDescent="0.15">
      <c r="H343" s="22"/>
      <c r="K343" s="22"/>
    </row>
    <row r="344" spans="8:11" x14ac:dyDescent="0.15">
      <c r="H344" s="22"/>
      <c r="K344" s="22"/>
    </row>
    <row r="345" spans="8:11" x14ac:dyDescent="0.15">
      <c r="H345" s="22"/>
      <c r="K345" s="22"/>
    </row>
    <row r="346" spans="8:11" x14ac:dyDescent="0.15">
      <c r="H346" s="22"/>
      <c r="K346" s="22"/>
    </row>
    <row r="347" spans="8:11" x14ac:dyDescent="0.15">
      <c r="H347" s="22"/>
      <c r="K347" s="22"/>
    </row>
    <row r="348" spans="8:11" x14ac:dyDescent="0.15">
      <c r="H348" s="22"/>
      <c r="K348" s="22"/>
    </row>
    <row r="349" spans="8:11" x14ac:dyDescent="0.15">
      <c r="H349" s="22"/>
      <c r="K349" s="22"/>
    </row>
    <row r="350" spans="8:11" x14ac:dyDescent="0.15">
      <c r="H350" s="22"/>
      <c r="K350" s="22"/>
    </row>
    <row r="351" spans="8:11" x14ac:dyDescent="0.15">
      <c r="H351" s="22"/>
      <c r="K351" s="22"/>
    </row>
    <row r="352" spans="8:11" x14ac:dyDescent="0.15">
      <c r="H352" s="22"/>
      <c r="K352" s="22"/>
    </row>
    <row r="353" spans="8:11" x14ac:dyDescent="0.15">
      <c r="H353" s="22"/>
      <c r="K353" s="22"/>
    </row>
    <row r="354" spans="8:11" x14ac:dyDescent="0.15">
      <c r="H354" s="22"/>
      <c r="K354" s="22"/>
    </row>
    <row r="355" spans="8:11" x14ac:dyDescent="0.15">
      <c r="H355" s="22"/>
      <c r="K355" s="22"/>
    </row>
    <row r="356" spans="8:11" x14ac:dyDescent="0.15">
      <c r="H356" s="22"/>
      <c r="K356" s="22"/>
    </row>
    <row r="357" spans="8:11" x14ac:dyDescent="0.15">
      <c r="H357" s="22"/>
      <c r="K357" s="22"/>
    </row>
    <row r="358" spans="8:11" x14ac:dyDescent="0.15">
      <c r="H358" s="22"/>
      <c r="K358" s="22"/>
    </row>
    <row r="359" spans="8:11" x14ac:dyDescent="0.15">
      <c r="H359" s="22"/>
      <c r="K359" s="22"/>
    </row>
    <row r="360" spans="8:11" x14ac:dyDescent="0.15">
      <c r="H360" s="22"/>
      <c r="K360" s="22"/>
    </row>
    <row r="361" spans="8:11" x14ac:dyDescent="0.15">
      <c r="H361" s="22"/>
      <c r="K361" s="22"/>
    </row>
    <row r="362" spans="8:11" x14ac:dyDescent="0.15">
      <c r="H362" s="22"/>
      <c r="K362" s="22"/>
    </row>
    <row r="363" spans="8:11" x14ac:dyDescent="0.15">
      <c r="H363" s="22"/>
      <c r="K363" s="22"/>
    </row>
    <row r="364" spans="8:11" x14ac:dyDescent="0.15">
      <c r="H364" s="22"/>
      <c r="K364" s="22"/>
    </row>
    <row r="365" spans="8:11" x14ac:dyDescent="0.15">
      <c r="H365" s="22"/>
      <c r="K365" s="22"/>
    </row>
    <row r="366" spans="8:11" x14ac:dyDescent="0.15">
      <c r="H366" s="22"/>
      <c r="K366" s="22"/>
    </row>
    <row r="367" spans="8:11" x14ac:dyDescent="0.15">
      <c r="H367" s="22"/>
      <c r="K367" s="22"/>
    </row>
    <row r="368" spans="8:11" x14ac:dyDescent="0.15">
      <c r="H368" s="22"/>
      <c r="K368" s="22"/>
    </row>
    <row r="369" spans="8:11" x14ac:dyDescent="0.15">
      <c r="H369" s="22"/>
      <c r="K369" s="22"/>
    </row>
    <row r="370" spans="8:11" x14ac:dyDescent="0.15">
      <c r="H370" s="22"/>
      <c r="K370" s="22"/>
    </row>
    <row r="371" spans="8:11" x14ac:dyDescent="0.15">
      <c r="H371" s="22"/>
      <c r="K371" s="22"/>
    </row>
    <row r="372" spans="8:11" x14ac:dyDescent="0.15">
      <c r="H372" s="22"/>
      <c r="K372" s="22"/>
    </row>
    <row r="373" spans="8:11" x14ac:dyDescent="0.15">
      <c r="H373" s="22"/>
      <c r="K373" s="22"/>
    </row>
    <row r="374" spans="8:11" x14ac:dyDescent="0.15">
      <c r="H374" s="22"/>
      <c r="K374" s="22"/>
    </row>
    <row r="375" spans="8:11" x14ac:dyDescent="0.15">
      <c r="H375" s="22"/>
      <c r="K375" s="22"/>
    </row>
    <row r="376" spans="8:11" x14ac:dyDescent="0.15">
      <c r="H376" s="22"/>
      <c r="K376" s="22"/>
    </row>
    <row r="377" spans="8:11" x14ac:dyDescent="0.15">
      <c r="H377" s="22"/>
      <c r="K377" s="22"/>
    </row>
    <row r="378" spans="8:11" x14ac:dyDescent="0.15">
      <c r="H378" s="22"/>
      <c r="K378" s="22"/>
    </row>
    <row r="379" spans="8:11" x14ac:dyDescent="0.15">
      <c r="H379" s="22"/>
      <c r="K379" s="22"/>
    </row>
    <row r="380" spans="8:11" x14ac:dyDescent="0.15">
      <c r="H380" s="22"/>
      <c r="K380" s="22"/>
    </row>
    <row r="381" spans="8:11" x14ac:dyDescent="0.15">
      <c r="H381" s="22"/>
      <c r="K381" s="22"/>
    </row>
    <row r="382" spans="8:11" x14ac:dyDescent="0.15">
      <c r="H382" s="22"/>
      <c r="K382" s="22"/>
    </row>
    <row r="383" spans="8:11" x14ac:dyDescent="0.15">
      <c r="H383" s="22"/>
      <c r="K383" s="22"/>
    </row>
    <row r="384" spans="8:11" x14ac:dyDescent="0.15">
      <c r="H384" s="22"/>
      <c r="K384" s="22"/>
    </row>
    <row r="385" spans="8:11" x14ac:dyDescent="0.15">
      <c r="H385" s="22"/>
      <c r="K385" s="22"/>
    </row>
    <row r="386" spans="8:11" x14ac:dyDescent="0.15">
      <c r="H386" s="22"/>
      <c r="K386" s="22"/>
    </row>
    <row r="387" spans="8:11" x14ac:dyDescent="0.15">
      <c r="H387" s="22"/>
      <c r="K387" s="22"/>
    </row>
    <row r="388" spans="8:11" x14ac:dyDescent="0.15">
      <c r="H388" s="22"/>
      <c r="K388" s="22"/>
    </row>
    <row r="389" spans="8:11" x14ac:dyDescent="0.15">
      <c r="H389" s="22"/>
      <c r="K389" s="22"/>
    </row>
    <row r="390" spans="8:11" x14ac:dyDescent="0.15">
      <c r="H390" s="22"/>
      <c r="K390" s="22"/>
    </row>
    <row r="391" spans="8:11" x14ac:dyDescent="0.15">
      <c r="H391" s="22"/>
      <c r="K391" s="22"/>
    </row>
    <row r="392" spans="8:11" x14ac:dyDescent="0.15">
      <c r="H392" s="22"/>
      <c r="K392" s="22"/>
    </row>
    <row r="393" spans="8:11" x14ac:dyDescent="0.15">
      <c r="H393" s="22"/>
      <c r="K393" s="22"/>
    </row>
    <row r="394" spans="8:11" x14ac:dyDescent="0.15">
      <c r="H394" s="22"/>
      <c r="K394" s="22"/>
    </row>
    <row r="395" spans="8:11" x14ac:dyDescent="0.15">
      <c r="H395" s="22"/>
      <c r="K395" s="22"/>
    </row>
    <row r="396" spans="8:11" x14ac:dyDescent="0.15">
      <c r="H396" s="22"/>
      <c r="K396" s="22"/>
    </row>
    <row r="397" spans="8:11" x14ac:dyDescent="0.15">
      <c r="H397" s="22"/>
      <c r="K397" s="22"/>
    </row>
    <row r="398" spans="8:11" x14ac:dyDescent="0.15">
      <c r="H398" s="22"/>
      <c r="K398" s="22"/>
    </row>
    <row r="399" spans="8:11" x14ac:dyDescent="0.15">
      <c r="H399" s="22"/>
      <c r="K399" s="22"/>
    </row>
    <row r="400" spans="8:11" x14ac:dyDescent="0.15">
      <c r="H400" s="22"/>
      <c r="K400" s="22"/>
    </row>
    <row r="401" spans="8:11" x14ac:dyDescent="0.15">
      <c r="H401" s="22"/>
      <c r="K401" s="22"/>
    </row>
    <row r="402" spans="8:11" x14ac:dyDescent="0.15">
      <c r="H402" s="22"/>
      <c r="K402" s="22"/>
    </row>
    <row r="403" spans="8:11" x14ac:dyDescent="0.15">
      <c r="H403" s="22"/>
      <c r="K403" s="22"/>
    </row>
    <row r="404" spans="8:11" x14ac:dyDescent="0.15">
      <c r="H404" s="22"/>
      <c r="K404" s="22"/>
    </row>
    <row r="405" spans="8:11" x14ac:dyDescent="0.15">
      <c r="H405" s="22"/>
      <c r="K405" s="22"/>
    </row>
    <row r="406" spans="8:11" x14ac:dyDescent="0.15">
      <c r="H406" s="22"/>
      <c r="K406" s="22"/>
    </row>
    <row r="407" spans="8:11" x14ac:dyDescent="0.15">
      <c r="H407" s="22"/>
      <c r="K407" s="22"/>
    </row>
    <row r="408" spans="8:11" x14ac:dyDescent="0.15">
      <c r="H408" s="22"/>
      <c r="K408" s="22"/>
    </row>
    <row r="409" spans="8:11" x14ac:dyDescent="0.15">
      <c r="H409" s="22"/>
      <c r="K409" s="22"/>
    </row>
    <row r="410" spans="8:11" x14ac:dyDescent="0.15">
      <c r="H410" s="22"/>
      <c r="K410" s="22"/>
    </row>
    <row r="411" spans="8:11" x14ac:dyDescent="0.15">
      <c r="H411" s="22"/>
      <c r="K411" s="22"/>
    </row>
    <row r="412" spans="8:11" x14ac:dyDescent="0.15">
      <c r="H412" s="22"/>
      <c r="K412" s="22"/>
    </row>
    <row r="413" spans="8:11" x14ac:dyDescent="0.15">
      <c r="H413" s="22"/>
      <c r="K413" s="22"/>
    </row>
    <row r="414" spans="8:11" x14ac:dyDescent="0.15">
      <c r="H414" s="22"/>
      <c r="K414" s="22"/>
    </row>
    <row r="415" spans="8:11" x14ac:dyDescent="0.15">
      <c r="H415" s="22"/>
      <c r="K415" s="22"/>
    </row>
    <row r="416" spans="8:11" x14ac:dyDescent="0.15">
      <c r="H416" s="22"/>
      <c r="K416" s="22"/>
    </row>
    <row r="417" spans="8:11" x14ac:dyDescent="0.15">
      <c r="H417" s="22"/>
      <c r="K417" s="22"/>
    </row>
    <row r="418" spans="8:11" x14ac:dyDescent="0.15">
      <c r="H418" s="22"/>
      <c r="K418" s="22"/>
    </row>
    <row r="419" spans="8:11" x14ac:dyDescent="0.15">
      <c r="H419" s="22"/>
      <c r="K419" s="22"/>
    </row>
    <row r="420" spans="8:11" x14ac:dyDescent="0.15">
      <c r="H420" s="22"/>
      <c r="K420" s="22"/>
    </row>
    <row r="421" spans="8:11" x14ac:dyDescent="0.15">
      <c r="H421" s="22"/>
      <c r="K421" s="22"/>
    </row>
    <row r="422" spans="8:11" x14ac:dyDescent="0.15">
      <c r="H422" s="22"/>
      <c r="K422" s="22"/>
    </row>
    <row r="423" spans="8:11" x14ac:dyDescent="0.15">
      <c r="H423" s="22"/>
      <c r="K423" s="22"/>
    </row>
    <row r="424" spans="8:11" x14ac:dyDescent="0.15">
      <c r="H424" s="22"/>
      <c r="K424" s="22"/>
    </row>
    <row r="425" spans="8:11" x14ac:dyDescent="0.15">
      <c r="H425" s="22"/>
      <c r="K425" s="22"/>
    </row>
    <row r="426" spans="8:11" x14ac:dyDescent="0.15">
      <c r="H426" s="22"/>
      <c r="K426" s="22"/>
    </row>
    <row r="427" spans="8:11" x14ac:dyDescent="0.15">
      <c r="H427" s="22"/>
      <c r="K427" s="22"/>
    </row>
    <row r="428" spans="8:11" x14ac:dyDescent="0.15">
      <c r="H428" s="22"/>
      <c r="K428" s="22"/>
    </row>
    <row r="429" spans="8:11" x14ac:dyDescent="0.15">
      <c r="H429" s="22"/>
      <c r="K429" s="22"/>
    </row>
    <row r="430" spans="8:11" x14ac:dyDescent="0.15">
      <c r="H430" s="22"/>
      <c r="K430" s="22"/>
    </row>
    <row r="431" spans="8:11" x14ac:dyDescent="0.15">
      <c r="H431" s="22"/>
      <c r="K431" s="22"/>
    </row>
    <row r="432" spans="8:11" x14ac:dyDescent="0.15">
      <c r="H432" s="22"/>
      <c r="K432" s="22"/>
    </row>
    <row r="433" spans="8:11" x14ac:dyDescent="0.15">
      <c r="H433" s="22"/>
      <c r="K433" s="22"/>
    </row>
    <row r="434" spans="8:11" x14ac:dyDescent="0.15">
      <c r="H434" s="22"/>
      <c r="K434" s="22"/>
    </row>
    <row r="435" spans="8:11" x14ac:dyDescent="0.15">
      <c r="H435" s="22"/>
      <c r="K435" s="22"/>
    </row>
    <row r="436" spans="8:11" x14ac:dyDescent="0.15">
      <c r="H436" s="22"/>
      <c r="K436" s="22"/>
    </row>
    <row r="437" spans="8:11" x14ac:dyDescent="0.15">
      <c r="H437" s="22"/>
      <c r="K437" s="22"/>
    </row>
    <row r="438" spans="8:11" x14ac:dyDescent="0.15">
      <c r="H438" s="22"/>
      <c r="K438" s="22"/>
    </row>
    <row r="439" spans="8:11" x14ac:dyDescent="0.15">
      <c r="H439" s="22"/>
      <c r="K439" s="22"/>
    </row>
    <row r="440" spans="8:11" x14ac:dyDescent="0.15">
      <c r="H440" s="22"/>
      <c r="K440" s="22"/>
    </row>
    <row r="441" spans="8:11" x14ac:dyDescent="0.15">
      <c r="H441" s="22"/>
      <c r="K441" s="22"/>
    </row>
    <row r="442" spans="8:11" x14ac:dyDescent="0.15">
      <c r="H442" s="22"/>
      <c r="K442" s="22"/>
    </row>
    <row r="443" spans="8:11" x14ac:dyDescent="0.15">
      <c r="H443" s="22"/>
      <c r="K443" s="22"/>
    </row>
    <row r="444" spans="8:11" x14ac:dyDescent="0.15">
      <c r="H444" s="22"/>
    </row>
    <row r="445" spans="8:11" x14ac:dyDescent="0.15">
      <c r="H445" s="22"/>
    </row>
    <row r="446" spans="8:11" x14ac:dyDescent="0.15">
      <c r="H446" s="22"/>
    </row>
    <row r="447" spans="8:11" x14ac:dyDescent="0.15">
      <c r="H447" s="22"/>
    </row>
    <row r="448" spans="8:11" x14ac:dyDescent="0.15">
      <c r="H448" s="22"/>
    </row>
    <row r="449" spans="8:8" x14ac:dyDescent="0.15">
      <c r="H449" s="22"/>
    </row>
    <row r="450" spans="8:8" x14ac:dyDescent="0.15">
      <c r="H450" s="22"/>
    </row>
    <row r="451" spans="8:8" x14ac:dyDescent="0.15">
      <c r="H451" s="22"/>
    </row>
    <row r="452" spans="8:8" x14ac:dyDescent="0.15">
      <c r="H452" s="22"/>
    </row>
    <row r="453" spans="8:8" x14ac:dyDescent="0.15">
      <c r="H453" s="22"/>
    </row>
    <row r="454" spans="8:8" x14ac:dyDescent="0.15">
      <c r="H454" s="22"/>
    </row>
    <row r="455" spans="8:8" x14ac:dyDescent="0.15">
      <c r="H455" s="22"/>
    </row>
    <row r="456" spans="8:8" x14ac:dyDescent="0.15">
      <c r="H456" s="22"/>
    </row>
    <row r="457" spans="8:8" x14ac:dyDescent="0.15">
      <c r="H457" s="22"/>
    </row>
    <row r="458" spans="8:8" x14ac:dyDescent="0.15">
      <c r="H458" s="22"/>
    </row>
    <row r="459" spans="8:8" x14ac:dyDescent="0.15">
      <c r="H459" s="22"/>
    </row>
    <row r="460" spans="8:8" x14ac:dyDescent="0.15">
      <c r="H460" s="22"/>
    </row>
    <row r="461" spans="8:8" x14ac:dyDescent="0.15">
      <c r="H461" s="22"/>
    </row>
    <row r="462" spans="8:8" x14ac:dyDescent="0.15">
      <c r="H462" s="22"/>
    </row>
    <row r="463" spans="8:8" x14ac:dyDescent="0.15">
      <c r="H463" s="22"/>
    </row>
    <row r="464" spans="8:8" x14ac:dyDescent="0.15">
      <c r="H464" s="22"/>
    </row>
    <row r="465" spans="8:8" x14ac:dyDescent="0.15">
      <c r="H465" s="22"/>
    </row>
    <row r="466" spans="8:8" x14ac:dyDescent="0.15">
      <c r="H466" s="22"/>
    </row>
    <row r="467" spans="8:8" x14ac:dyDescent="0.15">
      <c r="H467" s="22"/>
    </row>
    <row r="468" spans="8:8" x14ac:dyDescent="0.15">
      <c r="H468" s="22"/>
    </row>
    <row r="469" spans="8:8" x14ac:dyDescent="0.15">
      <c r="H469" s="22"/>
    </row>
    <row r="470" spans="8:8" x14ac:dyDescent="0.15">
      <c r="H470" s="22"/>
    </row>
    <row r="471" spans="8:8" x14ac:dyDescent="0.15">
      <c r="H471" s="22"/>
    </row>
    <row r="472" spans="8:8" x14ac:dyDescent="0.15">
      <c r="H472" s="22"/>
    </row>
    <row r="473" spans="8:8" x14ac:dyDescent="0.15">
      <c r="H473" s="22"/>
    </row>
    <row r="474" spans="8:8" x14ac:dyDescent="0.15">
      <c r="H474" s="22"/>
    </row>
    <row r="475" spans="8:8" x14ac:dyDescent="0.15">
      <c r="H475" s="22"/>
    </row>
    <row r="476" spans="8:8" x14ac:dyDescent="0.15">
      <c r="H476" s="22"/>
    </row>
    <row r="477" spans="8:8" x14ac:dyDescent="0.15">
      <c r="H477" s="22"/>
    </row>
    <row r="478" spans="8:8" x14ac:dyDescent="0.15">
      <c r="H478" s="22"/>
    </row>
    <row r="479" spans="8:8" x14ac:dyDescent="0.15">
      <c r="H479" s="22"/>
    </row>
    <row r="480" spans="8:8" x14ac:dyDescent="0.15">
      <c r="H480" s="22"/>
    </row>
    <row r="481" spans="8:8" x14ac:dyDescent="0.15">
      <c r="H481" s="22"/>
    </row>
    <row r="482" spans="8:8" x14ac:dyDescent="0.15">
      <c r="H482" s="22"/>
    </row>
    <row r="483" spans="8:8" x14ac:dyDescent="0.15">
      <c r="H483" s="22"/>
    </row>
    <row r="484" spans="8:8" x14ac:dyDescent="0.15">
      <c r="H484" s="22"/>
    </row>
    <row r="485" spans="8:8" x14ac:dyDescent="0.15">
      <c r="H485" s="22"/>
    </row>
    <row r="486" spans="8:8" x14ac:dyDescent="0.15">
      <c r="H486" s="22"/>
    </row>
    <row r="487" spans="8:8" x14ac:dyDescent="0.15">
      <c r="H487" s="22"/>
    </row>
    <row r="488" spans="8:8" x14ac:dyDescent="0.15">
      <c r="H488" s="22"/>
    </row>
    <row r="489" spans="8:8" x14ac:dyDescent="0.15">
      <c r="H489" s="22"/>
    </row>
    <row r="490" spans="8:8" x14ac:dyDescent="0.15">
      <c r="H490" s="22"/>
    </row>
    <row r="491" spans="8:8" x14ac:dyDescent="0.15">
      <c r="H491" s="22"/>
    </row>
    <row r="492" spans="8:8" x14ac:dyDescent="0.15">
      <c r="H492" s="22"/>
    </row>
    <row r="493" spans="8:8" x14ac:dyDescent="0.15">
      <c r="H493" s="22"/>
    </row>
    <row r="494" spans="8:8" x14ac:dyDescent="0.15">
      <c r="H494" s="22"/>
    </row>
    <row r="495" spans="8:8" x14ac:dyDescent="0.15">
      <c r="H495" s="22"/>
    </row>
    <row r="496" spans="8:8" x14ac:dyDescent="0.15">
      <c r="H496" s="22"/>
    </row>
    <row r="497" spans="8:8" x14ac:dyDescent="0.15">
      <c r="H497" s="22"/>
    </row>
    <row r="498" spans="8:8" x14ac:dyDescent="0.15">
      <c r="H498" s="22"/>
    </row>
    <row r="499" spans="8:8" x14ac:dyDescent="0.15">
      <c r="H499" s="22"/>
    </row>
    <row r="500" spans="8:8" x14ac:dyDescent="0.15">
      <c r="H500" s="22"/>
    </row>
    <row r="501" spans="8:8" x14ac:dyDescent="0.15">
      <c r="H501" s="22"/>
    </row>
    <row r="502" spans="8:8" x14ac:dyDescent="0.15">
      <c r="H502" s="22"/>
    </row>
    <row r="503" spans="8:8" x14ac:dyDescent="0.15">
      <c r="H503" s="22"/>
    </row>
    <row r="504" spans="8:8" x14ac:dyDescent="0.15">
      <c r="H504" s="22"/>
    </row>
    <row r="505" spans="8:8" x14ac:dyDescent="0.15">
      <c r="H505" s="22"/>
    </row>
    <row r="506" spans="8:8" x14ac:dyDescent="0.15">
      <c r="H506" s="22"/>
    </row>
    <row r="507" spans="8:8" x14ac:dyDescent="0.15">
      <c r="H507" s="22"/>
    </row>
    <row r="508" spans="8:8" x14ac:dyDescent="0.15">
      <c r="H508" s="22"/>
    </row>
    <row r="509" spans="8:8" x14ac:dyDescent="0.15">
      <c r="H509" s="22"/>
    </row>
    <row r="510" spans="8:8" x14ac:dyDescent="0.15">
      <c r="H510" s="22"/>
    </row>
    <row r="511" spans="8:8" x14ac:dyDescent="0.15">
      <c r="H511" s="22"/>
    </row>
    <row r="512" spans="8:8" x14ac:dyDescent="0.15">
      <c r="H512" s="22"/>
    </row>
    <row r="513" spans="8:8" x14ac:dyDescent="0.15">
      <c r="H513" s="22"/>
    </row>
    <row r="514" spans="8:8" x14ac:dyDescent="0.15">
      <c r="H514" s="22"/>
    </row>
    <row r="515" spans="8:8" x14ac:dyDescent="0.15">
      <c r="H515" s="22"/>
    </row>
    <row r="516" spans="8:8" x14ac:dyDescent="0.15">
      <c r="H516" s="22"/>
    </row>
    <row r="517" spans="8:8" x14ac:dyDescent="0.15">
      <c r="H517" s="22"/>
    </row>
    <row r="518" spans="8:8" x14ac:dyDescent="0.15">
      <c r="H518" s="22"/>
    </row>
    <row r="519" spans="8:8" x14ac:dyDescent="0.15">
      <c r="H519" s="22"/>
    </row>
    <row r="520" spans="8:8" x14ac:dyDescent="0.15">
      <c r="H520" s="22"/>
    </row>
    <row r="521" spans="8:8" x14ac:dyDescent="0.15">
      <c r="H521" s="22"/>
    </row>
    <row r="522" spans="8:8" x14ac:dyDescent="0.15">
      <c r="H522" s="22"/>
    </row>
    <row r="523" spans="8:8" x14ac:dyDescent="0.15">
      <c r="H523" s="22"/>
    </row>
    <row r="524" spans="8:8" x14ac:dyDescent="0.15">
      <c r="H524" s="22"/>
    </row>
    <row r="525" spans="8:8" x14ac:dyDescent="0.15">
      <c r="H525" s="22"/>
    </row>
    <row r="526" spans="8:8" x14ac:dyDescent="0.15">
      <c r="H526" s="22"/>
    </row>
    <row r="527" spans="8:8" x14ac:dyDescent="0.15">
      <c r="H527" s="22"/>
    </row>
    <row r="528" spans="8:8" x14ac:dyDescent="0.15">
      <c r="H528" s="22"/>
    </row>
    <row r="529" spans="8:8" x14ac:dyDescent="0.15">
      <c r="H529" s="22"/>
    </row>
    <row r="530" spans="8:8" x14ac:dyDescent="0.15">
      <c r="H530" s="22"/>
    </row>
    <row r="531" spans="8:8" x14ac:dyDescent="0.15">
      <c r="H531" s="22"/>
    </row>
    <row r="532" spans="8:8" x14ac:dyDescent="0.15">
      <c r="H532" s="22"/>
    </row>
    <row r="533" spans="8:8" x14ac:dyDescent="0.15">
      <c r="H533" s="22"/>
    </row>
    <row r="534" spans="8:8" x14ac:dyDescent="0.15">
      <c r="H534" s="22"/>
    </row>
    <row r="535" spans="8:8" x14ac:dyDescent="0.15">
      <c r="H535" s="22"/>
    </row>
    <row r="536" spans="8:8" x14ac:dyDescent="0.15">
      <c r="H536" s="22"/>
    </row>
    <row r="537" spans="8:8" x14ac:dyDescent="0.15">
      <c r="H537" s="22"/>
    </row>
    <row r="538" spans="8:8" x14ac:dyDescent="0.15">
      <c r="H538" s="22"/>
    </row>
    <row r="539" spans="8:8" x14ac:dyDescent="0.15">
      <c r="H539" s="22"/>
    </row>
    <row r="540" spans="8:8" x14ac:dyDescent="0.15">
      <c r="H540" s="22"/>
    </row>
    <row r="541" spans="8:8" x14ac:dyDescent="0.15">
      <c r="H541" s="22"/>
    </row>
    <row r="542" spans="8:8" x14ac:dyDescent="0.15">
      <c r="H542" s="22"/>
    </row>
    <row r="543" spans="8:8" x14ac:dyDescent="0.15">
      <c r="H543" s="22"/>
    </row>
    <row r="544" spans="8:8" x14ac:dyDescent="0.15">
      <c r="H544" s="22"/>
    </row>
    <row r="545" spans="8:8" x14ac:dyDescent="0.15">
      <c r="H545" s="22"/>
    </row>
    <row r="546" spans="8:8" x14ac:dyDescent="0.15">
      <c r="H546" s="22"/>
    </row>
    <row r="547" spans="8:8" x14ac:dyDescent="0.15">
      <c r="H547" s="22"/>
    </row>
    <row r="548" spans="8:8" x14ac:dyDescent="0.15">
      <c r="H548" s="22"/>
    </row>
    <row r="549" spans="8:8" x14ac:dyDescent="0.15">
      <c r="H549" s="22"/>
    </row>
    <row r="550" spans="8:8" x14ac:dyDescent="0.15">
      <c r="H550" s="22"/>
    </row>
    <row r="551" spans="8:8" x14ac:dyDescent="0.15">
      <c r="H551" s="22"/>
    </row>
    <row r="552" spans="8:8" x14ac:dyDescent="0.15">
      <c r="H552" s="22"/>
    </row>
    <row r="553" spans="8:8" x14ac:dyDescent="0.15">
      <c r="H553" s="22"/>
    </row>
    <row r="554" spans="8:8" x14ac:dyDescent="0.15">
      <c r="H554" s="22"/>
    </row>
    <row r="555" spans="8:8" x14ac:dyDescent="0.15">
      <c r="H555" s="22"/>
    </row>
    <row r="556" spans="8:8" x14ac:dyDescent="0.15">
      <c r="H556" s="22"/>
    </row>
    <row r="557" spans="8:8" x14ac:dyDescent="0.15">
      <c r="H557" s="22"/>
    </row>
    <row r="558" spans="8:8" x14ac:dyDescent="0.15">
      <c r="H558" s="22"/>
    </row>
    <row r="559" spans="8:8" x14ac:dyDescent="0.15">
      <c r="H559" s="22"/>
    </row>
    <row r="560" spans="8:8" x14ac:dyDescent="0.15">
      <c r="H560" s="22"/>
    </row>
    <row r="561" spans="8:8" x14ac:dyDescent="0.15">
      <c r="H561" s="22"/>
    </row>
    <row r="562" spans="8:8" x14ac:dyDescent="0.15">
      <c r="H562" s="22"/>
    </row>
    <row r="563" spans="8:8" x14ac:dyDescent="0.15">
      <c r="H563" s="22"/>
    </row>
    <row r="564" spans="8:8" x14ac:dyDescent="0.15">
      <c r="H564" s="22"/>
    </row>
    <row r="565" spans="8:8" x14ac:dyDescent="0.15">
      <c r="H565" s="22"/>
    </row>
    <row r="566" spans="8:8" x14ac:dyDescent="0.15">
      <c r="H566" s="22"/>
    </row>
    <row r="567" spans="8:8" x14ac:dyDescent="0.15">
      <c r="H567" s="22"/>
    </row>
    <row r="568" spans="8:8" x14ac:dyDescent="0.15">
      <c r="H568" s="22"/>
    </row>
    <row r="569" spans="8:8" x14ac:dyDescent="0.15">
      <c r="H569" s="22"/>
    </row>
    <row r="570" spans="8:8" x14ac:dyDescent="0.15">
      <c r="H570" s="22"/>
    </row>
    <row r="571" spans="8:8" x14ac:dyDescent="0.15">
      <c r="H571" s="22"/>
    </row>
    <row r="572" spans="8:8" x14ac:dyDescent="0.15">
      <c r="H572" s="22"/>
    </row>
    <row r="573" spans="8:8" x14ac:dyDescent="0.15">
      <c r="H573" s="22"/>
    </row>
    <row r="574" spans="8:8" x14ac:dyDescent="0.15">
      <c r="H574" s="22"/>
    </row>
    <row r="575" spans="8:8" x14ac:dyDescent="0.15">
      <c r="H575" s="22"/>
    </row>
    <row r="576" spans="8:8" x14ac:dyDescent="0.15">
      <c r="H576" s="22"/>
    </row>
    <row r="577" spans="8:8" x14ac:dyDescent="0.15">
      <c r="H577" s="22"/>
    </row>
    <row r="578" spans="8:8" x14ac:dyDescent="0.15">
      <c r="H578" s="22"/>
    </row>
    <row r="579" spans="8:8" x14ac:dyDescent="0.15">
      <c r="H579" s="22"/>
    </row>
    <row r="580" spans="8:8" x14ac:dyDescent="0.15">
      <c r="H580" s="22"/>
    </row>
    <row r="581" spans="8:8" x14ac:dyDescent="0.15">
      <c r="H581" s="22"/>
    </row>
    <row r="582" spans="8:8" x14ac:dyDescent="0.15">
      <c r="H582" s="22"/>
    </row>
    <row r="583" spans="8:8" x14ac:dyDescent="0.15">
      <c r="H583" s="22"/>
    </row>
    <row r="584" spans="8:8" x14ac:dyDescent="0.15">
      <c r="H584" s="22"/>
    </row>
    <row r="585" spans="8:8" x14ac:dyDescent="0.15">
      <c r="H585" s="22"/>
    </row>
    <row r="586" spans="8:8" x14ac:dyDescent="0.15">
      <c r="H586" s="22"/>
    </row>
    <row r="587" spans="8:8" x14ac:dyDescent="0.15">
      <c r="H587" s="22"/>
    </row>
    <row r="588" spans="8:8" x14ac:dyDescent="0.15">
      <c r="H588" s="22"/>
    </row>
    <row r="589" spans="8:8" x14ac:dyDescent="0.15">
      <c r="H589" s="22"/>
    </row>
    <row r="590" spans="8:8" x14ac:dyDescent="0.15">
      <c r="H590" s="22"/>
    </row>
    <row r="591" spans="8:8" x14ac:dyDescent="0.15">
      <c r="H591" s="22"/>
    </row>
    <row r="592" spans="8:8" x14ac:dyDescent="0.15">
      <c r="H592" s="22"/>
    </row>
    <row r="593" spans="8:8" x14ac:dyDescent="0.15">
      <c r="H593" s="22"/>
    </row>
    <row r="594" spans="8:8" x14ac:dyDescent="0.15">
      <c r="H594" s="22"/>
    </row>
    <row r="595" spans="8:8" x14ac:dyDescent="0.15">
      <c r="H595" s="22"/>
    </row>
    <row r="596" spans="8:8" x14ac:dyDescent="0.15">
      <c r="H596" s="22"/>
    </row>
    <row r="597" spans="8:8" x14ac:dyDescent="0.15">
      <c r="H597" s="22"/>
    </row>
    <row r="598" spans="8:8" x14ac:dyDescent="0.15">
      <c r="H598" s="22"/>
    </row>
    <row r="599" spans="8:8" x14ac:dyDescent="0.15">
      <c r="H599" s="22"/>
    </row>
    <row r="600" spans="8:8" x14ac:dyDescent="0.15">
      <c r="H600" s="22"/>
    </row>
    <row r="601" spans="8:8" x14ac:dyDescent="0.15">
      <c r="H601" s="22"/>
    </row>
    <row r="602" spans="8:8" x14ac:dyDescent="0.15">
      <c r="H602" s="22"/>
    </row>
    <row r="603" spans="8:8" x14ac:dyDescent="0.15">
      <c r="H603" s="22"/>
    </row>
    <row r="604" spans="8:8" x14ac:dyDescent="0.15">
      <c r="H604" s="22"/>
    </row>
    <row r="605" spans="8:8" x14ac:dyDescent="0.15">
      <c r="H605" s="22"/>
    </row>
    <row r="606" spans="8:8" x14ac:dyDescent="0.15">
      <c r="H606" s="22"/>
    </row>
    <row r="607" spans="8:8" x14ac:dyDescent="0.15">
      <c r="H607" s="22"/>
    </row>
    <row r="608" spans="8:8" x14ac:dyDescent="0.15">
      <c r="H608" s="22"/>
    </row>
    <row r="609" spans="8:8" x14ac:dyDescent="0.15">
      <c r="H609" s="22"/>
    </row>
    <row r="610" spans="8:8" x14ac:dyDescent="0.15">
      <c r="H610" s="22"/>
    </row>
    <row r="611" spans="8:8" x14ac:dyDescent="0.15">
      <c r="H611" s="22"/>
    </row>
    <row r="612" spans="8:8" x14ac:dyDescent="0.15">
      <c r="H612" s="22"/>
    </row>
    <row r="613" spans="8:8" x14ac:dyDescent="0.15">
      <c r="H613" s="22"/>
    </row>
    <row r="614" spans="8:8" x14ac:dyDescent="0.15">
      <c r="H614" s="22"/>
    </row>
    <row r="615" spans="8:8" x14ac:dyDescent="0.15">
      <c r="H615" s="22"/>
    </row>
    <row r="616" spans="8:8" x14ac:dyDescent="0.15">
      <c r="H616" s="22"/>
    </row>
    <row r="617" spans="8:8" x14ac:dyDescent="0.15">
      <c r="H617" s="22"/>
    </row>
    <row r="618" spans="8:8" x14ac:dyDescent="0.15">
      <c r="H618" s="22"/>
    </row>
    <row r="619" spans="8:8" x14ac:dyDescent="0.15">
      <c r="H619" s="22"/>
    </row>
    <row r="620" spans="8:8" x14ac:dyDescent="0.15">
      <c r="H620" s="22"/>
    </row>
    <row r="621" spans="8:8" x14ac:dyDescent="0.15">
      <c r="H621" s="22"/>
    </row>
    <row r="622" spans="8:8" x14ac:dyDescent="0.15">
      <c r="H622" s="22"/>
    </row>
    <row r="623" spans="8:8" x14ac:dyDescent="0.15">
      <c r="H623" s="22"/>
    </row>
    <row r="624" spans="8:8" x14ac:dyDescent="0.15">
      <c r="H624" s="22"/>
    </row>
    <row r="625" spans="8:8" x14ac:dyDescent="0.15">
      <c r="H625" s="22"/>
    </row>
    <row r="626" spans="8:8" x14ac:dyDescent="0.15">
      <c r="H626" s="22"/>
    </row>
    <row r="627" spans="8:8" x14ac:dyDescent="0.15">
      <c r="H627" s="22"/>
    </row>
    <row r="628" spans="8:8" x14ac:dyDescent="0.15">
      <c r="H628" s="22"/>
    </row>
    <row r="629" spans="8:8" x14ac:dyDescent="0.15">
      <c r="H629" s="22"/>
    </row>
    <row r="630" spans="8:8" x14ac:dyDescent="0.15">
      <c r="H630" s="22"/>
    </row>
    <row r="631" spans="8:8" x14ac:dyDescent="0.15">
      <c r="H631" s="22"/>
    </row>
    <row r="632" spans="8:8" x14ac:dyDescent="0.15">
      <c r="H632" s="22"/>
    </row>
    <row r="633" spans="8:8" x14ac:dyDescent="0.15">
      <c r="H633" s="22"/>
    </row>
    <row r="634" spans="8:8" x14ac:dyDescent="0.15">
      <c r="H634" s="22"/>
    </row>
    <row r="635" spans="8:8" x14ac:dyDescent="0.15">
      <c r="H635" s="22"/>
    </row>
    <row r="636" spans="8:8" x14ac:dyDescent="0.15">
      <c r="H636" s="22"/>
    </row>
    <row r="637" spans="8:8" x14ac:dyDescent="0.15">
      <c r="H637" s="22"/>
    </row>
    <row r="638" spans="8:8" x14ac:dyDescent="0.15">
      <c r="H638" s="22"/>
    </row>
    <row r="639" spans="8:8" x14ac:dyDescent="0.15">
      <c r="H639" s="22"/>
    </row>
    <row r="640" spans="8:8" x14ac:dyDescent="0.15">
      <c r="H640" s="22"/>
    </row>
    <row r="641" spans="8:8" x14ac:dyDescent="0.15">
      <c r="H641" s="22"/>
    </row>
    <row r="642" spans="8:8" x14ac:dyDescent="0.15">
      <c r="H642" s="22"/>
    </row>
    <row r="643" spans="8:8" x14ac:dyDescent="0.15">
      <c r="H643" s="22"/>
    </row>
    <row r="644" spans="8:8" x14ac:dyDescent="0.15">
      <c r="H644" s="22"/>
    </row>
    <row r="645" spans="8:8" x14ac:dyDescent="0.15">
      <c r="H645" s="22"/>
    </row>
    <row r="646" spans="8:8" x14ac:dyDescent="0.15">
      <c r="H646" s="22"/>
    </row>
    <row r="647" spans="8:8" x14ac:dyDescent="0.15">
      <c r="H647" s="22"/>
    </row>
    <row r="648" spans="8:8" x14ac:dyDescent="0.15">
      <c r="H648" s="22"/>
    </row>
    <row r="649" spans="8:8" x14ac:dyDescent="0.15">
      <c r="H649" s="22"/>
    </row>
    <row r="650" spans="8:8" x14ac:dyDescent="0.15">
      <c r="H650" s="22"/>
    </row>
    <row r="651" spans="8:8" x14ac:dyDescent="0.15">
      <c r="H651" s="22"/>
    </row>
    <row r="652" spans="8:8" x14ac:dyDescent="0.15">
      <c r="H652" s="22"/>
    </row>
    <row r="653" spans="8:8" x14ac:dyDescent="0.15">
      <c r="H653" s="22"/>
    </row>
    <row r="654" spans="8:8" x14ac:dyDescent="0.15">
      <c r="H654" s="22"/>
    </row>
    <row r="655" spans="8:8" x14ac:dyDescent="0.15">
      <c r="H655" s="22"/>
    </row>
    <row r="656" spans="8:8" x14ac:dyDescent="0.15">
      <c r="H656" s="22"/>
    </row>
    <row r="657" spans="8:8" x14ac:dyDescent="0.15">
      <c r="H657" s="22"/>
    </row>
    <row r="658" spans="8:8" x14ac:dyDescent="0.15">
      <c r="H658" s="22"/>
    </row>
    <row r="659" spans="8:8" x14ac:dyDescent="0.15">
      <c r="H659" s="22"/>
    </row>
    <row r="660" spans="8:8" x14ac:dyDescent="0.15">
      <c r="H660" s="22"/>
    </row>
    <row r="661" spans="8:8" x14ac:dyDescent="0.15">
      <c r="H661" s="22"/>
    </row>
    <row r="662" spans="8:8" x14ac:dyDescent="0.15">
      <c r="H662" s="22"/>
    </row>
    <row r="663" spans="8:8" x14ac:dyDescent="0.15">
      <c r="H663" s="22"/>
    </row>
    <row r="664" spans="8:8" x14ac:dyDescent="0.15">
      <c r="H664" s="22"/>
    </row>
    <row r="665" spans="8:8" x14ac:dyDescent="0.15">
      <c r="H665" s="22"/>
    </row>
    <row r="666" spans="8:8" x14ac:dyDescent="0.15">
      <c r="H666" s="22"/>
    </row>
    <row r="667" spans="8:8" x14ac:dyDescent="0.15">
      <c r="H667" s="22"/>
    </row>
    <row r="668" spans="8:8" x14ac:dyDescent="0.15">
      <c r="H668" s="22"/>
    </row>
    <row r="669" spans="8:8" x14ac:dyDescent="0.15">
      <c r="H669" s="22"/>
    </row>
    <row r="670" spans="8:8" x14ac:dyDescent="0.15">
      <c r="H670" s="22"/>
    </row>
    <row r="671" spans="8:8" x14ac:dyDescent="0.15">
      <c r="H671" s="22"/>
    </row>
    <row r="672" spans="8:8" x14ac:dyDescent="0.15">
      <c r="H672" s="22"/>
    </row>
    <row r="673" spans="8:8" x14ac:dyDescent="0.15">
      <c r="H673" s="22"/>
    </row>
    <row r="674" spans="8:8" x14ac:dyDescent="0.15">
      <c r="H674" s="22"/>
    </row>
    <row r="675" spans="8:8" x14ac:dyDescent="0.15">
      <c r="H675" s="22"/>
    </row>
    <row r="676" spans="8:8" x14ac:dyDescent="0.15">
      <c r="H676" s="22"/>
    </row>
    <row r="677" spans="8:8" x14ac:dyDescent="0.15">
      <c r="H677" s="22"/>
    </row>
    <row r="678" spans="8:8" x14ac:dyDescent="0.15">
      <c r="H678" s="22"/>
    </row>
    <row r="679" spans="8:8" x14ac:dyDescent="0.15">
      <c r="H679" s="22"/>
    </row>
    <row r="680" spans="8:8" x14ac:dyDescent="0.15">
      <c r="H680" s="22"/>
    </row>
    <row r="681" spans="8:8" x14ac:dyDescent="0.15">
      <c r="H681" s="22"/>
    </row>
    <row r="682" spans="8:8" x14ac:dyDescent="0.15">
      <c r="H682" s="22"/>
    </row>
    <row r="683" spans="8:8" x14ac:dyDescent="0.15">
      <c r="H683" s="22"/>
    </row>
    <row r="684" spans="8:8" x14ac:dyDescent="0.15">
      <c r="H684" s="22"/>
    </row>
    <row r="685" spans="8:8" x14ac:dyDescent="0.15">
      <c r="H685" s="22"/>
    </row>
    <row r="686" spans="8:8" x14ac:dyDescent="0.15">
      <c r="H686" s="22"/>
    </row>
    <row r="687" spans="8:8" x14ac:dyDescent="0.15">
      <c r="H687" s="22"/>
    </row>
    <row r="688" spans="8:8" x14ac:dyDescent="0.15">
      <c r="H688" s="22"/>
    </row>
    <row r="689" spans="8:8" x14ac:dyDescent="0.15">
      <c r="H689" s="22"/>
    </row>
    <row r="690" spans="8:8" x14ac:dyDescent="0.15">
      <c r="H690" s="22"/>
    </row>
    <row r="691" spans="8:8" x14ac:dyDescent="0.15">
      <c r="H691" s="22"/>
    </row>
    <row r="692" spans="8:8" x14ac:dyDescent="0.15">
      <c r="H692" s="22"/>
    </row>
    <row r="693" spans="8:8" x14ac:dyDescent="0.15">
      <c r="H693" s="22"/>
    </row>
    <row r="694" spans="8:8" x14ac:dyDescent="0.15">
      <c r="H694" s="22"/>
    </row>
    <row r="695" spans="8:8" x14ac:dyDescent="0.15">
      <c r="H695" s="22"/>
    </row>
    <row r="696" spans="8:8" x14ac:dyDescent="0.15">
      <c r="H696" s="22"/>
    </row>
    <row r="697" spans="8:8" x14ac:dyDescent="0.15">
      <c r="H697" s="22"/>
    </row>
    <row r="698" spans="8:8" x14ac:dyDescent="0.15">
      <c r="H698" s="22"/>
    </row>
    <row r="699" spans="8:8" x14ac:dyDescent="0.15">
      <c r="H699" s="22"/>
    </row>
    <row r="700" spans="8:8" x14ac:dyDescent="0.15">
      <c r="H700" s="22"/>
    </row>
    <row r="701" spans="8:8" x14ac:dyDescent="0.15">
      <c r="H701" s="22"/>
    </row>
    <row r="702" spans="8:8" x14ac:dyDescent="0.15">
      <c r="H702" s="22"/>
    </row>
    <row r="703" spans="8:8" x14ac:dyDescent="0.15">
      <c r="H703" s="22"/>
    </row>
    <row r="704" spans="8:8" x14ac:dyDescent="0.15">
      <c r="H704" s="22"/>
    </row>
    <row r="705" spans="8:8" x14ac:dyDescent="0.15">
      <c r="H705" s="22"/>
    </row>
    <row r="706" spans="8:8" x14ac:dyDescent="0.15">
      <c r="H706" s="22"/>
    </row>
    <row r="707" spans="8:8" x14ac:dyDescent="0.15">
      <c r="H707" s="22"/>
    </row>
    <row r="708" spans="8:8" x14ac:dyDescent="0.15">
      <c r="H708" s="22"/>
    </row>
    <row r="709" spans="8:8" x14ac:dyDescent="0.15">
      <c r="H709" s="22"/>
    </row>
    <row r="710" spans="8:8" x14ac:dyDescent="0.15">
      <c r="H710" s="22"/>
    </row>
    <row r="711" spans="8:8" x14ac:dyDescent="0.15">
      <c r="H711" s="22"/>
    </row>
    <row r="712" spans="8:8" x14ac:dyDescent="0.15">
      <c r="H712" s="22"/>
    </row>
    <row r="713" spans="8:8" x14ac:dyDescent="0.15">
      <c r="H713" s="22"/>
    </row>
    <row r="714" spans="8:8" x14ac:dyDescent="0.15">
      <c r="H714" s="22"/>
    </row>
    <row r="715" spans="8:8" x14ac:dyDescent="0.15">
      <c r="H715" s="22"/>
    </row>
    <row r="716" spans="8:8" x14ac:dyDescent="0.15">
      <c r="H716" s="22"/>
    </row>
    <row r="717" spans="8:8" x14ac:dyDescent="0.15">
      <c r="H717" s="22"/>
    </row>
    <row r="718" spans="8:8" x14ac:dyDescent="0.15">
      <c r="H718" s="22"/>
    </row>
    <row r="719" spans="8:8" x14ac:dyDescent="0.15">
      <c r="H719" s="22"/>
    </row>
    <row r="720" spans="8:8" x14ac:dyDescent="0.15">
      <c r="H720" s="22"/>
    </row>
    <row r="721" spans="8:8" x14ac:dyDescent="0.15">
      <c r="H721" s="22"/>
    </row>
    <row r="722" spans="8:8" x14ac:dyDescent="0.15">
      <c r="H722" s="22"/>
    </row>
    <row r="723" spans="8:8" x14ac:dyDescent="0.15">
      <c r="H723" s="22"/>
    </row>
    <row r="724" spans="8:8" x14ac:dyDescent="0.15">
      <c r="H724" s="22"/>
    </row>
    <row r="725" spans="8:8" x14ac:dyDescent="0.15">
      <c r="H725" s="22"/>
    </row>
    <row r="726" spans="8:8" x14ac:dyDescent="0.15">
      <c r="H726" s="22"/>
    </row>
    <row r="727" spans="8:8" x14ac:dyDescent="0.15">
      <c r="H727" s="22"/>
    </row>
    <row r="728" spans="8:8" x14ac:dyDescent="0.15">
      <c r="H728" s="22"/>
    </row>
    <row r="729" spans="8:8" x14ac:dyDescent="0.15">
      <c r="H729" s="22"/>
    </row>
    <row r="730" spans="8:8" x14ac:dyDescent="0.15">
      <c r="H730" s="22"/>
    </row>
    <row r="731" spans="8:8" x14ac:dyDescent="0.15">
      <c r="H731" s="22"/>
    </row>
    <row r="732" spans="8:8" x14ac:dyDescent="0.15">
      <c r="H732" s="22"/>
    </row>
    <row r="733" spans="8:8" x14ac:dyDescent="0.15">
      <c r="H733" s="22"/>
    </row>
    <row r="734" spans="8:8" x14ac:dyDescent="0.15">
      <c r="H734" s="22"/>
    </row>
    <row r="735" spans="8:8" x14ac:dyDescent="0.15">
      <c r="H735" s="22"/>
    </row>
    <row r="736" spans="8:8" x14ac:dyDescent="0.15">
      <c r="H736" s="22"/>
    </row>
    <row r="737" spans="8:8" x14ac:dyDescent="0.15">
      <c r="H737" s="22"/>
    </row>
    <row r="738" spans="8:8" x14ac:dyDescent="0.15">
      <c r="H738" s="22"/>
    </row>
    <row r="739" spans="8:8" x14ac:dyDescent="0.15">
      <c r="H739" s="22"/>
    </row>
    <row r="740" spans="8:8" x14ac:dyDescent="0.15">
      <c r="H740" s="22"/>
    </row>
    <row r="741" spans="8:8" x14ac:dyDescent="0.15">
      <c r="H741" s="22"/>
    </row>
    <row r="742" spans="8:8" x14ac:dyDescent="0.15">
      <c r="H742" s="22"/>
    </row>
    <row r="743" spans="8:8" x14ac:dyDescent="0.15">
      <c r="H743" s="22"/>
    </row>
    <row r="744" spans="8:8" x14ac:dyDescent="0.15">
      <c r="H744" s="22"/>
    </row>
    <row r="745" spans="8:8" x14ac:dyDescent="0.15">
      <c r="H745" s="22"/>
    </row>
    <row r="746" spans="8:8" x14ac:dyDescent="0.15">
      <c r="H746" s="22"/>
    </row>
    <row r="747" spans="8:8" x14ac:dyDescent="0.15">
      <c r="H747" s="22"/>
    </row>
    <row r="748" spans="8:8" x14ac:dyDescent="0.15">
      <c r="H748" s="22"/>
    </row>
    <row r="749" spans="8:8" x14ac:dyDescent="0.15">
      <c r="H749" s="22"/>
    </row>
    <row r="750" spans="8:8" x14ac:dyDescent="0.15">
      <c r="H750" s="22"/>
    </row>
    <row r="751" spans="8:8" x14ac:dyDescent="0.15">
      <c r="H751" s="22"/>
    </row>
    <row r="752" spans="8:8" x14ac:dyDescent="0.15">
      <c r="H752" s="22"/>
    </row>
    <row r="753" spans="8:8" x14ac:dyDescent="0.15">
      <c r="H753" s="22"/>
    </row>
    <row r="754" spans="8:8" x14ac:dyDescent="0.15">
      <c r="H754" s="22"/>
    </row>
    <row r="755" spans="8:8" x14ac:dyDescent="0.15">
      <c r="H755" s="22"/>
    </row>
    <row r="756" spans="8:8" x14ac:dyDescent="0.15">
      <c r="H756" s="22"/>
    </row>
    <row r="757" spans="8:8" x14ac:dyDescent="0.15">
      <c r="H757" s="22"/>
    </row>
    <row r="758" spans="8:8" x14ac:dyDescent="0.15">
      <c r="H758" s="22"/>
    </row>
    <row r="759" spans="8:8" x14ac:dyDescent="0.15">
      <c r="H759" s="22"/>
    </row>
    <row r="760" spans="8:8" x14ac:dyDescent="0.15">
      <c r="H760" s="22"/>
    </row>
    <row r="761" spans="8:8" x14ac:dyDescent="0.15">
      <c r="H761" s="22"/>
    </row>
    <row r="762" spans="8:8" x14ac:dyDescent="0.15">
      <c r="H762" s="22"/>
    </row>
    <row r="763" spans="8:8" x14ac:dyDescent="0.15">
      <c r="H763" s="22"/>
    </row>
    <row r="764" spans="8:8" x14ac:dyDescent="0.15">
      <c r="H764" s="22"/>
    </row>
    <row r="765" spans="8:8" x14ac:dyDescent="0.15">
      <c r="H765" s="22"/>
    </row>
    <row r="766" spans="8:8" x14ac:dyDescent="0.15">
      <c r="H766" s="22"/>
    </row>
    <row r="767" spans="8:8" x14ac:dyDescent="0.15">
      <c r="H767" s="22"/>
    </row>
    <row r="768" spans="8:8" x14ac:dyDescent="0.15">
      <c r="H768" s="22"/>
    </row>
    <row r="769" spans="8:8" x14ac:dyDescent="0.15">
      <c r="H769" s="22"/>
    </row>
    <row r="770" spans="8:8" x14ac:dyDescent="0.15">
      <c r="H770" s="22"/>
    </row>
    <row r="771" spans="8:8" x14ac:dyDescent="0.15">
      <c r="H771" s="22"/>
    </row>
    <row r="772" spans="8:8" x14ac:dyDescent="0.15">
      <c r="H772" s="22"/>
    </row>
    <row r="773" spans="8:8" x14ac:dyDescent="0.15">
      <c r="H773" s="22"/>
    </row>
    <row r="774" spans="8:8" x14ac:dyDescent="0.15">
      <c r="H774" s="22"/>
    </row>
    <row r="775" spans="8:8" x14ac:dyDescent="0.15">
      <c r="H775" s="22"/>
    </row>
    <row r="776" spans="8:8" x14ac:dyDescent="0.15">
      <c r="H776" s="22"/>
    </row>
    <row r="777" spans="8:8" x14ac:dyDescent="0.15">
      <c r="H777" s="22"/>
    </row>
    <row r="778" spans="8:8" x14ac:dyDescent="0.15">
      <c r="H778" s="22"/>
    </row>
    <row r="779" spans="8:8" x14ac:dyDescent="0.15">
      <c r="H779" s="22"/>
    </row>
    <row r="780" spans="8:8" x14ac:dyDescent="0.15">
      <c r="H780" s="22"/>
    </row>
    <row r="781" spans="8:8" x14ac:dyDescent="0.15">
      <c r="H781" s="22"/>
    </row>
    <row r="782" spans="8:8" x14ac:dyDescent="0.15">
      <c r="H782" s="22"/>
    </row>
    <row r="783" spans="8:8" x14ac:dyDescent="0.15">
      <c r="H783" s="22"/>
    </row>
    <row r="784" spans="8:8" x14ac:dyDescent="0.15">
      <c r="H784" s="22"/>
    </row>
    <row r="785" spans="8:8" x14ac:dyDescent="0.15">
      <c r="H785" s="22"/>
    </row>
    <row r="786" spans="8:8" x14ac:dyDescent="0.15">
      <c r="H786" s="22"/>
    </row>
    <row r="787" spans="8:8" x14ac:dyDescent="0.15">
      <c r="H787" s="22"/>
    </row>
    <row r="788" spans="8:8" x14ac:dyDescent="0.15">
      <c r="H788" s="22"/>
    </row>
    <row r="789" spans="8:8" x14ac:dyDescent="0.15">
      <c r="H789" s="22"/>
    </row>
    <row r="790" spans="8:8" x14ac:dyDescent="0.15">
      <c r="H790" s="22"/>
    </row>
    <row r="791" spans="8:8" x14ac:dyDescent="0.15">
      <c r="H791" s="22"/>
    </row>
    <row r="792" spans="8:8" x14ac:dyDescent="0.15">
      <c r="H792" s="22"/>
    </row>
    <row r="793" spans="8:8" x14ac:dyDescent="0.15">
      <c r="H793" s="22"/>
    </row>
    <row r="794" spans="8:8" x14ac:dyDescent="0.15">
      <c r="H794" s="22"/>
    </row>
    <row r="795" spans="8:8" x14ac:dyDescent="0.15">
      <c r="H795" s="22"/>
    </row>
    <row r="796" spans="8:8" x14ac:dyDescent="0.15">
      <c r="H796" s="22"/>
    </row>
    <row r="797" spans="8:8" x14ac:dyDescent="0.15">
      <c r="H797" s="22"/>
    </row>
    <row r="798" spans="8:8" x14ac:dyDescent="0.15">
      <c r="H798" s="22"/>
    </row>
    <row r="799" spans="8:8" x14ac:dyDescent="0.15">
      <c r="H799" s="22"/>
    </row>
    <row r="800" spans="8:8" x14ac:dyDescent="0.15">
      <c r="H800" s="22"/>
    </row>
    <row r="801" spans="8:8" x14ac:dyDescent="0.15">
      <c r="H801" s="22"/>
    </row>
    <row r="802" spans="8:8" x14ac:dyDescent="0.15">
      <c r="H802" s="22"/>
    </row>
    <row r="803" spans="8:8" x14ac:dyDescent="0.15">
      <c r="H803" s="22"/>
    </row>
    <row r="804" spans="8:8" x14ac:dyDescent="0.15">
      <c r="H804" s="22"/>
    </row>
    <row r="805" spans="8:8" x14ac:dyDescent="0.15">
      <c r="H805" s="22"/>
    </row>
    <row r="806" spans="8:8" x14ac:dyDescent="0.15">
      <c r="H806" s="22"/>
    </row>
    <row r="807" spans="8:8" x14ac:dyDescent="0.15">
      <c r="H807" s="22"/>
    </row>
    <row r="808" spans="8:8" x14ac:dyDescent="0.15">
      <c r="H808" s="22"/>
    </row>
    <row r="809" spans="8:8" x14ac:dyDescent="0.15">
      <c r="H809" s="22"/>
    </row>
    <row r="810" spans="8:8" x14ac:dyDescent="0.15">
      <c r="H810" s="22"/>
    </row>
    <row r="811" spans="8:8" x14ac:dyDescent="0.15">
      <c r="H811" s="22"/>
    </row>
    <row r="812" spans="8:8" x14ac:dyDescent="0.15">
      <c r="H812" s="22"/>
    </row>
    <row r="813" spans="8:8" x14ac:dyDescent="0.15">
      <c r="H813" s="22"/>
    </row>
    <row r="814" spans="8:8" x14ac:dyDescent="0.15">
      <c r="H814" s="22"/>
    </row>
    <row r="815" spans="8:8" x14ac:dyDescent="0.15">
      <c r="H815" s="22"/>
    </row>
    <row r="816" spans="8:8" x14ac:dyDescent="0.15">
      <c r="H816" s="22"/>
    </row>
    <row r="817" spans="8:8" x14ac:dyDescent="0.15">
      <c r="H817" s="22"/>
    </row>
    <row r="818" spans="8:8" x14ac:dyDescent="0.15">
      <c r="H818" s="22"/>
    </row>
    <row r="819" spans="8:8" x14ac:dyDescent="0.15">
      <c r="H819" s="22"/>
    </row>
    <row r="820" spans="8:8" x14ac:dyDescent="0.15">
      <c r="H820" s="22"/>
    </row>
    <row r="821" spans="8:8" x14ac:dyDescent="0.15">
      <c r="H821" s="22"/>
    </row>
    <row r="822" spans="8:8" x14ac:dyDescent="0.15">
      <c r="H822" s="22"/>
    </row>
    <row r="823" spans="8:8" x14ac:dyDescent="0.15">
      <c r="H823" s="22"/>
    </row>
    <row r="824" spans="8:8" x14ac:dyDescent="0.15">
      <c r="H824" s="22"/>
    </row>
    <row r="825" spans="8:8" x14ac:dyDescent="0.15">
      <c r="H825" s="22"/>
    </row>
    <row r="826" spans="8:8" x14ac:dyDescent="0.15">
      <c r="H826" s="22"/>
    </row>
    <row r="827" spans="8:8" x14ac:dyDescent="0.15">
      <c r="H827" s="22"/>
    </row>
    <row r="828" spans="8:8" x14ac:dyDescent="0.15">
      <c r="H828" s="22"/>
    </row>
    <row r="829" spans="8:8" x14ac:dyDescent="0.15">
      <c r="H829" s="22"/>
    </row>
    <row r="830" spans="8:8" x14ac:dyDescent="0.15">
      <c r="H830" s="22"/>
    </row>
    <row r="831" spans="8:8" x14ac:dyDescent="0.15">
      <c r="H831" s="22"/>
    </row>
    <row r="832" spans="8:8" x14ac:dyDescent="0.15">
      <c r="H832" s="22"/>
    </row>
    <row r="833" spans="8:8" x14ac:dyDescent="0.15">
      <c r="H833" s="22"/>
    </row>
    <row r="834" spans="8:8" x14ac:dyDescent="0.15">
      <c r="H834" s="22"/>
    </row>
    <row r="835" spans="8:8" x14ac:dyDescent="0.15">
      <c r="H835" s="22"/>
    </row>
    <row r="836" spans="8:8" x14ac:dyDescent="0.15">
      <c r="H836" s="22"/>
    </row>
    <row r="837" spans="8:8" x14ac:dyDescent="0.15">
      <c r="H837" s="22"/>
    </row>
    <row r="838" spans="8:8" x14ac:dyDescent="0.15">
      <c r="H838" s="22"/>
    </row>
    <row r="839" spans="8:8" x14ac:dyDescent="0.15">
      <c r="H839" s="22"/>
    </row>
    <row r="840" spans="8:8" x14ac:dyDescent="0.15">
      <c r="H840" s="22"/>
    </row>
    <row r="841" spans="8:8" x14ac:dyDescent="0.15">
      <c r="H841" s="22"/>
    </row>
    <row r="842" spans="8:8" x14ac:dyDescent="0.15">
      <c r="H842" s="22"/>
    </row>
    <row r="843" spans="8:8" x14ac:dyDescent="0.15">
      <c r="H843" s="22"/>
    </row>
    <row r="844" spans="8:8" x14ac:dyDescent="0.15">
      <c r="H844" s="22"/>
    </row>
    <row r="845" spans="8:8" x14ac:dyDescent="0.15">
      <c r="H845" s="22"/>
    </row>
    <row r="846" spans="8:8" x14ac:dyDescent="0.15">
      <c r="H846" s="22"/>
    </row>
    <row r="847" spans="8:8" x14ac:dyDescent="0.15">
      <c r="H847" s="22"/>
    </row>
    <row r="848" spans="8:8" x14ac:dyDescent="0.15">
      <c r="H848" s="22"/>
    </row>
    <row r="849" spans="8:8" x14ac:dyDescent="0.15">
      <c r="H849" s="22"/>
    </row>
    <row r="850" spans="8:8" x14ac:dyDescent="0.15">
      <c r="H850" s="22"/>
    </row>
    <row r="851" spans="8:8" x14ac:dyDescent="0.15">
      <c r="H851" s="22"/>
    </row>
    <row r="852" spans="8:8" x14ac:dyDescent="0.15">
      <c r="H852" s="22"/>
    </row>
    <row r="853" spans="8:8" x14ac:dyDescent="0.15">
      <c r="H853" s="22"/>
    </row>
    <row r="854" spans="8:8" x14ac:dyDescent="0.15">
      <c r="H854" s="22"/>
    </row>
    <row r="855" spans="8:8" x14ac:dyDescent="0.15">
      <c r="H855" s="22"/>
    </row>
    <row r="856" spans="8:8" x14ac:dyDescent="0.15">
      <c r="H856" s="22"/>
    </row>
    <row r="857" spans="8:8" x14ac:dyDescent="0.15">
      <c r="H857" s="22"/>
    </row>
    <row r="858" spans="8:8" x14ac:dyDescent="0.15">
      <c r="H858" s="22"/>
    </row>
    <row r="859" spans="8:8" x14ac:dyDescent="0.15">
      <c r="H859" s="22"/>
    </row>
    <row r="860" spans="8:8" x14ac:dyDescent="0.15">
      <c r="H860" s="22"/>
    </row>
    <row r="861" spans="8:8" x14ac:dyDescent="0.15">
      <c r="H861" s="22"/>
    </row>
    <row r="862" spans="8:8" x14ac:dyDescent="0.15">
      <c r="H862" s="22"/>
    </row>
    <row r="863" spans="8:8" x14ac:dyDescent="0.15">
      <c r="H863" s="22"/>
    </row>
    <row r="864" spans="8:8" x14ac:dyDescent="0.15">
      <c r="H864" s="22"/>
    </row>
    <row r="865" spans="8:8" x14ac:dyDescent="0.15">
      <c r="H865" s="22"/>
    </row>
    <row r="866" spans="8:8" x14ac:dyDescent="0.15">
      <c r="H866" s="22"/>
    </row>
    <row r="867" spans="8:8" x14ac:dyDescent="0.15">
      <c r="H867" s="22"/>
    </row>
    <row r="868" spans="8:8" x14ac:dyDescent="0.15">
      <c r="H868" s="22"/>
    </row>
    <row r="869" spans="8:8" x14ac:dyDescent="0.15">
      <c r="H869" s="22"/>
    </row>
    <row r="870" spans="8:8" x14ac:dyDescent="0.15">
      <c r="H870" s="22"/>
    </row>
    <row r="871" spans="8:8" x14ac:dyDescent="0.15">
      <c r="H871" s="22"/>
    </row>
    <row r="872" spans="8:8" x14ac:dyDescent="0.15">
      <c r="H872" s="22"/>
    </row>
    <row r="873" spans="8:8" x14ac:dyDescent="0.15">
      <c r="H873" s="22"/>
    </row>
    <row r="874" spans="8:8" x14ac:dyDescent="0.15">
      <c r="H874" s="22"/>
    </row>
    <row r="875" spans="8:8" x14ac:dyDescent="0.15">
      <c r="H875" s="22"/>
    </row>
    <row r="876" spans="8:8" x14ac:dyDescent="0.15">
      <c r="H876" s="22"/>
    </row>
    <row r="877" spans="8:8" x14ac:dyDescent="0.15">
      <c r="H877" s="22"/>
    </row>
    <row r="878" spans="8:8" x14ac:dyDescent="0.15">
      <c r="H878" s="22"/>
    </row>
    <row r="879" spans="8:8" x14ac:dyDescent="0.15">
      <c r="H879" s="22"/>
    </row>
    <row r="880" spans="8:8" x14ac:dyDescent="0.15">
      <c r="H880" s="22"/>
    </row>
    <row r="881" spans="8:8" x14ac:dyDescent="0.15">
      <c r="H881" s="22"/>
    </row>
    <row r="882" spans="8:8" x14ac:dyDescent="0.15">
      <c r="H882" s="22"/>
    </row>
    <row r="883" spans="8:8" x14ac:dyDescent="0.15">
      <c r="H883" s="22"/>
    </row>
    <row r="884" spans="8:8" x14ac:dyDescent="0.15">
      <c r="H884" s="22"/>
    </row>
    <row r="885" spans="8:8" x14ac:dyDescent="0.15">
      <c r="H885" s="22"/>
    </row>
    <row r="886" spans="8:8" x14ac:dyDescent="0.15">
      <c r="H886" s="22"/>
    </row>
    <row r="887" spans="8:8" x14ac:dyDescent="0.15">
      <c r="H887" s="22"/>
    </row>
    <row r="888" spans="8:8" x14ac:dyDescent="0.15">
      <c r="H888" s="22"/>
    </row>
    <row r="889" spans="8:8" x14ac:dyDescent="0.15">
      <c r="H889" s="22"/>
    </row>
    <row r="890" spans="8:8" x14ac:dyDescent="0.15">
      <c r="H890" s="22"/>
    </row>
    <row r="891" spans="8:8" x14ac:dyDescent="0.15">
      <c r="H891" s="22"/>
    </row>
    <row r="892" spans="8:8" x14ac:dyDescent="0.15">
      <c r="H892" s="22"/>
    </row>
    <row r="893" spans="8:8" x14ac:dyDescent="0.15">
      <c r="H893" s="22"/>
    </row>
    <row r="894" spans="8:8" x14ac:dyDescent="0.15">
      <c r="H894" s="22"/>
    </row>
    <row r="895" spans="8:8" x14ac:dyDescent="0.15">
      <c r="H895" s="22"/>
    </row>
    <row r="896" spans="8:8" x14ac:dyDescent="0.15">
      <c r="H896" s="22"/>
    </row>
    <row r="897" spans="8:8" x14ac:dyDescent="0.15">
      <c r="H897" s="22"/>
    </row>
    <row r="898" spans="8:8" x14ac:dyDescent="0.15">
      <c r="H898" s="22"/>
    </row>
    <row r="899" spans="8:8" x14ac:dyDescent="0.15">
      <c r="H899" s="22"/>
    </row>
    <row r="900" spans="8:8" x14ac:dyDescent="0.15">
      <c r="H900" s="22"/>
    </row>
    <row r="901" spans="8:8" x14ac:dyDescent="0.15">
      <c r="H901" s="22"/>
    </row>
    <row r="902" spans="8:8" x14ac:dyDescent="0.15">
      <c r="H902" s="22"/>
    </row>
    <row r="903" spans="8:8" x14ac:dyDescent="0.15">
      <c r="H903" s="22"/>
    </row>
    <row r="904" spans="8:8" x14ac:dyDescent="0.15">
      <c r="H904" s="22"/>
    </row>
    <row r="905" spans="8:8" x14ac:dyDescent="0.15">
      <c r="H905" s="22"/>
    </row>
    <row r="906" spans="8:8" x14ac:dyDescent="0.15">
      <c r="H906" s="22"/>
    </row>
    <row r="907" spans="8:8" x14ac:dyDescent="0.15">
      <c r="H907" s="22"/>
    </row>
    <row r="908" spans="8:8" x14ac:dyDescent="0.15">
      <c r="H908" s="22"/>
    </row>
    <row r="909" spans="8:8" x14ac:dyDescent="0.15">
      <c r="H909" s="22"/>
    </row>
    <row r="910" spans="8:8" x14ac:dyDescent="0.15">
      <c r="H910" s="22"/>
    </row>
    <row r="911" spans="8:8" x14ac:dyDescent="0.15">
      <c r="H911" s="22"/>
    </row>
    <row r="912" spans="8:8" x14ac:dyDescent="0.15">
      <c r="H912" s="22"/>
    </row>
    <row r="913" spans="8:8" x14ac:dyDescent="0.15">
      <c r="H913" s="22"/>
    </row>
    <row r="914" spans="8:8" x14ac:dyDescent="0.15">
      <c r="H914" s="22"/>
    </row>
    <row r="915" spans="8:8" x14ac:dyDescent="0.15">
      <c r="H915" s="22"/>
    </row>
    <row r="916" spans="8:8" x14ac:dyDescent="0.15">
      <c r="H916" s="22"/>
    </row>
    <row r="917" spans="8:8" x14ac:dyDescent="0.15">
      <c r="H917" s="22"/>
    </row>
    <row r="918" spans="8:8" x14ac:dyDescent="0.15">
      <c r="H918" s="22"/>
    </row>
    <row r="919" spans="8:8" x14ac:dyDescent="0.15">
      <c r="H919" s="22"/>
    </row>
    <row r="920" spans="8:8" x14ac:dyDescent="0.15">
      <c r="H920" s="22"/>
    </row>
    <row r="921" spans="8:8" x14ac:dyDescent="0.15">
      <c r="H921" s="22"/>
    </row>
    <row r="922" spans="8:8" x14ac:dyDescent="0.15">
      <c r="H922" s="22"/>
    </row>
    <row r="923" spans="8:8" x14ac:dyDescent="0.15">
      <c r="H923" s="22"/>
    </row>
    <row r="924" spans="8:8" x14ac:dyDescent="0.15">
      <c r="H924" s="22"/>
    </row>
    <row r="925" spans="8:8" x14ac:dyDescent="0.15">
      <c r="H925" s="22"/>
    </row>
    <row r="926" spans="8:8" x14ac:dyDescent="0.15">
      <c r="H926" s="22"/>
    </row>
    <row r="927" spans="8:8" x14ac:dyDescent="0.15">
      <c r="H927" s="22"/>
    </row>
    <row r="928" spans="8:8" x14ac:dyDescent="0.15">
      <c r="H928" s="22"/>
    </row>
    <row r="929" spans="8:8" x14ac:dyDescent="0.15">
      <c r="H929" s="22"/>
    </row>
    <row r="930" spans="8:8" x14ac:dyDescent="0.15">
      <c r="H930" s="22"/>
    </row>
    <row r="931" spans="8:8" x14ac:dyDescent="0.15">
      <c r="H931" s="22"/>
    </row>
    <row r="932" spans="8:8" x14ac:dyDescent="0.15">
      <c r="H932" s="22"/>
    </row>
    <row r="933" spans="8:8" x14ac:dyDescent="0.15">
      <c r="H933" s="22"/>
    </row>
    <row r="934" spans="8:8" x14ac:dyDescent="0.15">
      <c r="H934" s="22"/>
    </row>
    <row r="935" spans="8:8" x14ac:dyDescent="0.15">
      <c r="H935" s="22"/>
    </row>
    <row r="936" spans="8:8" x14ac:dyDescent="0.15">
      <c r="H936" s="22"/>
    </row>
    <row r="937" spans="8:8" x14ac:dyDescent="0.15">
      <c r="H937" s="22"/>
    </row>
    <row r="938" spans="8:8" x14ac:dyDescent="0.15">
      <c r="H938" s="22"/>
    </row>
    <row r="939" spans="8:8" x14ac:dyDescent="0.15">
      <c r="H939" s="22"/>
    </row>
    <row r="940" spans="8:8" x14ac:dyDescent="0.15">
      <c r="H940" s="22"/>
    </row>
    <row r="941" spans="8:8" x14ac:dyDescent="0.15">
      <c r="H941" s="22"/>
    </row>
    <row r="942" spans="8:8" x14ac:dyDescent="0.15">
      <c r="H942" s="22"/>
    </row>
    <row r="943" spans="8:8" x14ac:dyDescent="0.15">
      <c r="H943" s="22"/>
    </row>
    <row r="944" spans="8:8" x14ac:dyDescent="0.15">
      <c r="H944" s="22"/>
    </row>
    <row r="945" spans="8:8" x14ac:dyDescent="0.15">
      <c r="H945" s="22"/>
    </row>
    <row r="946" spans="8:8" x14ac:dyDescent="0.15">
      <c r="H946" s="22"/>
    </row>
    <row r="947" spans="8:8" x14ac:dyDescent="0.15">
      <c r="H947" s="22"/>
    </row>
    <row r="948" spans="8:8" x14ac:dyDescent="0.15">
      <c r="H948" s="22"/>
    </row>
    <row r="949" spans="8:8" x14ac:dyDescent="0.15">
      <c r="H949" s="22"/>
    </row>
    <row r="950" spans="8:8" x14ac:dyDescent="0.15">
      <c r="H950" s="22"/>
    </row>
    <row r="951" spans="8:8" x14ac:dyDescent="0.15">
      <c r="H951" s="22"/>
    </row>
    <row r="952" spans="8:8" x14ac:dyDescent="0.15">
      <c r="H952" s="22"/>
    </row>
    <row r="953" spans="8:8" x14ac:dyDescent="0.15">
      <c r="H953" s="22"/>
    </row>
    <row r="954" spans="8:8" x14ac:dyDescent="0.15">
      <c r="H954" s="22"/>
    </row>
    <row r="955" spans="8:8" x14ac:dyDescent="0.15">
      <c r="H955" s="22"/>
    </row>
    <row r="956" spans="8:8" x14ac:dyDescent="0.15">
      <c r="H956" s="22"/>
    </row>
    <row r="957" spans="8:8" x14ac:dyDescent="0.15">
      <c r="H957" s="22"/>
    </row>
    <row r="958" spans="8:8" x14ac:dyDescent="0.15">
      <c r="H958" s="22"/>
    </row>
    <row r="959" spans="8:8" x14ac:dyDescent="0.15">
      <c r="H959" s="22"/>
    </row>
    <row r="960" spans="8:8" x14ac:dyDescent="0.15">
      <c r="H960" s="22"/>
    </row>
    <row r="961" spans="8:8" x14ac:dyDescent="0.15">
      <c r="H961" s="22"/>
    </row>
    <row r="962" spans="8:8" x14ac:dyDescent="0.15">
      <c r="H962" s="22"/>
    </row>
    <row r="963" spans="8:8" x14ac:dyDescent="0.15">
      <c r="H963" s="22"/>
    </row>
    <row r="964" spans="8:8" x14ac:dyDescent="0.15">
      <c r="H964" s="22"/>
    </row>
    <row r="965" spans="8:8" x14ac:dyDescent="0.15">
      <c r="H965" s="22"/>
    </row>
    <row r="966" spans="8:8" x14ac:dyDescent="0.15">
      <c r="H966" s="22"/>
    </row>
    <row r="967" spans="8:8" x14ac:dyDescent="0.15">
      <c r="H967" s="22"/>
    </row>
    <row r="968" spans="8:8" x14ac:dyDescent="0.15">
      <c r="H968" s="22"/>
    </row>
    <row r="969" spans="8:8" x14ac:dyDescent="0.15">
      <c r="H969" s="22"/>
    </row>
    <row r="970" spans="8:8" x14ac:dyDescent="0.15">
      <c r="H970" s="22"/>
    </row>
    <row r="971" spans="8:8" x14ac:dyDescent="0.15">
      <c r="H971" s="22"/>
    </row>
    <row r="972" spans="8:8" x14ac:dyDescent="0.15">
      <c r="H972" s="22"/>
    </row>
    <row r="973" spans="8:8" x14ac:dyDescent="0.15">
      <c r="H973" s="22"/>
    </row>
    <row r="974" spans="8:8" x14ac:dyDescent="0.15">
      <c r="H974" s="22"/>
    </row>
    <row r="975" spans="8:8" x14ac:dyDescent="0.15">
      <c r="H975" s="22"/>
    </row>
    <row r="976" spans="8:8" x14ac:dyDescent="0.15">
      <c r="H976" s="22"/>
    </row>
    <row r="977" spans="8:8" x14ac:dyDescent="0.15">
      <c r="H977" s="22"/>
    </row>
    <row r="978" spans="8:8" x14ac:dyDescent="0.15">
      <c r="H978" s="22"/>
    </row>
    <row r="979" spans="8:8" x14ac:dyDescent="0.15">
      <c r="H979" s="22"/>
    </row>
    <row r="980" spans="8:8" x14ac:dyDescent="0.15">
      <c r="H980" s="22"/>
    </row>
    <row r="981" spans="8:8" x14ac:dyDescent="0.15">
      <c r="H981" s="22"/>
    </row>
    <row r="982" spans="8:8" x14ac:dyDescent="0.15">
      <c r="H982" s="22"/>
    </row>
    <row r="983" spans="8:8" x14ac:dyDescent="0.15">
      <c r="H983" s="22"/>
    </row>
    <row r="984" spans="8:8" x14ac:dyDescent="0.15">
      <c r="H984" s="22"/>
    </row>
    <row r="985" spans="8:8" x14ac:dyDescent="0.15">
      <c r="H985" s="22"/>
    </row>
    <row r="986" spans="8:8" x14ac:dyDescent="0.15">
      <c r="H986" s="22"/>
    </row>
    <row r="987" spans="8:8" x14ac:dyDescent="0.15">
      <c r="H987" s="22"/>
    </row>
    <row r="988" spans="8:8" x14ac:dyDescent="0.15">
      <c r="H988" s="22"/>
    </row>
    <row r="989" spans="8:8" x14ac:dyDescent="0.15">
      <c r="H989" s="22"/>
    </row>
    <row r="990" spans="8:8" x14ac:dyDescent="0.15">
      <c r="H990" s="22"/>
    </row>
    <row r="991" spans="8:8" x14ac:dyDescent="0.15">
      <c r="H991" s="22"/>
    </row>
    <row r="992" spans="8:8" x14ac:dyDescent="0.15">
      <c r="H992" s="22"/>
    </row>
    <row r="993" spans="8:8" x14ac:dyDescent="0.15">
      <c r="H993" s="22"/>
    </row>
    <row r="994" spans="8:8" x14ac:dyDescent="0.15">
      <c r="H994" s="22"/>
    </row>
    <row r="995" spans="8:8" x14ac:dyDescent="0.15">
      <c r="H995" s="22"/>
    </row>
    <row r="996" spans="8:8" x14ac:dyDescent="0.15">
      <c r="H996" s="22"/>
    </row>
    <row r="997" spans="8:8" x14ac:dyDescent="0.15">
      <c r="H997" s="22"/>
    </row>
    <row r="998" spans="8:8" x14ac:dyDescent="0.15">
      <c r="H998" s="22"/>
    </row>
    <row r="999" spans="8:8" x14ac:dyDescent="0.15">
      <c r="H999" s="22"/>
    </row>
    <row r="1000" spans="8:8" x14ac:dyDescent="0.15">
      <c r="H1000" s="22"/>
    </row>
    <row r="1001" spans="8:8" x14ac:dyDescent="0.15">
      <c r="H1001" s="22"/>
    </row>
    <row r="1002" spans="8:8" x14ac:dyDescent="0.15">
      <c r="H1002" s="22"/>
    </row>
    <row r="1003" spans="8:8" x14ac:dyDescent="0.15">
      <c r="H1003" s="22"/>
    </row>
    <row r="1004" spans="8:8" x14ac:dyDescent="0.15">
      <c r="H1004" s="22"/>
    </row>
    <row r="1005" spans="8:8" x14ac:dyDescent="0.15">
      <c r="H1005" s="22"/>
    </row>
    <row r="1006" spans="8:8" x14ac:dyDescent="0.15">
      <c r="H1006" s="22"/>
    </row>
    <row r="1007" spans="8:8" x14ac:dyDescent="0.15">
      <c r="H1007" s="22"/>
    </row>
    <row r="1008" spans="8:8" x14ac:dyDescent="0.15">
      <c r="H1008" s="22"/>
    </row>
    <row r="1009" spans="8:8" x14ac:dyDescent="0.15">
      <c r="H1009" s="22"/>
    </row>
    <row r="1010" spans="8:8" x14ac:dyDescent="0.15">
      <c r="H1010" s="22"/>
    </row>
    <row r="1011" spans="8:8" x14ac:dyDescent="0.15">
      <c r="H1011" s="22"/>
    </row>
    <row r="1012" spans="8:8" x14ac:dyDescent="0.15">
      <c r="H1012" s="22"/>
    </row>
    <row r="1013" spans="8:8" x14ac:dyDescent="0.15">
      <c r="H1013" s="22"/>
    </row>
    <row r="1014" spans="8:8" x14ac:dyDescent="0.15">
      <c r="H1014" s="22"/>
    </row>
    <row r="1015" spans="8:8" x14ac:dyDescent="0.15">
      <c r="H1015" s="22"/>
    </row>
    <row r="1016" spans="8:8" x14ac:dyDescent="0.15">
      <c r="H1016" s="22"/>
    </row>
    <row r="1017" spans="8:8" x14ac:dyDescent="0.15">
      <c r="H1017" s="22"/>
    </row>
    <row r="1018" spans="8:8" x14ac:dyDescent="0.15">
      <c r="H1018" s="22"/>
    </row>
    <row r="1019" spans="8:8" x14ac:dyDescent="0.15">
      <c r="H1019" s="22"/>
    </row>
    <row r="1020" spans="8:8" x14ac:dyDescent="0.15">
      <c r="H1020" s="22"/>
    </row>
    <row r="1021" spans="8:8" x14ac:dyDescent="0.15">
      <c r="H1021" s="22"/>
    </row>
    <row r="1022" spans="8:8" x14ac:dyDescent="0.15">
      <c r="H1022" s="22"/>
    </row>
    <row r="1023" spans="8:8" x14ac:dyDescent="0.15">
      <c r="H1023" s="22"/>
    </row>
    <row r="1024" spans="8:8" x14ac:dyDescent="0.15">
      <c r="H1024" s="22"/>
    </row>
    <row r="1025" spans="8:8" x14ac:dyDescent="0.15">
      <c r="H1025" s="22"/>
    </row>
    <row r="1026" spans="8:8" x14ac:dyDescent="0.15">
      <c r="H1026" s="22"/>
    </row>
    <row r="1027" spans="8:8" x14ac:dyDescent="0.15">
      <c r="H1027" s="22"/>
    </row>
    <row r="1028" spans="8:8" x14ac:dyDescent="0.15">
      <c r="H1028" s="22"/>
    </row>
    <row r="1029" spans="8:8" x14ac:dyDescent="0.15">
      <c r="H1029" s="22"/>
    </row>
    <row r="1030" spans="8:8" x14ac:dyDescent="0.15">
      <c r="H1030" s="22"/>
    </row>
    <row r="1031" spans="8:8" x14ac:dyDescent="0.15">
      <c r="H1031" s="22"/>
    </row>
    <row r="1032" spans="8:8" x14ac:dyDescent="0.15">
      <c r="H1032" s="22"/>
    </row>
    <row r="1033" spans="8:8" x14ac:dyDescent="0.15">
      <c r="H1033" s="22"/>
    </row>
    <row r="1034" spans="8:8" x14ac:dyDescent="0.15">
      <c r="H1034" s="22"/>
    </row>
    <row r="1035" spans="8:8" x14ac:dyDescent="0.15">
      <c r="H1035" s="22"/>
    </row>
    <row r="1036" spans="8:8" x14ac:dyDescent="0.15">
      <c r="H1036" s="22"/>
    </row>
    <row r="1037" spans="8:8" x14ac:dyDescent="0.15">
      <c r="H1037" s="22"/>
    </row>
    <row r="1038" spans="8:8" x14ac:dyDescent="0.15">
      <c r="H1038" s="22"/>
    </row>
    <row r="1039" spans="8:8" x14ac:dyDescent="0.15">
      <c r="H1039" s="22"/>
    </row>
    <row r="1040" spans="8:8" x14ac:dyDescent="0.15">
      <c r="H1040" s="22"/>
    </row>
    <row r="1041" spans="8:8" x14ac:dyDescent="0.15">
      <c r="H1041" s="22"/>
    </row>
    <row r="1042" spans="8:8" x14ac:dyDescent="0.15">
      <c r="H1042" s="22"/>
    </row>
    <row r="1043" spans="8:8" x14ac:dyDescent="0.15">
      <c r="H1043" s="22"/>
    </row>
    <row r="1044" spans="8:8" x14ac:dyDescent="0.15">
      <c r="H1044" s="22"/>
    </row>
    <row r="1045" spans="8:8" x14ac:dyDescent="0.15">
      <c r="H1045" s="22"/>
    </row>
    <row r="1046" spans="8:8" x14ac:dyDescent="0.15">
      <c r="H1046" s="22"/>
    </row>
    <row r="1047" spans="8:8" x14ac:dyDescent="0.15">
      <c r="H1047" s="22"/>
    </row>
    <row r="1048" spans="8:8" x14ac:dyDescent="0.15">
      <c r="H1048" s="22"/>
    </row>
    <row r="1049" spans="8:8" x14ac:dyDescent="0.15">
      <c r="H1049" s="22"/>
    </row>
    <row r="1050" spans="8:8" x14ac:dyDescent="0.15">
      <c r="H1050" s="22"/>
    </row>
    <row r="1051" spans="8:8" x14ac:dyDescent="0.15">
      <c r="H1051" s="22"/>
    </row>
    <row r="1052" spans="8:8" x14ac:dyDescent="0.15">
      <c r="H1052" s="22"/>
    </row>
    <row r="1053" spans="8:8" x14ac:dyDescent="0.15">
      <c r="H1053" s="22"/>
    </row>
    <row r="1054" spans="8:8" x14ac:dyDescent="0.15">
      <c r="H1054" s="22"/>
    </row>
    <row r="1055" spans="8:8" x14ac:dyDescent="0.15">
      <c r="H1055" s="22"/>
    </row>
    <row r="1056" spans="8:8" x14ac:dyDescent="0.15">
      <c r="H1056" s="22"/>
    </row>
    <row r="1057" spans="8:8" x14ac:dyDescent="0.15">
      <c r="H1057" s="22"/>
    </row>
    <row r="1058" spans="8:8" x14ac:dyDescent="0.15">
      <c r="H1058" s="22"/>
    </row>
    <row r="1059" spans="8:8" x14ac:dyDescent="0.15">
      <c r="H1059" s="22"/>
    </row>
    <row r="1060" spans="8:8" x14ac:dyDescent="0.15">
      <c r="H1060" s="22"/>
    </row>
    <row r="1061" spans="8:8" x14ac:dyDescent="0.15">
      <c r="H1061" s="22"/>
    </row>
    <row r="1062" spans="8:8" x14ac:dyDescent="0.15">
      <c r="H1062" s="22"/>
    </row>
    <row r="1063" spans="8:8" x14ac:dyDescent="0.15">
      <c r="H1063" s="22"/>
    </row>
    <row r="1064" spans="8:8" x14ac:dyDescent="0.15">
      <c r="H1064" s="22"/>
    </row>
    <row r="1065" spans="8:8" x14ac:dyDescent="0.15">
      <c r="H1065" s="22"/>
    </row>
    <row r="1066" spans="8:8" x14ac:dyDescent="0.15">
      <c r="H1066" s="22"/>
    </row>
    <row r="1067" spans="8:8" x14ac:dyDescent="0.15">
      <c r="H1067" s="22"/>
    </row>
    <row r="1068" spans="8:8" x14ac:dyDescent="0.15">
      <c r="H1068" s="22"/>
    </row>
    <row r="1069" spans="8:8" x14ac:dyDescent="0.15">
      <c r="H1069" s="22"/>
    </row>
    <row r="1070" spans="8:8" x14ac:dyDescent="0.15">
      <c r="H1070" s="22"/>
    </row>
    <row r="1071" spans="8:8" x14ac:dyDescent="0.15">
      <c r="H1071" s="22"/>
    </row>
    <row r="1072" spans="8:8" x14ac:dyDescent="0.15">
      <c r="H1072" s="22"/>
    </row>
    <row r="1073" spans="8:8" x14ac:dyDescent="0.15">
      <c r="H1073" s="22"/>
    </row>
    <row r="1074" spans="8:8" x14ac:dyDescent="0.15">
      <c r="H1074" s="22"/>
    </row>
    <row r="1075" spans="8:8" x14ac:dyDescent="0.15">
      <c r="H1075" s="22"/>
    </row>
    <row r="1076" spans="8:8" x14ac:dyDescent="0.15">
      <c r="H1076" s="22"/>
    </row>
    <row r="1077" spans="8:8" x14ac:dyDescent="0.15">
      <c r="H1077" s="22"/>
    </row>
    <row r="1078" spans="8:8" x14ac:dyDescent="0.15">
      <c r="H1078" s="22"/>
    </row>
    <row r="1079" spans="8:8" x14ac:dyDescent="0.15">
      <c r="H1079" s="22"/>
    </row>
    <row r="1080" spans="8:8" x14ac:dyDescent="0.15">
      <c r="H1080" s="22"/>
    </row>
    <row r="1081" spans="8:8" x14ac:dyDescent="0.15">
      <c r="H1081" s="22"/>
    </row>
    <row r="1082" spans="8:8" x14ac:dyDescent="0.15">
      <c r="H1082" s="22"/>
    </row>
    <row r="1083" spans="8:8" x14ac:dyDescent="0.15">
      <c r="H1083" s="22"/>
    </row>
    <row r="1084" spans="8:8" x14ac:dyDescent="0.15">
      <c r="H1084" s="22"/>
    </row>
    <row r="1085" spans="8:8" x14ac:dyDescent="0.15">
      <c r="H1085" s="22"/>
    </row>
    <row r="1086" spans="8:8" x14ac:dyDescent="0.15">
      <c r="H1086" s="22"/>
    </row>
    <row r="1087" spans="8:8" x14ac:dyDescent="0.15">
      <c r="H1087" s="22"/>
    </row>
    <row r="1088" spans="8:8" x14ac:dyDescent="0.15">
      <c r="H1088" s="22"/>
    </row>
    <row r="1089" spans="8:8" x14ac:dyDescent="0.15">
      <c r="H1089" s="22"/>
    </row>
    <row r="1090" spans="8:8" x14ac:dyDescent="0.15">
      <c r="H1090" s="22"/>
    </row>
    <row r="1091" spans="8:8" x14ac:dyDescent="0.15">
      <c r="H1091" s="22"/>
    </row>
    <row r="1092" spans="8:8" x14ac:dyDescent="0.15">
      <c r="H1092" s="22"/>
    </row>
    <row r="1093" spans="8:8" x14ac:dyDescent="0.15">
      <c r="H1093" s="22"/>
    </row>
    <row r="1094" spans="8:8" x14ac:dyDescent="0.15">
      <c r="H1094" s="22"/>
    </row>
    <row r="1095" spans="8:8" x14ac:dyDescent="0.15">
      <c r="H1095" s="22"/>
    </row>
    <row r="1096" spans="8:8" x14ac:dyDescent="0.15">
      <c r="H1096" s="22"/>
    </row>
    <row r="1097" spans="8:8" x14ac:dyDescent="0.15">
      <c r="H1097" s="22"/>
    </row>
    <row r="1098" spans="8:8" x14ac:dyDescent="0.15">
      <c r="H1098" s="22"/>
    </row>
    <row r="1099" spans="8:8" x14ac:dyDescent="0.15">
      <c r="H1099" s="22"/>
    </row>
    <row r="1100" spans="8:8" x14ac:dyDescent="0.15">
      <c r="H1100" s="22"/>
    </row>
    <row r="1101" spans="8:8" x14ac:dyDescent="0.15">
      <c r="H1101" s="22"/>
    </row>
    <row r="1102" spans="8:8" x14ac:dyDescent="0.15">
      <c r="H1102" s="22"/>
    </row>
    <row r="1103" spans="8:8" x14ac:dyDescent="0.15">
      <c r="H1103" s="22"/>
    </row>
    <row r="1104" spans="8:8" x14ac:dyDescent="0.15">
      <c r="H1104" s="22"/>
    </row>
    <row r="1105" spans="8:8" x14ac:dyDescent="0.15">
      <c r="H1105" s="22"/>
    </row>
    <row r="1106" spans="8:8" x14ac:dyDescent="0.15">
      <c r="H1106" s="22"/>
    </row>
    <row r="1107" spans="8:8" x14ac:dyDescent="0.15">
      <c r="H1107" s="22"/>
    </row>
    <row r="1108" spans="8:8" x14ac:dyDescent="0.15">
      <c r="H1108" s="22"/>
    </row>
    <row r="1109" spans="8:8" x14ac:dyDescent="0.15">
      <c r="H1109" s="22"/>
    </row>
    <row r="1110" spans="8:8" x14ac:dyDescent="0.15">
      <c r="H1110" s="22"/>
    </row>
    <row r="1111" spans="8:8" x14ac:dyDescent="0.15">
      <c r="H1111" s="22"/>
    </row>
    <row r="1112" spans="8:8" x14ac:dyDescent="0.15">
      <c r="H1112" s="22"/>
    </row>
    <row r="1113" spans="8:8" x14ac:dyDescent="0.15">
      <c r="H1113" s="22"/>
    </row>
    <row r="1114" spans="8:8" x14ac:dyDescent="0.15">
      <c r="H1114" s="22"/>
    </row>
    <row r="1115" spans="8:8" x14ac:dyDescent="0.15">
      <c r="H1115" s="22"/>
    </row>
    <row r="1116" spans="8:8" x14ac:dyDescent="0.15">
      <c r="H1116" s="22"/>
    </row>
    <row r="1117" spans="8:8" x14ac:dyDescent="0.15">
      <c r="H1117" s="22"/>
    </row>
    <row r="1118" spans="8:8" x14ac:dyDescent="0.15">
      <c r="H1118" s="22"/>
    </row>
    <row r="1119" spans="8:8" x14ac:dyDescent="0.15">
      <c r="H1119" s="22"/>
    </row>
    <row r="1120" spans="8:8" x14ac:dyDescent="0.15">
      <c r="H1120" s="22"/>
    </row>
    <row r="1121" spans="8:8" x14ac:dyDescent="0.15">
      <c r="H1121" s="22"/>
    </row>
    <row r="1122" spans="8:8" x14ac:dyDescent="0.15">
      <c r="H1122" s="22"/>
    </row>
    <row r="1123" spans="8:8" x14ac:dyDescent="0.15">
      <c r="H1123" s="22"/>
    </row>
    <row r="1124" spans="8:8" x14ac:dyDescent="0.15">
      <c r="H1124" s="22"/>
    </row>
    <row r="1125" spans="8:8" x14ac:dyDescent="0.15">
      <c r="H1125" s="22"/>
    </row>
    <row r="1126" spans="8:8" x14ac:dyDescent="0.15">
      <c r="H1126" s="22"/>
    </row>
    <row r="1127" spans="8:8" x14ac:dyDescent="0.15">
      <c r="H1127" s="22"/>
    </row>
    <row r="1128" spans="8:8" x14ac:dyDescent="0.15">
      <c r="H1128" s="22"/>
    </row>
    <row r="1129" spans="8:8" x14ac:dyDescent="0.15">
      <c r="H1129" s="22"/>
    </row>
    <row r="1130" spans="8:8" x14ac:dyDescent="0.15">
      <c r="H1130" s="22"/>
    </row>
    <row r="1131" spans="8:8" x14ac:dyDescent="0.15">
      <c r="H1131" s="22"/>
    </row>
    <row r="1132" spans="8:8" x14ac:dyDescent="0.15">
      <c r="H1132" s="22"/>
    </row>
    <row r="1133" spans="8:8" x14ac:dyDescent="0.15">
      <c r="H1133" s="22"/>
    </row>
    <row r="1134" spans="8:8" x14ac:dyDescent="0.15">
      <c r="H1134" s="22"/>
    </row>
    <row r="1135" spans="8:8" x14ac:dyDescent="0.15">
      <c r="H1135" s="22"/>
    </row>
    <row r="1136" spans="8:8" x14ac:dyDescent="0.15">
      <c r="H1136" s="22"/>
    </row>
    <row r="1137" spans="8:8" x14ac:dyDescent="0.15">
      <c r="H1137" s="22"/>
    </row>
    <row r="1138" spans="8:8" x14ac:dyDescent="0.15">
      <c r="H1138" s="22"/>
    </row>
    <row r="1139" spans="8:8" x14ac:dyDescent="0.15">
      <c r="H1139" s="22"/>
    </row>
    <row r="1140" spans="8:8" x14ac:dyDescent="0.15">
      <c r="H1140" s="22"/>
    </row>
    <row r="1141" spans="8:8" x14ac:dyDescent="0.15">
      <c r="H1141" s="22"/>
    </row>
    <row r="1142" spans="8:8" x14ac:dyDescent="0.15">
      <c r="H1142" s="22"/>
    </row>
    <row r="1143" spans="8:8" x14ac:dyDescent="0.15">
      <c r="H1143" s="22"/>
    </row>
    <row r="1144" spans="8:8" x14ac:dyDescent="0.15">
      <c r="H1144" s="22"/>
    </row>
    <row r="1145" spans="8:8" x14ac:dyDescent="0.15">
      <c r="H1145" s="22"/>
    </row>
    <row r="1146" spans="8:8" x14ac:dyDescent="0.15">
      <c r="H1146" s="22"/>
    </row>
    <row r="1147" spans="8:8" x14ac:dyDescent="0.15">
      <c r="H1147" s="22"/>
    </row>
    <row r="1148" spans="8:8" x14ac:dyDescent="0.15">
      <c r="H1148" s="22"/>
    </row>
    <row r="1149" spans="8:8" x14ac:dyDescent="0.15">
      <c r="H1149" s="22"/>
    </row>
    <row r="1150" spans="8:8" x14ac:dyDescent="0.15">
      <c r="H1150" s="22"/>
    </row>
    <row r="1151" spans="8:8" x14ac:dyDescent="0.15">
      <c r="H1151" s="22"/>
    </row>
    <row r="1152" spans="8:8" x14ac:dyDescent="0.15">
      <c r="H1152" s="22"/>
    </row>
    <row r="1153" spans="8:8" x14ac:dyDescent="0.15">
      <c r="H1153" s="22"/>
    </row>
    <row r="1154" spans="8:8" x14ac:dyDescent="0.15">
      <c r="H1154" s="22"/>
    </row>
    <row r="1155" spans="8:8" x14ac:dyDescent="0.15">
      <c r="H1155" s="22"/>
    </row>
    <row r="1156" spans="8:8" x14ac:dyDescent="0.15">
      <c r="H1156" s="22"/>
    </row>
    <row r="1157" spans="8:8" x14ac:dyDescent="0.15">
      <c r="H1157" s="22"/>
    </row>
    <row r="1158" spans="8:8" x14ac:dyDescent="0.15">
      <c r="H1158" s="22"/>
    </row>
    <row r="1159" spans="8:8" x14ac:dyDescent="0.15">
      <c r="H1159" s="22"/>
    </row>
    <row r="1160" spans="8:8" x14ac:dyDescent="0.15">
      <c r="H1160" s="22"/>
    </row>
    <row r="1161" spans="8:8" x14ac:dyDescent="0.15">
      <c r="H1161" s="22"/>
    </row>
    <row r="1162" spans="8:8" x14ac:dyDescent="0.15">
      <c r="H1162" s="22"/>
    </row>
    <row r="1163" spans="8:8" x14ac:dyDescent="0.15">
      <c r="H1163" s="22"/>
    </row>
    <row r="1164" spans="8:8" x14ac:dyDescent="0.15">
      <c r="H1164" s="22"/>
    </row>
    <row r="1165" spans="8:8" x14ac:dyDescent="0.15">
      <c r="H1165" s="22"/>
    </row>
    <row r="1166" spans="8:8" x14ac:dyDescent="0.15">
      <c r="H1166" s="22"/>
    </row>
    <row r="1167" spans="8:8" x14ac:dyDescent="0.15">
      <c r="H1167" s="22"/>
    </row>
    <row r="1168" spans="8:8" x14ac:dyDescent="0.15">
      <c r="H1168" s="22"/>
    </row>
    <row r="1169" spans="8:8" x14ac:dyDescent="0.15">
      <c r="H1169" s="22"/>
    </row>
    <row r="1170" spans="8:8" x14ac:dyDescent="0.15">
      <c r="H1170" s="22"/>
    </row>
    <row r="1171" spans="8:8" x14ac:dyDescent="0.15">
      <c r="H1171" s="22"/>
    </row>
    <row r="1172" spans="8:8" x14ac:dyDescent="0.15">
      <c r="H1172" s="22"/>
    </row>
    <row r="1173" spans="8:8" x14ac:dyDescent="0.15">
      <c r="H1173" s="22"/>
    </row>
    <row r="1174" spans="8:8" x14ac:dyDescent="0.15">
      <c r="H1174" s="22"/>
    </row>
    <row r="1175" spans="8:8" x14ac:dyDescent="0.15">
      <c r="H1175" s="22"/>
    </row>
    <row r="1176" spans="8:8" x14ac:dyDescent="0.15">
      <c r="H1176" s="22"/>
    </row>
    <row r="1177" spans="8:8" x14ac:dyDescent="0.15">
      <c r="H1177" s="22"/>
    </row>
    <row r="1178" spans="8:8" x14ac:dyDescent="0.15">
      <c r="H1178" s="22"/>
    </row>
    <row r="1179" spans="8:8" x14ac:dyDescent="0.15">
      <c r="H1179" s="22"/>
    </row>
    <row r="1180" spans="8:8" x14ac:dyDescent="0.15">
      <c r="H1180" s="22"/>
    </row>
    <row r="1181" spans="8:8" x14ac:dyDescent="0.15">
      <c r="H1181" s="22"/>
    </row>
    <row r="1182" spans="8:8" x14ac:dyDescent="0.15">
      <c r="H1182" s="22"/>
    </row>
    <row r="1183" spans="8:8" x14ac:dyDescent="0.15">
      <c r="H1183" s="22"/>
    </row>
    <row r="1184" spans="8:8" x14ac:dyDescent="0.15">
      <c r="H1184" s="22"/>
    </row>
    <row r="1185" spans="8:8" x14ac:dyDescent="0.15">
      <c r="H1185" s="22"/>
    </row>
    <row r="1186" spans="8:8" x14ac:dyDescent="0.15">
      <c r="H1186" s="22"/>
    </row>
    <row r="1187" spans="8:8" x14ac:dyDescent="0.15">
      <c r="H1187" s="22"/>
    </row>
    <row r="1188" spans="8:8" x14ac:dyDescent="0.15">
      <c r="H1188" s="22"/>
    </row>
    <row r="1189" spans="8:8" x14ac:dyDescent="0.15">
      <c r="H1189" s="22"/>
    </row>
    <row r="1190" spans="8:8" x14ac:dyDescent="0.15">
      <c r="H1190" s="22"/>
    </row>
    <row r="1191" spans="8:8" x14ac:dyDescent="0.15">
      <c r="H1191" s="22"/>
    </row>
    <row r="1192" spans="8:8" x14ac:dyDescent="0.15">
      <c r="H1192" s="22"/>
    </row>
    <row r="1193" spans="8:8" x14ac:dyDescent="0.15">
      <c r="H1193" s="22"/>
    </row>
    <row r="1194" spans="8:8" x14ac:dyDescent="0.15">
      <c r="H1194" s="22"/>
    </row>
    <row r="1195" spans="8:8" x14ac:dyDescent="0.15">
      <c r="H1195" s="22"/>
    </row>
    <row r="1196" spans="8:8" x14ac:dyDescent="0.15">
      <c r="H1196" s="22"/>
    </row>
    <row r="1197" spans="8:8" x14ac:dyDescent="0.15">
      <c r="H1197" s="22"/>
    </row>
    <row r="1198" spans="8:8" x14ac:dyDescent="0.15">
      <c r="H1198" s="22"/>
    </row>
    <row r="1199" spans="8:8" x14ac:dyDescent="0.15">
      <c r="H1199" s="22"/>
    </row>
    <row r="1200" spans="8:8" x14ac:dyDescent="0.15">
      <c r="H1200" s="22"/>
    </row>
    <row r="1201" spans="8:8" x14ac:dyDescent="0.15">
      <c r="H1201" s="22"/>
    </row>
    <row r="1202" spans="8:8" x14ac:dyDescent="0.15">
      <c r="H1202" s="22"/>
    </row>
    <row r="1203" spans="8:8" x14ac:dyDescent="0.15">
      <c r="H1203" s="22"/>
    </row>
    <row r="1204" spans="8:8" x14ac:dyDescent="0.15">
      <c r="H1204" s="22"/>
    </row>
    <row r="1205" spans="8:8" x14ac:dyDescent="0.15">
      <c r="H1205" s="22"/>
    </row>
    <row r="1206" spans="8:8" x14ac:dyDescent="0.15">
      <c r="H1206" s="22"/>
    </row>
    <row r="1207" spans="8:8" x14ac:dyDescent="0.15">
      <c r="H1207" s="22"/>
    </row>
    <row r="1208" spans="8:8" x14ac:dyDescent="0.15">
      <c r="H1208" s="22"/>
    </row>
    <row r="1209" spans="8:8" x14ac:dyDescent="0.15">
      <c r="H1209" s="22"/>
    </row>
    <row r="1210" spans="8:8" x14ac:dyDescent="0.15">
      <c r="H1210" s="22"/>
    </row>
    <row r="1211" spans="8:8" x14ac:dyDescent="0.15">
      <c r="H1211" s="22"/>
    </row>
    <row r="1212" spans="8:8" x14ac:dyDescent="0.15">
      <c r="H1212" s="22"/>
    </row>
    <row r="1213" spans="8:8" x14ac:dyDescent="0.15">
      <c r="H1213" s="22"/>
    </row>
    <row r="1214" spans="8:8" x14ac:dyDescent="0.15">
      <c r="H1214" s="22"/>
    </row>
    <row r="1215" spans="8:8" x14ac:dyDescent="0.15">
      <c r="H1215" s="22"/>
    </row>
    <row r="1216" spans="8:8" x14ac:dyDescent="0.15">
      <c r="H1216" s="22"/>
    </row>
    <row r="1217" spans="8:8" x14ac:dyDescent="0.15">
      <c r="H1217" s="22"/>
    </row>
    <row r="1218" spans="8:8" x14ac:dyDescent="0.15">
      <c r="H1218" s="22"/>
    </row>
    <row r="1219" spans="8:8" x14ac:dyDescent="0.15">
      <c r="H1219" s="22"/>
    </row>
    <row r="1220" spans="8:8" x14ac:dyDescent="0.15">
      <c r="H1220" s="22"/>
    </row>
    <row r="1221" spans="8:8" x14ac:dyDescent="0.15">
      <c r="H1221" s="22"/>
    </row>
    <row r="1222" spans="8:8" x14ac:dyDescent="0.15">
      <c r="H1222" s="22"/>
    </row>
    <row r="1223" spans="8:8" x14ac:dyDescent="0.15">
      <c r="H1223" s="22"/>
    </row>
    <row r="1224" spans="8:8" x14ac:dyDescent="0.15">
      <c r="H1224" s="22"/>
    </row>
    <row r="1225" spans="8:8" x14ac:dyDescent="0.15">
      <c r="H1225" s="22"/>
    </row>
    <row r="1226" spans="8:8" x14ac:dyDescent="0.15">
      <c r="H1226" s="22"/>
    </row>
    <row r="1227" spans="8:8" x14ac:dyDescent="0.15">
      <c r="H1227" s="22"/>
    </row>
    <row r="1228" spans="8:8" x14ac:dyDescent="0.15">
      <c r="H1228" s="22"/>
    </row>
    <row r="1229" spans="8:8" x14ac:dyDescent="0.15">
      <c r="H1229" s="22"/>
    </row>
    <row r="1230" spans="8:8" x14ac:dyDescent="0.15">
      <c r="H1230" s="22"/>
    </row>
    <row r="1231" spans="8:8" x14ac:dyDescent="0.15">
      <c r="H1231" s="22"/>
    </row>
    <row r="1232" spans="8:8" x14ac:dyDescent="0.15">
      <c r="H1232" s="22"/>
    </row>
    <row r="1233" spans="8:8" x14ac:dyDescent="0.15">
      <c r="H1233" s="22"/>
    </row>
    <row r="1234" spans="8:8" x14ac:dyDescent="0.15">
      <c r="H1234" s="22"/>
    </row>
    <row r="1235" spans="8:8" x14ac:dyDescent="0.15">
      <c r="H1235" s="22"/>
    </row>
    <row r="1236" spans="8:8" x14ac:dyDescent="0.15">
      <c r="H1236" s="22"/>
    </row>
    <row r="1237" spans="8:8" x14ac:dyDescent="0.15">
      <c r="H1237" s="22"/>
    </row>
    <row r="1238" spans="8:8" x14ac:dyDescent="0.15">
      <c r="H1238" s="22"/>
    </row>
    <row r="1239" spans="8:8" x14ac:dyDescent="0.15">
      <c r="H1239" s="22"/>
    </row>
    <row r="1240" spans="8:8" x14ac:dyDescent="0.15">
      <c r="H1240" s="22"/>
    </row>
    <row r="1241" spans="8:8" x14ac:dyDescent="0.15">
      <c r="H1241" s="22"/>
    </row>
    <row r="1242" spans="8:8" x14ac:dyDescent="0.15">
      <c r="H1242" s="22"/>
    </row>
    <row r="1243" spans="8:8" x14ac:dyDescent="0.15">
      <c r="H1243" s="22"/>
    </row>
    <row r="1244" spans="8:8" x14ac:dyDescent="0.15">
      <c r="H1244" s="22"/>
    </row>
    <row r="1245" spans="8:8" x14ac:dyDescent="0.15">
      <c r="H1245" s="22"/>
    </row>
    <row r="1246" spans="8:8" x14ac:dyDescent="0.15">
      <c r="H1246" s="22"/>
    </row>
    <row r="1247" spans="8:8" x14ac:dyDescent="0.15">
      <c r="H1247" s="22"/>
    </row>
    <row r="1248" spans="8:8" x14ac:dyDescent="0.15">
      <c r="H1248" s="22"/>
    </row>
    <row r="1249" spans="8:8" x14ac:dyDescent="0.15">
      <c r="H1249" s="22"/>
    </row>
    <row r="1250" spans="8:8" x14ac:dyDescent="0.15">
      <c r="H1250" s="22"/>
    </row>
    <row r="1251" spans="8:8" x14ac:dyDescent="0.15">
      <c r="H1251" s="22"/>
    </row>
    <row r="1252" spans="8:8" x14ac:dyDescent="0.15">
      <c r="H1252" s="22"/>
    </row>
    <row r="1253" spans="8:8" x14ac:dyDescent="0.15">
      <c r="H1253" s="22"/>
    </row>
    <row r="1254" spans="8:8" x14ac:dyDescent="0.15">
      <c r="H1254" s="22"/>
    </row>
    <row r="1255" spans="8:8" x14ac:dyDescent="0.15">
      <c r="H1255" s="22"/>
    </row>
    <row r="1256" spans="8:8" x14ac:dyDescent="0.15">
      <c r="H1256" s="22"/>
    </row>
    <row r="1257" spans="8:8" x14ac:dyDescent="0.15">
      <c r="H1257" s="22"/>
    </row>
    <row r="1258" spans="8:8" x14ac:dyDescent="0.15">
      <c r="H1258" s="22"/>
    </row>
    <row r="1259" spans="8:8" x14ac:dyDescent="0.15">
      <c r="H1259" s="22"/>
    </row>
    <row r="1260" spans="8:8" x14ac:dyDescent="0.15">
      <c r="H1260" s="22"/>
    </row>
    <row r="1261" spans="8:8" x14ac:dyDescent="0.15">
      <c r="H1261" s="22"/>
    </row>
    <row r="1262" spans="8:8" x14ac:dyDescent="0.15">
      <c r="H1262" s="22"/>
    </row>
    <row r="1263" spans="8:8" x14ac:dyDescent="0.15">
      <c r="H1263" s="22"/>
    </row>
    <row r="1264" spans="8:8" x14ac:dyDescent="0.15">
      <c r="H1264" s="22"/>
    </row>
    <row r="1265" spans="8:8" x14ac:dyDescent="0.15">
      <c r="H1265" s="22"/>
    </row>
    <row r="1266" spans="8:8" x14ac:dyDescent="0.15">
      <c r="H1266" s="22"/>
    </row>
    <row r="1267" spans="8:8" x14ac:dyDescent="0.15">
      <c r="H1267" s="22"/>
    </row>
    <row r="1268" spans="8:8" x14ac:dyDescent="0.15">
      <c r="H1268" s="22"/>
    </row>
    <row r="1269" spans="8:8" x14ac:dyDescent="0.15">
      <c r="H1269" s="22"/>
    </row>
    <row r="1270" spans="8:8" x14ac:dyDescent="0.15">
      <c r="H1270" s="22"/>
    </row>
    <row r="1271" spans="8:8" x14ac:dyDescent="0.15">
      <c r="H1271" s="22"/>
    </row>
    <row r="1272" spans="8:8" x14ac:dyDescent="0.15">
      <c r="H1272" s="22"/>
    </row>
    <row r="1273" spans="8:8" x14ac:dyDescent="0.15">
      <c r="H1273" s="22"/>
    </row>
    <row r="1274" spans="8:8" x14ac:dyDescent="0.15">
      <c r="H1274" s="22"/>
    </row>
    <row r="1275" spans="8:8" x14ac:dyDescent="0.15">
      <c r="H1275" s="22"/>
    </row>
    <row r="1276" spans="8:8" x14ac:dyDescent="0.15">
      <c r="H1276" s="22"/>
    </row>
    <row r="1277" spans="8:8" x14ac:dyDescent="0.15">
      <c r="H1277" s="22"/>
    </row>
    <row r="1278" spans="8:8" x14ac:dyDescent="0.15">
      <c r="H1278" s="22"/>
    </row>
    <row r="1279" spans="8:8" x14ac:dyDescent="0.15">
      <c r="H1279" s="22"/>
    </row>
    <row r="1280" spans="8:8" x14ac:dyDescent="0.15">
      <c r="H1280" s="22"/>
    </row>
    <row r="1281" spans="8:8" x14ac:dyDescent="0.15">
      <c r="H1281" s="22"/>
    </row>
    <row r="1282" spans="8:8" x14ac:dyDescent="0.15">
      <c r="H1282" s="22"/>
    </row>
    <row r="1283" spans="8:8" x14ac:dyDescent="0.15">
      <c r="H1283" s="22"/>
    </row>
    <row r="1284" spans="8:8" x14ac:dyDescent="0.15">
      <c r="H1284" s="22"/>
    </row>
    <row r="1285" spans="8:8" x14ac:dyDescent="0.15">
      <c r="H1285" s="22"/>
    </row>
    <row r="1286" spans="8:8" x14ac:dyDescent="0.15">
      <c r="H1286" s="22"/>
    </row>
    <row r="1287" spans="8:8" x14ac:dyDescent="0.15">
      <c r="H1287" s="22"/>
    </row>
    <row r="1288" spans="8:8" x14ac:dyDescent="0.15">
      <c r="H1288" s="22"/>
    </row>
    <row r="1289" spans="8:8" x14ac:dyDescent="0.15">
      <c r="H1289" s="22"/>
    </row>
    <row r="1290" spans="8:8" x14ac:dyDescent="0.15">
      <c r="H1290" s="22"/>
    </row>
    <row r="1291" spans="8:8" x14ac:dyDescent="0.15">
      <c r="H1291" s="22"/>
    </row>
    <row r="1292" spans="8:8" x14ac:dyDescent="0.15">
      <c r="H1292" s="22"/>
    </row>
    <row r="1293" spans="8:8" x14ac:dyDescent="0.15">
      <c r="H1293" s="22"/>
    </row>
    <row r="1294" spans="8:8" x14ac:dyDescent="0.15">
      <c r="H1294" s="22"/>
    </row>
    <row r="1295" spans="8:8" x14ac:dyDescent="0.15">
      <c r="H1295" s="22"/>
    </row>
    <row r="1296" spans="8:8" x14ac:dyDescent="0.15">
      <c r="H1296" s="22"/>
    </row>
    <row r="1297" spans="8:8" x14ac:dyDescent="0.15">
      <c r="H1297" s="22"/>
    </row>
    <row r="1298" spans="8:8" x14ac:dyDescent="0.15">
      <c r="H1298" s="22"/>
    </row>
    <row r="1299" spans="8:8" x14ac:dyDescent="0.15">
      <c r="H1299" s="22"/>
    </row>
    <row r="1300" spans="8:8" x14ac:dyDescent="0.15">
      <c r="H1300" s="22"/>
    </row>
    <row r="1301" spans="8:8" x14ac:dyDescent="0.15">
      <c r="H1301" s="22"/>
    </row>
    <row r="1302" spans="8:8" x14ac:dyDescent="0.15">
      <c r="H1302" s="22"/>
    </row>
    <row r="1303" spans="8:8" x14ac:dyDescent="0.15">
      <c r="H1303" s="22"/>
    </row>
    <row r="1304" spans="8:8" x14ac:dyDescent="0.15">
      <c r="H1304" s="22"/>
    </row>
    <row r="1305" spans="8:8" x14ac:dyDescent="0.15">
      <c r="H1305" s="22"/>
    </row>
    <row r="1306" spans="8:8" x14ac:dyDescent="0.15">
      <c r="H1306" s="22"/>
    </row>
    <row r="1307" spans="8:8" x14ac:dyDescent="0.15">
      <c r="H1307" s="22"/>
    </row>
    <row r="1308" spans="8:8" x14ac:dyDescent="0.15">
      <c r="H1308" s="22"/>
    </row>
    <row r="1309" spans="8:8" x14ac:dyDescent="0.15">
      <c r="H1309" s="22"/>
    </row>
    <row r="1310" spans="8:8" x14ac:dyDescent="0.15">
      <c r="H1310" s="22"/>
    </row>
    <row r="1311" spans="8:8" x14ac:dyDescent="0.15">
      <c r="H1311" s="22"/>
    </row>
    <row r="1312" spans="8:8" x14ac:dyDescent="0.15">
      <c r="H1312" s="22"/>
    </row>
    <row r="1313" spans="8:8" x14ac:dyDescent="0.15">
      <c r="H1313" s="22"/>
    </row>
    <row r="1314" spans="8:8" x14ac:dyDescent="0.15">
      <c r="H1314" s="22"/>
    </row>
    <row r="1315" spans="8:8" x14ac:dyDescent="0.15">
      <c r="H1315" s="22"/>
    </row>
    <row r="1316" spans="8:8" x14ac:dyDescent="0.15">
      <c r="H1316" s="22"/>
    </row>
    <row r="1317" spans="8:8" x14ac:dyDescent="0.15">
      <c r="H1317" s="22"/>
    </row>
  </sheetData>
  <autoFilter ref="A1:BA211" xr:uid="{00000000-0009-0000-0000-000006000000}"/>
  <phoneticPr fontId="3"/>
  <dataValidations count="21">
    <dataValidation type="list" allowBlank="1" showInputMessage="1" showErrorMessage="1" sqref="F5 F46:F351" xr:uid="{99F47D84-8F9C-4240-B5FF-AEA77C78629B}">
      <formula1>$AH$2:$AH$11</formula1>
    </dataValidation>
    <dataValidation type="list" allowBlank="1" showInputMessage="1" showErrorMessage="1" sqref="H2:H1317" xr:uid="{E675FFE1-7F20-47BE-8594-1E870F7AA017}">
      <formula1>$AL$2:$AL$9</formula1>
    </dataValidation>
    <dataValidation type="list" allowBlank="1" showInputMessage="1" showErrorMessage="1" sqref="K2:K443" xr:uid="{605197FF-F8A5-4CAF-8558-4520AD3E935F}">
      <formula1>$AR$2:$AR$26</formula1>
    </dataValidation>
    <dataValidation type="list" allowBlank="1" showInputMessage="1" showErrorMessage="1" sqref="J492:J64242" xr:uid="{44A821CE-3B01-4F6C-8B3E-A70AAA343E20}">
      <formula1>$AP$2:$AP$16</formula1>
    </dataValidation>
    <dataValidation type="list" allowBlank="1" showInputMessage="1" showErrorMessage="1" sqref="I492:I64242" xr:uid="{5F5EF9B9-A477-4BB2-A78C-F47E2F243398}">
      <formula1>$AN$2:$AN$6</formula1>
    </dataValidation>
    <dataValidation type="list" allowBlank="1" showInputMessage="1" showErrorMessage="1" sqref="Y492:AA64242" xr:uid="{99C9712E-6EB3-404B-B28F-85643DCB4171}">
      <formula1>$AV$2:$AV$26</formula1>
    </dataValidation>
    <dataValidation type="list" allowBlank="1" showInputMessage="1" showErrorMessage="1" sqref="K492:K64242" xr:uid="{71204ACE-035B-485D-A81C-7ADE431B0CD7}">
      <formula1>$AR$2:$AR$28</formula1>
    </dataValidation>
    <dataValidation type="list" allowBlank="1" showInputMessage="1" showErrorMessage="1" sqref="H1318:H64242" xr:uid="{06C6349C-17DF-4FEB-BE12-B41469B3A4A8}">
      <formula1>$AL$2:$AL$10</formula1>
    </dataValidation>
    <dataValidation type="list" allowBlank="1" showInputMessage="1" showErrorMessage="1" sqref="E492:E64242" xr:uid="{CD5BE23E-87E6-43A7-B507-3DC6A0C5F24D}">
      <formula1>$AG$2:$AG$9</formula1>
    </dataValidation>
    <dataValidation type="list" allowBlank="1" showInputMessage="1" showErrorMessage="1" sqref="F492:F64242" xr:uid="{27551150-4459-430A-8586-D6705DFAA443}">
      <formula1>$AH$2:$AH$8</formula1>
    </dataValidation>
    <dataValidation operator="equal" allowBlank="1" showInputMessage="1" showErrorMessage="1" sqref="B2:B211" xr:uid="{F923083E-3BEA-442A-9853-F987A009FD77}"/>
    <dataValidation type="list" allowBlank="1" showInputMessage="1" showErrorMessage="1" sqref="J2:J491" xr:uid="{D6E22BEE-2D46-4000-8772-7619AADC8297}">
      <formula1>$AP$2:$AP$27</formula1>
    </dataValidation>
    <dataValidation type="list" allowBlank="1" showInputMessage="1" showErrorMessage="1" sqref="G2:G491" xr:uid="{6636274B-47F3-46A4-A2BC-95DEE9358BA1}">
      <formula1>$AJ$2:$AJ$4</formula1>
    </dataValidation>
    <dataValidation type="list" allowBlank="1" showInputMessage="1" showErrorMessage="1" sqref="X2:X491" xr:uid="{D6D6038B-5E00-4B4F-8E97-38DDCBB4379D}">
      <formula1>$AT$2:$AT$3</formula1>
    </dataValidation>
    <dataValidation type="list" allowBlank="1" showInputMessage="1" showErrorMessage="1" sqref="A2:A491" xr:uid="{2D170502-B06E-4AA3-B437-1DEBD0CDC69A}">
      <formula1>$AE$2:$AE$19</formula1>
    </dataValidation>
    <dataValidation type="list" allowBlank="1" showInputMessage="1" showErrorMessage="1" sqref="I2:I491" xr:uid="{D4239B08-6063-4C52-AE8A-5AD961C2F052}">
      <formula1>$AN$5:$AN$6</formula1>
    </dataValidation>
    <dataValidation type="list" allowBlank="1" showInputMessage="1" showErrorMessage="1" sqref="K444:K491" xr:uid="{99F73919-A994-4817-821B-44841F209D04}">
      <formula1>$AR$2:$AR$25</formula1>
    </dataValidation>
    <dataValidation type="list" allowBlank="1" showInputMessage="1" showErrorMessage="1" sqref="Y2:AA491" xr:uid="{8BD36DA6-6266-45E8-B066-604741C8DB1B}">
      <formula1>$AV$2:$AV$21</formula1>
    </dataValidation>
    <dataValidation type="decimal" allowBlank="1" showInputMessage="1" showErrorMessage="1" error="硬度を正しく入力して下さい。" sqref="O2:P10 P11 O12:P491" xr:uid="{B8BC5189-60C0-4536-9E58-8D86875D6842}">
      <formula1>0</formula1>
      <formula2>7</formula2>
    </dataValidation>
    <dataValidation type="list" allowBlank="1" showInputMessage="1" showErrorMessage="1" sqref="E2:E491" xr:uid="{BF3BA914-11F7-44C6-A93C-712ED58BAC76}">
      <formula1>$AG$2:$AG$10</formula1>
    </dataValidation>
    <dataValidation type="list" allowBlank="1" showInputMessage="1" showErrorMessage="1" sqref="F2:F4 F6:F45 F352:F491" xr:uid="{91320947-680B-42D7-B1A2-5F56973AFB19}">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301A-716A-428F-BFC9-1001A063B658}">
  <dimension ref="A1:BA112"/>
  <sheetViews>
    <sheetView tabSelected="1" zoomScale="70" zoomScaleNormal="70" workbookViewId="0">
      <pane ySplit="1" topLeftCell="A2" activePane="bottomLeft" state="frozen"/>
      <selection pane="bottomLeft" activeCell="AE30" sqref="AE30"/>
    </sheetView>
  </sheetViews>
  <sheetFormatPr defaultColWidth="9" defaultRowHeight="13.5" x14ac:dyDescent="0.15"/>
  <cols>
    <col min="1" max="3" width="9" style="39"/>
    <col min="4" max="4" width="10.5" style="39" bestFit="1" customWidth="1"/>
    <col min="5" max="5" width="10.875" style="39" bestFit="1" customWidth="1"/>
    <col min="6" max="6" width="14.75" style="39" customWidth="1"/>
    <col min="7" max="9" width="9" style="39"/>
    <col min="10" max="10" width="9.25" style="39" customWidth="1"/>
    <col min="11" max="11" width="9" style="39"/>
    <col min="12" max="12" width="5" style="39" customWidth="1"/>
    <col min="13" max="13" width="5.25" style="39" customWidth="1"/>
    <col min="14" max="14" width="6" style="39" customWidth="1"/>
    <col min="15" max="16" width="9" style="39"/>
    <col min="17" max="17" width="9" style="45"/>
    <col min="18" max="19" width="9" style="39"/>
    <col min="20" max="20" width="9" style="45"/>
    <col min="21" max="21" width="9" style="39"/>
    <col min="22" max="22" width="14.25" style="45" customWidth="1"/>
    <col min="23" max="23" width="9" style="39"/>
    <col min="24" max="24" width="9.625" style="39" customWidth="1"/>
    <col min="25" max="26" width="9" style="39"/>
    <col min="27" max="27" width="12.125" style="39" customWidth="1"/>
    <col min="28" max="32" width="9" style="39"/>
    <col min="33" max="33" width="15.125" style="39" bestFit="1" customWidth="1"/>
    <col min="34" max="34" width="19.625" style="39" bestFit="1" customWidth="1"/>
    <col min="35" max="16384" width="9" style="39"/>
  </cols>
  <sheetData>
    <row r="1" spans="1:53" ht="45" x14ac:dyDescent="0.15">
      <c r="A1" s="58" t="s">
        <v>0</v>
      </c>
      <c r="B1" s="74" t="s">
        <v>1</v>
      </c>
      <c r="C1" s="74" t="s">
        <v>2</v>
      </c>
      <c r="D1" s="72" t="s">
        <v>3</v>
      </c>
      <c r="E1" s="59" t="s">
        <v>4</v>
      </c>
      <c r="F1" s="59" t="s">
        <v>5</v>
      </c>
      <c r="G1" s="59" t="s">
        <v>6</v>
      </c>
      <c r="H1" s="59" t="s">
        <v>7</v>
      </c>
      <c r="I1" s="59" t="s">
        <v>8</v>
      </c>
      <c r="J1" s="59" t="s">
        <v>9</v>
      </c>
      <c r="K1" s="59" t="s">
        <v>10</v>
      </c>
      <c r="L1" s="72" t="s">
        <v>11</v>
      </c>
      <c r="M1" s="72" t="s">
        <v>12</v>
      </c>
      <c r="N1" s="72" t="s">
        <v>13</v>
      </c>
      <c r="O1" s="72" t="s">
        <v>14</v>
      </c>
      <c r="P1" s="72" t="s">
        <v>15</v>
      </c>
      <c r="Q1" s="37" t="s">
        <v>16</v>
      </c>
      <c r="R1" s="72" t="s">
        <v>17</v>
      </c>
      <c r="S1" s="72" t="s">
        <v>18</v>
      </c>
      <c r="T1" s="37" t="s">
        <v>19</v>
      </c>
      <c r="U1" s="73" t="s">
        <v>232</v>
      </c>
      <c r="V1" s="38" t="s">
        <v>20</v>
      </c>
      <c r="W1" s="72" t="s">
        <v>21</v>
      </c>
      <c r="X1" s="59" t="s">
        <v>22</v>
      </c>
      <c r="Y1" s="59" t="s">
        <v>23</v>
      </c>
      <c r="Z1" s="59" t="s">
        <v>286</v>
      </c>
      <c r="AA1" s="60" t="s">
        <v>25</v>
      </c>
      <c r="AB1" s="71" t="s">
        <v>26</v>
      </c>
      <c r="AE1" s="70" t="s">
        <v>0</v>
      </c>
      <c r="AF1" s="69"/>
      <c r="AG1" s="123" t="s">
        <v>4</v>
      </c>
      <c r="AH1" s="70" t="s">
        <v>5</v>
      </c>
      <c r="AI1" s="69"/>
      <c r="AJ1" s="70" t="s">
        <v>6</v>
      </c>
      <c r="AK1" s="69"/>
      <c r="AL1" s="40" t="s">
        <v>7</v>
      </c>
      <c r="AM1" s="69"/>
      <c r="AN1" s="40" t="s">
        <v>8</v>
      </c>
      <c r="AO1" s="69"/>
      <c r="AP1" s="40" t="s">
        <v>27</v>
      </c>
      <c r="AQ1" s="69"/>
      <c r="AR1" s="40" t="s">
        <v>10</v>
      </c>
      <c r="AS1" s="69"/>
      <c r="AT1" s="41" t="s">
        <v>28</v>
      </c>
      <c r="AU1" s="69"/>
      <c r="AV1" s="40" t="s">
        <v>29</v>
      </c>
      <c r="AX1" s="42" t="s">
        <v>30</v>
      </c>
      <c r="AY1" s="43" t="s">
        <v>31</v>
      </c>
      <c r="AZ1" s="43" t="s">
        <v>32</v>
      </c>
      <c r="BA1" s="44" t="s">
        <v>33</v>
      </c>
    </row>
    <row r="2" spans="1:53" x14ac:dyDescent="0.15">
      <c r="A2" s="39" t="s">
        <v>34</v>
      </c>
      <c r="B2" s="39" t="s">
        <v>337</v>
      </c>
      <c r="C2" s="39">
        <v>2020</v>
      </c>
      <c r="D2" s="124" t="s">
        <v>343</v>
      </c>
      <c r="E2" s="39" t="s">
        <v>301</v>
      </c>
      <c r="F2" s="39" t="s">
        <v>328</v>
      </c>
      <c r="G2" s="39" t="s">
        <v>36</v>
      </c>
      <c r="H2" s="39" t="s">
        <v>146</v>
      </c>
      <c r="I2" s="39" t="s">
        <v>142</v>
      </c>
      <c r="J2" s="39" t="s">
        <v>38</v>
      </c>
      <c r="K2" s="39" t="s">
        <v>395</v>
      </c>
      <c r="L2" s="39">
        <v>1</v>
      </c>
      <c r="N2" s="39">
        <v>1</v>
      </c>
      <c r="O2" s="39">
        <v>0.7</v>
      </c>
      <c r="P2" s="39">
        <v>0.55000000000000004</v>
      </c>
      <c r="Q2" s="61">
        <f t="shared" ref="Q2:Q33" si="0">IF(OR(O2="",P2=""),"",AVERAGE(O2,P2))</f>
        <v>0.625</v>
      </c>
      <c r="R2" s="39">
        <v>17.3</v>
      </c>
      <c r="S2" s="39">
        <v>105</v>
      </c>
      <c r="T2" s="45">
        <f t="shared" ref="T2:T65" si="1">IF(H2="","",IF(OR(H2="GREEN",H2="GK"),IF(S2&gt;=$AX$2,VLOOKUP(S2,$AX$2:$AY$9,2,1),""),IF(S2&gt;=$AZ$2,VLOOKUP(S2,$AZ$2:$BA$9,2,1),"")))</f>
        <v>33</v>
      </c>
      <c r="U2" s="39">
        <v>105</v>
      </c>
      <c r="V2" s="45">
        <f t="shared" ref="V2:V65" si="2">IF(OR(N2="",U2="",T2=""),"",U2/N2*T2)</f>
        <v>3465</v>
      </c>
      <c r="W2" s="39">
        <v>10</v>
      </c>
      <c r="X2" s="39" t="s">
        <v>46</v>
      </c>
      <c r="Y2" s="39" t="s">
        <v>40</v>
      </c>
      <c r="Z2" s="39" t="s">
        <v>55</v>
      </c>
      <c r="AA2" s="39" t="s">
        <v>47</v>
      </c>
      <c r="AB2" s="39" t="s">
        <v>335</v>
      </c>
      <c r="AE2" s="68" t="s">
        <v>35</v>
      </c>
      <c r="AG2" s="125" t="s">
        <v>255</v>
      </c>
      <c r="AH2" s="62" t="s">
        <v>287</v>
      </c>
      <c r="AJ2" s="62" t="s">
        <v>36</v>
      </c>
      <c r="AL2" s="80" t="s">
        <v>127</v>
      </c>
      <c r="AN2" s="62" t="s">
        <v>37</v>
      </c>
      <c r="AP2" s="62" t="s">
        <v>38</v>
      </c>
      <c r="AR2" s="62" t="s">
        <v>120</v>
      </c>
      <c r="AT2" s="62" t="s">
        <v>39</v>
      </c>
      <c r="AV2" s="62" t="s">
        <v>40</v>
      </c>
      <c r="AX2" s="31">
        <v>1</v>
      </c>
      <c r="AY2" s="32">
        <v>50</v>
      </c>
      <c r="AZ2" s="32">
        <v>1</v>
      </c>
      <c r="BA2" s="33">
        <v>50</v>
      </c>
    </row>
    <row r="3" spans="1:53" x14ac:dyDescent="0.15">
      <c r="A3" s="39" t="s">
        <v>34</v>
      </c>
      <c r="B3" s="39" t="s">
        <v>337</v>
      </c>
      <c r="C3" s="39">
        <v>2020</v>
      </c>
      <c r="D3" s="124" t="s">
        <v>343</v>
      </c>
      <c r="E3" s="39" t="s">
        <v>301</v>
      </c>
      <c r="F3" s="39" t="s">
        <v>328</v>
      </c>
      <c r="G3" s="39" t="s">
        <v>36</v>
      </c>
      <c r="H3" s="39" t="s">
        <v>146</v>
      </c>
      <c r="I3" s="39" t="s">
        <v>142</v>
      </c>
      <c r="J3" s="39" t="s">
        <v>38</v>
      </c>
      <c r="K3" s="39" t="s">
        <v>395</v>
      </c>
      <c r="L3" s="39">
        <v>2</v>
      </c>
      <c r="N3" s="39">
        <v>1</v>
      </c>
      <c r="O3" s="39">
        <v>0.75</v>
      </c>
      <c r="P3" s="39">
        <v>0.65</v>
      </c>
      <c r="Q3" s="61">
        <f t="shared" si="0"/>
        <v>0.7</v>
      </c>
      <c r="R3" s="39">
        <v>16.600000000000001</v>
      </c>
      <c r="S3" s="39">
        <v>120.5</v>
      </c>
      <c r="T3" s="45">
        <f t="shared" si="1"/>
        <v>30</v>
      </c>
      <c r="U3" s="39">
        <v>105</v>
      </c>
      <c r="V3" s="45">
        <f t="shared" si="2"/>
        <v>3150</v>
      </c>
      <c r="W3" s="39">
        <v>10</v>
      </c>
      <c r="X3" s="39" t="s">
        <v>46</v>
      </c>
      <c r="Y3" s="39" t="s">
        <v>40</v>
      </c>
      <c r="Z3" s="39" t="s">
        <v>55</v>
      </c>
      <c r="AA3" s="39" t="s">
        <v>47</v>
      </c>
      <c r="AB3" s="39" t="s">
        <v>335</v>
      </c>
      <c r="AE3" s="46" t="s">
        <v>41</v>
      </c>
      <c r="AG3" s="126" t="s">
        <v>301</v>
      </c>
      <c r="AH3" s="62" t="s">
        <v>328</v>
      </c>
      <c r="AJ3" s="47" t="s">
        <v>42</v>
      </c>
      <c r="AL3" s="47" t="s">
        <v>128</v>
      </c>
      <c r="AN3" s="47" t="s">
        <v>43</v>
      </c>
      <c r="AP3" s="47" t="s">
        <v>44</v>
      </c>
      <c r="AR3" s="47" t="s">
        <v>45</v>
      </c>
      <c r="AT3" s="47" t="s">
        <v>46</v>
      </c>
      <c r="AV3" s="47" t="s">
        <v>47</v>
      </c>
      <c r="AX3" s="48">
        <v>72</v>
      </c>
      <c r="AY3" s="49">
        <v>46</v>
      </c>
      <c r="AZ3" s="49">
        <v>71</v>
      </c>
      <c r="BA3" s="50">
        <v>42</v>
      </c>
    </row>
    <row r="4" spans="1:53" x14ac:dyDescent="0.15">
      <c r="A4" s="39" t="s">
        <v>34</v>
      </c>
      <c r="B4" s="39" t="s">
        <v>337</v>
      </c>
      <c r="C4" s="39">
        <v>2020</v>
      </c>
      <c r="D4" s="124" t="s">
        <v>343</v>
      </c>
      <c r="E4" s="39" t="s">
        <v>301</v>
      </c>
      <c r="F4" s="39" t="s">
        <v>328</v>
      </c>
      <c r="G4" s="39" t="s">
        <v>36</v>
      </c>
      <c r="H4" s="39" t="s">
        <v>146</v>
      </c>
      <c r="I4" s="39" t="s">
        <v>347</v>
      </c>
      <c r="J4" s="39" t="s">
        <v>38</v>
      </c>
      <c r="K4" s="39" t="s">
        <v>395</v>
      </c>
      <c r="L4" s="39">
        <v>3</v>
      </c>
      <c r="N4" s="39">
        <v>1</v>
      </c>
      <c r="O4" s="39">
        <v>0.65</v>
      </c>
      <c r="P4" s="39">
        <v>0.5</v>
      </c>
      <c r="Q4" s="61">
        <f t="shared" si="0"/>
        <v>0.57499999999999996</v>
      </c>
      <c r="R4" s="39">
        <v>14.8</v>
      </c>
      <c r="S4" s="39">
        <v>117.5</v>
      </c>
      <c r="T4" s="45">
        <f t="shared" si="1"/>
        <v>30</v>
      </c>
      <c r="U4" s="39">
        <v>105</v>
      </c>
      <c r="V4" s="45">
        <f t="shared" si="2"/>
        <v>3150</v>
      </c>
      <c r="W4" s="39">
        <v>10</v>
      </c>
      <c r="X4" s="39" t="s">
        <v>46</v>
      </c>
      <c r="Y4" s="39" t="s">
        <v>40</v>
      </c>
      <c r="Z4" s="39" t="s">
        <v>55</v>
      </c>
      <c r="AA4" s="39" t="s">
        <v>47</v>
      </c>
      <c r="AB4" s="39" t="s">
        <v>335</v>
      </c>
      <c r="AE4" s="46" t="s">
        <v>34</v>
      </c>
      <c r="AG4" s="126" t="s">
        <v>288</v>
      </c>
      <c r="AH4" s="62" t="s">
        <v>299</v>
      </c>
      <c r="AJ4" s="51" t="s">
        <v>48</v>
      </c>
      <c r="AL4" s="47" t="s">
        <v>129</v>
      </c>
      <c r="AN4" s="52" t="s">
        <v>49</v>
      </c>
      <c r="AP4" s="47" t="s">
        <v>93</v>
      </c>
      <c r="AR4" s="47" t="s">
        <v>121</v>
      </c>
      <c r="AT4" s="52"/>
      <c r="AV4" s="47" t="s">
        <v>50</v>
      </c>
      <c r="AX4" s="48">
        <v>75</v>
      </c>
      <c r="AY4" s="49">
        <v>42</v>
      </c>
      <c r="AZ4" s="49">
        <v>76</v>
      </c>
      <c r="BA4" s="50">
        <v>39</v>
      </c>
    </row>
    <row r="5" spans="1:53" x14ac:dyDescent="0.15">
      <c r="A5" s="39" t="s">
        <v>34</v>
      </c>
      <c r="B5" s="39" t="s">
        <v>337</v>
      </c>
      <c r="C5" s="39">
        <v>2020</v>
      </c>
      <c r="D5" s="124" t="s">
        <v>343</v>
      </c>
      <c r="E5" s="39" t="s">
        <v>301</v>
      </c>
      <c r="F5" s="39" t="s">
        <v>328</v>
      </c>
      <c r="G5" s="39" t="s">
        <v>36</v>
      </c>
      <c r="H5" s="39" t="s">
        <v>146</v>
      </c>
      <c r="I5" s="39" t="s">
        <v>347</v>
      </c>
      <c r="J5" s="39" t="s">
        <v>38</v>
      </c>
      <c r="K5" s="39" t="s">
        <v>395</v>
      </c>
      <c r="L5" s="39">
        <v>1</v>
      </c>
      <c r="N5" s="39">
        <v>4</v>
      </c>
      <c r="O5" s="39">
        <v>0.85</v>
      </c>
      <c r="P5" s="39">
        <v>0.65</v>
      </c>
      <c r="Q5" s="61">
        <f t="shared" si="0"/>
        <v>0.75</v>
      </c>
      <c r="R5" s="39">
        <v>17.3</v>
      </c>
      <c r="S5" s="39">
        <v>113.5</v>
      </c>
      <c r="T5" s="45">
        <f t="shared" si="1"/>
        <v>30</v>
      </c>
      <c r="U5" s="39">
        <v>429</v>
      </c>
      <c r="V5" s="45">
        <f t="shared" si="2"/>
        <v>3217.5</v>
      </c>
      <c r="W5" s="39">
        <v>10</v>
      </c>
      <c r="X5" s="39" t="s">
        <v>46</v>
      </c>
      <c r="Y5" s="39" t="s">
        <v>40</v>
      </c>
      <c r="Z5" s="39" t="s">
        <v>55</v>
      </c>
      <c r="AA5" s="39" t="s">
        <v>47</v>
      </c>
      <c r="AB5" s="39" t="s">
        <v>335</v>
      </c>
      <c r="AE5" s="46" t="s">
        <v>51</v>
      </c>
      <c r="AG5" s="126" t="s">
        <v>289</v>
      </c>
      <c r="AH5" s="62" t="s">
        <v>290</v>
      </c>
      <c r="AJ5" s="52"/>
      <c r="AL5" s="47" t="s">
        <v>66</v>
      </c>
      <c r="AN5" s="27" t="s">
        <v>52</v>
      </c>
      <c r="AP5" s="47" t="s">
        <v>119</v>
      </c>
      <c r="AR5" s="47" t="s">
        <v>54</v>
      </c>
      <c r="AV5" s="47" t="s">
        <v>55</v>
      </c>
      <c r="AX5" s="48">
        <v>84</v>
      </c>
      <c r="AY5" s="49">
        <v>39</v>
      </c>
      <c r="AZ5" s="49">
        <v>84</v>
      </c>
      <c r="BA5" s="50">
        <v>36</v>
      </c>
    </row>
    <row r="6" spans="1:53" x14ac:dyDescent="0.15">
      <c r="A6" s="39" t="s">
        <v>34</v>
      </c>
      <c r="B6" s="39" t="s">
        <v>337</v>
      </c>
      <c r="C6" s="39">
        <v>2020</v>
      </c>
      <c r="D6" s="124" t="s">
        <v>343</v>
      </c>
      <c r="E6" s="39" t="s">
        <v>301</v>
      </c>
      <c r="F6" s="39" t="s">
        <v>328</v>
      </c>
      <c r="G6" s="39" t="s">
        <v>36</v>
      </c>
      <c r="H6" s="39" t="s">
        <v>146</v>
      </c>
      <c r="I6" s="39" t="s">
        <v>347</v>
      </c>
      <c r="J6" s="39" t="s">
        <v>38</v>
      </c>
      <c r="K6" s="39" t="s">
        <v>395</v>
      </c>
      <c r="L6" s="39">
        <v>2</v>
      </c>
      <c r="N6" s="39">
        <v>4</v>
      </c>
      <c r="O6" s="39">
        <v>0.85</v>
      </c>
      <c r="P6" s="39">
        <v>0.9</v>
      </c>
      <c r="Q6" s="61">
        <f t="shared" si="0"/>
        <v>0.875</v>
      </c>
      <c r="R6" s="39">
        <v>16.399999999999999</v>
      </c>
      <c r="S6" s="39">
        <v>113.5</v>
      </c>
      <c r="T6" s="45">
        <f t="shared" si="1"/>
        <v>30</v>
      </c>
      <c r="U6" s="39">
        <v>429</v>
      </c>
      <c r="V6" s="45">
        <f t="shared" si="2"/>
        <v>3217.5</v>
      </c>
      <c r="W6" s="39">
        <v>10</v>
      </c>
      <c r="X6" s="39" t="s">
        <v>46</v>
      </c>
      <c r="Y6" s="39" t="s">
        <v>40</v>
      </c>
      <c r="Z6" s="39" t="s">
        <v>55</v>
      </c>
      <c r="AA6" s="39" t="s">
        <v>47</v>
      </c>
      <c r="AB6" s="39" t="s">
        <v>335</v>
      </c>
      <c r="AE6" s="46" t="s">
        <v>56</v>
      </c>
      <c r="AG6" s="126" t="s">
        <v>291</v>
      </c>
      <c r="AH6" s="62" t="s">
        <v>292</v>
      </c>
      <c r="AL6" s="47" t="s">
        <v>99</v>
      </c>
      <c r="AN6" s="27" t="s">
        <v>57</v>
      </c>
      <c r="AP6" s="47" t="s">
        <v>53</v>
      </c>
      <c r="AR6" s="47" t="s">
        <v>59</v>
      </c>
      <c r="AV6" s="47" t="s">
        <v>60</v>
      </c>
      <c r="AX6" s="48">
        <v>97</v>
      </c>
      <c r="AY6" s="49">
        <v>36</v>
      </c>
      <c r="AZ6" s="49">
        <v>99</v>
      </c>
      <c r="BA6" s="50">
        <v>33</v>
      </c>
    </row>
    <row r="7" spans="1:53" x14ac:dyDescent="0.15">
      <c r="A7" s="39" t="s">
        <v>34</v>
      </c>
      <c r="B7" s="39" t="s">
        <v>337</v>
      </c>
      <c r="C7" s="39">
        <v>2020</v>
      </c>
      <c r="D7" s="124" t="s">
        <v>343</v>
      </c>
      <c r="E7" s="39" t="s">
        <v>301</v>
      </c>
      <c r="F7" s="39" t="s">
        <v>328</v>
      </c>
      <c r="G7" s="39" t="s">
        <v>36</v>
      </c>
      <c r="H7" s="39" t="s">
        <v>146</v>
      </c>
      <c r="I7" s="39" t="s">
        <v>347</v>
      </c>
      <c r="J7" s="39" t="s">
        <v>38</v>
      </c>
      <c r="K7" s="39" t="s">
        <v>395</v>
      </c>
      <c r="L7" s="39">
        <v>3</v>
      </c>
      <c r="N7" s="39">
        <v>4</v>
      </c>
      <c r="O7" s="39">
        <v>0.8</v>
      </c>
      <c r="P7" s="39">
        <v>0.7</v>
      </c>
      <c r="Q7" s="61">
        <f t="shared" si="0"/>
        <v>0.75</v>
      </c>
      <c r="R7" s="39">
        <v>14.9</v>
      </c>
      <c r="S7" s="39">
        <v>103.5</v>
      </c>
      <c r="T7" s="45">
        <f t="shared" si="1"/>
        <v>33</v>
      </c>
      <c r="U7" s="39">
        <v>429</v>
      </c>
      <c r="V7" s="45">
        <f t="shared" si="2"/>
        <v>3539.25</v>
      </c>
      <c r="W7" s="39">
        <v>10</v>
      </c>
      <c r="X7" s="39" t="s">
        <v>46</v>
      </c>
      <c r="Y7" s="39" t="s">
        <v>40</v>
      </c>
      <c r="Z7" s="39" t="s">
        <v>55</v>
      </c>
      <c r="AA7" s="39" t="s">
        <v>47</v>
      </c>
      <c r="AB7" s="39" t="s">
        <v>335</v>
      </c>
      <c r="AE7" s="46" t="s">
        <v>61</v>
      </c>
      <c r="AG7" s="126" t="s">
        <v>181</v>
      </c>
      <c r="AH7" s="62" t="s">
        <v>313</v>
      </c>
      <c r="AL7" s="64" t="s">
        <v>109</v>
      </c>
      <c r="AP7" s="47" t="s">
        <v>58</v>
      </c>
      <c r="AR7" s="47" t="s">
        <v>122</v>
      </c>
      <c r="AV7" s="47" t="s">
        <v>64</v>
      </c>
      <c r="AX7" s="48">
        <v>109</v>
      </c>
      <c r="AY7" s="49">
        <v>33</v>
      </c>
      <c r="AZ7" s="49">
        <v>113</v>
      </c>
      <c r="BA7" s="50">
        <v>30</v>
      </c>
    </row>
    <row r="8" spans="1:53" x14ac:dyDescent="0.15">
      <c r="A8" s="39" t="s">
        <v>34</v>
      </c>
      <c r="B8" s="39" t="s">
        <v>337</v>
      </c>
      <c r="C8" s="39">
        <v>2020</v>
      </c>
      <c r="D8" s="124" t="s">
        <v>343</v>
      </c>
      <c r="E8" s="39" t="s">
        <v>301</v>
      </c>
      <c r="F8" s="39" t="s">
        <v>328</v>
      </c>
      <c r="G8" s="39" t="s">
        <v>36</v>
      </c>
      <c r="H8" s="39" t="s">
        <v>146</v>
      </c>
      <c r="I8" s="39" t="s">
        <v>347</v>
      </c>
      <c r="J8" s="39" t="s">
        <v>38</v>
      </c>
      <c r="K8" s="39" t="s">
        <v>395</v>
      </c>
      <c r="L8" s="39">
        <v>1</v>
      </c>
      <c r="N8" s="39">
        <v>4</v>
      </c>
      <c r="O8" s="39">
        <v>0.2</v>
      </c>
      <c r="P8" s="39">
        <v>0.2</v>
      </c>
      <c r="Q8" s="61">
        <f t="shared" si="0"/>
        <v>0.2</v>
      </c>
      <c r="R8" s="39">
        <v>19</v>
      </c>
      <c r="S8" s="39">
        <v>145</v>
      </c>
      <c r="T8" s="45">
        <f t="shared" si="1"/>
        <v>30</v>
      </c>
      <c r="U8" s="39">
        <v>734</v>
      </c>
      <c r="V8" s="45">
        <f t="shared" si="2"/>
        <v>5505</v>
      </c>
      <c r="W8" s="39">
        <v>10</v>
      </c>
      <c r="X8" s="39" t="s">
        <v>46</v>
      </c>
      <c r="Y8" s="39" t="s">
        <v>40</v>
      </c>
      <c r="Z8" s="39" t="s">
        <v>55</v>
      </c>
      <c r="AA8" s="39" t="s">
        <v>47</v>
      </c>
      <c r="AB8" s="39" t="s">
        <v>335</v>
      </c>
      <c r="AE8" s="46" t="s">
        <v>59</v>
      </c>
      <c r="AG8" s="126" t="s">
        <v>293</v>
      </c>
      <c r="AH8" s="62" t="s">
        <v>294</v>
      </c>
      <c r="AL8" s="64" t="s">
        <v>134</v>
      </c>
      <c r="AP8" s="47" t="s">
        <v>62</v>
      </c>
      <c r="AR8" s="47" t="s">
        <v>81</v>
      </c>
      <c r="AV8" s="47" t="s">
        <v>97</v>
      </c>
      <c r="AX8" s="48">
        <v>151</v>
      </c>
      <c r="AY8" s="49">
        <v>22</v>
      </c>
      <c r="AZ8" s="49">
        <v>152</v>
      </c>
      <c r="BA8" s="50">
        <v>18</v>
      </c>
    </row>
    <row r="9" spans="1:53" x14ac:dyDescent="0.15">
      <c r="A9" s="39" t="s">
        <v>34</v>
      </c>
      <c r="B9" s="39" t="s">
        <v>337</v>
      </c>
      <c r="C9" s="39">
        <v>2020</v>
      </c>
      <c r="D9" s="124" t="s">
        <v>343</v>
      </c>
      <c r="E9" s="39" t="s">
        <v>301</v>
      </c>
      <c r="F9" s="39" t="s">
        <v>328</v>
      </c>
      <c r="G9" s="39" t="s">
        <v>36</v>
      </c>
      <c r="H9" s="39" t="s">
        <v>146</v>
      </c>
      <c r="I9" s="39" t="s">
        <v>347</v>
      </c>
      <c r="J9" s="39" t="s">
        <v>38</v>
      </c>
      <c r="K9" s="39" t="s">
        <v>395</v>
      </c>
      <c r="L9" s="39">
        <v>2</v>
      </c>
      <c r="N9" s="39">
        <v>4</v>
      </c>
      <c r="O9" s="39">
        <v>0.2</v>
      </c>
      <c r="P9" s="39">
        <v>0.2</v>
      </c>
      <c r="Q9" s="61">
        <f t="shared" si="0"/>
        <v>0.2</v>
      </c>
      <c r="R9" s="39">
        <v>17.5</v>
      </c>
      <c r="S9" s="39">
        <v>136</v>
      </c>
      <c r="T9" s="45">
        <f t="shared" si="1"/>
        <v>30</v>
      </c>
      <c r="U9" s="39">
        <v>734</v>
      </c>
      <c r="V9" s="45">
        <f t="shared" si="2"/>
        <v>5505</v>
      </c>
      <c r="W9" s="39">
        <v>10</v>
      </c>
      <c r="X9" s="39" t="s">
        <v>46</v>
      </c>
      <c r="Y9" s="39" t="s">
        <v>40</v>
      </c>
      <c r="Z9" s="39" t="s">
        <v>55</v>
      </c>
      <c r="AA9" s="39" t="s">
        <v>47</v>
      </c>
      <c r="AB9" s="39" t="s">
        <v>335</v>
      </c>
      <c r="AE9" s="46" t="s">
        <v>98</v>
      </c>
      <c r="AG9" s="126" t="s">
        <v>256</v>
      </c>
      <c r="AH9" s="62" t="s">
        <v>300</v>
      </c>
      <c r="AL9" s="47" t="s">
        <v>329</v>
      </c>
      <c r="AP9" s="47" t="s">
        <v>95</v>
      </c>
      <c r="AR9" s="47" t="s">
        <v>89</v>
      </c>
      <c r="AV9" s="47" t="s">
        <v>102</v>
      </c>
      <c r="AX9" s="53">
        <v>180</v>
      </c>
      <c r="AY9" s="54">
        <v>18</v>
      </c>
      <c r="AZ9" s="54">
        <v>181</v>
      </c>
      <c r="BA9" s="55">
        <v>16</v>
      </c>
    </row>
    <row r="10" spans="1:53" x14ac:dyDescent="0.15">
      <c r="A10" s="39" t="s">
        <v>34</v>
      </c>
      <c r="B10" s="39" t="s">
        <v>337</v>
      </c>
      <c r="C10" s="39">
        <v>2020</v>
      </c>
      <c r="D10" s="124" t="s">
        <v>343</v>
      </c>
      <c r="E10" s="39" t="s">
        <v>301</v>
      </c>
      <c r="F10" s="39" t="s">
        <v>328</v>
      </c>
      <c r="G10" s="39" t="s">
        <v>36</v>
      </c>
      <c r="H10" s="39" t="s">
        <v>146</v>
      </c>
      <c r="I10" s="39" t="s">
        <v>347</v>
      </c>
      <c r="J10" s="39" t="s">
        <v>38</v>
      </c>
      <c r="K10" s="39" t="s">
        <v>395</v>
      </c>
      <c r="L10" s="39">
        <v>3</v>
      </c>
      <c r="N10" s="39">
        <v>4</v>
      </c>
      <c r="O10" s="39">
        <v>0.3</v>
      </c>
      <c r="P10" s="39">
        <v>0.2</v>
      </c>
      <c r="Q10" s="61">
        <f t="shared" si="0"/>
        <v>0.25</v>
      </c>
      <c r="R10" s="39">
        <v>18.399999999999999</v>
      </c>
      <c r="S10" s="39">
        <v>138</v>
      </c>
      <c r="T10" s="45">
        <f t="shared" si="1"/>
        <v>30</v>
      </c>
      <c r="U10" s="39">
        <v>734</v>
      </c>
      <c r="V10" s="45">
        <f t="shared" si="2"/>
        <v>5505</v>
      </c>
      <c r="W10" s="39">
        <v>10</v>
      </c>
      <c r="X10" s="39" t="s">
        <v>46</v>
      </c>
      <c r="Y10" s="39" t="s">
        <v>40</v>
      </c>
      <c r="Z10" s="39" t="s">
        <v>55</v>
      </c>
      <c r="AA10" s="39" t="s">
        <v>47</v>
      </c>
      <c r="AB10" s="39" t="s">
        <v>335</v>
      </c>
      <c r="AE10" s="46" t="s">
        <v>103</v>
      </c>
      <c r="AG10" s="126" t="s">
        <v>295</v>
      </c>
      <c r="AH10" s="62" t="s">
        <v>296</v>
      </c>
      <c r="AL10" s="56"/>
      <c r="AP10" s="47" t="s">
        <v>100</v>
      </c>
      <c r="AR10" s="47" t="s">
        <v>123</v>
      </c>
      <c r="AV10" s="47" t="s">
        <v>106</v>
      </c>
    </row>
    <row r="11" spans="1:53" x14ac:dyDescent="0.15">
      <c r="A11" s="39" t="s">
        <v>34</v>
      </c>
      <c r="B11" s="39" t="s">
        <v>337</v>
      </c>
      <c r="C11" s="39">
        <v>2020</v>
      </c>
      <c r="D11" s="124" t="s">
        <v>343</v>
      </c>
      <c r="E11" s="39" t="s">
        <v>301</v>
      </c>
      <c r="F11" s="39" t="s">
        <v>328</v>
      </c>
      <c r="G11" s="39" t="s">
        <v>36</v>
      </c>
      <c r="H11" s="39" t="s">
        <v>127</v>
      </c>
      <c r="I11" s="39" t="s">
        <v>347</v>
      </c>
      <c r="J11" s="39" t="s">
        <v>80</v>
      </c>
      <c r="K11" s="39" t="s">
        <v>54</v>
      </c>
      <c r="L11" s="39">
        <v>1</v>
      </c>
      <c r="N11" s="39">
        <v>1</v>
      </c>
      <c r="O11" s="39">
        <v>1</v>
      </c>
      <c r="P11" s="39">
        <v>1.45</v>
      </c>
      <c r="Q11" s="61">
        <f t="shared" si="0"/>
        <v>1.2250000000000001</v>
      </c>
      <c r="R11" s="39">
        <v>16.7</v>
      </c>
      <c r="S11" s="39">
        <v>97.5</v>
      </c>
      <c r="T11" s="45">
        <f t="shared" si="1"/>
        <v>36</v>
      </c>
      <c r="U11" s="39">
        <v>105</v>
      </c>
      <c r="V11" s="45">
        <f t="shared" si="2"/>
        <v>3780</v>
      </c>
      <c r="W11" s="39">
        <v>10</v>
      </c>
      <c r="X11" s="39" t="s">
        <v>46</v>
      </c>
      <c r="Y11" s="39" t="s">
        <v>40</v>
      </c>
      <c r="Z11" s="39" t="s">
        <v>55</v>
      </c>
      <c r="AA11" s="39" t="s">
        <v>47</v>
      </c>
      <c r="AB11" s="39" t="s">
        <v>335</v>
      </c>
      <c r="AE11" s="46" t="s">
        <v>65</v>
      </c>
      <c r="AG11" s="126" t="s">
        <v>149</v>
      </c>
      <c r="AH11" s="62" t="s">
        <v>297</v>
      </c>
      <c r="AL11" s="56"/>
      <c r="AP11" s="47" t="s">
        <v>104</v>
      </c>
      <c r="AR11" s="47" t="s">
        <v>87</v>
      </c>
      <c r="AV11" s="47" t="s">
        <v>69</v>
      </c>
    </row>
    <row r="12" spans="1:53" x14ac:dyDescent="0.15">
      <c r="A12" s="39" t="s">
        <v>34</v>
      </c>
      <c r="B12" s="39" t="s">
        <v>337</v>
      </c>
      <c r="C12" s="39">
        <v>2020</v>
      </c>
      <c r="D12" s="124" t="s">
        <v>343</v>
      </c>
      <c r="E12" s="39" t="s">
        <v>301</v>
      </c>
      <c r="F12" s="39" t="s">
        <v>328</v>
      </c>
      <c r="G12" s="39" t="s">
        <v>36</v>
      </c>
      <c r="H12" s="39" t="s">
        <v>127</v>
      </c>
      <c r="I12" s="39" t="s">
        <v>347</v>
      </c>
      <c r="J12" s="39" t="s">
        <v>80</v>
      </c>
      <c r="K12" s="39" t="s">
        <v>54</v>
      </c>
      <c r="L12" s="39">
        <v>2</v>
      </c>
      <c r="N12" s="39">
        <v>1</v>
      </c>
      <c r="O12" s="39">
        <v>0.45</v>
      </c>
      <c r="P12" s="39">
        <v>0.65</v>
      </c>
      <c r="Q12" s="61">
        <f t="shared" si="0"/>
        <v>0.55000000000000004</v>
      </c>
      <c r="R12" s="39">
        <v>14.5</v>
      </c>
      <c r="S12" s="39">
        <v>102</v>
      </c>
      <c r="T12" s="45">
        <f t="shared" si="1"/>
        <v>33</v>
      </c>
      <c r="U12" s="39">
        <v>105</v>
      </c>
      <c r="V12" s="45">
        <f t="shared" si="2"/>
        <v>3465</v>
      </c>
      <c r="W12" s="39">
        <v>10</v>
      </c>
      <c r="X12" s="39" t="s">
        <v>46</v>
      </c>
      <c r="Y12" s="39" t="s">
        <v>40</v>
      </c>
      <c r="Z12" s="39" t="s">
        <v>55</v>
      </c>
      <c r="AA12" s="39" t="s">
        <v>47</v>
      </c>
      <c r="AB12" s="39" t="s">
        <v>335</v>
      </c>
      <c r="AE12" s="46" t="s">
        <v>70</v>
      </c>
      <c r="AG12" s="52"/>
      <c r="AH12" s="47"/>
      <c r="AL12" s="56"/>
      <c r="AP12" s="47" t="s">
        <v>67</v>
      </c>
      <c r="AR12" s="47" t="s">
        <v>124</v>
      </c>
      <c r="AV12" s="47" t="s">
        <v>72</v>
      </c>
    </row>
    <row r="13" spans="1:53" x14ac:dyDescent="0.15">
      <c r="A13" s="39" t="s">
        <v>34</v>
      </c>
      <c r="B13" s="39" t="s">
        <v>337</v>
      </c>
      <c r="C13" s="39">
        <v>2020</v>
      </c>
      <c r="D13" s="124" t="s">
        <v>343</v>
      </c>
      <c r="E13" s="39" t="s">
        <v>301</v>
      </c>
      <c r="F13" s="39" t="s">
        <v>328</v>
      </c>
      <c r="G13" s="39" t="s">
        <v>36</v>
      </c>
      <c r="H13" s="39" t="s">
        <v>127</v>
      </c>
      <c r="I13" s="39" t="s">
        <v>347</v>
      </c>
      <c r="J13" s="39" t="s">
        <v>80</v>
      </c>
      <c r="K13" s="39" t="s">
        <v>54</v>
      </c>
      <c r="L13" s="39">
        <v>3</v>
      </c>
      <c r="N13" s="39">
        <v>1</v>
      </c>
      <c r="O13" s="39">
        <v>0.8</v>
      </c>
      <c r="P13" s="39">
        <v>1</v>
      </c>
      <c r="Q13" s="61">
        <f t="shared" si="0"/>
        <v>0.9</v>
      </c>
      <c r="R13" s="39">
        <v>15</v>
      </c>
      <c r="S13" s="39">
        <v>98.5</v>
      </c>
      <c r="T13" s="45">
        <f t="shared" si="1"/>
        <v>36</v>
      </c>
      <c r="U13" s="39">
        <v>105</v>
      </c>
      <c r="V13" s="45">
        <f t="shared" si="2"/>
        <v>3780</v>
      </c>
      <c r="W13" s="39">
        <v>10</v>
      </c>
      <c r="X13" s="39" t="s">
        <v>46</v>
      </c>
      <c r="Y13" s="39" t="s">
        <v>40</v>
      </c>
      <c r="Z13" s="39" t="s">
        <v>55</v>
      </c>
      <c r="AA13" s="39" t="s">
        <v>47</v>
      </c>
      <c r="AB13" s="39" t="s">
        <v>335</v>
      </c>
      <c r="AE13" s="46" t="s">
        <v>73</v>
      </c>
      <c r="AH13" s="52"/>
      <c r="AP13" s="47" t="s">
        <v>71</v>
      </c>
      <c r="AR13" s="47" t="s">
        <v>103</v>
      </c>
      <c r="AV13" s="47" t="s">
        <v>75</v>
      </c>
    </row>
    <row r="14" spans="1:53" x14ac:dyDescent="0.15">
      <c r="A14" s="39" t="s">
        <v>34</v>
      </c>
      <c r="B14" s="39" t="s">
        <v>337</v>
      </c>
      <c r="C14" s="39">
        <v>2020</v>
      </c>
      <c r="D14" s="124" t="s">
        <v>343</v>
      </c>
      <c r="E14" s="39" t="s">
        <v>301</v>
      </c>
      <c r="F14" s="39" t="s">
        <v>328</v>
      </c>
      <c r="G14" s="39" t="s">
        <v>36</v>
      </c>
      <c r="H14" s="39" t="s">
        <v>127</v>
      </c>
      <c r="I14" s="39" t="s">
        <v>347</v>
      </c>
      <c r="J14" s="39" t="s">
        <v>80</v>
      </c>
      <c r="K14" s="39" t="s">
        <v>59</v>
      </c>
      <c r="L14" s="39">
        <v>1</v>
      </c>
      <c r="N14" s="39">
        <v>4</v>
      </c>
      <c r="O14" s="39">
        <v>0.75</v>
      </c>
      <c r="P14" s="39">
        <v>0.65</v>
      </c>
      <c r="Q14" s="61">
        <f t="shared" si="0"/>
        <v>0.7</v>
      </c>
      <c r="R14" s="39">
        <v>12.5</v>
      </c>
      <c r="S14" s="39">
        <v>88.5</v>
      </c>
      <c r="T14" s="45">
        <f t="shared" si="1"/>
        <v>36</v>
      </c>
      <c r="U14" s="39">
        <v>429</v>
      </c>
      <c r="V14" s="45">
        <f t="shared" si="2"/>
        <v>3861</v>
      </c>
      <c r="W14" s="39">
        <v>10</v>
      </c>
      <c r="X14" s="39" t="s">
        <v>46</v>
      </c>
      <c r="Y14" s="39" t="s">
        <v>40</v>
      </c>
      <c r="Z14" s="39" t="s">
        <v>55</v>
      </c>
      <c r="AA14" s="39" t="s">
        <v>47</v>
      </c>
      <c r="AB14" s="39" t="s">
        <v>335</v>
      </c>
      <c r="AE14" s="46" t="s">
        <v>76</v>
      </c>
      <c r="AG14" s="63"/>
      <c r="AP14" s="47" t="s">
        <v>74</v>
      </c>
      <c r="AR14" s="47" t="s">
        <v>125</v>
      </c>
      <c r="AV14" s="47" t="s">
        <v>78</v>
      </c>
    </row>
    <row r="15" spans="1:53" x14ac:dyDescent="0.15">
      <c r="A15" s="39" t="s">
        <v>34</v>
      </c>
      <c r="B15" s="39" t="s">
        <v>337</v>
      </c>
      <c r="C15" s="39">
        <v>2020</v>
      </c>
      <c r="D15" s="124" t="s">
        <v>343</v>
      </c>
      <c r="E15" s="39" t="s">
        <v>301</v>
      </c>
      <c r="F15" s="39" t="s">
        <v>328</v>
      </c>
      <c r="G15" s="39" t="s">
        <v>36</v>
      </c>
      <c r="H15" s="39" t="s">
        <v>127</v>
      </c>
      <c r="I15" s="39" t="s">
        <v>347</v>
      </c>
      <c r="J15" s="39" t="s">
        <v>80</v>
      </c>
      <c r="K15" s="39" t="s">
        <v>59</v>
      </c>
      <c r="L15" s="39">
        <v>2</v>
      </c>
      <c r="N15" s="39">
        <v>4</v>
      </c>
      <c r="O15" s="39">
        <v>0.85</v>
      </c>
      <c r="P15" s="39">
        <v>0.95</v>
      </c>
      <c r="Q15" s="61">
        <f t="shared" si="0"/>
        <v>0.89999999999999991</v>
      </c>
      <c r="R15" s="39">
        <v>14.1</v>
      </c>
      <c r="S15" s="39">
        <v>94</v>
      </c>
      <c r="T15" s="45">
        <f t="shared" si="1"/>
        <v>36</v>
      </c>
      <c r="U15" s="39">
        <v>429</v>
      </c>
      <c r="V15" s="45">
        <f t="shared" si="2"/>
        <v>3861</v>
      </c>
      <c r="W15" s="39">
        <v>10</v>
      </c>
      <c r="X15" s="39" t="s">
        <v>46</v>
      </c>
      <c r="Y15" s="39" t="s">
        <v>40</v>
      </c>
      <c r="Z15" s="39" t="s">
        <v>55</v>
      </c>
      <c r="AA15" s="39" t="s">
        <v>47</v>
      </c>
      <c r="AB15" s="39" t="s">
        <v>335</v>
      </c>
      <c r="AE15" s="46" t="s">
        <v>79</v>
      </c>
      <c r="AP15" s="47" t="s">
        <v>77</v>
      </c>
      <c r="AR15" s="47" t="s">
        <v>94</v>
      </c>
      <c r="AV15" s="47" t="s">
        <v>107</v>
      </c>
    </row>
    <row r="16" spans="1:53" x14ac:dyDescent="0.15">
      <c r="A16" s="39" t="s">
        <v>34</v>
      </c>
      <c r="B16" s="39" t="s">
        <v>337</v>
      </c>
      <c r="C16" s="39">
        <v>2020</v>
      </c>
      <c r="D16" s="124" t="s">
        <v>343</v>
      </c>
      <c r="E16" s="39" t="s">
        <v>301</v>
      </c>
      <c r="F16" s="39" t="s">
        <v>328</v>
      </c>
      <c r="G16" s="39" t="s">
        <v>36</v>
      </c>
      <c r="H16" s="39" t="s">
        <v>127</v>
      </c>
      <c r="I16" s="39" t="s">
        <v>347</v>
      </c>
      <c r="J16" s="39" t="s">
        <v>80</v>
      </c>
      <c r="K16" s="39" t="s">
        <v>59</v>
      </c>
      <c r="L16" s="39">
        <v>3</v>
      </c>
      <c r="N16" s="39">
        <v>4</v>
      </c>
      <c r="O16" s="39">
        <v>0.8</v>
      </c>
      <c r="P16" s="39">
        <v>1.5</v>
      </c>
      <c r="Q16" s="61">
        <f t="shared" si="0"/>
        <v>1.1499999999999999</v>
      </c>
      <c r="R16" s="39">
        <v>12.8</v>
      </c>
      <c r="S16" s="39">
        <v>93.5</v>
      </c>
      <c r="T16" s="45">
        <f t="shared" si="1"/>
        <v>36</v>
      </c>
      <c r="U16" s="39">
        <v>429</v>
      </c>
      <c r="V16" s="45">
        <f t="shared" si="2"/>
        <v>3861</v>
      </c>
      <c r="W16" s="39">
        <v>10</v>
      </c>
      <c r="X16" s="39" t="s">
        <v>46</v>
      </c>
      <c r="Y16" s="39" t="s">
        <v>40</v>
      </c>
      <c r="Z16" s="39" t="s">
        <v>55</v>
      </c>
      <c r="AA16" s="39" t="s">
        <v>47</v>
      </c>
      <c r="AB16" s="39" t="s">
        <v>335</v>
      </c>
      <c r="AE16" s="46" t="s">
        <v>82</v>
      </c>
      <c r="AP16" s="47" t="s">
        <v>80</v>
      </c>
      <c r="AR16" s="47" t="s">
        <v>63</v>
      </c>
      <c r="AV16" s="47" t="s">
        <v>84</v>
      </c>
    </row>
    <row r="17" spans="1:48" x14ac:dyDescent="0.15">
      <c r="A17" s="39" t="s">
        <v>34</v>
      </c>
      <c r="B17" s="39" t="s">
        <v>337</v>
      </c>
      <c r="C17" s="39">
        <v>2020</v>
      </c>
      <c r="D17" s="124" t="s">
        <v>343</v>
      </c>
      <c r="E17" s="39" t="s">
        <v>256</v>
      </c>
      <c r="F17" s="39" t="s">
        <v>300</v>
      </c>
      <c r="G17" s="39" t="s">
        <v>36</v>
      </c>
      <c r="H17" s="39" t="s">
        <v>146</v>
      </c>
      <c r="I17" s="39" t="s">
        <v>347</v>
      </c>
      <c r="J17" s="39" t="s">
        <v>38</v>
      </c>
      <c r="K17" s="39" t="s">
        <v>395</v>
      </c>
      <c r="L17" s="39">
        <v>1</v>
      </c>
      <c r="N17" s="39">
        <v>1</v>
      </c>
      <c r="O17" s="39">
        <v>0.95</v>
      </c>
      <c r="P17" s="39">
        <v>1</v>
      </c>
      <c r="Q17" s="61">
        <f t="shared" si="0"/>
        <v>0.97499999999999998</v>
      </c>
      <c r="R17" s="39">
        <v>14.6</v>
      </c>
      <c r="S17" s="39">
        <v>117</v>
      </c>
      <c r="T17" s="45">
        <f t="shared" si="1"/>
        <v>30</v>
      </c>
      <c r="U17" s="39">
        <v>105</v>
      </c>
      <c r="V17" s="45">
        <f t="shared" si="2"/>
        <v>3150</v>
      </c>
      <c r="W17" s="39">
        <v>14</v>
      </c>
      <c r="X17" s="39" t="s">
        <v>46</v>
      </c>
      <c r="Y17" s="39" t="s">
        <v>55</v>
      </c>
      <c r="Z17" s="39" t="s">
        <v>40</v>
      </c>
      <c r="AA17" s="39" t="s">
        <v>47</v>
      </c>
      <c r="AB17" s="39" t="s">
        <v>335</v>
      </c>
      <c r="AE17" s="46" t="s">
        <v>85</v>
      </c>
      <c r="AP17" s="51" t="s">
        <v>110</v>
      </c>
      <c r="AR17" s="47" t="s">
        <v>96</v>
      </c>
      <c r="AV17" s="47" t="s">
        <v>86</v>
      </c>
    </row>
    <row r="18" spans="1:48" x14ac:dyDescent="0.15">
      <c r="A18" s="39" t="s">
        <v>34</v>
      </c>
      <c r="B18" s="39" t="s">
        <v>337</v>
      </c>
      <c r="C18" s="39">
        <v>2020</v>
      </c>
      <c r="D18" s="124" t="s">
        <v>343</v>
      </c>
      <c r="E18" s="39" t="s">
        <v>256</v>
      </c>
      <c r="F18" s="39" t="s">
        <v>300</v>
      </c>
      <c r="G18" s="39" t="s">
        <v>36</v>
      </c>
      <c r="H18" s="39" t="s">
        <v>146</v>
      </c>
      <c r="I18" s="39" t="s">
        <v>347</v>
      </c>
      <c r="J18" s="39" t="s">
        <v>38</v>
      </c>
      <c r="K18" s="39" t="s">
        <v>395</v>
      </c>
      <c r="L18" s="39">
        <v>2</v>
      </c>
      <c r="N18" s="39">
        <v>1</v>
      </c>
      <c r="O18" s="39">
        <v>0.6</v>
      </c>
      <c r="P18" s="39">
        <v>0.5</v>
      </c>
      <c r="Q18" s="61">
        <f t="shared" si="0"/>
        <v>0.55000000000000004</v>
      </c>
      <c r="R18" s="39">
        <v>17.2</v>
      </c>
      <c r="S18" s="39">
        <v>113</v>
      </c>
      <c r="T18" s="45">
        <f t="shared" si="1"/>
        <v>30</v>
      </c>
      <c r="U18" s="39">
        <v>105</v>
      </c>
      <c r="V18" s="45">
        <f t="shared" si="2"/>
        <v>3150</v>
      </c>
      <c r="W18" s="39">
        <v>14</v>
      </c>
      <c r="X18" s="39" t="s">
        <v>46</v>
      </c>
      <c r="Y18" s="39" t="s">
        <v>55</v>
      </c>
      <c r="Z18" s="39" t="s">
        <v>40</v>
      </c>
      <c r="AA18" s="39" t="s">
        <v>47</v>
      </c>
      <c r="AB18" s="39" t="s">
        <v>335</v>
      </c>
      <c r="AE18" s="46" t="s">
        <v>87</v>
      </c>
      <c r="AP18" s="51" t="s">
        <v>111</v>
      </c>
      <c r="AR18" s="47" t="s">
        <v>101</v>
      </c>
      <c r="AV18" s="47" t="s">
        <v>88</v>
      </c>
    </row>
    <row r="19" spans="1:48" x14ac:dyDescent="0.15">
      <c r="A19" s="39" t="s">
        <v>34</v>
      </c>
      <c r="B19" s="39" t="s">
        <v>337</v>
      </c>
      <c r="C19" s="39">
        <v>2020</v>
      </c>
      <c r="D19" s="124" t="s">
        <v>343</v>
      </c>
      <c r="E19" s="39" t="s">
        <v>256</v>
      </c>
      <c r="F19" s="39" t="s">
        <v>300</v>
      </c>
      <c r="G19" s="39" t="s">
        <v>36</v>
      </c>
      <c r="H19" s="39" t="s">
        <v>146</v>
      </c>
      <c r="I19" s="39" t="s">
        <v>347</v>
      </c>
      <c r="J19" s="39" t="s">
        <v>38</v>
      </c>
      <c r="K19" s="39" t="s">
        <v>395</v>
      </c>
      <c r="L19" s="39">
        <v>3</v>
      </c>
      <c r="N19" s="39">
        <v>1</v>
      </c>
      <c r="O19" s="39">
        <v>0.9</v>
      </c>
      <c r="P19" s="39">
        <v>0.9</v>
      </c>
      <c r="Q19" s="61">
        <f t="shared" si="0"/>
        <v>0.9</v>
      </c>
      <c r="R19" s="39">
        <v>15.1</v>
      </c>
      <c r="S19" s="39">
        <v>109.5</v>
      </c>
      <c r="T19" s="45">
        <f t="shared" si="1"/>
        <v>33</v>
      </c>
      <c r="U19" s="39">
        <v>105</v>
      </c>
      <c r="V19" s="45">
        <f t="shared" si="2"/>
        <v>3465</v>
      </c>
      <c r="W19" s="39">
        <v>14</v>
      </c>
      <c r="X19" s="39" t="s">
        <v>46</v>
      </c>
      <c r="Y19" s="39" t="s">
        <v>55</v>
      </c>
      <c r="Z19" s="39" t="s">
        <v>40</v>
      </c>
      <c r="AA19" s="39" t="s">
        <v>47</v>
      </c>
      <c r="AB19" s="39" t="s">
        <v>335</v>
      </c>
      <c r="AE19" s="57" t="s">
        <v>89</v>
      </c>
      <c r="AP19" s="51" t="s">
        <v>112</v>
      </c>
      <c r="AR19" s="47" t="s">
        <v>126</v>
      </c>
      <c r="AV19" s="47" t="s">
        <v>90</v>
      </c>
    </row>
    <row r="20" spans="1:48" x14ac:dyDescent="0.15">
      <c r="A20" s="39" t="s">
        <v>34</v>
      </c>
      <c r="B20" s="39" t="s">
        <v>337</v>
      </c>
      <c r="C20" s="39">
        <v>2020</v>
      </c>
      <c r="D20" s="124" t="s">
        <v>343</v>
      </c>
      <c r="E20" s="39" t="s">
        <v>256</v>
      </c>
      <c r="F20" s="39" t="s">
        <v>300</v>
      </c>
      <c r="G20" s="39" t="s">
        <v>36</v>
      </c>
      <c r="H20" s="39" t="s">
        <v>146</v>
      </c>
      <c r="I20" s="39" t="s">
        <v>347</v>
      </c>
      <c r="J20" s="39" t="s">
        <v>38</v>
      </c>
      <c r="K20" s="39" t="s">
        <v>395</v>
      </c>
      <c r="L20" s="39">
        <v>1</v>
      </c>
      <c r="N20" s="39">
        <v>8</v>
      </c>
      <c r="O20" s="39">
        <v>0.9</v>
      </c>
      <c r="P20" s="39">
        <v>0.8</v>
      </c>
      <c r="Q20" s="61">
        <f t="shared" si="0"/>
        <v>0.85000000000000009</v>
      </c>
      <c r="R20" s="39">
        <v>16.8</v>
      </c>
      <c r="S20" s="39">
        <v>107</v>
      </c>
      <c r="T20" s="45">
        <f t="shared" si="1"/>
        <v>33</v>
      </c>
      <c r="U20" s="39">
        <v>1058</v>
      </c>
      <c r="V20" s="45">
        <f t="shared" si="2"/>
        <v>4364.25</v>
      </c>
      <c r="W20" s="39">
        <v>14</v>
      </c>
      <c r="X20" s="39" t="s">
        <v>46</v>
      </c>
      <c r="Y20" s="39" t="s">
        <v>55</v>
      </c>
      <c r="Z20" s="39" t="s">
        <v>40</v>
      </c>
      <c r="AA20" s="39" t="s">
        <v>47</v>
      </c>
      <c r="AB20" s="39" t="s">
        <v>335</v>
      </c>
      <c r="AP20" s="51" t="s">
        <v>113</v>
      </c>
      <c r="AR20" s="47" t="s">
        <v>105</v>
      </c>
      <c r="AV20" s="51" t="s">
        <v>135</v>
      </c>
    </row>
    <row r="21" spans="1:48" x14ac:dyDescent="0.15">
      <c r="A21" s="39" t="s">
        <v>34</v>
      </c>
      <c r="B21" s="39" t="s">
        <v>337</v>
      </c>
      <c r="C21" s="39">
        <v>2020</v>
      </c>
      <c r="D21" s="124" t="s">
        <v>343</v>
      </c>
      <c r="E21" s="39" t="s">
        <v>256</v>
      </c>
      <c r="F21" s="39" t="s">
        <v>300</v>
      </c>
      <c r="G21" s="39" t="s">
        <v>36</v>
      </c>
      <c r="H21" s="39" t="s">
        <v>146</v>
      </c>
      <c r="I21" s="39" t="s">
        <v>347</v>
      </c>
      <c r="J21" s="39" t="s">
        <v>38</v>
      </c>
      <c r="K21" s="39" t="s">
        <v>395</v>
      </c>
      <c r="L21" s="39">
        <v>2</v>
      </c>
      <c r="N21" s="39">
        <v>8</v>
      </c>
      <c r="O21" s="39">
        <v>1</v>
      </c>
      <c r="P21" s="39">
        <v>1</v>
      </c>
      <c r="Q21" s="61">
        <f t="shared" si="0"/>
        <v>1</v>
      </c>
      <c r="R21" s="39">
        <v>14.7</v>
      </c>
      <c r="S21" s="39">
        <v>107</v>
      </c>
      <c r="T21" s="45">
        <f t="shared" si="1"/>
        <v>33</v>
      </c>
      <c r="U21" s="39">
        <v>1058</v>
      </c>
      <c r="V21" s="45">
        <f t="shared" si="2"/>
        <v>4364.25</v>
      </c>
      <c r="W21" s="39">
        <v>14</v>
      </c>
      <c r="X21" s="39" t="s">
        <v>46</v>
      </c>
      <c r="Y21" s="39" t="s">
        <v>55</v>
      </c>
      <c r="Z21" s="39" t="s">
        <v>40</v>
      </c>
      <c r="AA21" s="39" t="s">
        <v>47</v>
      </c>
      <c r="AB21" s="39" t="s">
        <v>335</v>
      </c>
      <c r="AP21" s="51" t="s">
        <v>114</v>
      </c>
      <c r="AR21" s="47" t="s">
        <v>68</v>
      </c>
      <c r="AV21" s="51" t="s">
        <v>136</v>
      </c>
    </row>
    <row r="22" spans="1:48" x14ac:dyDescent="0.15">
      <c r="A22" s="39" t="s">
        <v>34</v>
      </c>
      <c r="B22" s="39" t="s">
        <v>337</v>
      </c>
      <c r="C22" s="39">
        <v>2020</v>
      </c>
      <c r="D22" s="124" t="s">
        <v>343</v>
      </c>
      <c r="E22" s="39" t="s">
        <v>256</v>
      </c>
      <c r="F22" s="39" t="s">
        <v>300</v>
      </c>
      <c r="G22" s="39" t="s">
        <v>36</v>
      </c>
      <c r="H22" s="39" t="s">
        <v>146</v>
      </c>
      <c r="I22" s="39" t="s">
        <v>347</v>
      </c>
      <c r="J22" s="39" t="s">
        <v>38</v>
      </c>
      <c r="K22" s="39" t="s">
        <v>395</v>
      </c>
      <c r="L22" s="39">
        <v>3</v>
      </c>
      <c r="N22" s="39">
        <v>8</v>
      </c>
      <c r="O22" s="39">
        <v>1</v>
      </c>
      <c r="P22" s="39">
        <v>0.75</v>
      </c>
      <c r="Q22" s="61">
        <f t="shared" si="0"/>
        <v>0.875</v>
      </c>
      <c r="R22" s="39">
        <v>16.3</v>
      </c>
      <c r="S22" s="39">
        <v>98</v>
      </c>
      <c r="T22" s="45">
        <f t="shared" si="1"/>
        <v>36</v>
      </c>
      <c r="U22" s="39">
        <v>1058</v>
      </c>
      <c r="V22" s="45">
        <f t="shared" si="2"/>
        <v>4761</v>
      </c>
      <c r="W22" s="39">
        <v>14</v>
      </c>
      <c r="X22" s="39" t="s">
        <v>46</v>
      </c>
      <c r="Y22" s="39" t="s">
        <v>55</v>
      </c>
      <c r="Z22" s="39" t="s">
        <v>40</v>
      </c>
      <c r="AA22" s="39" t="s">
        <v>47</v>
      </c>
      <c r="AB22" s="39" t="s">
        <v>335</v>
      </c>
      <c r="AP22" s="51" t="s">
        <v>115</v>
      </c>
      <c r="AR22" s="47" t="s">
        <v>83</v>
      </c>
      <c r="AV22" s="51"/>
    </row>
    <row r="23" spans="1:48" x14ac:dyDescent="0.15">
      <c r="A23" s="39" t="s">
        <v>34</v>
      </c>
      <c r="B23" s="39" t="s">
        <v>337</v>
      </c>
      <c r="C23" s="39">
        <v>2020</v>
      </c>
      <c r="D23" s="124" t="s">
        <v>343</v>
      </c>
      <c r="E23" s="39" t="s">
        <v>256</v>
      </c>
      <c r="F23" s="39" t="s">
        <v>300</v>
      </c>
      <c r="G23" s="39" t="s">
        <v>36</v>
      </c>
      <c r="H23" s="39" t="s">
        <v>146</v>
      </c>
      <c r="I23" s="39" t="s">
        <v>347</v>
      </c>
      <c r="J23" s="39" t="s">
        <v>38</v>
      </c>
      <c r="K23" s="39" t="s">
        <v>395</v>
      </c>
      <c r="L23" s="39">
        <v>1</v>
      </c>
      <c r="N23" s="39">
        <v>4</v>
      </c>
      <c r="O23" s="39">
        <v>0.7</v>
      </c>
      <c r="P23" s="39">
        <v>0.5</v>
      </c>
      <c r="Q23" s="61">
        <f t="shared" si="0"/>
        <v>0.6</v>
      </c>
      <c r="R23" s="39">
        <v>17.7</v>
      </c>
      <c r="S23" s="39">
        <v>94.5</v>
      </c>
      <c r="T23" s="45">
        <f t="shared" si="1"/>
        <v>36</v>
      </c>
      <c r="U23" s="39">
        <v>537</v>
      </c>
      <c r="V23" s="45">
        <f t="shared" si="2"/>
        <v>4833</v>
      </c>
      <c r="W23" s="39">
        <v>14</v>
      </c>
      <c r="X23" s="39" t="s">
        <v>46</v>
      </c>
      <c r="Y23" s="39" t="s">
        <v>55</v>
      </c>
      <c r="Z23" s="39" t="s">
        <v>40</v>
      </c>
      <c r="AA23" s="39" t="s">
        <v>47</v>
      </c>
      <c r="AB23" s="39" t="s">
        <v>335</v>
      </c>
      <c r="AP23" s="51" t="s">
        <v>117</v>
      </c>
      <c r="AR23" s="47" t="s">
        <v>257</v>
      </c>
    </row>
    <row r="24" spans="1:48" x14ac:dyDescent="0.15">
      <c r="A24" s="39" t="s">
        <v>34</v>
      </c>
      <c r="B24" s="39" t="s">
        <v>337</v>
      </c>
      <c r="C24" s="39">
        <v>2020</v>
      </c>
      <c r="D24" s="124" t="s">
        <v>343</v>
      </c>
      <c r="E24" s="39" t="s">
        <v>256</v>
      </c>
      <c r="F24" s="39" t="s">
        <v>300</v>
      </c>
      <c r="G24" s="39" t="s">
        <v>36</v>
      </c>
      <c r="H24" s="39" t="s">
        <v>146</v>
      </c>
      <c r="I24" s="39" t="s">
        <v>347</v>
      </c>
      <c r="J24" s="39" t="s">
        <v>38</v>
      </c>
      <c r="K24" s="39" t="s">
        <v>395</v>
      </c>
      <c r="L24" s="39">
        <v>2</v>
      </c>
      <c r="N24" s="39">
        <v>4</v>
      </c>
      <c r="O24" s="39">
        <v>0.75</v>
      </c>
      <c r="P24" s="39">
        <v>0.5</v>
      </c>
      <c r="Q24" s="61">
        <f t="shared" si="0"/>
        <v>0.625</v>
      </c>
      <c r="R24" s="39">
        <v>16.8</v>
      </c>
      <c r="S24" s="39">
        <v>100</v>
      </c>
      <c r="T24" s="45">
        <f t="shared" si="1"/>
        <v>33</v>
      </c>
      <c r="U24" s="39">
        <v>537</v>
      </c>
      <c r="V24" s="45">
        <f t="shared" si="2"/>
        <v>4430.25</v>
      </c>
      <c r="W24" s="39">
        <v>14</v>
      </c>
      <c r="X24" s="39" t="s">
        <v>46</v>
      </c>
      <c r="Y24" s="39" t="s">
        <v>55</v>
      </c>
      <c r="Z24" s="39" t="s">
        <v>40</v>
      </c>
      <c r="AA24" s="39" t="s">
        <v>47</v>
      </c>
      <c r="AB24" s="39" t="s">
        <v>335</v>
      </c>
      <c r="AP24" s="51" t="s">
        <v>118</v>
      </c>
    </row>
    <row r="25" spans="1:48" x14ac:dyDescent="0.15">
      <c r="A25" s="39" t="s">
        <v>34</v>
      </c>
      <c r="B25" s="39" t="s">
        <v>337</v>
      </c>
      <c r="C25" s="39">
        <v>2020</v>
      </c>
      <c r="D25" s="124" t="s">
        <v>343</v>
      </c>
      <c r="E25" s="39" t="s">
        <v>256</v>
      </c>
      <c r="F25" s="39" t="s">
        <v>300</v>
      </c>
      <c r="G25" s="39" t="s">
        <v>36</v>
      </c>
      <c r="H25" s="39" t="s">
        <v>146</v>
      </c>
      <c r="I25" s="39" t="s">
        <v>347</v>
      </c>
      <c r="J25" s="39" t="s">
        <v>38</v>
      </c>
      <c r="K25" s="39" t="s">
        <v>395</v>
      </c>
      <c r="L25" s="39">
        <v>3</v>
      </c>
      <c r="N25" s="39">
        <v>4</v>
      </c>
      <c r="O25" s="39">
        <v>0.65</v>
      </c>
      <c r="P25" s="39">
        <v>0.45</v>
      </c>
      <c r="Q25" s="61">
        <f t="shared" si="0"/>
        <v>0.55000000000000004</v>
      </c>
      <c r="R25" s="39">
        <v>19.100000000000001</v>
      </c>
      <c r="S25" s="39">
        <v>105.5</v>
      </c>
      <c r="T25" s="45">
        <f t="shared" si="1"/>
        <v>33</v>
      </c>
      <c r="U25" s="39">
        <v>537</v>
      </c>
      <c r="V25" s="45">
        <f t="shared" si="2"/>
        <v>4430.25</v>
      </c>
      <c r="W25" s="39">
        <v>14</v>
      </c>
      <c r="X25" s="39" t="s">
        <v>46</v>
      </c>
      <c r="Y25" s="39" t="s">
        <v>55</v>
      </c>
      <c r="Z25" s="39" t="s">
        <v>40</v>
      </c>
      <c r="AA25" s="39" t="s">
        <v>47</v>
      </c>
      <c r="AB25" s="39" t="s">
        <v>335</v>
      </c>
    </row>
    <row r="26" spans="1:48" x14ac:dyDescent="0.15">
      <c r="A26" s="39" t="s">
        <v>34</v>
      </c>
      <c r="B26" s="39" t="s">
        <v>337</v>
      </c>
      <c r="C26" s="39">
        <v>2020</v>
      </c>
      <c r="D26" s="124" t="s">
        <v>343</v>
      </c>
      <c r="E26" s="39" t="s">
        <v>256</v>
      </c>
      <c r="F26" s="39" t="s">
        <v>300</v>
      </c>
      <c r="G26" s="39" t="s">
        <v>36</v>
      </c>
      <c r="H26" s="39" t="s">
        <v>127</v>
      </c>
      <c r="I26" s="39" t="s">
        <v>347</v>
      </c>
      <c r="J26" s="39" t="s">
        <v>80</v>
      </c>
      <c r="K26" s="39" t="s">
        <v>63</v>
      </c>
      <c r="L26" s="39">
        <v>1</v>
      </c>
      <c r="N26" s="39">
        <v>1</v>
      </c>
      <c r="O26" s="39">
        <v>1.1000000000000001</v>
      </c>
      <c r="P26" s="39">
        <v>0.9</v>
      </c>
      <c r="Q26" s="61">
        <f t="shared" si="0"/>
        <v>1</v>
      </c>
      <c r="R26" s="39">
        <v>12.6</v>
      </c>
      <c r="S26" s="39">
        <v>12.9</v>
      </c>
      <c r="T26" s="45">
        <f t="shared" si="1"/>
        <v>50</v>
      </c>
      <c r="U26" s="39">
        <v>149</v>
      </c>
      <c r="V26" s="45">
        <f t="shared" si="2"/>
        <v>7450</v>
      </c>
      <c r="W26" s="39">
        <v>14</v>
      </c>
      <c r="X26" s="39" t="s">
        <v>46</v>
      </c>
      <c r="Y26" s="39" t="s">
        <v>55</v>
      </c>
      <c r="Z26" s="39" t="s">
        <v>40</v>
      </c>
      <c r="AA26" s="39" t="s">
        <v>47</v>
      </c>
      <c r="AB26" s="39" t="s">
        <v>335</v>
      </c>
    </row>
    <row r="27" spans="1:48" x14ac:dyDescent="0.15">
      <c r="A27" s="39" t="s">
        <v>34</v>
      </c>
      <c r="B27" s="39" t="s">
        <v>337</v>
      </c>
      <c r="C27" s="39">
        <v>2020</v>
      </c>
      <c r="D27" s="124" t="s">
        <v>343</v>
      </c>
      <c r="E27" s="39" t="s">
        <v>256</v>
      </c>
      <c r="F27" s="39" t="s">
        <v>300</v>
      </c>
      <c r="G27" s="39" t="s">
        <v>36</v>
      </c>
      <c r="H27" s="39" t="s">
        <v>127</v>
      </c>
      <c r="I27" s="39" t="s">
        <v>347</v>
      </c>
      <c r="J27" s="39" t="s">
        <v>80</v>
      </c>
      <c r="K27" s="39" t="s">
        <v>63</v>
      </c>
      <c r="L27" s="39">
        <v>2</v>
      </c>
      <c r="N27" s="39">
        <v>1</v>
      </c>
      <c r="O27" s="39">
        <v>0.8</v>
      </c>
      <c r="P27" s="39">
        <v>0.5</v>
      </c>
      <c r="Q27" s="61">
        <f t="shared" si="0"/>
        <v>0.65</v>
      </c>
      <c r="R27" s="39">
        <v>12.2</v>
      </c>
      <c r="S27" s="39">
        <v>143.5</v>
      </c>
      <c r="T27" s="45">
        <f t="shared" si="1"/>
        <v>30</v>
      </c>
      <c r="U27" s="39">
        <v>149</v>
      </c>
      <c r="V27" s="45">
        <f t="shared" si="2"/>
        <v>4470</v>
      </c>
      <c r="W27" s="39">
        <v>14</v>
      </c>
      <c r="X27" s="39" t="s">
        <v>46</v>
      </c>
      <c r="Y27" s="39" t="s">
        <v>55</v>
      </c>
      <c r="Z27" s="39" t="s">
        <v>40</v>
      </c>
      <c r="AA27" s="39" t="s">
        <v>47</v>
      </c>
      <c r="AB27" s="39" t="s">
        <v>335</v>
      </c>
    </row>
    <row r="28" spans="1:48" x14ac:dyDescent="0.15">
      <c r="A28" s="39" t="s">
        <v>34</v>
      </c>
      <c r="B28" s="39" t="s">
        <v>337</v>
      </c>
      <c r="C28" s="39">
        <v>2020</v>
      </c>
      <c r="D28" s="124" t="s">
        <v>343</v>
      </c>
      <c r="E28" s="39" t="s">
        <v>256</v>
      </c>
      <c r="F28" s="39" t="s">
        <v>300</v>
      </c>
      <c r="G28" s="39" t="s">
        <v>36</v>
      </c>
      <c r="H28" s="39" t="s">
        <v>127</v>
      </c>
      <c r="I28" s="39" t="s">
        <v>347</v>
      </c>
      <c r="J28" s="39" t="s">
        <v>80</v>
      </c>
      <c r="K28" s="39" t="s">
        <v>63</v>
      </c>
      <c r="L28" s="39">
        <v>3</v>
      </c>
      <c r="N28" s="39">
        <v>1</v>
      </c>
      <c r="O28" s="39">
        <v>0.95</v>
      </c>
      <c r="P28" s="39">
        <v>1.5</v>
      </c>
      <c r="Q28" s="61">
        <f>IF(OR(O28="",P28=""),"",AVERAGE(O28,P28))</f>
        <v>1.2250000000000001</v>
      </c>
      <c r="R28" s="39">
        <v>10.5</v>
      </c>
      <c r="S28" s="39">
        <v>137</v>
      </c>
      <c r="T28" s="45">
        <f t="shared" si="1"/>
        <v>30</v>
      </c>
      <c r="U28" s="39">
        <v>149</v>
      </c>
      <c r="V28" s="45">
        <f t="shared" si="2"/>
        <v>4470</v>
      </c>
      <c r="W28" s="39">
        <v>14</v>
      </c>
      <c r="X28" s="39" t="s">
        <v>46</v>
      </c>
      <c r="Y28" s="39" t="s">
        <v>55</v>
      </c>
      <c r="Z28" s="39" t="s">
        <v>40</v>
      </c>
      <c r="AA28" s="39" t="s">
        <v>47</v>
      </c>
      <c r="AB28" s="39" t="s">
        <v>335</v>
      </c>
    </row>
    <row r="29" spans="1:48" x14ac:dyDescent="0.15">
      <c r="A29" s="39" t="s">
        <v>34</v>
      </c>
      <c r="B29" s="39" t="s">
        <v>337</v>
      </c>
      <c r="C29" s="39">
        <v>2020</v>
      </c>
      <c r="D29" s="124" t="s">
        <v>343</v>
      </c>
      <c r="E29" s="39" t="s">
        <v>256</v>
      </c>
      <c r="F29" s="39" t="s">
        <v>300</v>
      </c>
      <c r="G29" s="39" t="s">
        <v>36</v>
      </c>
      <c r="H29" s="39" t="s">
        <v>127</v>
      </c>
      <c r="I29" s="39" t="s">
        <v>347</v>
      </c>
      <c r="J29" s="39" t="s">
        <v>80</v>
      </c>
      <c r="K29" s="39" t="s">
        <v>63</v>
      </c>
      <c r="L29" s="39">
        <v>1</v>
      </c>
      <c r="N29" s="39">
        <v>4</v>
      </c>
      <c r="O29" s="39">
        <v>0.85</v>
      </c>
      <c r="P29" s="39">
        <v>0.95</v>
      </c>
      <c r="Q29" s="61">
        <f t="shared" si="0"/>
        <v>0.89999999999999991</v>
      </c>
      <c r="R29" s="39">
        <v>13.8</v>
      </c>
      <c r="S29" s="39">
        <v>84.5</v>
      </c>
      <c r="T29" s="45">
        <f t="shared" si="1"/>
        <v>36</v>
      </c>
      <c r="U29" s="39">
        <v>386</v>
      </c>
      <c r="V29" s="45">
        <f t="shared" si="2"/>
        <v>3474</v>
      </c>
      <c r="W29" s="39">
        <v>14</v>
      </c>
      <c r="X29" s="39" t="s">
        <v>46</v>
      </c>
      <c r="Y29" s="39" t="s">
        <v>55</v>
      </c>
      <c r="Z29" s="39" t="s">
        <v>40</v>
      </c>
      <c r="AA29" s="39" t="s">
        <v>47</v>
      </c>
      <c r="AB29" s="39" t="s">
        <v>335</v>
      </c>
    </row>
    <row r="30" spans="1:48" x14ac:dyDescent="0.15">
      <c r="A30" s="39" t="s">
        <v>34</v>
      </c>
      <c r="B30" s="39" t="s">
        <v>337</v>
      </c>
      <c r="C30" s="39">
        <v>2020</v>
      </c>
      <c r="D30" s="124" t="s">
        <v>343</v>
      </c>
      <c r="E30" s="39" t="s">
        <v>256</v>
      </c>
      <c r="F30" s="39" t="s">
        <v>300</v>
      </c>
      <c r="G30" s="39" t="s">
        <v>36</v>
      </c>
      <c r="H30" s="39" t="s">
        <v>127</v>
      </c>
      <c r="I30" s="39" t="s">
        <v>347</v>
      </c>
      <c r="J30" s="39" t="s">
        <v>80</v>
      </c>
      <c r="K30" s="39" t="s">
        <v>63</v>
      </c>
      <c r="L30" s="39">
        <v>2</v>
      </c>
      <c r="N30" s="39">
        <v>4</v>
      </c>
      <c r="O30" s="39">
        <v>0.65</v>
      </c>
      <c r="P30" s="39">
        <v>0.65</v>
      </c>
      <c r="Q30" s="61">
        <f t="shared" si="0"/>
        <v>0.65</v>
      </c>
      <c r="R30" s="39">
        <v>13</v>
      </c>
      <c r="S30" s="39">
        <v>86</v>
      </c>
      <c r="T30" s="45">
        <f t="shared" si="1"/>
        <v>36</v>
      </c>
      <c r="U30" s="39">
        <v>386</v>
      </c>
      <c r="V30" s="45">
        <f t="shared" si="2"/>
        <v>3474</v>
      </c>
      <c r="W30" s="39">
        <v>14</v>
      </c>
      <c r="X30" s="39" t="s">
        <v>46</v>
      </c>
      <c r="Y30" s="39" t="s">
        <v>55</v>
      </c>
      <c r="Z30" s="39" t="s">
        <v>40</v>
      </c>
      <c r="AA30" s="39" t="s">
        <v>47</v>
      </c>
      <c r="AB30" s="39" t="s">
        <v>335</v>
      </c>
    </row>
    <row r="31" spans="1:48" x14ac:dyDescent="0.15">
      <c r="A31" s="39" t="s">
        <v>34</v>
      </c>
      <c r="B31" s="39" t="s">
        <v>337</v>
      </c>
      <c r="C31" s="39">
        <v>2020</v>
      </c>
      <c r="D31" s="124" t="s">
        <v>343</v>
      </c>
      <c r="E31" s="39" t="s">
        <v>256</v>
      </c>
      <c r="F31" s="39" t="s">
        <v>300</v>
      </c>
      <c r="G31" s="39" t="s">
        <v>36</v>
      </c>
      <c r="H31" s="39" t="s">
        <v>127</v>
      </c>
      <c r="I31" s="39" t="s">
        <v>347</v>
      </c>
      <c r="J31" s="39" t="s">
        <v>80</v>
      </c>
      <c r="K31" s="39" t="s">
        <v>63</v>
      </c>
      <c r="L31" s="39">
        <v>3</v>
      </c>
      <c r="N31" s="39">
        <v>4</v>
      </c>
      <c r="O31" s="39">
        <v>0.85</v>
      </c>
      <c r="P31" s="39">
        <v>0.9</v>
      </c>
      <c r="Q31" s="61">
        <f t="shared" si="0"/>
        <v>0.875</v>
      </c>
      <c r="R31" s="39">
        <v>13.7</v>
      </c>
      <c r="S31" s="39">
        <v>89.5</v>
      </c>
      <c r="T31" s="45">
        <f t="shared" si="1"/>
        <v>36</v>
      </c>
      <c r="U31" s="39">
        <v>386</v>
      </c>
      <c r="V31" s="45">
        <f t="shared" si="2"/>
        <v>3474</v>
      </c>
      <c r="W31" s="39">
        <v>14</v>
      </c>
      <c r="X31" s="39" t="s">
        <v>46</v>
      </c>
      <c r="Y31" s="39" t="s">
        <v>55</v>
      </c>
      <c r="Z31" s="39" t="s">
        <v>40</v>
      </c>
      <c r="AA31" s="39" t="s">
        <v>47</v>
      </c>
      <c r="AB31" s="39" t="s">
        <v>335</v>
      </c>
    </row>
    <row r="32" spans="1:48" x14ac:dyDescent="0.15">
      <c r="A32" s="39" t="s">
        <v>34</v>
      </c>
      <c r="B32" s="39" t="s">
        <v>337</v>
      </c>
      <c r="C32" s="39">
        <v>2020</v>
      </c>
      <c r="D32" s="124" t="s">
        <v>343</v>
      </c>
      <c r="E32" s="39" t="s">
        <v>256</v>
      </c>
      <c r="F32" s="39" t="s">
        <v>300</v>
      </c>
      <c r="G32" s="39" t="s">
        <v>36</v>
      </c>
      <c r="H32" s="39" t="s">
        <v>127</v>
      </c>
      <c r="I32" s="39" t="s">
        <v>145</v>
      </c>
      <c r="J32" s="39" t="s">
        <v>80</v>
      </c>
      <c r="K32" s="39" t="s">
        <v>396</v>
      </c>
      <c r="L32" s="39">
        <v>1</v>
      </c>
      <c r="N32" s="39">
        <v>4</v>
      </c>
      <c r="O32" s="39">
        <v>1</v>
      </c>
      <c r="P32" s="39">
        <v>0.75</v>
      </c>
      <c r="Q32" s="61">
        <f t="shared" si="0"/>
        <v>0.875</v>
      </c>
      <c r="R32" s="39">
        <v>13.7</v>
      </c>
      <c r="S32" s="39">
        <v>75.5</v>
      </c>
      <c r="T32" s="45">
        <f t="shared" si="1"/>
        <v>42</v>
      </c>
      <c r="U32" s="39">
        <v>429</v>
      </c>
      <c r="V32" s="45">
        <f t="shared" si="2"/>
        <v>4504.5</v>
      </c>
      <c r="W32" s="39">
        <v>14</v>
      </c>
      <c r="X32" s="39" t="s">
        <v>46</v>
      </c>
      <c r="Y32" s="39" t="s">
        <v>55</v>
      </c>
      <c r="Z32" s="39" t="s">
        <v>40</v>
      </c>
      <c r="AA32" s="39" t="s">
        <v>47</v>
      </c>
      <c r="AB32" s="39" t="s">
        <v>335</v>
      </c>
    </row>
    <row r="33" spans="1:28" x14ac:dyDescent="0.15">
      <c r="A33" s="39" t="s">
        <v>34</v>
      </c>
      <c r="B33" s="39" t="s">
        <v>337</v>
      </c>
      <c r="C33" s="39">
        <v>2020</v>
      </c>
      <c r="D33" s="124" t="s">
        <v>343</v>
      </c>
      <c r="E33" s="39" t="s">
        <v>256</v>
      </c>
      <c r="F33" s="39" t="s">
        <v>300</v>
      </c>
      <c r="G33" s="39" t="s">
        <v>36</v>
      </c>
      <c r="H33" s="39" t="s">
        <v>127</v>
      </c>
      <c r="I33" s="39" t="s">
        <v>145</v>
      </c>
      <c r="J33" s="39" t="s">
        <v>80</v>
      </c>
      <c r="K33" s="39" t="s">
        <v>396</v>
      </c>
      <c r="L33" s="39">
        <v>2</v>
      </c>
      <c r="N33" s="39">
        <v>4</v>
      </c>
      <c r="O33" s="39">
        <v>1.1000000000000001</v>
      </c>
      <c r="P33" s="39">
        <v>1.45</v>
      </c>
      <c r="Q33" s="61">
        <f t="shared" si="0"/>
        <v>1.2749999999999999</v>
      </c>
      <c r="R33" s="39">
        <v>13.6</v>
      </c>
      <c r="S33" s="39">
        <v>79</v>
      </c>
      <c r="T33" s="45">
        <f t="shared" si="1"/>
        <v>39</v>
      </c>
      <c r="U33" s="39">
        <v>429</v>
      </c>
      <c r="V33" s="45">
        <f t="shared" si="2"/>
        <v>4182.75</v>
      </c>
      <c r="W33" s="39">
        <v>14</v>
      </c>
      <c r="X33" s="39" t="s">
        <v>46</v>
      </c>
      <c r="Y33" s="39" t="s">
        <v>55</v>
      </c>
      <c r="Z33" s="39" t="s">
        <v>40</v>
      </c>
      <c r="AA33" s="39" t="s">
        <v>47</v>
      </c>
      <c r="AB33" s="39" t="s">
        <v>335</v>
      </c>
    </row>
    <row r="34" spans="1:28" x14ac:dyDescent="0.15">
      <c r="A34" s="39" t="s">
        <v>34</v>
      </c>
      <c r="B34" s="39" t="s">
        <v>337</v>
      </c>
      <c r="C34" s="39">
        <v>2020</v>
      </c>
      <c r="D34" s="124" t="s">
        <v>343</v>
      </c>
      <c r="E34" s="39" t="s">
        <v>256</v>
      </c>
      <c r="F34" s="39" t="s">
        <v>300</v>
      </c>
      <c r="G34" s="39" t="s">
        <v>36</v>
      </c>
      <c r="H34" s="39" t="s">
        <v>127</v>
      </c>
      <c r="I34" s="39" t="s">
        <v>145</v>
      </c>
      <c r="J34" s="39" t="s">
        <v>80</v>
      </c>
      <c r="K34" s="39" t="s">
        <v>396</v>
      </c>
      <c r="L34" s="39">
        <v>3</v>
      </c>
      <c r="N34" s="39">
        <v>4</v>
      </c>
      <c r="O34" s="39">
        <v>0.85</v>
      </c>
      <c r="P34" s="39">
        <v>0.85</v>
      </c>
      <c r="Q34" s="61">
        <f>IF(OR(O34="",P34=""),"",AVERAGE(O34,P34))</f>
        <v>0.85</v>
      </c>
      <c r="R34" s="39">
        <v>15</v>
      </c>
      <c r="S34" s="39">
        <v>80.5</v>
      </c>
      <c r="T34" s="45">
        <f t="shared" si="1"/>
        <v>39</v>
      </c>
      <c r="U34" s="39">
        <v>429</v>
      </c>
      <c r="V34" s="45">
        <f t="shared" si="2"/>
        <v>4182.75</v>
      </c>
      <c r="W34" s="39">
        <v>14</v>
      </c>
      <c r="X34" s="39" t="s">
        <v>46</v>
      </c>
      <c r="Y34" s="39" t="s">
        <v>55</v>
      </c>
      <c r="Z34" s="39" t="s">
        <v>40</v>
      </c>
      <c r="AA34" s="39" t="s">
        <v>47</v>
      </c>
      <c r="AB34" s="39" t="s">
        <v>335</v>
      </c>
    </row>
    <row r="35" spans="1:28" x14ac:dyDescent="0.15">
      <c r="A35" s="39" t="s">
        <v>34</v>
      </c>
      <c r="B35" s="39" t="s">
        <v>337</v>
      </c>
      <c r="C35" s="39">
        <v>2020</v>
      </c>
      <c r="D35" s="124" t="s">
        <v>343</v>
      </c>
      <c r="E35" s="39" t="s">
        <v>256</v>
      </c>
      <c r="F35" s="39" t="s">
        <v>300</v>
      </c>
      <c r="G35" s="39" t="s">
        <v>36</v>
      </c>
      <c r="H35" s="39" t="s">
        <v>127</v>
      </c>
      <c r="I35" s="39" t="s">
        <v>142</v>
      </c>
      <c r="J35" s="39" t="s">
        <v>80</v>
      </c>
      <c r="K35" s="39" t="s">
        <v>59</v>
      </c>
      <c r="L35" s="39">
        <v>1</v>
      </c>
      <c r="N35" s="39">
        <v>1</v>
      </c>
      <c r="O35" s="39">
        <v>0.75</v>
      </c>
      <c r="P35" s="39">
        <v>0.7</v>
      </c>
      <c r="Q35" s="61">
        <f t="shared" ref="Q35:Q36" si="3">IF(OR(O35="",P35=""),"",AVERAGE(O35,P35))</f>
        <v>0.72499999999999998</v>
      </c>
      <c r="R35" s="39">
        <v>13</v>
      </c>
      <c r="S35" s="39">
        <v>102</v>
      </c>
      <c r="T35" s="45">
        <f t="shared" si="1"/>
        <v>33</v>
      </c>
      <c r="U35" s="39">
        <v>105</v>
      </c>
      <c r="V35" s="45">
        <f t="shared" si="2"/>
        <v>3465</v>
      </c>
      <c r="W35" s="39">
        <v>14</v>
      </c>
      <c r="X35" s="39" t="s">
        <v>46</v>
      </c>
      <c r="Y35" s="39" t="s">
        <v>55</v>
      </c>
      <c r="Z35" s="39" t="s">
        <v>40</v>
      </c>
      <c r="AA35" s="39" t="s">
        <v>47</v>
      </c>
      <c r="AB35" s="39" t="s">
        <v>335</v>
      </c>
    </row>
    <row r="36" spans="1:28" x14ac:dyDescent="0.15">
      <c r="A36" s="39" t="s">
        <v>34</v>
      </c>
      <c r="B36" s="39" t="s">
        <v>337</v>
      </c>
      <c r="C36" s="39">
        <v>2020</v>
      </c>
      <c r="D36" s="124" t="s">
        <v>343</v>
      </c>
      <c r="E36" s="39" t="s">
        <v>256</v>
      </c>
      <c r="F36" s="39" t="s">
        <v>300</v>
      </c>
      <c r="G36" s="39" t="s">
        <v>36</v>
      </c>
      <c r="H36" s="39" t="s">
        <v>127</v>
      </c>
      <c r="I36" s="39" t="s">
        <v>142</v>
      </c>
      <c r="J36" s="39" t="s">
        <v>80</v>
      </c>
      <c r="K36" s="39" t="s">
        <v>59</v>
      </c>
      <c r="L36" s="39">
        <v>2</v>
      </c>
      <c r="N36" s="39">
        <v>1</v>
      </c>
      <c r="O36" s="39">
        <v>0.85</v>
      </c>
      <c r="P36" s="39">
        <v>0.8</v>
      </c>
      <c r="Q36" s="61">
        <f t="shared" si="3"/>
        <v>0.82499999999999996</v>
      </c>
      <c r="R36" s="39">
        <v>13.2</v>
      </c>
      <c r="S36" s="39">
        <v>104.5</v>
      </c>
      <c r="T36" s="45">
        <f t="shared" si="1"/>
        <v>33</v>
      </c>
      <c r="U36" s="39">
        <v>105</v>
      </c>
      <c r="V36" s="45">
        <f t="shared" si="2"/>
        <v>3465</v>
      </c>
      <c r="W36" s="39">
        <v>14</v>
      </c>
      <c r="X36" s="39" t="s">
        <v>46</v>
      </c>
      <c r="Y36" s="39" t="s">
        <v>55</v>
      </c>
      <c r="Z36" s="39" t="s">
        <v>40</v>
      </c>
      <c r="AA36" s="39" t="s">
        <v>47</v>
      </c>
      <c r="AB36" s="39" t="s">
        <v>335</v>
      </c>
    </row>
    <row r="37" spans="1:28" x14ac:dyDescent="0.15">
      <c r="A37" s="39" t="s">
        <v>34</v>
      </c>
      <c r="B37" s="39" t="s">
        <v>337</v>
      </c>
      <c r="C37" s="39">
        <v>2020</v>
      </c>
      <c r="D37" s="124" t="s">
        <v>343</v>
      </c>
      <c r="E37" s="39" t="s">
        <v>397</v>
      </c>
      <c r="F37" s="39" t="s">
        <v>300</v>
      </c>
      <c r="G37" s="39" t="s">
        <v>36</v>
      </c>
      <c r="H37" s="39" t="s">
        <v>127</v>
      </c>
      <c r="I37" s="39" t="s">
        <v>142</v>
      </c>
      <c r="J37" s="39" t="s">
        <v>80</v>
      </c>
      <c r="K37" s="39" t="s">
        <v>59</v>
      </c>
      <c r="L37" s="39">
        <v>3</v>
      </c>
      <c r="N37" s="39">
        <v>1</v>
      </c>
      <c r="O37" s="39">
        <v>0.7</v>
      </c>
      <c r="P37" s="39">
        <v>0.6</v>
      </c>
      <c r="Q37" s="61">
        <f>IF(OR(O37="",P37=""),"",AVERAGE(O37,P37))</f>
        <v>0.64999999999999991</v>
      </c>
      <c r="R37" s="39">
        <v>12.9</v>
      </c>
      <c r="S37" s="39">
        <v>99.5</v>
      </c>
      <c r="T37" s="45">
        <f t="shared" si="1"/>
        <v>33</v>
      </c>
      <c r="U37" s="39">
        <v>105</v>
      </c>
      <c r="V37" s="45">
        <f t="shared" si="2"/>
        <v>3465</v>
      </c>
      <c r="W37" s="39">
        <v>14</v>
      </c>
      <c r="X37" s="39" t="s">
        <v>46</v>
      </c>
      <c r="Y37" s="39" t="s">
        <v>55</v>
      </c>
      <c r="Z37" s="39" t="s">
        <v>40</v>
      </c>
      <c r="AA37" s="39" t="s">
        <v>47</v>
      </c>
      <c r="AB37" s="39" t="s">
        <v>335</v>
      </c>
    </row>
    <row r="38" spans="1:28" x14ac:dyDescent="0.15">
      <c r="A38" s="39" t="s">
        <v>34</v>
      </c>
      <c r="B38" s="39" t="s">
        <v>337</v>
      </c>
      <c r="C38" s="39">
        <v>2020</v>
      </c>
      <c r="D38" s="124" t="s">
        <v>343</v>
      </c>
      <c r="E38" s="39" t="s">
        <v>181</v>
      </c>
      <c r="F38" s="39" t="s">
        <v>294</v>
      </c>
      <c r="G38" s="39" t="s">
        <v>36</v>
      </c>
      <c r="H38" s="39" t="s">
        <v>146</v>
      </c>
      <c r="I38" s="39" t="s">
        <v>142</v>
      </c>
      <c r="J38" s="39" t="s">
        <v>38</v>
      </c>
      <c r="K38" s="39" t="s">
        <v>395</v>
      </c>
      <c r="L38" s="39">
        <v>1</v>
      </c>
      <c r="N38" s="39">
        <v>1</v>
      </c>
      <c r="O38" s="39">
        <v>0.7</v>
      </c>
      <c r="P38" s="39">
        <v>0.65</v>
      </c>
      <c r="Q38" s="61">
        <f t="shared" ref="Q38:Q39" si="4">IF(OR(O38="",P38=""),"",AVERAGE(O38,P38))</f>
        <v>0.67500000000000004</v>
      </c>
      <c r="R38" s="39">
        <v>15.2</v>
      </c>
      <c r="S38" s="39">
        <v>128</v>
      </c>
      <c r="T38" s="45">
        <f t="shared" si="1"/>
        <v>30</v>
      </c>
      <c r="U38" s="39">
        <v>170</v>
      </c>
      <c r="V38" s="45">
        <f t="shared" si="2"/>
        <v>5100</v>
      </c>
      <c r="W38" s="39">
        <v>8</v>
      </c>
      <c r="X38" s="39" t="s">
        <v>46</v>
      </c>
      <c r="Y38" s="39" t="s">
        <v>55</v>
      </c>
      <c r="Z38" s="39" t="s">
        <v>47</v>
      </c>
      <c r="AA38" s="39" t="s">
        <v>60</v>
      </c>
      <c r="AB38" s="39" t="s">
        <v>335</v>
      </c>
    </row>
    <row r="39" spans="1:28" x14ac:dyDescent="0.15">
      <c r="A39" s="39" t="s">
        <v>34</v>
      </c>
      <c r="B39" s="39" t="s">
        <v>337</v>
      </c>
      <c r="C39" s="39">
        <v>2020</v>
      </c>
      <c r="D39" s="124" t="s">
        <v>343</v>
      </c>
      <c r="E39" s="39" t="s">
        <v>181</v>
      </c>
      <c r="F39" s="39" t="s">
        <v>294</v>
      </c>
      <c r="G39" s="39" t="s">
        <v>36</v>
      </c>
      <c r="H39" s="39" t="s">
        <v>146</v>
      </c>
      <c r="I39" s="39" t="s">
        <v>142</v>
      </c>
      <c r="J39" s="39" t="s">
        <v>38</v>
      </c>
      <c r="K39" s="39" t="s">
        <v>395</v>
      </c>
      <c r="L39" s="39">
        <v>2</v>
      </c>
      <c r="N39" s="39">
        <v>1</v>
      </c>
      <c r="O39" s="39">
        <v>0.6</v>
      </c>
      <c r="P39" s="39">
        <v>0.6</v>
      </c>
      <c r="Q39" s="61">
        <f t="shared" si="4"/>
        <v>0.6</v>
      </c>
      <c r="R39" s="39">
        <v>17.7</v>
      </c>
      <c r="S39" s="39">
        <v>136</v>
      </c>
      <c r="T39" s="45">
        <f t="shared" si="1"/>
        <v>30</v>
      </c>
      <c r="U39" s="39">
        <v>170</v>
      </c>
      <c r="V39" s="45">
        <f t="shared" si="2"/>
        <v>5100</v>
      </c>
      <c r="W39" s="39">
        <v>8</v>
      </c>
      <c r="X39" s="39" t="s">
        <v>46</v>
      </c>
      <c r="Y39" s="39" t="s">
        <v>55</v>
      </c>
      <c r="Z39" s="39" t="s">
        <v>47</v>
      </c>
      <c r="AA39" s="39" t="s">
        <v>60</v>
      </c>
      <c r="AB39" s="39" t="s">
        <v>335</v>
      </c>
    </row>
    <row r="40" spans="1:28" x14ac:dyDescent="0.15">
      <c r="A40" s="39" t="s">
        <v>34</v>
      </c>
      <c r="B40" s="39" t="s">
        <v>337</v>
      </c>
      <c r="C40" s="39">
        <v>2020</v>
      </c>
      <c r="D40" s="124" t="s">
        <v>343</v>
      </c>
      <c r="E40" s="39" t="s">
        <v>181</v>
      </c>
      <c r="F40" s="39" t="s">
        <v>294</v>
      </c>
      <c r="G40" s="39" t="s">
        <v>36</v>
      </c>
      <c r="H40" s="39" t="s">
        <v>146</v>
      </c>
      <c r="I40" s="39" t="s">
        <v>142</v>
      </c>
      <c r="J40" s="39" t="s">
        <v>38</v>
      </c>
      <c r="K40" s="39" t="s">
        <v>395</v>
      </c>
      <c r="L40" s="39">
        <v>3</v>
      </c>
      <c r="N40" s="39">
        <v>1</v>
      </c>
      <c r="O40" s="39">
        <v>0.5</v>
      </c>
      <c r="P40" s="39">
        <v>0.55000000000000004</v>
      </c>
      <c r="Q40" s="61">
        <f>IF(OR(O40="",P40=""),"",AVERAGE(O40,P40))</f>
        <v>0.52500000000000002</v>
      </c>
      <c r="R40" s="39">
        <v>17.399999999999999</v>
      </c>
      <c r="S40" s="39">
        <v>140</v>
      </c>
      <c r="T40" s="45">
        <f t="shared" si="1"/>
        <v>30</v>
      </c>
      <c r="U40" s="39">
        <v>170</v>
      </c>
      <c r="V40" s="45">
        <f t="shared" si="2"/>
        <v>5100</v>
      </c>
      <c r="W40" s="39">
        <v>8</v>
      </c>
      <c r="X40" s="39" t="s">
        <v>46</v>
      </c>
      <c r="Y40" s="39" t="s">
        <v>55</v>
      </c>
      <c r="Z40" s="39" t="s">
        <v>47</v>
      </c>
      <c r="AA40" s="39" t="s">
        <v>60</v>
      </c>
      <c r="AB40" s="39" t="s">
        <v>335</v>
      </c>
    </row>
    <row r="41" spans="1:28" x14ac:dyDescent="0.15">
      <c r="A41" s="39" t="s">
        <v>34</v>
      </c>
      <c r="B41" s="39" t="s">
        <v>337</v>
      </c>
      <c r="C41" s="39">
        <v>2020</v>
      </c>
      <c r="D41" s="124" t="s">
        <v>343</v>
      </c>
      <c r="E41" s="39" t="s">
        <v>181</v>
      </c>
      <c r="F41" s="39" t="s">
        <v>294</v>
      </c>
      <c r="G41" s="39" t="s">
        <v>36</v>
      </c>
      <c r="H41" s="39" t="s">
        <v>146</v>
      </c>
      <c r="I41" s="39" t="s">
        <v>142</v>
      </c>
      <c r="J41" s="39" t="s">
        <v>38</v>
      </c>
      <c r="K41" s="39" t="s">
        <v>395</v>
      </c>
      <c r="L41" s="39">
        <v>1</v>
      </c>
      <c r="N41" s="39">
        <v>4</v>
      </c>
      <c r="O41" s="39">
        <v>1</v>
      </c>
      <c r="P41" s="39">
        <v>1.05</v>
      </c>
      <c r="Q41" s="61">
        <f t="shared" ref="Q41:Q42" si="5">IF(OR(O41="",P41=""),"",AVERAGE(O41,P41))</f>
        <v>1.0249999999999999</v>
      </c>
      <c r="R41" s="39">
        <v>17.3</v>
      </c>
      <c r="S41" s="39">
        <v>112</v>
      </c>
      <c r="T41" s="45">
        <f t="shared" si="1"/>
        <v>33</v>
      </c>
      <c r="U41" s="39">
        <v>518</v>
      </c>
      <c r="V41" s="45">
        <f t="shared" si="2"/>
        <v>4273.5</v>
      </c>
      <c r="W41" s="39">
        <v>8</v>
      </c>
      <c r="X41" s="39" t="s">
        <v>46</v>
      </c>
      <c r="Y41" s="39" t="s">
        <v>55</v>
      </c>
      <c r="Z41" s="39" t="s">
        <v>47</v>
      </c>
      <c r="AA41" s="39" t="s">
        <v>60</v>
      </c>
      <c r="AB41" s="39" t="s">
        <v>335</v>
      </c>
    </row>
    <row r="42" spans="1:28" x14ac:dyDescent="0.15">
      <c r="A42" s="39" t="s">
        <v>34</v>
      </c>
      <c r="B42" s="39" t="s">
        <v>337</v>
      </c>
      <c r="C42" s="39">
        <v>2020</v>
      </c>
      <c r="D42" s="124" t="s">
        <v>343</v>
      </c>
      <c r="E42" s="39" t="s">
        <v>181</v>
      </c>
      <c r="F42" s="39" t="s">
        <v>294</v>
      </c>
      <c r="G42" s="39" t="s">
        <v>36</v>
      </c>
      <c r="H42" s="39" t="s">
        <v>146</v>
      </c>
      <c r="I42" s="39" t="s">
        <v>142</v>
      </c>
      <c r="J42" s="39" t="s">
        <v>38</v>
      </c>
      <c r="K42" s="39" t="s">
        <v>395</v>
      </c>
      <c r="L42" s="39">
        <v>2</v>
      </c>
      <c r="N42" s="39">
        <v>4</v>
      </c>
      <c r="O42" s="39">
        <v>1</v>
      </c>
      <c r="P42" s="39">
        <v>1</v>
      </c>
      <c r="Q42" s="61">
        <f t="shared" si="5"/>
        <v>1</v>
      </c>
      <c r="R42" s="39">
        <v>15.1</v>
      </c>
      <c r="S42" s="39">
        <v>114</v>
      </c>
      <c r="T42" s="45">
        <f t="shared" si="1"/>
        <v>30</v>
      </c>
      <c r="U42" s="39">
        <v>518</v>
      </c>
      <c r="V42" s="45">
        <f t="shared" si="2"/>
        <v>3885</v>
      </c>
      <c r="W42" s="39">
        <v>8</v>
      </c>
      <c r="X42" s="39" t="s">
        <v>46</v>
      </c>
      <c r="Y42" s="39" t="s">
        <v>55</v>
      </c>
      <c r="Z42" s="39" t="s">
        <v>47</v>
      </c>
      <c r="AA42" s="39" t="s">
        <v>60</v>
      </c>
      <c r="AB42" s="39" t="s">
        <v>335</v>
      </c>
    </row>
    <row r="43" spans="1:28" x14ac:dyDescent="0.15">
      <c r="A43" s="39" t="s">
        <v>34</v>
      </c>
      <c r="B43" s="39" t="s">
        <v>337</v>
      </c>
      <c r="C43" s="39">
        <v>2020</v>
      </c>
      <c r="D43" s="124" t="s">
        <v>343</v>
      </c>
      <c r="E43" s="39" t="s">
        <v>181</v>
      </c>
      <c r="F43" s="39" t="s">
        <v>294</v>
      </c>
      <c r="G43" s="39" t="s">
        <v>36</v>
      </c>
      <c r="H43" s="39" t="s">
        <v>146</v>
      </c>
      <c r="I43" s="39" t="s">
        <v>142</v>
      </c>
      <c r="J43" s="39" t="s">
        <v>38</v>
      </c>
      <c r="K43" s="39" t="s">
        <v>395</v>
      </c>
      <c r="L43" s="39">
        <v>3</v>
      </c>
      <c r="N43" s="39">
        <v>4</v>
      </c>
      <c r="O43" s="39">
        <v>1.2</v>
      </c>
      <c r="P43" s="39">
        <v>1</v>
      </c>
      <c r="Q43" s="61">
        <f>IF(OR(O43="",P43=""),"",AVERAGE(O43,P43))</f>
        <v>1.1000000000000001</v>
      </c>
      <c r="R43" s="39">
        <v>14.7</v>
      </c>
      <c r="S43" s="39">
        <v>112</v>
      </c>
      <c r="T43" s="45">
        <f t="shared" si="1"/>
        <v>33</v>
      </c>
      <c r="U43" s="39">
        <v>518</v>
      </c>
      <c r="V43" s="45">
        <f t="shared" si="2"/>
        <v>4273.5</v>
      </c>
      <c r="W43" s="39">
        <v>8</v>
      </c>
      <c r="X43" s="39" t="s">
        <v>46</v>
      </c>
      <c r="Y43" s="39" t="s">
        <v>55</v>
      </c>
      <c r="Z43" s="39" t="s">
        <v>47</v>
      </c>
      <c r="AA43" s="39" t="s">
        <v>60</v>
      </c>
      <c r="AB43" s="39" t="s">
        <v>335</v>
      </c>
    </row>
    <row r="44" spans="1:28" x14ac:dyDescent="0.15">
      <c r="A44" s="39" t="s">
        <v>34</v>
      </c>
      <c r="B44" s="39" t="s">
        <v>337</v>
      </c>
      <c r="C44" s="39">
        <v>2020</v>
      </c>
      <c r="D44" s="124" t="s">
        <v>343</v>
      </c>
      <c r="E44" s="39" t="s">
        <v>181</v>
      </c>
      <c r="F44" s="39" t="s">
        <v>294</v>
      </c>
      <c r="G44" s="39" t="s">
        <v>36</v>
      </c>
      <c r="H44" s="39" t="s">
        <v>146</v>
      </c>
      <c r="I44" s="39" t="s">
        <v>142</v>
      </c>
      <c r="J44" s="39" t="s">
        <v>38</v>
      </c>
      <c r="K44" s="39" t="s">
        <v>395</v>
      </c>
      <c r="L44" s="39">
        <v>1</v>
      </c>
      <c r="N44" s="39">
        <v>1</v>
      </c>
      <c r="O44" s="39">
        <v>0.7</v>
      </c>
      <c r="P44" s="39">
        <v>0.75</v>
      </c>
      <c r="Q44" s="61">
        <f t="shared" ref="Q44:Q45" si="6">IF(OR(O44="",P44=""),"",AVERAGE(O44,P44))</f>
        <v>0.72499999999999998</v>
      </c>
      <c r="R44" s="39">
        <v>17.100000000000001</v>
      </c>
      <c r="S44" s="39">
        <v>166</v>
      </c>
      <c r="T44" s="45">
        <f t="shared" si="1"/>
        <v>18</v>
      </c>
      <c r="U44" s="39">
        <v>181</v>
      </c>
      <c r="V44" s="45">
        <f t="shared" si="2"/>
        <v>3258</v>
      </c>
      <c r="W44" s="39">
        <v>8</v>
      </c>
      <c r="X44" s="39" t="s">
        <v>46</v>
      </c>
      <c r="Y44" s="39" t="s">
        <v>55</v>
      </c>
      <c r="Z44" s="39" t="s">
        <v>47</v>
      </c>
      <c r="AA44" s="39" t="s">
        <v>60</v>
      </c>
      <c r="AB44" s="39" t="s">
        <v>335</v>
      </c>
    </row>
    <row r="45" spans="1:28" x14ac:dyDescent="0.15">
      <c r="A45" s="39" t="s">
        <v>34</v>
      </c>
      <c r="B45" s="39" t="s">
        <v>337</v>
      </c>
      <c r="C45" s="39">
        <v>2020</v>
      </c>
      <c r="D45" s="124" t="s">
        <v>343</v>
      </c>
      <c r="E45" s="39" t="s">
        <v>181</v>
      </c>
      <c r="F45" s="39" t="s">
        <v>294</v>
      </c>
      <c r="G45" s="39" t="s">
        <v>36</v>
      </c>
      <c r="H45" s="39" t="s">
        <v>146</v>
      </c>
      <c r="I45" s="39" t="s">
        <v>142</v>
      </c>
      <c r="J45" s="39" t="s">
        <v>38</v>
      </c>
      <c r="K45" s="39" t="s">
        <v>395</v>
      </c>
      <c r="L45" s="39">
        <v>2</v>
      </c>
      <c r="N45" s="39">
        <v>1</v>
      </c>
      <c r="O45" s="39">
        <v>0.7</v>
      </c>
      <c r="P45" s="39">
        <v>0.7</v>
      </c>
      <c r="Q45" s="61">
        <f t="shared" si="6"/>
        <v>0.7</v>
      </c>
      <c r="R45" s="39">
        <v>18.7</v>
      </c>
      <c r="S45" s="39">
        <v>144</v>
      </c>
      <c r="T45" s="45">
        <f t="shared" si="1"/>
        <v>30</v>
      </c>
      <c r="U45" s="39">
        <v>181</v>
      </c>
      <c r="V45" s="45">
        <f t="shared" si="2"/>
        <v>5430</v>
      </c>
      <c r="W45" s="39">
        <v>8</v>
      </c>
      <c r="X45" s="39" t="s">
        <v>46</v>
      </c>
      <c r="Y45" s="39" t="s">
        <v>55</v>
      </c>
      <c r="Z45" s="39" t="s">
        <v>47</v>
      </c>
      <c r="AA45" s="39" t="s">
        <v>60</v>
      </c>
      <c r="AB45" s="39" t="s">
        <v>335</v>
      </c>
    </row>
    <row r="46" spans="1:28" x14ac:dyDescent="0.15">
      <c r="A46" s="39" t="s">
        <v>34</v>
      </c>
      <c r="B46" s="39" t="s">
        <v>337</v>
      </c>
      <c r="C46" s="39">
        <v>2020</v>
      </c>
      <c r="D46" s="124" t="s">
        <v>343</v>
      </c>
      <c r="E46" s="39" t="s">
        <v>181</v>
      </c>
      <c r="F46" s="39" t="s">
        <v>294</v>
      </c>
      <c r="G46" s="39" t="s">
        <v>36</v>
      </c>
      <c r="H46" s="39" t="s">
        <v>146</v>
      </c>
      <c r="I46" s="39" t="s">
        <v>142</v>
      </c>
      <c r="J46" s="39" t="s">
        <v>38</v>
      </c>
      <c r="K46" s="39" t="s">
        <v>395</v>
      </c>
      <c r="L46" s="39">
        <v>3</v>
      </c>
      <c r="N46" s="39">
        <v>1</v>
      </c>
      <c r="O46" s="39">
        <v>0.65</v>
      </c>
      <c r="P46" s="39">
        <v>0.75</v>
      </c>
      <c r="Q46" s="61">
        <f>IF(OR(O46="",P46=""),"",AVERAGE(O46,P46))</f>
        <v>0.7</v>
      </c>
      <c r="R46" s="39">
        <v>18.7</v>
      </c>
      <c r="S46" s="39">
        <v>152</v>
      </c>
      <c r="T46" s="45">
        <f t="shared" si="1"/>
        <v>18</v>
      </c>
      <c r="U46" s="39">
        <v>181</v>
      </c>
      <c r="V46" s="45">
        <f t="shared" si="2"/>
        <v>3258</v>
      </c>
      <c r="W46" s="39">
        <v>8</v>
      </c>
      <c r="X46" s="39" t="s">
        <v>46</v>
      </c>
      <c r="Y46" s="39" t="s">
        <v>55</v>
      </c>
      <c r="Z46" s="39" t="s">
        <v>47</v>
      </c>
      <c r="AA46" s="39" t="s">
        <v>60</v>
      </c>
      <c r="AB46" s="39" t="s">
        <v>335</v>
      </c>
    </row>
    <row r="47" spans="1:28" x14ac:dyDescent="0.15">
      <c r="A47" s="39" t="s">
        <v>34</v>
      </c>
      <c r="B47" s="39" t="s">
        <v>337</v>
      </c>
      <c r="C47" s="39">
        <v>2020</v>
      </c>
      <c r="D47" s="124" t="s">
        <v>343</v>
      </c>
      <c r="E47" s="39" t="s">
        <v>255</v>
      </c>
      <c r="F47" s="39" t="s">
        <v>287</v>
      </c>
      <c r="G47" s="39" t="s">
        <v>36</v>
      </c>
      <c r="H47" s="39" t="s">
        <v>127</v>
      </c>
      <c r="I47" s="39" t="s">
        <v>142</v>
      </c>
      <c r="J47" s="39" t="s">
        <v>80</v>
      </c>
      <c r="K47" s="39" t="s">
        <v>63</v>
      </c>
      <c r="L47" s="39">
        <v>1</v>
      </c>
      <c r="N47" s="39">
        <v>1</v>
      </c>
      <c r="O47" s="39">
        <v>0.75</v>
      </c>
      <c r="P47" s="39">
        <v>1.5</v>
      </c>
      <c r="Q47" s="61">
        <f t="shared" ref="Q47:Q48" si="7">IF(OR(O47="",P47=""),"",AVERAGE(O47,P47))</f>
        <v>1.125</v>
      </c>
      <c r="R47" s="39">
        <v>12.7</v>
      </c>
      <c r="S47" s="39">
        <v>124</v>
      </c>
      <c r="T47" s="45">
        <f t="shared" si="1"/>
        <v>30</v>
      </c>
      <c r="U47" s="39">
        <v>74</v>
      </c>
      <c r="V47" s="45">
        <f t="shared" si="2"/>
        <v>2220</v>
      </c>
      <c r="W47" s="39">
        <v>3</v>
      </c>
      <c r="X47" s="39" t="s">
        <v>46</v>
      </c>
      <c r="Y47" s="39" t="s">
        <v>40</v>
      </c>
      <c r="Z47" s="39" t="s">
        <v>78</v>
      </c>
      <c r="AA47" s="39" t="s">
        <v>47</v>
      </c>
      <c r="AB47" s="39" t="s">
        <v>335</v>
      </c>
    </row>
    <row r="48" spans="1:28" x14ac:dyDescent="0.15">
      <c r="A48" s="39" t="s">
        <v>34</v>
      </c>
      <c r="B48" s="39" t="s">
        <v>337</v>
      </c>
      <c r="C48" s="39">
        <v>2020</v>
      </c>
      <c r="D48" s="124" t="s">
        <v>343</v>
      </c>
      <c r="E48" s="39" t="s">
        <v>255</v>
      </c>
      <c r="F48" s="39" t="s">
        <v>287</v>
      </c>
      <c r="G48" s="39" t="s">
        <v>36</v>
      </c>
      <c r="H48" s="39" t="s">
        <v>127</v>
      </c>
      <c r="I48" s="39" t="s">
        <v>142</v>
      </c>
      <c r="J48" s="39" t="s">
        <v>80</v>
      </c>
      <c r="K48" s="39" t="s">
        <v>63</v>
      </c>
      <c r="L48" s="39">
        <v>2</v>
      </c>
      <c r="N48" s="39">
        <v>1</v>
      </c>
      <c r="O48" s="39">
        <v>1</v>
      </c>
      <c r="P48" s="39">
        <v>1.35</v>
      </c>
      <c r="Q48" s="61">
        <f t="shared" si="7"/>
        <v>1.175</v>
      </c>
      <c r="R48" s="39">
        <v>12.2</v>
      </c>
      <c r="S48" s="39">
        <v>126</v>
      </c>
      <c r="T48" s="45">
        <f t="shared" si="1"/>
        <v>30</v>
      </c>
      <c r="U48" s="39">
        <v>74</v>
      </c>
      <c r="V48" s="45">
        <f t="shared" si="2"/>
        <v>2220</v>
      </c>
      <c r="W48" s="39">
        <v>3</v>
      </c>
      <c r="X48" s="39" t="s">
        <v>46</v>
      </c>
      <c r="Y48" s="39" t="s">
        <v>40</v>
      </c>
      <c r="Z48" s="39" t="s">
        <v>78</v>
      </c>
      <c r="AA48" s="39" t="s">
        <v>47</v>
      </c>
      <c r="AB48" s="39" t="s">
        <v>335</v>
      </c>
    </row>
    <row r="49" spans="1:28" x14ac:dyDescent="0.15">
      <c r="A49" s="39" t="s">
        <v>34</v>
      </c>
      <c r="B49" s="39" t="s">
        <v>337</v>
      </c>
      <c r="C49" s="39">
        <v>2020</v>
      </c>
      <c r="D49" s="124" t="s">
        <v>343</v>
      </c>
      <c r="E49" s="39" t="s">
        <v>255</v>
      </c>
      <c r="F49" s="39" t="s">
        <v>287</v>
      </c>
      <c r="G49" s="39" t="s">
        <v>36</v>
      </c>
      <c r="H49" s="39" t="s">
        <v>127</v>
      </c>
      <c r="I49" s="39" t="s">
        <v>142</v>
      </c>
      <c r="J49" s="39" t="s">
        <v>80</v>
      </c>
      <c r="K49" s="39" t="s">
        <v>63</v>
      </c>
      <c r="L49" s="39">
        <v>3</v>
      </c>
      <c r="N49" s="39">
        <v>1</v>
      </c>
      <c r="O49" s="39">
        <v>2</v>
      </c>
      <c r="P49" s="39">
        <v>1.3</v>
      </c>
      <c r="Q49" s="61">
        <f>IF(OR(O49="",P49=""),"",AVERAGE(O49,P49))</f>
        <v>1.65</v>
      </c>
      <c r="R49" s="39">
        <v>10.1</v>
      </c>
      <c r="S49" s="39">
        <v>124</v>
      </c>
      <c r="T49" s="45">
        <f t="shared" si="1"/>
        <v>30</v>
      </c>
      <c r="U49" s="39">
        <v>74</v>
      </c>
      <c r="V49" s="45">
        <f t="shared" si="2"/>
        <v>2220</v>
      </c>
      <c r="W49" s="39">
        <v>3</v>
      </c>
      <c r="X49" s="39" t="s">
        <v>46</v>
      </c>
      <c r="Y49" s="39" t="s">
        <v>40</v>
      </c>
      <c r="Z49" s="39" t="s">
        <v>78</v>
      </c>
      <c r="AA49" s="39" t="s">
        <v>47</v>
      </c>
      <c r="AB49" s="39" t="s">
        <v>335</v>
      </c>
    </row>
    <row r="50" spans="1:28" x14ac:dyDescent="0.15">
      <c r="A50" s="39" t="s">
        <v>34</v>
      </c>
      <c r="B50" s="39" t="s">
        <v>337</v>
      </c>
      <c r="C50" s="39">
        <v>2020</v>
      </c>
      <c r="D50" s="124" t="s">
        <v>343</v>
      </c>
      <c r="E50" s="39" t="s">
        <v>255</v>
      </c>
      <c r="F50" s="39" t="s">
        <v>287</v>
      </c>
      <c r="G50" s="39" t="s">
        <v>36</v>
      </c>
      <c r="H50" s="39" t="s">
        <v>146</v>
      </c>
      <c r="I50" s="39" t="s">
        <v>142</v>
      </c>
      <c r="J50" s="39" t="s">
        <v>38</v>
      </c>
      <c r="K50" s="39" t="s">
        <v>395</v>
      </c>
      <c r="L50" s="39">
        <v>1</v>
      </c>
      <c r="N50" s="39">
        <v>1</v>
      </c>
      <c r="O50" s="39">
        <v>1.2</v>
      </c>
      <c r="P50" s="39">
        <v>1.35</v>
      </c>
      <c r="Q50" s="61">
        <f t="shared" ref="Q50:Q51" si="8">IF(OR(O50="",P50=""),"",AVERAGE(O50,P50))</f>
        <v>1.2749999999999999</v>
      </c>
      <c r="R50" s="39">
        <v>14.3</v>
      </c>
      <c r="S50" s="39">
        <v>112</v>
      </c>
      <c r="T50" s="45">
        <f t="shared" si="1"/>
        <v>33</v>
      </c>
      <c r="U50" s="39">
        <v>105</v>
      </c>
      <c r="V50" s="45">
        <f t="shared" si="2"/>
        <v>3465</v>
      </c>
      <c r="W50" s="39">
        <v>3</v>
      </c>
      <c r="X50" s="39" t="s">
        <v>46</v>
      </c>
      <c r="Y50" s="39" t="s">
        <v>40</v>
      </c>
      <c r="Z50" s="39" t="s">
        <v>78</v>
      </c>
      <c r="AA50" s="39" t="s">
        <v>47</v>
      </c>
      <c r="AB50" s="39" t="s">
        <v>335</v>
      </c>
    </row>
    <row r="51" spans="1:28" x14ac:dyDescent="0.15">
      <c r="A51" s="39" t="s">
        <v>34</v>
      </c>
      <c r="B51" s="39" t="s">
        <v>337</v>
      </c>
      <c r="C51" s="39">
        <v>2020</v>
      </c>
      <c r="D51" s="124" t="s">
        <v>343</v>
      </c>
      <c r="E51" s="39" t="s">
        <v>255</v>
      </c>
      <c r="F51" s="39" t="s">
        <v>287</v>
      </c>
      <c r="G51" s="39" t="s">
        <v>36</v>
      </c>
      <c r="H51" s="39" t="s">
        <v>146</v>
      </c>
      <c r="I51" s="39" t="s">
        <v>142</v>
      </c>
      <c r="J51" s="39" t="s">
        <v>38</v>
      </c>
      <c r="K51" s="39" t="s">
        <v>395</v>
      </c>
      <c r="L51" s="39">
        <v>2</v>
      </c>
      <c r="N51" s="39">
        <v>1</v>
      </c>
      <c r="O51" s="39">
        <v>0.9</v>
      </c>
      <c r="P51" s="39">
        <v>0.85</v>
      </c>
      <c r="Q51" s="61">
        <f t="shared" si="8"/>
        <v>0.875</v>
      </c>
      <c r="R51" s="39">
        <v>15.5</v>
      </c>
      <c r="S51" s="39">
        <v>108</v>
      </c>
      <c r="T51" s="45">
        <f t="shared" si="1"/>
        <v>33</v>
      </c>
      <c r="U51" s="39">
        <v>105</v>
      </c>
      <c r="V51" s="45">
        <f t="shared" si="2"/>
        <v>3465</v>
      </c>
      <c r="W51" s="39">
        <v>3</v>
      </c>
      <c r="X51" s="39" t="s">
        <v>46</v>
      </c>
      <c r="Y51" s="39" t="s">
        <v>40</v>
      </c>
      <c r="Z51" s="39" t="s">
        <v>78</v>
      </c>
      <c r="AA51" s="39" t="s">
        <v>47</v>
      </c>
      <c r="AB51" s="39" t="s">
        <v>335</v>
      </c>
    </row>
    <row r="52" spans="1:28" x14ac:dyDescent="0.15">
      <c r="A52" s="39" t="s">
        <v>34</v>
      </c>
      <c r="B52" s="39" t="s">
        <v>337</v>
      </c>
      <c r="C52" s="39">
        <v>2020</v>
      </c>
      <c r="D52" s="124" t="s">
        <v>343</v>
      </c>
      <c r="E52" s="39" t="s">
        <v>255</v>
      </c>
      <c r="F52" s="39" t="s">
        <v>287</v>
      </c>
      <c r="G52" s="39" t="s">
        <v>36</v>
      </c>
      <c r="H52" s="39" t="s">
        <v>146</v>
      </c>
      <c r="I52" s="39" t="s">
        <v>142</v>
      </c>
      <c r="J52" s="39" t="s">
        <v>38</v>
      </c>
      <c r="K52" s="39" t="s">
        <v>395</v>
      </c>
      <c r="L52" s="39">
        <v>3</v>
      </c>
      <c r="N52" s="39">
        <v>1</v>
      </c>
      <c r="O52" s="39">
        <v>1</v>
      </c>
      <c r="P52" s="39">
        <v>1</v>
      </c>
      <c r="Q52" s="61">
        <f>IF(OR(O52="",P52=""),"",AVERAGE(O52,P52))</f>
        <v>1</v>
      </c>
      <c r="R52" s="39">
        <v>15.3</v>
      </c>
      <c r="S52" s="39">
        <v>110</v>
      </c>
      <c r="T52" s="45">
        <f t="shared" si="1"/>
        <v>33</v>
      </c>
      <c r="U52" s="39">
        <v>105</v>
      </c>
      <c r="V52" s="45">
        <f t="shared" si="2"/>
        <v>3465</v>
      </c>
      <c r="W52" s="39">
        <v>3</v>
      </c>
      <c r="X52" s="39" t="s">
        <v>46</v>
      </c>
      <c r="Y52" s="39" t="s">
        <v>40</v>
      </c>
      <c r="Z52" s="39" t="s">
        <v>78</v>
      </c>
      <c r="AA52" s="39" t="s">
        <v>47</v>
      </c>
      <c r="AB52" s="39" t="s">
        <v>335</v>
      </c>
    </row>
    <row r="53" spans="1:28" x14ac:dyDescent="0.15">
      <c r="A53" s="39" t="s">
        <v>34</v>
      </c>
      <c r="B53" s="39" t="s">
        <v>337</v>
      </c>
      <c r="C53" s="39">
        <v>2020</v>
      </c>
      <c r="D53" s="124" t="s">
        <v>343</v>
      </c>
      <c r="E53" s="39" t="s">
        <v>255</v>
      </c>
      <c r="F53" s="39" t="s">
        <v>287</v>
      </c>
      <c r="G53" s="39" t="s">
        <v>36</v>
      </c>
      <c r="H53" s="39" t="s">
        <v>146</v>
      </c>
      <c r="I53" s="39" t="s">
        <v>142</v>
      </c>
      <c r="J53" s="39" t="s">
        <v>38</v>
      </c>
      <c r="K53" s="39" t="s">
        <v>395</v>
      </c>
      <c r="L53" s="39">
        <v>1</v>
      </c>
      <c r="N53" s="39">
        <v>4</v>
      </c>
      <c r="O53" s="39">
        <v>0.75</v>
      </c>
      <c r="P53" s="39">
        <v>0.7</v>
      </c>
      <c r="Q53" s="61">
        <f t="shared" ref="Q53:Q54" si="9">IF(OR(O53="",P53=""),"",AVERAGE(O53,P53))</f>
        <v>0.72499999999999998</v>
      </c>
      <c r="R53" s="39">
        <v>15.8</v>
      </c>
      <c r="S53" s="39">
        <v>96</v>
      </c>
      <c r="T53" s="45">
        <f t="shared" si="1"/>
        <v>36</v>
      </c>
      <c r="U53" s="39">
        <v>498</v>
      </c>
      <c r="V53" s="45">
        <f t="shared" si="2"/>
        <v>4482</v>
      </c>
      <c r="W53" s="39">
        <v>3</v>
      </c>
      <c r="X53" s="39" t="s">
        <v>46</v>
      </c>
      <c r="Y53" s="39" t="s">
        <v>40</v>
      </c>
      <c r="Z53" s="39" t="s">
        <v>78</v>
      </c>
      <c r="AA53" s="39" t="s">
        <v>47</v>
      </c>
      <c r="AB53" s="39" t="s">
        <v>335</v>
      </c>
    </row>
    <row r="54" spans="1:28" x14ac:dyDescent="0.15">
      <c r="A54" s="39" t="s">
        <v>34</v>
      </c>
      <c r="B54" s="39" t="s">
        <v>337</v>
      </c>
      <c r="C54" s="39">
        <v>2020</v>
      </c>
      <c r="D54" s="124" t="s">
        <v>343</v>
      </c>
      <c r="E54" s="39" t="s">
        <v>255</v>
      </c>
      <c r="F54" s="39" t="s">
        <v>287</v>
      </c>
      <c r="G54" s="39" t="s">
        <v>36</v>
      </c>
      <c r="H54" s="39" t="s">
        <v>146</v>
      </c>
      <c r="I54" s="39" t="s">
        <v>142</v>
      </c>
      <c r="J54" s="39" t="s">
        <v>38</v>
      </c>
      <c r="K54" s="39" t="s">
        <v>395</v>
      </c>
      <c r="L54" s="39">
        <v>2</v>
      </c>
      <c r="N54" s="39">
        <v>4</v>
      </c>
      <c r="O54" s="39">
        <v>0.6</v>
      </c>
      <c r="P54" s="39">
        <v>0.45</v>
      </c>
      <c r="Q54" s="61">
        <f t="shared" si="9"/>
        <v>0.52500000000000002</v>
      </c>
      <c r="R54" s="39">
        <v>15.6</v>
      </c>
      <c r="S54" s="39">
        <v>102</v>
      </c>
      <c r="T54" s="45">
        <f t="shared" si="1"/>
        <v>33</v>
      </c>
      <c r="U54" s="39">
        <v>498</v>
      </c>
      <c r="V54" s="45">
        <f t="shared" si="2"/>
        <v>4108.5</v>
      </c>
      <c r="W54" s="39">
        <v>3</v>
      </c>
      <c r="X54" s="39" t="s">
        <v>46</v>
      </c>
      <c r="Y54" s="39" t="s">
        <v>40</v>
      </c>
      <c r="Z54" s="39" t="s">
        <v>78</v>
      </c>
      <c r="AA54" s="39" t="s">
        <v>47</v>
      </c>
      <c r="AB54" s="39" t="s">
        <v>335</v>
      </c>
    </row>
    <row r="55" spans="1:28" x14ac:dyDescent="0.15">
      <c r="A55" s="39" t="s">
        <v>34</v>
      </c>
      <c r="B55" s="39" t="s">
        <v>337</v>
      </c>
      <c r="C55" s="39">
        <v>2020</v>
      </c>
      <c r="D55" s="124" t="s">
        <v>343</v>
      </c>
      <c r="E55" s="39" t="s">
        <v>255</v>
      </c>
      <c r="F55" s="39" t="s">
        <v>287</v>
      </c>
      <c r="G55" s="39" t="s">
        <v>36</v>
      </c>
      <c r="H55" s="39" t="s">
        <v>146</v>
      </c>
      <c r="I55" s="39" t="s">
        <v>142</v>
      </c>
      <c r="J55" s="39" t="s">
        <v>38</v>
      </c>
      <c r="K55" s="39" t="s">
        <v>395</v>
      </c>
      <c r="L55" s="39">
        <v>3</v>
      </c>
      <c r="N55" s="39">
        <v>4</v>
      </c>
      <c r="O55" s="39">
        <v>0.9</v>
      </c>
      <c r="P55" s="39">
        <v>0.8</v>
      </c>
      <c r="Q55" s="61">
        <f>IF(OR(O55="",P55=""),"",AVERAGE(O55,P55))</f>
        <v>0.85000000000000009</v>
      </c>
      <c r="R55" s="39">
        <v>17.899999999999999</v>
      </c>
      <c r="S55" s="39">
        <v>97</v>
      </c>
      <c r="T55" s="45">
        <f t="shared" si="1"/>
        <v>36</v>
      </c>
      <c r="U55" s="39">
        <v>498</v>
      </c>
      <c r="V55" s="45">
        <f t="shared" si="2"/>
        <v>4482</v>
      </c>
      <c r="W55" s="39">
        <v>3</v>
      </c>
      <c r="X55" s="39" t="s">
        <v>46</v>
      </c>
      <c r="Y55" s="39" t="s">
        <v>40</v>
      </c>
      <c r="Z55" s="39" t="s">
        <v>78</v>
      </c>
      <c r="AA55" s="39" t="s">
        <v>47</v>
      </c>
      <c r="AB55" s="39" t="s">
        <v>335</v>
      </c>
    </row>
    <row r="56" spans="1:28" x14ac:dyDescent="0.15">
      <c r="A56" s="39" t="s">
        <v>34</v>
      </c>
      <c r="B56" s="39" t="s">
        <v>337</v>
      </c>
      <c r="C56" s="39">
        <v>2020</v>
      </c>
      <c r="D56" s="124" t="s">
        <v>343</v>
      </c>
      <c r="E56" s="39" t="s">
        <v>295</v>
      </c>
      <c r="F56" s="39" t="s">
        <v>296</v>
      </c>
      <c r="G56" s="39" t="s">
        <v>42</v>
      </c>
      <c r="H56" s="39" t="s">
        <v>146</v>
      </c>
      <c r="I56" s="39" t="s">
        <v>142</v>
      </c>
      <c r="J56" s="39" t="s">
        <v>38</v>
      </c>
      <c r="K56" s="39" t="s">
        <v>395</v>
      </c>
      <c r="L56" s="39">
        <v>1</v>
      </c>
      <c r="N56" s="39">
        <v>1</v>
      </c>
      <c r="O56" s="39">
        <v>0.5</v>
      </c>
      <c r="P56" s="39">
        <v>0.5</v>
      </c>
      <c r="Q56" s="61">
        <f t="shared" ref="Q56:Q57" si="10">IF(OR(O56="",P56=""),"",AVERAGE(O56,P56))</f>
        <v>0.5</v>
      </c>
      <c r="R56" s="39">
        <v>15</v>
      </c>
      <c r="S56" s="39">
        <v>120</v>
      </c>
      <c r="T56" s="45">
        <f t="shared" si="1"/>
        <v>30</v>
      </c>
      <c r="U56" s="39">
        <v>136</v>
      </c>
      <c r="V56" s="45">
        <f t="shared" si="2"/>
        <v>4080</v>
      </c>
      <c r="W56" s="39">
        <v>2</v>
      </c>
      <c r="X56" s="39" t="s">
        <v>46</v>
      </c>
      <c r="Y56" s="39" t="s">
        <v>47</v>
      </c>
      <c r="Z56" s="39" t="s">
        <v>69</v>
      </c>
      <c r="AA56" s="39" t="s">
        <v>78</v>
      </c>
      <c r="AB56" s="39" t="s">
        <v>335</v>
      </c>
    </row>
    <row r="57" spans="1:28" x14ac:dyDescent="0.15">
      <c r="A57" s="39" t="s">
        <v>34</v>
      </c>
      <c r="B57" s="39" t="s">
        <v>337</v>
      </c>
      <c r="C57" s="39">
        <v>2020</v>
      </c>
      <c r="D57" s="124" t="s">
        <v>343</v>
      </c>
      <c r="E57" s="39" t="s">
        <v>295</v>
      </c>
      <c r="F57" s="39" t="s">
        <v>296</v>
      </c>
      <c r="G57" s="39" t="s">
        <v>42</v>
      </c>
      <c r="H57" s="39" t="s">
        <v>146</v>
      </c>
      <c r="I57" s="39" t="s">
        <v>142</v>
      </c>
      <c r="J57" s="39" t="s">
        <v>38</v>
      </c>
      <c r="K57" s="39" t="s">
        <v>395</v>
      </c>
      <c r="L57" s="39">
        <v>2</v>
      </c>
      <c r="N57" s="39">
        <v>1</v>
      </c>
      <c r="O57" s="39">
        <v>0.5</v>
      </c>
      <c r="P57" s="39">
        <v>0.5</v>
      </c>
      <c r="Q57" s="61">
        <f t="shared" si="10"/>
        <v>0.5</v>
      </c>
      <c r="R57" s="39">
        <v>16</v>
      </c>
      <c r="S57" s="39">
        <v>120</v>
      </c>
      <c r="T57" s="45">
        <f t="shared" si="1"/>
        <v>30</v>
      </c>
      <c r="U57" s="39">
        <v>136</v>
      </c>
      <c r="V57" s="45">
        <f t="shared" si="2"/>
        <v>4080</v>
      </c>
      <c r="W57" s="39">
        <v>2</v>
      </c>
      <c r="X57" s="39" t="s">
        <v>46</v>
      </c>
      <c r="Y57" s="39" t="s">
        <v>47</v>
      </c>
      <c r="Z57" s="39" t="s">
        <v>69</v>
      </c>
      <c r="AA57" s="39" t="s">
        <v>78</v>
      </c>
      <c r="AB57" s="39" t="s">
        <v>335</v>
      </c>
    </row>
    <row r="58" spans="1:28" x14ac:dyDescent="0.15">
      <c r="A58" s="39" t="s">
        <v>34</v>
      </c>
      <c r="B58" s="39" t="s">
        <v>337</v>
      </c>
      <c r="C58" s="39">
        <v>2020</v>
      </c>
      <c r="D58" s="124" t="s">
        <v>343</v>
      </c>
      <c r="E58" s="39" t="s">
        <v>295</v>
      </c>
      <c r="F58" s="39" t="s">
        <v>296</v>
      </c>
      <c r="G58" s="39" t="s">
        <v>42</v>
      </c>
      <c r="H58" s="39" t="s">
        <v>146</v>
      </c>
      <c r="I58" s="39" t="s">
        <v>142</v>
      </c>
      <c r="J58" s="39" t="s">
        <v>38</v>
      </c>
      <c r="K58" s="39" t="s">
        <v>395</v>
      </c>
      <c r="L58" s="39">
        <v>3</v>
      </c>
      <c r="N58" s="39">
        <v>1</v>
      </c>
      <c r="O58" s="39">
        <v>0.6</v>
      </c>
      <c r="P58" s="39">
        <v>0.7</v>
      </c>
      <c r="Q58" s="61">
        <f>IF(OR(O58="",P58=""),"",AVERAGE(O58,P58))</f>
        <v>0.64999999999999991</v>
      </c>
      <c r="R58" s="39">
        <v>15.3</v>
      </c>
      <c r="S58" s="39">
        <v>120</v>
      </c>
      <c r="T58" s="45">
        <f t="shared" si="1"/>
        <v>30</v>
      </c>
      <c r="U58" s="39">
        <v>136</v>
      </c>
      <c r="V58" s="45">
        <f t="shared" si="2"/>
        <v>4080</v>
      </c>
      <c r="W58" s="39">
        <v>2</v>
      </c>
      <c r="X58" s="39" t="s">
        <v>46</v>
      </c>
      <c r="Y58" s="39" t="s">
        <v>47</v>
      </c>
      <c r="Z58" s="39" t="s">
        <v>69</v>
      </c>
      <c r="AA58" s="39" t="s">
        <v>78</v>
      </c>
      <c r="AB58" s="39" t="s">
        <v>335</v>
      </c>
    </row>
    <row r="59" spans="1:28" x14ac:dyDescent="0.15">
      <c r="A59" s="39" t="s">
        <v>34</v>
      </c>
      <c r="B59" s="39" t="s">
        <v>337</v>
      </c>
      <c r="C59" s="39">
        <v>2020</v>
      </c>
      <c r="D59" s="124" t="s">
        <v>343</v>
      </c>
      <c r="E59" s="39" t="s">
        <v>295</v>
      </c>
      <c r="F59" s="39" t="s">
        <v>296</v>
      </c>
      <c r="G59" s="39" t="s">
        <v>42</v>
      </c>
      <c r="H59" s="39" t="s">
        <v>146</v>
      </c>
      <c r="I59" s="39" t="s">
        <v>142</v>
      </c>
      <c r="J59" s="39" t="s">
        <v>38</v>
      </c>
      <c r="K59" s="39" t="s">
        <v>395</v>
      </c>
      <c r="L59" s="39">
        <v>1</v>
      </c>
      <c r="N59" s="39">
        <v>4</v>
      </c>
      <c r="O59" s="39">
        <v>0.45</v>
      </c>
      <c r="P59" s="39">
        <v>0.45</v>
      </c>
      <c r="Q59" s="61">
        <f t="shared" ref="Q59:Q60" si="11">IF(OR(O59="",P59=""),"",AVERAGE(O59,P59))</f>
        <v>0.45</v>
      </c>
      <c r="R59" s="39">
        <v>15.5</v>
      </c>
      <c r="S59" s="39">
        <v>89</v>
      </c>
      <c r="T59" s="45">
        <f t="shared" si="1"/>
        <v>36</v>
      </c>
      <c r="U59" s="39">
        <v>427</v>
      </c>
      <c r="V59" s="45">
        <f t="shared" si="2"/>
        <v>3843</v>
      </c>
      <c r="W59" s="39">
        <v>2</v>
      </c>
      <c r="X59" s="39" t="s">
        <v>46</v>
      </c>
      <c r="Y59" s="39" t="s">
        <v>47</v>
      </c>
      <c r="Z59" s="39" t="s">
        <v>69</v>
      </c>
      <c r="AA59" s="39" t="s">
        <v>78</v>
      </c>
      <c r="AB59" s="39" t="s">
        <v>335</v>
      </c>
    </row>
    <row r="60" spans="1:28" x14ac:dyDescent="0.15">
      <c r="A60" s="39" t="s">
        <v>34</v>
      </c>
      <c r="B60" s="39" t="s">
        <v>337</v>
      </c>
      <c r="C60" s="39">
        <v>2020</v>
      </c>
      <c r="D60" s="124" t="s">
        <v>343</v>
      </c>
      <c r="E60" s="39" t="s">
        <v>295</v>
      </c>
      <c r="F60" s="39" t="s">
        <v>296</v>
      </c>
      <c r="G60" s="39" t="s">
        <v>42</v>
      </c>
      <c r="H60" s="39" t="s">
        <v>146</v>
      </c>
      <c r="I60" s="39" t="s">
        <v>142</v>
      </c>
      <c r="J60" s="39" t="s">
        <v>38</v>
      </c>
      <c r="K60" s="39" t="s">
        <v>395</v>
      </c>
      <c r="L60" s="39">
        <v>2</v>
      </c>
      <c r="N60" s="39">
        <v>4</v>
      </c>
      <c r="O60" s="39">
        <v>0.45</v>
      </c>
      <c r="P60" s="39">
        <v>0.45</v>
      </c>
      <c r="Q60" s="61">
        <f t="shared" si="11"/>
        <v>0.45</v>
      </c>
      <c r="R60" s="39">
        <v>16.899999999999999</v>
      </c>
      <c r="S60" s="39">
        <v>85</v>
      </c>
      <c r="T60" s="45">
        <f t="shared" si="1"/>
        <v>36</v>
      </c>
      <c r="U60" s="39">
        <v>427</v>
      </c>
      <c r="V60" s="45">
        <f t="shared" si="2"/>
        <v>3843</v>
      </c>
      <c r="W60" s="39">
        <v>2</v>
      </c>
      <c r="X60" s="39" t="s">
        <v>46</v>
      </c>
      <c r="Y60" s="39" t="s">
        <v>47</v>
      </c>
      <c r="Z60" s="39" t="s">
        <v>69</v>
      </c>
      <c r="AA60" s="39" t="s">
        <v>78</v>
      </c>
      <c r="AB60" s="39" t="s">
        <v>335</v>
      </c>
    </row>
    <row r="61" spans="1:28" x14ac:dyDescent="0.15">
      <c r="A61" s="39" t="s">
        <v>34</v>
      </c>
      <c r="B61" s="39" t="s">
        <v>337</v>
      </c>
      <c r="C61" s="39">
        <v>2020</v>
      </c>
      <c r="D61" s="124" t="s">
        <v>343</v>
      </c>
      <c r="E61" s="39" t="s">
        <v>295</v>
      </c>
      <c r="F61" s="39" t="s">
        <v>296</v>
      </c>
      <c r="G61" s="39" t="s">
        <v>42</v>
      </c>
      <c r="H61" s="39" t="s">
        <v>146</v>
      </c>
      <c r="I61" s="39" t="s">
        <v>142</v>
      </c>
      <c r="J61" s="39" t="s">
        <v>38</v>
      </c>
      <c r="K61" s="39" t="s">
        <v>395</v>
      </c>
      <c r="L61" s="39">
        <v>3</v>
      </c>
      <c r="N61" s="39">
        <v>4</v>
      </c>
      <c r="O61" s="39">
        <v>0.45</v>
      </c>
      <c r="P61" s="39">
        <v>0.4</v>
      </c>
      <c r="Q61" s="61">
        <f>IF(OR(O61="",P61=""),"",AVERAGE(O61,P61))</f>
        <v>0.42500000000000004</v>
      </c>
      <c r="R61" s="39">
        <v>15.8</v>
      </c>
      <c r="S61" s="39">
        <v>93</v>
      </c>
      <c r="T61" s="45">
        <f t="shared" si="1"/>
        <v>36</v>
      </c>
      <c r="U61" s="39">
        <v>427</v>
      </c>
      <c r="V61" s="45">
        <f t="shared" si="2"/>
        <v>3843</v>
      </c>
      <c r="W61" s="39">
        <v>2</v>
      </c>
      <c r="X61" s="39" t="s">
        <v>46</v>
      </c>
      <c r="Y61" s="39" t="s">
        <v>47</v>
      </c>
      <c r="Z61" s="39" t="s">
        <v>69</v>
      </c>
      <c r="AA61" s="39" t="s">
        <v>78</v>
      </c>
      <c r="AB61" s="39" t="s">
        <v>335</v>
      </c>
    </row>
    <row r="62" spans="1:28" x14ac:dyDescent="0.15">
      <c r="A62" s="39" t="s">
        <v>34</v>
      </c>
      <c r="B62" s="39" t="s">
        <v>337</v>
      </c>
      <c r="C62" s="39">
        <v>2020</v>
      </c>
      <c r="D62" s="124" t="s">
        <v>343</v>
      </c>
      <c r="E62" s="39" t="s">
        <v>295</v>
      </c>
      <c r="F62" s="39" t="s">
        <v>296</v>
      </c>
      <c r="G62" s="39" t="s">
        <v>42</v>
      </c>
      <c r="H62" s="39" t="s">
        <v>127</v>
      </c>
      <c r="I62" s="39" t="s">
        <v>142</v>
      </c>
      <c r="J62" s="39" t="s">
        <v>80</v>
      </c>
      <c r="K62" s="39" t="s">
        <v>54</v>
      </c>
      <c r="L62" s="39">
        <v>1</v>
      </c>
      <c r="N62" s="39">
        <v>5</v>
      </c>
      <c r="O62" s="39">
        <v>1</v>
      </c>
      <c r="P62" s="39">
        <v>1</v>
      </c>
      <c r="Q62" s="61">
        <f t="shared" ref="Q62:Q63" si="12">IF(OR(O62="",P62=""),"",AVERAGE(O62,P62))</f>
        <v>1</v>
      </c>
      <c r="R62" s="39">
        <v>15</v>
      </c>
      <c r="S62" s="39">
        <v>98</v>
      </c>
      <c r="T62" s="45">
        <f t="shared" si="1"/>
        <v>36</v>
      </c>
      <c r="U62" s="39">
        <v>427</v>
      </c>
      <c r="V62" s="45">
        <f t="shared" si="2"/>
        <v>3074.4</v>
      </c>
      <c r="W62" s="39">
        <v>2</v>
      </c>
      <c r="X62" s="39" t="s">
        <v>46</v>
      </c>
      <c r="Y62" s="39" t="s">
        <v>47</v>
      </c>
      <c r="Z62" s="39" t="s">
        <v>69</v>
      </c>
      <c r="AA62" s="39" t="s">
        <v>78</v>
      </c>
      <c r="AB62" s="39" t="s">
        <v>335</v>
      </c>
    </row>
    <row r="63" spans="1:28" x14ac:dyDescent="0.15">
      <c r="A63" s="39" t="s">
        <v>34</v>
      </c>
      <c r="B63" s="39" t="s">
        <v>337</v>
      </c>
      <c r="C63" s="39">
        <v>2020</v>
      </c>
      <c r="D63" s="124" t="s">
        <v>343</v>
      </c>
      <c r="E63" s="39" t="s">
        <v>295</v>
      </c>
      <c r="F63" s="39" t="s">
        <v>296</v>
      </c>
      <c r="G63" s="39" t="s">
        <v>42</v>
      </c>
      <c r="H63" s="39" t="s">
        <v>127</v>
      </c>
      <c r="I63" s="39" t="s">
        <v>142</v>
      </c>
      <c r="J63" s="39" t="s">
        <v>80</v>
      </c>
      <c r="K63" s="39" t="s">
        <v>54</v>
      </c>
      <c r="L63" s="39">
        <v>2</v>
      </c>
      <c r="N63" s="39">
        <v>5</v>
      </c>
      <c r="O63" s="39">
        <v>1.3</v>
      </c>
      <c r="P63" s="39">
        <v>1.2</v>
      </c>
      <c r="Q63" s="61">
        <f t="shared" si="12"/>
        <v>1.25</v>
      </c>
      <c r="R63" s="39">
        <v>13.7</v>
      </c>
      <c r="S63" s="39">
        <v>100</v>
      </c>
      <c r="T63" s="45">
        <f t="shared" si="1"/>
        <v>33</v>
      </c>
      <c r="U63" s="39">
        <v>427</v>
      </c>
      <c r="V63" s="45">
        <f t="shared" si="2"/>
        <v>2818.2000000000003</v>
      </c>
      <c r="W63" s="39">
        <v>2</v>
      </c>
      <c r="X63" s="39" t="s">
        <v>46</v>
      </c>
      <c r="Y63" s="39" t="s">
        <v>47</v>
      </c>
      <c r="Z63" s="39" t="s">
        <v>69</v>
      </c>
      <c r="AA63" s="39" t="s">
        <v>78</v>
      </c>
      <c r="AB63" s="39" t="s">
        <v>335</v>
      </c>
    </row>
    <row r="64" spans="1:28" x14ac:dyDescent="0.15">
      <c r="A64" s="39" t="s">
        <v>34</v>
      </c>
      <c r="B64" s="39" t="s">
        <v>337</v>
      </c>
      <c r="C64" s="39">
        <v>2020</v>
      </c>
      <c r="D64" s="124" t="s">
        <v>343</v>
      </c>
      <c r="E64" s="39" t="s">
        <v>295</v>
      </c>
      <c r="F64" s="39" t="s">
        <v>296</v>
      </c>
      <c r="G64" s="39" t="s">
        <v>42</v>
      </c>
      <c r="H64" s="39" t="s">
        <v>127</v>
      </c>
      <c r="I64" s="39" t="s">
        <v>142</v>
      </c>
      <c r="J64" s="39" t="s">
        <v>80</v>
      </c>
      <c r="K64" s="39" t="s">
        <v>54</v>
      </c>
      <c r="L64" s="39">
        <v>3</v>
      </c>
      <c r="N64" s="39">
        <v>5</v>
      </c>
      <c r="O64" s="39">
        <v>1.5</v>
      </c>
      <c r="P64" s="39">
        <v>1.6</v>
      </c>
      <c r="Q64" s="61">
        <f>IF(OR(O64="",P64=""),"",AVERAGE(O64,P64))</f>
        <v>1.55</v>
      </c>
      <c r="R64" s="39">
        <v>12.2</v>
      </c>
      <c r="S64" s="39">
        <v>99</v>
      </c>
      <c r="T64" s="45">
        <f t="shared" si="1"/>
        <v>33</v>
      </c>
      <c r="U64" s="39">
        <v>427</v>
      </c>
      <c r="V64" s="45">
        <f t="shared" si="2"/>
        <v>2818.2000000000003</v>
      </c>
      <c r="W64" s="39">
        <v>2</v>
      </c>
      <c r="X64" s="39" t="s">
        <v>46</v>
      </c>
      <c r="Y64" s="39" t="s">
        <v>47</v>
      </c>
      <c r="Z64" s="39" t="s">
        <v>69</v>
      </c>
      <c r="AA64" s="39" t="s">
        <v>78</v>
      </c>
      <c r="AB64" s="39" t="s">
        <v>335</v>
      </c>
    </row>
    <row r="65" spans="1:28" x14ac:dyDescent="0.15">
      <c r="A65" s="39" t="s">
        <v>34</v>
      </c>
      <c r="B65" s="39" t="s">
        <v>337</v>
      </c>
      <c r="C65" s="39">
        <v>2020</v>
      </c>
      <c r="D65" s="124" t="s">
        <v>343</v>
      </c>
      <c r="E65" s="39" t="s">
        <v>293</v>
      </c>
      <c r="F65" s="39" t="s">
        <v>294</v>
      </c>
      <c r="G65" s="39" t="s">
        <v>36</v>
      </c>
      <c r="H65" s="39" t="s">
        <v>127</v>
      </c>
      <c r="I65" s="39" t="s">
        <v>142</v>
      </c>
      <c r="J65" s="39" t="s">
        <v>80</v>
      </c>
      <c r="K65" s="39" t="s">
        <v>63</v>
      </c>
      <c r="L65" s="39">
        <v>1</v>
      </c>
      <c r="N65" s="39">
        <v>6</v>
      </c>
      <c r="O65" s="39">
        <v>1</v>
      </c>
      <c r="P65" s="39">
        <v>1.05</v>
      </c>
      <c r="Q65" s="61">
        <f t="shared" ref="Q65:Q66" si="13">IF(OR(O65="",P65=""),"",AVERAGE(O65,P65))</f>
        <v>1.0249999999999999</v>
      </c>
      <c r="R65" s="39">
        <v>9.8000000000000007</v>
      </c>
      <c r="S65" s="39">
        <v>130</v>
      </c>
      <c r="T65" s="45">
        <f t="shared" si="1"/>
        <v>30</v>
      </c>
      <c r="U65" s="39">
        <v>518</v>
      </c>
      <c r="V65" s="45">
        <f t="shared" si="2"/>
        <v>2590</v>
      </c>
      <c r="W65" s="39">
        <v>6</v>
      </c>
      <c r="X65" s="39" t="s">
        <v>46</v>
      </c>
      <c r="Y65" s="39" t="s">
        <v>69</v>
      </c>
      <c r="Z65" s="39" t="s">
        <v>47</v>
      </c>
      <c r="AA65" s="39" t="s">
        <v>40</v>
      </c>
      <c r="AB65" s="39" t="s">
        <v>335</v>
      </c>
    </row>
    <row r="66" spans="1:28" x14ac:dyDescent="0.15">
      <c r="A66" s="39" t="s">
        <v>34</v>
      </c>
      <c r="B66" s="39" t="s">
        <v>337</v>
      </c>
      <c r="C66" s="39">
        <v>2020</v>
      </c>
      <c r="D66" s="124" t="s">
        <v>343</v>
      </c>
      <c r="E66" s="39" t="s">
        <v>293</v>
      </c>
      <c r="F66" s="39" t="s">
        <v>294</v>
      </c>
      <c r="G66" s="39" t="s">
        <v>36</v>
      </c>
      <c r="H66" s="39" t="s">
        <v>127</v>
      </c>
      <c r="I66" s="39" t="s">
        <v>142</v>
      </c>
      <c r="J66" s="39" t="s">
        <v>80</v>
      </c>
      <c r="K66" s="39" t="s">
        <v>63</v>
      </c>
      <c r="L66" s="39">
        <v>2</v>
      </c>
      <c r="N66" s="39">
        <v>6</v>
      </c>
      <c r="O66" s="39">
        <v>1.35</v>
      </c>
      <c r="P66" s="39">
        <v>1.2</v>
      </c>
      <c r="Q66" s="61">
        <f t="shared" si="13"/>
        <v>1.2749999999999999</v>
      </c>
      <c r="R66" s="39">
        <v>12.5</v>
      </c>
      <c r="S66" s="39">
        <v>126</v>
      </c>
      <c r="T66" s="45">
        <f t="shared" ref="T66:T112" si="14">IF(H66="","",IF(OR(H66="GREEN",H66="GK"),IF(S66&gt;=$AX$2,VLOOKUP(S66,$AX$2:$AY$9,2,1),""),IF(S66&gt;=$AZ$2,VLOOKUP(S66,$AZ$2:$BA$9,2,1),"")))</f>
        <v>30</v>
      </c>
      <c r="U66" s="39">
        <v>518</v>
      </c>
      <c r="V66" s="45">
        <f t="shared" ref="V66:V112" si="15">IF(OR(N66="",U66="",T66=""),"",U66/N66*T66)</f>
        <v>2590</v>
      </c>
      <c r="W66" s="39">
        <v>6</v>
      </c>
      <c r="X66" s="39" t="s">
        <v>46</v>
      </c>
      <c r="Y66" s="39" t="s">
        <v>69</v>
      </c>
      <c r="Z66" s="39" t="s">
        <v>47</v>
      </c>
      <c r="AA66" s="39" t="s">
        <v>40</v>
      </c>
      <c r="AB66" s="39" t="s">
        <v>335</v>
      </c>
    </row>
    <row r="67" spans="1:28" x14ac:dyDescent="0.15">
      <c r="A67" s="39" t="s">
        <v>34</v>
      </c>
      <c r="B67" s="39" t="s">
        <v>337</v>
      </c>
      <c r="C67" s="39">
        <v>2020</v>
      </c>
      <c r="D67" s="124" t="s">
        <v>343</v>
      </c>
      <c r="E67" s="39" t="s">
        <v>293</v>
      </c>
      <c r="F67" s="39" t="s">
        <v>294</v>
      </c>
      <c r="G67" s="39" t="s">
        <v>36</v>
      </c>
      <c r="H67" s="39" t="s">
        <v>127</v>
      </c>
      <c r="I67" s="39" t="s">
        <v>142</v>
      </c>
      <c r="J67" s="39" t="s">
        <v>80</v>
      </c>
      <c r="K67" s="39" t="s">
        <v>63</v>
      </c>
      <c r="L67" s="39">
        <v>3</v>
      </c>
      <c r="N67" s="39">
        <v>6</v>
      </c>
      <c r="O67" s="39">
        <v>0.95</v>
      </c>
      <c r="P67" s="39">
        <v>0.9</v>
      </c>
      <c r="Q67" s="61">
        <f>IF(OR(O67="",P67=""),"",AVERAGE(O67,P67))</f>
        <v>0.92500000000000004</v>
      </c>
      <c r="R67" s="39">
        <v>13.8</v>
      </c>
      <c r="S67" s="39">
        <v>126</v>
      </c>
      <c r="T67" s="45">
        <f t="shared" si="14"/>
        <v>30</v>
      </c>
      <c r="U67" s="39">
        <v>518</v>
      </c>
      <c r="V67" s="45">
        <f t="shared" si="15"/>
        <v>2590</v>
      </c>
      <c r="W67" s="39">
        <v>6</v>
      </c>
      <c r="X67" s="39" t="s">
        <v>46</v>
      </c>
      <c r="Y67" s="39" t="s">
        <v>69</v>
      </c>
      <c r="Z67" s="39" t="s">
        <v>47</v>
      </c>
      <c r="AA67" s="39" t="s">
        <v>40</v>
      </c>
      <c r="AB67" s="39" t="s">
        <v>335</v>
      </c>
    </row>
    <row r="68" spans="1:28" x14ac:dyDescent="0.15">
      <c r="A68" s="39" t="s">
        <v>34</v>
      </c>
      <c r="B68" s="39" t="s">
        <v>337</v>
      </c>
      <c r="C68" s="39">
        <v>2020</v>
      </c>
      <c r="D68" s="124" t="s">
        <v>343</v>
      </c>
      <c r="E68" s="39" t="s">
        <v>293</v>
      </c>
      <c r="F68" s="39" t="s">
        <v>294</v>
      </c>
      <c r="G68" s="39" t="s">
        <v>36</v>
      </c>
      <c r="H68" s="39" t="s">
        <v>146</v>
      </c>
      <c r="I68" s="39" t="s">
        <v>142</v>
      </c>
      <c r="J68" s="39" t="s">
        <v>38</v>
      </c>
      <c r="K68" s="39" t="s">
        <v>395</v>
      </c>
      <c r="L68" s="39">
        <v>1</v>
      </c>
      <c r="N68" s="39">
        <v>1</v>
      </c>
      <c r="O68" s="39">
        <v>1.3</v>
      </c>
      <c r="P68" s="39">
        <v>1.35</v>
      </c>
      <c r="Q68" s="61">
        <f t="shared" ref="Q68:Q69" si="16">IF(OR(O68="",P68=""),"",AVERAGE(O68,P68))</f>
        <v>1.3250000000000002</v>
      </c>
      <c r="R68" s="39">
        <v>14.3</v>
      </c>
      <c r="S68" s="39">
        <v>142</v>
      </c>
      <c r="T68" s="45">
        <f t="shared" si="14"/>
        <v>30</v>
      </c>
      <c r="U68" s="39">
        <v>105</v>
      </c>
      <c r="V68" s="45">
        <f t="shared" si="15"/>
        <v>3150</v>
      </c>
      <c r="W68" s="39">
        <v>6</v>
      </c>
      <c r="X68" s="39" t="s">
        <v>46</v>
      </c>
      <c r="Y68" s="39" t="s">
        <v>69</v>
      </c>
      <c r="Z68" s="39" t="s">
        <v>47</v>
      </c>
      <c r="AA68" s="39" t="s">
        <v>40</v>
      </c>
      <c r="AB68" s="39" t="s">
        <v>335</v>
      </c>
    </row>
    <row r="69" spans="1:28" x14ac:dyDescent="0.15">
      <c r="A69" s="39" t="s">
        <v>34</v>
      </c>
      <c r="B69" s="39" t="s">
        <v>337</v>
      </c>
      <c r="C69" s="39">
        <v>2020</v>
      </c>
      <c r="D69" s="124" t="s">
        <v>343</v>
      </c>
      <c r="E69" s="39" t="s">
        <v>293</v>
      </c>
      <c r="F69" s="39" t="s">
        <v>294</v>
      </c>
      <c r="G69" s="39" t="s">
        <v>36</v>
      </c>
      <c r="H69" s="39" t="s">
        <v>146</v>
      </c>
      <c r="I69" s="39" t="s">
        <v>142</v>
      </c>
      <c r="J69" s="39" t="s">
        <v>38</v>
      </c>
      <c r="K69" s="39" t="s">
        <v>395</v>
      </c>
      <c r="L69" s="39">
        <v>2</v>
      </c>
      <c r="N69" s="39">
        <v>1</v>
      </c>
      <c r="O69" s="39">
        <v>1</v>
      </c>
      <c r="P69" s="39">
        <v>1</v>
      </c>
      <c r="Q69" s="61">
        <f t="shared" si="16"/>
        <v>1</v>
      </c>
      <c r="R69" s="39">
        <v>15.1</v>
      </c>
      <c r="S69" s="39">
        <v>150</v>
      </c>
      <c r="T69" s="45">
        <f t="shared" si="14"/>
        <v>30</v>
      </c>
      <c r="U69" s="39">
        <v>105</v>
      </c>
      <c r="V69" s="45">
        <f t="shared" si="15"/>
        <v>3150</v>
      </c>
      <c r="W69" s="39">
        <v>6</v>
      </c>
      <c r="X69" s="39" t="s">
        <v>46</v>
      </c>
      <c r="Y69" s="39" t="s">
        <v>69</v>
      </c>
      <c r="Z69" s="39" t="s">
        <v>47</v>
      </c>
      <c r="AA69" s="39" t="s">
        <v>40</v>
      </c>
      <c r="AB69" s="39" t="s">
        <v>335</v>
      </c>
    </row>
    <row r="70" spans="1:28" x14ac:dyDescent="0.15">
      <c r="A70" s="39" t="s">
        <v>34</v>
      </c>
      <c r="B70" s="39" t="s">
        <v>337</v>
      </c>
      <c r="C70" s="39">
        <v>2020</v>
      </c>
      <c r="D70" s="124" t="s">
        <v>343</v>
      </c>
      <c r="E70" s="39" t="s">
        <v>293</v>
      </c>
      <c r="F70" s="39" t="s">
        <v>294</v>
      </c>
      <c r="G70" s="39" t="s">
        <v>36</v>
      </c>
      <c r="H70" s="39" t="s">
        <v>146</v>
      </c>
      <c r="I70" s="39" t="s">
        <v>142</v>
      </c>
      <c r="J70" s="39" t="s">
        <v>38</v>
      </c>
      <c r="K70" s="39" t="s">
        <v>395</v>
      </c>
      <c r="L70" s="39">
        <v>3</v>
      </c>
      <c r="N70" s="39">
        <v>1</v>
      </c>
      <c r="O70" s="39">
        <v>0.9</v>
      </c>
      <c r="P70" s="39">
        <v>1.05</v>
      </c>
      <c r="Q70" s="61">
        <f>IF(OR(O70="",P70=""),"",AVERAGE(O70,P70))</f>
        <v>0.97500000000000009</v>
      </c>
      <c r="R70" s="39">
        <v>15.7</v>
      </c>
      <c r="S70" s="39">
        <v>134</v>
      </c>
      <c r="T70" s="45">
        <f t="shared" si="14"/>
        <v>30</v>
      </c>
      <c r="U70" s="39">
        <v>105</v>
      </c>
      <c r="V70" s="45">
        <f t="shared" si="15"/>
        <v>3150</v>
      </c>
      <c r="W70" s="39">
        <v>6</v>
      </c>
      <c r="X70" s="39" t="s">
        <v>46</v>
      </c>
      <c r="Y70" s="39" t="s">
        <v>69</v>
      </c>
      <c r="Z70" s="39" t="s">
        <v>47</v>
      </c>
      <c r="AA70" s="39" t="s">
        <v>40</v>
      </c>
      <c r="AB70" s="39" t="s">
        <v>335</v>
      </c>
    </row>
    <row r="71" spans="1:28" x14ac:dyDescent="0.15">
      <c r="A71" s="39" t="s">
        <v>34</v>
      </c>
      <c r="B71" s="39" t="s">
        <v>337</v>
      </c>
      <c r="C71" s="39">
        <v>2020</v>
      </c>
      <c r="D71" s="124" t="s">
        <v>343</v>
      </c>
      <c r="E71" s="39" t="s">
        <v>288</v>
      </c>
      <c r="F71" s="39" t="s">
        <v>299</v>
      </c>
      <c r="G71" s="39" t="s">
        <v>42</v>
      </c>
      <c r="H71" s="39" t="s">
        <v>146</v>
      </c>
      <c r="I71" s="39" t="s">
        <v>142</v>
      </c>
      <c r="J71" s="39" t="s">
        <v>38</v>
      </c>
      <c r="K71" s="39" t="s">
        <v>395</v>
      </c>
      <c r="L71" s="39">
        <v>1</v>
      </c>
      <c r="N71" s="39">
        <v>1</v>
      </c>
      <c r="O71" s="39">
        <v>0.45</v>
      </c>
      <c r="P71" s="39">
        <v>0.45</v>
      </c>
      <c r="Q71" s="61">
        <f t="shared" ref="Q71:Q72" si="17">IF(OR(O71="",P71=""),"",AVERAGE(O71,P71))</f>
        <v>0.45</v>
      </c>
      <c r="R71" s="39">
        <v>17.2</v>
      </c>
      <c r="S71" s="39">
        <v>154</v>
      </c>
      <c r="T71" s="45">
        <f t="shared" si="14"/>
        <v>18</v>
      </c>
      <c r="U71" s="39">
        <v>138</v>
      </c>
      <c r="V71" s="45">
        <f t="shared" si="15"/>
        <v>2484</v>
      </c>
      <c r="W71" s="39">
        <v>9</v>
      </c>
      <c r="X71" s="39" t="s">
        <v>46</v>
      </c>
      <c r="Y71" s="39" t="s">
        <v>55</v>
      </c>
      <c r="Z71" s="39" t="s">
        <v>40</v>
      </c>
      <c r="AA71" s="39" t="s">
        <v>47</v>
      </c>
      <c r="AB71" s="39" t="s">
        <v>335</v>
      </c>
    </row>
    <row r="72" spans="1:28" x14ac:dyDescent="0.15">
      <c r="A72" s="39" t="s">
        <v>34</v>
      </c>
      <c r="B72" s="39" t="s">
        <v>337</v>
      </c>
      <c r="C72" s="39">
        <v>2020</v>
      </c>
      <c r="D72" s="124" t="s">
        <v>343</v>
      </c>
      <c r="E72" s="39" t="s">
        <v>288</v>
      </c>
      <c r="F72" s="39" t="s">
        <v>299</v>
      </c>
      <c r="G72" s="39" t="s">
        <v>42</v>
      </c>
      <c r="H72" s="39" t="s">
        <v>146</v>
      </c>
      <c r="I72" s="39" t="s">
        <v>142</v>
      </c>
      <c r="J72" s="39" t="s">
        <v>38</v>
      </c>
      <c r="K72" s="39" t="s">
        <v>395</v>
      </c>
      <c r="L72" s="39">
        <v>2</v>
      </c>
      <c r="N72" s="39">
        <v>1</v>
      </c>
      <c r="O72" s="39">
        <v>0.55000000000000004</v>
      </c>
      <c r="P72" s="39">
        <v>0.55000000000000004</v>
      </c>
      <c r="Q72" s="61">
        <f t="shared" si="17"/>
        <v>0.55000000000000004</v>
      </c>
      <c r="R72" s="39">
        <v>16.2</v>
      </c>
      <c r="S72" s="39">
        <v>150</v>
      </c>
      <c r="T72" s="45">
        <f t="shared" si="14"/>
        <v>30</v>
      </c>
      <c r="U72" s="39">
        <v>138</v>
      </c>
      <c r="V72" s="45">
        <f t="shared" si="15"/>
        <v>4140</v>
      </c>
      <c r="W72" s="39">
        <v>9</v>
      </c>
      <c r="X72" s="39" t="s">
        <v>46</v>
      </c>
      <c r="Y72" s="39" t="s">
        <v>55</v>
      </c>
      <c r="Z72" s="39" t="s">
        <v>40</v>
      </c>
      <c r="AA72" s="39" t="s">
        <v>47</v>
      </c>
      <c r="AB72" s="39" t="s">
        <v>335</v>
      </c>
    </row>
    <row r="73" spans="1:28" x14ac:dyDescent="0.15">
      <c r="A73" s="39" t="s">
        <v>34</v>
      </c>
      <c r="B73" s="39" t="s">
        <v>337</v>
      </c>
      <c r="C73" s="39">
        <v>2020</v>
      </c>
      <c r="D73" s="124" t="s">
        <v>343</v>
      </c>
      <c r="E73" s="39" t="s">
        <v>288</v>
      </c>
      <c r="F73" s="39" t="s">
        <v>299</v>
      </c>
      <c r="G73" s="39" t="s">
        <v>42</v>
      </c>
      <c r="H73" s="39" t="s">
        <v>146</v>
      </c>
      <c r="I73" s="39" t="s">
        <v>142</v>
      </c>
      <c r="J73" s="39" t="s">
        <v>38</v>
      </c>
      <c r="K73" s="39" t="s">
        <v>395</v>
      </c>
      <c r="L73" s="39">
        <v>3</v>
      </c>
      <c r="N73" s="39">
        <v>1</v>
      </c>
      <c r="O73" s="39">
        <v>0.75</v>
      </c>
      <c r="P73" s="39">
        <v>0.6</v>
      </c>
      <c r="Q73" s="61">
        <f>IF(OR(O73="",P73=""),"",AVERAGE(O73,P73))</f>
        <v>0.67500000000000004</v>
      </c>
      <c r="R73" s="39">
        <v>15.1</v>
      </c>
      <c r="S73" s="39">
        <v>150</v>
      </c>
      <c r="T73" s="45">
        <f t="shared" si="14"/>
        <v>30</v>
      </c>
      <c r="U73" s="39">
        <v>138</v>
      </c>
      <c r="V73" s="45">
        <f t="shared" si="15"/>
        <v>4140</v>
      </c>
      <c r="W73" s="39">
        <v>9</v>
      </c>
      <c r="X73" s="39" t="s">
        <v>46</v>
      </c>
      <c r="Y73" s="39" t="s">
        <v>55</v>
      </c>
      <c r="Z73" s="39" t="s">
        <v>40</v>
      </c>
      <c r="AA73" s="39" t="s">
        <v>47</v>
      </c>
      <c r="AB73" s="39" t="s">
        <v>335</v>
      </c>
    </row>
    <row r="74" spans="1:28" x14ac:dyDescent="0.15">
      <c r="A74" s="39" t="s">
        <v>34</v>
      </c>
      <c r="B74" s="39" t="s">
        <v>337</v>
      </c>
      <c r="C74" s="39">
        <v>2020</v>
      </c>
      <c r="D74" s="124" t="s">
        <v>343</v>
      </c>
      <c r="E74" s="39" t="s">
        <v>288</v>
      </c>
      <c r="F74" s="39" t="s">
        <v>299</v>
      </c>
      <c r="G74" s="39" t="s">
        <v>42</v>
      </c>
      <c r="H74" s="39" t="s">
        <v>146</v>
      </c>
      <c r="I74" s="39" t="s">
        <v>142</v>
      </c>
      <c r="J74" s="39" t="s">
        <v>38</v>
      </c>
      <c r="K74" s="39" t="s">
        <v>395</v>
      </c>
      <c r="L74" s="39">
        <v>1</v>
      </c>
      <c r="N74" s="39">
        <v>4</v>
      </c>
      <c r="O74" s="39">
        <v>0.65</v>
      </c>
      <c r="P74" s="39">
        <v>0.6</v>
      </c>
      <c r="Q74" s="61">
        <f t="shared" ref="Q74:Q75" si="18">IF(OR(O74="",P74=""),"",AVERAGE(O74,P74))</f>
        <v>0.625</v>
      </c>
      <c r="R74" s="39">
        <v>18.899999999999999</v>
      </c>
      <c r="S74" s="39">
        <v>99</v>
      </c>
      <c r="T74" s="45">
        <f t="shared" si="14"/>
        <v>33</v>
      </c>
      <c r="U74" s="39">
        <v>429</v>
      </c>
      <c r="V74" s="45">
        <f t="shared" si="15"/>
        <v>3539.25</v>
      </c>
      <c r="W74" s="39">
        <v>9</v>
      </c>
      <c r="X74" s="39" t="s">
        <v>46</v>
      </c>
      <c r="Y74" s="39" t="s">
        <v>55</v>
      </c>
      <c r="Z74" s="39" t="s">
        <v>40</v>
      </c>
      <c r="AA74" s="39" t="s">
        <v>47</v>
      </c>
      <c r="AB74" s="39" t="s">
        <v>335</v>
      </c>
    </row>
    <row r="75" spans="1:28" x14ac:dyDescent="0.15">
      <c r="A75" s="39" t="s">
        <v>34</v>
      </c>
      <c r="B75" s="39" t="s">
        <v>337</v>
      </c>
      <c r="C75" s="39">
        <v>2020</v>
      </c>
      <c r="D75" s="124" t="s">
        <v>343</v>
      </c>
      <c r="E75" s="39" t="s">
        <v>288</v>
      </c>
      <c r="F75" s="39" t="s">
        <v>299</v>
      </c>
      <c r="G75" s="39" t="s">
        <v>42</v>
      </c>
      <c r="H75" s="39" t="s">
        <v>146</v>
      </c>
      <c r="I75" s="39" t="s">
        <v>142</v>
      </c>
      <c r="J75" s="39" t="s">
        <v>38</v>
      </c>
      <c r="K75" s="39" t="s">
        <v>395</v>
      </c>
      <c r="L75" s="39">
        <v>2</v>
      </c>
      <c r="N75" s="39">
        <v>4</v>
      </c>
      <c r="O75" s="39">
        <v>0.75</v>
      </c>
      <c r="P75" s="39">
        <v>1.3</v>
      </c>
      <c r="Q75" s="61">
        <f t="shared" si="18"/>
        <v>1.0249999999999999</v>
      </c>
      <c r="R75" s="39">
        <v>16.100000000000001</v>
      </c>
      <c r="S75" s="39">
        <v>110</v>
      </c>
      <c r="T75" s="45">
        <f t="shared" si="14"/>
        <v>33</v>
      </c>
      <c r="U75" s="39">
        <v>429</v>
      </c>
      <c r="V75" s="45">
        <f t="shared" si="15"/>
        <v>3539.25</v>
      </c>
      <c r="W75" s="39">
        <v>9</v>
      </c>
      <c r="X75" s="39" t="s">
        <v>46</v>
      </c>
      <c r="Y75" s="39" t="s">
        <v>55</v>
      </c>
      <c r="Z75" s="39" t="s">
        <v>40</v>
      </c>
      <c r="AA75" s="39" t="s">
        <v>47</v>
      </c>
      <c r="AB75" s="39" t="s">
        <v>335</v>
      </c>
    </row>
    <row r="76" spans="1:28" x14ac:dyDescent="0.15">
      <c r="A76" s="39" t="s">
        <v>34</v>
      </c>
      <c r="B76" s="39" t="s">
        <v>337</v>
      </c>
      <c r="C76" s="39">
        <v>2020</v>
      </c>
      <c r="D76" s="124" t="s">
        <v>343</v>
      </c>
      <c r="E76" s="39" t="s">
        <v>288</v>
      </c>
      <c r="F76" s="39" t="s">
        <v>299</v>
      </c>
      <c r="G76" s="39" t="s">
        <v>42</v>
      </c>
      <c r="H76" s="39" t="s">
        <v>146</v>
      </c>
      <c r="I76" s="39" t="s">
        <v>142</v>
      </c>
      <c r="J76" s="39" t="s">
        <v>38</v>
      </c>
      <c r="K76" s="39" t="s">
        <v>395</v>
      </c>
      <c r="L76" s="39">
        <v>3</v>
      </c>
      <c r="N76" s="39">
        <v>4</v>
      </c>
      <c r="O76" s="39">
        <v>0.7</v>
      </c>
      <c r="P76" s="39">
        <v>0.55000000000000004</v>
      </c>
      <c r="Q76" s="61">
        <f>IF(OR(O76="",P76=""),"",AVERAGE(O76,P76))</f>
        <v>0.625</v>
      </c>
      <c r="R76" s="39">
        <v>16.600000000000001</v>
      </c>
      <c r="S76" s="39">
        <v>104</v>
      </c>
      <c r="T76" s="45">
        <f t="shared" si="14"/>
        <v>33</v>
      </c>
      <c r="U76" s="39">
        <v>429</v>
      </c>
      <c r="V76" s="45">
        <f t="shared" si="15"/>
        <v>3539.25</v>
      </c>
      <c r="W76" s="39">
        <v>9</v>
      </c>
      <c r="X76" s="39" t="s">
        <v>46</v>
      </c>
      <c r="Y76" s="39" t="s">
        <v>55</v>
      </c>
      <c r="Z76" s="39" t="s">
        <v>40</v>
      </c>
      <c r="AA76" s="39" t="s">
        <v>47</v>
      </c>
      <c r="AB76" s="39" t="s">
        <v>335</v>
      </c>
    </row>
    <row r="77" spans="1:28" x14ac:dyDescent="0.15">
      <c r="A77" s="39" t="s">
        <v>34</v>
      </c>
      <c r="B77" s="39" t="s">
        <v>337</v>
      </c>
      <c r="C77" s="39">
        <v>2020</v>
      </c>
      <c r="D77" s="124" t="s">
        <v>343</v>
      </c>
      <c r="E77" s="39" t="s">
        <v>288</v>
      </c>
      <c r="F77" s="39" t="s">
        <v>299</v>
      </c>
      <c r="G77" s="39" t="s">
        <v>42</v>
      </c>
      <c r="H77" s="39" t="s">
        <v>146</v>
      </c>
      <c r="I77" s="39" t="s">
        <v>142</v>
      </c>
      <c r="J77" s="39" t="s">
        <v>38</v>
      </c>
      <c r="K77" s="39" t="s">
        <v>395</v>
      </c>
      <c r="L77" s="39">
        <v>1</v>
      </c>
      <c r="N77" s="39">
        <v>3</v>
      </c>
      <c r="O77" s="39">
        <v>0.7</v>
      </c>
      <c r="P77" s="39">
        <v>0.7</v>
      </c>
      <c r="Q77" s="61">
        <f t="shared" ref="Q77:Q78" si="19">IF(OR(O77="",P77=""),"",AVERAGE(O77,P77))</f>
        <v>0.7</v>
      </c>
      <c r="R77" s="39">
        <v>18.2</v>
      </c>
      <c r="S77" s="39">
        <v>170</v>
      </c>
      <c r="T77" s="45">
        <f t="shared" si="14"/>
        <v>18</v>
      </c>
      <c r="U77" s="39">
        <v>842</v>
      </c>
      <c r="V77" s="45">
        <f t="shared" si="15"/>
        <v>5052</v>
      </c>
      <c r="W77" s="39">
        <v>9</v>
      </c>
      <c r="X77" s="39" t="s">
        <v>46</v>
      </c>
      <c r="Y77" s="39" t="s">
        <v>55</v>
      </c>
      <c r="Z77" s="39" t="s">
        <v>40</v>
      </c>
      <c r="AA77" s="39" t="s">
        <v>47</v>
      </c>
      <c r="AB77" s="39" t="s">
        <v>335</v>
      </c>
    </row>
    <row r="78" spans="1:28" x14ac:dyDescent="0.15">
      <c r="A78" s="39" t="s">
        <v>34</v>
      </c>
      <c r="B78" s="39" t="s">
        <v>337</v>
      </c>
      <c r="C78" s="39">
        <v>2020</v>
      </c>
      <c r="D78" s="124" t="s">
        <v>343</v>
      </c>
      <c r="E78" s="39" t="s">
        <v>288</v>
      </c>
      <c r="F78" s="39" t="s">
        <v>299</v>
      </c>
      <c r="G78" s="39" t="s">
        <v>42</v>
      </c>
      <c r="H78" s="39" t="s">
        <v>146</v>
      </c>
      <c r="I78" s="39" t="s">
        <v>142</v>
      </c>
      <c r="J78" s="39" t="s">
        <v>38</v>
      </c>
      <c r="K78" s="39" t="s">
        <v>395</v>
      </c>
      <c r="L78" s="39">
        <v>2</v>
      </c>
      <c r="N78" s="39">
        <v>3</v>
      </c>
      <c r="O78" s="39">
        <v>1.3</v>
      </c>
      <c r="P78" s="39">
        <v>1.3</v>
      </c>
      <c r="Q78" s="61">
        <f t="shared" si="19"/>
        <v>1.3</v>
      </c>
      <c r="R78" s="39">
        <v>18.3</v>
      </c>
      <c r="S78" s="39">
        <v>172</v>
      </c>
      <c r="T78" s="45">
        <f t="shared" si="14"/>
        <v>18</v>
      </c>
      <c r="U78" s="39">
        <v>842</v>
      </c>
      <c r="V78" s="45">
        <f t="shared" si="15"/>
        <v>5052</v>
      </c>
      <c r="W78" s="39">
        <v>9</v>
      </c>
      <c r="X78" s="39" t="s">
        <v>46</v>
      </c>
      <c r="Y78" s="39" t="s">
        <v>55</v>
      </c>
      <c r="Z78" s="39" t="s">
        <v>40</v>
      </c>
      <c r="AA78" s="39" t="s">
        <v>47</v>
      </c>
      <c r="AB78" s="39" t="s">
        <v>335</v>
      </c>
    </row>
    <row r="79" spans="1:28" x14ac:dyDescent="0.15">
      <c r="A79" s="39" t="s">
        <v>34</v>
      </c>
      <c r="B79" s="39" t="s">
        <v>337</v>
      </c>
      <c r="C79" s="39">
        <v>2020</v>
      </c>
      <c r="D79" s="124" t="s">
        <v>343</v>
      </c>
      <c r="E79" s="39" t="s">
        <v>288</v>
      </c>
      <c r="F79" s="39" t="s">
        <v>299</v>
      </c>
      <c r="G79" s="39" t="s">
        <v>42</v>
      </c>
      <c r="H79" s="39" t="s">
        <v>146</v>
      </c>
      <c r="I79" s="39" t="s">
        <v>142</v>
      </c>
      <c r="J79" s="39" t="s">
        <v>38</v>
      </c>
      <c r="K79" s="39" t="s">
        <v>395</v>
      </c>
      <c r="L79" s="39">
        <v>3</v>
      </c>
      <c r="N79" s="39">
        <v>3</v>
      </c>
      <c r="O79" s="39">
        <v>0.55000000000000004</v>
      </c>
      <c r="P79" s="39">
        <v>0.9</v>
      </c>
      <c r="Q79" s="61">
        <f>IF(OR(O79="",P79=""),"",AVERAGE(O79,P79))</f>
        <v>0.72500000000000009</v>
      </c>
      <c r="R79" s="39">
        <v>16.7</v>
      </c>
      <c r="S79" s="39">
        <v>168</v>
      </c>
      <c r="T79" s="45">
        <f t="shared" si="14"/>
        <v>18</v>
      </c>
      <c r="U79" s="39">
        <v>842</v>
      </c>
      <c r="V79" s="45">
        <f t="shared" si="15"/>
        <v>5052</v>
      </c>
      <c r="W79" s="39">
        <v>9</v>
      </c>
      <c r="X79" s="39" t="s">
        <v>46</v>
      </c>
      <c r="Y79" s="39" t="s">
        <v>55</v>
      </c>
      <c r="Z79" s="39" t="s">
        <v>40</v>
      </c>
      <c r="AA79" s="39" t="s">
        <v>47</v>
      </c>
      <c r="AB79" s="39" t="s">
        <v>335</v>
      </c>
    </row>
    <row r="80" spans="1:28" x14ac:dyDescent="0.15">
      <c r="A80" s="39" t="s">
        <v>34</v>
      </c>
      <c r="B80" s="39" t="s">
        <v>337</v>
      </c>
      <c r="C80" s="39">
        <v>2020</v>
      </c>
      <c r="D80" s="124" t="s">
        <v>343</v>
      </c>
      <c r="E80" s="39" t="s">
        <v>288</v>
      </c>
      <c r="F80" s="39" t="s">
        <v>299</v>
      </c>
      <c r="G80" s="39" t="s">
        <v>42</v>
      </c>
      <c r="H80" s="39" t="s">
        <v>334</v>
      </c>
      <c r="I80" s="39" t="s">
        <v>142</v>
      </c>
      <c r="J80" s="39" t="s">
        <v>38</v>
      </c>
      <c r="K80" s="39" t="s">
        <v>395</v>
      </c>
      <c r="L80" s="39">
        <v>1</v>
      </c>
      <c r="N80" s="39">
        <v>5</v>
      </c>
      <c r="O80" s="39">
        <v>0.45</v>
      </c>
      <c r="P80" s="39">
        <v>0.45</v>
      </c>
      <c r="Q80" s="61">
        <f t="shared" ref="Q80:Q81" si="20">IF(OR(O80="",P80=""),"",AVERAGE(O80,P80))</f>
        <v>0.45</v>
      </c>
      <c r="R80" s="39">
        <v>19.8</v>
      </c>
      <c r="S80" s="39">
        <v>106</v>
      </c>
      <c r="T80" s="45">
        <f t="shared" si="14"/>
        <v>33</v>
      </c>
      <c r="U80" s="39">
        <v>537</v>
      </c>
      <c r="V80" s="45">
        <f t="shared" si="15"/>
        <v>3544.2000000000003</v>
      </c>
      <c r="W80" s="39">
        <v>9</v>
      </c>
      <c r="X80" s="39" t="s">
        <v>46</v>
      </c>
      <c r="Y80" s="39" t="s">
        <v>55</v>
      </c>
      <c r="Z80" s="39" t="s">
        <v>40</v>
      </c>
      <c r="AA80" s="39" t="s">
        <v>47</v>
      </c>
      <c r="AB80" s="39" t="s">
        <v>335</v>
      </c>
    </row>
    <row r="81" spans="1:28" x14ac:dyDescent="0.15">
      <c r="A81" s="39" t="s">
        <v>34</v>
      </c>
      <c r="B81" s="39" t="s">
        <v>337</v>
      </c>
      <c r="C81" s="39">
        <v>2020</v>
      </c>
      <c r="D81" s="124" t="s">
        <v>343</v>
      </c>
      <c r="E81" s="39" t="s">
        <v>288</v>
      </c>
      <c r="F81" s="39" t="s">
        <v>299</v>
      </c>
      <c r="G81" s="39" t="s">
        <v>42</v>
      </c>
      <c r="H81" s="39" t="s">
        <v>334</v>
      </c>
      <c r="I81" s="39" t="s">
        <v>142</v>
      </c>
      <c r="J81" s="39" t="s">
        <v>38</v>
      </c>
      <c r="K81" s="39" t="s">
        <v>395</v>
      </c>
      <c r="L81" s="39">
        <v>2</v>
      </c>
      <c r="N81" s="39">
        <v>5</v>
      </c>
      <c r="O81" s="39">
        <v>0.5</v>
      </c>
      <c r="P81" s="39">
        <v>0.55000000000000004</v>
      </c>
      <c r="Q81" s="61">
        <f t="shared" si="20"/>
        <v>0.52500000000000002</v>
      </c>
      <c r="R81" s="39">
        <v>18.5</v>
      </c>
      <c r="S81" s="39">
        <v>110</v>
      </c>
      <c r="T81" s="45">
        <f t="shared" si="14"/>
        <v>33</v>
      </c>
      <c r="U81" s="39">
        <v>537</v>
      </c>
      <c r="V81" s="45">
        <f t="shared" si="15"/>
        <v>3544.2000000000003</v>
      </c>
      <c r="W81" s="39">
        <v>9</v>
      </c>
      <c r="X81" s="39" t="s">
        <v>46</v>
      </c>
      <c r="Y81" s="39" t="s">
        <v>55</v>
      </c>
      <c r="Z81" s="39" t="s">
        <v>40</v>
      </c>
      <c r="AA81" s="39" t="s">
        <v>47</v>
      </c>
      <c r="AB81" s="39" t="s">
        <v>335</v>
      </c>
    </row>
    <row r="82" spans="1:28" x14ac:dyDescent="0.15">
      <c r="A82" s="39" t="s">
        <v>34</v>
      </c>
      <c r="B82" s="39" t="s">
        <v>337</v>
      </c>
      <c r="C82" s="39">
        <v>2020</v>
      </c>
      <c r="D82" s="124" t="s">
        <v>343</v>
      </c>
      <c r="E82" s="39" t="s">
        <v>288</v>
      </c>
      <c r="F82" s="39" t="s">
        <v>299</v>
      </c>
      <c r="G82" s="39" t="s">
        <v>42</v>
      </c>
      <c r="H82" s="39" t="s">
        <v>334</v>
      </c>
      <c r="I82" s="39" t="s">
        <v>142</v>
      </c>
      <c r="J82" s="39" t="s">
        <v>38</v>
      </c>
      <c r="K82" s="39" t="s">
        <v>395</v>
      </c>
      <c r="L82" s="39">
        <v>3</v>
      </c>
      <c r="N82" s="39">
        <v>5</v>
      </c>
      <c r="O82" s="39">
        <v>0.65</v>
      </c>
      <c r="P82" s="39">
        <v>0.7</v>
      </c>
      <c r="Q82" s="61">
        <f>IF(OR(O82="",P82=""),"",AVERAGE(O82,P82))</f>
        <v>0.67500000000000004</v>
      </c>
      <c r="R82" s="39">
        <v>18.5</v>
      </c>
      <c r="S82" s="39">
        <v>110</v>
      </c>
      <c r="T82" s="45">
        <f t="shared" si="14"/>
        <v>33</v>
      </c>
      <c r="U82" s="39">
        <v>537</v>
      </c>
      <c r="V82" s="45">
        <f t="shared" si="15"/>
        <v>3544.2000000000003</v>
      </c>
      <c r="W82" s="39">
        <v>9</v>
      </c>
      <c r="X82" s="39" t="s">
        <v>46</v>
      </c>
      <c r="Y82" s="39" t="s">
        <v>55</v>
      </c>
      <c r="Z82" s="39" t="s">
        <v>40</v>
      </c>
      <c r="AA82" s="39" t="s">
        <v>47</v>
      </c>
      <c r="AB82" s="39" t="s">
        <v>335</v>
      </c>
    </row>
    <row r="83" spans="1:28" x14ac:dyDescent="0.15">
      <c r="A83" s="39" t="s">
        <v>34</v>
      </c>
      <c r="B83" s="39" t="s">
        <v>337</v>
      </c>
      <c r="C83" s="39">
        <v>2020</v>
      </c>
      <c r="D83" s="124" t="s">
        <v>343</v>
      </c>
      <c r="E83" s="39" t="s">
        <v>288</v>
      </c>
      <c r="F83" s="39" t="s">
        <v>299</v>
      </c>
      <c r="G83" s="39" t="s">
        <v>42</v>
      </c>
      <c r="H83" s="39" t="s">
        <v>127</v>
      </c>
      <c r="I83" s="39" t="s">
        <v>142</v>
      </c>
      <c r="J83" s="39" t="s">
        <v>80</v>
      </c>
      <c r="K83" s="39" t="s">
        <v>123</v>
      </c>
      <c r="L83" s="39">
        <v>1</v>
      </c>
      <c r="N83" s="39">
        <v>1</v>
      </c>
      <c r="O83" s="39">
        <v>0.95</v>
      </c>
      <c r="P83" s="39">
        <v>1.35</v>
      </c>
      <c r="Q83" s="61">
        <f t="shared" ref="Q83:Q112" si="21">IF(OR(O83="",P83=""),"",AVERAGE(O83,P83))</f>
        <v>1.1499999999999999</v>
      </c>
      <c r="R83" s="39">
        <v>13.5</v>
      </c>
      <c r="S83" s="39">
        <v>142</v>
      </c>
      <c r="T83" s="45">
        <f t="shared" si="14"/>
        <v>30</v>
      </c>
      <c r="U83" s="39">
        <v>108</v>
      </c>
      <c r="V83" s="45">
        <f t="shared" si="15"/>
        <v>3240</v>
      </c>
      <c r="W83" s="39">
        <v>9</v>
      </c>
      <c r="X83" s="39" t="s">
        <v>46</v>
      </c>
      <c r="Y83" s="39" t="s">
        <v>55</v>
      </c>
      <c r="Z83" s="39" t="s">
        <v>40</v>
      </c>
      <c r="AA83" s="39" t="s">
        <v>47</v>
      </c>
      <c r="AB83" s="39" t="s">
        <v>335</v>
      </c>
    </row>
    <row r="84" spans="1:28" x14ac:dyDescent="0.15">
      <c r="A84" s="39" t="s">
        <v>34</v>
      </c>
      <c r="B84" s="39" t="s">
        <v>337</v>
      </c>
      <c r="C84" s="39">
        <v>2020</v>
      </c>
      <c r="D84" s="124" t="s">
        <v>343</v>
      </c>
      <c r="E84" s="39" t="s">
        <v>288</v>
      </c>
      <c r="F84" s="39" t="s">
        <v>299</v>
      </c>
      <c r="G84" s="39" t="s">
        <v>42</v>
      </c>
      <c r="H84" s="39" t="s">
        <v>127</v>
      </c>
      <c r="I84" s="39" t="s">
        <v>142</v>
      </c>
      <c r="J84" s="39" t="s">
        <v>80</v>
      </c>
      <c r="K84" s="39" t="s">
        <v>123</v>
      </c>
      <c r="L84" s="39">
        <v>2</v>
      </c>
      <c r="N84" s="39">
        <v>1</v>
      </c>
      <c r="O84" s="39">
        <v>1.4</v>
      </c>
      <c r="P84" s="39">
        <v>1.4</v>
      </c>
      <c r="Q84" s="61">
        <f t="shared" si="21"/>
        <v>1.4</v>
      </c>
      <c r="R84" s="39">
        <v>11.3</v>
      </c>
      <c r="S84" s="39">
        <v>128</v>
      </c>
      <c r="T84" s="45">
        <f t="shared" si="14"/>
        <v>30</v>
      </c>
      <c r="U84" s="39">
        <v>108</v>
      </c>
      <c r="V84" s="45">
        <f t="shared" si="15"/>
        <v>3240</v>
      </c>
      <c r="W84" s="39">
        <v>9</v>
      </c>
      <c r="X84" s="39" t="s">
        <v>46</v>
      </c>
      <c r="Y84" s="39" t="s">
        <v>55</v>
      </c>
      <c r="Z84" s="39" t="s">
        <v>40</v>
      </c>
      <c r="AA84" s="39" t="s">
        <v>47</v>
      </c>
      <c r="AB84" s="39" t="s">
        <v>335</v>
      </c>
    </row>
    <row r="85" spans="1:28" x14ac:dyDescent="0.15">
      <c r="A85" s="39" t="s">
        <v>34</v>
      </c>
      <c r="B85" s="39" t="s">
        <v>337</v>
      </c>
      <c r="C85" s="39">
        <v>2020</v>
      </c>
      <c r="D85" s="124" t="s">
        <v>343</v>
      </c>
      <c r="E85" s="39" t="s">
        <v>288</v>
      </c>
      <c r="F85" s="39" t="s">
        <v>299</v>
      </c>
      <c r="G85" s="39" t="s">
        <v>42</v>
      </c>
      <c r="H85" s="39" t="s">
        <v>127</v>
      </c>
      <c r="I85" s="39" t="s">
        <v>142</v>
      </c>
      <c r="J85" s="39" t="s">
        <v>80</v>
      </c>
      <c r="K85" s="39" t="s">
        <v>123</v>
      </c>
      <c r="L85" s="39">
        <v>3</v>
      </c>
      <c r="N85" s="39">
        <v>1</v>
      </c>
      <c r="O85" s="39">
        <v>1.5</v>
      </c>
      <c r="P85" s="39">
        <v>2.35</v>
      </c>
      <c r="Q85" s="61">
        <f t="shared" si="21"/>
        <v>1.925</v>
      </c>
      <c r="R85" s="39">
        <v>12.9</v>
      </c>
      <c r="S85" s="39">
        <v>132</v>
      </c>
      <c r="T85" s="45">
        <f t="shared" si="14"/>
        <v>30</v>
      </c>
      <c r="U85" s="39">
        <v>108</v>
      </c>
      <c r="V85" s="45">
        <f t="shared" si="15"/>
        <v>3240</v>
      </c>
      <c r="W85" s="39">
        <v>9</v>
      </c>
      <c r="X85" s="39" t="s">
        <v>46</v>
      </c>
      <c r="Y85" s="39" t="s">
        <v>55</v>
      </c>
      <c r="Z85" s="39" t="s">
        <v>40</v>
      </c>
      <c r="AA85" s="39" t="s">
        <v>47</v>
      </c>
      <c r="AB85" s="39" t="s">
        <v>335</v>
      </c>
    </row>
    <row r="86" spans="1:28" x14ac:dyDescent="0.15">
      <c r="A86" s="39" t="s">
        <v>34</v>
      </c>
      <c r="B86" s="39" t="s">
        <v>337</v>
      </c>
      <c r="C86" s="39">
        <v>2020</v>
      </c>
      <c r="D86" s="124" t="s">
        <v>343</v>
      </c>
      <c r="E86" s="39" t="s">
        <v>149</v>
      </c>
      <c r="F86" s="39" t="s">
        <v>297</v>
      </c>
      <c r="G86" s="39" t="s">
        <v>36</v>
      </c>
      <c r="H86" s="39" t="s">
        <v>146</v>
      </c>
      <c r="I86" s="39" t="s">
        <v>142</v>
      </c>
      <c r="J86" s="39" t="s">
        <v>38</v>
      </c>
      <c r="K86" s="39" t="s">
        <v>143</v>
      </c>
      <c r="L86" s="39">
        <v>1</v>
      </c>
      <c r="N86" s="39">
        <v>1</v>
      </c>
      <c r="O86" s="39">
        <v>0.9</v>
      </c>
      <c r="P86" s="39">
        <v>0.7</v>
      </c>
      <c r="Q86" s="45">
        <f t="shared" si="21"/>
        <v>0.8</v>
      </c>
      <c r="R86" s="39">
        <v>15.7</v>
      </c>
      <c r="S86" s="39">
        <v>152</v>
      </c>
      <c r="T86" s="45">
        <f t="shared" si="14"/>
        <v>18</v>
      </c>
      <c r="U86" s="39">
        <v>137</v>
      </c>
      <c r="V86" s="45">
        <f t="shared" si="15"/>
        <v>2466</v>
      </c>
      <c r="W86" s="39">
        <v>8</v>
      </c>
      <c r="X86" s="39" t="s">
        <v>46</v>
      </c>
      <c r="Y86" s="39" t="s">
        <v>40</v>
      </c>
      <c r="Z86" s="39" t="s">
        <v>47</v>
      </c>
      <c r="AA86" s="39" t="s">
        <v>55</v>
      </c>
      <c r="AB86" s="39" t="s">
        <v>335</v>
      </c>
    </row>
    <row r="87" spans="1:28" x14ac:dyDescent="0.15">
      <c r="A87" s="39" t="s">
        <v>34</v>
      </c>
      <c r="B87" s="39" t="s">
        <v>337</v>
      </c>
      <c r="C87" s="39">
        <v>2020</v>
      </c>
      <c r="D87" s="124" t="s">
        <v>343</v>
      </c>
      <c r="E87" s="39" t="s">
        <v>149</v>
      </c>
      <c r="F87" s="39" t="s">
        <v>297</v>
      </c>
      <c r="G87" s="39" t="s">
        <v>36</v>
      </c>
      <c r="H87" s="39" t="s">
        <v>146</v>
      </c>
      <c r="I87" s="39" t="s">
        <v>142</v>
      </c>
      <c r="J87" s="39" t="s">
        <v>38</v>
      </c>
      <c r="K87" s="39" t="s">
        <v>143</v>
      </c>
      <c r="L87" s="39">
        <v>2</v>
      </c>
      <c r="N87" s="39">
        <v>1</v>
      </c>
      <c r="O87" s="39">
        <v>1.5</v>
      </c>
      <c r="P87" s="39">
        <v>1</v>
      </c>
      <c r="Q87" s="45">
        <f t="shared" si="21"/>
        <v>1.25</v>
      </c>
      <c r="R87" s="39">
        <v>15.9</v>
      </c>
      <c r="S87" s="39">
        <v>148</v>
      </c>
      <c r="T87" s="45">
        <f t="shared" si="14"/>
        <v>30</v>
      </c>
      <c r="U87" s="39">
        <v>137</v>
      </c>
      <c r="V87" s="45">
        <f t="shared" si="15"/>
        <v>4110</v>
      </c>
      <c r="W87" s="39">
        <v>8</v>
      </c>
      <c r="X87" s="39" t="s">
        <v>46</v>
      </c>
      <c r="Y87" s="39" t="s">
        <v>40</v>
      </c>
      <c r="Z87" s="39" t="s">
        <v>47</v>
      </c>
      <c r="AA87" s="39" t="s">
        <v>55</v>
      </c>
      <c r="AB87" s="39" t="s">
        <v>335</v>
      </c>
    </row>
    <row r="88" spans="1:28" x14ac:dyDescent="0.15">
      <c r="A88" s="39" t="s">
        <v>34</v>
      </c>
      <c r="B88" s="39" t="s">
        <v>337</v>
      </c>
      <c r="C88" s="39">
        <v>2020</v>
      </c>
      <c r="D88" s="124" t="s">
        <v>343</v>
      </c>
      <c r="E88" s="39" t="s">
        <v>149</v>
      </c>
      <c r="F88" s="39" t="s">
        <v>297</v>
      </c>
      <c r="G88" s="39" t="s">
        <v>36</v>
      </c>
      <c r="H88" s="39" t="s">
        <v>146</v>
      </c>
      <c r="I88" s="39" t="s">
        <v>142</v>
      </c>
      <c r="J88" s="39" t="s">
        <v>38</v>
      </c>
      <c r="K88" s="39" t="s">
        <v>143</v>
      </c>
      <c r="L88" s="39">
        <v>3</v>
      </c>
      <c r="N88" s="39">
        <v>1</v>
      </c>
      <c r="O88" s="39">
        <v>0.45</v>
      </c>
      <c r="P88" s="39">
        <v>0.55000000000000004</v>
      </c>
      <c r="Q88" s="45">
        <f t="shared" si="21"/>
        <v>0.5</v>
      </c>
      <c r="R88" s="39">
        <v>18.600000000000001</v>
      </c>
      <c r="S88" s="39">
        <v>152</v>
      </c>
      <c r="T88" s="45">
        <f t="shared" si="14"/>
        <v>18</v>
      </c>
      <c r="U88" s="39">
        <v>137</v>
      </c>
      <c r="V88" s="45">
        <f t="shared" si="15"/>
        <v>2466</v>
      </c>
      <c r="W88" s="39">
        <v>8</v>
      </c>
      <c r="X88" s="39" t="s">
        <v>46</v>
      </c>
      <c r="Y88" s="39" t="s">
        <v>40</v>
      </c>
      <c r="Z88" s="39" t="s">
        <v>47</v>
      </c>
      <c r="AA88" s="39" t="s">
        <v>55</v>
      </c>
      <c r="AB88" s="39" t="s">
        <v>335</v>
      </c>
    </row>
    <row r="89" spans="1:28" x14ac:dyDescent="0.15">
      <c r="A89" s="39" t="s">
        <v>34</v>
      </c>
      <c r="B89" s="39" t="s">
        <v>337</v>
      </c>
      <c r="C89" s="39">
        <v>2020</v>
      </c>
      <c r="D89" s="124" t="s">
        <v>343</v>
      </c>
      <c r="E89" s="39" t="s">
        <v>149</v>
      </c>
      <c r="F89" s="39" t="s">
        <v>297</v>
      </c>
      <c r="G89" s="39" t="s">
        <v>36</v>
      </c>
      <c r="H89" s="39" t="s">
        <v>146</v>
      </c>
      <c r="I89" s="39" t="s">
        <v>142</v>
      </c>
      <c r="J89" s="39" t="s">
        <v>38</v>
      </c>
      <c r="K89" s="39" t="s">
        <v>143</v>
      </c>
      <c r="L89" s="39">
        <v>1</v>
      </c>
      <c r="N89" s="39">
        <v>4</v>
      </c>
      <c r="O89" s="39">
        <v>1.05</v>
      </c>
      <c r="P89" s="39">
        <v>1.75</v>
      </c>
      <c r="Q89" s="45">
        <f t="shared" si="21"/>
        <v>1.4</v>
      </c>
      <c r="R89" s="39">
        <v>16.2</v>
      </c>
      <c r="S89" s="39">
        <v>114</v>
      </c>
      <c r="T89" s="45">
        <f t="shared" si="14"/>
        <v>30</v>
      </c>
      <c r="U89" s="39">
        <v>428</v>
      </c>
      <c r="V89" s="45">
        <f t="shared" si="15"/>
        <v>3210</v>
      </c>
      <c r="W89" s="39">
        <v>8</v>
      </c>
      <c r="X89" s="39" t="s">
        <v>46</v>
      </c>
      <c r="Y89" s="39" t="s">
        <v>40</v>
      </c>
      <c r="Z89" s="39" t="s">
        <v>47</v>
      </c>
      <c r="AA89" s="39" t="s">
        <v>55</v>
      </c>
      <c r="AB89" s="39" t="s">
        <v>335</v>
      </c>
    </row>
    <row r="90" spans="1:28" x14ac:dyDescent="0.15">
      <c r="A90" s="39" t="s">
        <v>34</v>
      </c>
      <c r="B90" s="39" t="s">
        <v>337</v>
      </c>
      <c r="C90" s="39">
        <v>2020</v>
      </c>
      <c r="D90" s="124" t="s">
        <v>343</v>
      </c>
      <c r="E90" s="39" t="s">
        <v>149</v>
      </c>
      <c r="F90" s="39" t="s">
        <v>297</v>
      </c>
      <c r="G90" s="39" t="s">
        <v>36</v>
      </c>
      <c r="H90" s="39" t="s">
        <v>146</v>
      </c>
      <c r="I90" s="39" t="s">
        <v>142</v>
      </c>
      <c r="J90" s="39" t="s">
        <v>38</v>
      </c>
      <c r="K90" s="39" t="s">
        <v>143</v>
      </c>
      <c r="L90" s="39">
        <v>2</v>
      </c>
      <c r="N90" s="39">
        <v>4</v>
      </c>
      <c r="O90" s="39">
        <v>1.4</v>
      </c>
      <c r="P90" s="39">
        <v>1.4</v>
      </c>
      <c r="Q90" s="45">
        <f t="shared" si="21"/>
        <v>1.4</v>
      </c>
      <c r="R90" s="39">
        <v>15.8</v>
      </c>
      <c r="S90" s="39">
        <v>108</v>
      </c>
      <c r="T90" s="45">
        <f t="shared" si="14"/>
        <v>33</v>
      </c>
      <c r="U90" s="39">
        <v>428</v>
      </c>
      <c r="V90" s="45">
        <f t="shared" si="15"/>
        <v>3531</v>
      </c>
      <c r="W90" s="39">
        <v>8</v>
      </c>
      <c r="X90" s="39" t="s">
        <v>46</v>
      </c>
      <c r="Y90" s="39" t="s">
        <v>40</v>
      </c>
      <c r="Z90" s="39" t="s">
        <v>47</v>
      </c>
      <c r="AA90" s="39" t="s">
        <v>55</v>
      </c>
      <c r="AB90" s="39" t="s">
        <v>335</v>
      </c>
    </row>
    <row r="91" spans="1:28" x14ac:dyDescent="0.15">
      <c r="A91" s="39" t="s">
        <v>34</v>
      </c>
      <c r="B91" s="39" t="s">
        <v>337</v>
      </c>
      <c r="C91" s="39">
        <v>2020</v>
      </c>
      <c r="D91" s="124" t="s">
        <v>343</v>
      </c>
      <c r="E91" s="39" t="s">
        <v>149</v>
      </c>
      <c r="F91" s="39" t="s">
        <v>297</v>
      </c>
      <c r="G91" s="39" t="s">
        <v>36</v>
      </c>
      <c r="H91" s="39" t="s">
        <v>146</v>
      </c>
      <c r="I91" s="39" t="s">
        <v>142</v>
      </c>
      <c r="J91" s="39" t="s">
        <v>38</v>
      </c>
      <c r="K91" s="39" t="s">
        <v>143</v>
      </c>
      <c r="L91" s="39">
        <v>3</v>
      </c>
      <c r="N91" s="39">
        <v>4</v>
      </c>
      <c r="O91" s="39">
        <v>2</v>
      </c>
      <c r="P91" s="39">
        <v>0.75</v>
      </c>
      <c r="Q91" s="45">
        <f t="shared" si="21"/>
        <v>1.375</v>
      </c>
      <c r="R91" s="39">
        <v>16.7</v>
      </c>
      <c r="S91" s="39">
        <v>110</v>
      </c>
      <c r="T91" s="45">
        <f t="shared" si="14"/>
        <v>33</v>
      </c>
      <c r="U91" s="39">
        <v>428</v>
      </c>
      <c r="V91" s="45">
        <f t="shared" si="15"/>
        <v>3531</v>
      </c>
      <c r="W91" s="39">
        <v>8</v>
      </c>
      <c r="X91" s="39" t="s">
        <v>46</v>
      </c>
      <c r="Y91" s="39" t="s">
        <v>40</v>
      </c>
      <c r="Z91" s="39" t="s">
        <v>47</v>
      </c>
      <c r="AA91" s="39" t="s">
        <v>55</v>
      </c>
      <c r="AB91" s="39" t="s">
        <v>335</v>
      </c>
    </row>
    <row r="92" spans="1:28" x14ac:dyDescent="0.15">
      <c r="A92" s="39" t="s">
        <v>34</v>
      </c>
      <c r="B92" s="39" t="s">
        <v>337</v>
      </c>
      <c r="C92" s="39">
        <v>2020</v>
      </c>
      <c r="D92" s="124" t="s">
        <v>343</v>
      </c>
      <c r="E92" s="39" t="s">
        <v>149</v>
      </c>
      <c r="F92" s="39" t="s">
        <v>297</v>
      </c>
      <c r="G92" s="39" t="s">
        <v>36</v>
      </c>
      <c r="H92" s="39" t="s">
        <v>127</v>
      </c>
      <c r="I92" s="39" t="s">
        <v>142</v>
      </c>
      <c r="J92" s="39" t="s">
        <v>80</v>
      </c>
      <c r="K92" s="39" t="s">
        <v>54</v>
      </c>
      <c r="L92" s="39">
        <v>1</v>
      </c>
      <c r="N92" s="39">
        <v>1</v>
      </c>
      <c r="O92" s="39">
        <v>0.2</v>
      </c>
      <c r="P92" s="39">
        <v>0.2</v>
      </c>
      <c r="Q92" s="45">
        <f t="shared" si="21"/>
        <v>0.2</v>
      </c>
      <c r="R92" s="39">
        <v>17</v>
      </c>
      <c r="S92" s="39">
        <v>99</v>
      </c>
      <c r="T92" s="45">
        <f t="shared" si="14"/>
        <v>33</v>
      </c>
      <c r="U92" s="39">
        <v>137</v>
      </c>
      <c r="V92" s="45">
        <f t="shared" si="15"/>
        <v>4521</v>
      </c>
      <c r="W92" s="39">
        <v>8</v>
      </c>
      <c r="X92" s="39" t="s">
        <v>46</v>
      </c>
      <c r="Y92" s="39" t="s">
        <v>40</v>
      </c>
      <c r="Z92" s="39" t="s">
        <v>47</v>
      </c>
      <c r="AA92" s="39" t="s">
        <v>55</v>
      </c>
      <c r="AB92" s="39" t="s">
        <v>335</v>
      </c>
    </row>
    <row r="93" spans="1:28" x14ac:dyDescent="0.15">
      <c r="A93" s="39" t="s">
        <v>34</v>
      </c>
      <c r="B93" s="39" t="s">
        <v>337</v>
      </c>
      <c r="C93" s="39">
        <v>2020</v>
      </c>
      <c r="D93" s="124" t="s">
        <v>343</v>
      </c>
      <c r="E93" s="39" t="s">
        <v>149</v>
      </c>
      <c r="F93" s="39" t="s">
        <v>297</v>
      </c>
      <c r="G93" s="39" t="s">
        <v>36</v>
      </c>
      <c r="H93" s="39" t="s">
        <v>127</v>
      </c>
      <c r="I93" s="39" t="s">
        <v>142</v>
      </c>
      <c r="J93" s="39" t="s">
        <v>80</v>
      </c>
      <c r="K93" s="39" t="s">
        <v>54</v>
      </c>
      <c r="L93" s="39">
        <v>2</v>
      </c>
      <c r="N93" s="39">
        <v>1</v>
      </c>
      <c r="O93" s="39">
        <v>0.75</v>
      </c>
      <c r="P93" s="39">
        <v>0.75</v>
      </c>
      <c r="Q93" s="45">
        <f t="shared" si="21"/>
        <v>0.75</v>
      </c>
      <c r="R93" s="39">
        <v>14.7</v>
      </c>
      <c r="S93" s="39">
        <v>106</v>
      </c>
      <c r="T93" s="45">
        <f t="shared" si="14"/>
        <v>33</v>
      </c>
      <c r="U93" s="39">
        <v>137</v>
      </c>
      <c r="V93" s="45">
        <f t="shared" si="15"/>
        <v>4521</v>
      </c>
      <c r="W93" s="39">
        <v>8</v>
      </c>
      <c r="X93" s="39" t="s">
        <v>46</v>
      </c>
      <c r="Y93" s="39" t="s">
        <v>40</v>
      </c>
      <c r="Z93" s="39" t="s">
        <v>47</v>
      </c>
      <c r="AA93" s="39" t="s">
        <v>55</v>
      </c>
      <c r="AB93" s="39" t="s">
        <v>335</v>
      </c>
    </row>
    <row r="94" spans="1:28" x14ac:dyDescent="0.15">
      <c r="A94" s="39" t="s">
        <v>34</v>
      </c>
      <c r="B94" s="39" t="s">
        <v>337</v>
      </c>
      <c r="C94" s="39">
        <v>2020</v>
      </c>
      <c r="D94" s="124" t="s">
        <v>343</v>
      </c>
      <c r="E94" s="39" t="s">
        <v>149</v>
      </c>
      <c r="F94" s="39" t="s">
        <v>297</v>
      </c>
      <c r="G94" s="39" t="s">
        <v>36</v>
      </c>
      <c r="H94" s="39" t="s">
        <v>127</v>
      </c>
      <c r="I94" s="39" t="s">
        <v>142</v>
      </c>
      <c r="J94" s="39" t="s">
        <v>80</v>
      </c>
      <c r="K94" s="39" t="s">
        <v>54</v>
      </c>
      <c r="L94" s="39">
        <v>3</v>
      </c>
      <c r="N94" s="39">
        <v>1</v>
      </c>
      <c r="O94" s="39">
        <v>1.4</v>
      </c>
      <c r="P94" s="39">
        <v>0.7</v>
      </c>
      <c r="Q94" s="45">
        <f t="shared" si="21"/>
        <v>1.0499999999999998</v>
      </c>
      <c r="R94" s="39">
        <v>14.2</v>
      </c>
      <c r="S94" s="39">
        <v>98</v>
      </c>
      <c r="T94" s="45">
        <f t="shared" si="14"/>
        <v>36</v>
      </c>
      <c r="U94" s="39">
        <v>137</v>
      </c>
      <c r="V94" s="45">
        <f t="shared" si="15"/>
        <v>4932</v>
      </c>
      <c r="W94" s="39">
        <v>8</v>
      </c>
      <c r="X94" s="39" t="s">
        <v>46</v>
      </c>
      <c r="Y94" s="39" t="s">
        <v>40</v>
      </c>
      <c r="Z94" s="39" t="s">
        <v>47</v>
      </c>
      <c r="AA94" s="39" t="s">
        <v>55</v>
      </c>
      <c r="AB94" s="39" t="s">
        <v>335</v>
      </c>
    </row>
    <row r="95" spans="1:28" x14ac:dyDescent="0.15">
      <c r="A95" s="39" t="s">
        <v>34</v>
      </c>
      <c r="B95" s="39" t="s">
        <v>337</v>
      </c>
      <c r="C95" s="39">
        <v>2020</v>
      </c>
      <c r="D95" s="124" t="s">
        <v>343</v>
      </c>
      <c r="E95" s="39" t="s">
        <v>289</v>
      </c>
      <c r="F95" s="39" t="s">
        <v>290</v>
      </c>
      <c r="G95" s="39" t="s">
        <v>42</v>
      </c>
      <c r="H95" s="39" t="s">
        <v>146</v>
      </c>
      <c r="I95" s="39" t="s">
        <v>142</v>
      </c>
      <c r="J95" s="39" t="s">
        <v>38</v>
      </c>
      <c r="K95" s="39" t="s">
        <v>143</v>
      </c>
      <c r="L95" s="39">
        <v>1</v>
      </c>
      <c r="N95" s="39">
        <v>1</v>
      </c>
      <c r="O95" s="39">
        <v>0.8</v>
      </c>
      <c r="P95" s="39">
        <v>0.75</v>
      </c>
      <c r="Q95" s="45">
        <f t="shared" si="21"/>
        <v>0.77500000000000002</v>
      </c>
      <c r="R95" s="39">
        <v>16.3</v>
      </c>
      <c r="S95" s="39">
        <v>124</v>
      </c>
      <c r="T95" s="45">
        <f t="shared" si="14"/>
        <v>30</v>
      </c>
      <c r="U95" s="39">
        <v>138</v>
      </c>
      <c r="V95" s="45">
        <f t="shared" si="15"/>
        <v>4140</v>
      </c>
      <c r="W95" s="39">
        <v>3</v>
      </c>
      <c r="X95" s="39" t="s">
        <v>39</v>
      </c>
      <c r="Y95" s="39" t="s">
        <v>47</v>
      </c>
      <c r="Z95" s="39" t="s">
        <v>40</v>
      </c>
      <c r="AA95" s="39" t="s">
        <v>78</v>
      </c>
      <c r="AB95" s="39" t="s">
        <v>335</v>
      </c>
    </row>
    <row r="96" spans="1:28" x14ac:dyDescent="0.15">
      <c r="A96" s="39" t="s">
        <v>34</v>
      </c>
      <c r="B96" s="39" t="s">
        <v>337</v>
      </c>
      <c r="C96" s="39">
        <v>2020</v>
      </c>
      <c r="D96" s="124" t="s">
        <v>343</v>
      </c>
      <c r="E96" s="39" t="s">
        <v>289</v>
      </c>
      <c r="F96" s="39" t="s">
        <v>290</v>
      </c>
      <c r="G96" s="39" t="s">
        <v>42</v>
      </c>
      <c r="H96" s="39" t="s">
        <v>146</v>
      </c>
      <c r="I96" s="39" t="s">
        <v>142</v>
      </c>
      <c r="J96" s="39" t="s">
        <v>38</v>
      </c>
      <c r="K96" s="39" t="s">
        <v>143</v>
      </c>
      <c r="L96" s="39">
        <v>2</v>
      </c>
      <c r="N96" s="39">
        <v>1</v>
      </c>
      <c r="O96" s="39">
        <v>0.6</v>
      </c>
      <c r="P96" s="39">
        <v>0.7</v>
      </c>
      <c r="Q96" s="45">
        <f t="shared" si="21"/>
        <v>0.64999999999999991</v>
      </c>
      <c r="R96" s="39">
        <v>15.4</v>
      </c>
      <c r="S96" s="39">
        <v>124</v>
      </c>
      <c r="T96" s="45">
        <f t="shared" si="14"/>
        <v>30</v>
      </c>
      <c r="U96" s="39">
        <v>138</v>
      </c>
      <c r="V96" s="45">
        <f t="shared" si="15"/>
        <v>4140</v>
      </c>
      <c r="W96" s="39">
        <v>3</v>
      </c>
      <c r="X96" s="39" t="s">
        <v>39</v>
      </c>
      <c r="Y96" s="39" t="s">
        <v>47</v>
      </c>
      <c r="Z96" s="39" t="s">
        <v>40</v>
      </c>
      <c r="AA96" s="39" t="s">
        <v>78</v>
      </c>
      <c r="AB96" s="39" t="s">
        <v>335</v>
      </c>
    </row>
    <row r="97" spans="1:28" x14ac:dyDescent="0.15">
      <c r="A97" s="39" t="s">
        <v>34</v>
      </c>
      <c r="B97" s="39" t="s">
        <v>337</v>
      </c>
      <c r="C97" s="39">
        <v>2020</v>
      </c>
      <c r="D97" s="124" t="s">
        <v>343</v>
      </c>
      <c r="E97" s="39" t="s">
        <v>289</v>
      </c>
      <c r="F97" s="39" t="s">
        <v>290</v>
      </c>
      <c r="G97" s="39" t="s">
        <v>42</v>
      </c>
      <c r="H97" s="39" t="s">
        <v>146</v>
      </c>
      <c r="I97" s="39" t="s">
        <v>142</v>
      </c>
      <c r="J97" s="39" t="s">
        <v>38</v>
      </c>
      <c r="K97" s="39" t="s">
        <v>143</v>
      </c>
      <c r="L97" s="39">
        <v>3</v>
      </c>
      <c r="N97" s="39">
        <v>1</v>
      </c>
      <c r="O97" s="39">
        <v>0.75</v>
      </c>
      <c r="P97" s="39">
        <v>0.8</v>
      </c>
      <c r="Q97" s="45">
        <f t="shared" si="21"/>
        <v>0.77500000000000002</v>
      </c>
      <c r="R97" s="39">
        <v>16.2</v>
      </c>
      <c r="S97" s="39">
        <v>126</v>
      </c>
      <c r="T97" s="45">
        <f t="shared" si="14"/>
        <v>30</v>
      </c>
      <c r="U97" s="39">
        <v>138</v>
      </c>
      <c r="V97" s="45">
        <f t="shared" si="15"/>
        <v>4140</v>
      </c>
      <c r="W97" s="39">
        <v>3</v>
      </c>
      <c r="X97" s="39" t="s">
        <v>39</v>
      </c>
      <c r="Y97" s="39" t="s">
        <v>47</v>
      </c>
      <c r="Z97" s="39" t="s">
        <v>40</v>
      </c>
      <c r="AA97" s="39" t="s">
        <v>78</v>
      </c>
      <c r="AB97" s="39" t="s">
        <v>335</v>
      </c>
    </row>
    <row r="98" spans="1:28" x14ac:dyDescent="0.15">
      <c r="A98" s="39" t="s">
        <v>34</v>
      </c>
      <c r="B98" s="39" t="s">
        <v>337</v>
      </c>
      <c r="C98" s="39">
        <v>2020</v>
      </c>
      <c r="D98" s="124" t="s">
        <v>343</v>
      </c>
      <c r="E98" s="39" t="s">
        <v>289</v>
      </c>
      <c r="F98" s="39" t="s">
        <v>290</v>
      </c>
      <c r="G98" s="39" t="s">
        <v>42</v>
      </c>
      <c r="H98" s="39" t="s">
        <v>146</v>
      </c>
      <c r="I98" s="39" t="s">
        <v>142</v>
      </c>
      <c r="J98" s="39" t="s">
        <v>38</v>
      </c>
      <c r="K98" s="39" t="s">
        <v>143</v>
      </c>
      <c r="L98" s="39">
        <v>1</v>
      </c>
      <c r="N98" s="39">
        <v>4</v>
      </c>
      <c r="O98" s="39">
        <v>0.7</v>
      </c>
      <c r="P98" s="39">
        <v>0.75</v>
      </c>
      <c r="Q98" s="45">
        <f t="shared" si="21"/>
        <v>0.72499999999999998</v>
      </c>
      <c r="R98" s="39">
        <v>16.2</v>
      </c>
      <c r="S98" s="39">
        <v>128</v>
      </c>
      <c r="T98" s="45">
        <f t="shared" si="14"/>
        <v>30</v>
      </c>
      <c r="U98" s="39">
        <v>494</v>
      </c>
      <c r="V98" s="45">
        <f t="shared" si="15"/>
        <v>3705</v>
      </c>
      <c r="W98" s="39">
        <v>3</v>
      </c>
      <c r="X98" s="39" t="s">
        <v>39</v>
      </c>
      <c r="Y98" s="39" t="s">
        <v>47</v>
      </c>
      <c r="Z98" s="39" t="s">
        <v>40</v>
      </c>
      <c r="AA98" s="39" t="s">
        <v>78</v>
      </c>
      <c r="AB98" s="39" t="s">
        <v>335</v>
      </c>
    </row>
    <row r="99" spans="1:28" x14ac:dyDescent="0.15">
      <c r="A99" s="39" t="s">
        <v>34</v>
      </c>
      <c r="B99" s="39" t="s">
        <v>337</v>
      </c>
      <c r="C99" s="39">
        <v>2020</v>
      </c>
      <c r="D99" s="124" t="s">
        <v>343</v>
      </c>
      <c r="E99" s="39" t="s">
        <v>289</v>
      </c>
      <c r="F99" s="39" t="s">
        <v>290</v>
      </c>
      <c r="G99" s="39" t="s">
        <v>42</v>
      </c>
      <c r="H99" s="39" t="s">
        <v>146</v>
      </c>
      <c r="I99" s="39" t="s">
        <v>142</v>
      </c>
      <c r="J99" s="39" t="s">
        <v>38</v>
      </c>
      <c r="K99" s="39" t="s">
        <v>143</v>
      </c>
      <c r="L99" s="39">
        <v>2</v>
      </c>
      <c r="N99" s="39">
        <v>4</v>
      </c>
      <c r="O99" s="39">
        <v>0.6</v>
      </c>
      <c r="P99" s="39">
        <v>0.6</v>
      </c>
      <c r="Q99" s="45">
        <f t="shared" si="21"/>
        <v>0.6</v>
      </c>
      <c r="R99" s="39">
        <v>16.600000000000001</v>
      </c>
      <c r="S99" s="39">
        <v>132</v>
      </c>
      <c r="T99" s="45">
        <f t="shared" si="14"/>
        <v>30</v>
      </c>
      <c r="U99" s="39">
        <v>494</v>
      </c>
      <c r="V99" s="45">
        <f t="shared" si="15"/>
        <v>3705</v>
      </c>
      <c r="W99" s="39">
        <v>3</v>
      </c>
      <c r="X99" s="39" t="s">
        <v>39</v>
      </c>
      <c r="Y99" s="39" t="s">
        <v>47</v>
      </c>
      <c r="Z99" s="39" t="s">
        <v>40</v>
      </c>
      <c r="AA99" s="39" t="s">
        <v>78</v>
      </c>
      <c r="AB99" s="39" t="s">
        <v>335</v>
      </c>
    </row>
    <row r="100" spans="1:28" x14ac:dyDescent="0.15">
      <c r="A100" s="39" t="s">
        <v>34</v>
      </c>
      <c r="B100" s="39" t="s">
        <v>337</v>
      </c>
      <c r="C100" s="39">
        <v>2020</v>
      </c>
      <c r="D100" s="124" t="s">
        <v>343</v>
      </c>
      <c r="E100" s="39" t="s">
        <v>289</v>
      </c>
      <c r="F100" s="39" t="s">
        <v>290</v>
      </c>
      <c r="G100" s="39" t="s">
        <v>42</v>
      </c>
      <c r="H100" s="39" t="s">
        <v>146</v>
      </c>
      <c r="I100" s="39" t="s">
        <v>142</v>
      </c>
      <c r="J100" s="39" t="s">
        <v>38</v>
      </c>
      <c r="K100" s="39" t="s">
        <v>143</v>
      </c>
      <c r="L100" s="39">
        <v>3</v>
      </c>
      <c r="N100" s="39">
        <v>4</v>
      </c>
      <c r="O100" s="39">
        <v>0.75</v>
      </c>
      <c r="P100" s="39">
        <v>0.45</v>
      </c>
      <c r="Q100" s="45">
        <f t="shared" si="21"/>
        <v>0.6</v>
      </c>
      <c r="R100" s="39">
        <v>16.7</v>
      </c>
      <c r="S100" s="39">
        <v>118</v>
      </c>
      <c r="T100" s="45">
        <f t="shared" si="14"/>
        <v>30</v>
      </c>
      <c r="U100" s="39">
        <v>494</v>
      </c>
      <c r="V100" s="45">
        <f t="shared" si="15"/>
        <v>3705</v>
      </c>
      <c r="W100" s="39">
        <v>3</v>
      </c>
      <c r="X100" s="39" t="s">
        <v>39</v>
      </c>
      <c r="Y100" s="39" t="s">
        <v>47</v>
      </c>
      <c r="Z100" s="39" t="s">
        <v>40</v>
      </c>
      <c r="AA100" s="39" t="s">
        <v>78</v>
      </c>
      <c r="AB100" s="39" t="s">
        <v>335</v>
      </c>
    </row>
    <row r="101" spans="1:28" x14ac:dyDescent="0.15">
      <c r="A101" s="39" t="s">
        <v>34</v>
      </c>
      <c r="B101" s="39" t="s">
        <v>337</v>
      </c>
      <c r="C101" s="39">
        <v>2020</v>
      </c>
      <c r="D101" s="124" t="s">
        <v>343</v>
      </c>
      <c r="E101" s="39" t="s">
        <v>291</v>
      </c>
      <c r="F101" s="39" t="s">
        <v>292</v>
      </c>
      <c r="G101" s="39" t="s">
        <v>36</v>
      </c>
      <c r="H101" s="39" t="s">
        <v>127</v>
      </c>
      <c r="I101" s="39" t="s">
        <v>142</v>
      </c>
      <c r="J101" s="39" t="s">
        <v>80</v>
      </c>
      <c r="K101" s="39" t="s">
        <v>63</v>
      </c>
      <c r="L101" s="39">
        <v>1</v>
      </c>
      <c r="N101" s="39">
        <v>4</v>
      </c>
      <c r="O101" s="39">
        <v>0.9</v>
      </c>
      <c r="P101" s="39">
        <v>1</v>
      </c>
      <c r="Q101" s="45">
        <f t="shared" si="21"/>
        <v>0.95</v>
      </c>
      <c r="R101" s="39">
        <v>10.3</v>
      </c>
      <c r="S101" s="39">
        <v>92</v>
      </c>
      <c r="T101" s="45">
        <f t="shared" si="14"/>
        <v>36</v>
      </c>
      <c r="U101" s="39">
        <v>397</v>
      </c>
      <c r="V101" s="45">
        <f t="shared" si="15"/>
        <v>3573</v>
      </c>
      <c r="W101" s="39">
        <v>7</v>
      </c>
      <c r="X101" s="39" t="s">
        <v>46</v>
      </c>
      <c r="Y101" s="39" t="s">
        <v>40</v>
      </c>
      <c r="Z101" s="39" t="s">
        <v>55</v>
      </c>
      <c r="AA101" s="39" t="s">
        <v>47</v>
      </c>
      <c r="AB101" s="39" t="s">
        <v>335</v>
      </c>
    </row>
    <row r="102" spans="1:28" x14ac:dyDescent="0.15">
      <c r="A102" s="39" t="s">
        <v>34</v>
      </c>
      <c r="B102" s="39" t="s">
        <v>337</v>
      </c>
      <c r="C102" s="39">
        <v>2020</v>
      </c>
      <c r="D102" s="124" t="s">
        <v>343</v>
      </c>
      <c r="E102" s="39" t="s">
        <v>291</v>
      </c>
      <c r="F102" s="39" t="s">
        <v>292</v>
      </c>
      <c r="G102" s="39" t="s">
        <v>36</v>
      </c>
      <c r="H102" s="39" t="s">
        <v>127</v>
      </c>
      <c r="I102" s="39" t="s">
        <v>142</v>
      </c>
      <c r="J102" s="39" t="s">
        <v>80</v>
      </c>
      <c r="K102" s="39" t="s">
        <v>63</v>
      </c>
      <c r="L102" s="39">
        <v>2</v>
      </c>
      <c r="N102" s="39">
        <v>4</v>
      </c>
      <c r="O102" s="39">
        <v>0.8</v>
      </c>
      <c r="P102" s="39">
        <v>0.8</v>
      </c>
      <c r="Q102" s="45">
        <f t="shared" si="21"/>
        <v>0.8</v>
      </c>
      <c r="R102" s="39">
        <v>11.5</v>
      </c>
      <c r="S102" s="39">
        <v>88</v>
      </c>
      <c r="T102" s="45">
        <f t="shared" si="14"/>
        <v>36</v>
      </c>
      <c r="U102" s="39">
        <v>397</v>
      </c>
      <c r="V102" s="45">
        <f t="shared" si="15"/>
        <v>3573</v>
      </c>
      <c r="W102" s="39">
        <v>7</v>
      </c>
      <c r="X102" s="39" t="s">
        <v>46</v>
      </c>
      <c r="Y102" s="39" t="s">
        <v>40</v>
      </c>
      <c r="Z102" s="39" t="s">
        <v>55</v>
      </c>
      <c r="AA102" s="39" t="s">
        <v>47</v>
      </c>
      <c r="AB102" s="39" t="s">
        <v>335</v>
      </c>
    </row>
    <row r="103" spans="1:28" x14ac:dyDescent="0.15">
      <c r="A103" s="39" t="s">
        <v>34</v>
      </c>
      <c r="B103" s="39" t="s">
        <v>337</v>
      </c>
      <c r="C103" s="39">
        <v>2020</v>
      </c>
      <c r="D103" s="124" t="s">
        <v>343</v>
      </c>
      <c r="E103" s="39" t="s">
        <v>291</v>
      </c>
      <c r="F103" s="39" t="s">
        <v>292</v>
      </c>
      <c r="G103" s="39" t="s">
        <v>36</v>
      </c>
      <c r="H103" s="39" t="s">
        <v>127</v>
      </c>
      <c r="I103" s="39" t="s">
        <v>142</v>
      </c>
      <c r="J103" s="39" t="s">
        <v>80</v>
      </c>
      <c r="K103" s="39" t="s">
        <v>63</v>
      </c>
      <c r="L103" s="39">
        <v>3</v>
      </c>
      <c r="N103" s="39">
        <v>4</v>
      </c>
      <c r="O103" s="39">
        <v>0.75</v>
      </c>
      <c r="P103" s="39">
        <v>0.75</v>
      </c>
      <c r="Q103" s="45">
        <f t="shared" si="21"/>
        <v>0.75</v>
      </c>
      <c r="R103" s="39">
        <v>13.3</v>
      </c>
      <c r="S103" s="39">
        <v>91</v>
      </c>
      <c r="T103" s="45">
        <f t="shared" si="14"/>
        <v>36</v>
      </c>
      <c r="U103" s="39">
        <v>397</v>
      </c>
      <c r="V103" s="45">
        <f t="shared" si="15"/>
        <v>3573</v>
      </c>
      <c r="W103" s="39">
        <v>7</v>
      </c>
      <c r="X103" s="39" t="s">
        <v>46</v>
      </c>
      <c r="Y103" s="39" t="s">
        <v>40</v>
      </c>
      <c r="Z103" s="39" t="s">
        <v>55</v>
      </c>
      <c r="AA103" s="39" t="s">
        <v>47</v>
      </c>
      <c r="AB103" s="39" t="s">
        <v>335</v>
      </c>
    </row>
    <row r="104" spans="1:28" x14ac:dyDescent="0.15">
      <c r="A104" s="39" t="s">
        <v>34</v>
      </c>
      <c r="B104" s="39" t="s">
        <v>337</v>
      </c>
      <c r="C104" s="39">
        <v>2020</v>
      </c>
      <c r="D104" s="124" t="s">
        <v>343</v>
      </c>
      <c r="E104" s="39" t="s">
        <v>291</v>
      </c>
      <c r="F104" s="39" t="s">
        <v>292</v>
      </c>
      <c r="G104" s="39" t="s">
        <v>36</v>
      </c>
      <c r="H104" s="39" t="s">
        <v>146</v>
      </c>
      <c r="I104" s="39" t="s">
        <v>142</v>
      </c>
      <c r="J104" s="39" t="s">
        <v>38</v>
      </c>
      <c r="K104" s="39" t="s">
        <v>143</v>
      </c>
      <c r="L104" s="39">
        <v>1</v>
      </c>
      <c r="N104" s="39">
        <v>1</v>
      </c>
      <c r="O104" s="39">
        <v>0.9</v>
      </c>
      <c r="P104" s="39">
        <v>1.05</v>
      </c>
      <c r="Q104" s="45">
        <f t="shared" si="21"/>
        <v>0.97500000000000009</v>
      </c>
      <c r="R104" s="39">
        <v>14.9</v>
      </c>
      <c r="S104" s="39">
        <v>108</v>
      </c>
      <c r="T104" s="45">
        <f t="shared" si="14"/>
        <v>33</v>
      </c>
      <c r="U104" s="39">
        <v>101</v>
      </c>
      <c r="V104" s="45">
        <f t="shared" si="15"/>
        <v>3333</v>
      </c>
      <c r="W104" s="39">
        <v>7</v>
      </c>
      <c r="X104" s="39" t="s">
        <v>46</v>
      </c>
      <c r="Y104" s="39" t="s">
        <v>40</v>
      </c>
      <c r="Z104" s="39" t="s">
        <v>55</v>
      </c>
      <c r="AA104" s="39" t="s">
        <v>47</v>
      </c>
      <c r="AB104" s="39" t="s">
        <v>335</v>
      </c>
    </row>
    <row r="105" spans="1:28" x14ac:dyDescent="0.15">
      <c r="A105" s="39" t="s">
        <v>34</v>
      </c>
      <c r="B105" s="39" t="s">
        <v>337</v>
      </c>
      <c r="C105" s="39">
        <v>2020</v>
      </c>
      <c r="D105" s="124" t="s">
        <v>343</v>
      </c>
      <c r="E105" s="39" t="s">
        <v>291</v>
      </c>
      <c r="F105" s="39" t="s">
        <v>292</v>
      </c>
      <c r="G105" s="39" t="s">
        <v>36</v>
      </c>
      <c r="H105" s="39" t="s">
        <v>146</v>
      </c>
      <c r="I105" s="39" t="s">
        <v>142</v>
      </c>
      <c r="J105" s="39" t="s">
        <v>38</v>
      </c>
      <c r="K105" s="39" t="s">
        <v>143</v>
      </c>
      <c r="L105" s="39">
        <v>2</v>
      </c>
      <c r="N105" s="39">
        <v>1</v>
      </c>
      <c r="O105" s="39">
        <v>1.3</v>
      </c>
      <c r="P105" s="39">
        <v>1.5</v>
      </c>
      <c r="Q105" s="45">
        <f t="shared" si="21"/>
        <v>1.4</v>
      </c>
      <c r="R105" s="39">
        <v>14.2</v>
      </c>
      <c r="S105" s="39">
        <v>108</v>
      </c>
      <c r="T105" s="45">
        <f t="shared" si="14"/>
        <v>33</v>
      </c>
      <c r="U105" s="39">
        <v>101</v>
      </c>
      <c r="V105" s="45">
        <f t="shared" si="15"/>
        <v>3333</v>
      </c>
      <c r="W105" s="39">
        <v>7</v>
      </c>
      <c r="X105" s="39" t="s">
        <v>46</v>
      </c>
      <c r="Y105" s="39" t="s">
        <v>40</v>
      </c>
      <c r="Z105" s="39" t="s">
        <v>55</v>
      </c>
      <c r="AA105" s="39" t="s">
        <v>47</v>
      </c>
      <c r="AB105" s="39" t="s">
        <v>335</v>
      </c>
    </row>
    <row r="106" spans="1:28" x14ac:dyDescent="0.15">
      <c r="A106" s="39" t="s">
        <v>34</v>
      </c>
      <c r="B106" s="39" t="s">
        <v>337</v>
      </c>
      <c r="C106" s="39">
        <v>2020</v>
      </c>
      <c r="D106" s="124" t="s">
        <v>343</v>
      </c>
      <c r="E106" s="39" t="s">
        <v>291</v>
      </c>
      <c r="F106" s="39" t="s">
        <v>292</v>
      </c>
      <c r="G106" s="39" t="s">
        <v>36</v>
      </c>
      <c r="H106" s="39" t="s">
        <v>146</v>
      </c>
      <c r="I106" s="39" t="s">
        <v>142</v>
      </c>
      <c r="J106" s="39" t="s">
        <v>38</v>
      </c>
      <c r="K106" s="39" t="s">
        <v>143</v>
      </c>
      <c r="L106" s="39">
        <v>3</v>
      </c>
      <c r="N106" s="39">
        <v>1</v>
      </c>
      <c r="O106" s="39">
        <v>1.4</v>
      </c>
      <c r="P106" s="39">
        <v>1</v>
      </c>
      <c r="Q106" s="45">
        <f t="shared" si="21"/>
        <v>1.2</v>
      </c>
      <c r="R106" s="39">
        <v>14.4</v>
      </c>
      <c r="S106" s="39">
        <v>110</v>
      </c>
      <c r="T106" s="45">
        <f t="shared" si="14"/>
        <v>33</v>
      </c>
      <c r="U106" s="39">
        <v>101</v>
      </c>
      <c r="V106" s="45">
        <f t="shared" si="15"/>
        <v>3333</v>
      </c>
      <c r="W106" s="39">
        <v>7</v>
      </c>
      <c r="X106" s="39" t="s">
        <v>46</v>
      </c>
      <c r="Y106" s="39" t="s">
        <v>40</v>
      </c>
      <c r="Z106" s="39" t="s">
        <v>55</v>
      </c>
      <c r="AA106" s="39" t="s">
        <v>47</v>
      </c>
      <c r="AB106" s="39" t="s">
        <v>335</v>
      </c>
    </row>
    <row r="107" spans="1:28" x14ac:dyDescent="0.15">
      <c r="A107" s="39" t="s">
        <v>34</v>
      </c>
      <c r="B107" s="39" t="s">
        <v>337</v>
      </c>
      <c r="C107" s="39">
        <v>2020</v>
      </c>
      <c r="D107" s="124" t="s">
        <v>343</v>
      </c>
      <c r="E107" s="39" t="s">
        <v>291</v>
      </c>
      <c r="F107" s="39" t="s">
        <v>292</v>
      </c>
      <c r="G107" s="39" t="s">
        <v>36</v>
      </c>
      <c r="H107" s="39" t="s">
        <v>146</v>
      </c>
      <c r="I107" s="39" t="s">
        <v>142</v>
      </c>
      <c r="J107" s="39" t="s">
        <v>38</v>
      </c>
      <c r="K107" s="39" t="s">
        <v>143</v>
      </c>
      <c r="L107" s="39">
        <v>1</v>
      </c>
      <c r="N107" s="39">
        <v>4</v>
      </c>
      <c r="O107" s="39">
        <v>0.75</v>
      </c>
      <c r="P107" s="39">
        <v>0.75</v>
      </c>
      <c r="Q107" s="45">
        <f t="shared" si="21"/>
        <v>0.75</v>
      </c>
      <c r="R107" s="39">
        <v>16.2</v>
      </c>
      <c r="S107" s="39">
        <v>122</v>
      </c>
      <c r="T107" s="45">
        <f t="shared" si="14"/>
        <v>30</v>
      </c>
      <c r="U107" s="39">
        <v>397</v>
      </c>
      <c r="V107" s="45">
        <f t="shared" si="15"/>
        <v>2977.5</v>
      </c>
      <c r="W107" s="39">
        <v>7</v>
      </c>
      <c r="X107" s="39" t="s">
        <v>46</v>
      </c>
      <c r="Y107" s="39" t="s">
        <v>40</v>
      </c>
      <c r="Z107" s="39" t="s">
        <v>55</v>
      </c>
      <c r="AA107" s="39" t="s">
        <v>47</v>
      </c>
      <c r="AB107" s="39" t="s">
        <v>335</v>
      </c>
    </row>
    <row r="108" spans="1:28" x14ac:dyDescent="0.15">
      <c r="A108" s="39" t="s">
        <v>34</v>
      </c>
      <c r="B108" s="39" t="s">
        <v>337</v>
      </c>
      <c r="C108" s="39">
        <v>2020</v>
      </c>
      <c r="D108" s="124" t="s">
        <v>343</v>
      </c>
      <c r="E108" s="39" t="s">
        <v>291</v>
      </c>
      <c r="F108" s="39" t="s">
        <v>292</v>
      </c>
      <c r="G108" s="39" t="s">
        <v>36</v>
      </c>
      <c r="H108" s="39" t="s">
        <v>146</v>
      </c>
      <c r="I108" s="39" t="s">
        <v>142</v>
      </c>
      <c r="J108" s="39" t="s">
        <v>38</v>
      </c>
      <c r="K108" s="39" t="s">
        <v>143</v>
      </c>
      <c r="L108" s="39">
        <v>2</v>
      </c>
      <c r="N108" s="39">
        <v>4</v>
      </c>
      <c r="O108" s="39">
        <v>0.9</v>
      </c>
      <c r="P108" s="39">
        <v>0.7</v>
      </c>
      <c r="Q108" s="45">
        <f t="shared" si="21"/>
        <v>0.8</v>
      </c>
      <c r="R108" s="39">
        <v>16.399999999999999</v>
      </c>
      <c r="S108" s="39">
        <v>120</v>
      </c>
      <c r="T108" s="45">
        <f t="shared" si="14"/>
        <v>30</v>
      </c>
      <c r="U108" s="39">
        <v>397</v>
      </c>
      <c r="V108" s="45">
        <f t="shared" si="15"/>
        <v>2977.5</v>
      </c>
      <c r="W108" s="39">
        <v>7</v>
      </c>
      <c r="X108" s="39" t="s">
        <v>46</v>
      </c>
      <c r="Y108" s="39" t="s">
        <v>40</v>
      </c>
      <c r="Z108" s="39" t="s">
        <v>55</v>
      </c>
      <c r="AA108" s="39" t="s">
        <v>47</v>
      </c>
      <c r="AB108" s="39" t="s">
        <v>335</v>
      </c>
    </row>
    <row r="109" spans="1:28" x14ac:dyDescent="0.15">
      <c r="A109" s="39" t="s">
        <v>34</v>
      </c>
      <c r="B109" s="39" t="s">
        <v>337</v>
      </c>
      <c r="C109" s="39">
        <v>2020</v>
      </c>
      <c r="D109" s="124" t="s">
        <v>343</v>
      </c>
      <c r="E109" s="39" t="s">
        <v>291</v>
      </c>
      <c r="F109" s="39" t="s">
        <v>292</v>
      </c>
      <c r="G109" s="39" t="s">
        <v>36</v>
      </c>
      <c r="H109" s="39" t="s">
        <v>146</v>
      </c>
      <c r="I109" s="39" t="s">
        <v>142</v>
      </c>
      <c r="J109" s="39" t="s">
        <v>38</v>
      </c>
      <c r="K109" s="39" t="s">
        <v>143</v>
      </c>
      <c r="L109" s="39">
        <v>3</v>
      </c>
      <c r="N109" s="39">
        <v>4</v>
      </c>
      <c r="O109" s="39">
        <v>0.7</v>
      </c>
      <c r="P109" s="39">
        <v>0.95</v>
      </c>
      <c r="Q109" s="45">
        <f t="shared" si="21"/>
        <v>0.82499999999999996</v>
      </c>
      <c r="R109" s="39">
        <v>17.399999999999999</v>
      </c>
      <c r="S109" s="39">
        <v>116</v>
      </c>
      <c r="T109" s="45">
        <f t="shared" si="14"/>
        <v>30</v>
      </c>
      <c r="U109" s="39">
        <v>397</v>
      </c>
      <c r="V109" s="45">
        <f t="shared" si="15"/>
        <v>2977.5</v>
      </c>
      <c r="W109" s="39">
        <v>7</v>
      </c>
      <c r="X109" s="39" t="s">
        <v>46</v>
      </c>
      <c r="Y109" s="39" t="s">
        <v>40</v>
      </c>
      <c r="Z109" s="39" t="s">
        <v>55</v>
      </c>
      <c r="AA109" s="39" t="s">
        <v>47</v>
      </c>
      <c r="AB109" s="39" t="s">
        <v>335</v>
      </c>
    </row>
    <row r="110" spans="1:28" x14ac:dyDescent="0.15">
      <c r="A110" s="39" t="s">
        <v>34</v>
      </c>
      <c r="B110" s="39" t="s">
        <v>337</v>
      </c>
      <c r="C110" s="39">
        <v>2020</v>
      </c>
      <c r="D110" s="124" t="s">
        <v>343</v>
      </c>
      <c r="E110" s="39" t="s">
        <v>291</v>
      </c>
      <c r="F110" s="39" t="s">
        <v>292</v>
      </c>
      <c r="G110" s="39" t="s">
        <v>36</v>
      </c>
      <c r="H110" s="39" t="s">
        <v>127</v>
      </c>
      <c r="I110" s="39" t="s">
        <v>142</v>
      </c>
      <c r="J110" s="39" t="s">
        <v>80</v>
      </c>
      <c r="K110" s="39" t="s">
        <v>123</v>
      </c>
      <c r="L110" s="39">
        <v>1</v>
      </c>
      <c r="N110" s="39">
        <v>1</v>
      </c>
      <c r="O110" s="39">
        <v>0.7</v>
      </c>
      <c r="P110" s="39">
        <v>0.75</v>
      </c>
      <c r="Q110" s="45">
        <f t="shared" si="21"/>
        <v>0.72499999999999998</v>
      </c>
      <c r="R110" s="39">
        <v>14</v>
      </c>
      <c r="S110" s="39">
        <v>114</v>
      </c>
      <c r="T110" s="45">
        <f t="shared" si="14"/>
        <v>30</v>
      </c>
      <c r="U110" s="39">
        <v>101</v>
      </c>
      <c r="V110" s="45">
        <f t="shared" si="15"/>
        <v>3030</v>
      </c>
      <c r="W110" s="39">
        <v>7</v>
      </c>
      <c r="X110" s="39" t="s">
        <v>46</v>
      </c>
      <c r="Y110" s="39" t="s">
        <v>40</v>
      </c>
      <c r="Z110" s="39" t="s">
        <v>55</v>
      </c>
      <c r="AA110" s="39" t="s">
        <v>47</v>
      </c>
      <c r="AB110" s="39" t="s">
        <v>335</v>
      </c>
    </row>
    <row r="111" spans="1:28" x14ac:dyDescent="0.15">
      <c r="A111" s="39" t="s">
        <v>34</v>
      </c>
      <c r="B111" s="39" t="s">
        <v>337</v>
      </c>
      <c r="C111" s="39">
        <v>2020</v>
      </c>
      <c r="D111" s="124" t="s">
        <v>343</v>
      </c>
      <c r="E111" s="39" t="s">
        <v>291</v>
      </c>
      <c r="F111" s="39" t="s">
        <v>292</v>
      </c>
      <c r="G111" s="39" t="s">
        <v>36</v>
      </c>
      <c r="H111" s="39" t="s">
        <v>127</v>
      </c>
      <c r="I111" s="39" t="s">
        <v>142</v>
      </c>
      <c r="J111" s="39" t="s">
        <v>80</v>
      </c>
      <c r="K111" s="39" t="s">
        <v>123</v>
      </c>
      <c r="L111" s="39">
        <v>2</v>
      </c>
      <c r="N111" s="39">
        <v>1</v>
      </c>
      <c r="O111" s="39">
        <v>0.85</v>
      </c>
      <c r="P111" s="39">
        <v>1.2</v>
      </c>
      <c r="Q111" s="45">
        <f t="shared" si="21"/>
        <v>1.0249999999999999</v>
      </c>
      <c r="R111" s="39">
        <v>14.2</v>
      </c>
      <c r="S111" s="39">
        <v>104</v>
      </c>
      <c r="T111" s="45">
        <f t="shared" si="14"/>
        <v>33</v>
      </c>
      <c r="U111" s="39">
        <v>101</v>
      </c>
      <c r="V111" s="45">
        <f t="shared" si="15"/>
        <v>3333</v>
      </c>
      <c r="W111" s="39">
        <v>7</v>
      </c>
      <c r="X111" s="39" t="s">
        <v>46</v>
      </c>
      <c r="Y111" s="39" t="s">
        <v>40</v>
      </c>
      <c r="Z111" s="39" t="s">
        <v>55</v>
      </c>
      <c r="AA111" s="39" t="s">
        <v>47</v>
      </c>
      <c r="AB111" s="39" t="s">
        <v>335</v>
      </c>
    </row>
    <row r="112" spans="1:28" x14ac:dyDescent="0.15">
      <c r="A112" s="39" t="s">
        <v>34</v>
      </c>
      <c r="B112" s="39" t="s">
        <v>337</v>
      </c>
      <c r="C112" s="39">
        <v>2020</v>
      </c>
      <c r="D112" s="124" t="s">
        <v>343</v>
      </c>
      <c r="E112" s="39" t="s">
        <v>291</v>
      </c>
      <c r="F112" s="39" t="s">
        <v>292</v>
      </c>
      <c r="G112" s="39" t="s">
        <v>36</v>
      </c>
      <c r="H112" s="39" t="s">
        <v>127</v>
      </c>
      <c r="I112" s="39" t="s">
        <v>142</v>
      </c>
      <c r="J112" s="39" t="s">
        <v>80</v>
      </c>
      <c r="K112" s="39" t="s">
        <v>123</v>
      </c>
      <c r="L112" s="39">
        <v>3</v>
      </c>
      <c r="N112" s="39">
        <v>1</v>
      </c>
      <c r="O112" s="39">
        <v>0.9</v>
      </c>
      <c r="P112" s="39">
        <v>1</v>
      </c>
      <c r="Q112" s="45">
        <f t="shared" si="21"/>
        <v>0.95</v>
      </c>
      <c r="R112" s="39">
        <v>14.7</v>
      </c>
      <c r="S112" s="39">
        <v>104</v>
      </c>
      <c r="T112" s="45">
        <f t="shared" si="14"/>
        <v>33</v>
      </c>
      <c r="U112" s="39">
        <v>101</v>
      </c>
      <c r="V112" s="45">
        <f t="shared" si="15"/>
        <v>3333</v>
      </c>
      <c r="W112" s="39">
        <v>7</v>
      </c>
      <c r="X112" s="39" t="s">
        <v>46</v>
      </c>
      <c r="Y112" s="39" t="s">
        <v>40</v>
      </c>
      <c r="Z112" s="39" t="s">
        <v>55</v>
      </c>
      <c r="AA112" s="39" t="s">
        <v>47</v>
      </c>
      <c r="AB112" s="39" t="s">
        <v>335</v>
      </c>
    </row>
  </sheetData>
  <autoFilter ref="A1:BA112" xr:uid="{00000000-0009-0000-0000-000000000000}"/>
  <phoneticPr fontId="3"/>
  <dataValidations count="12">
    <dataValidation type="list" allowBlank="1" showInputMessage="1" showErrorMessage="1" sqref="H2:H1093" xr:uid="{798362E6-7244-4BC4-ABCF-45E52A83AB6F}">
      <formula1>$AL$2:$AL$9</formula1>
    </dataValidation>
    <dataValidation type="list" allowBlank="1" showInputMessage="1" showErrorMessage="1" sqref="E2:E470" xr:uid="{3247CC89-DF00-41EB-AEC9-22ECA1BAA275}">
      <formula1>$AG$2:$AG$11</formula1>
    </dataValidation>
    <dataValidation type="list" allowBlank="1" showInputMessage="1" showErrorMessage="1" sqref="F2:F470" xr:uid="{E6D3D5A3-A609-41DD-BE08-4B5AED916F19}">
      <formula1>$AH$2:$AH$11</formula1>
    </dataValidation>
    <dataValidation type="list" allowBlank="1" showInputMessage="1" showErrorMessage="1" sqref="J2:J470" xr:uid="{3276CE05-E3EA-4DE9-92C0-0A5DD26BD081}">
      <formula1>$AP$2:$AP$24</formula1>
    </dataValidation>
    <dataValidation type="list" allowBlank="1" showInputMessage="1" showErrorMessage="1" sqref="I2:I470" xr:uid="{57319EBE-E49A-4060-842B-60A653DF413C}">
      <formula1>$AN$5:$AN$6</formula1>
    </dataValidation>
    <dataValidation type="list" allowBlank="1" showInputMessage="1" showErrorMessage="1" sqref="G2:G470" xr:uid="{3C35FC2B-E7FB-4869-9079-6B1201062378}">
      <formula1>$AJ$2:$AJ$4</formula1>
    </dataValidation>
    <dataValidation type="list" allowBlank="1" showInputMessage="1" showErrorMessage="1" sqref="X2:X470" xr:uid="{CB05803B-4DB3-49C5-8437-346A8811A30F}">
      <formula1>$AT$2:$AT$3</formula1>
    </dataValidation>
    <dataValidation type="list" allowBlank="1" showInputMessage="1" showErrorMessage="1" sqref="Y2:AA470" xr:uid="{9948586F-D9C4-45B8-AABD-F066D7A4DCA5}">
      <formula1>$AV$2:$AV$21</formula1>
    </dataValidation>
    <dataValidation type="list" allowBlank="1" showInputMessage="1" showErrorMessage="1" sqref="A2:A469" xr:uid="{8267D0AD-862E-491A-915B-0136C0A7238F}">
      <formula1>$AE$2:$AE$19</formula1>
    </dataValidation>
    <dataValidation operator="equal" allowBlank="1" showInputMessage="1" showErrorMessage="1" sqref="B2:B112" xr:uid="{018FD689-FB46-4ABA-A560-41C65F7C1754}"/>
    <dataValidation type="decimal" allowBlank="1" showInputMessage="1" showErrorMessage="1" error="硬度を正しく入力して下さい。" sqref="O2:P470" xr:uid="{F74E3F29-9C95-48DA-A439-2A4374A85F2B}">
      <formula1>0</formula1>
      <formula2>7</formula2>
    </dataValidation>
    <dataValidation type="list" allowBlank="1" showInputMessage="1" showErrorMessage="1" sqref="K2:K782" xr:uid="{99EEE1C3-6658-47C2-82B6-C7B414D5D943}">
      <formula1>$AR$2:$AR$23</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E0D9AE58-7610-40F3-95F7-5A1C02347910}"/>
</file>

<file path=customXml/itemProps3.xml><?xml version="1.0" encoding="utf-8"?>
<ds:datastoreItem xmlns:ds="http://schemas.openxmlformats.org/officeDocument/2006/customXml" ds:itemID="{89AFF9E6-B3CF-4AD6-BF42-6C814795C729}"/>
</file>

<file path=customXml/itemProps4.xml><?xml version="1.0" encoding="utf-8"?>
<ds:datastoreItem xmlns:ds="http://schemas.openxmlformats.org/officeDocument/2006/customXml" ds:itemID="{0870A20B-63D8-474A-943A-CFC2488615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 </vt:lpstr>
      <vt:lpstr>fukuoka</vt:lpstr>
      <vt:lpstr>tokyo-west(ota)</vt:lpstr>
      <vt:lpstr>tokyo-east(konishi)</vt:lpstr>
      <vt:lpstr>'hiroshima '!Print_Area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2020-04-30T08:31:31Z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